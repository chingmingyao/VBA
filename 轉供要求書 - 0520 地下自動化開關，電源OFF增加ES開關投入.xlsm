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D:\VBA\"/>
    </mc:Choice>
  </mc:AlternateContent>
  <xr:revisionPtr revIDLastSave="0" documentId="13_ncr:1_{AB16BF30-F712-4D8A-9022-54DC08AA2621}" xr6:coauthVersionLast="47" xr6:coauthVersionMax="47" xr10:uidLastSave="{00000000-0000-0000-0000-000000000000}"/>
  <bookViews>
    <workbookView xWindow="-120" yWindow="-120" windowWidth="29040" windowHeight="15720" xr2:uid="{00000000-000D-0000-FFFF-FFFF00000000}"/>
  </bookViews>
  <sheets>
    <sheet name="總表" sheetId="70" r:id="rId1"/>
    <sheet name="操作程序" sheetId="51" r:id="rId2"/>
    <sheet name="用戶" sheetId="54" state="hidden" r:id="rId3"/>
    <sheet name="停電要求書" sheetId="52" r:id="rId4"/>
    <sheet name="9H-2" sheetId="56" state="hidden" r:id="rId5"/>
    <sheet name="饋線日報表(DATA)" sheetId="60" state="hidden" r:id="rId6"/>
    <sheet name="饋線日報表" sheetId="68" state="hidden" r:id="rId7"/>
    <sheet name="轉供小工具" sheetId="58" state="hidden" r:id="rId8"/>
    <sheet name="出口電桿" sheetId="61" state="hidden" r:id="rId9"/>
    <sheet name="DATA(NEW)" sheetId="62" r:id="rId10"/>
    <sheet name="主變(變電所全停)" sheetId="39" state="hidden" r:id="rId11"/>
    <sheet name="主變N-1" sheetId="40" state="hidden" r:id="rId12"/>
    <sheet name="排序" sheetId="42" state="hidden" r:id="rId13"/>
    <sheet name="110.06.30" sheetId="49" state="hidden" r:id="rId14"/>
    <sheet name="工作表2" sheetId="47" state="hidden" r:id="rId15"/>
    <sheet name="變電所別" sheetId="9" state="hidden" r:id="rId16"/>
    <sheet name="DATA" sheetId="67" r:id="rId17"/>
    <sheet name="設定" sheetId="53" r:id="rId18"/>
    <sheet name="版本" sheetId="69" r:id="rId19"/>
    <sheet name="電流判斷" sheetId="71" r:id="rId20"/>
  </sheets>
  <functionGroups builtInGroupCount="19"/>
  <definedNames>
    <definedName name="_xlnm._FilterDatabase" localSheetId="16" hidden="1">DATA!$A$2:$S$822</definedName>
    <definedName name="_xlnm._FilterDatabase" localSheetId="9" hidden="1">'DATA(NEW)'!$P$1:$R$702</definedName>
    <definedName name="_xlnm._FilterDatabase" localSheetId="10" hidden="1">'主變(變電所全停)'!$A$4:$X$35</definedName>
    <definedName name="_xlnm._FilterDatabase" localSheetId="11" hidden="1">'主變N-1'!$A$4:$O$28</definedName>
    <definedName name="_xlnm._FilterDatabase" localSheetId="8" hidden="1">出口電桿!$A$1:$M$626</definedName>
    <definedName name="_xlnm.Print_Area" localSheetId="13">'110.06.30'!$A$1:$AL$52</definedName>
    <definedName name="_xlnm.Print_Area" localSheetId="10">'主變(變電所全停)'!$A$1:$O$37</definedName>
    <definedName name="_xlnm.Print_Area" localSheetId="11">'主變N-1'!$A$1:$O$30</definedName>
    <definedName name="_xlnm.Print_Area" localSheetId="1">操作程序!$A$1:$Q$46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7" i="70" l="1"/>
  <c r="R27" i="70"/>
  <c r="Q27" i="70"/>
  <c r="A819" i="62" l="1"/>
  <c r="A818" i="62"/>
  <c r="A817" i="62"/>
  <c r="A816" i="62"/>
  <c r="A815" i="62"/>
  <c r="A814" i="62"/>
  <c r="A813" i="62"/>
  <c r="A812" i="62"/>
  <c r="A811" i="62"/>
  <c r="A810" i="62"/>
  <c r="A809" i="62"/>
  <c r="A808" i="62"/>
  <c r="A807" i="62"/>
  <c r="A806" i="62"/>
  <c r="A805" i="62"/>
  <c r="A804" i="62"/>
  <c r="A803" i="62"/>
  <c r="A802" i="62"/>
  <c r="A801" i="62"/>
  <c r="A800" i="62"/>
  <c r="A799" i="62"/>
  <c r="A798" i="62"/>
  <c r="A797" i="62"/>
  <c r="A796" i="62"/>
  <c r="A795" i="62"/>
  <c r="A794" i="62"/>
  <c r="A793" i="62"/>
  <c r="A792" i="62"/>
  <c r="A791" i="62"/>
  <c r="A790" i="62"/>
  <c r="A789" i="62"/>
  <c r="A788" i="62"/>
  <c r="A787" i="62"/>
  <c r="A786" i="62"/>
  <c r="A785" i="62"/>
  <c r="A784" i="62"/>
  <c r="A783" i="62"/>
  <c r="A782" i="62"/>
  <c r="A781" i="62"/>
  <c r="A780" i="62"/>
  <c r="A779" i="62"/>
  <c r="A778" i="62"/>
  <c r="A777" i="62"/>
  <c r="A776" i="62"/>
  <c r="A775" i="62"/>
  <c r="A774" i="62"/>
  <c r="A773" i="62"/>
  <c r="A772" i="62"/>
  <c r="A771" i="62"/>
  <c r="A770" i="62"/>
  <c r="A769" i="62"/>
  <c r="A768" i="62"/>
  <c r="A767" i="62"/>
  <c r="A766" i="62"/>
  <c r="A765" i="62"/>
  <c r="A764" i="62"/>
  <c r="A763" i="62"/>
  <c r="A762" i="62"/>
  <c r="A761" i="62"/>
  <c r="A760" i="62"/>
  <c r="A759" i="62"/>
  <c r="A758" i="62"/>
  <c r="A757" i="62"/>
  <c r="A756" i="62"/>
  <c r="A755" i="62"/>
  <c r="A754" i="62"/>
  <c r="A753" i="62"/>
  <c r="A752" i="62"/>
  <c r="A751" i="62"/>
  <c r="A750" i="62"/>
  <c r="A749" i="62"/>
  <c r="A748" i="62"/>
  <c r="A747" i="62"/>
  <c r="A746" i="62"/>
  <c r="A745" i="62"/>
  <c r="A744" i="62"/>
  <c r="A743" i="62"/>
  <c r="A742" i="62"/>
  <c r="A741" i="62"/>
  <c r="A740" i="62"/>
  <c r="A739" i="62"/>
  <c r="A738" i="62"/>
  <c r="A737" i="62"/>
  <c r="A736" i="62"/>
  <c r="A735" i="62"/>
  <c r="A734" i="62"/>
  <c r="A733" i="62"/>
  <c r="A732" i="62"/>
  <c r="A731" i="62"/>
  <c r="A730" i="62"/>
  <c r="A729" i="62"/>
  <c r="A728" i="62"/>
  <c r="A727" i="62"/>
  <c r="A726" i="62"/>
  <c r="A725" i="62"/>
  <c r="A724" i="62"/>
  <c r="A723" i="62"/>
  <c r="A722" i="62"/>
  <c r="A721" i="62"/>
  <c r="A720" i="62"/>
  <c r="A719" i="62"/>
  <c r="A718" i="62"/>
  <c r="A717" i="62"/>
  <c r="A716" i="62"/>
  <c r="A715" i="62"/>
  <c r="A714" i="62"/>
  <c r="A713" i="62"/>
  <c r="A712" i="62"/>
  <c r="A711" i="62"/>
  <c r="A710" i="62"/>
  <c r="A709" i="62"/>
  <c r="A708" i="62"/>
  <c r="A707" i="62"/>
  <c r="A706" i="62"/>
  <c r="A705" i="62"/>
  <c r="A704" i="62"/>
  <c r="A703" i="62"/>
  <c r="A702" i="62"/>
  <c r="A701" i="62"/>
  <c r="A700" i="62"/>
  <c r="A699" i="62"/>
  <c r="A698" i="62"/>
  <c r="A697" i="62"/>
  <c r="A696" i="62"/>
  <c r="A695" i="62"/>
  <c r="A693" i="62"/>
  <c r="A692" i="62"/>
  <c r="A691" i="62"/>
  <c r="A690" i="62"/>
  <c r="A689" i="62"/>
  <c r="A688" i="62"/>
  <c r="A687" i="62"/>
  <c r="A686" i="62"/>
  <c r="A685" i="62"/>
  <c r="A684" i="62"/>
  <c r="A683" i="62"/>
  <c r="A682" i="62"/>
  <c r="A681" i="62"/>
  <c r="A680" i="62"/>
  <c r="A679" i="62"/>
  <c r="A678" i="62"/>
  <c r="A677" i="62"/>
  <c r="A676" i="62"/>
  <c r="A675" i="62"/>
  <c r="A674" i="62"/>
  <c r="A673" i="62"/>
  <c r="A672" i="62"/>
  <c r="A671" i="62"/>
  <c r="A670" i="62"/>
  <c r="A669" i="62"/>
  <c r="A668" i="62"/>
  <c r="A667" i="62"/>
  <c r="A666" i="62"/>
  <c r="A665" i="62"/>
  <c r="A664" i="62"/>
  <c r="A663" i="62"/>
  <c r="A662" i="62"/>
  <c r="A661" i="62"/>
  <c r="A660" i="62"/>
  <c r="A659" i="62"/>
  <c r="A658" i="62"/>
  <c r="A657" i="62"/>
  <c r="A656" i="62"/>
  <c r="A655" i="62"/>
  <c r="A654" i="62"/>
  <c r="A653" i="62"/>
  <c r="A652" i="62"/>
  <c r="A651" i="62"/>
  <c r="A650" i="62"/>
  <c r="A649" i="62"/>
  <c r="A648" i="62"/>
  <c r="A647" i="62"/>
  <c r="A646" i="62"/>
  <c r="A645" i="62"/>
  <c r="A644" i="62"/>
  <c r="A643" i="62"/>
  <c r="A642" i="62"/>
  <c r="A641" i="62"/>
  <c r="A640" i="62"/>
  <c r="A639" i="62"/>
  <c r="A638" i="62"/>
  <c r="A637" i="62"/>
  <c r="A636" i="62"/>
  <c r="A635" i="62"/>
  <c r="A634" i="62"/>
  <c r="A633" i="62"/>
  <c r="A632" i="62"/>
  <c r="A631" i="62"/>
  <c r="A630" i="62"/>
  <c r="A629" i="62"/>
  <c r="A628" i="62"/>
  <c r="A627" i="62"/>
  <c r="A626" i="62"/>
  <c r="A625" i="62"/>
  <c r="A624" i="62"/>
  <c r="A623" i="62"/>
  <c r="A622" i="62"/>
  <c r="A621" i="62"/>
  <c r="A620" i="62"/>
  <c r="A619" i="62"/>
  <c r="A618" i="62"/>
  <c r="A617" i="62"/>
  <c r="A616" i="62"/>
  <c r="A615" i="62"/>
  <c r="A614" i="62"/>
  <c r="A613" i="62"/>
  <c r="A612" i="62"/>
  <c r="A611" i="62"/>
  <c r="A610" i="62"/>
  <c r="A609" i="62"/>
  <c r="A608" i="62"/>
  <c r="A607" i="62"/>
  <c r="A606" i="62"/>
  <c r="A605" i="62"/>
  <c r="A604" i="62"/>
  <c r="A603" i="62"/>
  <c r="A602" i="62"/>
  <c r="A601" i="62"/>
  <c r="A600" i="62"/>
  <c r="A599" i="62"/>
  <c r="A598" i="62"/>
  <c r="A597" i="62"/>
  <c r="A596" i="62"/>
  <c r="A595" i="62"/>
  <c r="A594" i="62"/>
  <c r="A593" i="62"/>
  <c r="A592" i="62"/>
  <c r="A591" i="62"/>
  <c r="A590" i="62"/>
  <c r="A589" i="62"/>
  <c r="A588" i="62"/>
  <c r="A587" i="62"/>
  <c r="A586" i="62"/>
  <c r="A585" i="62"/>
  <c r="A584" i="62"/>
  <c r="A583" i="62"/>
  <c r="A582" i="62"/>
  <c r="A581" i="62"/>
  <c r="A580" i="62"/>
  <c r="A579" i="62"/>
  <c r="A578" i="62"/>
  <c r="A577" i="62"/>
  <c r="A576" i="62"/>
  <c r="A575" i="62"/>
  <c r="A574" i="62"/>
  <c r="A573" i="62"/>
  <c r="A572" i="62"/>
  <c r="A571" i="62"/>
  <c r="A570" i="62"/>
  <c r="A569" i="62"/>
  <c r="A568" i="62"/>
  <c r="A567" i="62"/>
  <c r="A566" i="62"/>
  <c r="A565" i="62"/>
  <c r="A564" i="62"/>
  <c r="A563" i="62"/>
  <c r="A562" i="62"/>
  <c r="A561" i="62"/>
  <c r="A560" i="62"/>
  <c r="A559" i="62"/>
  <c r="A558" i="62"/>
  <c r="A557" i="62"/>
  <c r="A556" i="62"/>
  <c r="A555" i="62"/>
  <c r="A554" i="62"/>
  <c r="A553" i="62"/>
  <c r="A552" i="62"/>
  <c r="A551" i="62"/>
  <c r="A550" i="62"/>
  <c r="A549" i="62"/>
  <c r="A548" i="62"/>
  <c r="A547" i="62"/>
  <c r="A546" i="62"/>
  <c r="A545" i="62"/>
  <c r="A544" i="62"/>
  <c r="A543" i="62"/>
  <c r="A542" i="62"/>
  <c r="A541" i="62"/>
  <c r="A540" i="62"/>
  <c r="A539" i="62"/>
  <c r="A538" i="62"/>
  <c r="A537" i="62"/>
  <c r="A536" i="62"/>
  <c r="A535" i="62"/>
  <c r="A534" i="62"/>
  <c r="A533" i="62"/>
  <c r="A532" i="62"/>
  <c r="A531" i="62"/>
  <c r="A530" i="62"/>
  <c r="A529" i="62"/>
  <c r="A528" i="62"/>
  <c r="A527" i="62"/>
  <c r="A526" i="62"/>
  <c r="A525" i="62"/>
  <c r="A524" i="62"/>
  <c r="A523" i="62"/>
  <c r="A522" i="62"/>
  <c r="A521" i="62"/>
  <c r="A520" i="62"/>
  <c r="A519" i="62"/>
  <c r="A518" i="62"/>
  <c r="A517" i="62"/>
  <c r="A516" i="62"/>
  <c r="A515" i="62"/>
  <c r="A514" i="62"/>
  <c r="A513" i="62"/>
  <c r="A512" i="62"/>
  <c r="A511" i="62"/>
  <c r="A510" i="62"/>
  <c r="A509" i="62"/>
  <c r="A508" i="62"/>
  <c r="A507" i="62"/>
  <c r="A506" i="62"/>
  <c r="A505" i="62"/>
  <c r="A504" i="62"/>
  <c r="A503" i="62"/>
  <c r="A502" i="62"/>
  <c r="A501" i="62"/>
  <c r="A500" i="62"/>
  <c r="A499" i="62"/>
  <c r="A498" i="62"/>
  <c r="A497" i="62"/>
  <c r="A496" i="62"/>
  <c r="A495" i="62"/>
  <c r="A494" i="62"/>
  <c r="A493" i="62"/>
  <c r="A492" i="62"/>
  <c r="A491" i="62"/>
  <c r="A490" i="62"/>
  <c r="A489" i="62"/>
  <c r="A488" i="62"/>
  <c r="A487" i="62"/>
  <c r="A486" i="62"/>
  <c r="A485" i="62"/>
  <c r="A484" i="62"/>
  <c r="A483" i="62"/>
  <c r="A482" i="62"/>
  <c r="A481" i="62"/>
  <c r="A480" i="62"/>
  <c r="A479" i="62"/>
  <c r="A478" i="62"/>
  <c r="A477" i="62"/>
  <c r="A476" i="62"/>
  <c r="A475" i="62"/>
  <c r="A474" i="62"/>
  <c r="A473" i="62"/>
  <c r="A472" i="62"/>
  <c r="A471" i="62"/>
  <c r="A470" i="62"/>
  <c r="A469" i="62"/>
  <c r="A468" i="62"/>
  <c r="A467" i="62"/>
  <c r="A466" i="62"/>
  <c r="A465" i="62"/>
  <c r="A464" i="62"/>
  <c r="A463" i="62"/>
  <c r="A462" i="62"/>
  <c r="A461" i="62"/>
  <c r="A460" i="62"/>
  <c r="A459" i="62"/>
  <c r="A458" i="62"/>
  <c r="A457" i="62"/>
  <c r="A456" i="62"/>
  <c r="A455" i="62"/>
  <c r="A454" i="62"/>
  <c r="A453" i="62"/>
  <c r="A452" i="62"/>
  <c r="A451" i="62"/>
  <c r="A450" i="62"/>
  <c r="A449" i="62"/>
  <c r="A448" i="62"/>
  <c r="A447" i="62"/>
  <c r="A446" i="62"/>
  <c r="A445" i="62"/>
  <c r="A444" i="62"/>
  <c r="A443" i="62"/>
  <c r="A442" i="62"/>
  <c r="A441" i="62"/>
  <c r="A440" i="62"/>
  <c r="A439" i="62"/>
  <c r="A438" i="62"/>
  <c r="A437" i="62"/>
  <c r="A436" i="62"/>
  <c r="A435" i="62"/>
  <c r="A434" i="62"/>
  <c r="A433" i="62"/>
  <c r="A432" i="62"/>
  <c r="A431" i="62"/>
  <c r="A430" i="62"/>
  <c r="A429" i="62"/>
  <c r="A428" i="62"/>
  <c r="A427" i="62"/>
  <c r="A426" i="62"/>
  <c r="A425" i="62"/>
  <c r="A424" i="62"/>
  <c r="A423" i="62"/>
  <c r="A422" i="62"/>
  <c r="A421" i="62"/>
  <c r="A420" i="62"/>
  <c r="A419" i="62"/>
  <c r="A418" i="62"/>
  <c r="A417" i="62"/>
  <c r="A416" i="62"/>
  <c r="A415" i="62"/>
  <c r="A414" i="62"/>
  <c r="A413" i="62"/>
  <c r="A412" i="62"/>
  <c r="A411" i="62"/>
  <c r="A410" i="62"/>
  <c r="A409" i="62"/>
  <c r="A408" i="62"/>
  <c r="A407" i="62"/>
  <c r="A406" i="62"/>
  <c r="A405" i="62"/>
  <c r="A404" i="62"/>
  <c r="A403" i="62"/>
  <c r="A402" i="62"/>
  <c r="A401" i="62"/>
  <c r="A400" i="62"/>
  <c r="A399" i="62"/>
  <c r="A398" i="62"/>
  <c r="A397" i="62"/>
  <c r="A396" i="62"/>
  <c r="A395" i="62"/>
  <c r="A394" i="62"/>
  <c r="A393" i="62"/>
  <c r="A392" i="62"/>
  <c r="A391" i="62"/>
  <c r="A390" i="62"/>
  <c r="A389" i="62"/>
  <c r="A388" i="62"/>
  <c r="A387" i="62"/>
  <c r="A386" i="62"/>
  <c r="A385" i="62"/>
  <c r="A384" i="62"/>
  <c r="A383" i="62"/>
  <c r="A382" i="62"/>
  <c r="A381" i="62"/>
  <c r="A380" i="62"/>
  <c r="A379" i="62"/>
  <c r="A378" i="62"/>
  <c r="A377" i="62"/>
  <c r="A376" i="62"/>
  <c r="A375" i="62"/>
  <c r="A374" i="62"/>
  <c r="A373" i="62"/>
  <c r="A372" i="62"/>
  <c r="A371" i="62"/>
  <c r="A370" i="62"/>
  <c r="A369" i="62"/>
  <c r="A368" i="62"/>
  <c r="A367" i="62"/>
  <c r="A366" i="62"/>
  <c r="A365" i="62"/>
  <c r="A364" i="62"/>
  <c r="A363" i="62"/>
  <c r="A362" i="62"/>
  <c r="A361" i="62"/>
  <c r="A360" i="62"/>
  <c r="A359" i="62"/>
  <c r="A358" i="62"/>
  <c r="A357" i="62"/>
  <c r="A356" i="62"/>
  <c r="A355" i="62"/>
  <c r="A354" i="62"/>
  <c r="A353" i="62"/>
  <c r="A352" i="62"/>
  <c r="A351" i="62"/>
  <c r="A350" i="62"/>
  <c r="A349" i="62"/>
  <c r="A348" i="62"/>
  <c r="A347" i="62"/>
  <c r="A346" i="62"/>
  <c r="A345" i="62"/>
  <c r="A344" i="62"/>
  <c r="A343" i="62"/>
  <c r="A342" i="62"/>
  <c r="A341" i="62"/>
  <c r="A340" i="62"/>
  <c r="A339" i="62"/>
  <c r="A338" i="62"/>
  <c r="A337" i="62"/>
  <c r="A336" i="62"/>
  <c r="A335" i="62"/>
  <c r="A334" i="62"/>
  <c r="A333" i="62"/>
  <c r="A332" i="62"/>
  <c r="A331" i="62"/>
  <c r="A330" i="62"/>
  <c r="A325" i="62"/>
  <c r="A324" i="62"/>
  <c r="A323" i="62"/>
  <c r="A322" i="62"/>
  <c r="A321" i="62"/>
  <c r="A320" i="62"/>
  <c r="A318" i="62"/>
  <c r="A317" i="62"/>
  <c r="A316" i="62"/>
  <c r="A315" i="62"/>
  <c r="A314" i="62"/>
  <c r="A313" i="62"/>
  <c r="A312" i="62"/>
  <c r="A311" i="62"/>
  <c r="A310" i="62"/>
  <c r="A309" i="62"/>
  <c r="A308" i="62"/>
  <c r="A307" i="62"/>
  <c r="A306" i="62"/>
  <c r="A305" i="62"/>
  <c r="A304" i="62"/>
  <c r="A303" i="62"/>
  <c r="A302" i="62"/>
  <c r="A301" i="62"/>
  <c r="A300" i="62"/>
  <c r="A299" i="62"/>
  <c r="A298" i="62"/>
  <c r="A297" i="62"/>
  <c r="A296" i="62"/>
  <c r="A295" i="62"/>
  <c r="A294" i="62"/>
  <c r="A293" i="62"/>
  <c r="A292" i="62"/>
  <c r="A291" i="62"/>
  <c r="A290" i="62"/>
  <c r="A289" i="62"/>
  <c r="A288" i="62"/>
  <c r="A287" i="62"/>
  <c r="A286" i="62"/>
  <c r="A285" i="62"/>
  <c r="A284" i="62"/>
  <c r="A283" i="62"/>
  <c r="A282" i="62"/>
  <c r="A281" i="62"/>
  <c r="A280" i="62"/>
  <c r="A279" i="62"/>
  <c r="A278" i="62"/>
  <c r="A277" i="62"/>
  <c r="A276" i="62"/>
  <c r="A275" i="62"/>
  <c r="A274" i="62"/>
  <c r="A273" i="62"/>
  <c r="A272" i="62"/>
  <c r="A271" i="62"/>
  <c r="A270" i="62"/>
  <c r="A269" i="62"/>
  <c r="A268" i="62"/>
  <c r="A267" i="62"/>
  <c r="A266" i="62"/>
  <c r="A265" i="62"/>
  <c r="A264" i="62"/>
  <c r="A263" i="62"/>
  <c r="A262" i="62"/>
  <c r="A261" i="62"/>
  <c r="A260" i="62"/>
  <c r="A259" i="62"/>
  <c r="A258" i="62"/>
  <c r="A257" i="62"/>
  <c r="A256" i="62"/>
  <c r="A255" i="62"/>
  <c r="A254" i="62"/>
  <c r="A253" i="62"/>
  <c r="A252" i="62"/>
  <c r="A251" i="62"/>
  <c r="A250" i="62"/>
  <c r="A249" i="62"/>
  <c r="A248" i="62"/>
  <c r="A247" i="62"/>
  <c r="A246" i="62"/>
  <c r="A245" i="62"/>
  <c r="A244" i="62"/>
  <c r="A243" i="62"/>
  <c r="A242" i="62"/>
  <c r="A241" i="62"/>
  <c r="A240" i="62"/>
  <c r="A239" i="62"/>
  <c r="A238" i="62"/>
  <c r="A237" i="62"/>
  <c r="A236" i="62"/>
  <c r="A235" i="62"/>
  <c r="A234" i="62"/>
  <c r="A233" i="62"/>
  <c r="A232" i="62"/>
  <c r="A231" i="62"/>
  <c r="A230" i="62"/>
  <c r="A229" i="62"/>
  <c r="A228" i="62"/>
  <c r="A227" i="62"/>
  <c r="A226" i="62"/>
  <c r="A225" i="62"/>
  <c r="A224" i="62"/>
  <c r="A223" i="62"/>
  <c r="A222" i="62"/>
  <c r="A221" i="62"/>
  <c r="A220" i="62"/>
  <c r="A219" i="62"/>
  <c r="A218" i="62"/>
  <c r="A217" i="62"/>
  <c r="A216" i="62"/>
  <c r="A215" i="62"/>
  <c r="A214" i="62"/>
  <c r="A213" i="62"/>
  <c r="A212" i="62"/>
  <c r="A211" i="62"/>
  <c r="A210" i="62"/>
  <c r="A209" i="62"/>
  <c r="A208" i="62"/>
  <c r="A207" i="62"/>
  <c r="A206" i="62"/>
  <c r="A205" i="62"/>
  <c r="A204" i="62"/>
  <c r="A203" i="62"/>
  <c r="A202" i="62"/>
  <c r="A201" i="62"/>
  <c r="A200" i="62"/>
  <c r="A199" i="62"/>
  <c r="A198" i="62"/>
  <c r="A197" i="62"/>
  <c r="A196" i="62"/>
  <c r="A195" i="62"/>
  <c r="A194" i="62"/>
  <c r="A193" i="62"/>
  <c r="A192" i="62"/>
  <c r="A191" i="62"/>
  <c r="A190" i="62"/>
  <c r="A189" i="62"/>
  <c r="A188" i="62"/>
  <c r="A187" i="62"/>
  <c r="A186" i="62"/>
  <c r="A185" i="62"/>
  <c r="A184" i="62"/>
  <c r="A183" i="62"/>
  <c r="A182" i="62"/>
  <c r="A181" i="62"/>
  <c r="A180" i="62"/>
  <c r="A179" i="62"/>
  <c r="A178" i="62"/>
  <c r="A177" i="62"/>
  <c r="A176" i="62"/>
  <c r="A175" i="62"/>
  <c r="A174" i="62"/>
  <c r="A173" i="62"/>
  <c r="A172" i="62"/>
  <c r="A171" i="62"/>
  <c r="A170" i="62"/>
  <c r="A169" i="62"/>
  <c r="A168" i="62"/>
  <c r="A167" i="62"/>
  <c r="A166" i="62"/>
  <c r="A165" i="62"/>
  <c r="A164" i="62"/>
  <c r="A163" i="62"/>
  <c r="A162" i="62"/>
  <c r="A161" i="62"/>
  <c r="A160" i="62"/>
  <c r="A159" i="62"/>
  <c r="A158" i="62"/>
  <c r="A157" i="62"/>
  <c r="A156" i="62"/>
  <c r="A155" i="62"/>
  <c r="A154" i="62"/>
  <c r="A153" i="62"/>
  <c r="A152" i="62"/>
  <c r="A151" i="62"/>
  <c r="A150" i="62"/>
  <c r="A149" i="62"/>
  <c r="A148" i="62"/>
  <c r="A147" i="62"/>
  <c r="A146" i="62"/>
  <c r="A145" i="62"/>
  <c r="A144" i="62"/>
  <c r="A143" i="62"/>
  <c r="A142" i="62"/>
  <c r="A141" i="62"/>
  <c r="A140" i="62"/>
  <c r="A139" i="62"/>
  <c r="A138" i="62"/>
  <c r="A137" i="62"/>
  <c r="A136" i="62"/>
  <c r="A135" i="62"/>
  <c r="A134" i="62"/>
  <c r="A133" i="62"/>
  <c r="A132" i="62"/>
  <c r="A131" i="62"/>
  <c r="A130" i="62"/>
  <c r="A129" i="62"/>
  <c r="A128" i="62"/>
  <c r="A127" i="62"/>
  <c r="A126" i="62"/>
  <c r="A125" i="62"/>
  <c r="A124" i="62"/>
  <c r="A123" i="62"/>
  <c r="A122" i="62"/>
  <c r="A121" i="62"/>
  <c r="A120" i="62"/>
  <c r="A119" i="62"/>
  <c r="A118" i="62"/>
  <c r="A117" i="62"/>
  <c r="A116" i="62"/>
  <c r="A115" i="62"/>
  <c r="A114" i="62"/>
  <c r="A113" i="62"/>
  <c r="A112" i="62"/>
  <c r="A111" i="62"/>
  <c r="A110" i="62"/>
  <c r="A109" i="62"/>
  <c r="A108" i="62"/>
  <c r="A107" i="62"/>
  <c r="A106" i="62"/>
  <c r="A105" i="62"/>
  <c r="A104" i="62"/>
  <c r="A103" i="62"/>
  <c r="A102" i="62"/>
  <c r="A101" i="62"/>
  <c r="A100" i="62"/>
  <c r="A99" i="62"/>
  <c r="A98" i="62"/>
  <c r="A97" i="62"/>
  <c r="A96" i="62"/>
  <c r="A95" i="62"/>
  <c r="A94" i="62"/>
  <c r="A93" i="62"/>
  <c r="A92" i="62"/>
  <c r="A91" i="62"/>
  <c r="A90" i="62"/>
  <c r="A89" i="62"/>
  <c r="A88" i="62"/>
  <c r="A87" i="62"/>
  <c r="A86" i="62"/>
  <c r="A85" i="62"/>
  <c r="A84" i="62"/>
  <c r="A83" i="62"/>
  <c r="A82" i="62"/>
  <c r="A81" i="62"/>
  <c r="A80" i="62"/>
  <c r="A79" i="62"/>
  <c r="A78" i="62"/>
  <c r="A77" i="62"/>
  <c r="A76" i="62"/>
  <c r="A75" i="62"/>
  <c r="A74" i="62"/>
  <c r="A73" i="62"/>
  <c r="A72" i="62"/>
  <c r="A71" i="62"/>
  <c r="A70" i="62"/>
  <c r="A69" i="62"/>
  <c r="A68" i="62"/>
  <c r="A67" i="62"/>
  <c r="A66" i="62"/>
  <c r="A65" i="62"/>
  <c r="A64" i="62"/>
  <c r="A63" i="62"/>
  <c r="A62" i="62"/>
  <c r="A61" i="62"/>
  <c r="A60" i="62"/>
  <c r="A59" i="62"/>
  <c r="A58" i="62"/>
  <c r="A57" i="62"/>
  <c r="A56" i="62"/>
  <c r="A55" i="62"/>
  <c r="A54" i="62"/>
  <c r="A53" i="62"/>
  <c r="A52" i="62"/>
  <c r="A51" i="62"/>
  <c r="A50" i="62"/>
  <c r="A49" i="62"/>
  <c r="A48" i="62"/>
  <c r="A47" i="62"/>
  <c r="A46" i="62"/>
  <c r="A45" i="62"/>
  <c r="A44" i="62"/>
  <c r="A43" i="62"/>
  <c r="A42" i="62"/>
  <c r="A41" i="62"/>
  <c r="A40" i="62"/>
  <c r="A39" i="62"/>
  <c r="A38" i="62"/>
  <c r="A37" i="62"/>
  <c r="A36" i="62"/>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L6" i="52" l="1"/>
  <c r="I6" i="52" l="1"/>
  <c r="E6" i="52"/>
  <c r="V57" i="52"/>
  <c r="B6" i="52"/>
  <c r="Y48" i="52" l="1"/>
  <c r="Z34" i="52"/>
  <c r="V34" i="52"/>
  <c r="Q34" i="52"/>
  <c r="L34" i="52"/>
  <c r="H34" i="52"/>
  <c r="C34" i="52"/>
  <c r="E37" i="52"/>
  <c r="B13" i="52"/>
  <c r="P6" i="52"/>
  <c r="E11" i="52" s="1"/>
  <c r="E4" i="52" l="1"/>
  <c r="AS22" i="67" l="1"/>
  <c r="AS23" i="67"/>
  <c r="AS24" i="67"/>
  <c r="AS25" i="67"/>
  <c r="AS26" i="67"/>
  <c r="AS27" i="67"/>
  <c r="AS28" i="67"/>
  <c r="AS29" i="67"/>
  <c r="AS30" i="67"/>
  <c r="AS31" i="67"/>
  <c r="AS32" i="67"/>
  <c r="AS33" i="67"/>
  <c r="AS34" i="67"/>
  <c r="AS35" i="67"/>
  <c r="AS36" i="67"/>
  <c r="AS37" i="67"/>
  <c r="AS38" i="67"/>
  <c r="AS39" i="67"/>
  <c r="AS40" i="67"/>
  <c r="AS41" i="67"/>
  <c r="AQ22" i="67"/>
  <c r="AQ23" i="67"/>
  <c r="AQ24" i="67"/>
  <c r="AQ25" i="67"/>
  <c r="AQ26" i="67"/>
  <c r="AQ27" i="67"/>
  <c r="AQ28" i="67"/>
  <c r="AQ29" i="67"/>
  <c r="AQ30" i="67"/>
  <c r="AQ31" i="67"/>
  <c r="AQ32" i="67"/>
  <c r="AQ33" i="67"/>
  <c r="AQ34" i="67"/>
  <c r="AQ35" i="67"/>
  <c r="AQ36" i="67"/>
  <c r="AQ37" i="67"/>
  <c r="AQ38" i="67"/>
  <c r="AQ39" i="67"/>
  <c r="AQ40" i="67"/>
  <c r="AQ41" i="67"/>
  <c r="A4" i="62" l="1"/>
  <c r="A3" i="62"/>
  <c r="AA47" i="70" l="1"/>
  <c r="R47" i="70"/>
  <c r="Q47" i="70"/>
  <c r="AA46" i="70"/>
  <c r="R46" i="70"/>
  <c r="Q46" i="70"/>
  <c r="AA45" i="70"/>
  <c r="R45" i="70"/>
  <c r="Q45" i="70"/>
  <c r="AA44" i="70"/>
  <c r="R44" i="70"/>
  <c r="Q44" i="70"/>
  <c r="AA43" i="70"/>
  <c r="R43" i="70"/>
  <c r="Q43" i="70"/>
  <c r="AA42" i="70"/>
  <c r="R42" i="70"/>
  <c r="Q42" i="70"/>
  <c r="AA41" i="70"/>
  <c r="R41" i="70"/>
  <c r="Q41" i="70"/>
  <c r="AA40" i="70"/>
  <c r="R40" i="70"/>
  <c r="Q40" i="70"/>
  <c r="AA39" i="70"/>
  <c r="R39" i="70"/>
  <c r="Q39" i="70"/>
  <c r="AA38" i="70"/>
  <c r="R38" i="70"/>
  <c r="Q38" i="70"/>
  <c r="AA37" i="70"/>
  <c r="R37" i="70"/>
  <c r="Q37" i="70"/>
  <c r="AA36" i="70"/>
  <c r="R36" i="70"/>
  <c r="Q36" i="70"/>
  <c r="AA35" i="70"/>
  <c r="R35" i="70"/>
  <c r="Q35" i="70"/>
  <c r="AA31" i="70"/>
  <c r="R31" i="70"/>
  <c r="Q31" i="70"/>
  <c r="AA30" i="70"/>
  <c r="R30" i="70"/>
  <c r="Q30" i="70"/>
  <c r="AA29" i="70"/>
  <c r="R29" i="70"/>
  <c r="Q29" i="70"/>
  <c r="AA26" i="70"/>
  <c r="R26" i="70"/>
  <c r="Q26" i="70"/>
  <c r="AA25" i="70"/>
  <c r="R25" i="70"/>
  <c r="Q25" i="70"/>
  <c r="AA10" i="70"/>
  <c r="AA9" i="70"/>
  <c r="AA8" i="70"/>
  <c r="Y48" i="70" l="1"/>
  <c r="N15" i="62"/>
  <c r="N13" i="62"/>
  <c r="N828" i="67" l="1"/>
  <c r="N827" i="67"/>
  <c r="N826" i="67"/>
  <c r="N825" i="67"/>
  <c r="N824" i="67"/>
  <c r="AA829" i="67" l="1"/>
  <c r="AC828" i="67"/>
  <c r="AA828" i="67"/>
  <c r="W828" i="67"/>
  <c r="S828" i="67"/>
  <c r="R828" i="67"/>
  <c r="Q828" i="67"/>
  <c r="P828" i="67"/>
  <c r="X828" i="67" s="1"/>
  <c r="O828" i="67"/>
  <c r="M828" i="67"/>
  <c r="L828" i="67"/>
  <c r="AC827" i="67"/>
  <c r="AA827" i="67"/>
  <c r="W827" i="67"/>
  <c r="S827" i="67"/>
  <c r="R827" i="67"/>
  <c r="Q827" i="67"/>
  <c r="P827" i="67"/>
  <c r="X827" i="67" s="1"/>
  <c r="O827" i="67"/>
  <c r="M827" i="67"/>
  <c r="L827" i="67"/>
  <c r="AC826" i="67"/>
  <c r="AA826" i="67"/>
  <c r="W826" i="67"/>
  <c r="S826" i="67"/>
  <c r="R826" i="67"/>
  <c r="Q826" i="67"/>
  <c r="P826" i="67"/>
  <c r="X826" i="67" s="1"/>
  <c r="O826" i="67"/>
  <c r="M826" i="67"/>
  <c r="L826" i="67"/>
  <c r="AC825" i="67"/>
  <c r="AA825" i="67"/>
  <c r="W825" i="67"/>
  <c r="S825" i="67"/>
  <c r="R825" i="67"/>
  <c r="Q825" i="67"/>
  <c r="P825" i="67"/>
  <c r="X825" i="67" s="1"/>
  <c r="O825" i="67"/>
  <c r="M825" i="67"/>
  <c r="L825" i="67"/>
  <c r="AC824" i="67"/>
  <c r="AA824" i="67"/>
  <c r="W824" i="67"/>
  <c r="S824" i="67"/>
  <c r="R824" i="67"/>
  <c r="Q824" i="67"/>
  <c r="P824" i="67"/>
  <c r="X824" i="67" s="1"/>
  <c r="O824" i="67"/>
  <c r="M824" i="67"/>
  <c r="L824" i="67"/>
  <c r="AC823" i="67"/>
  <c r="AA823" i="67"/>
  <c r="X823" i="67"/>
  <c r="S823" i="67"/>
  <c r="R823" i="67"/>
  <c r="Q823" i="67"/>
  <c r="P823" i="67"/>
  <c r="O823" i="67"/>
  <c r="N823" i="67"/>
  <c r="M823" i="67"/>
  <c r="L823" i="67"/>
  <c r="AC822" i="67"/>
  <c r="AA822" i="67"/>
  <c r="W822" i="67"/>
  <c r="U822" i="67"/>
  <c r="S822" i="67"/>
  <c r="R822" i="67"/>
  <c r="Q822" i="67"/>
  <c r="P822" i="67"/>
  <c r="X822" i="67" s="1"/>
  <c r="O822" i="67"/>
  <c r="N822" i="67"/>
  <c r="M822" i="67"/>
  <c r="L822" i="67"/>
  <c r="AC821" i="67"/>
  <c r="AA821" i="67"/>
  <c r="W821" i="67"/>
  <c r="U821" i="67"/>
  <c r="S821" i="67"/>
  <c r="R821" i="67"/>
  <c r="Q821" i="67"/>
  <c r="P821" i="67"/>
  <c r="X821" i="67" s="1"/>
  <c r="O821" i="67"/>
  <c r="N821" i="67"/>
  <c r="M821" i="67"/>
  <c r="L821" i="67"/>
  <c r="AC820" i="67"/>
  <c r="AA820" i="67"/>
  <c r="W820" i="67"/>
  <c r="U820" i="67"/>
  <c r="S820" i="67"/>
  <c r="R820" i="67"/>
  <c r="Q820" i="67"/>
  <c r="P820" i="67"/>
  <c r="X820" i="67" s="1"/>
  <c r="O820" i="67"/>
  <c r="N820" i="67"/>
  <c r="M820" i="67"/>
  <c r="L820" i="67"/>
  <c r="AC819" i="67"/>
  <c r="AA819" i="67"/>
  <c r="W819" i="67"/>
  <c r="U819" i="67"/>
  <c r="S819" i="67"/>
  <c r="R819" i="67"/>
  <c r="Q819" i="67"/>
  <c r="P819" i="67"/>
  <c r="X819" i="67" s="1"/>
  <c r="O819" i="67"/>
  <c r="N819" i="67"/>
  <c r="M819" i="67"/>
  <c r="L819" i="67"/>
  <c r="AC818" i="67"/>
  <c r="AA818" i="67"/>
  <c r="W818" i="67"/>
  <c r="U818" i="67"/>
  <c r="S818" i="67"/>
  <c r="R818" i="67"/>
  <c r="Q818" i="67"/>
  <c r="P818" i="67"/>
  <c r="X818" i="67" s="1"/>
  <c r="O818" i="67"/>
  <c r="N818" i="67"/>
  <c r="M818" i="67"/>
  <c r="L818" i="67"/>
  <c r="AC817" i="67"/>
  <c r="AA817" i="67"/>
  <c r="W817" i="67"/>
  <c r="U817" i="67"/>
  <c r="S817" i="67"/>
  <c r="R817" i="67"/>
  <c r="Q817" i="67"/>
  <c r="P817" i="67"/>
  <c r="X817" i="67" s="1"/>
  <c r="O817" i="67"/>
  <c r="N817" i="67"/>
  <c r="M817" i="67"/>
  <c r="L817" i="67"/>
  <c r="AC816" i="67"/>
  <c r="AA816" i="67"/>
  <c r="X816" i="67"/>
  <c r="U816" i="67"/>
  <c r="S816" i="67"/>
  <c r="R816" i="67"/>
  <c r="Q816" i="67"/>
  <c r="P816" i="67"/>
  <c r="O816" i="67"/>
  <c r="N816" i="67"/>
  <c r="M816" i="67"/>
  <c r="L816" i="67"/>
  <c r="AC815" i="67"/>
  <c r="AA815" i="67"/>
  <c r="W815" i="67"/>
  <c r="U815" i="67"/>
  <c r="S815" i="67"/>
  <c r="R815" i="67"/>
  <c r="Q815" i="67"/>
  <c r="P815" i="67"/>
  <c r="X815" i="67" s="1"/>
  <c r="O815" i="67"/>
  <c r="N815" i="67"/>
  <c r="M815" i="67"/>
  <c r="L815" i="67"/>
  <c r="AC814" i="67"/>
  <c r="AA814" i="67"/>
  <c r="W814" i="67"/>
  <c r="U814" i="67"/>
  <c r="S814" i="67"/>
  <c r="R814" i="67"/>
  <c r="Q814" i="67"/>
  <c r="P814" i="67"/>
  <c r="X814" i="67" s="1"/>
  <c r="O814" i="67"/>
  <c r="N814" i="67"/>
  <c r="M814" i="67"/>
  <c r="L814" i="67"/>
  <c r="AC813" i="67"/>
  <c r="AA813" i="67"/>
  <c r="W813" i="67"/>
  <c r="U813" i="67"/>
  <c r="S813" i="67"/>
  <c r="R813" i="67"/>
  <c r="Q813" i="67"/>
  <c r="P813" i="67"/>
  <c r="X813" i="67" s="1"/>
  <c r="O813" i="67"/>
  <c r="N813" i="67"/>
  <c r="M813" i="67"/>
  <c r="L813" i="67"/>
  <c r="AC812" i="67"/>
  <c r="AA812" i="67"/>
  <c r="X812" i="67"/>
  <c r="U812" i="67"/>
  <c r="S812" i="67"/>
  <c r="R812" i="67"/>
  <c r="Q812" i="67"/>
  <c r="O812" i="67"/>
  <c r="N812" i="67"/>
  <c r="M812" i="67"/>
  <c r="AC811" i="67"/>
  <c r="AA811" i="67"/>
  <c r="W811" i="67"/>
  <c r="U811" i="67"/>
  <c r="S811" i="67"/>
  <c r="R811" i="67"/>
  <c r="Q811" i="67"/>
  <c r="P811" i="67"/>
  <c r="X811" i="67" s="1"/>
  <c r="O811" i="67"/>
  <c r="N811" i="67"/>
  <c r="M811" i="67"/>
  <c r="L811" i="67"/>
  <c r="AC810" i="67"/>
  <c r="AA810" i="67"/>
  <c r="W810" i="67"/>
  <c r="U810" i="67"/>
  <c r="S810" i="67"/>
  <c r="R810" i="67"/>
  <c r="Q810" i="67"/>
  <c r="P810" i="67"/>
  <c r="X810" i="67" s="1"/>
  <c r="O810" i="67"/>
  <c r="N810" i="67"/>
  <c r="M810" i="67"/>
  <c r="L810" i="67"/>
  <c r="AC809" i="67"/>
  <c r="AA809" i="67"/>
  <c r="W809" i="67"/>
  <c r="U809" i="67"/>
  <c r="S809" i="67"/>
  <c r="R809" i="67"/>
  <c r="Q809" i="67"/>
  <c r="P809" i="67"/>
  <c r="X809" i="67" s="1"/>
  <c r="O809" i="67"/>
  <c r="N809" i="67"/>
  <c r="M809" i="67"/>
  <c r="L809" i="67"/>
  <c r="AC808" i="67"/>
  <c r="AA808" i="67"/>
  <c r="X808" i="67"/>
  <c r="U808" i="67"/>
  <c r="S808" i="67"/>
  <c r="R808" i="67"/>
  <c r="Q808" i="67"/>
  <c r="O808" i="67"/>
  <c r="N808" i="67"/>
  <c r="M808" i="67"/>
  <c r="AC807" i="67"/>
  <c r="AA807" i="67"/>
  <c r="W807" i="67"/>
  <c r="U807" i="67"/>
  <c r="S807" i="67"/>
  <c r="R807" i="67"/>
  <c r="Q807" i="67"/>
  <c r="P807" i="67"/>
  <c r="X807" i="67" s="1"/>
  <c r="O807" i="67"/>
  <c r="N807" i="67"/>
  <c r="M807" i="67"/>
  <c r="L807" i="67"/>
  <c r="AC806" i="67"/>
  <c r="AA806" i="67"/>
  <c r="W806" i="67"/>
  <c r="U806" i="67"/>
  <c r="S806" i="67"/>
  <c r="R806" i="67"/>
  <c r="Q806" i="67"/>
  <c r="P806" i="67"/>
  <c r="X806" i="67" s="1"/>
  <c r="O806" i="67"/>
  <c r="N806" i="67"/>
  <c r="M806" i="67"/>
  <c r="L806" i="67"/>
  <c r="AC805" i="67"/>
  <c r="AA805" i="67"/>
  <c r="W805" i="67"/>
  <c r="U805" i="67"/>
  <c r="S805" i="67"/>
  <c r="R805" i="67"/>
  <c r="Q805" i="67"/>
  <c r="P805" i="67"/>
  <c r="X805" i="67" s="1"/>
  <c r="O805" i="67"/>
  <c r="N805" i="67"/>
  <c r="M805" i="67"/>
  <c r="L805" i="67"/>
  <c r="AC804" i="67"/>
  <c r="AA804" i="67"/>
  <c r="W804" i="67"/>
  <c r="U804" i="67"/>
  <c r="S804" i="67"/>
  <c r="R804" i="67"/>
  <c r="Q804" i="67"/>
  <c r="P804" i="67"/>
  <c r="X804" i="67" s="1"/>
  <c r="O804" i="67"/>
  <c r="N804" i="67"/>
  <c r="M804" i="67"/>
  <c r="L804" i="67"/>
  <c r="AC803" i="67"/>
  <c r="AA803" i="67"/>
  <c r="W803" i="67"/>
  <c r="U803" i="67"/>
  <c r="S803" i="67"/>
  <c r="R803" i="67"/>
  <c r="Q803" i="67"/>
  <c r="P803" i="67"/>
  <c r="X803" i="67" s="1"/>
  <c r="O803" i="67"/>
  <c r="N803" i="67"/>
  <c r="M803" i="67"/>
  <c r="L803" i="67"/>
  <c r="AC802" i="67"/>
  <c r="AA802" i="67"/>
  <c r="W802" i="67"/>
  <c r="U802" i="67"/>
  <c r="S802" i="67"/>
  <c r="R802" i="67"/>
  <c r="Q802" i="67"/>
  <c r="P802" i="67"/>
  <c r="X802" i="67" s="1"/>
  <c r="O802" i="67"/>
  <c r="N802" i="67"/>
  <c r="M802" i="67"/>
  <c r="L802" i="67"/>
  <c r="AC801" i="67"/>
  <c r="AA801" i="67"/>
  <c r="X801" i="67"/>
  <c r="W801" i="67"/>
  <c r="U801" i="67"/>
  <c r="S801" i="67"/>
  <c r="R801" i="67"/>
  <c r="Q801" i="67"/>
  <c r="P801" i="67"/>
  <c r="O801" i="67"/>
  <c r="N801" i="67"/>
  <c r="M801" i="67"/>
  <c r="L801" i="67"/>
  <c r="AC800" i="67"/>
  <c r="AA800" i="67"/>
  <c r="W800" i="67"/>
  <c r="U800" i="67"/>
  <c r="S800" i="67"/>
  <c r="R800" i="67"/>
  <c r="Q800" i="67"/>
  <c r="P800" i="67"/>
  <c r="X800" i="67" s="1"/>
  <c r="O800" i="67"/>
  <c r="N800" i="67"/>
  <c r="M800" i="67"/>
  <c r="L800" i="67"/>
  <c r="AC799" i="67"/>
  <c r="AA799" i="67"/>
  <c r="W799" i="67"/>
  <c r="U799" i="67"/>
  <c r="S799" i="67"/>
  <c r="R799" i="67"/>
  <c r="Q799" i="67"/>
  <c r="P799" i="67"/>
  <c r="X799" i="67" s="1"/>
  <c r="O799" i="67"/>
  <c r="N799" i="67"/>
  <c r="M799" i="67"/>
  <c r="L799" i="67"/>
  <c r="AC798" i="67"/>
  <c r="AA798" i="67"/>
  <c r="W798" i="67"/>
  <c r="U798" i="67"/>
  <c r="S798" i="67"/>
  <c r="R798" i="67"/>
  <c r="Q798" i="67"/>
  <c r="P798" i="67"/>
  <c r="X798" i="67" s="1"/>
  <c r="O798" i="67"/>
  <c r="N798" i="67"/>
  <c r="M798" i="67"/>
  <c r="L798" i="67"/>
  <c r="AC797" i="67"/>
  <c r="AA797" i="67"/>
  <c r="W797" i="67"/>
  <c r="U797" i="67"/>
  <c r="S797" i="67"/>
  <c r="R797" i="67"/>
  <c r="Q797" i="67"/>
  <c r="P797" i="67"/>
  <c r="X797" i="67" s="1"/>
  <c r="O797" i="67"/>
  <c r="N797" i="67"/>
  <c r="M797" i="67"/>
  <c r="L797" i="67"/>
  <c r="AC796" i="67"/>
  <c r="AA796" i="67"/>
  <c r="W796" i="67"/>
  <c r="U796" i="67"/>
  <c r="S796" i="67"/>
  <c r="R796" i="67"/>
  <c r="Q796" i="67"/>
  <c r="P796" i="67"/>
  <c r="X796" i="67" s="1"/>
  <c r="O796" i="67"/>
  <c r="N796" i="67"/>
  <c r="M796" i="67"/>
  <c r="L796" i="67"/>
  <c r="AC795" i="67"/>
  <c r="AA795" i="67"/>
  <c r="X795" i="67"/>
  <c r="W795" i="67"/>
  <c r="U795" i="67"/>
  <c r="S795" i="67"/>
  <c r="R795" i="67"/>
  <c r="Q795" i="67"/>
  <c r="P795" i="67"/>
  <c r="O795" i="67"/>
  <c r="N795" i="67"/>
  <c r="M795" i="67"/>
  <c r="L795" i="67"/>
  <c r="AC794" i="67"/>
  <c r="AA794" i="67"/>
  <c r="W794" i="67"/>
  <c r="U794" i="67"/>
  <c r="S794" i="67"/>
  <c r="R794" i="67"/>
  <c r="Q794" i="67"/>
  <c r="P794" i="67"/>
  <c r="X794" i="67" s="1"/>
  <c r="O794" i="67"/>
  <c r="N794" i="67"/>
  <c r="M794" i="67"/>
  <c r="L794" i="67"/>
  <c r="AC793" i="67"/>
  <c r="AA793" i="67"/>
  <c r="W793" i="67"/>
  <c r="U793" i="67"/>
  <c r="S793" i="67"/>
  <c r="R793" i="67"/>
  <c r="Q793" i="67"/>
  <c r="P793" i="67"/>
  <c r="X793" i="67" s="1"/>
  <c r="O793" i="67"/>
  <c r="N793" i="67"/>
  <c r="M793" i="67"/>
  <c r="L793" i="67"/>
  <c r="AC792" i="67"/>
  <c r="AA792" i="67"/>
  <c r="W792" i="67"/>
  <c r="U792" i="67"/>
  <c r="S792" i="67"/>
  <c r="R792" i="67"/>
  <c r="Q792" i="67"/>
  <c r="P792" i="67"/>
  <c r="X792" i="67" s="1"/>
  <c r="O792" i="67"/>
  <c r="N792" i="67"/>
  <c r="M792" i="67"/>
  <c r="L792" i="67"/>
  <c r="AC791" i="67"/>
  <c r="AA791" i="67"/>
  <c r="W791" i="67"/>
  <c r="U791" i="67"/>
  <c r="S791" i="67"/>
  <c r="R791" i="67"/>
  <c r="Q791" i="67"/>
  <c r="P791" i="67"/>
  <c r="X791" i="67" s="1"/>
  <c r="O791" i="67"/>
  <c r="N791" i="67"/>
  <c r="M791" i="67"/>
  <c r="L791" i="67"/>
  <c r="AC790" i="67"/>
  <c r="AA790" i="67"/>
  <c r="W790" i="67"/>
  <c r="U790" i="67"/>
  <c r="S790" i="67"/>
  <c r="R790" i="67"/>
  <c r="Q790" i="67"/>
  <c r="P790" i="67"/>
  <c r="X790" i="67" s="1"/>
  <c r="O790" i="67"/>
  <c r="N790" i="67"/>
  <c r="M790" i="67"/>
  <c r="L790" i="67"/>
  <c r="AC789" i="67"/>
  <c r="AA789" i="67"/>
  <c r="X789" i="67"/>
  <c r="W789" i="67"/>
  <c r="U789" i="67"/>
  <c r="S789" i="67"/>
  <c r="R789" i="67"/>
  <c r="Q789" i="67"/>
  <c r="P789" i="67"/>
  <c r="O789" i="67"/>
  <c r="N789" i="67"/>
  <c r="M789" i="67"/>
  <c r="L789" i="67"/>
  <c r="AC788" i="67"/>
  <c r="AA788" i="67"/>
  <c r="W788" i="67"/>
  <c r="U788" i="67"/>
  <c r="S788" i="67"/>
  <c r="R788" i="67"/>
  <c r="Q788" i="67"/>
  <c r="P788" i="67"/>
  <c r="X788" i="67" s="1"/>
  <c r="O788" i="67"/>
  <c r="N788" i="67"/>
  <c r="M788" i="67"/>
  <c r="L788" i="67"/>
  <c r="AC787" i="67"/>
  <c r="AA787" i="67"/>
  <c r="W787" i="67"/>
  <c r="U787" i="67"/>
  <c r="S787" i="67"/>
  <c r="R787" i="67"/>
  <c r="Q787" i="67"/>
  <c r="P787" i="67"/>
  <c r="X787" i="67" s="1"/>
  <c r="O787" i="67"/>
  <c r="N787" i="67"/>
  <c r="M787" i="67"/>
  <c r="L787" i="67"/>
  <c r="AC786" i="67"/>
  <c r="AA786" i="67"/>
  <c r="W786" i="67"/>
  <c r="U786" i="67"/>
  <c r="S786" i="67"/>
  <c r="R786" i="67"/>
  <c r="Q786" i="67"/>
  <c r="P786" i="67"/>
  <c r="X786" i="67" s="1"/>
  <c r="O786" i="67"/>
  <c r="N786" i="67"/>
  <c r="M786" i="67"/>
  <c r="L786" i="67"/>
  <c r="AC785" i="67"/>
  <c r="AA785" i="67"/>
  <c r="W785" i="67"/>
  <c r="U785" i="67"/>
  <c r="S785" i="67"/>
  <c r="R785" i="67"/>
  <c r="Q785" i="67"/>
  <c r="P785" i="67"/>
  <c r="X785" i="67" s="1"/>
  <c r="O785" i="67"/>
  <c r="N785" i="67"/>
  <c r="M785" i="67"/>
  <c r="L785" i="67"/>
  <c r="AC784" i="67"/>
  <c r="AA784" i="67"/>
  <c r="W784" i="67"/>
  <c r="U784" i="67"/>
  <c r="S784" i="67"/>
  <c r="R784" i="67"/>
  <c r="Q784" i="67"/>
  <c r="P784" i="67"/>
  <c r="X784" i="67" s="1"/>
  <c r="O784" i="67"/>
  <c r="N784" i="67"/>
  <c r="M784" i="67"/>
  <c r="L784" i="67"/>
  <c r="AC783" i="67"/>
  <c r="AA783" i="67"/>
  <c r="X783" i="67"/>
  <c r="W783" i="67"/>
  <c r="U783" i="67"/>
  <c r="S783" i="67"/>
  <c r="R783" i="67"/>
  <c r="Q783" i="67"/>
  <c r="P783" i="67"/>
  <c r="O783" i="67"/>
  <c r="N783" i="67"/>
  <c r="M783" i="67"/>
  <c r="L783" i="67"/>
  <c r="AC782" i="67"/>
  <c r="AA782" i="67"/>
  <c r="W782" i="67"/>
  <c r="U782" i="67"/>
  <c r="S782" i="67"/>
  <c r="R782" i="67"/>
  <c r="Q782" i="67"/>
  <c r="P782" i="67"/>
  <c r="X782" i="67" s="1"/>
  <c r="O782" i="67"/>
  <c r="N782" i="67"/>
  <c r="M782" i="67"/>
  <c r="L782" i="67"/>
  <c r="AC781" i="67"/>
  <c r="AA781" i="67"/>
  <c r="W781" i="67"/>
  <c r="U781" i="67"/>
  <c r="S781" i="67"/>
  <c r="R781" i="67"/>
  <c r="Q781" i="67"/>
  <c r="P781" i="67"/>
  <c r="X781" i="67" s="1"/>
  <c r="O781" i="67"/>
  <c r="N781" i="67"/>
  <c r="M781" i="67"/>
  <c r="L781" i="67"/>
  <c r="AC780" i="67"/>
  <c r="AA780" i="67"/>
  <c r="W780" i="67"/>
  <c r="U780" i="67"/>
  <c r="S780" i="67"/>
  <c r="R780" i="67"/>
  <c r="Q780" i="67"/>
  <c r="P780" i="67"/>
  <c r="X780" i="67" s="1"/>
  <c r="O780" i="67"/>
  <c r="N780" i="67"/>
  <c r="M780" i="67"/>
  <c r="L780" i="67"/>
  <c r="AC779" i="67"/>
  <c r="AA779" i="67"/>
  <c r="W779" i="67"/>
  <c r="U779" i="67"/>
  <c r="S779" i="67"/>
  <c r="R779" i="67"/>
  <c r="Q779" i="67"/>
  <c r="P779" i="67"/>
  <c r="X779" i="67" s="1"/>
  <c r="O779" i="67"/>
  <c r="N779" i="67"/>
  <c r="M779" i="67"/>
  <c r="L779" i="67"/>
  <c r="AC778" i="67"/>
  <c r="AA778" i="67"/>
  <c r="W778" i="67"/>
  <c r="U778" i="67"/>
  <c r="S778" i="67"/>
  <c r="R778" i="67"/>
  <c r="Q778" i="67"/>
  <c r="P778" i="67"/>
  <c r="X778" i="67" s="1"/>
  <c r="O778" i="67"/>
  <c r="N778" i="67"/>
  <c r="M778" i="67"/>
  <c r="L778" i="67"/>
  <c r="AC777" i="67"/>
  <c r="AA777" i="67"/>
  <c r="X777" i="67"/>
  <c r="W777" i="67"/>
  <c r="U777" i="67"/>
  <c r="S777" i="67"/>
  <c r="R777" i="67"/>
  <c r="Q777" i="67"/>
  <c r="P777" i="67"/>
  <c r="O777" i="67"/>
  <c r="N777" i="67"/>
  <c r="M777" i="67"/>
  <c r="L777" i="67"/>
  <c r="AC776" i="67"/>
  <c r="AA776" i="67"/>
  <c r="W776" i="67"/>
  <c r="U776" i="67"/>
  <c r="S776" i="67"/>
  <c r="R776" i="67"/>
  <c r="Q776" i="67"/>
  <c r="P776" i="67"/>
  <c r="X776" i="67" s="1"/>
  <c r="O776" i="67"/>
  <c r="N776" i="67"/>
  <c r="M776" i="67"/>
  <c r="L776" i="67"/>
  <c r="AC775" i="67"/>
  <c r="AA775" i="67"/>
  <c r="W775" i="67"/>
  <c r="U775" i="67"/>
  <c r="S775" i="67"/>
  <c r="R775" i="67"/>
  <c r="Q775" i="67"/>
  <c r="P775" i="67"/>
  <c r="X775" i="67" s="1"/>
  <c r="O775" i="67"/>
  <c r="N775" i="67"/>
  <c r="M775" i="67"/>
  <c r="L775" i="67"/>
  <c r="AC774" i="67"/>
  <c r="AA774" i="67"/>
  <c r="W774" i="67"/>
  <c r="U774" i="67"/>
  <c r="S774" i="67"/>
  <c r="R774" i="67"/>
  <c r="Q774" i="67"/>
  <c r="P774" i="67"/>
  <c r="X774" i="67" s="1"/>
  <c r="O774" i="67"/>
  <c r="N774" i="67"/>
  <c r="M774" i="67"/>
  <c r="L774" i="67"/>
  <c r="AC773" i="67"/>
  <c r="AA773" i="67"/>
  <c r="W773" i="67"/>
  <c r="U773" i="67"/>
  <c r="S773" i="67"/>
  <c r="R773" i="67"/>
  <c r="Q773" i="67"/>
  <c r="P773" i="67"/>
  <c r="X773" i="67" s="1"/>
  <c r="O773" i="67"/>
  <c r="N773" i="67"/>
  <c r="M773" i="67"/>
  <c r="L773" i="67"/>
  <c r="AC772" i="67"/>
  <c r="AA772" i="67"/>
  <c r="W772" i="67"/>
  <c r="U772" i="67"/>
  <c r="S772" i="67"/>
  <c r="R772" i="67"/>
  <c r="Q772" i="67"/>
  <c r="P772" i="67"/>
  <c r="X772" i="67" s="1"/>
  <c r="O772" i="67"/>
  <c r="N772" i="67"/>
  <c r="M772" i="67"/>
  <c r="L772" i="67"/>
  <c r="AC771" i="67"/>
  <c r="AA771" i="67"/>
  <c r="X771" i="67"/>
  <c r="W771" i="67"/>
  <c r="U771" i="67"/>
  <c r="S771" i="67"/>
  <c r="R771" i="67"/>
  <c r="Q771" i="67"/>
  <c r="P771" i="67"/>
  <c r="O771" i="67"/>
  <c r="N771" i="67"/>
  <c r="M771" i="67"/>
  <c r="L771" i="67"/>
  <c r="AC770" i="67"/>
  <c r="AA770" i="67"/>
  <c r="W770" i="67"/>
  <c r="U770" i="67"/>
  <c r="S770" i="67"/>
  <c r="R770" i="67"/>
  <c r="Q770" i="67"/>
  <c r="P770" i="67"/>
  <c r="X770" i="67" s="1"/>
  <c r="O770" i="67"/>
  <c r="N770" i="67"/>
  <c r="M770" i="67"/>
  <c r="L770" i="67"/>
  <c r="AC769" i="67"/>
  <c r="AA769" i="67"/>
  <c r="W769" i="67"/>
  <c r="U769" i="67"/>
  <c r="S769" i="67"/>
  <c r="R769" i="67"/>
  <c r="Q769" i="67"/>
  <c r="P769" i="67"/>
  <c r="X769" i="67" s="1"/>
  <c r="O769" i="67"/>
  <c r="N769" i="67"/>
  <c r="M769" i="67"/>
  <c r="L769" i="67"/>
  <c r="AC768" i="67"/>
  <c r="AA768" i="67"/>
  <c r="W768" i="67"/>
  <c r="U768" i="67"/>
  <c r="S768" i="67"/>
  <c r="R768" i="67"/>
  <c r="Q768" i="67"/>
  <c r="P768" i="67"/>
  <c r="X768" i="67" s="1"/>
  <c r="O768" i="67"/>
  <c r="N768" i="67"/>
  <c r="M768" i="67"/>
  <c r="L768" i="67"/>
  <c r="AC767" i="67"/>
  <c r="AA767" i="67"/>
  <c r="W767" i="67"/>
  <c r="U767" i="67"/>
  <c r="S767" i="67"/>
  <c r="R767" i="67"/>
  <c r="Q767" i="67"/>
  <c r="P767" i="67"/>
  <c r="X767" i="67" s="1"/>
  <c r="O767" i="67"/>
  <c r="N767" i="67"/>
  <c r="M767" i="67"/>
  <c r="L767" i="67"/>
  <c r="AC766" i="67"/>
  <c r="AA766" i="67"/>
  <c r="W766" i="67"/>
  <c r="U766" i="67"/>
  <c r="S766" i="67"/>
  <c r="R766" i="67"/>
  <c r="Q766" i="67"/>
  <c r="P766" i="67"/>
  <c r="X766" i="67" s="1"/>
  <c r="O766" i="67"/>
  <c r="N766" i="67"/>
  <c r="M766" i="67"/>
  <c r="L766" i="67"/>
  <c r="AC765" i="67"/>
  <c r="AA765" i="67"/>
  <c r="X765" i="67"/>
  <c r="W765" i="67"/>
  <c r="U765" i="67"/>
  <c r="S765" i="67"/>
  <c r="R765" i="67"/>
  <c r="Q765" i="67"/>
  <c r="P765" i="67"/>
  <c r="O765" i="67"/>
  <c r="N765" i="67"/>
  <c r="M765" i="67"/>
  <c r="L765" i="67"/>
  <c r="AC764" i="67"/>
  <c r="AA764" i="67"/>
  <c r="W764" i="67"/>
  <c r="U764" i="67"/>
  <c r="S764" i="67"/>
  <c r="R764" i="67"/>
  <c r="Q764" i="67"/>
  <c r="P764" i="67"/>
  <c r="X764" i="67" s="1"/>
  <c r="O764" i="67"/>
  <c r="N764" i="67"/>
  <c r="M764" i="67"/>
  <c r="L764" i="67"/>
  <c r="AC763" i="67"/>
  <c r="AA763" i="67"/>
  <c r="W763" i="67"/>
  <c r="U763" i="67"/>
  <c r="S763" i="67"/>
  <c r="R763" i="67"/>
  <c r="Q763" i="67"/>
  <c r="P763" i="67"/>
  <c r="X763" i="67" s="1"/>
  <c r="O763" i="67"/>
  <c r="N763" i="67"/>
  <c r="M763" i="67"/>
  <c r="L763" i="67"/>
  <c r="AC762" i="67"/>
  <c r="AA762" i="67"/>
  <c r="W762" i="67"/>
  <c r="U762" i="67"/>
  <c r="S762" i="67"/>
  <c r="R762" i="67"/>
  <c r="Q762" i="67"/>
  <c r="P762" i="67"/>
  <c r="X762" i="67" s="1"/>
  <c r="O762" i="67"/>
  <c r="N762" i="67"/>
  <c r="M762" i="67"/>
  <c r="L762" i="67"/>
  <c r="AC761" i="67"/>
  <c r="AA761" i="67"/>
  <c r="W761" i="67"/>
  <c r="U761" i="67"/>
  <c r="S761" i="67"/>
  <c r="R761" i="67"/>
  <c r="Q761" i="67"/>
  <c r="P761" i="67"/>
  <c r="X761" i="67" s="1"/>
  <c r="O761" i="67"/>
  <c r="N761" i="67"/>
  <c r="M761" i="67"/>
  <c r="L761" i="67"/>
  <c r="AC760" i="67"/>
  <c r="AA760" i="67"/>
  <c r="W760" i="67"/>
  <c r="U760" i="67"/>
  <c r="S760" i="67"/>
  <c r="R760" i="67"/>
  <c r="Q760" i="67"/>
  <c r="P760" i="67"/>
  <c r="X760" i="67" s="1"/>
  <c r="O760" i="67"/>
  <c r="N760" i="67"/>
  <c r="M760" i="67"/>
  <c r="L760" i="67"/>
  <c r="AC759" i="67"/>
  <c r="AA759" i="67"/>
  <c r="X759" i="67"/>
  <c r="W759" i="67"/>
  <c r="U759" i="67"/>
  <c r="S759" i="67"/>
  <c r="R759" i="67"/>
  <c r="Q759" i="67"/>
  <c r="P759" i="67"/>
  <c r="O759" i="67"/>
  <c r="N759" i="67"/>
  <c r="M759" i="67"/>
  <c r="L759" i="67"/>
  <c r="AC758" i="67"/>
  <c r="AA758" i="67"/>
  <c r="W758" i="67"/>
  <c r="U758" i="67"/>
  <c r="S758" i="67"/>
  <c r="R758" i="67"/>
  <c r="Q758" i="67"/>
  <c r="P758" i="67"/>
  <c r="X758" i="67" s="1"/>
  <c r="O758" i="67"/>
  <c r="N758" i="67"/>
  <c r="M758" i="67"/>
  <c r="L758" i="67"/>
  <c r="AC757" i="67"/>
  <c r="AA757" i="67"/>
  <c r="W757" i="67"/>
  <c r="U757" i="67"/>
  <c r="S757" i="67"/>
  <c r="R757" i="67"/>
  <c r="Q757" i="67"/>
  <c r="P757" i="67"/>
  <c r="X757" i="67" s="1"/>
  <c r="O757" i="67"/>
  <c r="N757" i="67"/>
  <c r="M757" i="67"/>
  <c r="L757" i="67"/>
  <c r="AC756" i="67"/>
  <c r="AA756" i="67"/>
  <c r="W756" i="67"/>
  <c r="U756" i="67"/>
  <c r="S756" i="67"/>
  <c r="R756" i="67"/>
  <c r="Q756" i="67"/>
  <c r="P756" i="67"/>
  <c r="X756" i="67" s="1"/>
  <c r="O756" i="67"/>
  <c r="N756" i="67"/>
  <c r="M756" i="67"/>
  <c r="L756" i="67"/>
  <c r="AC755" i="67"/>
  <c r="AA755" i="67"/>
  <c r="W755" i="67"/>
  <c r="U755" i="67"/>
  <c r="S755" i="67"/>
  <c r="R755" i="67"/>
  <c r="Q755" i="67"/>
  <c r="P755" i="67"/>
  <c r="X755" i="67" s="1"/>
  <c r="O755" i="67"/>
  <c r="N755" i="67"/>
  <c r="M755" i="67"/>
  <c r="L755" i="67"/>
  <c r="AC754" i="67"/>
  <c r="AS13" i="67" s="1"/>
  <c r="AA754" i="67"/>
  <c r="W754" i="67"/>
  <c r="U754" i="67"/>
  <c r="S754" i="67"/>
  <c r="R754" i="67"/>
  <c r="Q754" i="67"/>
  <c r="P754" i="67"/>
  <c r="X754" i="67" s="1"/>
  <c r="O754" i="67"/>
  <c r="N754" i="67"/>
  <c r="M754" i="67"/>
  <c r="L754" i="67"/>
  <c r="AC753" i="67"/>
  <c r="AA753" i="67"/>
  <c r="X753" i="67"/>
  <c r="W753" i="67"/>
  <c r="U753" i="67"/>
  <c r="S753" i="67"/>
  <c r="R753" i="67"/>
  <c r="Q753" i="67"/>
  <c r="P753" i="67"/>
  <c r="O753" i="67"/>
  <c r="N753" i="67"/>
  <c r="M753" i="67"/>
  <c r="L753" i="67"/>
  <c r="AC752" i="67"/>
  <c r="AA752" i="67"/>
  <c r="W752" i="67"/>
  <c r="U752" i="67"/>
  <c r="S752" i="67"/>
  <c r="R752" i="67"/>
  <c r="Q752" i="67"/>
  <c r="P752" i="67"/>
  <c r="X752" i="67" s="1"/>
  <c r="O752" i="67"/>
  <c r="N752" i="67"/>
  <c r="M752" i="67"/>
  <c r="L752" i="67"/>
  <c r="AC751" i="67"/>
  <c r="AA751" i="67"/>
  <c r="W751" i="67"/>
  <c r="U751" i="67"/>
  <c r="S751" i="67"/>
  <c r="R751" i="67"/>
  <c r="Q751" i="67"/>
  <c r="P751" i="67"/>
  <c r="X751" i="67" s="1"/>
  <c r="O751" i="67"/>
  <c r="N751" i="67"/>
  <c r="M751" i="67"/>
  <c r="L751" i="67"/>
  <c r="AC750" i="67"/>
  <c r="AA750" i="67"/>
  <c r="W750" i="67"/>
  <c r="U750" i="67"/>
  <c r="S750" i="67"/>
  <c r="R750" i="67"/>
  <c r="Q750" i="67"/>
  <c r="P750" i="67"/>
  <c r="X750" i="67" s="1"/>
  <c r="O750" i="67"/>
  <c r="N750" i="67"/>
  <c r="M750" i="67"/>
  <c r="L750" i="67"/>
  <c r="AC749" i="67"/>
  <c r="AA749" i="67"/>
  <c r="W749" i="67"/>
  <c r="U749" i="67"/>
  <c r="S749" i="67"/>
  <c r="R749" i="67"/>
  <c r="Q749" i="67"/>
  <c r="P749" i="67"/>
  <c r="X749" i="67" s="1"/>
  <c r="O749" i="67"/>
  <c r="N749" i="67"/>
  <c r="M749" i="67"/>
  <c r="L749" i="67"/>
  <c r="AC748" i="67"/>
  <c r="AA748" i="67"/>
  <c r="W748" i="67"/>
  <c r="U748" i="67"/>
  <c r="S748" i="67"/>
  <c r="R748" i="67"/>
  <c r="Q748" i="67"/>
  <c r="P748" i="67"/>
  <c r="X748" i="67" s="1"/>
  <c r="O748" i="67"/>
  <c r="N748" i="67"/>
  <c r="M748" i="67"/>
  <c r="L748" i="67"/>
  <c r="AC747" i="67"/>
  <c r="AA747" i="67"/>
  <c r="X747" i="67"/>
  <c r="W747" i="67"/>
  <c r="U747" i="67"/>
  <c r="S747" i="67"/>
  <c r="R747" i="67"/>
  <c r="Q747" i="67"/>
  <c r="P747" i="67"/>
  <c r="O747" i="67"/>
  <c r="N747" i="67"/>
  <c r="M747" i="67"/>
  <c r="L747" i="67"/>
  <c r="AC746" i="67"/>
  <c r="AA746" i="67"/>
  <c r="W746" i="67"/>
  <c r="U746" i="67"/>
  <c r="S746" i="67"/>
  <c r="R746" i="67"/>
  <c r="Q746" i="67"/>
  <c r="P746" i="67"/>
  <c r="X746" i="67" s="1"/>
  <c r="O746" i="67"/>
  <c r="N746" i="67"/>
  <c r="M746" i="67"/>
  <c r="L746" i="67"/>
  <c r="AC745" i="67"/>
  <c r="AA745" i="67"/>
  <c r="W745" i="67"/>
  <c r="U745" i="67"/>
  <c r="S745" i="67"/>
  <c r="R745" i="67"/>
  <c r="Q745" i="67"/>
  <c r="P745" i="67"/>
  <c r="X745" i="67" s="1"/>
  <c r="O745" i="67"/>
  <c r="N745" i="67"/>
  <c r="M745" i="67"/>
  <c r="L745" i="67"/>
  <c r="AC744" i="67"/>
  <c r="AA744" i="67"/>
  <c r="W744" i="67"/>
  <c r="U744" i="67"/>
  <c r="S744" i="67"/>
  <c r="R744" i="67"/>
  <c r="Q744" i="67"/>
  <c r="P744" i="67"/>
  <c r="X744" i="67" s="1"/>
  <c r="O744" i="67"/>
  <c r="N744" i="67"/>
  <c r="M744" i="67"/>
  <c r="L744" i="67"/>
  <c r="AC743" i="67"/>
  <c r="AA743" i="67"/>
  <c r="W743" i="67"/>
  <c r="U743" i="67"/>
  <c r="S743" i="67"/>
  <c r="R743" i="67"/>
  <c r="Q743" i="67"/>
  <c r="P743" i="67"/>
  <c r="X743" i="67" s="1"/>
  <c r="O743" i="67"/>
  <c r="N743" i="67"/>
  <c r="M743" i="67"/>
  <c r="L743" i="67"/>
  <c r="AC742" i="67"/>
  <c r="AA742" i="67"/>
  <c r="W742" i="67"/>
  <c r="U742" i="67"/>
  <c r="S742" i="67"/>
  <c r="R742" i="67"/>
  <c r="Q742" i="67"/>
  <c r="P742" i="67"/>
  <c r="X742" i="67" s="1"/>
  <c r="O742" i="67"/>
  <c r="N742" i="67"/>
  <c r="M742" i="67"/>
  <c r="L742" i="67"/>
  <c r="AC741" i="67"/>
  <c r="AA741" i="67"/>
  <c r="X741" i="67"/>
  <c r="W741" i="67"/>
  <c r="U741" i="67"/>
  <c r="S741" i="67"/>
  <c r="R741" i="67"/>
  <c r="Q741" i="67"/>
  <c r="P741" i="67"/>
  <c r="O741" i="67"/>
  <c r="N741" i="67"/>
  <c r="M741" i="67"/>
  <c r="L741" i="67"/>
  <c r="AC740" i="67"/>
  <c r="AA740" i="67"/>
  <c r="W740" i="67"/>
  <c r="U740" i="67"/>
  <c r="S740" i="67"/>
  <c r="R740" i="67"/>
  <c r="Q740" i="67"/>
  <c r="P740" i="67"/>
  <c r="X740" i="67" s="1"/>
  <c r="O740" i="67"/>
  <c r="N740" i="67"/>
  <c r="M740" i="67"/>
  <c r="L740" i="67"/>
  <c r="AC739" i="67"/>
  <c r="AA739" i="67"/>
  <c r="W739" i="67"/>
  <c r="U739" i="67"/>
  <c r="S739" i="67"/>
  <c r="R739" i="67"/>
  <c r="Q739" i="67"/>
  <c r="P739" i="67"/>
  <c r="X739" i="67" s="1"/>
  <c r="O739" i="67"/>
  <c r="N739" i="67"/>
  <c r="M739" i="67"/>
  <c r="L739" i="67"/>
  <c r="AC738" i="67"/>
  <c r="AA738" i="67"/>
  <c r="W738" i="67"/>
  <c r="U738" i="67"/>
  <c r="S738" i="67"/>
  <c r="R738" i="67"/>
  <c r="Q738" i="67"/>
  <c r="P738" i="67"/>
  <c r="X738" i="67" s="1"/>
  <c r="O738" i="67"/>
  <c r="N738" i="67"/>
  <c r="M738" i="67"/>
  <c r="L738" i="67"/>
  <c r="AC737" i="67"/>
  <c r="AA737" i="67"/>
  <c r="W737" i="67"/>
  <c r="U737" i="67"/>
  <c r="S737" i="67"/>
  <c r="R737" i="67"/>
  <c r="Q737" i="67"/>
  <c r="P737" i="67"/>
  <c r="X737" i="67" s="1"/>
  <c r="O737" i="67"/>
  <c r="N737" i="67"/>
  <c r="M737" i="67"/>
  <c r="L737" i="67"/>
  <c r="AC736" i="67"/>
  <c r="AA736" i="67"/>
  <c r="W736" i="67"/>
  <c r="U736" i="67"/>
  <c r="S736" i="67"/>
  <c r="R736" i="67"/>
  <c r="Q736" i="67"/>
  <c r="P736" i="67"/>
  <c r="X736" i="67" s="1"/>
  <c r="O736" i="67"/>
  <c r="N736" i="67"/>
  <c r="M736" i="67"/>
  <c r="L736" i="67"/>
  <c r="AC735" i="67"/>
  <c r="AA735" i="67"/>
  <c r="X735" i="67"/>
  <c r="W735" i="67"/>
  <c r="U735" i="67"/>
  <c r="S735" i="67"/>
  <c r="R735" i="67"/>
  <c r="Q735" i="67"/>
  <c r="P735" i="67"/>
  <c r="O735" i="67"/>
  <c r="N735" i="67"/>
  <c r="M735" i="67"/>
  <c r="L735" i="67"/>
  <c r="AC734" i="67"/>
  <c r="AA734" i="67"/>
  <c r="W734" i="67"/>
  <c r="U734" i="67"/>
  <c r="S734" i="67"/>
  <c r="R734" i="67"/>
  <c r="Q734" i="67"/>
  <c r="P734" i="67"/>
  <c r="X734" i="67" s="1"/>
  <c r="O734" i="67"/>
  <c r="N734" i="67"/>
  <c r="M734" i="67"/>
  <c r="L734" i="67"/>
  <c r="AC733" i="67"/>
  <c r="AA733" i="67"/>
  <c r="W733" i="67"/>
  <c r="U733" i="67"/>
  <c r="S733" i="67"/>
  <c r="R733" i="67"/>
  <c r="Q733" i="67"/>
  <c r="P733" i="67"/>
  <c r="X733" i="67" s="1"/>
  <c r="O733" i="67"/>
  <c r="N733" i="67"/>
  <c r="M733" i="67"/>
  <c r="L733" i="67"/>
  <c r="AC732" i="67"/>
  <c r="AA732" i="67"/>
  <c r="W732" i="67"/>
  <c r="U732" i="67"/>
  <c r="S732" i="67"/>
  <c r="R732" i="67"/>
  <c r="Q732" i="67"/>
  <c r="P732" i="67"/>
  <c r="X732" i="67" s="1"/>
  <c r="O732" i="67"/>
  <c r="N732" i="67"/>
  <c r="M732" i="67"/>
  <c r="L732" i="67"/>
  <c r="AC731" i="67"/>
  <c r="AA731" i="67"/>
  <c r="W731" i="67"/>
  <c r="U731" i="67"/>
  <c r="S731" i="67"/>
  <c r="R731" i="67"/>
  <c r="Q731" i="67"/>
  <c r="P731" i="67"/>
  <c r="X731" i="67" s="1"/>
  <c r="O731" i="67"/>
  <c r="N731" i="67"/>
  <c r="M731" i="67"/>
  <c r="L731" i="67"/>
  <c r="AC730" i="67"/>
  <c r="AA730" i="67"/>
  <c r="W730" i="67"/>
  <c r="U730" i="67"/>
  <c r="S730" i="67"/>
  <c r="R730" i="67"/>
  <c r="Q730" i="67"/>
  <c r="P730" i="67"/>
  <c r="X730" i="67" s="1"/>
  <c r="O730" i="67"/>
  <c r="N730" i="67"/>
  <c r="M730" i="67"/>
  <c r="L730" i="67"/>
  <c r="AC729" i="67"/>
  <c r="AA729" i="67"/>
  <c r="W729" i="67"/>
  <c r="U729" i="67"/>
  <c r="S729" i="67"/>
  <c r="R729" i="67"/>
  <c r="Q729" i="67"/>
  <c r="P729" i="67"/>
  <c r="W728" i="67" s="1"/>
  <c r="O729" i="67"/>
  <c r="N729" i="67"/>
  <c r="M729" i="67"/>
  <c r="L729" i="67"/>
  <c r="AC728" i="67"/>
  <c r="AA728" i="67"/>
  <c r="X728" i="67"/>
  <c r="U728" i="67"/>
  <c r="S728" i="67"/>
  <c r="R728" i="67"/>
  <c r="Q728" i="67"/>
  <c r="O728" i="67"/>
  <c r="N728" i="67"/>
  <c r="M728" i="67"/>
  <c r="AC727" i="67"/>
  <c r="AA727" i="67"/>
  <c r="W727" i="67"/>
  <c r="U727" i="67"/>
  <c r="S727" i="67"/>
  <c r="R727" i="67"/>
  <c r="Q727" i="67"/>
  <c r="P727" i="67"/>
  <c r="X727" i="67" s="1"/>
  <c r="O727" i="67"/>
  <c r="N727" i="67"/>
  <c r="M727" i="67"/>
  <c r="L727" i="67"/>
  <c r="AC726" i="67"/>
  <c r="AA726" i="67"/>
  <c r="W726" i="67"/>
  <c r="U726" i="67"/>
  <c r="S726" i="67"/>
  <c r="R726" i="67"/>
  <c r="Q726" i="67"/>
  <c r="P726" i="67"/>
  <c r="X726" i="67" s="1"/>
  <c r="O726" i="67"/>
  <c r="N726" i="67"/>
  <c r="M726" i="67"/>
  <c r="L726" i="67"/>
  <c r="AC725" i="67"/>
  <c r="AA725" i="67"/>
  <c r="W725" i="67"/>
  <c r="U725" i="67"/>
  <c r="S725" i="67"/>
  <c r="R725" i="67"/>
  <c r="Q725" i="67"/>
  <c r="P725" i="67"/>
  <c r="X725" i="67" s="1"/>
  <c r="O725" i="67"/>
  <c r="N725" i="67"/>
  <c r="M725" i="67"/>
  <c r="L725" i="67"/>
  <c r="AC724" i="67"/>
  <c r="AA724" i="67"/>
  <c r="W724" i="67"/>
  <c r="U724" i="67"/>
  <c r="S724" i="67"/>
  <c r="R724" i="67"/>
  <c r="Q724" i="67"/>
  <c r="P724" i="67"/>
  <c r="X724" i="67" s="1"/>
  <c r="O724" i="67"/>
  <c r="N724" i="67"/>
  <c r="M724" i="67"/>
  <c r="L724" i="67"/>
  <c r="AC723" i="67"/>
  <c r="AA723" i="67"/>
  <c r="X723" i="67"/>
  <c r="U723" i="67"/>
  <c r="S723" i="67"/>
  <c r="R723" i="67"/>
  <c r="Q723" i="67"/>
  <c r="O723" i="67"/>
  <c r="N723" i="67"/>
  <c r="M723" i="67"/>
  <c r="AC722" i="67"/>
  <c r="AA722" i="67"/>
  <c r="W722" i="67"/>
  <c r="U722" i="67"/>
  <c r="S722" i="67"/>
  <c r="R722" i="67"/>
  <c r="Q722" i="67"/>
  <c r="P722" i="67"/>
  <c r="X722" i="67" s="1"/>
  <c r="O722" i="67"/>
  <c r="N722" i="67"/>
  <c r="M722" i="67"/>
  <c r="L722" i="67"/>
  <c r="AC721" i="67"/>
  <c r="AA721" i="67"/>
  <c r="W721" i="67"/>
  <c r="U721" i="67"/>
  <c r="S721" i="67"/>
  <c r="R721" i="67"/>
  <c r="Q721" i="67"/>
  <c r="P721" i="67"/>
  <c r="X721" i="67" s="1"/>
  <c r="O721" i="67"/>
  <c r="N721" i="67"/>
  <c r="M721" i="67"/>
  <c r="L721" i="67"/>
  <c r="AC720" i="67"/>
  <c r="AA720" i="67"/>
  <c r="W720" i="67"/>
  <c r="U720" i="67"/>
  <c r="S720" i="67"/>
  <c r="R720" i="67"/>
  <c r="Q720" i="67"/>
  <c r="P720" i="67"/>
  <c r="X720" i="67" s="1"/>
  <c r="O720" i="67"/>
  <c r="N720" i="67"/>
  <c r="M720" i="67"/>
  <c r="L720" i="67"/>
  <c r="AC719" i="67"/>
  <c r="AA719" i="67"/>
  <c r="W719" i="67"/>
  <c r="U719" i="67"/>
  <c r="S719" i="67"/>
  <c r="R719" i="67"/>
  <c r="Q719" i="67"/>
  <c r="P719" i="67"/>
  <c r="X719" i="67" s="1"/>
  <c r="O719" i="67"/>
  <c r="N719" i="67"/>
  <c r="M719" i="67"/>
  <c r="L719" i="67"/>
  <c r="AC718" i="67"/>
  <c r="AA718" i="67"/>
  <c r="X718" i="67"/>
  <c r="U718" i="67"/>
  <c r="S718" i="67"/>
  <c r="R718" i="67"/>
  <c r="Q718" i="67"/>
  <c r="O718" i="67"/>
  <c r="N718" i="67"/>
  <c r="M718" i="67"/>
  <c r="AC717" i="67"/>
  <c r="AA717" i="67"/>
  <c r="W717" i="67"/>
  <c r="U717" i="67"/>
  <c r="S717" i="67"/>
  <c r="R717" i="67"/>
  <c r="Q717" i="67"/>
  <c r="P717" i="67"/>
  <c r="X717" i="67" s="1"/>
  <c r="O717" i="67"/>
  <c r="N717" i="67"/>
  <c r="M717" i="67"/>
  <c r="L717" i="67"/>
  <c r="AC716" i="67"/>
  <c r="AA716" i="67"/>
  <c r="W716" i="67"/>
  <c r="U716" i="67"/>
  <c r="S716" i="67"/>
  <c r="R716" i="67"/>
  <c r="Q716" i="67"/>
  <c r="P716" i="67"/>
  <c r="X716" i="67" s="1"/>
  <c r="O716" i="67"/>
  <c r="N716" i="67"/>
  <c r="M716" i="67"/>
  <c r="L716" i="67"/>
  <c r="AC715" i="67"/>
  <c r="AA715" i="67"/>
  <c r="W715" i="67"/>
  <c r="U715" i="67"/>
  <c r="S715" i="67"/>
  <c r="R715" i="67"/>
  <c r="Q715" i="67"/>
  <c r="P715" i="67"/>
  <c r="X715" i="67" s="1"/>
  <c r="O715" i="67"/>
  <c r="N715" i="67"/>
  <c r="M715" i="67"/>
  <c r="L715" i="67"/>
  <c r="AC714" i="67"/>
  <c r="AA714" i="67"/>
  <c r="W714" i="67"/>
  <c r="U714" i="67"/>
  <c r="S714" i="67"/>
  <c r="R714" i="67"/>
  <c r="Q714" i="67"/>
  <c r="P714" i="67"/>
  <c r="X714" i="67" s="1"/>
  <c r="O714" i="67"/>
  <c r="N714" i="67"/>
  <c r="M714" i="67"/>
  <c r="L714" i="67"/>
  <c r="AC713" i="67"/>
  <c r="AA713" i="67"/>
  <c r="W713" i="67"/>
  <c r="U713" i="67"/>
  <c r="S713" i="67"/>
  <c r="R713" i="67"/>
  <c r="Q713" i="67"/>
  <c r="P713" i="67"/>
  <c r="X713" i="67" s="1"/>
  <c r="O713" i="67"/>
  <c r="N713" i="67"/>
  <c r="M713" i="67"/>
  <c r="L713" i="67"/>
  <c r="AC712" i="67"/>
  <c r="AA712" i="67"/>
  <c r="W712" i="67"/>
  <c r="U712" i="67"/>
  <c r="S712" i="67"/>
  <c r="R712" i="67"/>
  <c r="Q712" i="67"/>
  <c r="P712" i="67"/>
  <c r="X712" i="67" s="1"/>
  <c r="O712" i="67"/>
  <c r="N712" i="67"/>
  <c r="M712" i="67"/>
  <c r="L712" i="67"/>
  <c r="AC711" i="67"/>
  <c r="AA711" i="67"/>
  <c r="X711" i="67"/>
  <c r="U711" i="67"/>
  <c r="S711" i="67"/>
  <c r="R711" i="67"/>
  <c r="Q711" i="67"/>
  <c r="O711" i="67"/>
  <c r="N711" i="67"/>
  <c r="M711" i="67"/>
  <c r="AC710" i="67"/>
  <c r="AA710" i="67"/>
  <c r="W710" i="67"/>
  <c r="U710" i="67"/>
  <c r="S710" i="67"/>
  <c r="R710" i="67"/>
  <c r="Q710" i="67"/>
  <c r="P710" i="67"/>
  <c r="X710" i="67" s="1"/>
  <c r="O710" i="67"/>
  <c r="N710" i="67"/>
  <c r="M710" i="67"/>
  <c r="L710" i="67"/>
  <c r="AC709" i="67"/>
  <c r="AA709" i="67"/>
  <c r="W709" i="67"/>
  <c r="U709" i="67"/>
  <c r="S709" i="67"/>
  <c r="R709" i="67"/>
  <c r="Q709" i="67"/>
  <c r="P709" i="67"/>
  <c r="X709" i="67" s="1"/>
  <c r="O709" i="67"/>
  <c r="N709" i="67"/>
  <c r="M709" i="67"/>
  <c r="L709" i="67"/>
  <c r="AC708" i="67"/>
  <c r="AA708" i="67"/>
  <c r="W708" i="67"/>
  <c r="U708" i="67"/>
  <c r="S708" i="67"/>
  <c r="R708" i="67"/>
  <c r="Q708" i="67"/>
  <c r="P708" i="67"/>
  <c r="X708" i="67" s="1"/>
  <c r="O708" i="67"/>
  <c r="N708" i="67"/>
  <c r="M708" i="67"/>
  <c r="L708" i="67"/>
  <c r="AC707" i="67"/>
  <c r="AA707" i="67"/>
  <c r="W707" i="67"/>
  <c r="U707" i="67"/>
  <c r="S707" i="67"/>
  <c r="R707" i="67"/>
  <c r="Q707" i="67"/>
  <c r="P707" i="67"/>
  <c r="X707" i="67" s="1"/>
  <c r="O707" i="67"/>
  <c r="N707" i="67"/>
  <c r="M707" i="67"/>
  <c r="L707" i="67"/>
  <c r="AC706" i="67"/>
  <c r="AA706" i="67"/>
  <c r="W706" i="67"/>
  <c r="U706" i="67"/>
  <c r="S706" i="67"/>
  <c r="R706" i="67"/>
  <c r="Q706" i="67"/>
  <c r="P706" i="67"/>
  <c r="X706" i="67" s="1"/>
  <c r="O706" i="67"/>
  <c r="N706" i="67"/>
  <c r="M706" i="67"/>
  <c r="L706" i="67"/>
  <c r="AC705" i="67"/>
  <c r="AA705" i="67"/>
  <c r="X705" i="67"/>
  <c r="W705" i="67"/>
  <c r="U705" i="67"/>
  <c r="S705" i="67"/>
  <c r="R705" i="67"/>
  <c r="Q705" i="67"/>
  <c r="P705" i="67"/>
  <c r="O705" i="67"/>
  <c r="N705" i="67"/>
  <c r="M705" i="67"/>
  <c r="L705" i="67"/>
  <c r="AC704" i="67"/>
  <c r="AA704" i="67"/>
  <c r="W704" i="67"/>
  <c r="U704" i="67"/>
  <c r="S704" i="67"/>
  <c r="R704" i="67"/>
  <c r="Q704" i="67"/>
  <c r="P704" i="67"/>
  <c r="X704" i="67" s="1"/>
  <c r="O704" i="67"/>
  <c r="N704" i="67"/>
  <c r="M704" i="67"/>
  <c r="L704" i="67"/>
  <c r="AC703" i="67"/>
  <c r="AA703" i="67"/>
  <c r="W703" i="67"/>
  <c r="U703" i="67"/>
  <c r="S703" i="67"/>
  <c r="R703" i="67"/>
  <c r="Q703" i="67"/>
  <c r="P703" i="67"/>
  <c r="X703" i="67" s="1"/>
  <c r="O703" i="67"/>
  <c r="N703" i="67"/>
  <c r="M703" i="67"/>
  <c r="L703" i="67"/>
  <c r="AC702" i="67"/>
  <c r="AA702" i="67"/>
  <c r="W702" i="67"/>
  <c r="U702" i="67"/>
  <c r="S702" i="67"/>
  <c r="R702" i="67"/>
  <c r="Q702" i="67"/>
  <c r="P702" i="67"/>
  <c r="X702" i="67" s="1"/>
  <c r="O702" i="67"/>
  <c r="N702" i="67"/>
  <c r="M702" i="67"/>
  <c r="L702" i="67"/>
  <c r="AC701" i="67"/>
  <c r="AA701" i="67"/>
  <c r="W701" i="67"/>
  <c r="U701" i="67"/>
  <c r="S701" i="67"/>
  <c r="R701" i="67"/>
  <c r="Q701" i="67"/>
  <c r="P701" i="67"/>
  <c r="X701" i="67" s="1"/>
  <c r="O701" i="67"/>
  <c r="N701" i="67"/>
  <c r="M701" i="67"/>
  <c r="L701" i="67"/>
  <c r="AC700" i="67"/>
  <c r="AA700" i="67"/>
  <c r="W700" i="67"/>
  <c r="U700" i="67"/>
  <c r="S700" i="67"/>
  <c r="R700" i="67"/>
  <c r="Q700" i="67"/>
  <c r="P700" i="67"/>
  <c r="X700" i="67" s="1"/>
  <c r="O700" i="67"/>
  <c r="N700" i="67"/>
  <c r="M700" i="67"/>
  <c r="L700" i="67"/>
  <c r="AC699" i="67"/>
  <c r="AA699" i="67"/>
  <c r="X699" i="67"/>
  <c r="W699" i="67"/>
  <c r="U699" i="67"/>
  <c r="S699" i="67"/>
  <c r="R699" i="67"/>
  <c r="Q699" i="67"/>
  <c r="P699" i="67"/>
  <c r="O699" i="67"/>
  <c r="N699" i="67"/>
  <c r="M699" i="67"/>
  <c r="L699" i="67"/>
  <c r="AC698" i="67"/>
  <c r="AA698" i="67"/>
  <c r="W698" i="67"/>
  <c r="U698" i="67"/>
  <c r="S698" i="67"/>
  <c r="R698" i="67"/>
  <c r="Q698" i="67"/>
  <c r="P698" i="67"/>
  <c r="X698" i="67" s="1"/>
  <c r="O698" i="67"/>
  <c r="N698" i="67"/>
  <c r="M698" i="67"/>
  <c r="L698" i="67"/>
  <c r="AC697" i="67"/>
  <c r="AA697" i="67"/>
  <c r="W697" i="67"/>
  <c r="U697" i="67"/>
  <c r="S697" i="67"/>
  <c r="R697" i="67"/>
  <c r="Q697" i="67"/>
  <c r="P697" i="67"/>
  <c r="X697" i="67" s="1"/>
  <c r="O697" i="67"/>
  <c r="N697" i="67"/>
  <c r="M697" i="67"/>
  <c r="L697" i="67"/>
  <c r="AC696" i="67"/>
  <c r="AA696" i="67"/>
  <c r="W696" i="67"/>
  <c r="U696" i="67"/>
  <c r="S696" i="67"/>
  <c r="R696" i="67"/>
  <c r="Q696" i="67"/>
  <c r="P696" i="67"/>
  <c r="X696" i="67" s="1"/>
  <c r="O696" i="67"/>
  <c r="N696" i="67"/>
  <c r="M696" i="67"/>
  <c r="L696" i="67"/>
  <c r="AC695" i="67"/>
  <c r="AA695" i="67"/>
  <c r="W695" i="67"/>
  <c r="U695" i="67"/>
  <c r="S695" i="67"/>
  <c r="R695" i="67"/>
  <c r="Q695" i="67"/>
  <c r="P695" i="67"/>
  <c r="X695" i="67" s="1"/>
  <c r="T695" i="67" s="1"/>
  <c r="O695" i="67"/>
  <c r="N695" i="67"/>
  <c r="M695" i="67"/>
  <c r="L695" i="67"/>
  <c r="AC694" i="67"/>
  <c r="AA694" i="67"/>
  <c r="W694" i="67"/>
  <c r="U694" i="67"/>
  <c r="S694" i="67"/>
  <c r="R694" i="67"/>
  <c r="Q694" i="67"/>
  <c r="P694" i="67"/>
  <c r="X694" i="67" s="1"/>
  <c r="T694" i="67" s="1"/>
  <c r="O694" i="67"/>
  <c r="N694" i="67"/>
  <c r="M694" i="67"/>
  <c r="L694" i="67"/>
  <c r="AC693" i="67"/>
  <c r="AA693" i="67"/>
  <c r="X693" i="67"/>
  <c r="W693" i="67"/>
  <c r="U693" i="67"/>
  <c r="S693" i="67"/>
  <c r="R693" i="67"/>
  <c r="Q693" i="67"/>
  <c r="P693" i="67"/>
  <c r="O693" i="67"/>
  <c r="N693" i="67"/>
  <c r="M693" i="67"/>
  <c r="L693" i="67"/>
  <c r="AC692" i="67"/>
  <c r="AA692" i="67"/>
  <c r="W692" i="67"/>
  <c r="U692" i="67"/>
  <c r="S692" i="67"/>
  <c r="R692" i="67"/>
  <c r="Q692" i="67"/>
  <c r="P692" i="67"/>
  <c r="X692" i="67" s="1"/>
  <c r="O692" i="67"/>
  <c r="N692" i="67"/>
  <c r="M692" i="67"/>
  <c r="L692" i="67"/>
  <c r="AC691" i="67"/>
  <c r="AA691" i="67"/>
  <c r="W691" i="67"/>
  <c r="U691" i="67"/>
  <c r="S691" i="67"/>
  <c r="R691" i="67"/>
  <c r="Q691" i="67"/>
  <c r="P691" i="67"/>
  <c r="X691" i="67" s="1"/>
  <c r="O691" i="67"/>
  <c r="N691" i="67"/>
  <c r="M691" i="67"/>
  <c r="L691" i="67"/>
  <c r="AC690" i="67"/>
  <c r="AA690" i="67"/>
  <c r="W690" i="67"/>
  <c r="U690" i="67"/>
  <c r="S690" i="67"/>
  <c r="R690" i="67"/>
  <c r="Q690" i="67"/>
  <c r="P690" i="67"/>
  <c r="X690" i="67" s="1"/>
  <c r="O690" i="67"/>
  <c r="N690" i="67"/>
  <c r="M690" i="67"/>
  <c r="L690" i="67"/>
  <c r="AC689" i="67"/>
  <c r="AA689" i="67"/>
  <c r="W689" i="67"/>
  <c r="U689" i="67"/>
  <c r="S689" i="67"/>
  <c r="R689" i="67"/>
  <c r="Q689" i="67"/>
  <c r="P689" i="67"/>
  <c r="X689" i="67" s="1"/>
  <c r="O689" i="67"/>
  <c r="N689" i="67"/>
  <c r="M689" i="67"/>
  <c r="L689" i="67"/>
  <c r="AC688" i="67"/>
  <c r="AA688" i="67"/>
  <c r="W688" i="67"/>
  <c r="U688" i="67"/>
  <c r="S688" i="67"/>
  <c r="R688" i="67"/>
  <c r="Q688" i="67"/>
  <c r="P688" i="67"/>
  <c r="X688" i="67" s="1"/>
  <c r="O688" i="67"/>
  <c r="N688" i="67"/>
  <c r="M688" i="67"/>
  <c r="L688" i="67"/>
  <c r="AC687" i="67"/>
  <c r="AA687" i="67"/>
  <c r="X687" i="67"/>
  <c r="W687" i="67"/>
  <c r="U687" i="67"/>
  <c r="S687" i="67"/>
  <c r="R687" i="67"/>
  <c r="Q687" i="67"/>
  <c r="P687" i="67"/>
  <c r="O687" i="67"/>
  <c r="N687" i="67"/>
  <c r="M687" i="67"/>
  <c r="L687" i="67"/>
  <c r="AC686" i="67"/>
  <c r="AA686" i="67"/>
  <c r="W686" i="67"/>
  <c r="U686" i="67"/>
  <c r="S686" i="67"/>
  <c r="R686" i="67"/>
  <c r="Q686" i="67"/>
  <c r="P686" i="67"/>
  <c r="X686" i="67" s="1"/>
  <c r="O686" i="67"/>
  <c r="N686" i="67"/>
  <c r="M686" i="67"/>
  <c r="L686" i="67"/>
  <c r="AC685" i="67"/>
  <c r="AA685" i="67"/>
  <c r="W685" i="67"/>
  <c r="U685" i="67"/>
  <c r="S685" i="67"/>
  <c r="R685" i="67"/>
  <c r="Q685" i="67"/>
  <c r="P685" i="67"/>
  <c r="X685" i="67" s="1"/>
  <c r="O685" i="67"/>
  <c r="N685" i="67"/>
  <c r="M685" i="67"/>
  <c r="L685" i="67"/>
  <c r="AC684" i="67"/>
  <c r="AA684" i="67"/>
  <c r="W684" i="67"/>
  <c r="U684" i="67"/>
  <c r="S684" i="67"/>
  <c r="R684" i="67"/>
  <c r="Q684" i="67"/>
  <c r="P684" i="67"/>
  <c r="X684" i="67" s="1"/>
  <c r="O684" i="67"/>
  <c r="N684" i="67"/>
  <c r="M684" i="67"/>
  <c r="L684" i="67"/>
  <c r="AC683" i="67"/>
  <c r="AA683" i="67"/>
  <c r="W683" i="67"/>
  <c r="U683" i="67"/>
  <c r="S683" i="67"/>
  <c r="R683" i="67"/>
  <c r="Q683" i="67"/>
  <c r="P683" i="67"/>
  <c r="X683" i="67" s="1"/>
  <c r="O683" i="67"/>
  <c r="N683" i="67"/>
  <c r="M683" i="67"/>
  <c r="L683" i="67"/>
  <c r="AC682" i="67"/>
  <c r="AA682" i="67"/>
  <c r="W682" i="67"/>
  <c r="U682" i="67"/>
  <c r="S682" i="67"/>
  <c r="R682" i="67"/>
  <c r="Q682" i="67"/>
  <c r="P682" i="67"/>
  <c r="X682" i="67" s="1"/>
  <c r="O682" i="67"/>
  <c r="N682" i="67"/>
  <c r="M682" i="67"/>
  <c r="L682" i="67"/>
  <c r="AC681" i="67"/>
  <c r="AA681" i="67"/>
  <c r="X681" i="67"/>
  <c r="W681" i="67"/>
  <c r="U681" i="67"/>
  <c r="S681" i="67"/>
  <c r="R681" i="67"/>
  <c r="Q681" i="67"/>
  <c r="P681" i="67"/>
  <c r="O681" i="67"/>
  <c r="N681" i="67"/>
  <c r="M681" i="67"/>
  <c r="L681" i="67"/>
  <c r="AC680" i="67"/>
  <c r="AA680" i="67"/>
  <c r="W680" i="67"/>
  <c r="U680" i="67"/>
  <c r="S680" i="67"/>
  <c r="R680" i="67"/>
  <c r="Q680" i="67"/>
  <c r="P680" i="67"/>
  <c r="X680" i="67" s="1"/>
  <c r="O680" i="67"/>
  <c r="N680" i="67"/>
  <c r="M680" i="67"/>
  <c r="L680" i="67"/>
  <c r="AC679" i="67"/>
  <c r="AA679" i="67"/>
  <c r="W679" i="67"/>
  <c r="U679" i="67"/>
  <c r="S679" i="67"/>
  <c r="R679" i="67"/>
  <c r="Q679" i="67"/>
  <c r="P679" i="67"/>
  <c r="X679" i="67" s="1"/>
  <c r="O679" i="67"/>
  <c r="N679" i="67"/>
  <c r="M679" i="67"/>
  <c r="L679" i="67"/>
  <c r="AC678" i="67"/>
  <c r="AA678" i="67"/>
  <c r="W678" i="67"/>
  <c r="U678" i="67"/>
  <c r="S678" i="67"/>
  <c r="R678" i="67"/>
  <c r="Q678" i="67"/>
  <c r="P678" i="67"/>
  <c r="X678" i="67" s="1"/>
  <c r="O678" i="67"/>
  <c r="N678" i="67"/>
  <c r="M678" i="67"/>
  <c r="L678" i="67"/>
  <c r="AC677" i="67"/>
  <c r="AA677" i="67"/>
  <c r="W677" i="67"/>
  <c r="U677" i="67"/>
  <c r="S677" i="67"/>
  <c r="R677" i="67"/>
  <c r="Q677" i="67"/>
  <c r="P677" i="67"/>
  <c r="X677" i="67" s="1"/>
  <c r="O677" i="67"/>
  <c r="N677" i="67"/>
  <c r="M677" i="67"/>
  <c r="L677" i="67"/>
  <c r="AC676" i="67"/>
  <c r="AA676" i="67"/>
  <c r="W676" i="67"/>
  <c r="U676" i="67"/>
  <c r="S676" i="67"/>
  <c r="R676" i="67"/>
  <c r="Q676" i="67"/>
  <c r="P676" i="67"/>
  <c r="X676" i="67" s="1"/>
  <c r="O676" i="67"/>
  <c r="N676" i="67"/>
  <c r="M676" i="67"/>
  <c r="L676" i="67"/>
  <c r="AC675" i="67"/>
  <c r="AA675" i="67"/>
  <c r="X675" i="67"/>
  <c r="W675" i="67"/>
  <c r="U675" i="67"/>
  <c r="S675" i="67"/>
  <c r="R675" i="67"/>
  <c r="Q675" i="67"/>
  <c r="P675" i="67"/>
  <c r="O675" i="67"/>
  <c r="N675" i="67"/>
  <c r="M675" i="67"/>
  <c r="L675" i="67"/>
  <c r="AC674" i="67"/>
  <c r="AA674" i="67"/>
  <c r="W674" i="67"/>
  <c r="U674" i="67"/>
  <c r="S674" i="67"/>
  <c r="R674" i="67"/>
  <c r="Q674" i="67"/>
  <c r="P674" i="67"/>
  <c r="X674" i="67" s="1"/>
  <c r="O674" i="67"/>
  <c r="N674" i="67"/>
  <c r="M674" i="67"/>
  <c r="L674" i="67"/>
  <c r="AC673" i="67"/>
  <c r="AA673" i="67"/>
  <c r="W673" i="67"/>
  <c r="U673" i="67"/>
  <c r="S673" i="67"/>
  <c r="R673" i="67"/>
  <c r="Q673" i="67"/>
  <c r="P673" i="67"/>
  <c r="X673" i="67" s="1"/>
  <c r="O673" i="67"/>
  <c r="N673" i="67"/>
  <c r="M673" i="67"/>
  <c r="L673" i="67"/>
  <c r="AC672" i="67"/>
  <c r="AA672" i="67"/>
  <c r="W672" i="67"/>
  <c r="U672" i="67"/>
  <c r="S672" i="67"/>
  <c r="R672" i="67"/>
  <c r="Q672" i="67"/>
  <c r="P672" i="67"/>
  <c r="X672" i="67" s="1"/>
  <c r="O672" i="67"/>
  <c r="N672" i="67"/>
  <c r="M672" i="67"/>
  <c r="L672" i="67"/>
  <c r="AC671" i="67"/>
  <c r="AA671" i="67"/>
  <c r="W671" i="67"/>
  <c r="U671" i="67"/>
  <c r="S671" i="67"/>
  <c r="R671" i="67"/>
  <c r="Q671" i="67"/>
  <c r="P671" i="67"/>
  <c r="X671" i="67" s="1"/>
  <c r="O671" i="67"/>
  <c r="N671" i="67"/>
  <c r="M671" i="67"/>
  <c r="L671" i="67"/>
  <c r="AC670" i="67"/>
  <c r="AA670" i="67"/>
  <c r="W670" i="67"/>
  <c r="U670" i="67"/>
  <c r="S670" i="67"/>
  <c r="R670" i="67"/>
  <c r="Q670" i="67"/>
  <c r="P670" i="67"/>
  <c r="X670" i="67" s="1"/>
  <c r="O670" i="67"/>
  <c r="N670" i="67"/>
  <c r="M670" i="67"/>
  <c r="L670" i="67"/>
  <c r="AC669" i="67"/>
  <c r="AA669" i="67"/>
  <c r="X669" i="67"/>
  <c r="W669" i="67"/>
  <c r="U669" i="67"/>
  <c r="S669" i="67"/>
  <c r="R669" i="67"/>
  <c r="Q669" i="67"/>
  <c r="P669" i="67"/>
  <c r="O669" i="67"/>
  <c r="N669" i="67"/>
  <c r="M669" i="67"/>
  <c r="L669" i="67"/>
  <c r="AC668" i="67"/>
  <c r="AA668" i="67"/>
  <c r="W668" i="67"/>
  <c r="U668" i="67"/>
  <c r="S668" i="67"/>
  <c r="R668" i="67"/>
  <c r="Q668" i="67"/>
  <c r="P668" i="67"/>
  <c r="X668" i="67" s="1"/>
  <c r="O668" i="67"/>
  <c r="N668" i="67"/>
  <c r="M668" i="67"/>
  <c r="L668" i="67"/>
  <c r="AC667" i="67"/>
  <c r="AA667" i="67"/>
  <c r="W667" i="67"/>
  <c r="U667" i="67"/>
  <c r="S667" i="67"/>
  <c r="R667" i="67"/>
  <c r="Q667" i="67"/>
  <c r="P667" i="67"/>
  <c r="X667" i="67" s="1"/>
  <c r="O667" i="67"/>
  <c r="N667" i="67"/>
  <c r="M667" i="67"/>
  <c r="L667" i="67"/>
  <c r="AC666" i="67"/>
  <c r="AA666" i="67"/>
  <c r="W666" i="67"/>
  <c r="U666" i="67"/>
  <c r="S666" i="67"/>
  <c r="R666" i="67"/>
  <c r="Q666" i="67"/>
  <c r="P666" i="67"/>
  <c r="X666" i="67" s="1"/>
  <c r="O666" i="67"/>
  <c r="N666" i="67"/>
  <c r="M666" i="67"/>
  <c r="L666" i="67"/>
  <c r="AC665" i="67"/>
  <c r="AA665" i="67"/>
  <c r="W665" i="67"/>
  <c r="U665" i="67"/>
  <c r="S665" i="67"/>
  <c r="R665" i="67"/>
  <c r="Q665" i="67"/>
  <c r="P665" i="67"/>
  <c r="X665" i="67" s="1"/>
  <c r="O665" i="67"/>
  <c r="N665" i="67"/>
  <c r="M665" i="67"/>
  <c r="L665" i="67"/>
  <c r="AC664" i="67"/>
  <c r="AA664" i="67"/>
  <c r="W664" i="67"/>
  <c r="U664" i="67"/>
  <c r="S664" i="67"/>
  <c r="R664" i="67"/>
  <c r="Q664" i="67"/>
  <c r="P664" i="67"/>
  <c r="X664" i="67" s="1"/>
  <c r="O664" i="67"/>
  <c r="N664" i="67"/>
  <c r="M664" i="67"/>
  <c r="L664" i="67"/>
  <c r="AC663" i="67"/>
  <c r="AA663" i="67"/>
  <c r="X663" i="67"/>
  <c r="W663" i="67"/>
  <c r="U663" i="67"/>
  <c r="S663" i="67"/>
  <c r="R663" i="67"/>
  <c r="Q663" i="67"/>
  <c r="P663" i="67"/>
  <c r="O663" i="67"/>
  <c r="N663" i="67"/>
  <c r="M663" i="67"/>
  <c r="L663" i="67"/>
  <c r="AC662" i="67"/>
  <c r="AA662" i="67"/>
  <c r="W662" i="67"/>
  <c r="U662" i="67"/>
  <c r="S662" i="67"/>
  <c r="R662" i="67"/>
  <c r="Q662" i="67"/>
  <c r="P662" i="67"/>
  <c r="X662" i="67" s="1"/>
  <c r="O662" i="67"/>
  <c r="N662" i="67"/>
  <c r="M662" i="67"/>
  <c r="L662" i="67"/>
  <c r="AC661" i="67"/>
  <c r="AA661" i="67"/>
  <c r="W661" i="67"/>
  <c r="U661" i="67"/>
  <c r="S661" i="67"/>
  <c r="R661" i="67"/>
  <c r="Q661" i="67"/>
  <c r="P661" i="67"/>
  <c r="X661" i="67" s="1"/>
  <c r="O661" i="67"/>
  <c r="N661" i="67"/>
  <c r="M661" i="67"/>
  <c r="L661" i="67"/>
  <c r="AC660" i="67"/>
  <c r="AA660" i="67"/>
  <c r="W660" i="67"/>
  <c r="U660" i="67"/>
  <c r="S660" i="67"/>
  <c r="R660" i="67"/>
  <c r="Q660" i="67"/>
  <c r="P660" i="67"/>
  <c r="X660" i="67" s="1"/>
  <c r="O660" i="67"/>
  <c r="N660" i="67"/>
  <c r="M660" i="67"/>
  <c r="L660" i="67"/>
  <c r="AC659" i="67"/>
  <c r="AA659" i="67"/>
  <c r="W659" i="67"/>
  <c r="U659" i="67"/>
  <c r="S659" i="67"/>
  <c r="R659" i="67"/>
  <c r="Q659" i="67"/>
  <c r="P659" i="67"/>
  <c r="X659" i="67" s="1"/>
  <c r="O659" i="67"/>
  <c r="N659" i="67"/>
  <c r="M659" i="67"/>
  <c r="L659" i="67"/>
  <c r="AC658" i="67"/>
  <c r="AA658" i="67"/>
  <c r="W658" i="67"/>
  <c r="U658" i="67"/>
  <c r="S658" i="67"/>
  <c r="R658" i="67"/>
  <c r="Q658" i="67"/>
  <c r="P658" i="67"/>
  <c r="X658" i="67" s="1"/>
  <c r="O658" i="67"/>
  <c r="N658" i="67"/>
  <c r="M658" i="67"/>
  <c r="L658" i="67"/>
  <c r="AC657" i="67"/>
  <c r="AA657" i="67"/>
  <c r="X657" i="67"/>
  <c r="W657" i="67"/>
  <c r="U657" i="67"/>
  <c r="S657" i="67"/>
  <c r="R657" i="67"/>
  <c r="Q657" i="67"/>
  <c r="P657" i="67"/>
  <c r="O657" i="67"/>
  <c r="N657" i="67"/>
  <c r="M657" i="67"/>
  <c r="L657" i="67"/>
  <c r="AC656" i="67"/>
  <c r="AA656" i="67"/>
  <c r="W656" i="67"/>
  <c r="U656" i="67"/>
  <c r="S656" i="67"/>
  <c r="R656" i="67"/>
  <c r="Q656" i="67"/>
  <c r="P656" i="67"/>
  <c r="X656" i="67" s="1"/>
  <c r="O656" i="67"/>
  <c r="N656" i="67"/>
  <c r="M656" i="67"/>
  <c r="L656" i="67"/>
  <c r="AC655" i="67"/>
  <c r="AA655" i="67"/>
  <c r="W655" i="67"/>
  <c r="U655" i="67"/>
  <c r="S655" i="67"/>
  <c r="R655" i="67"/>
  <c r="Q655" i="67"/>
  <c r="P655" i="67"/>
  <c r="X655" i="67" s="1"/>
  <c r="O655" i="67"/>
  <c r="N655" i="67"/>
  <c r="M655" i="67"/>
  <c r="L655" i="67"/>
  <c r="AC654" i="67"/>
  <c r="AA654" i="67"/>
  <c r="W654" i="67"/>
  <c r="U654" i="67"/>
  <c r="S654" i="67"/>
  <c r="R654" i="67"/>
  <c r="Q654" i="67"/>
  <c r="P654" i="67"/>
  <c r="X654" i="67" s="1"/>
  <c r="O654" i="67"/>
  <c r="N654" i="67"/>
  <c r="M654" i="67"/>
  <c r="L654" i="67"/>
  <c r="AC653" i="67"/>
  <c r="AA653" i="67"/>
  <c r="W653" i="67"/>
  <c r="U653" i="67"/>
  <c r="S653" i="67"/>
  <c r="R653" i="67"/>
  <c r="Q653" i="67"/>
  <c r="P653" i="67"/>
  <c r="X653" i="67" s="1"/>
  <c r="O653" i="67"/>
  <c r="N653" i="67"/>
  <c r="M653" i="67"/>
  <c r="L653" i="67"/>
  <c r="AC652" i="67"/>
  <c r="AA652" i="67"/>
  <c r="W652" i="67"/>
  <c r="U652" i="67"/>
  <c r="S652" i="67"/>
  <c r="R652" i="67"/>
  <c r="Q652" i="67"/>
  <c r="P652" i="67"/>
  <c r="X652" i="67" s="1"/>
  <c r="O652" i="67"/>
  <c r="N652" i="67"/>
  <c r="M652" i="67"/>
  <c r="L652" i="67"/>
  <c r="AC651" i="67"/>
  <c r="AA651" i="67"/>
  <c r="X651" i="67"/>
  <c r="W651" i="67"/>
  <c r="U651" i="67"/>
  <c r="S651" i="67"/>
  <c r="R651" i="67"/>
  <c r="Q651" i="67"/>
  <c r="P651" i="67"/>
  <c r="O651" i="67"/>
  <c r="N651" i="67"/>
  <c r="M651" i="67"/>
  <c r="L651" i="67"/>
  <c r="AC650" i="67"/>
  <c r="AA650" i="67"/>
  <c r="W650" i="67"/>
  <c r="U650" i="67"/>
  <c r="S650" i="67"/>
  <c r="R650" i="67"/>
  <c r="Q650" i="67"/>
  <c r="P650" i="67"/>
  <c r="X650" i="67" s="1"/>
  <c r="O650" i="67"/>
  <c r="N650" i="67"/>
  <c r="M650" i="67"/>
  <c r="L650" i="67"/>
  <c r="AC649" i="67"/>
  <c r="AA649" i="67"/>
  <c r="W649" i="67"/>
  <c r="U649" i="67"/>
  <c r="S649" i="67"/>
  <c r="R649" i="67"/>
  <c r="Q649" i="67"/>
  <c r="P649" i="67"/>
  <c r="X649" i="67" s="1"/>
  <c r="O649" i="67"/>
  <c r="N649" i="67"/>
  <c r="M649" i="67"/>
  <c r="L649" i="67"/>
  <c r="AC648" i="67"/>
  <c r="AA648" i="67"/>
  <c r="W648" i="67"/>
  <c r="U648" i="67"/>
  <c r="S648" i="67"/>
  <c r="R648" i="67"/>
  <c r="Q648" i="67"/>
  <c r="P648" i="67"/>
  <c r="X648" i="67" s="1"/>
  <c r="O648" i="67"/>
  <c r="N648" i="67"/>
  <c r="M648" i="67"/>
  <c r="L648" i="67"/>
  <c r="AC647" i="67"/>
  <c r="AA647" i="67"/>
  <c r="W647" i="67"/>
  <c r="U647" i="67"/>
  <c r="S647" i="67"/>
  <c r="R647" i="67"/>
  <c r="Q647" i="67"/>
  <c r="P647" i="67"/>
  <c r="X647" i="67" s="1"/>
  <c r="O647" i="67"/>
  <c r="N647" i="67"/>
  <c r="M647" i="67"/>
  <c r="L647" i="67"/>
  <c r="AC646" i="67"/>
  <c r="AA646" i="67"/>
  <c r="W646" i="67"/>
  <c r="U646" i="67"/>
  <c r="S646" i="67"/>
  <c r="R646" i="67"/>
  <c r="Q646" i="67"/>
  <c r="P646" i="67"/>
  <c r="X646" i="67" s="1"/>
  <c r="O646" i="67"/>
  <c r="N646" i="67"/>
  <c r="M646" i="67"/>
  <c r="L646" i="67"/>
  <c r="AC645" i="67"/>
  <c r="AA645" i="67"/>
  <c r="X645" i="67"/>
  <c r="W645" i="67"/>
  <c r="U645" i="67"/>
  <c r="S645" i="67"/>
  <c r="R645" i="67"/>
  <c r="Q645" i="67"/>
  <c r="P645" i="67"/>
  <c r="O645" i="67"/>
  <c r="N645" i="67"/>
  <c r="M645" i="67"/>
  <c r="L645" i="67"/>
  <c r="AC644" i="67"/>
  <c r="AA644" i="67"/>
  <c r="W644" i="67"/>
  <c r="U644" i="67"/>
  <c r="S644" i="67"/>
  <c r="R644" i="67"/>
  <c r="Q644" i="67"/>
  <c r="P644" i="67"/>
  <c r="X644" i="67" s="1"/>
  <c r="O644" i="67"/>
  <c r="N644" i="67"/>
  <c r="M644" i="67"/>
  <c r="L644" i="67"/>
  <c r="AC643" i="67"/>
  <c r="AA643" i="67"/>
  <c r="W643" i="67"/>
  <c r="U643" i="67"/>
  <c r="S643" i="67"/>
  <c r="R643" i="67"/>
  <c r="Q643" i="67"/>
  <c r="P643" i="67"/>
  <c r="X643" i="67" s="1"/>
  <c r="O643" i="67"/>
  <c r="N643" i="67"/>
  <c r="M643" i="67"/>
  <c r="L643" i="67"/>
  <c r="AC642" i="67"/>
  <c r="AA642" i="67"/>
  <c r="W642" i="67"/>
  <c r="U642" i="67"/>
  <c r="S642" i="67"/>
  <c r="R642" i="67"/>
  <c r="Q642" i="67"/>
  <c r="P642" i="67"/>
  <c r="X642" i="67" s="1"/>
  <c r="O642" i="67"/>
  <c r="N642" i="67"/>
  <c r="M642" i="67"/>
  <c r="L642" i="67"/>
  <c r="AC641" i="67"/>
  <c r="AA641" i="67"/>
  <c r="W641" i="67"/>
  <c r="U641" i="67"/>
  <c r="S641" i="67"/>
  <c r="R641" i="67"/>
  <c r="Q641" i="67"/>
  <c r="P641" i="67"/>
  <c r="X641" i="67" s="1"/>
  <c r="O641" i="67"/>
  <c r="N641" i="67"/>
  <c r="M641" i="67"/>
  <c r="L641" i="67"/>
  <c r="AC640" i="67"/>
  <c r="AA640" i="67"/>
  <c r="W640" i="67"/>
  <c r="U640" i="67"/>
  <c r="S640" i="67"/>
  <c r="R640" i="67"/>
  <c r="Q640" i="67"/>
  <c r="P640" i="67"/>
  <c r="X640" i="67" s="1"/>
  <c r="O640" i="67"/>
  <c r="N640" i="67"/>
  <c r="M640" i="67"/>
  <c r="L640" i="67"/>
  <c r="AC639" i="67"/>
  <c r="AA639" i="67"/>
  <c r="X639" i="67"/>
  <c r="W639" i="67"/>
  <c r="U639" i="67"/>
  <c r="S639" i="67"/>
  <c r="R639" i="67"/>
  <c r="Q639" i="67"/>
  <c r="P639" i="67"/>
  <c r="O639" i="67"/>
  <c r="N639" i="67"/>
  <c r="M639" i="67"/>
  <c r="L639" i="67"/>
  <c r="AC638" i="67"/>
  <c r="AA638" i="67"/>
  <c r="W638" i="67"/>
  <c r="U638" i="67"/>
  <c r="S638" i="67"/>
  <c r="R638" i="67"/>
  <c r="Q638" i="67"/>
  <c r="P638" i="67"/>
  <c r="X638" i="67" s="1"/>
  <c r="O638" i="67"/>
  <c r="N638" i="67"/>
  <c r="M638" i="67"/>
  <c r="L638" i="67"/>
  <c r="AC637" i="67"/>
  <c r="AA637" i="67"/>
  <c r="W637" i="67"/>
  <c r="U637" i="67"/>
  <c r="S637" i="67"/>
  <c r="R637" i="67"/>
  <c r="Q637" i="67"/>
  <c r="P637" i="67"/>
  <c r="X637" i="67" s="1"/>
  <c r="O637" i="67"/>
  <c r="N637" i="67"/>
  <c r="M637" i="67"/>
  <c r="L637" i="67"/>
  <c r="AC636" i="67"/>
  <c r="AA636" i="67"/>
  <c r="W636" i="67"/>
  <c r="U636" i="67"/>
  <c r="S636" i="67"/>
  <c r="R636" i="67"/>
  <c r="Q636" i="67"/>
  <c r="P636" i="67"/>
  <c r="X636" i="67" s="1"/>
  <c r="O636" i="67"/>
  <c r="N636" i="67"/>
  <c r="M636" i="67"/>
  <c r="L636" i="67"/>
  <c r="AC635" i="67"/>
  <c r="AA635" i="67"/>
  <c r="W635" i="67"/>
  <c r="U635" i="67"/>
  <c r="S635" i="67"/>
  <c r="R635" i="67"/>
  <c r="Q635" i="67"/>
  <c r="P635" i="67"/>
  <c r="X635" i="67" s="1"/>
  <c r="O635" i="67"/>
  <c r="N635" i="67"/>
  <c r="M635" i="67"/>
  <c r="L635" i="67"/>
  <c r="AC634" i="67"/>
  <c r="AA634" i="67"/>
  <c r="W634" i="67"/>
  <c r="U634" i="67"/>
  <c r="S634" i="67"/>
  <c r="R634" i="67"/>
  <c r="Q634" i="67"/>
  <c r="P634" i="67"/>
  <c r="X634" i="67" s="1"/>
  <c r="O634" i="67"/>
  <c r="N634" i="67"/>
  <c r="M634" i="67"/>
  <c r="L634" i="67"/>
  <c r="AC633" i="67"/>
  <c r="AA633" i="67"/>
  <c r="X633" i="67"/>
  <c r="W633" i="67"/>
  <c r="U633" i="67"/>
  <c r="S633" i="67"/>
  <c r="R633" i="67"/>
  <c r="Q633" i="67"/>
  <c r="T633" i="67" s="1"/>
  <c r="P633" i="67"/>
  <c r="O633" i="67"/>
  <c r="N633" i="67"/>
  <c r="M633" i="67"/>
  <c r="L633" i="67"/>
  <c r="AC632" i="67"/>
  <c r="AA632" i="67"/>
  <c r="W632" i="67"/>
  <c r="U632" i="67"/>
  <c r="S632" i="67"/>
  <c r="R632" i="67"/>
  <c r="Q632" i="67"/>
  <c r="P632" i="67"/>
  <c r="X632" i="67" s="1"/>
  <c r="O632" i="67"/>
  <c r="N632" i="67"/>
  <c r="M632" i="67"/>
  <c r="L632" i="67"/>
  <c r="AC631" i="67"/>
  <c r="AA631" i="67"/>
  <c r="W631" i="67"/>
  <c r="U631" i="67"/>
  <c r="S631" i="67"/>
  <c r="R631" i="67"/>
  <c r="Q631" i="67"/>
  <c r="P631" i="67"/>
  <c r="X631" i="67" s="1"/>
  <c r="O631" i="67"/>
  <c r="N631" i="67"/>
  <c r="M631" i="67"/>
  <c r="L631" i="67"/>
  <c r="AC630" i="67"/>
  <c r="AA630" i="67"/>
  <c r="W630" i="67"/>
  <c r="U630" i="67"/>
  <c r="S630" i="67"/>
  <c r="R630" i="67"/>
  <c r="Q630" i="67"/>
  <c r="P630" i="67"/>
  <c r="X630" i="67" s="1"/>
  <c r="O630" i="67"/>
  <c r="N630" i="67"/>
  <c r="M630" i="67"/>
  <c r="L630" i="67"/>
  <c r="AC629" i="67"/>
  <c r="AA629" i="67"/>
  <c r="W629" i="67"/>
  <c r="U629" i="67"/>
  <c r="S629" i="67"/>
  <c r="R629" i="67"/>
  <c r="Q629" i="67"/>
  <c r="P629" i="67"/>
  <c r="X629" i="67" s="1"/>
  <c r="O629" i="67"/>
  <c r="N629" i="67"/>
  <c r="M629" i="67"/>
  <c r="L629" i="67"/>
  <c r="AC628" i="67"/>
  <c r="AA628" i="67"/>
  <c r="W628" i="67"/>
  <c r="U628" i="67"/>
  <c r="S628" i="67"/>
  <c r="R628" i="67"/>
  <c r="Q628" i="67"/>
  <c r="P628" i="67"/>
  <c r="X628" i="67" s="1"/>
  <c r="O628" i="67"/>
  <c r="N628" i="67"/>
  <c r="M628" i="67"/>
  <c r="L628" i="67"/>
  <c r="AC627" i="67"/>
  <c r="AA627" i="67"/>
  <c r="X627" i="67"/>
  <c r="W627" i="67"/>
  <c r="U627" i="67"/>
  <c r="S627" i="67"/>
  <c r="R627" i="67"/>
  <c r="Q627" i="67"/>
  <c r="P627" i="67"/>
  <c r="O627" i="67"/>
  <c r="N627" i="67"/>
  <c r="M627" i="67"/>
  <c r="L627" i="67"/>
  <c r="AC626" i="67"/>
  <c r="AA626" i="67"/>
  <c r="W626" i="67"/>
  <c r="U626" i="67"/>
  <c r="S626" i="67"/>
  <c r="R626" i="67"/>
  <c r="Q626" i="67"/>
  <c r="P626" i="67"/>
  <c r="X626" i="67" s="1"/>
  <c r="O626" i="67"/>
  <c r="N626" i="67"/>
  <c r="M626" i="67"/>
  <c r="L626" i="67"/>
  <c r="AC625" i="67"/>
  <c r="AA625" i="67"/>
  <c r="W625" i="67"/>
  <c r="U625" i="67"/>
  <c r="S625" i="67"/>
  <c r="R625" i="67"/>
  <c r="Q625" i="67"/>
  <c r="P625" i="67"/>
  <c r="X625" i="67" s="1"/>
  <c r="O625" i="67"/>
  <c r="N625" i="67"/>
  <c r="M625" i="67"/>
  <c r="L625" i="67"/>
  <c r="AC624" i="67"/>
  <c r="AA624" i="67"/>
  <c r="W624" i="67"/>
  <c r="U624" i="67"/>
  <c r="S624" i="67"/>
  <c r="R624" i="67"/>
  <c r="Q624" i="67"/>
  <c r="P624" i="67"/>
  <c r="X624" i="67" s="1"/>
  <c r="O624" i="67"/>
  <c r="N624" i="67"/>
  <c r="M624" i="67"/>
  <c r="L624" i="67"/>
  <c r="AC623" i="67"/>
  <c r="AA623" i="67"/>
  <c r="W623" i="67"/>
  <c r="U623" i="67"/>
  <c r="S623" i="67"/>
  <c r="R623" i="67"/>
  <c r="Q623" i="67"/>
  <c r="P623" i="67"/>
  <c r="X623" i="67" s="1"/>
  <c r="O623" i="67"/>
  <c r="N623" i="67"/>
  <c r="M623" i="67"/>
  <c r="L623" i="67"/>
  <c r="AC622" i="67"/>
  <c r="AA622" i="67"/>
  <c r="W622" i="67"/>
  <c r="U622" i="67"/>
  <c r="S622" i="67"/>
  <c r="R622" i="67"/>
  <c r="Q622" i="67"/>
  <c r="P622" i="67"/>
  <c r="X622" i="67" s="1"/>
  <c r="O622" i="67"/>
  <c r="N622" i="67"/>
  <c r="M622" i="67"/>
  <c r="L622" i="67"/>
  <c r="AC621" i="67"/>
  <c r="AA621" i="67"/>
  <c r="X621" i="67"/>
  <c r="W621" i="67"/>
  <c r="U621" i="67"/>
  <c r="S621" i="67"/>
  <c r="R621" i="67"/>
  <c r="Q621" i="67"/>
  <c r="P621" i="67"/>
  <c r="O621" i="67"/>
  <c r="N621" i="67"/>
  <c r="M621" i="67"/>
  <c r="L621" i="67"/>
  <c r="AA620" i="67"/>
  <c r="W620" i="67"/>
  <c r="U620" i="67"/>
  <c r="S620" i="67"/>
  <c r="R620" i="67"/>
  <c r="Q620" i="67"/>
  <c r="P620" i="67"/>
  <c r="X620" i="67" s="1"/>
  <c r="O620" i="67"/>
  <c r="N620" i="67"/>
  <c r="M620" i="67"/>
  <c r="L620" i="67"/>
  <c r="AC619" i="67"/>
  <c r="AA619" i="67"/>
  <c r="W619" i="67"/>
  <c r="U619" i="67"/>
  <c r="S619" i="67"/>
  <c r="R619" i="67"/>
  <c r="Q619" i="67"/>
  <c r="P619" i="67"/>
  <c r="X619" i="67" s="1"/>
  <c r="O619" i="67"/>
  <c r="N619" i="67"/>
  <c r="M619" i="67"/>
  <c r="L619" i="67"/>
  <c r="AC618" i="67"/>
  <c r="AA618" i="67"/>
  <c r="W618" i="67"/>
  <c r="U618" i="67"/>
  <c r="S618" i="67"/>
  <c r="R618" i="67"/>
  <c r="Q618" i="67"/>
  <c r="P618" i="67"/>
  <c r="X618" i="67" s="1"/>
  <c r="O618" i="67"/>
  <c r="N618" i="67"/>
  <c r="M618" i="67"/>
  <c r="L618" i="67"/>
  <c r="AC617" i="67"/>
  <c r="AA617" i="67"/>
  <c r="W617" i="67"/>
  <c r="U617" i="67"/>
  <c r="S617" i="67"/>
  <c r="R617" i="67"/>
  <c r="Q617" i="67"/>
  <c r="P617" i="67"/>
  <c r="X617" i="67" s="1"/>
  <c r="O617" i="67"/>
  <c r="N617" i="67"/>
  <c r="M617" i="67"/>
  <c r="L617" i="67"/>
  <c r="AC616" i="67"/>
  <c r="AA616" i="67"/>
  <c r="W616" i="67"/>
  <c r="U616" i="67"/>
  <c r="S616" i="67"/>
  <c r="R616" i="67"/>
  <c r="Q616" i="67"/>
  <c r="P616" i="67"/>
  <c r="X616" i="67" s="1"/>
  <c r="O616" i="67"/>
  <c r="N616" i="67"/>
  <c r="M616" i="67"/>
  <c r="L616" i="67"/>
  <c r="AC615" i="67"/>
  <c r="AA615" i="67"/>
  <c r="W615" i="67"/>
  <c r="U615" i="67"/>
  <c r="S615" i="67"/>
  <c r="R615" i="67"/>
  <c r="Q615" i="67"/>
  <c r="P615" i="67"/>
  <c r="X615" i="67" s="1"/>
  <c r="O615" i="67"/>
  <c r="N615" i="67"/>
  <c r="M615" i="67"/>
  <c r="L615" i="67"/>
  <c r="AC614" i="67"/>
  <c r="AA614" i="67"/>
  <c r="W614" i="67"/>
  <c r="U614" i="67"/>
  <c r="S614" i="67"/>
  <c r="R614" i="67"/>
  <c r="Q614" i="67"/>
  <c r="P614" i="67"/>
  <c r="O614" i="67"/>
  <c r="N614" i="67"/>
  <c r="M614" i="67"/>
  <c r="L614" i="67"/>
  <c r="AC613" i="67"/>
  <c r="AA613" i="67"/>
  <c r="X613" i="67"/>
  <c r="U613" i="67"/>
  <c r="S613" i="67"/>
  <c r="R613" i="67"/>
  <c r="Q613" i="67"/>
  <c r="P613" i="67"/>
  <c r="O613" i="67"/>
  <c r="N613" i="67"/>
  <c r="M613" i="67"/>
  <c r="L613" i="67"/>
  <c r="AC612" i="67"/>
  <c r="AA612" i="67"/>
  <c r="W612" i="67"/>
  <c r="U612" i="67"/>
  <c r="S612" i="67"/>
  <c r="R612" i="67"/>
  <c r="Q612" i="67"/>
  <c r="P612" i="67"/>
  <c r="X612" i="67" s="1"/>
  <c r="O612" i="67"/>
  <c r="N612" i="67"/>
  <c r="M612" i="67"/>
  <c r="L612" i="67"/>
  <c r="AC611" i="67"/>
  <c r="AA611" i="67"/>
  <c r="W611" i="67"/>
  <c r="U611" i="67"/>
  <c r="S611" i="67"/>
  <c r="R611" i="67"/>
  <c r="Q611" i="67"/>
  <c r="P611" i="67"/>
  <c r="X611" i="67" s="1"/>
  <c r="O611" i="67"/>
  <c r="N611" i="67"/>
  <c r="M611" i="67"/>
  <c r="L611" i="67"/>
  <c r="AC610" i="67"/>
  <c r="AA610" i="67"/>
  <c r="W610" i="67"/>
  <c r="U610" i="67"/>
  <c r="S610" i="67"/>
  <c r="R610" i="67"/>
  <c r="Q610" i="67"/>
  <c r="P610" i="67"/>
  <c r="X610" i="67" s="1"/>
  <c r="O610" i="67"/>
  <c r="N610" i="67"/>
  <c r="M610" i="67"/>
  <c r="L610" i="67"/>
  <c r="AC609" i="67"/>
  <c r="AA609" i="67"/>
  <c r="W609" i="67"/>
  <c r="U609" i="67"/>
  <c r="S609" i="67"/>
  <c r="R609" i="67"/>
  <c r="Q609" i="67"/>
  <c r="P609" i="67"/>
  <c r="X609" i="67" s="1"/>
  <c r="O609" i="67"/>
  <c r="N609" i="67"/>
  <c r="M609" i="67"/>
  <c r="L609" i="67"/>
  <c r="AC608" i="67"/>
  <c r="AA608" i="67"/>
  <c r="W608" i="67"/>
  <c r="U608" i="67"/>
  <c r="S608" i="67"/>
  <c r="R608" i="67"/>
  <c r="Q608" i="67"/>
  <c r="P608" i="67"/>
  <c r="X608" i="67" s="1"/>
  <c r="O608" i="67"/>
  <c r="N608" i="67"/>
  <c r="M608" i="67"/>
  <c r="L608" i="67"/>
  <c r="AC607" i="67"/>
  <c r="AA607" i="67"/>
  <c r="W607" i="67"/>
  <c r="U607" i="67"/>
  <c r="S607" i="67"/>
  <c r="R607" i="67"/>
  <c r="Q607" i="67"/>
  <c r="P607" i="67"/>
  <c r="X607" i="67" s="1"/>
  <c r="O607" i="67"/>
  <c r="N607" i="67"/>
  <c r="M607" i="67"/>
  <c r="L607" i="67"/>
  <c r="AC606" i="67"/>
  <c r="AA606" i="67"/>
  <c r="W606" i="67"/>
  <c r="U606" i="67"/>
  <c r="S606" i="67"/>
  <c r="R606" i="67"/>
  <c r="Q606" i="67"/>
  <c r="P606" i="67"/>
  <c r="O606" i="67"/>
  <c r="N606" i="67"/>
  <c r="M606" i="67"/>
  <c r="L606" i="67"/>
  <c r="AC605" i="67"/>
  <c r="AA605" i="67"/>
  <c r="X605" i="67"/>
  <c r="U605" i="67"/>
  <c r="S605" i="67"/>
  <c r="R605" i="67"/>
  <c r="Q605" i="67"/>
  <c r="P605" i="67"/>
  <c r="O605" i="67"/>
  <c r="N605" i="67"/>
  <c r="M605" i="67"/>
  <c r="L605" i="67"/>
  <c r="AC604" i="67"/>
  <c r="AA604" i="67"/>
  <c r="W604" i="67"/>
  <c r="U604" i="67"/>
  <c r="S604" i="67"/>
  <c r="R604" i="67"/>
  <c r="Q604" i="67"/>
  <c r="P604" i="67"/>
  <c r="X604" i="67" s="1"/>
  <c r="O604" i="67"/>
  <c r="N604" i="67"/>
  <c r="M604" i="67"/>
  <c r="L604" i="67"/>
  <c r="AC603" i="67"/>
  <c r="AA603" i="67"/>
  <c r="W603" i="67"/>
  <c r="U603" i="67"/>
  <c r="S603" i="67"/>
  <c r="R603" i="67"/>
  <c r="Q603" i="67"/>
  <c r="P603" i="67"/>
  <c r="X603" i="67" s="1"/>
  <c r="O603" i="67"/>
  <c r="N603" i="67"/>
  <c r="M603" i="67"/>
  <c r="L603" i="67"/>
  <c r="AC602" i="67"/>
  <c r="AA602" i="67"/>
  <c r="W602" i="67"/>
  <c r="U602" i="67"/>
  <c r="S602" i="67"/>
  <c r="R602" i="67"/>
  <c r="Q602" i="67"/>
  <c r="P602" i="67"/>
  <c r="X602" i="67" s="1"/>
  <c r="O602" i="67"/>
  <c r="N602" i="67"/>
  <c r="M602" i="67"/>
  <c r="L602" i="67"/>
  <c r="AC601" i="67"/>
  <c r="AA601" i="67"/>
  <c r="W601" i="67"/>
  <c r="U601" i="67"/>
  <c r="S601" i="67"/>
  <c r="R601" i="67"/>
  <c r="Q601" i="67"/>
  <c r="P601" i="67"/>
  <c r="X601" i="67" s="1"/>
  <c r="O601" i="67"/>
  <c r="N601" i="67"/>
  <c r="M601" i="67"/>
  <c r="L601" i="67"/>
  <c r="AC600" i="67"/>
  <c r="AA600" i="67"/>
  <c r="W600" i="67"/>
  <c r="U600" i="67"/>
  <c r="S600" i="67"/>
  <c r="R600" i="67"/>
  <c r="Q600" i="67"/>
  <c r="P600" i="67"/>
  <c r="X600" i="67" s="1"/>
  <c r="O600" i="67"/>
  <c r="N600" i="67"/>
  <c r="M600" i="67"/>
  <c r="L600" i="67"/>
  <c r="AC599" i="67"/>
  <c r="AA599" i="67"/>
  <c r="W599" i="67"/>
  <c r="U599" i="67"/>
  <c r="S599" i="67"/>
  <c r="R599" i="67"/>
  <c r="Q599" i="67"/>
  <c r="P599" i="67"/>
  <c r="X599" i="67" s="1"/>
  <c r="O599" i="67"/>
  <c r="N599" i="67"/>
  <c r="M599" i="67"/>
  <c r="L599" i="67"/>
  <c r="AC598" i="67"/>
  <c r="AA598" i="67"/>
  <c r="X598" i="67"/>
  <c r="U598" i="67"/>
  <c r="S598" i="67"/>
  <c r="R598" i="67"/>
  <c r="Q598" i="67"/>
  <c r="O598" i="67"/>
  <c r="N598" i="67"/>
  <c r="M598" i="67"/>
  <c r="AC597" i="67"/>
  <c r="AA597" i="67"/>
  <c r="W597" i="67"/>
  <c r="U597" i="67"/>
  <c r="S597" i="67"/>
  <c r="R597" i="67"/>
  <c r="Q597" i="67"/>
  <c r="P597" i="67"/>
  <c r="X597" i="67" s="1"/>
  <c r="O597" i="67"/>
  <c r="N597" i="67"/>
  <c r="M597" i="67"/>
  <c r="L597" i="67"/>
  <c r="AC596" i="67"/>
  <c r="AA596" i="67"/>
  <c r="W596" i="67"/>
  <c r="U596" i="67"/>
  <c r="S596" i="67"/>
  <c r="R596" i="67"/>
  <c r="Q596" i="67"/>
  <c r="P596" i="67"/>
  <c r="X596" i="67" s="1"/>
  <c r="O596" i="67"/>
  <c r="N596" i="67"/>
  <c r="M596" i="67"/>
  <c r="L596" i="67"/>
  <c r="AC595" i="67"/>
  <c r="AA595" i="67"/>
  <c r="W595" i="67"/>
  <c r="U595" i="67"/>
  <c r="S595" i="67"/>
  <c r="R595" i="67"/>
  <c r="Q595" i="67"/>
  <c r="P595" i="67"/>
  <c r="X595" i="67" s="1"/>
  <c r="O595" i="67"/>
  <c r="N595" i="67"/>
  <c r="M595" i="67"/>
  <c r="L595" i="67"/>
  <c r="AC594" i="67"/>
  <c r="AA594" i="67"/>
  <c r="W594" i="67"/>
  <c r="U594" i="67"/>
  <c r="S594" i="67"/>
  <c r="R594" i="67"/>
  <c r="Q594" i="67"/>
  <c r="P594" i="67"/>
  <c r="X594" i="67" s="1"/>
  <c r="O594" i="67"/>
  <c r="N594" i="67"/>
  <c r="M594" i="67"/>
  <c r="L594" i="67"/>
  <c r="AC593" i="67"/>
  <c r="AA593" i="67"/>
  <c r="W593" i="67"/>
  <c r="U593" i="67"/>
  <c r="S593" i="67"/>
  <c r="R593" i="67"/>
  <c r="Q593" i="67"/>
  <c r="P593" i="67"/>
  <c r="X593" i="67" s="1"/>
  <c r="O593" i="67"/>
  <c r="N593" i="67"/>
  <c r="M593" i="67"/>
  <c r="L593" i="67"/>
  <c r="AC592" i="67"/>
  <c r="AA592" i="67"/>
  <c r="W592" i="67"/>
  <c r="U592" i="67"/>
  <c r="S592" i="67"/>
  <c r="R592" i="67"/>
  <c r="Q592" i="67"/>
  <c r="P592" i="67"/>
  <c r="O592" i="67"/>
  <c r="N592" i="67"/>
  <c r="M592" i="67"/>
  <c r="L592" i="67"/>
  <c r="AC591" i="67"/>
  <c r="AA591" i="67"/>
  <c r="X591" i="67"/>
  <c r="U591" i="67"/>
  <c r="S591" i="67"/>
  <c r="R591" i="67"/>
  <c r="Q591" i="67"/>
  <c r="O591" i="67"/>
  <c r="N591" i="67"/>
  <c r="M591" i="67"/>
  <c r="AC590" i="67"/>
  <c r="AA590" i="67"/>
  <c r="W590" i="67"/>
  <c r="U590" i="67"/>
  <c r="S590" i="67"/>
  <c r="R590" i="67"/>
  <c r="Q590" i="67"/>
  <c r="P590" i="67"/>
  <c r="X590" i="67" s="1"/>
  <c r="O590" i="67"/>
  <c r="N590" i="67"/>
  <c r="M590" i="67"/>
  <c r="L590" i="67"/>
  <c r="AC589" i="67"/>
  <c r="AA589" i="67"/>
  <c r="W589" i="67"/>
  <c r="U589" i="67"/>
  <c r="S589" i="67"/>
  <c r="R589" i="67"/>
  <c r="Q589" i="67"/>
  <c r="P589" i="67"/>
  <c r="X589" i="67" s="1"/>
  <c r="O589" i="67"/>
  <c r="N589" i="67"/>
  <c r="M589" i="67"/>
  <c r="L589" i="67"/>
  <c r="AC588" i="67"/>
  <c r="AA588" i="67"/>
  <c r="W588" i="67"/>
  <c r="U588" i="67"/>
  <c r="S588" i="67"/>
  <c r="R588" i="67"/>
  <c r="Q588" i="67"/>
  <c r="P588" i="67"/>
  <c r="X588" i="67" s="1"/>
  <c r="O588" i="67"/>
  <c r="N588" i="67"/>
  <c r="M588" i="67"/>
  <c r="L588" i="67"/>
  <c r="AC587" i="67"/>
  <c r="AA587" i="67"/>
  <c r="W587" i="67"/>
  <c r="U587" i="67"/>
  <c r="S587" i="67"/>
  <c r="R587" i="67"/>
  <c r="Q587" i="67"/>
  <c r="P587" i="67"/>
  <c r="X587" i="67" s="1"/>
  <c r="O587" i="67"/>
  <c r="N587" i="67"/>
  <c r="M587" i="67"/>
  <c r="L587" i="67"/>
  <c r="AC586" i="67"/>
  <c r="AA586" i="67"/>
  <c r="W586" i="67"/>
  <c r="U586" i="67"/>
  <c r="S586" i="67"/>
  <c r="R586" i="67"/>
  <c r="Q586" i="67"/>
  <c r="P586" i="67"/>
  <c r="X586" i="67" s="1"/>
  <c r="O586" i="67"/>
  <c r="N586" i="67"/>
  <c r="M586" i="67"/>
  <c r="L586" i="67"/>
  <c r="AC585" i="67"/>
  <c r="AA585" i="67"/>
  <c r="X585" i="67"/>
  <c r="W585" i="67"/>
  <c r="U585" i="67"/>
  <c r="S585" i="67"/>
  <c r="R585" i="67"/>
  <c r="Q585" i="67"/>
  <c r="P585" i="67"/>
  <c r="O585" i="67"/>
  <c r="N585" i="67"/>
  <c r="M585" i="67"/>
  <c r="L585" i="67"/>
  <c r="AC584" i="67"/>
  <c r="AA584" i="67"/>
  <c r="W584" i="67"/>
  <c r="U584" i="67"/>
  <c r="S584" i="67"/>
  <c r="R584" i="67"/>
  <c r="Q584" i="67"/>
  <c r="P584" i="67"/>
  <c r="X584" i="67" s="1"/>
  <c r="O584" i="67"/>
  <c r="N584" i="67"/>
  <c r="M584" i="67"/>
  <c r="L584" i="67"/>
  <c r="AC583" i="67"/>
  <c r="AA583" i="67"/>
  <c r="W583" i="67"/>
  <c r="U583" i="67"/>
  <c r="S583" i="67"/>
  <c r="R583" i="67"/>
  <c r="Q583" i="67"/>
  <c r="P583" i="67"/>
  <c r="X583" i="67" s="1"/>
  <c r="O583" i="67"/>
  <c r="N583" i="67"/>
  <c r="M583" i="67"/>
  <c r="L583" i="67"/>
  <c r="AC582" i="67"/>
  <c r="AA582" i="67"/>
  <c r="W582" i="67"/>
  <c r="U582" i="67"/>
  <c r="S582" i="67"/>
  <c r="R582" i="67"/>
  <c r="Q582" i="67"/>
  <c r="P582" i="67"/>
  <c r="X582" i="67" s="1"/>
  <c r="O582" i="67"/>
  <c r="N582" i="67"/>
  <c r="M582" i="67"/>
  <c r="L582" i="67"/>
  <c r="AC581" i="67"/>
  <c r="AA581" i="67"/>
  <c r="W581" i="67"/>
  <c r="U581" i="67"/>
  <c r="S581" i="67"/>
  <c r="R581" i="67"/>
  <c r="Q581" i="67"/>
  <c r="P581" i="67"/>
  <c r="X581" i="67" s="1"/>
  <c r="O581" i="67"/>
  <c r="N581" i="67"/>
  <c r="M581" i="67"/>
  <c r="L581" i="67"/>
  <c r="AC580" i="67"/>
  <c r="AA580" i="67"/>
  <c r="W580" i="67"/>
  <c r="U580" i="67"/>
  <c r="S580" i="67"/>
  <c r="R580" i="67"/>
  <c r="Q580" i="67"/>
  <c r="P580" i="67"/>
  <c r="X580" i="67" s="1"/>
  <c r="O580" i="67"/>
  <c r="N580" i="67"/>
  <c r="M580" i="67"/>
  <c r="L580" i="67"/>
  <c r="AC579" i="67"/>
  <c r="AA579" i="67"/>
  <c r="X579" i="67"/>
  <c r="W579" i="67"/>
  <c r="U579" i="67"/>
  <c r="S579" i="67"/>
  <c r="R579" i="67"/>
  <c r="Q579" i="67"/>
  <c r="P579" i="67"/>
  <c r="O579" i="67"/>
  <c r="N579" i="67"/>
  <c r="M579" i="67"/>
  <c r="L579" i="67"/>
  <c r="AC578" i="67"/>
  <c r="AA578" i="67"/>
  <c r="W578" i="67"/>
  <c r="U578" i="67"/>
  <c r="S578" i="67"/>
  <c r="R578" i="67"/>
  <c r="Q578" i="67"/>
  <c r="P578" i="67"/>
  <c r="X578" i="67" s="1"/>
  <c r="O578" i="67"/>
  <c r="N578" i="67"/>
  <c r="M578" i="67"/>
  <c r="L578" i="67"/>
  <c r="AC577" i="67"/>
  <c r="AA577" i="67"/>
  <c r="W577" i="67"/>
  <c r="U577" i="67"/>
  <c r="S577" i="67"/>
  <c r="R577" i="67"/>
  <c r="Q577" i="67"/>
  <c r="P577" i="67"/>
  <c r="X577" i="67" s="1"/>
  <c r="O577" i="67"/>
  <c r="N577" i="67"/>
  <c r="M577" i="67"/>
  <c r="L577" i="67"/>
  <c r="AC576" i="67"/>
  <c r="AA576" i="67"/>
  <c r="W576" i="67"/>
  <c r="U576" i="67"/>
  <c r="S576" i="67"/>
  <c r="R576" i="67"/>
  <c r="Q576" i="67"/>
  <c r="P576" i="67"/>
  <c r="X576" i="67" s="1"/>
  <c r="O576" i="67"/>
  <c r="N576" i="67"/>
  <c r="M576" i="67"/>
  <c r="L576" i="67"/>
  <c r="AC575" i="67"/>
  <c r="AA575" i="67"/>
  <c r="W575" i="67"/>
  <c r="U575" i="67"/>
  <c r="S575" i="67"/>
  <c r="R575" i="67"/>
  <c r="Q575" i="67"/>
  <c r="P575" i="67"/>
  <c r="X575" i="67" s="1"/>
  <c r="O575" i="67"/>
  <c r="N575" i="67"/>
  <c r="M575" i="67"/>
  <c r="L575" i="67"/>
  <c r="AC574" i="67"/>
  <c r="AA574" i="67"/>
  <c r="W574" i="67"/>
  <c r="U574" i="67"/>
  <c r="S574" i="67"/>
  <c r="R574" i="67"/>
  <c r="Q574" i="67"/>
  <c r="P574" i="67"/>
  <c r="X574" i="67" s="1"/>
  <c r="O574" i="67"/>
  <c r="N574" i="67"/>
  <c r="M574" i="67"/>
  <c r="L574" i="67"/>
  <c r="AC573" i="67"/>
  <c r="AA573" i="67"/>
  <c r="X573" i="67"/>
  <c r="W573" i="67"/>
  <c r="U573" i="67"/>
  <c r="S573" i="67"/>
  <c r="R573" i="67"/>
  <c r="Q573" i="67"/>
  <c r="P573" i="67"/>
  <c r="O573" i="67"/>
  <c r="N573" i="67"/>
  <c r="M573" i="67"/>
  <c r="L573" i="67"/>
  <c r="AC572" i="67"/>
  <c r="AA572" i="67"/>
  <c r="W572" i="67"/>
  <c r="U572" i="67"/>
  <c r="S572" i="67"/>
  <c r="R572" i="67"/>
  <c r="Q572" i="67"/>
  <c r="P572" i="67"/>
  <c r="X572" i="67" s="1"/>
  <c r="O572" i="67"/>
  <c r="N572" i="67"/>
  <c r="M572" i="67"/>
  <c r="L572" i="67"/>
  <c r="AC571" i="67"/>
  <c r="AA571" i="67"/>
  <c r="X571" i="67"/>
  <c r="W571" i="67"/>
  <c r="U571" i="67"/>
  <c r="S571" i="67"/>
  <c r="R571" i="67"/>
  <c r="Q571" i="67"/>
  <c r="P571" i="67"/>
  <c r="O571" i="67"/>
  <c r="N571" i="67"/>
  <c r="M571" i="67"/>
  <c r="L571" i="67"/>
  <c r="AC570" i="67"/>
  <c r="AA570" i="67"/>
  <c r="W570" i="67"/>
  <c r="U570" i="67"/>
  <c r="S570" i="67"/>
  <c r="R570" i="67"/>
  <c r="Q570" i="67"/>
  <c r="P570" i="67"/>
  <c r="X570" i="67" s="1"/>
  <c r="O570" i="67"/>
  <c r="N570" i="67"/>
  <c r="M570" i="67"/>
  <c r="L570" i="67"/>
  <c r="AC569" i="67"/>
  <c r="AA569" i="67"/>
  <c r="W569" i="67"/>
  <c r="U569" i="67"/>
  <c r="S569" i="67"/>
  <c r="R569" i="67"/>
  <c r="Q569" i="67"/>
  <c r="P569" i="67"/>
  <c r="X569" i="67" s="1"/>
  <c r="O569" i="67"/>
  <c r="N569" i="67"/>
  <c r="M569" i="67"/>
  <c r="L569" i="67"/>
  <c r="AC568" i="67"/>
  <c r="AA568" i="67"/>
  <c r="W568" i="67"/>
  <c r="U568" i="67"/>
  <c r="S568" i="67"/>
  <c r="R568" i="67"/>
  <c r="Q568" i="67"/>
  <c r="P568" i="67"/>
  <c r="X568" i="67" s="1"/>
  <c r="O568" i="67"/>
  <c r="N568" i="67"/>
  <c r="M568" i="67"/>
  <c r="L568" i="67"/>
  <c r="AC567" i="67"/>
  <c r="AA567" i="67"/>
  <c r="W567" i="67"/>
  <c r="U567" i="67"/>
  <c r="S567" i="67"/>
  <c r="R567" i="67"/>
  <c r="Q567" i="67"/>
  <c r="P567" i="67"/>
  <c r="X567" i="67" s="1"/>
  <c r="O567" i="67"/>
  <c r="N567" i="67"/>
  <c r="M567" i="67"/>
  <c r="L567" i="67"/>
  <c r="AC566" i="67"/>
  <c r="AA566" i="67"/>
  <c r="W566" i="67"/>
  <c r="U566" i="67"/>
  <c r="S566" i="67"/>
  <c r="R566" i="67"/>
  <c r="Q566" i="67"/>
  <c r="P566" i="67"/>
  <c r="X566" i="67" s="1"/>
  <c r="O566" i="67"/>
  <c r="N566" i="67"/>
  <c r="M566" i="67"/>
  <c r="L566" i="67"/>
  <c r="AA565" i="67"/>
  <c r="X565" i="67"/>
  <c r="W565" i="67"/>
  <c r="U565" i="67"/>
  <c r="S565" i="67"/>
  <c r="R565" i="67"/>
  <c r="Q565" i="67"/>
  <c r="P565" i="67"/>
  <c r="O565" i="67"/>
  <c r="N565" i="67"/>
  <c r="M565" i="67"/>
  <c r="L565" i="67"/>
  <c r="AC564" i="67"/>
  <c r="AA564" i="67"/>
  <c r="W564" i="67"/>
  <c r="U564" i="67"/>
  <c r="S564" i="67"/>
  <c r="R564" i="67"/>
  <c r="Q564" i="67"/>
  <c r="P564" i="67"/>
  <c r="X564" i="67" s="1"/>
  <c r="O564" i="67"/>
  <c r="N564" i="67"/>
  <c r="M564" i="67"/>
  <c r="L564" i="67"/>
  <c r="AC563" i="67"/>
  <c r="AA563" i="67"/>
  <c r="W563" i="67"/>
  <c r="U563" i="67"/>
  <c r="S563" i="67"/>
  <c r="R563" i="67"/>
  <c r="Q563" i="67"/>
  <c r="P563" i="67"/>
  <c r="X563" i="67" s="1"/>
  <c r="O563" i="67"/>
  <c r="N563" i="67"/>
  <c r="M563" i="67"/>
  <c r="L563" i="67"/>
  <c r="AC562" i="67"/>
  <c r="AA562" i="67"/>
  <c r="W562" i="67"/>
  <c r="U562" i="67"/>
  <c r="S562" i="67"/>
  <c r="R562" i="67"/>
  <c r="Q562" i="67"/>
  <c r="P562" i="67"/>
  <c r="X562" i="67" s="1"/>
  <c r="O562" i="67"/>
  <c r="N562" i="67"/>
  <c r="M562" i="67"/>
  <c r="L562" i="67"/>
  <c r="AC561" i="67"/>
  <c r="AA561" i="67"/>
  <c r="W561" i="67"/>
  <c r="U561" i="67"/>
  <c r="S561" i="67"/>
  <c r="R561" i="67"/>
  <c r="Q561" i="67"/>
  <c r="P561" i="67"/>
  <c r="X561" i="67" s="1"/>
  <c r="O561" i="67"/>
  <c r="N561" i="67"/>
  <c r="M561" i="67"/>
  <c r="L561" i="67"/>
  <c r="AC560" i="67"/>
  <c r="AA560" i="67"/>
  <c r="W560" i="67"/>
  <c r="U560" i="67"/>
  <c r="S560" i="67"/>
  <c r="R560" i="67"/>
  <c r="Q560" i="67"/>
  <c r="P560" i="67"/>
  <c r="X560" i="67" s="1"/>
  <c r="O560" i="67"/>
  <c r="N560" i="67"/>
  <c r="M560" i="67"/>
  <c r="L560" i="67"/>
  <c r="AA559" i="67"/>
  <c r="X559" i="67"/>
  <c r="W559" i="67"/>
  <c r="U559" i="67"/>
  <c r="S559" i="67"/>
  <c r="R559" i="67"/>
  <c r="Q559" i="67"/>
  <c r="P559" i="67"/>
  <c r="O559" i="67"/>
  <c r="N559" i="67"/>
  <c r="M559" i="67"/>
  <c r="L559" i="67"/>
  <c r="AC558" i="67"/>
  <c r="AA558" i="67"/>
  <c r="W558" i="67"/>
  <c r="U558" i="67"/>
  <c r="S558" i="67"/>
  <c r="R558" i="67"/>
  <c r="Q558" i="67"/>
  <c r="P558" i="67"/>
  <c r="X558" i="67" s="1"/>
  <c r="O558" i="67"/>
  <c r="N558" i="67"/>
  <c r="M558" i="67"/>
  <c r="L558" i="67"/>
  <c r="AC557" i="67"/>
  <c r="AA557" i="67"/>
  <c r="W557" i="67"/>
  <c r="U557" i="67"/>
  <c r="S557" i="67"/>
  <c r="R557" i="67"/>
  <c r="Q557" i="67"/>
  <c r="P557" i="67"/>
  <c r="X557" i="67" s="1"/>
  <c r="O557" i="67"/>
  <c r="N557" i="67"/>
  <c r="M557" i="67"/>
  <c r="L557" i="67"/>
  <c r="AC556" i="67"/>
  <c r="AA556" i="67"/>
  <c r="W556" i="67"/>
  <c r="U556" i="67"/>
  <c r="S556" i="67"/>
  <c r="R556" i="67"/>
  <c r="Q556" i="67"/>
  <c r="P556" i="67"/>
  <c r="X556" i="67" s="1"/>
  <c r="O556" i="67"/>
  <c r="N556" i="67"/>
  <c r="M556" i="67"/>
  <c r="L556" i="67"/>
  <c r="AA555" i="67"/>
  <c r="W555" i="67"/>
  <c r="U555" i="67"/>
  <c r="S555" i="67"/>
  <c r="R555" i="67"/>
  <c r="Q555" i="67"/>
  <c r="P555" i="67"/>
  <c r="X555" i="67" s="1"/>
  <c r="O555" i="67"/>
  <c r="N555" i="67"/>
  <c r="M555" i="67"/>
  <c r="L555" i="67"/>
  <c r="AA554" i="67"/>
  <c r="X554" i="67"/>
  <c r="W554" i="67"/>
  <c r="U554" i="67"/>
  <c r="S554" i="67"/>
  <c r="R554" i="67"/>
  <c r="Q554" i="67"/>
  <c r="P554" i="67"/>
  <c r="O554" i="67"/>
  <c r="N554" i="67"/>
  <c r="M554" i="67"/>
  <c r="L554" i="67"/>
  <c r="AC553" i="67"/>
  <c r="AA553" i="67"/>
  <c r="W553" i="67"/>
  <c r="U553" i="67"/>
  <c r="S553" i="67"/>
  <c r="R553" i="67"/>
  <c r="Q553" i="67"/>
  <c r="P553" i="67"/>
  <c r="X553" i="67" s="1"/>
  <c r="O553" i="67"/>
  <c r="N553" i="67"/>
  <c r="M553" i="67"/>
  <c r="L553" i="67"/>
  <c r="AC552" i="67"/>
  <c r="AA552" i="67"/>
  <c r="W552" i="67"/>
  <c r="U552" i="67"/>
  <c r="S552" i="67"/>
  <c r="R552" i="67"/>
  <c r="Q552" i="67"/>
  <c r="P552" i="67"/>
  <c r="X552" i="67" s="1"/>
  <c r="O552" i="67"/>
  <c r="N552" i="67"/>
  <c r="M552" i="67"/>
  <c r="L552" i="67"/>
  <c r="AC551" i="67"/>
  <c r="AA551" i="67"/>
  <c r="W551" i="67"/>
  <c r="U551" i="67"/>
  <c r="S551" i="67"/>
  <c r="R551" i="67"/>
  <c r="Q551" i="67"/>
  <c r="P551" i="67"/>
  <c r="X551" i="67" s="1"/>
  <c r="O551" i="67"/>
  <c r="N551" i="67"/>
  <c r="M551" i="67"/>
  <c r="L551" i="67"/>
  <c r="AC550" i="67"/>
  <c r="AA550" i="67"/>
  <c r="W550" i="67"/>
  <c r="U550" i="67"/>
  <c r="S550" i="67"/>
  <c r="R550" i="67"/>
  <c r="Q550" i="67"/>
  <c r="P550" i="67"/>
  <c r="X550" i="67" s="1"/>
  <c r="O550" i="67"/>
  <c r="N550" i="67"/>
  <c r="M550" i="67"/>
  <c r="L550" i="67"/>
  <c r="AC549" i="67"/>
  <c r="AA549" i="67"/>
  <c r="W549" i="67"/>
  <c r="U549" i="67"/>
  <c r="S549" i="67"/>
  <c r="R549" i="67"/>
  <c r="Q549" i="67"/>
  <c r="P549" i="67"/>
  <c r="X549" i="67" s="1"/>
  <c r="O549" i="67"/>
  <c r="N549" i="67"/>
  <c r="M549" i="67"/>
  <c r="L549" i="67"/>
  <c r="AC548" i="67"/>
  <c r="AA548" i="67"/>
  <c r="X548" i="67"/>
  <c r="W548" i="67"/>
  <c r="U548" i="67"/>
  <c r="S548" i="67"/>
  <c r="R548" i="67"/>
  <c r="Q548" i="67"/>
  <c r="P548" i="67"/>
  <c r="O548" i="67"/>
  <c r="N548" i="67"/>
  <c r="M548" i="67"/>
  <c r="L548" i="67"/>
  <c r="AC547" i="67"/>
  <c r="AA547" i="67"/>
  <c r="W547" i="67"/>
  <c r="U547" i="67"/>
  <c r="S547" i="67"/>
  <c r="R547" i="67"/>
  <c r="Q547" i="67"/>
  <c r="P547" i="67"/>
  <c r="X547" i="67" s="1"/>
  <c r="O547" i="67"/>
  <c r="N547" i="67"/>
  <c r="M547" i="67"/>
  <c r="L547" i="67"/>
  <c r="AC546" i="67"/>
  <c r="AA546" i="67"/>
  <c r="W546" i="67"/>
  <c r="U546" i="67"/>
  <c r="S546" i="67"/>
  <c r="R546" i="67"/>
  <c r="Q546" i="67"/>
  <c r="P546" i="67"/>
  <c r="X546" i="67" s="1"/>
  <c r="O546" i="67"/>
  <c r="N546" i="67"/>
  <c r="M546" i="67"/>
  <c r="L546" i="67"/>
  <c r="AC545" i="67"/>
  <c r="AA545" i="67"/>
  <c r="W545" i="67"/>
  <c r="U545" i="67"/>
  <c r="S545" i="67"/>
  <c r="R545" i="67"/>
  <c r="Q545" i="67"/>
  <c r="P545" i="67"/>
  <c r="X545" i="67" s="1"/>
  <c r="O545" i="67"/>
  <c r="N545" i="67"/>
  <c r="M545" i="67"/>
  <c r="L545" i="67"/>
  <c r="AC544" i="67"/>
  <c r="AA544" i="67"/>
  <c r="W544" i="67"/>
  <c r="U544" i="67"/>
  <c r="S544" i="67"/>
  <c r="R544" i="67"/>
  <c r="Q544" i="67"/>
  <c r="P544" i="67"/>
  <c r="X544" i="67" s="1"/>
  <c r="O544" i="67"/>
  <c r="N544" i="67"/>
  <c r="M544" i="67"/>
  <c r="L544" i="67"/>
  <c r="AC543" i="67"/>
  <c r="AA543" i="67"/>
  <c r="W543" i="67"/>
  <c r="U543" i="67"/>
  <c r="S543" i="67"/>
  <c r="R543" i="67"/>
  <c r="Q543" i="67"/>
  <c r="P543" i="67"/>
  <c r="X543" i="67" s="1"/>
  <c r="O543" i="67"/>
  <c r="N543" i="67"/>
  <c r="M543" i="67"/>
  <c r="L543" i="67"/>
  <c r="AA542" i="67"/>
  <c r="X542" i="67"/>
  <c r="W542" i="67"/>
  <c r="U542" i="67"/>
  <c r="S542" i="67"/>
  <c r="R542" i="67"/>
  <c r="Q542" i="67"/>
  <c r="P542" i="67"/>
  <c r="O542" i="67"/>
  <c r="N542" i="67"/>
  <c r="M542" i="67"/>
  <c r="L542" i="67"/>
  <c r="AA541" i="67"/>
  <c r="X541" i="67"/>
  <c r="W541" i="67"/>
  <c r="U541" i="67"/>
  <c r="S541" i="67"/>
  <c r="R541" i="67"/>
  <c r="Q541" i="67"/>
  <c r="P541" i="67"/>
  <c r="O541" i="67"/>
  <c r="N541" i="67"/>
  <c r="M541" i="67"/>
  <c r="L541" i="67"/>
  <c r="AA540" i="67"/>
  <c r="X540" i="67"/>
  <c r="W540" i="67"/>
  <c r="U540" i="67"/>
  <c r="S540" i="67"/>
  <c r="R540" i="67"/>
  <c r="Q540" i="67"/>
  <c r="P540" i="67"/>
  <c r="O540" i="67"/>
  <c r="N540" i="67"/>
  <c r="M540" i="67"/>
  <c r="L540" i="67"/>
  <c r="AA539" i="67"/>
  <c r="X539" i="67"/>
  <c r="W539" i="67"/>
  <c r="U539" i="67"/>
  <c r="S539" i="67"/>
  <c r="R539" i="67"/>
  <c r="Q539" i="67"/>
  <c r="P539" i="67"/>
  <c r="O539" i="67"/>
  <c r="N539" i="67"/>
  <c r="M539" i="67"/>
  <c r="L539" i="67"/>
  <c r="AA538" i="67"/>
  <c r="X538" i="67"/>
  <c r="W538" i="67"/>
  <c r="U538" i="67"/>
  <c r="S538" i="67"/>
  <c r="R538" i="67"/>
  <c r="Q538" i="67"/>
  <c r="P538" i="67"/>
  <c r="O538" i="67"/>
  <c r="N538" i="67"/>
  <c r="M538" i="67"/>
  <c r="L538" i="67"/>
  <c r="AC537" i="67"/>
  <c r="AA537" i="67"/>
  <c r="W537" i="67"/>
  <c r="U537" i="67"/>
  <c r="S537" i="67"/>
  <c r="R537" i="67"/>
  <c r="Q537" i="67"/>
  <c r="P537" i="67"/>
  <c r="X537" i="67" s="1"/>
  <c r="O537" i="67"/>
  <c r="N537" i="67"/>
  <c r="M537" i="67"/>
  <c r="L537" i="67"/>
  <c r="AC536" i="67"/>
  <c r="AA536" i="67"/>
  <c r="W536" i="67"/>
  <c r="U536" i="67"/>
  <c r="S536" i="67"/>
  <c r="R536" i="67"/>
  <c r="Q536" i="67"/>
  <c r="P536" i="67"/>
  <c r="X536" i="67" s="1"/>
  <c r="O536" i="67"/>
  <c r="N536" i="67"/>
  <c r="M536" i="67"/>
  <c r="L536" i="67"/>
  <c r="AC535" i="67"/>
  <c r="AA535" i="67"/>
  <c r="W535" i="67"/>
  <c r="U535" i="67"/>
  <c r="S535" i="67"/>
  <c r="R535" i="67"/>
  <c r="Q535" i="67"/>
  <c r="P535" i="67"/>
  <c r="X535" i="67" s="1"/>
  <c r="O535" i="67"/>
  <c r="N535" i="67"/>
  <c r="M535" i="67"/>
  <c r="L535" i="67"/>
  <c r="AC534" i="67"/>
  <c r="AA534" i="67"/>
  <c r="W534" i="67"/>
  <c r="U534" i="67"/>
  <c r="S534" i="67"/>
  <c r="R534" i="67"/>
  <c r="Q534" i="67"/>
  <c r="P534" i="67"/>
  <c r="X534" i="67" s="1"/>
  <c r="O534" i="67"/>
  <c r="N534" i="67"/>
  <c r="M534" i="67"/>
  <c r="L534" i="67"/>
  <c r="AC533" i="67"/>
  <c r="AA533" i="67"/>
  <c r="W533" i="67"/>
  <c r="U533" i="67"/>
  <c r="S533" i="67"/>
  <c r="R533" i="67"/>
  <c r="Q533" i="67"/>
  <c r="P533" i="67"/>
  <c r="X533" i="67" s="1"/>
  <c r="O533" i="67"/>
  <c r="N533" i="67"/>
  <c r="M533" i="67"/>
  <c r="L533" i="67"/>
  <c r="AC532" i="67"/>
  <c r="AA532" i="67"/>
  <c r="W532" i="67"/>
  <c r="U532" i="67"/>
  <c r="S532" i="67"/>
  <c r="R532" i="67"/>
  <c r="Q532" i="67"/>
  <c r="P532" i="67"/>
  <c r="O532" i="67"/>
  <c r="N532" i="67"/>
  <c r="M532" i="67"/>
  <c r="L532" i="67"/>
  <c r="AA531" i="67"/>
  <c r="X531" i="67"/>
  <c r="U531" i="67"/>
  <c r="S531" i="67"/>
  <c r="R531" i="67"/>
  <c r="Q531" i="67"/>
  <c r="O531" i="67"/>
  <c r="N531" i="67"/>
  <c r="M531" i="67"/>
  <c r="AC530" i="67"/>
  <c r="AA530" i="67"/>
  <c r="W530" i="67"/>
  <c r="U530" i="67"/>
  <c r="S530" i="67"/>
  <c r="R530" i="67"/>
  <c r="Q530" i="67"/>
  <c r="P530" i="67"/>
  <c r="X530" i="67" s="1"/>
  <c r="O530" i="67"/>
  <c r="N530" i="67"/>
  <c r="M530" i="67"/>
  <c r="L530" i="67"/>
  <c r="AC529" i="67"/>
  <c r="AA529" i="67"/>
  <c r="W529" i="67"/>
  <c r="U529" i="67"/>
  <c r="S529" i="67"/>
  <c r="R529" i="67"/>
  <c r="Q529" i="67"/>
  <c r="P529" i="67"/>
  <c r="X529" i="67" s="1"/>
  <c r="O529" i="67"/>
  <c r="N529" i="67"/>
  <c r="M529" i="67"/>
  <c r="L529" i="67"/>
  <c r="AC528" i="67"/>
  <c r="AA528" i="67"/>
  <c r="W528" i="67"/>
  <c r="U528" i="67"/>
  <c r="S528" i="67"/>
  <c r="R528" i="67"/>
  <c r="Q528" i="67"/>
  <c r="P528" i="67"/>
  <c r="X528" i="67" s="1"/>
  <c r="O528" i="67"/>
  <c r="N528" i="67"/>
  <c r="M528" i="67"/>
  <c r="L528" i="67"/>
  <c r="AC527" i="67"/>
  <c r="AA527" i="67"/>
  <c r="W527" i="67"/>
  <c r="U527" i="67"/>
  <c r="S527" i="67"/>
  <c r="R527" i="67"/>
  <c r="Q527" i="67"/>
  <c r="P527" i="67"/>
  <c r="X527" i="67" s="1"/>
  <c r="O527" i="67"/>
  <c r="N527" i="67"/>
  <c r="M527" i="67"/>
  <c r="L527" i="67"/>
  <c r="AA526" i="67"/>
  <c r="X526" i="67"/>
  <c r="U526" i="67"/>
  <c r="S526" i="67"/>
  <c r="R526" i="67"/>
  <c r="Q526" i="67"/>
  <c r="O526" i="67"/>
  <c r="N526" i="67"/>
  <c r="M526" i="67"/>
  <c r="AC525" i="67"/>
  <c r="AA525" i="67"/>
  <c r="W525" i="67"/>
  <c r="U525" i="67"/>
  <c r="S525" i="67"/>
  <c r="R525" i="67"/>
  <c r="Q525" i="67"/>
  <c r="P525" i="67"/>
  <c r="X525" i="67" s="1"/>
  <c r="O525" i="67"/>
  <c r="N525" i="67"/>
  <c r="M525" i="67"/>
  <c r="L525" i="67"/>
  <c r="AC524" i="67"/>
  <c r="AA524" i="67"/>
  <c r="W524" i="67"/>
  <c r="U524" i="67"/>
  <c r="S524" i="67"/>
  <c r="R524" i="67"/>
  <c r="Q524" i="67"/>
  <c r="P524" i="67"/>
  <c r="X524" i="67" s="1"/>
  <c r="O524" i="67"/>
  <c r="N524" i="67"/>
  <c r="M524" i="67"/>
  <c r="L524" i="67"/>
  <c r="AC523" i="67"/>
  <c r="AA523" i="67"/>
  <c r="W523" i="67"/>
  <c r="U523" i="67"/>
  <c r="S523" i="67"/>
  <c r="R523" i="67"/>
  <c r="Q523" i="67"/>
  <c r="P523" i="67"/>
  <c r="X523" i="67" s="1"/>
  <c r="O523" i="67"/>
  <c r="N523" i="67"/>
  <c r="M523" i="67"/>
  <c r="L523" i="67"/>
  <c r="AC522" i="67"/>
  <c r="AA522" i="67"/>
  <c r="W522" i="67"/>
  <c r="U522" i="67"/>
  <c r="S522" i="67"/>
  <c r="R522" i="67"/>
  <c r="Q522" i="67"/>
  <c r="P522" i="67"/>
  <c r="W521" i="67" s="1"/>
  <c r="O522" i="67"/>
  <c r="N522" i="67"/>
  <c r="M522" i="67"/>
  <c r="L522" i="67"/>
  <c r="AA521" i="67"/>
  <c r="X521" i="67"/>
  <c r="U521" i="67"/>
  <c r="S521" i="67"/>
  <c r="R521" i="67"/>
  <c r="Q521" i="67"/>
  <c r="O521" i="67"/>
  <c r="N521" i="67"/>
  <c r="M521" i="67"/>
  <c r="AC520" i="67"/>
  <c r="AA520" i="67"/>
  <c r="W520" i="67"/>
  <c r="U520" i="67"/>
  <c r="S520" i="67"/>
  <c r="R520" i="67"/>
  <c r="Q520" i="67"/>
  <c r="P520" i="67"/>
  <c r="X520" i="67" s="1"/>
  <c r="O520" i="67"/>
  <c r="N520" i="67"/>
  <c r="M520" i="67"/>
  <c r="L520" i="67"/>
  <c r="AC519" i="67"/>
  <c r="AA519" i="67"/>
  <c r="W519" i="67"/>
  <c r="U519" i="67"/>
  <c r="S519" i="67"/>
  <c r="R519" i="67"/>
  <c r="Q519" i="67"/>
  <c r="P519" i="67"/>
  <c r="X519" i="67" s="1"/>
  <c r="O519" i="67"/>
  <c r="N519" i="67"/>
  <c r="M519" i="67"/>
  <c r="L519" i="67"/>
  <c r="AC518" i="67"/>
  <c r="AA518" i="67"/>
  <c r="W518" i="67"/>
  <c r="U518" i="67"/>
  <c r="S518" i="67"/>
  <c r="R518" i="67"/>
  <c r="Q518" i="67"/>
  <c r="P518" i="67"/>
  <c r="X518" i="67" s="1"/>
  <c r="O518" i="67"/>
  <c r="N518" i="67"/>
  <c r="M518" i="67"/>
  <c r="L518" i="67"/>
  <c r="AC517" i="67"/>
  <c r="AA517" i="67"/>
  <c r="W517" i="67"/>
  <c r="U517" i="67"/>
  <c r="S517" i="67"/>
  <c r="R517" i="67"/>
  <c r="Q517" i="67"/>
  <c r="P517" i="67"/>
  <c r="X517" i="67" s="1"/>
  <c r="O517" i="67"/>
  <c r="N517" i="67"/>
  <c r="M517" i="67"/>
  <c r="L517" i="67"/>
  <c r="AC516" i="67"/>
  <c r="AA516" i="67"/>
  <c r="W516" i="67"/>
  <c r="U516" i="67"/>
  <c r="S516" i="67"/>
  <c r="R516" i="67"/>
  <c r="Q516" i="67"/>
  <c r="P516" i="67"/>
  <c r="X516" i="67" s="1"/>
  <c r="O516" i="67"/>
  <c r="N516" i="67"/>
  <c r="M516" i="67"/>
  <c r="L516" i="67"/>
  <c r="AC515" i="67"/>
  <c r="AA515" i="67"/>
  <c r="W515" i="67"/>
  <c r="U515" i="67"/>
  <c r="S515" i="67"/>
  <c r="R515" i="67"/>
  <c r="Q515" i="67"/>
  <c r="P515" i="67"/>
  <c r="W514" i="67" s="1"/>
  <c r="O515" i="67"/>
  <c r="N515" i="67"/>
  <c r="M515" i="67"/>
  <c r="L515" i="67"/>
  <c r="AA514" i="67"/>
  <c r="X514" i="67"/>
  <c r="U514" i="67"/>
  <c r="S514" i="67"/>
  <c r="R514" i="67"/>
  <c r="Q514" i="67"/>
  <c r="O514" i="67"/>
  <c r="N514" i="67"/>
  <c r="M514" i="67"/>
  <c r="AC513" i="67"/>
  <c r="AA513" i="67"/>
  <c r="W513" i="67"/>
  <c r="U513" i="67"/>
  <c r="S513" i="67"/>
  <c r="R513" i="67"/>
  <c r="Q513" i="67"/>
  <c r="P513" i="67"/>
  <c r="X513" i="67" s="1"/>
  <c r="O513" i="67"/>
  <c r="N513" i="67"/>
  <c r="M513" i="67"/>
  <c r="L513" i="67"/>
  <c r="AC512" i="67"/>
  <c r="AA512" i="67"/>
  <c r="W512" i="67"/>
  <c r="U512" i="67"/>
  <c r="S512" i="67"/>
  <c r="R512" i="67"/>
  <c r="Q512" i="67"/>
  <c r="P512" i="67"/>
  <c r="X512" i="67" s="1"/>
  <c r="O512" i="67"/>
  <c r="N512" i="67"/>
  <c r="M512" i="67"/>
  <c r="L512" i="67"/>
  <c r="AC511" i="67"/>
  <c r="AA511" i="67"/>
  <c r="W511" i="67"/>
  <c r="U511" i="67"/>
  <c r="S511" i="67"/>
  <c r="R511" i="67"/>
  <c r="Q511" i="67"/>
  <c r="P511" i="67"/>
  <c r="X511" i="67" s="1"/>
  <c r="O511" i="67"/>
  <c r="N511" i="67"/>
  <c r="M511" i="67"/>
  <c r="L511" i="67"/>
  <c r="AC510" i="67"/>
  <c r="AA510" i="67"/>
  <c r="W510" i="67"/>
  <c r="U510" i="67"/>
  <c r="S510" i="67"/>
  <c r="R510" i="67"/>
  <c r="Q510" i="67"/>
  <c r="P510" i="67"/>
  <c r="X510" i="67" s="1"/>
  <c r="O510" i="67"/>
  <c r="N510" i="67"/>
  <c r="M510" i="67"/>
  <c r="L510" i="67"/>
  <c r="AC509" i="67"/>
  <c r="AA509" i="67"/>
  <c r="W509" i="67"/>
  <c r="U509" i="67"/>
  <c r="S509" i="67"/>
  <c r="R509" i="67"/>
  <c r="Q509" i="67"/>
  <c r="P509" i="67"/>
  <c r="X509" i="67" s="1"/>
  <c r="O509" i="67"/>
  <c r="N509" i="67"/>
  <c r="M509" i="67"/>
  <c r="L509" i="67"/>
  <c r="AA508" i="67"/>
  <c r="X508" i="67"/>
  <c r="W508" i="67"/>
  <c r="U508" i="67"/>
  <c r="S508" i="67"/>
  <c r="R508" i="67"/>
  <c r="Q508" i="67"/>
  <c r="P508" i="67"/>
  <c r="O508" i="67"/>
  <c r="N508" i="67"/>
  <c r="M508" i="67"/>
  <c r="L508" i="67"/>
  <c r="AC507" i="67"/>
  <c r="AA507" i="67"/>
  <c r="W507" i="67"/>
  <c r="U507" i="67"/>
  <c r="S507" i="67"/>
  <c r="R507" i="67"/>
  <c r="Q507" i="67"/>
  <c r="P507" i="67"/>
  <c r="X507" i="67" s="1"/>
  <c r="O507" i="67"/>
  <c r="N507" i="67"/>
  <c r="M507" i="67"/>
  <c r="L507" i="67"/>
  <c r="AC506" i="67"/>
  <c r="AA506" i="67"/>
  <c r="W506" i="67"/>
  <c r="U506" i="67"/>
  <c r="S506" i="67"/>
  <c r="R506" i="67"/>
  <c r="Q506" i="67"/>
  <c r="P506" i="67"/>
  <c r="X506" i="67" s="1"/>
  <c r="O506" i="67"/>
  <c r="N506" i="67"/>
  <c r="M506" i="67"/>
  <c r="L506" i="67"/>
  <c r="AC505" i="67"/>
  <c r="AA505" i="67"/>
  <c r="W505" i="67"/>
  <c r="U505" i="67"/>
  <c r="S505" i="67"/>
  <c r="R505" i="67"/>
  <c r="Q505" i="67"/>
  <c r="P505" i="67"/>
  <c r="X505" i="67" s="1"/>
  <c r="O505" i="67"/>
  <c r="N505" i="67"/>
  <c r="M505" i="67"/>
  <c r="L505" i="67"/>
  <c r="AC504" i="67"/>
  <c r="AA504" i="67"/>
  <c r="W504" i="67"/>
  <c r="U504" i="67"/>
  <c r="S504" i="67"/>
  <c r="R504" i="67"/>
  <c r="Q504" i="67"/>
  <c r="P504" i="67"/>
  <c r="X504" i="67" s="1"/>
  <c r="O504" i="67"/>
  <c r="N504" i="67"/>
  <c r="M504" i="67"/>
  <c r="L504" i="67"/>
  <c r="AC503" i="67"/>
  <c r="AA503" i="67"/>
  <c r="W503" i="67"/>
  <c r="U503" i="67"/>
  <c r="S503" i="67"/>
  <c r="R503" i="67"/>
  <c r="Q503" i="67"/>
  <c r="P503" i="67"/>
  <c r="X503" i="67" s="1"/>
  <c r="O503" i="67"/>
  <c r="N503" i="67"/>
  <c r="M503" i="67"/>
  <c r="L503" i="67"/>
  <c r="AA502" i="67"/>
  <c r="X502" i="67"/>
  <c r="W502" i="67"/>
  <c r="U502" i="67"/>
  <c r="S502" i="67"/>
  <c r="R502" i="67"/>
  <c r="Q502" i="67"/>
  <c r="P502" i="67"/>
  <c r="O502" i="67"/>
  <c r="N502" i="67"/>
  <c r="M502" i="67"/>
  <c r="L502" i="67"/>
  <c r="AC501" i="67"/>
  <c r="AA501" i="67"/>
  <c r="W501" i="67"/>
  <c r="U501" i="67"/>
  <c r="S501" i="67"/>
  <c r="R501" i="67"/>
  <c r="Q501" i="67"/>
  <c r="P501" i="67"/>
  <c r="X501" i="67" s="1"/>
  <c r="O501" i="67"/>
  <c r="N501" i="67"/>
  <c r="M501" i="67"/>
  <c r="L501" i="67"/>
  <c r="AC500" i="67"/>
  <c r="AA500" i="67"/>
  <c r="W500" i="67"/>
  <c r="U500" i="67"/>
  <c r="S500" i="67"/>
  <c r="R500" i="67"/>
  <c r="Q500" i="67"/>
  <c r="P500" i="67"/>
  <c r="X500" i="67" s="1"/>
  <c r="O500" i="67"/>
  <c r="N500" i="67"/>
  <c r="M500" i="67"/>
  <c r="L500" i="67"/>
  <c r="AC499" i="67"/>
  <c r="AA499" i="67"/>
  <c r="W499" i="67"/>
  <c r="U499" i="67"/>
  <c r="S499" i="67"/>
  <c r="R499" i="67"/>
  <c r="Q499" i="67"/>
  <c r="P499" i="67"/>
  <c r="X499" i="67" s="1"/>
  <c r="O499" i="67"/>
  <c r="N499" i="67"/>
  <c r="M499" i="67"/>
  <c r="L499" i="67"/>
  <c r="AC498" i="67"/>
  <c r="AA498" i="67"/>
  <c r="W498" i="67"/>
  <c r="U498" i="67"/>
  <c r="S498" i="67"/>
  <c r="R498" i="67"/>
  <c r="Q498" i="67"/>
  <c r="P498" i="67"/>
  <c r="X498" i="67" s="1"/>
  <c r="O498" i="67"/>
  <c r="N498" i="67"/>
  <c r="M498" i="67"/>
  <c r="L498" i="67"/>
  <c r="AC497" i="67"/>
  <c r="AA497" i="67"/>
  <c r="W497" i="67"/>
  <c r="U497" i="67"/>
  <c r="S497" i="67"/>
  <c r="R497" i="67"/>
  <c r="Q497" i="67"/>
  <c r="P497" i="67"/>
  <c r="X497" i="67" s="1"/>
  <c r="O497" i="67"/>
  <c r="N497" i="67"/>
  <c r="M497" i="67"/>
  <c r="L497" i="67"/>
  <c r="AC496" i="67"/>
  <c r="AA496" i="67"/>
  <c r="X496" i="67"/>
  <c r="W496" i="67"/>
  <c r="U496" i="67"/>
  <c r="S496" i="67"/>
  <c r="R496" i="67"/>
  <c r="Q496" i="67"/>
  <c r="P496" i="67"/>
  <c r="O496" i="67"/>
  <c r="N496" i="67"/>
  <c r="M496" i="67"/>
  <c r="L496" i="67"/>
  <c r="AC495" i="67"/>
  <c r="AA495" i="67"/>
  <c r="W495" i="67"/>
  <c r="U495" i="67"/>
  <c r="S495" i="67"/>
  <c r="R495" i="67"/>
  <c r="Q495" i="67"/>
  <c r="P495" i="67"/>
  <c r="X495" i="67" s="1"/>
  <c r="O495" i="67"/>
  <c r="N495" i="67"/>
  <c r="M495" i="67"/>
  <c r="L495" i="67"/>
  <c r="AC494" i="67"/>
  <c r="AA494" i="67"/>
  <c r="W494" i="67"/>
  <c r="U494" i="67"/>
  <c r="S494" i="67"/>
  <c r="R494" i="67"/>
  <c r="Q494" i="67"/>
  <c r="P494" i="67"/>
  <c r="X494" i="67" s="1"/>
  <c r="O494" i="67"/>
  <c r="N494" i="67"/>
  <c r="M494" i="67"/>
  <c r="L494" i="67"/>
  <c r="AC493" i="67"/>
  <c r="AA493" i="67"/>
  <c r="W493" i="67"/>
  <c r="U493" i="67"/>
  <c r="S493" i="67"/>
  <c r="R493" i="67"/>
  <c r="Q493" i="67"/>
  <c r="P493" i="67"/>
  <c r="X493" i="67" s="1"/>
  <c r="O493" i="67"/>
  <c r="N493" i="67"/>
  <c r="M493" i="67"/>
  <c r="L493" i="67"/>
  <c r="AC492" i="67"/>
  <c r="AA492" i="67"/>
  <c r="W492" i="67"/>
  <c r="U492" i="67"/>
  <c r="S492" i="67"/>
  <c r="R492" i="67"/>
  <c r="Q492" i="67"/>
  <c r="P492" i="67"/>
  <c r="X492" i="67" s="1"/>
  <c r="O492" i="67"/>
  <c r="N492" i="67"/>
  <c r="M492" i="67"/>
  <c r="L492" i="67"/>
  <c r="AC491" i="67"/>
  <c r="AA491" i="67"/>
  <c r="W491" i="67"/>
  <c r="U491" i="67"/>
  <c r="S491" i="67"/>
  <c r="R491" i="67"/>
  <c r="Q491" i="67"/>
  <c r="P491" i="67"/>
  <c r="X491" i="67" s="1"/>
  <c r="O491" i="67"/>
  <c r="N491" i="67"/>
  <c r="M491" i="67"/>
  <c r="L491" i="67"/>
  <c r="AC490" i="67"/>
  <c r="AA490" i="67"/>
  <c r="X490" i="67"/>
  <c r="W490" i="67"/>
  <c r="U490" i="67"/>
  <c r="S490" i="67"/>
  <c r="R490" i="67"/>
  <c r="Q490" i="67"/>
  <c r="P490" i="67"/>
  <c r="O490" i="67"/>
  <c r="N490" i="67"/>
  <c r="M490" i="67"/>
  <c r="L490" i="67"/>
  <c r="AC489" i="67"/>
  <c r="AA489" i="67"/>
  <c r="W489" i="67"/>
  <c r="U489" i="67"/>
  <c r="S489" i="67"/>
  <c r="R489" i="67"/>
  <c r="Q489" i="67"/>
  <c r="P489" i="67"/>
  <c r="X489" i="67" s="1"/>
  <c r="O489" i="67"/>
  <c r="N489" i="67"/>
  <c r="M489" i="67"/>
  <c r="L489" i="67"/>
  <c r="AC488" i="67"/>
  <c r="AA488" i="67"/>
  <c r="W488" i="67"/>
  <c r="U488" i="67"/>
  <c r="S488" i="67"/>
  <c r="R488" i="67"/>
  <c r="Q488" i="67"/>
  <c r="P488" i="67"/>
  <c r="X488" i="67" s="1"/>
  <c r="O488" i="67"/>
  <c r="N488" i="67"/>
  <c r="M488" i="67"/>
  <c r="L488" i="67"/>
  <c r="AC487" i="67"/>
  <c r="AA487" i="67"/>
  <c r="W487" i="67"/>
  <c r="U487" i="67"/>
  <c r="S487" i="67"/>
  <c r="R487" i="67"/>
  <c r="Q487" i="67"/>
  <c r="P487" i="67"/>
  <c r="X487" i="67" s="1"/>
  <c r="O487" i="67"/>
  <c r="N487" i="67"/>
  <c r="M487" i="67"/>
  <c r="L487" i="67"/>
  <c r="AC486" i="67"/>
  <c r="AA486" i="67"/>
  <c r="W486" i="67"/>
  <c r="U486" i="67"/>
  <c r="S486" i="67"/>
  <c r="R486" i="67"/>
  <c r="Q486" i="67"/>
  <c r="P486" i="67"/>
  <c r="X486" i="67" s="1"/>
  <c r="O486" i="67"/>
  <c r="N486" i="67"/>
  <c r="M486" i="67"/>
  <c r="L486" i="67"/>
  <c r="AC485" i="67"/>
  <c r="AA485" i="67"/>
  <c r="W485" i="67"/>
  <c r="U485" i="67"/>
  <c r="S485" i="67"/>
  <c r="R485" i="67"/>
  <c r="Q485" i="67"/>
  <c r="P485" i="67"/>
  <c r="X485" i="67" s="1"/>
  <c r="O485" i="67"/>
  <c r="N485" i="67"/>
  <c r="M485" i="67"/>
  <c r="L485" i="67"/>
  <c r="AC484" i="67"/>
  <c r="AA484" i="67"/>
  <c r="X484" i="67"/>
  <c r="W484" i="67"/>
  <c r="U484" i="67"/>
  <c r="S484" i="67"/>
  <c r="R484" i="67"/>
  <c r="Q484" i="67"/>
  <c r="P484" i="67"/>
  <c r="O484" i="67"/>
  <c r="N484" i="67"/>
  <c r="M484" i="67"/>
  <c r="L484" i="67"/>
  <c r="AC483" i="67"/>
  <c r="AA483" i="67"/>
  <c r="W483" i="67"/>
  <c r="U483" i="67"/>
  <c r="S483" i="67"/>
  <c r="R483" i="67"/>
  <c r="Q483" i="67"/>
  <c r="P483" i="67"/>
  <c r="X483" i="67" s="1"/>
  <c r="O483" i="67"/>
  <c r="N483" i="67"/>
  <c r="M483" i="67"/>
  <c r="L483" i="67"/>
  <c r="AC482" i="67"/>
  <c r="AA482" i="67"/>
  <c r="W482" i="67"/>
  <c r="U482" i="67"/>
  <c r="S482" i="67"/>
  <c r="R482" i="67"/>
  <c r="Q482" i="67"/>
  <c r="P482" i="67"/>
  <c r="X482" i="67" s="1"/>
  <c r="O482" i="67"/>
  <c r="N482" i="67"/>
  <c r="M482" i="67"/>
  <c r="L482" i="67"/>
  <c r="AC481" i="67"/>
  <c r="AA481" i="67"/>
  <c r="W481" i="67"/>
  <c r="U481" i="67"/>
  <c r="S481" i="67"/>
  <c r="R481" i="67"/>
  <c r="Q481" i="67"/>
  <c r="P481" i="67"/>
  <c r="X481" i="67" s="1"/>
  <c r="O481" i="67"/>
  <c r="N481" i="67"/>
  <c r="M481" i="67"/>
  <c r="L481" i="67"/>
  <c r="AC480" i="67"/>
  <c r="AA480" i="67"/>
  <c r="W480" i="67"/>
  <c r="U480" i="67"/>
  <c r="S480" i="67"/>
  <c r="R480" i="67"/>
  <c r="Q480" i="67"/>
  <c r="P480" i="67"/>
  <c r="X480" i="67" s="1"/>
  <c r="O480" i="67"/>
  <c r="N480" i="67"/>
  <c r="M480" i="67"/>
  <c r="L480" i="67"/>
  <c r="AC479" i="67"/>
  <c r="AA479" i="67"/>
  <c r="W479" i="67"/>
  <c r="U479" i="67"/>
  <c r="S479" i="67"/>
  <c r="R479" i="67"/>
  <c r="Q479" i="67"/>
  <c r="P479" i="67"/>
  <c r="X479" i="67" s="1"/>
  <c r="O479" i="67"/>
  <c r="N479" i="67"/>
  <c r="M479" i="67"/>
  <c r="L479" i="67"/>
  <c r="AC478" i="67"/>
  <c r="AA478" i="67"/>
  <c r="X478" i="67"/>
  <c r="W478" i="67"/>
  <c r="U478" i="67"/>
  <c r="S478" i="67"/>
  <c r="R478" i="67"/>
  <c r="Q478" i="67"/>
  <c r="P478" i="67"/>
  <c r="O478" i="67"/>
  <c r="N478" i="67"/>
  <c r="M478" i="67"/>
  <c r="L478" i="67"/>
  <c r="AC477" i="67"/>
  <c r="AA477" i="67"/>
  <c r="W477" i="67"/>
  <c r="U477" i="67"/>
  <c r="S477" i="67"/>
  <c r="R477" i="67"/>
  <c r="Q477" i="67"/>
  <c r="P477" i="67"/>
  <c r="X477" i="67" s="1"/>
  <c r="O477" i="67"/>
  <c r="N477" i="67"/>
  <c r="M477" i="67"/>
  <c r="L477" i="67"/>
  <c r="AC476" i="67"/>
  <c r="AA476" i="67"/>
  <c r="W476" i="67"/>
  <c r="U476" i="67"/>
  <c r="S476" i="67"/>
  <c r="R476" i="67"/>
  <c r="Q476" i="67"/>
  <c r="P476" i="67"/>
  <c r="X476" i="67" s="1"/>
  <c r="O476" i="67"/>
  <c r="N476" i="67"/>
  <c r="M476" i="67"/>
  <c r="L476" i="67"/>
  <c r="AC475" i="67"/>
  <c r="AA475" i="67"/>
  <c r="W475" i="67"/>
  <c r="U475" i="67"/>
  <c r="S475" i="67"/>
  <c r="R475" i="67"/>
  <c r="Q475" i="67"/>
  <c r="P475" i="67"/>
  <c r="X475" i="67" s="1"/>
  <c r="O475" i="67"/>
  <c r="N475" i="67"/>
  <c r="M475" i="67"/>
  <c r="L475" i="67"/>
  <c r="AC474" i="67"/>
  <c r="AA474" i="67"/>
  <c r="W474" i="67"/>
  <c r="U474" i="67"/>
  <c r="S474" i="67"/>
  <c r="R474" i="67"/>
  <c r="Q474" i="67"/>
  <c r="P474" i="67"/>
  <c r="X474" i="67" s="1"/>
  <c r="O474" i="67"/>
  <c r="N474" i="67"/>
  <c r="M474" i="67"/>
  <c r="L474" i="67"/>
  <c r="AC473" i="67"/>
  <c r="AA473" i="67"/>
  <c r="W473" i="67"/>
  <c r="U473" i="67"/>
  <c r="S473" i="67"/>
  <c r="R473" i="67"/>
  <c r="Q473" i="67"/>
  <c r="P473" i="67"/>
  <c r="X473" i="67" s="1"/>
  <c r="O473" i="67"/>
  <c r="N473" i="67"/>
  <c r="M473" i="67"/>
  <c r="L473" i="67"/>
  <c r="AC472" i="67"/>
  <c r="AA472" i="67"/>
  <c r="X472" i="67"/>
  <c r="W472" i="67"/>
  <c r="U472" i="67"/>
  <c r="S472" i="67"/>
  <c r="R472" i="67"/>
  <c r="Q472" i="67"/>
  <c r="P472" i="67"/>
  <c r="O472" i="67"/>
  <c r="N472" i="67"/>
  <c r="M472" i="67"/>
  <c r="L472" i="67"/>
  <c r="AC471" i="67"/>
  <c r="AA471" i="67"/>
  <c r="W471" i="67"/>
  <c r="U471" i="67"/>
  <c r="S471" i="67"/>
  <c r="R471" i="67"/>
  <c r="Q471" i="67"/>
  <c r="P471" i="67"/>
  <c r="X471" i="67" s="1"/>
  <c r="O471" i="67"/>
  <c r="N471" i="67"/>
  <c r="M471" i="67"/>
  <c r="L471" i="67"/>
  <c r="AC470" i="67"/>
  <c r="AA470" i="67"/>
  <c r="W470" i="67"/>
  <c r="U470" i="67"/>
  <c r="S470" i="67"/>
  <c r="R470" i="67"/>
  <c r="Q470" i="67"/>
  <c r="P470" i="67"/>
  <c r="X470" i="67" s="1"/>
  <c r="O470" i="67"/>
  <c r="N470" i="67"/>
  <c r="M470" i="67"/>
  <c r="L470" i="67"/>
  <c r="AC469" i="67"/>
  <c r="AA469" i="67"/>
  <c r="W469" i="67"/>
  <c r="U469" i="67"/>
  <c r="S469" i="67"/>
  <c r="R469" i="67"/>
  <c r="Q469" i="67"/>
  <c r="P469" i="67"/>
  <c r="X469" i="67" s="1"/>
  <c r="O469" i="67"/>
  <c r="N469" i="67"/>
  <c r="M469" i="67"/>
  <c r="L469" i="67"/>
  <c r="AC468" i="67"/>
  <c r="AA468" i="67"/>
  <c r="W468" i="67"/>
  <c r="U468" i="67"/>
  <c r="S468" i="67"/>
  <c r="R468" i="67"/>
  <c r="Q468" i="67"/>
  <c r="P468" i="67"/>
  <c r="X468" i="67" s="1"/>
  <c r="O468" i="67"/>
  <c r="N468" i="67"/>
  <c r="M468" i="67"/>
  <c r="L468" i="67"/>
  <c r="AC467" i="67"/>
  <c r="AA467" i="67"/>
  <c r="W467" i="67"/>
  <c r="U467" i="67"/>
  <c r="S467" i="67"/>
  <c r="R467" i="67"/>
  <c r="Q467" i="67"/>
  <c r="P467" i="67"/>
  <c r="X467" i="67" s="1"/>
  <c r="O467" i="67"/>
  <c r="N467" i="67"/>
  <c r="M467" i="67"/>
  <c r="L467" i="67"/>
  <c r="AC466" i="67"/>
  <c r="AA466" i="67"/>
  <c r="X466" i="67"/>
  <c r="W466" i="67"/>
  <c r="U466" i="67"/>
  <c r="S466" i="67"/>
  <c r="R466" i="67"/>
  <c r="Q466" i="67"/>
  <c r="P466" i="67"/>
  <c r="O466" i="67"/>
  <c r="N466" i="67"/>
  <c r="M466" i="67"/>
  <c r="L466" i="67"/>
  <c r="AC465" i="67"/>
  <c r="AA465" i="67"/>
  <c r="W465" i="67"/>
  <c r="U465" i="67"/>
  <c r="S465" i="67"/>
  <c r="R465" i="67"/>
  <c r="Q465" i="67"/>
  <c r="P465" i="67"/>
  <c r="X465" i="67" s="1"/>
  <c r="O465" i="67"/>
  <c r="N465" i="67"/>
  <c r="M465" i="67"/>
  <c r="L465" i="67"/>
  <c r="AC464" i="67"/>
  <c r="AA464" i="67"/>
  <c r="W464" i="67"/>
  <c r="U464" i="67"/>
  <c r="S464" i="67"/>
  <c r="R464" i="67"/>
  <c r="Q464" i="67"/>
  <c r="P464" i="67"/>
  <c r="X464" i="67" s="1"/>
  <c r="O464" i="67"/>
  <c r="N464" i="67"/>
  <c r="M464" i="67"/>
  <c r="L464" i="67"/>
  <c r="AC463" i="67"/>
  <c r="AA463" i="67"/>
  <c r="W463" i="67"/>
  <c r="U463" i="67"/>
  <c r="S463" i="67"/>
  <c r="R463" i="67"/>
  <c r="Q463" i="67"/>
  <c r="P463" i="67"/>
  <c r="X463" i="67" s="1"/>
  <c r="O463" i="67"/>
  <c r="N463" i="67"/>
  <c r="M463" i="67"/>
  <c r="L463" i="67"/>
  <c r="AC462" i="67"/>
  <c r="AA462" i="67"/>
  <c r="W462" i="67"/>
  <c r="U462" i="67"/>
  <c r="S462" i="67"/>
  <c r="R462" i="67"/>
  <c r="Q462" i="67"/>
  <c r="P462" i="67"/>
  <c r="X462" i="67" s="1"/>
  <c r="O462" i="67"/>
  <c r="N462" i="67"/>
  <c r="M462" i="67"/>
  <c r="L462" i="67"/>
  <c r="AC461" i="67"/>
  <c r="AA461" i="67"/>
  <c r="W461" i="67"/>
  <c r="U461" i="67"/>
  <c r="S461" i="67"/>
  <c r="R461" i="67"/>
  <c r="Q461" i="67"/>
  <c r="P461" i="67"/>
  <c r="X461" i="67" s="1"/>
  <c r="O461" i="67"/>
  <c r="N461" i="67"/>
  <c r="M461" i="67"/>
  <c r="L461" i="67"/>
  <c r="AC460" i="67"/>
  <c r="AA460" i="67"/>
  <c r="X460" i="67"/>
  <c r="W460" i="67"/>
  <c r="U460" i="67"/>
  <c r="S460" i="67"/>
  <c r="R460" i="67"/>
  <c r="Q460" i="67"/>
  <c r="P460" i="67"/>
  <c r="O460" i="67"/>
  <c r="N460" i="67"/>
  <c r="M460" i="67"/>
  <c r="L460" i="67"/>
  <c r="AC459" i="67"/>
  <c r="AA459" i="67"/>
  <c r="W459" i="67"/>
  <c r="U459" i="67"/>
  <c r="S459" i="67"/>
  <c r="R459" i="67"/>
  <c r="Q459" i="67"/>
  <c r="P459" i="67"/>
  <c r="X459" i="67" s="1"/>
  <c r="O459" i="67"/>
  <c r="N459" i="67"/>
  <c r="M459" i="67"/>
  <c r="L459" i="67"/>
  <c r="AC458" i="67"/>
  <c r="AA458" i="67"/>
  <c r="W458" i="67"/>
  <c r="U458" i="67"/>
  <c r="S458" i="67"/>
  <c r="R458" i="67"/>
  <c r="Q458" i="67"/>
  <c r="P458" i="67"/>
  <c r="X458" i="67" s="1"/>
  <c r="O458" i="67"/>
  <c r="N458" i="67"/>
  <c r="M458" i="67"/>
  <c r="L458" i="67"/>
  <c r="AC457" i="67"/>
  <c r="AA457" i="67"/>
  <c r="W457" i="67"/>
  <c r="U457" i="67"/>
  <c r="S457" i="67"/>
  <c r="R457" i="67"/>
  <c r="Q457" i="67"/>
  <c r="P457" i="67"/>
  <c r="W456" i="67" s="1"/>
  <c r="O457" i="67"/>
  <c r="N457" i="67"/>
  <c r="M457" i="67"/>
  <c r="L457" i="67"/>
  <c r="AC456" i="67"/>
  <c r="AA456" i="67"/>
  <c r="X456" i="67"/>
  <c r="U456" i="67"/>
  <c r="S456" i="67"/>
  <c r="R456" i="67"/>
  <c r="Q456" i="67"/>
  <c r="O456" i="67"/>
  <c r="N456" i="67"/>
  <c r="M456" i="67"/>
  <c r="AC455" i="67"/>
  <c r="AA455" i="67"/>
  <c r="W455" i="67"/>
  <c r="U455" i="67"/>
  <c r="S455" i="67"/>
  <c r="R455" i="67"/>
  <c r="Q455" i="67"/>
  <c r="P455" i="67"/>
  <c r="X455" i="67" s="1"/>
  <c r="O455" i="67"/>
  <c r="N455" i="67"/>
  <c r="M455" i="67"/>
  <c r="L455" i="67"/>
  <c r="AC454" i="67"/>
  <c r="AA454" i="67"/>
  <c r="W454" i="67"/>
  <c r="U454" i="67"/>
  <c r="S454" i="67"/>
  <c r="R454" i="67"/>
  <c r="Q454" i="67"/>
  <c r="P454" i="67"/>
  <c r="X454" i="67" s="1"/>
  <c r="O454" i="67"/>
  <c r="N454" i="67"/>
  <c r="M454" i="67"/>
  <c r="L454" i="67"/>
  <c r="AC453" i="67"/>
  <c r="AA453" i="67"/>
  <c r="X453" i="67"/>
  <c r="U453" i="67"/>
  <c r="S453" i="67"/>
  <c r="R453" i="67"/>
  <c r="Q453" i="67"/>
  <c r="O453" i="67"/>
  <c r="N453" i="67"/>
  <c r="M453" i="67"/>
  <c r="AC452" i="67"/>
  <c r="AA452" i="67"/>
  <c r="W452" i="67"/>
  <c r="U452" i="67"/>
  <c r="S452" i="67"/>
  <c r="R452" i="67"/>
  <c r="Q452" i="67"/>
  <c r="P452" i="67"/>
  <c r="X452" i="67" s="1"/>
  <c r="O452" i="67"/>
  <c r="N452" i="67"/>
  <c r="M452" i="67"/>
  <c r="L452" i="67"/>
  <c r="AC451" i="67"/>
  <c r="AA451" i="67"/>
  <c r="W451" i="67"/>
  <c r="U451" i="67"/>
  <c r="S451" i="67"/>
  <c r="R451" i="67"/>
  <c r="Q451" i="67"/>
  <c r="P451" i="67"/>
  <c r="X451" i="67" s="1"/>
  <c r="O451" i="67"/>
  <c r="N451" i="67"/>
  <c r="M451" i="67"/>
  <c r="L451" i="67"/>
  <c r="AC450" i="67"/>
  <c r="AA450" i="67"/>
  <c r="X450" i="67"/>
  <c r="U450" i="67"/>
  <c r="S450" i="67"/>
  <c r="R450" i="67"/>
  <c r="Q450" i="67"/>
  <c r="O450" i="67"/>
  <c r="N450" i="67"/>
  <c r="M450" i="67"/>
  <c r="AC449" i="67"/>
  <c r="AA449" i="67"/>
  <c r="W449" i="67"/>
  <c r="U449" i="67"/>
  <c r="S449" i="67"/>
  <c r="R449" i="67"/>
  <c r="Q449" i="67"/>
  <c r="P449" i="67"/>
  <c r="X449" i="67" s="1"/>
  <c r="O449" i="67"/>
  <c r="N449" i="67"/>
  <c r="M449" i="67"/>
  <c r="L449" i="67"/>
  <c r="AC448" i="67"/>
  <c r="AA448" i="67"/>
  <c r="W448" i="67"/>
  <c r="U448" i="67"/>
  <c r="S448" i="67"/>
  <c r="R448" i="67"/>
  <c r="Q448" i="67"/>
  <c r="P448" i="67"/>
  <c r="X448" i="67" s="1"/>
  <c r="O448" i="67"/>
  <c r="N448" i="67"/>
  <c r="M448" i="67"/>
  <c r="L448" i="67"/>
  <c r="AC447" i="67"/>
  <c r="AA447" i="67"/>
  <c r="W447" i="67"/>
  <c r="U447" i="67"/>
  <c r="S447" i="67"/>
  <c r="R447" i="67"/>
  <c r="Q447" i="67"/>
  <c r="P447" i="67"/>
  <c r="X447" i="67" s="1"/>
  <c r="O447" i="67"/>
  <c r="N447" i="67"/>
  <c r="M447" i="67"/>
  <c r="L447" i="67"/>
  <c r="AC446" i="67"/>
  <c r="AA446" i="67"/>
  <c r="X446" i="67"/>
  <c r="U446" i="67"/>
  <c r="S446" i="67"/>
  <c r="R446" i="67"/>
  <c r="Q446" i="67"/>
  <c r="O446" i="67"/>
  <c r="N446" i="67"/>
  <c r="M446" i="67"/>
  <c r="AC445" i="67"/>
  <c r="AA445" i="67"/>
  <c r="W445" i="67"/>
  <c r="U445" i="67"/>
  <c r="S445" i="67"/>
  <c r="R445" i="67"/>
  <c r="Q445" i="67"/>
  <c r="P445" i="67"/>
  <c r="X445" i="67" s="1"/>
  <c r="O445" i="67"/>
  <c r="N445" i="67"/>
  <c r="M445" i="67"/>
  <c r="L445" i="67"/>
  <c r="AC444" i="67"/>
  <c r="AA444" i="67"/>
  <c r="W444" i="67"/>
  <c r="U444" i="67"/>
  <c r="S444" i="67"/>
  <c r="R444" i="67"/>
  <c r="Q444" i="67"/>
  <c r="P444" i="67"/>
  <c r="X444" i="67" s="1"/>
  <c r="O444" i="67"/>
  <c r="N444" i="67"/>
  <c r="M444" i="67"/>
  <c r="L444" i="67"/>
  <c r="AC443" i="67"/>
  <c r="AA443" i="67"/>
  <c r="W443" i="67"/>
  <c r="U443" i="67"/>
  <c r="S443" i="67"/>
  <c r="R443" i="67"/>
  <c r="Q443" i="67"/>
  <c r="P443" i="67"/>
  <c r="X443" i="67" s="1"/>
  <c r="O443" i="67"/>
  <c r="N443" i="67"/>
  <c r="M443" i="67"/>
  <c r="L443" i="67"/>
  <c r="AC442" i="67"/>
  <c r="AA442" i="67"/>
  <c r="W442" i="67"/>
  <c r="U442" i="67"/>
  <c r="S442" i="67"/>
  <c r="R442" i="67"/>
  <c r="Q442" i="67"/>
  <c r="P442" i="67"/>
  <c r="X442" i="67" s="1"/>
  <c r="O442" i="67"/>
  <c r="N442" i="67"/>
  <c r="M442" i="67"/>
  <c r="L442" i="67"/>
  <c r="AC441" i="67"/>
  <c r="AA441" i="67"/>
  <c r="W441" i="67"/>
  <c r="U441" i="67"/>
  <c r="S441" i="67"/>
  <c r="R441" i="67"/>
  <c r="Q441" i="67"/>
  <c r="P441" i="67"/>
  <c r="O441" i="67"/>
  <c r="N441" i="67"/>
  <c r="M441" i="67"/>
  <c r="L441" i="67"/>
  <c r="AC440" i="67"/>
  <c r="AA440" i="67"/>
  <c r="X440" i="67"/>
  <c r="U440" i="67"/>
  <c r="S440" i="67"/>
  <c r="R440" i="67"/>
  <c r="Q440" i="67"/>
  <c r="O440" i="67"/>
  <c r="N440" i="67"/>
  <c r="M440" i="67"/>
  <c r="AC439" i="67"/>
  <c r="AA439" i="67"/>
  <c r="W439" i="67"/>
  <c r="U439" i="67"/>
  <c r="S439" i="67"/>
  <c r="R439" i="67"/>
  <c r="Q439" i="67"/>
  <c r="P439" i="67"/>
  <c r="X439" i="67" s="1"/>
  <c r="O439" i="67"/>
  <c r="N439" i="67"/>
  <c r="M439" i="67"/>
  <c r="L439" i="67"/>
  <c r="AC438" i="67"/>
  <c r="AA438" i="67"/>
  <c r="W438" i="67"/>
  <c r="U438" i="67"/>
  <c r="S438" i="67"/>
  <c r="R438" i="67"/>
  <c r="Q438" i="67"/>
  <c r="P438" i="67"/>
  <c r="X438" i="67" s="1"/>
  <c r="O438" i="67"/>
  <c r="N438" i="67"/>
  <c r="M438" i="67"/>
  <c r="L438" i="67"/>
  <c r="AC437" i="67"/>
  <c r="AA437" i="67"/>
  <c r="W437" i="67"/>
  <c r="U437" i="67"/>
  <c r="S437" i="67"/>
  <c r="R437" i="67"/>
  <c r="Q437" i="67"/>
  <c r="P437" i="67"/>
  <c r="X437" i="67" s="1"/>
  <c r="O437" i="67"/>
  <c r="N437" i="67"/>
  <c r="M437" i="67"/>
  <c r="L437" i="67"/>
  <c r="AC436" i="67"/>
  <c r="AA436" i="67"/>
  <c r="W436" i="67"/>
  <c r="U436" i="67"/>
  <c r="S436" i="67"/>
  <c r="R436" i="67"/>
  <c r="Q436" i="67"/>
  <c r="P436" i="67"/>
  <c r="X436" i="67" s="1"/>
  <c r="O436" i="67"/>
  <c r="N436" i="67"/>
  <c r="M436" i="67"/>
  <c r="L436" i="67"/>
  <c r="AC435" i="67"/>
  <c r="AA435" i="67"/>
  <c r="W435" i="67"/>
  <c r="U435" i="67"/>
  <c r="S435" i="67"/>
  <c r="R435" i="67"/>
  <c r="Q435" i="67"/>
  <c r="P435" i="67"/>
  <c r="X435" i="67" s="1"/>
  <c r="O435" i="67"/>
  <c r="N435" i="67"/>
  <c r="M435" i="67"/>
  <c r="L435" i="67"/>
  <c r="AA434" i="67"/>
  <c r="X434" i="67"/>
  <c r="U434" i="67"/>
  <c r="S434" i="67"/>
  <c r="R434" i="67"/>
  <c r="Q434" i="67"/>
  <c r="O434" i="67"/>
  <c r="N434" i="67"/>
  <c r="M434" i="67"/>
  <c r="AC433" i="67"/>
  <c r="AQ16" i="67" s="1"/>
  <c r="AA433" i="67"/>
  <c r="W433" i="67"/>
  <c r="U433" i="67"/>
  <c r="S433" i="67"/>
  <c r="R433" i="67"/>
  <c r="Q433" i="67"/>
  <c r="P433" i="67"/>
  <c r="X433" i="67" s="1"/>
  <c r="O433" i="67"/>
  <c r="N433" i="67"/>
  <c r="M433" i="67"/>
  <c r="L433" i="67"/>
  <c r="AC432" i="67"/>
  <c r="AQ17" i="67" s="1"/>
  <c r="AA432" i="67"/>
  <c r="W432" i="67"/>
  <c r="U432" i="67"/>
  <c r="S432" i="67"/>
  <c r="R432" i="67"/>
  <c r="Q432" i="67"/>
  <c r="P432" i="67"/>
  <c r="X432" i="67" s="1"/>
  <c r="O432" i="67"/>
  <c r="N432" i="67"/>
  <c r="M432" i="67"/>
  <c r="L432" i="67"/>
  <c r="AC431" i="67"/>
  <c r="AQ15" i="67" s="1"/>
  <c r="AA431" i="67"/>
  <c r="W431" i="67"/>
  <c r="U431" i="67"/>
  <c r="S431" i="67"/>
  <c r="R431" i="67"/>
  <c r="Q431" i="67"/>
  <c r="P431" i="67"/>
  <c r="X431" i="67" s="1"/>
  <c r="O431" i="67"/>
  <c r="N431" i="67"/>
  <c r="M431" i="67"/>
  <c r="L431" i="67"/>
  <c r="AC430" i="67"/>
  <c r="AQ13" i="67" s="1"/>
  <c r="AA430" i="67"/>
  <c r="W430" i="67"/>
  <c r="U430" i="67"/>
  <c r="S430" i="67"/>
  <c r="R430" i="67"/>
  <c r="Q430" i="67"/>
  <c r="P430" i="67"/>
  <c r="X430" i="67" s="1"/>
  <c r="O430" i="67"/>
  <c r="N430" i="67"/>
  <c r="M430" i="67"/>
  <c r="L430" i="67"/>
  <c r="AC429" i="67"/>
  <c r="AQ14" i="67" s="1"/>
  <c r="AA429" i="67"/>
  <c r="W429" i="67"/>
  <c r="U429" i="67"/>
  <c r="S429" i="67"/>
  <c r="R429" i="67"/>
  <c r="Q429" i="67"/>
  <c r="P429" i="67"/>
  <c r="X429" i="67" s="1"/>
  <c r="O429" i="67"/>
  <c r="N429" i="67"/>
  <c r="M429" i="67"/>
  <c r="L429" i="67"/>
  <c r="AC428" i="67"/>
  <c r="AA428" i="67"/>
  <c r="X428" i="67"/>
  <c r="W428" i="67"/>
  <c r="U428" i="67"/>
  <c r="S428" i="67"/>
  <c r="R428" i="67"/>
  <c r="Q428" i="67"/>
  <c r="P428" i="67"/>
  <c r="O428" i="67"/>
  <c r="N428" i="67"/>
  <c r="M428" i="67"/>
  <c r="L428" i="67"/>
  <c r="AC427" i="67"/>
  <c r="AA427" i="67"/>
  <c r="W427" i="67"/>
  <c r="U427" i="67"/>
  <c r="S427" i="67"/>
  <c r="R427" i="67"/>
  <c r="Q427" i="67"/>
  <c r="P427" i="67"/>
  <c r="X427" i="67" s="1"/>
  <c r="O427" i="67"/>
  <c r="N427" i="67"/>
  <c r="M427" i="67"/>
  <c r="L427" i="67"/>
  <c r="AC426" i="67"/>
  <c r="AA426" i="67"/>
  <c r="W426" i="67"/>
  <c r="U426" i="67"/>
  <c r="S426" i="67"/>
  <c r="R426" i="67"/>
  <c r="Q426" i="67"/>
  <c r="P426" i="67"/>
  <c r="X426" i="67" s="1"/>
  <c r="O426" i="67"/>
  <c r="N426" i="67"/>
  <c r="M426" i="67"/>
  <c r="L426" i="67"/>
  <c r="AC425" i="67"/>
  <c r="AA425" i="67"/>
  <c r="W425" i="67"/>
  <c r="U425" i="67"/>
  <c r="S425" i="67"/>
  <c r="R425" i="67"/>
  <c r="Q425" i="67"/>
  <c r="P425" i="67"/>
  <c r="X425" i="67" s="1"/>
  <c r="O425" i="67"/>
  <c r="N425" i="67"/>
  <c r="M425" i="67"/>
  <c r="L425" i="67"/>
  <c r="AC424" i="67"/>
  <c r="AQ12" i="67" s="1"/>
  <c r="AA424" i="67"/>
  <c r="W424" i="67"/>
  <c r="U424" i="67"/>
  <c r="S424" i="67"/>
  <c r="R424" i="67"/>
  <c r="Q424" i="67"/>
  <c r="P424" i="67"/>
  <c r="X424" i="67" s="1"/>
  <c r="O424" i="67"/>
  <c r="N424" i="67"/>
  <c r="M424" i="67"/>
  <c r="L424" i="67"/>
  <c r="AC423" i="67"/>
  <c r="AA423" i="67"/>
  <c r="W423" i="67"/>
  <c r="U423" i="67"/>
  <c r="S423" i="67"/>
  <c r="R423" i="67"/>
  <c r="Q423" i="67"/>
  <c r="P423" i="67"/>
  <c r="X423" i="67" s="1"/>
  <c r="O423" i="67"/>
  <c r="N423" i="67"/>
  <c r="M423" i="67"/>
  <c r="L423" i="67"/>
  <c r="AA422" i="67"/>
  <c r="X422" i="67"/>
  <c r="W422" i="67"/>
  <c r="U422" i="67"/>
  <c r="S422" i="67"/>
  <c r="R422" i="67"/>
  <c r="Q422" i="67"/>
  <c r="P422" i="67"/>
  <c r="O422" i="67"/>
  <c r="N422" i="67"/>
  <c r="M422" i="67"/>
  <c r="L422" i="67"/>
  <c r="AC421" i="67"/>
  <c r="AA421" i="67"/>
  <c r="W421" i="67"/>
  <c r="U421" i="67"/>
  <c r="S421" i="67"/>
  <c r="R421" i="67"/>
  <c r="Q421" i="67"/>
  <c r="P421" i="67"/>
  <c r="X421" i="67" s="1"/>
  <c r="O421" i="67"/>
  <c r="N421" i="67"/>
  <c r="M421" i="67"/>
  <c r="L421" i="67"/>
  <c r="AC420" i="67"/>
  <c r="AA420" i="67"/>
  <c r="W420" i="67"/>
  <c r="U420" i="67"/>
  <c r="S420" i="67"/>
  <c r="R420" i="67"/>
  <c r="Q420" i="67"/>
  <c r="P420" i="67"/>
  <c r="X420" i="67" s="1"/>
  <c r="O420" i="67"/>
  <c r="N420" i="67"/>
  <c r="M420" i="67"/>
  <c r="L420" i="67"/>
  <c r="AC419" i="67"/>
  <c r="AQ18" i="67" s="1"/>
  <c r="AA419" i="67"/>
  <c r="W419" i="67"/>
  <c r="U419" i="67"/>
  <c r="S419" i="67"/>
  <c r="R419" i="67"/>
  <c r="Q419" i="67"/>
  <c r="P419" i="67"/>
  <c r="X419" i="67" s="1"/>
  <c r="O419" i="67"/>
  <c r="N419" i="67"/>
  <c r="M419" i="67"/>
  <c r="L419" i="67"/>
  <c r="AC418" i="67"/>
  <c r="AQ21" i="67" s="1"/>
  <c r="AA418" i="67"/>
  <c r="W418" i="67"/>
  <c r="U418" i="67"/>
  <c r="S418" i="67"/>
  <c r="R418" i="67"/>
  <c r="Q418" i="67"/>
  <c r="P418" i="67"/>
  <c r="X418" i="67" s="1"/>
  <c r="O418" i="67"/>
  <c r="N418" i="67"/>
  <c r="M418" i="67"/>
  <c r="L418" i="67"/>
  <c r="AC417" i="67"/>
  <c r="AQ19" i="67" s="1"/>
  <c r="AA417" i="67"/>
  <c r="W417" i="67"/>
  <c r="U417" i="67"/>
  <c r="S417" i="67"/>
  <c r="R417" i="67"/>
  <c r="Q417" i="67"/>
  <c r="P417" i="67"/>
  <c r="X417" i="67" s="1"/>
  <c r="O417" i="67"/>
  <c r="N417" i="67"/>
  <c r="M417" i="67"/>
  <c r="L417" i="67"/>
  <c r="AA416" i="67"/>
  <c r="X416" i="67"/>
  <c r="W416" i="67"/>
  <c r="U416" i="67"/>
  <c r="S416" i="67"/>
  <c r="R416" i="67"/>
  <c r="Q416" i="67"/>
  <c r="P416" i="67"/>
  <c r="O416" i="67"/>
  <c r="N416" i="67"/>
  <c r="M416" i="67"/>
  <c r="L416" i="67"/>
  <c r="AC415" i="67"/>
  <c r="AA415" i="67"/>
  <c r="W415" i="67"/>
  <c r="U415" i="67"/>
  <c r="S415" i="67"/>
  <c r="R415" i="67"/>
  <c r="Q415" i="67"/>
  <c r="P415" i="67"/>
  <c r="X415" i="67" s="1"/>
  <c r="O415" i="67"/>
  <c r="N415" i="67"/>
  <c r="M415" i="67"/>
  <c r="L415" i="67"/>
  <c r="AC414" i="67"/>
  <c r="AQ20" i="67" s="1"/>
  <c r="AA414" i="67"/>
  <c r="W414" i="67"/>
  <c r="U414" i="67"/>
  <c r="S414" i="67"/>
  <c r="R414" i="67"/>
  <c r="Q414" i="67"/>
  <c r="P414" i="67"/>
  <c r="X414" i="67" s="1"/>
  <c r="O414" i="67"/>
  <c r="N414" i="67"/>
  <c r="M414" i="67"/>
  <c r="L414" i="67"/>
  <c r="AC413" i="67"/>
  <c r="AA413" i="67"/>
  <c r="W413" i="67"/>
  <c r="U413" i="67"/>
  <c r="S413" i="67"/>
  <c r="R413" i="67"/>
  <c r="Q413" i="67"/>
  <c r="P413" i="67"/>
  <c r="X413" i="67" s="1"/>
  <c r="O413" i="67"/>
  <c r="N413" i="67"/>
  <c r="M413" i="67"/>
  <c r="L413" i="67"/>
  <c r="AC412" i="67"/>
  <c r="AA412" i="67"/>
  <c r="W412" i="67"/>
  <c r="U412" i="67"/>
  <c r="S412" i="67"/>
  <c r="R412" i="67"/>
  <c r="Q412" i="67"/>
  <c r="P412" i="67"/>
  <c r="X412" i="67" s="1"/>
  <c r="O412" i="67"/>
  <c r="N412" i="67"/>
  <c r="M412" i="67"/>
  <c r="L412" i="67"/>
  <c r="AC411" i="67"/>
  <c r="AA411" i="67"/>
  <c r="W411" i="67"/>
  <c r="U411" i="67"/>
  <c r="S411" i="67"/>
  <c r="R411" i="67"/>
  <c r="Q411" i="67"/>
  <c r="P411" i="67"/>
  <c r="X411" i="67" s="1"/>
  <c r="O411" i="67"/>
  <c r="N411" i="67"/>
  <c r="M411" i="67"/>
  <c r="L411" i="67"/>
  <c r="AA410" i="67"/>
  <c r="X410" i="67"/>
  <c r="W410" i="67"/>
  <c r="U410" i="67"/>
  <c r="S410" i="67"/>
  <c r="R410" i="67"/>
  <c r="Q410" i="67"/>
  <c r="P410" i="67"/>
  <c r="O410" i="67"/>
  <c r="N410" i="67"/>
  <c r="M410" i="67"/>
  <c r="L410" i="67"/>
  <c r="AC409" i="67"/>
  <c r="AA409" i="67"/>
  <c r="W409" i="67"/>
  <c r="U409" i="67"/>
  <c r="S409" i="67"/>
  <c r="R409" i="67"/>
  <c r="Q409" i="67"/>
  <c r="P409" i="67"/>
  <c r="X409" i="67" s="1"/>
  <c r="O409" i="67"/>
  <c r="N409" i="67"/>
  <c r="M409" i="67"/>
  <c r="L409" i="67"/>
  <c r="AC408" i="67"/>
  <c r="AA408" i="67"/>
  <c r="W408" i="67"/>
  <c r="U408" i="67"/>
  <c r="S408" i="67"/>
  <c r="R408" i="67"/>
  <c r="Q408" i="67"/>
  <c r="P408" i="67"/>
  <c r="X408" i="67" s="1"/>
  <c r="O408" i="67"/>
  <c r="N408" i="67"/>
  <c r="M408" i="67"/>
  <c r="L408" i="67"/>
  <c r="AC407" i="67"/>
  <c r="AA407" i="67"/>
  <c r="W407" i="67"/>
  <c r="U407" i="67"/>
  <c r="S407" i="67"/>
  <c r="R407" i="67"/>
  <c r="Q407" i="67"/>
  <c r="P407" i="67"/>
  <c r="X407" i="67" s="1"/>
  <c r="O407" i="67"/>
  <c r="N407" i="67"/>
  <c r="M407" i="67"/>
  <c r="L407" i="67"/>
  <c r="AC406" i="67"/>
  <c r="AA406" i="67"/>
  <c r="W406" i="67"/>
  <c r="U406" i="67"/>
  <c r="S406" i="67"/>
  <c r="R406" i="67"/>
  <c r="Q406" i="67"/>
  <c r="P406" i="67"/>
  <c r="X406" i="67" s="1"/>
  <c r="O406" i="67"/>
  <c r="N406" i="67"/>
  <c r="M406" i="67"/>
  <c r="L406" i="67"/>
  <c r="AC405" i="67"/>
  <c r="AA405" i="67"/>
  <c r="W405" i="67"/>
  <c r="U405" i="67"/>
  <c r="S405" i="67"/>
  <c r="R405" i="67"/>
  <c r="Q405" i="67"/>
  <c r="P405" i="67"/>
  <c r="X405" i="67" s="1"/>
  <c r="O405" i="67"/>
  <c r="N405" i="67"/>
  <c r="M405" i="67"/>
  <c r="L405" i="67"/>
  <c r="AA404" i="67"/>
  <c r="X404" i="67"/>
  <c r="W404" i="67"/>
  <c r="U404" i="67"/>
  <c r="S404" i="67"/>
  <c r="R404" i="67"/>
  <c r="Q404" i="67"/>
  <c r="P404" i="67"/>
  <c r="O404" i="67"/>
  <c r="N404" i="67"/>
  <c r="M404" i="67"/>
  <c r="L404" i="67"/>
  <c r="AC403" i="67"/>
  <c r="AA403" i="67"/>
  <c r="W403" i="67"/>
  <c r="U403" i="67"/>
  <c r="S403" i="67"/>
  <c r="R403" i="67"/>
  <c r="Q403" i="67"/>
  <c r="P403" i="67"/>
  <c r="X403" i="67" s="1"/>
  <c r="O403" i="67"/>
  <c r="N403" i="67"/>
  <c r="M403" i="67"/>
  <c r="L403" i="67"/>
  <c r="AC402" i="67"/>
  <c r="AA402" i="67"/>
  <c r="W402" i="67"/>
  <c r="U402" i="67"/>
  <c r="S402" i="67"/>
  <c r="R402" i="67"/>
  <c r="Q402" i="67"/>
  <c r="P402" i="67"/>
  <c r="X402" i="67" s="1"/>
  <c r="O402" i="67"/>
  <c r="N402" i="67"/>
  <c r="M402" i="67"/>
  <c r="L402" i="67"/>
  <c r="AC401" i="67"/>
  <c r="AA401" i="67"/>
  <c r="W401" i="67"/>
  <c r="U401" i="67"/>
  <c r="S401" i="67"/>
  <c r="R401" i="67"/>
  <c r="Q401" i="67"/>
  <c r="P401" i="67"/>
  <c r="X401" i="67" s="1"/>
  <c r="O401" i="67"/>
  <c r="N401" i="67"/>
  <c r="M401" i="67"/>
  <c r="L401" i="67"/>
  <c r="AC400" i="67"/>
  <c r="AA400" i="67"/>
  <c r="W400" i="67"/>
  <c r="U400" i="67"/>
  <c r="S400" i="67"/>
  <c r="R400" i="67"/>
  <c r="Q400" i="67"/>
  <c r="P400" i="67"/>
  <c r="X400" i="67" s="1"/>
  <c r="O400" i="67"/>
  <c r="N400" i="67"/>
  <c r="M400" i="67"/>
  <c r="L400" i="67"/>
  <c r="AC399" i="67"/>
  <c r="AA399" i="67"/>
  <c r="W399" i="67"/>
  <c r="U399" i="67"/>
  <c r="S399" i="67"/>
  <c r="R399" i="67"/>
  <c r="Q399" i="67"/>
  <c r="P399" i="67"/>
  <c r="X399" i="67" s="1"/>
  <c r="O399" i="67"/>
  <c r="N399" i="67"/>
  <c r="M399" i="67"/>
  <c r="L399" i="67"/>
  <c r="AA398" i="67"/>
  <c r="X398" i="67"/>
  <c r="W398" i="67"/>
  <c r="U398" i="67"/>
  <c r="S398" i="67"/>
  <c r="R398" i="67"/>
  <c r="Q398" i="67"/>
  <c r="P398" i="67"/>
  <c r="O398" i="67"/>
  <c r="N398" i="67"/>
  <c r="M398" i="67"/>
  <c r="L398" i="67"/>
  <c r="AA397" i="67"/>
  <c r="W397" i="67"/>
  <c r="U397" i="67"/>
  <c r="S397" i="67"/>
  <c r="R397" i="67"/>
  <c r="Q397" i="67"/>
  <c r="P397" i="67"/>
  <c r="X397" i="67" s="1"/>
  <c r="O397" i="67"/>
  <c r="N397" i="67"/>
  <c r="M397" i="67"/>
  <c r="L397" i="67"/>
  <c r="AA396" i="67"/>
  <c r="W396" i="67"/>
  <c r="U396" i="67"/>
  <c r="S396" i="67"/>
  <c r="R396" i="67"/>
  <c r="Q396" i="67"/>
  <c r="P396" i="67"/>
  <c r="X396" i="67" s="1"/>
  <c r="O396" i="67"/>
  <c r="N396" i="67"/>
  <c r="M396" i="67"/>
  <c r="L396" i="67"/>
  <c r="AC395" i="67"/>
  <c r="AA395" i="67"/>
  <c r="W395" i="67"/>
  <c r="U395" i="67"/>
  <c r="S395" i="67"/>
  <c r="R395" i="67"/>
  <c r="Q395" i="67"/>
  <c r="P395" i="67"/>
  <c r="X395" i="67" s="1"/>
  <c r="O395" i="67"/>
  <c r="N395" i="67"/>
  <c r="M395" i="67"/>
  <c r="L395" i="67"/>
  <c r="AC394" i="67"/>
  <c r="AA394" i="67"/>
  <c r="W394" i="67"/>
  <c r="U394" i="67"/>
  <c r="S394" i="67"/>
  <c r="R394" i="67"/>
  <c r="Q394" i="67"/>
  <c r="P394" i="67"/>
  <c r="X394" i="67" s="1"/>
  <c r="O394" i="67"/>
  <c r="N394" i="67"/>
  <c r="M394" i="67"/>
  <c r="L394" i="67"/>
  <c r="AC393" i="67"/>
  <c r="AA393" i="67"/>
  <c r="W393" i="67"/>
  <c r="U393" i="67"/>
  <c r="S393" i="67"/>
  <c r="R393" i="67"/>
  <c r="Q393" i="67"/>
  <c r="P393" i="67"/>
  <c r="X393" i="67" s="1"/>
  <c r="O393" i="67"/>
  <c r="N393" i="67"/>
  <c r="M393" i="67"/>
  <c r="L393" i="67"/>
  <c r="AA392" i="67"/>
  <c r="X392" i="67"/>
  <c r="W392" i="67"/>
  <c r="U392" i="67"/>
  <c r="S392" i="67"/>
  <c r="R392" i="67"/>
  <c r="Q392" i="67"/>
  <c r="P392" i="67"/>
  <c r="O392" i="67"/>
  <c r="N392" i="67"/>
  <c r="M392" i="67"/>
  <c r="L392" i="67"/>
  <c r="AC391" i="67"/>
  <c r="AA391" i="67"/>
  <c r="W391" i="67"/>
  <c r="U391" i="67"/>
  <c r="S391" i="67"/>
  <c r="R391" i="67"/>
  <c r="Q391" i="67"/>
  <c r="P391" i="67"/>
  <c r="X391" i="67" s="1"/>
  <c r="O391" i="67"/>
  <c r="N391" i="67"/>
  <c r="M391" i="67"/>
  <c r="L391" i="67"/>
  <c r="AC390" i="67"/>
  <c r="AA390" i="67"/>
  <c r="W390" i="67"/>
  <c r="U390" i="67"/>
  <c r="S390" i="67"/>
  <c r="R390" i="67"/>
  <c r="Q390" i="67"/>
  <c r="P390" i="67"/>
  <c r="X390" i="67" s="1"/>
  <c r="O390" i="67"/>
  <c r="N390" i="67"/>
  <c r="M390" i="67"/>
  <c r="L390" i="67"/>
  <c r="AC389" i="67"/>
  <c r="AA389" i="67"/>
  <c r="W389" i="67"/>
  <c r="U389" i="67"/>
  <c r="S389" i="67"/>
  <c r="R389" i="67"/>
  <c r="Q389" i="67"/>
  <c r="P389" i="67"/>
  <c r="X389" i="67" s="1"/>
  <c r="O389" i="67"/>
  <c r="N389" i="67"/>
  <c r="M389" i="67"/>
  <c r="L389" i="67"/>
  <c r="AC388" i="67"/>
  <c r="AA388" i="67"/>
  <c r="W388" i="67"/>
  <c r="U388" i="67"/>
  <c r="S388" i="67"/>
  <c r="R388" i="67"/>
  <c r="Q388" i="67"/>
  <c r="P388" i="67"/>
  <c r="X388" i="67" s="1"/>
  <c r="O388" i="67"/>
  <c r="N388" i="67"/>
  <c r="M388" i="67"/>
  <c r="L388" i="67"/>
  <c r="AC387" i="67"/>
  <c r="AA387" i="67"/>
  <c r="W387" i="67"/>
  <c r="U387" i="67"/>
  <c r="S387" i="67"/>
  <c r="R387" i="67"/>
  <c r="Q387" i="67"/>
  <c r="P387" i="67"/>
  <c r="X387" i="67" s="1"/>
  <c r="O387" i="67"/>
  <c r="N387" i="67"/>
  <c r="M387" i="67"/>
  <c r="L387" i="67"/>
  <c r="AA386" i="67"/>
  <c r="X386" i="67"/>
  <c r="W386" i="67"/>
  <c r="U386" i="67"/>
  <c r="S386" i="67"/>
  <c r="R386" i="67"/>
  <c r="Q386" i="67"/>
  <c r="P386" i="67"/>
  <c r="O386" i="67"/>
  <c r="N386" i="67"/>
  <c r="M386" i="67"/>
  <c r="L386" i="67"/>
  <c r="AC385" i="67"/>
  <c r="AA385" i="67"/>
  <c r="W385" i="67"/>
  <c r="U385" i="67"/>
  <c r="S385" i="67"/>
  <c r="R385" i="67"/>
  <c r="Q385" i="67"/>
  <c r="P385" i="67"/>
  <c r="X385" i="67" s="1"/>
  <c r="O385" i="67"/>
  <c r="N385" i="67"/>
  <c r="M385" i="67"/>
  <c r="L385" i="67"/>
  <c r="AC384" i="67"/>
  <c r="AA384" i="67"/>
  <c r="W384" i="67"/>
  <c r="U384" i="67"/>
  <c r="S384" i="67"/>
  <c r="R384" i="67"/>
  <c r="Q384" i="67"/>
  <c r="P384" i="67"/>
  <c r="X384" i="67" s="1"/>
  <c r="O384" i="67"/>
  <c r="N384" i="67"/>
  <c r="M384" i="67"/>
  <c r="L384" i="67"/>
  <c r="AC383" i="67"/>
  <c r="AA383" i="67"/>
  <c r="W383" i="67"/>
  <c r="U383" i="67"/>
  <c r="S383" i="67"/>
  <c r="R383" i="67"/>
  <c r="Q383" i="67"/>
  <c r="P383" i="67"/>
  <c r="X383" i="67" s="1"/>
  <c r="O383" i="67"/>
  <c r="N383" i="67"/>
  <c r="M383" i="67"/>
  <c r="L383" i="67"/>
  <c r="AC382" i="67"/>
  <c r="AA382" i="67"/>
  <c r="W382" i="67"/>
  <c r="U382" i="67"/>
  <c r="S382" i="67"/>
  <c r="R382" i="67"/>
  <c r="Q382" i="67"/>
  <c r="P382" i="67"/>
  <c r="X382" i="67" s="1"/>
  <c r="O382" i="67"/>
  <c r="N382" i="67"/>
  <c r="M382" i="67"/>
  <c r="L382" i="67"/>
  <c r="AC381" i="67"/>
  <c r="AA381" i="67"/>
  <c r="W381" i="67"/>
  <c r="U381" i="67"/>
  <c r="S381" i="67"/>
  <c r="R381" i="67"/>
  <c r="Q381" i="67"/>
  <c r="P381" i="67"/>
  <c r="X381" i="67" s="1"/>
  <c r="O381" i="67"/>
  <c r="N381" i="67"/>
  <c r="M381" i="67"/>
  <c r="L381" i="67"/>
  <c r="AA380" i="67"/>
  <c r="X380" i="67"/>
  <c r="W380" i="67"/>
  <c r="U380" i="67"/>
  <c r="S380" i="67"/>
  <c r="R380" i="67"/>
  <c r="Q380" i="67"/>
  <c r="P380" i="67"/>
  <c r="O380" i="67"/>
  <c r="N380" i="67"/>
  <c r="M380" i="67"/>
  <c r="L380" i="67"/>
  <c r="AA379" i="67"/>
  <c r="X379" i="67"/>
  <c r="W379" i="67"/>
  <c r="U379" i="67"/>
  <c r="S379" i="67"/>
  <c r="R379" i="67"/>
  <c r="Q379" i="67"/>
  <c r="P379" i="67"/>
  <c r="O379" i="67"/>
  <c r="N379" i="67"/>
  <c r="M379" i="67"/>
  <c r="L379" i="67"/>
  <c r="AA378" i="67"/>
  <c r="X378" i="67"/>
  <c r="W378" i="67"/>
  <c r="U378" i="67"/>
  <c r="S378" i="67"/>
  <c r="R378" i="67"/>
  <c r="Q378" i="67"/>
  <c r="P378" i="67"/>
  <c r="O378" i="67"/>
  <c r="N378" i="67"/>
  <c r="M378" i="67"/>
  <c r="L378" i="67"/>
  <c r="AC377" i="67"/>
  <c r="AA377" i="67"/>
  <c r="W377" i="67"/>
  <c r="U377" i="67"/>
  <c r="S377" i="67"/>
  <c r="R377" i="67"/>
  <c r="Q377" i="67"/>
  <c r="P377" i="67"/>
  <c r="X377" i="67" s="1"/>
  <c r="O377" i="67"/>
  <c r="N377" i="67"/>
  <c r="M377" i="67"/>
  <c r="L377" i="67"/>
  <c r="AC376" i="67"/>
  <c r="AA376" i="67"/>
  <c r="W376" i="67"/>
  <c r="U376" i="67"/>
  <c r="S376" i="67"/>
  <c r="R376" i="67"/>
  <c r="Q376" i="67"/>
  <c r="P376" i="67"/>
  <c r="X376" i="67" s="1"/>
  <c r="O376" i="67"/>
  <c r="N376" i="67"/>
  <c r="M376" i="67"/>
  <c r="L376" i="67"/>
  <c r="AC375" i="67"/>
  <c r="AA375" i="67"/>
  <c r="W375" i="67"/>
  <c r="U375" i="67"/>
  <c r="S375" i="67"/>
  <c r="R375" i="67"/>
  <c r="Q375" i="67"/>
  <c r="P375" i="67"/>
  <c r="X375" i="67" s="1"/>
  <c r="O375" i="67"/>
  <c r="N375" i="67"/>
  <c r="M375" i="67"/>
  <c r="L375" i="67"/>
  <c r="AC374" i="67"/>
  <c r="AA374" i="67"/>
  <c r="W374" i="67"/>
  <c r="U374" i="67"/>
  <c r="S374" i="67"/>
  <c r="R374" i="67"/>
  <c r="Q374" i="67"/>
  <c r="P374" i="67"/>
  <c r="X374" i="67" s="1"/>
  <c r="O374" i="67"/>
  <c r="N374" i="67"/>
  <c r="M374" i="67"/>
  <c r="L374" i="67"/>
  <c r="AC373" i="67"/>
  <c r="AA373" i="67"/>
  <c r="W373" i="67"/>
  <c r="U373" i="67"/>
  <c r="S373" i="67"/>
  <c r="R373" i="67"/>
  <c r="Q373" i="67"/>
  <c r="P373" i="67"/>
  <c r="X373" i="67" s="1"/>
  <c r="O373" i="67"/>
  <c r="N373" i="67"/>
  <c r="M373" i="67"/>
  <c r="L373" i="67"/>
  <c r="AA372" i="67"/>
  <c r="X372" i="67"/>
  <c r="W372" i="67"/>
  <c r="U372" i="67"/>
  <c r="S372" i="67"/>
  <c r="R372" i="67"/>
  <c r="Q372" i="67"/>
  <c r="P372" i="67"/>
  <c r="O372" i="67"/>
  <c r="N372" i="67"/>
  <c r="M372" i="67"/>
  <c r="L372" i="67"/>
  <c r="AC371" i="67"/>
  <c r="AA371" i="67"/>
  <c r="W371" i="67"/>
  <c r="U371" i="67"/>
  <c r="S371" i="67"/>
  <c r="R371" i="67"/>
  <c r="Q371" i="67"/>
  <c r="P371" i="67"/>
  <c r="X371" i="67" s="1"/>
  <c r="O371" i="67"/>
  <c r="N371" i="67"/>
  <c r="M371" i="67"/>
  <c r="L371" i="67"/>
  <c r="AC370" i="67"/>
  <c r="AA370" i="67"/>
  <c r="W370" i="67"/>
  <c r="U370" i="67"/>
  <c r="S370" i="67"/>
  <c r="R370" i="67"/>
  <c r="Q370" i="67"/>
  <c r="P370" i="67"/>
  <c r="X370" i="67" s="1"/>
  <c r="O370" i="67"/>
  <c r="N370" i="67"/>
  <c r="M370" i="67"/>
  <c r="L370" i="67"/>
  <c r="AC369" i="67"/>
  <c r="AA369" i="67"/>
  <c r="W369" i="67"/>
  <c r="U369" i="67"/>
  <c r="S369" i="67"/>
  <c r="R369" i="67"/>
  <c r="Q369" i="67"/>
  <c r="P369" i="67"/>
  <c r="X369" i="67" s="1"/>
  <c r="O369" i="67"/>
  <c r="N369" i="67"/>
  <c r="M369" i="67"/>
  <c r="L369" i="67"/>
  <c r="AC368" i="67"/>
  <c r="AA368" i="67"/>
  <c r="W368" i="67"/>
  <c r="U368" i="67"/>
  <c r="S368" i="67"/>
  <c r="R368" i="67"/>
  <c r="Q368" i="67"/>
  <c r="P368" i="67"/>
  <c r="X368" i="67" s="1"/>
  <c r="O368" i="67"/>
  <c r="N368" i="67"/>
  <c r="M368" i="67"/>
  <c r="L368" i="67"/>
  <c r="AC367" i="67"/>
  <c r="AA367" i="67"/>
  <c r="W367" i="67"/>
  <c r="U367" i="67"/>
  <c r="S367" i="67"/>
  <c r="R367" i="67"/>
  <c r="Q367" i="67"/>
  <c r="P367" i="67"/>
  <c r="X367" i="67" s="1"/>
  <c r="O367" i="67"/>
  <c r="N367" i="67"/>
  <c r="M367" i="67"/>
  <c r="L367" i="67"/>
  <c r="AA366" i="67"/>
  <c r="X366" i="67"/>
  <c r="W366" i="67"/>
  <c r="U366" i="67"/>
  <c r="S366" i="67"/>
  <c r="R366" i="67"/>
  <c r="Q366" i="67"/>
  <c r="P366" i="67"/>
  <c r="O366" i="67"/>
  <c r="N366" i="67"/>
  <c r="M366" i="67"/>
  <c r="L366" i="67"/>
  <c r="AC365" i="67"/>
  <c r="AA365" i="67"/>
  <c r="W365" i="67"/>
  <c r="U365" i="67"/>
  <c r="S365" i="67"/>
  <c r="R365" i="67"/>
  <c r="Q365" i="67"/>
  <c r="P365" i="67"/>
  <c r="X365" i="67" s="1"/>
  <c r="O365" i="67"/>
  <c r="N365" i="67"/>
  <c r="M365" i="67"/>
  <c r="L365" i="67"/>
  <c r="AC364" i="67"/>
  <c r="AA364" i="67"/>
  <c r="W364" i="67"/>
  <c r="U364" i="67"/>
  <c r="S364" i="67"/>
  <c r="R364" i="67"/>
  <c r="Q364" i="67"/>
  <c r="P364" i="67"/>
  <c r="X364" i="67" s="1"/>
  <c r="O364" i="67"/>
  <c r="N364" i="67"/>
  <c r="M364" i="67"/>
  <c r="L364" i="67"/>
  <c r="AC363" i="67"/>
  <c r="AA363" i="67"/>
  <c r="W363" i="67"/>
  <c r="U363" i="67"/>
  <c r="S363" i="67"/>
  <c r="R363" i="67"/>
  <c r="Q363" i="67"/>
  <c r="P363" i="67"/>
  <c r="X363" i="67" s="1"/>
  <c r="O363" i="67"/>
  <c r="N363" i="67"/>
  <c r="M363" i="67"/>
  <c r="L363" i="67"/>
  <c r="AC362" i="67"/>
  <c r="AA362" i="67"/>
  <c r="W362" i="67"/>
  <c r="U362" i="67"/>
  <c r="S362" i="67"/>
  <c r="R362" i="67"/>
  <c r="Q362" i="67"/>
  <c r="P362" i="67"/>
  <c r="X362" i="67" s="1"/>
  <c r="O362" i="67"/>
  <c r="N362" i="67"/>
  <c r="M362" i="67"/>
  <c r="L362" i="67"/>
  <c r="AC361" i="67"/>
  <c r="AA361" i="67"/>
  <c r="W361" i="67"/>
  <c r="U361" i="67"/>
  <c r="S361" i="67"/>
  <c r="R361" i="67"/>
  <c r="Q361" i="67"/>
  <c r="P361" i="67"/>
  <c r="X361" i="67" s="1"/>
  <c r="O361" i="67"/>
  <c r="N361" i="67"/>
  <c r="M361" i="67"/>
  <c r="L361" i="67"/>
  <c r="AA360" i="67"/>
  <c r="X360" i="67"/>
  <c r="W360" i="67"/>
  <c r="U360" i="67"/>
  <c r="S360" i="67"/>
  <c r="R360" i="67"/>
  <c r="Q360" i="67"/>
  <c r="P360" i="67"/>
  <c r="O360" i="67"/>
  <c r="N360" i="67"/>
  <c r="M360" i="67"/>
  <c r="L360" i="67"/>
  <c r="AC359" i="67"/>
  <c r="AA359" i="67"/>
  <c r="W359" i="67"/>
  <c r="U359" i="67"/>
  <c r="S359" i="67"/>
  <c r="R359" i="67"/>
  <c r="Q359" i="67"/>
  <c r="P359" i="67"/>
  <c r="X359" i="67" s="1"/>
  <c r="O359" i="67"/>
  <c r="N359" i="67"/>
  <c r="M359" i="67"/>
  <c r="L359" i="67"/>
  <c r="AC358" i="67"/>
  <c r="AA358" i="67"/>
  <c r="W358" i="67"/>
  <c r="U358" i="67"/>
  <c r="S358" i="67"/>
  <c r="R358" i="67"/>
  <c r="Q358" i="67"/>
  <c r="P358" i="67"/>
  <c r="X358" i="67" s="1"/>
  <c r="O358" i="67"/>
  <c r="N358" i="67"/>
  <c r="M358" i="67"/>
  <c r="L358" i="67"/>
  <c r="AC357" i="67"/>
  <c r="AA357" i="67"/>
  <c r="W357" i="67"/>
  <c r="U357" i="67"/>
  <c r="S357" i="67"/>
  <c r="R357" i="67"/>
  <c r="Q357" i="67"/>
  <c r="P357" i="67"/>
  <c r="X357" i="67" s="1"/>
  <c r="O357" i="67"/>
  <c r="N357" i="67"/>
  <c r="M357" i="67"/>
  <c r="L357" i="67"/>
  <c r="AC356" i="67"/>
  <c r="AA356" i="67"/>
  <c r="W356" i="67"/>
  <c r="U356" i="67"/>
  <c r="S356" i="67"/>
  <c r="R356" i="67"/>
  <c r="Q356" i="67"/>
  <c r="P356" i="67"/>
  <c r="X356" i="67" s="1"/>
  <c r="O356" i="67"/>
  <c r="N356" i="67"/>
  <c r="M356" i="67"/>
  <c r="L356" i="67"/>
  <c r="AC355" i="67"/>
  <c r="AA355" i="67"/>
  <c r="W355" i="67"/>
  <c r="U355" i="67"/>
  <c r="S355" i="67"/>
  <c r="R355" i="67"/>
  <c r="Q355" i="67"/>
  <c r="P355" i="67"/>
  <c r="X355" i="67" s="1"/>
  <c r="O355" i="67"/>
  <c r="N355" i="67"/>
  <c r="M355" i="67"/>
  <c r="L355" i="67"/>
  <c r="AA354" i="67"/>
  <c r="X354" i="67"/>
  <c r="U354" i="67"/>
  <c r="S354" i="67"/>
  <c r="R354" i="67"/>
  <c r="Q354" i="67"/>
  <c r="O354" i="67"/>
  <c r="N354" i="67"/>
  <c r="M354" i="67"/>
  <c r="AC353" i="67"/>
  <c r="AA353" i="67"/>
  <c r="W353" i="67"/>
  <c r="U353" i="67"/>
  <c r="S353" i="67"/>
  <c r="R353" i="67"/>
  <c r="Q353" i="67"/>
  <c r="P353" i="67"/>
  <c r="X353" i="67" s="1"/>
  <c r="O353" i="67"/>
  <c r="N353" i="67"/>
  <c r="M353" i="67"/>
  <c r="L353" i="67"/>
  <c r="AC352" i="67"/>
  <c r="AA352" i="67"/>
  <c r="W352" i="67"/>
  <c r="U352" i="67"/>
  <c r="S352" i="67"/>
  <c r="R352" i="67"/>
  <c r="Q352" i="67"/>
  <c r="P352" i="67"/>
  <c r="X352" i="67" s="1"/>
  <c r="O352" i="67"/>
  <c r="N352" i="67"/>
  <c r="M352" i="67"/>
  <c r="L352" i="67"/>
  <c r="AC351" i="67"/>
  <c r="AA351" i="67"/>
  <c r="W351" i="67"/>
  <c r="U351" i="67"/>
  <c r="S351" i="67"/>
  <c r="R351" i="67"/>
  <c r="Q351" i="67"/>
  <c r="P351" i="67"/>
  <c r="X351" i="67" s="1"/>
  <c r="O351" i="67"/>
  <c r="N351" i="67"/>
  <c r="M351" i="67"/>
  <c r="L351" i="67"/>
  <c r="AC350" i="67"/>
  <c r="AA350" i="67"/>
  <c r="W350" i="67"/>
  <c r="U350" i="67"/>
  <c r="S350" i="67"/>
  <c r="R350" i="67"/>
  <c r="Q350" i="67"/>
  <c r="P350" i="67"/>
  <c r="X350" i="67" s="1"/>
  <c r="O350" i="67"/>
  <c r="N350" i="67"/>
  <c r="M350" i="67"/>
  <c r="L350" i="67"/>
  <c r="AC349" i="67"/>
  <c r="AA349" i="67"/>
  <c r="W349" i="67"/>
  <c r="U349" i="67"/>
  <c r="S349" i="67"/>
  <c r="R349" i="67"/>
  <c r="Q349" i="67"/>
  <c r="P349" i="67"/>
  <c r="O349" i="67"/>
  <c r="N349" i="67"/>
  <c r="M349" i="67"/>
  <c r="L349" i="67"/>
  <c r="AA348" i="67"/>
  <c r="X348" i="67"/>
  <c r="U348" i="67"/>
  <c r="S348" i="67"/>
  <c r="R348" i="67"/>
  <c r="Q348" i="67"/>
  <c r="O348" i="67"/>
  <c r="N348" i="67"/>
  <c r="M348" i="67"/>
  <c r="AC347" i="67"/>
  <c r="AA347" i="67"/>
  <c r="W347" i="67"/>
  <c r="U347" i="67"/>
  <c r="S347" i="67"/>
  <c r="R347" i="67"/>
  <c r="Q347" i="67"/>
  <c r="P347" i="67"/>
  <c r="X347" i="67" s="1"/>
  <c r="O347" i="67"/>
  <c r="N347" i="67"/>
  <c r="M347" i="67"/>
  <c r="L347" i="67"/>
  <c r="AC346" i="67"/>
  <c r="AA346" i="67"/>
  <c r="W346" i="67"/>
  <c r="U346" i="67"/>
  <c r="S346" i="67"/>
  <c r="R346" i="67"/>
  <c r="Q346" i="67"/>
  <c r="P346" i="67"/>
  <c r="X346" i="67" s="1"/>
  <c r="O346" i="67"/>
  <c r="N346" i="67"/>
  <c r="M346" i="67"/>
  <c r="L346" i="67"/>
  <c r="AC345" i="67"/>
  <c r="AA345" i="67"/>
  <c r="W345" i="67"/>
  <c r="U345" i="67"/>
  <c r="S345" i="67"/>
  <c r="R345" i="67"/>
  <c r="Q345" i="67"/>
  <c r="P345" i="67"/>
  <c r="X345" i="67" s="1"/>
  <c r="O345" i="67"/>
  <c r="N345" i="67"/>
  <c r="M345" i="67"/>
  <c r="L345" i="67"/>
  <c r="AC344" i="67"/>
  <c r="AA344" i="67"/>
  <c r="W344" i="67"/>
  <c r="U344" i="67"/>
  <c r="S344" i="67"/>
  <c r="R344" i="67"/>
  <c r="Q344" i="67"/>
  <c r="P344" i="67"/>
  <c r="X344" i="67" s="1"/>
  <c r="O344" i="67"/>
  <c r="N344" i="67"/>
  <c r="M344" i="67"/>
  <c r="L344" i="67"/>
  <c r="AC343" i="67"/>
  <c r="AA343" i="67"/>
  <c r="W343" i="67"/>
  <c r="U343" i="67"/>
  <c r="S343" i="67"/>
  <c r="R343" i="67"/>
  <c r="Q343" i="67"/>
  <c r="P343" i="67"/>
  <c r="O343" i="67"/>
  <c r="N343" i="67"/>
  <c r="M343" i="67"/>
  <c r="L343" i="67"/>
  <c r="AA342" i="67"/>
  <c r="X342" i="67"/>
  <c r="U342" i="67"/>
  <c r="S342" i="67"/>
  <c r="R342" i="67"/>
  <c r="Q342" i="67"/>
  <c r="O342" i="67"/>
  <c r="N342" i="67"/>
  <c r="M342" i="67"/>
  <c r="AC341" i="67"/>
  <c r="AA341" i="67"/>
  <c r="W341" i="67"/>
  <c r="U341" i="67"/>
  <c r="S341" i="67"/>
  <c r="R341" i="67"/>
  <c r="Q341" i="67"/>
  <c r="P341" i="67"/>
  <c r="X341" i="67" s="1"/>
  <c r="O341" i="67"/>
  <c r="N341" i="67"/>
  <c r="M341" i="67"/>
  <c r="L341" i="67"/>
  <c r="AC340" i="67"/>
  <c r="AA340" i="67"/>
  <c r="W340" i="67"/>
  <c r="U340" i="67"/>
  <c r="S340" i="67"/>
  <c r="R340" i="67"/>
  <c r="Q340" i="67"/>
  <c r="P340" i="67"/>
  <c r="X340" i="67" s="1"/>
  <c r="O340" i="67"/>
  <c r="N340" i="67"/>
  <c r="M340" i="67"/>
  <c r="L340" i="67"/>
  <c r="AC339" i="67"/>
  <c r="AA339" i="67"/>
  <c r="W339" i="67"/>
  <c r="U339" i="67"/>
  <c r="S339" i="67"/>
  <c r="R339" i="67"/>
  <c r="Q339" i="67"/>
  <c r="P339" i="67"/>
  <c r="X339" i="67" s="1"/>
  <c r="O339" i="67"/>
  <c r="N339" i="67"/>
  <c r="M339" i="67"/>
  <c r="L339" i="67"/>
  <c r="AC338" i="67"/>
  <c r="AA338" i="67"/>
  <c r="W338" i="67"/>
  <c r="U338" i="67"/>
  <c r="S338" i="67"/>
  <c r="R338" i="67"/>
  <c r="Q338" i="67"/>
  <c r="P338" i="67"/>
  <c r="X338" i="67" s="1"/>
  <c r="O338" i="67"/>
  <c r="N338" i="67"/>
  <c r="M338" i="67"/>
  <c r="L338" i="67"/>
  <c r="AC337" i="67"/>
  <c r="AA337" i="67"/>
  <c r="W337" i="67"/>
  <c r="U337" i="67"/>
  <c r="S337" i="67"/>
  <c r="R337" i="67"/>
  <c r="Q337" i="67"/>
  <c r="P337" i="67"/>
  <c r="X337" i="67" s="1"/>
  <c r="O337" i="67"/>
  <c r="N337" i="67"/>
  <c r="M337" i="67"/>
  <c r="L337" i="67"/>
  <c r="AA336" i="67"/>
  <c r="X336" i="67"/>
  <c r="U336" i="67"/>
  <c r="S336" i="67"/>
  <c r="R336" i="67"/>
  <c r="Q336" i="67"/>
  <c r="O336" i="67"/>
  <c r="N336" i="67"/>
  <c r="M336" i="67"/>
  <c r="AC335" i="67"/>
  <c r="AA335" i="67"/>
  <c r="W335" i="67"/>
  <c r="U335" i="67"/>
  <c r="S335" i="67"/>
  <c r="R335" i="67"/>
  <c r="Q335" i="67"/>
  <c r="P335" i="67"/>
  <c r="X335" i="67" s="1"/>
  <c r="O335" i="67"/>
  <c r="N335" i="67"/>
  <c r="M335" i="67"/>
  <c r="L335" i="67"/>
  <c r="AC334" i="67"/>
  <c r="AA334" i="67"/>
  <c r="W334" i="67"/>
  <c r="U334" i="67"/>
  <c r="S334" i="67"/>
  <c r="R334" i="67"/>
  <c r="Q334" i="67"/>
  <c r="P334" i="67"/>
  <c r="X334" i="67" s="1"/>
  <c r="O334" i="67"/>
  <c r="N334" i="67"/>
  <c r="M334" i="67"/>
  <c r="L334" i="67"/>
  <c r="AC333" i="67"/>
  <c r="AA333" i="67"/>
  <c r="W333" i="67"/>
  <c r="U333" i="67"/>
  <c r="S333" i="67"/>
  <c r="R333" i="67"/>
  <c r="Q333" i="67"/>
  <c r="P333" i="67"/>
  <c r="X333" i="67" s="1"/>
  <c r="O333" i="67"/>
  <c r="N333" i="67"/>
  <c r="M333" i="67"/>
  <c r="L333" i="67"/>
  <c r="AC332" i="67"/>
  <c r="AA332" i="67"/>
  <c r="W332" i="67"/>
  <c r="U332" i="67"/>
  <c r="S332" i="67"/>
  <c r="R332" i="67"/>
  <c r="Q332" i="67"/>
  <c r="P332" i="67"/>
  <c r="X332" i="67" s="1"/>
  <c r="O332" i="67"/>
  <c r="N332" i="67"/>
  <c r="M332" i="67"/>
  <c r="L332" i="67"/>
  <c r="AC331" i="67"/>
  <c r="AA331" i="67"/>
  <c r="W331" i="67"/>
  <c r="U331" i="67"/>
  <c r="S331" i="67"/>
  <c r="R331" i="67"/>
  <c r="Q331" i="67"/>
  <c r="P331" i="67"/>
  <c r="X331" i="67" s="1"/>
  <c r="O331" i="67"/>
  <c r="N331" i="67"/>
  <c r="M331" i="67"/>
  <c r="L331" i="67"/>
  <c r="AA330" i="67"/>
  <c r="X330" i="67"/>
  <c r="U330" i="67"/>
  <c r="S330" i="67"/>
  <c r="R330" i="67"/>
  <c r="Q330" i="67"/>
  <c r="O330" i="67"/>
  <c r="N330" i="67"/>
  <c r="M330" i="67"/>
  <c r="AC329" i="67"/>
  <c r="AA329" i="67"/>
  <c r="W329" i="67"/>
  <c r="U329" i="67"/>
  <c r="S329" i="67"/>
  <c r="R329" i="67"/>
  <c r="Q329" i="67"/>
  <c r="P329" i="67"/>
  <c r="X329" i="67" s="1"/>
  <c r="O329" i="67"/>
  <c r="N329" i="67"/>
  <c r="M329" i="67"/>
  <c r="L329" i="67"/>
  <c r="AC328" i="67"/>
  <c r="AA328" i="67"/>
  <c r="W328" i="67"/>
  <c r="U328" i="67"/>
  <c r="S328" i="67"/>
  <c r="R328" i="67"/>
  <c r="Q328" i="67"/>
  <c r="P328" i="67"/>
  <c r="X328" i="67" s="1"/>
  <c r="O328" i="67"/>
  <c r="N328" i="67"/>
  <c r="M328" i="67"/>
  <c r="L328" i="67"/>
  <c r="AC327" i="67"/>
  <c r="AA327" i="67"/>
  <c r="W327" i="67"/>
  <c r="U327" i="67"/>
  <c r="S327" i="67"/>
  <c r="R327" i="67"/>
  <c r="Q327" i="67"/>
  <c r="P327" i="67"/>
  <c r="X327" i="67" s="1"/>
  <c r="O327" i="67"/>
  <c r="N327" i="67"/>
  <c r="M327" i="67"/>
  <c r="L327" i="67"/>
  <c r="AC326" i="67"/>
  <c r="AA326" i="67"/>
  <c r="W326" i="67"/>
  <c r="U326" i="67"/>
  <c r="S326" i="67"/>
  <c r="R326" i="67"/>
  <c r="Q326" i="67"/>
  <c r="P326" i="67"/>
  <c r="X326" i="67" s="1"/>
  <c r="O326" i="67"/>
  <c r="N326" i="67"/>
  <c r="M326" i="67"/>
  <c r="L326" i="67"/>
  <c r="AC325" i="67"/>
  <c r="AA325" i="67"/>
  <c r="W325" i="67"/>
  <c r="U325" i="67"/>
  <c r="S325" i="67"/>
  <c r="R325" i="67"/>
  <c r="Q325" i="67"/>
  <c r="P325" i="67"/>
  <c r="O325" i="67"/>
  <c r="N325" i="67"/>
  <c r="M325" i="67"/>
  <c r="L325" i="67"/>
  <c r="AA324" i="67"/>
  <c r="X324" i="67"/>
  <c r="U324" i="67"/>
  <c r="S324" i="67"/>
  <c r="R324" i="67"/>
  <c r="Q324" i="67"/>
  <c r="O324" i="67"/>
  <c r="N324" i="67"/>
  <c r="M324" i="67"/>
  <c r="AC323" i="67"/>
  <c r="AA323" i="67"/>
  <c r="W323" i="67"/>
  <c r="U323" i="67"/>
  <c r="S323" i="67"/>
  <c r="R323" i="67"/>
  <c r="Q323" i="67"/>
  <c r="P323" i="67"/>
  <c r="X323" i="67" s="1"/>
  <c r="O323" i="67"/>
  <c r="N323" i="67"/>
  <c r="M323" i="67"/>
  <c r="L323" i="67"/>
  <c r="AC322" i="67"/>
  <c r="AA322" i="67"/>
  <c r="W322" i="67"/>
  <c r="U322" i="67"/>
  <c r="S322" i="67"/>
  <c r="R322" i="67"/>
  <c r="Q322" i="67"/>
  <c r="P322" i="67"/>
  <c r="X322" i="67" s="1"/>
  <c r="O322" i="67"/>
  <c r="N322" i="67"/>
  <c r="M322" i="67"/>
  <c r="L322" i="67"/>
  <c r="AC321" i="67"/>
  <c r="AA321" i="67"/>
  <c r="W321" i="67"/>
  <c r="U321" i="67"/>
  <c r="S321" i="67"/>
  <c r="R321" i="67"/>
  <c r="Q321" i="67"/>
  <c r="P321" i="67"/>
  <c r="X321" i="67" s="1"/>
  <c r="O321" i="67"/>
  <c r="N321" i="67"/>
  <c r="M321" i="67"/>
  <c r="L321" i="67"/>
  <c r="AC320" i="67"/>
  <c r="AA320" i="67"/>
  <c r="W320" i="67"/>
  <c r="U320" i="67"/>
  <c r="S320" i="67"/>
  <c r="R320" i="67"/>
  <c r="Q320" i="67"/>
  <c r="P320" i="67"/>
  <c r="X320" i="67" s="1"/>
  <c r="O320" i="67"/>
  <c r="N320" i="67"/>
  <c r="M320" i="67"/>
  <c r="L320" i="67"/>
  <c r="AC319" i="67"/>
  <c r="AA319" i="67"/>
  <c r="W319" i="67"/>
  <c r="U319" i="67"/>
  <c r="S319" i="67"/>
  <c r="R319" i="67"/>
  <c r="Q319" i="67"/>
  <c r="P319" i="67"/>
  <c r="X319" i="67" s="1"/>
  <c r="O319" i="67"/>
  <c r="N319" i="67"/>
  <c r="M319" i="67"/>
  <c r="L319" i="67"/>
  <c r="AA318" i="67"/>
  <c r="X318" i="67"/>
  <c r="U318" i="67"/>
  <c r="S318" i="67"/>
  <c r="R318" i="67"/>
  <c r="Q318" i="67"/>
  <c r="O318" i="67"/>
  <c r="N318" i="67"/>
  <c r="M318" i="67"/>
  <c r="AC317" i="67"/>
  <c r="AA317" i="67"/>
  <c r="W317" i="67"/>
  <c r="U317" i="67"/>
  <c r="S317" i="67"/>
  <c r="R317" i="67"/>
  <c r="Q317" i="67"/>
  <c r="P317" i="67"/>
  <c r="X317" i="67" s="1"/>
  <c r="O317" i="67"/>
  <c r="N317" i="67"/>
  <c r="M317" i="67"/>
  <c r="L317" i="67"/>
  <c r="AC316" i="67"/>
  <c r="AA316" i="67"/>
  <c r="W316" i="67"/>
  <c r="U316" i="67"/>
  <c r="S316" i="67"/>
  <c r="R316" i="67"/>
  <c r="Q316" i="67"/>
  <c r="P316" i="67"/>
  <c r="X316" i="67" s="1"/>
  <c r="O316" i="67"/>
  <c r="N316" i="67"/>
  <c r="M316" i="67"/>
  <c r="L316" i="67"/>
  <c r="AC315" i="67"/>
  <c r="AA315" i="67"/>
  <c r="W315" i="67"/>
  <c r="U315" i="67"/>
  <c r="S315" i="67"/>
  <c r="R315" i="67"/>
  <c r="Q315" i="67"/>
  <c r="P315" i="67"/>
  <c r="X315" i="67" s="1"/>
  <c r="O315" i="67"/>
  <c r="N315" i="67"/>
  <c r="M315" i="67"/>
  <c r="L315" i="67"/>
  <c r="AC314" i="67"/>
  <c r="AA314" i="67"/>
  <c r="W314" i="67"/>
  <c r="U314" i="67"/>
  <c r="S314" i="67"/>
  <c r="R314" i="67"/>
  <c r="Q314" i="67"/>
  <c r="P314" i="67"/>
  <c r="X314" i="67" s="1"/>
  <c r="O314" i="67"/>
  <c r="N314" i="67"/>
  <c r="M314" i="67"/>
  <c r="L314" i="67"/>
  <c r="AC313" i="67"/>
  <c r="AA313" i="67"/>
  <c r="W313" i="67"/>
  <c r="U313" i="67"/>
  <c r="S313" i="67"/>
  <c r="R313" i="67"/>
  <c r="Q313" i="67"/>
  <c r="P313" i="67"/>
  <c r="X313" i="67" s="1"/>
  <c r="O313" i="67"/>
  <c r="N313" i="67"/>
  <c r="M313" i="67"/>
  <c r="L313" i="67"/>
  <c r="AA312" i="67"/>
  <c r="X312" i="67"/>
  <c r="U312" i="67"/>
  <c r="S312" i="67"/>
  <c r="R312" i="67"/>
  <c r="Q312" i="67"/>
  <c r="O312" i="67"/>
  <c r="N312" i="67"/>
  <c r="M312" i="67"/>
  <c r="AC311" i="67"/>
  <c r="AA311" i="67"/>
  <c r="W311" i="67"/>
  <c r="U311" i="67"/>
  <c r="S311" i="67"/>
  <c r="R311" i="67"/>
  <c r="Q311" i="67"/>
  <c r="P311" i="67"/>
  <c r="X311" i="67" s="1"/>
  <c r="O311" i="67"/>
  <c r="N311" i="67"/>
  <c r="M311" i="67"/>
  <c r="L311" i="67"/>
  <c r="AC310" i="67"/>
  <c r="AA310" i="67"/>
  <c r="W310" i="67"/>
  <c r="U310" i="67"/>
  <c r="S310" i="67"/>
  <c r="R310" i="67"/>
  <c r="Q310" i="67"/>
  <c r="P310" i="67"/>
  <c r="X310" i="67" s="1"/>
  <c r="O310" i="67"/>
  <c r="N310" i="67"/>
  <c r="M310" i="67"/>
  <c r="L310" i="67"/>
  <c r="AC309" i="67"/>
  <c r="AA309" i="67"/>
  <c r="W309" i="67"/>
  <c r="U309" i="67"/>
  <c r="S309" i="67"/>
  <c r="R309" i="67"/>
  <c r="Q309" i="67"/>
  <c r="P309" i="67"/>
  <c r="X309" i="67" s="1"/>
  <c r="O309" i="67"/>
  <c r="N309" i="67"/>
  <c r="M309" i="67"/>
  <c r="L309" i="67"/>
  <c r="AC308" i="67"/>
  <c r="AA308" i="67"/>
  <c r="W308" i="67"/>
  <c r="U308" i="67"/>
  <c r="S308" i="67"/>
  <c r="R308" i="67"/>
  <c r="Q308" i="67"/>
  <c r="P308" i="67"/>
  <c r="X308" i="67" s="1"/>
  <c r="O308" i="67"/>
  <c r="N308" i="67"/>
  <c r="M308" i="67"/>
  <c r="L308" i="67"/>
  <c r="AC307" i="67"/>
  <c r="AA307" i="67"/>
  <c r="W307" i="67"/>
  <c r="U307" i="67"/>
  <c r="S307" i="67"/>
  <c r="R307" i="67"/>
  <c r="Q307" i="67"/>
  <c r="P307" i="67"/>
  <c r="O307" i="67"/>
  <c r="N307" i="67"/>
  <c r="M307" i="67"/>
  <c r="L307" i="67"/>
  <c r="AA306" i="67"/>
  <c r="X306" i="67"/>
  <c r="U306" i="67"/>
  <c r="S306" i="67"/>
  <c r="R306" i="67"/>
  <c r="Q306" i="67"/>
  <c r="O306" i="67"/>
  <c r="N306" i="67"/>
  <c r="M306" i="67"/>
  <c r="AC305" i="67"/>
  <c r="AA305" i="67"/>
  <c r="W305" i="67"/>
  <c r="U305" i="67"/>
  <c r="S305" i="67"/>
  <c r="R305" i="67"/>
  <c r="Q305" i="67"/>
  <c r="P305" i="67"/>
  <c r="X305" i="67" s="1"/>
  <c r="O305" i="67"/>
  <c r="N305" i="67"/>
  <c r="M305" i="67"/>
  <c r="L305" i="67"/>
  <c r="AC304" i="67"/>
  <c r="AA304" i="67"/>
  <c r="W304" i="67"/>
  <c r="U304" i="67"/>
  <c r="S304" i="67"/>
  <c r="R304" i="67"/>
  <c r="Q304" i="67"/>
  <c r="P304" i="67"/>
  <c r="X304" i="67" s="1"/>
  <c r="O304" i="67"/>
  <c r="N304" i="67"/>
  <c r="M304" i="67"/>
  <c r="L304" i="67"/>
  <c r="AC303" i="67"/>
  <c r="AA303" i="67"/>
  <c r="W303" i="67"/>
  <c r="U303" i="67"/>
  <c r="S303" i="67"/>
  <c r="R303" i="67"/>
  <c r="Q303" i="67"/>
  <c r="P303" i="67"/>
  <c r="X303" i="67" s="1"/>
  <c r="O303" i="67"/>
  <c r="N303" i="67"/>
  <c r="M303" i="67"/>
  <c r="L303" i="67"/>
  <c r="AC302" i="67"/>
  <c r="AA302" i="67"/>
  <c r="W302" i="67"/>
  <c r="U302" i="67"/>
  <c r="S302" i="67"/>
  <c r="R302" i="67"/>
  <c r="Q302" i="67"/>
  <c r="P302" i="67"/>
  <c r="X302" i="67" s="1"/>
  <c r="O302" i="67"/>
  <c r="N302" i="67"/>
  <c r="M302" i="67"/>
  <c r="L302" i="67"/>
  <c r="AC301" i="67"/>
  <c r="AA301" i="67"/>
  <c r="W301" i="67"/>
  <c r="U301" i="67"/>
  <c r="S301" i="67"/>
  <c r="R301" i="67"/>
  <c r="Q301" i="67"/>
  <c r="P301" i="67"/>
  <c r="O301" i="67"/>
  <c r="N301" i="67"/>
  <c r="M301" i="67"/>
  <c r="L301" i="67"/>
  <c r="AA300" i="67"/>
  <c r="X300" i="67"/>
  <c r="U300" i="67"/>
  <c r="S300" i="67"/>
  <c r="R300" i="67"/>
  <c r="Q300" i="67"/>
  <c r="O300" i="67"/>
  <c r="N300" i="67"/>
  <c r="M300" i="67"/>
  <c r="AC299" i="67"/>
  <c r="AA299" i="67"/>
  <c r="W299" i="67"/>
  <c r="U299" i="67"/>
  <c r="S299" i="67"/>
  <c r="R299" i="67"/>
  <c r="Q299" i="67"/>
  <c r="P299" i="67"/>
  <c r="X299" i="67" s="1"/>
  <c r="O299" i="67"/>
  <c r="N299" i="67"/>
  <c r="M299" i="67"/>
  <c r="L299" i="67"/>
  <c r="AC298" i="67"/>
  <c r="AA298" i="67"/>
  <c r="W298" i="67"/>
  <c r="U298" i="67"/>
  <c r="S298" i="67"/>
  <c r="R298" i="67"/>
  <c r="Q298" i="67"/>
  <c r="P298" i="67"/>
  <c r="X298" i="67" s="1"/>
  <c r="O298" i="67"/>
  <c r="N298" i="67"/>
  <c r="M298" i="67"/>
  <c r="L298" i="67"/>
  <c r="AC297" i="67"/>
  <c r="AA297" i="67"/>
  <c r="W297" i="67"/>
  <c r="U297" i="67"/>
  <c r="S297" i="67"/>
  <c r="R297" i="67"/>
  <c r="Q297" i="67"/>
  <c r="P297" i="67"/>
  <c r="X297" i="67" s="1"/>
  <c r="O297" i="67"/>
  <c r="N297" i="67"/>
  <c r="M297" i="67"/>
  <c r="L297" i="67"/>
  <c r="AC296" i="67"/>
  <c r="AA296" i="67"/>
  <c r="W296" i="67"/>
  <c r="U296" i="67"/>
  <c r="S296" i="67"/>
  <c r="R296" i="67"/>
  <c r="Q296" i="67"/>
  <c r="P296" i="67"/>
  <c r="X296" i="67" s="1"/>
  <c r="O296" i="67"/>
  <c r="N296" i="67"/>
  <c r="M296" i="67"/>
  <c r="L296" i="67"/>
  <c r="AC295" i="67"/>
  <c r="AA295" i="67"/>
  <c r="W295" i="67"/>
  <c r="U295" i="67"/>
  <c r="S295" i="67"/>
  <c r="R295" i="67"/>
  <c r="Q295" i="67"/>
  <c r="P295" i="67"/>
  <c r="X295" i="67" s="1"/>
  <c r="O295" i="67"/>
  <c r="N295" i="67"/>
  <c r="M295" i="67"/>
  <c r="L295" i="67"/>
  <c r="AA294" i="67"/>
  <c r="X294" i="67"/>
  <c r="U294" i="67"/>
  <c r="S294" i="67"/>
  <c r="R294" i="67"/>
  <c r="Q294" i="67"/>
  <c r="O294" i="67"/>
  <c r="N294" i="67"/>
  <c r="M294" i="67"/>
  <c r="AC293" i="67"/>
  <c r="AA293" i="67"/>
  <c r="W293" i="67"/>
  <c r="U293" i="67"/>
  <c r="S293" i="67"/>
  <c r="R293" i="67"/>
  <c r="Q293" i="67"/>
  <c r="P293" i="67"/>
  <c r="X293" i="67" s="1"/>
  <c r="O293" i="67"/>
  <c r="N293" i="67"/>
  <c r="M293" i="67"/>
  <c r="L293" i="67"/>
  <c r="AC292" i="67"/>
  <c r="AA292" i="67"/>
  <c r="W292" i="67"/>
  <c r="U292" i="67"/>
  <c r="S292" i="67"/>
  <c r="R292" i="67"/>
  <c r="Q292" i="67"/>
  <c r="P292" i="67"/>
  <c r="X292" i="67" s="1"/>
  <c r="O292" i="67"/>
  <c r="N292" i="67"/>
  <c r="M292" i="67"/>
  <c r="L292" i="67"/>
  <c r="AC291" i="67"/>
  <c r="AA291" i="67"/>
  <c r="W291" i="67"/>
  <c r="U291" i="67"/>
  <c r="S291" i="67"/>
  <c r="R291" i="67"/>
  <c r="Q291" i="67"/>
  <c r="P291" i="67"/>
  <c r="X291" i="67" s="1"/>
  <c r="O291" i="67"/>
  <c r="N291" i="67"/>
  <c r="M291" i="67"/>
  <c r="L291" i="67"/>
  <c r="AC290" i="67"/>
  <c r="AA290" i="67"/>
  <c r="W290" i="67"/>
  <c r="U290" i="67"/>
  <c r="S290" i="67"/>
  <c r="R290" i="67"/>
  <c r="Q290" i="67"/>
  <c r="P290" i="67"/>
  <c r="X290" i="67" s="1"/>
  <c r="O290" i="67"/>
  <c r="N290" i="67"/>
  <c r="M290" i="67"/>
  <c r="L290" i="67"/>
  <c r="AC289" i="67"/>
  <c r="AA289" i="67"/>
  <c r="W289" i="67"/>
  <c r="U289" i="67"/>
  <c r="S289" i="67"/>
  <c r="R289" i="67"/>
  <c r="Q289" i="67"/>
  <c r="P289" i="67"/>
  <c r="X289" i="67" s="1"/>
  <c r="O289" i="67"/>
  <c r="N289" i="67"/>
  <c r="M289" i="67"/>
  <c r="L289" i="67"/>
  <c r="AA288" i="67"/>
  <c r="X288" i="67"/>
  <c r="U288" i="67"/>
  <c r="S288" i="67"/>
  <c r="R288" i="67"/>
  <c r="Q288" i="67"/>
  <c r="O288" i="67"/>
  <c r="N288" i="67"/>
  <c r="M288" i="67"/>
  <c r="AA287" i="67"/>
  <c r="X287" i="67"/>
  <c r="W287" i="67"/>
  <c r="U287" i="67"/>
  <c r="S287" i="67"/>
  <c r="R287" i="67"/>
  <c r="Q287" i="67"/>
  <c r="P287" i="67"/>
  <c r="O287" i="67"/>
  <c r="N287" i="67"/>
  <c r="M287" i="67"/>
  <c r="L287" i="67"/>
  <c r="AA286" i="67"/>
  <c r="X286" i="67"/>
  <c r="W286" i="67"/>
  <c r="U286" i="67"/>
  <c r="S286" i="67"/>
  <c r="R286" i="67"/>
  <c r="Q286" i="67"/>
  <c r="P286" i="67"/>
  <c r="O286" i="67"/>
  <c r="N286" i="67"/>
  <c r="M286" i="67"/>
  <c r="L286" i="67"/>
  <c r="AA285" i="67"/>
  <c r="X285" i="67"/>
  <c r="W285" i="67"/>
  <c r="U285" i="67"/>
  <c r="S285" i="67"/>
  <c r="R285" i="67"/>
  <c r="Q285" i="67"/>
  <c r="P285" i="67"/>
  <c r="O285" i="67"/>
  <c r="N285" i="67"/>
  <c r="M285" i="67"/>
  <c r="L285" i="67"/>
  <c r="AC284" i="67"/>
  <c r="AA284" i="67"/>
  <c r="W284" i="67"/>
  <c r="U284" i="67"/>
  <c r="S284" i="67"/>
  <c r="R284" i="67"/>
  <c r="Q284" i="67"/>
  <c r="P284" i="67"/>
  <c r="X284" i="67" s="1"/>
  <c r="O284" i="67"/>
  <c r="N284" i="67"/>
  <c r="M284" i="67"/>
  <c r="L284" i="67"/>
  <c r="AC283" i="67"/>
  <c r="AA283" i="67"/>
  <c r="W283" i="67"/>
  <c r="U283" i="67"/>
  <c r="S283" i="67"/>
  <c r="R283" i="67"/>
  <c r="Q283" i="67"/>
  <c r="P283" i="67"/>
  <c r="X283" i="67" s="1"/>
  <c r="O283" i="67"/>
  <c r="N283" i="67"/>
  <c r="M283" i="67"/>
  <c r="L283" i="67"/>
  <c r="AC282" i="67"/>
  <c r="AA282" i="67"/>
  <c r="W282" i="67"/>
  <c r="U282" i="67"/>
  <c r="S282" i="67"/>
  <c r="R282" i="67"/>
  <c r="Q282" i="67"/>
  <c r="P282" i="67"/>
  <c r="X282" i="67" s="1"/>
  <c r="O282" i="67"/>
  <c r="N282" i="67"/>
  <c r="M282" i="67"/>
  <c r="L282" i="67"/>
  <c r="AC281" i="67"/>
  <c r="AA281" i="67"/>
  <c r="W281" i="67"/>
  <c r="U281" i="67"/>
  <c r="S281" i="67"/>
  <c r="R281" i="67"/>
  <c r="Q281" i="67"/>
  <c r="P281" i="67"/>
  <c r="X281" i="67" s="1"/>
  <c r="O281" i="67"/>
  <c r="N281" i="67"/>
  <c r="M281" i="67"/>
  <c r="L281" i="67"/>
  <c r="AC280" i="67"/>
  <c r="AA280" i="67"/>
  <c r="W280" i="67"/>
  <c r="U280" i="67"/>
  <c r="S280" i="67"/>
  <c r="R280" i="67"/>
  <c r="Q280" i="67"/>
  <c r="P280" i="67"/>
  <c r="X280" i="67" s="1"/>
  <c r="O280" i="67"/>
  <c r="N280" i="67"/>
  <c r="M280" i="67"/>
  <c r="L280" i="67"/>
  <c r="AA279" i="67"/>
  <c r="X279" i="67"/>
  <c r="U279" i="67"/>
  <c r="S279" i="67"/>
  <c r="R279" i="67"/>
  <c r="Q279" i="67"/>
  <c r="O279" i="67"/>
  <c r="N279" i="67"/>
  <c r="M279" i="67"/>
  <c r="AC278" i="67"/>
  <c r="AA278" i="67"/>
  <c r="W278" i="67"/>
  <c r="U278" i="67"/>
  <c r="S278" i="67"/>
  <c r="R278" i="67"/>
  <c r="Q278" i="67"/>
  <c r="P278" i="67"/>
  <c r="X278" i="67" s="1"/>
  <c r="O278" i="67"/>
  <c r="N278" i="67"/>
  <c r="M278" i="67"/>
  <c r="L278" i="67"/>
  <c r="AC277" i="67"/>
  <c r="AA277" i="67"/>
  <c r="W277" i="67"/>
  <c r="U277" i="67"/>
  <c r="S277" i="67"/>
  <c r="R277" i="67"/>
  <c r="Q277" i="67"/>
  <c r="P277" i="67"/>
  <c r="X277" i="67" s="1"/>
  <c r="O277" i="67"/>
  <c r="N277" i="67"/>
  <c r="M277" i="67"/>
  <c r="L277" i="67"/>
  <c r="AC276" i="67"/>
  <c r="AA276" i="67"/>
  <c r="W276" i="67"/>
  <c r="U276" i="67"/>
  <c r="S276" i="67"/>
  <c r="R276" i="67"/>
  <c r="Q276" i="67"/>
  <c r="P276" i="67"/>
  <c r="X276" i="67" s="1"/>
  <c r="O276" i="67"/>
  <c r="N276" i="67"/>
  <c r="M276" i="67"/>
  <c r="L276" i="67"/>
  <c r="AC275" i="67"/>
  <c r="AA275" i="67"/>
  <c r="W275" i="67"/>
  <c r="U275" i="67"/>
  <c r="S275" i="67"/>
  <c r="R275" i="67"/>
  <c r="Q275" i="67"/>
  <c r="P275" i="67"/>
  <c r="X275" i="67" s="1"/>
  <c r="O275" i="67"/>
  <c r="N275" i="67"/>
  <c r="M275" i="67"/>
  <c r="L275" i="67"/>
  <c r="AC274" i="67"/>
  <c r="AA274" i="67"/>
  <c r="W274" i="67"/>
  <c r="U274" i="67"/>
  <c r="S274" i="67"/>
  <c r="R274" i="67"/>
  <c r="Q274" i="67"/>
  <c r="P274" i="67"/>
  <c r="X274" i="67" s="1"/>
  <c r="O274" i="67"/>
  <c r="N274" i="67"/>
  <c r="M274" i="67"/>
  <c r="L274" i="67"/>
  <c r="AA273" i="67"/>
  <c r="X273" i="67"/>
  <c r="U273" i="67"/>
  <c r="S273" i="67"/>
  <c r="R273" i="67"/>
  <c r="Q273" i="67"/>
  <c r="O273" i="67"/>
  <c r="N273" i="67"/>
  <c r="M273" i="67"/>
  <c r="AC272" i="67"/>
  <c r="AA272" i="67"/>
  <c r="W272" i="67"/>
  <c r="U272" i="67"/>
  <c r="S272" i="67"/>
  <c r="R272" i="67"/>
  <c r="Q272" i="67"/>
  <c r="P272" i="67"/>
  <c r="X272" i="67" s="1"/>
  <c r="O272" i="67"/>
  <c r="N272" i="67"/>
  <c r="M272" i="67"/>
  <c r="L272" i="67"/>
  <c r="AC271" i="67"/>
  <c r="AA271" i="67"/>
  <c r="W271" i="67"/>
  <c r="U271" i="67"/>
  <c r="S271" i="67"/>
  <c r="R271" i="67"/>
  <c r="Q271" i="67"/>
  <c r="P271" i="67"/>
  <c r="X271" i="67" s="1"/>
  <c r="O271" i="67"/>
  <c r="N271" i="67"/>
  <c r="M271" i="67"/>
  <c r="L271" i="67"/>
  <c r="AC270" i="67"/>
  <c r="AS14" i="67" s="1"/>
  <c r="AA270" i="67"/>
  <c r="W270" i="67"/>
  <c r="U270" i="67"/>
  <c r="S270" i="67"/>
  <c r="R270" i="67"/>
  <c r="Q270" i="67"/>
  <c r="P270" i="67"/>
  <c r="X270" i="67" s="1"/>
  <c r="O270" i="67"/>
  <c r="N270" i="67"/>
  <c r="M270" i="67"/>
  <c r="L270" i="67"/>
  <c r="AC269" i="67"/>
  <c r="AA269" i="67"/>
  <c r="W269" i="67"/>
  <c r="U269" i="67"/>
  <c r="S269" i="67"/>
  <c r="R269" i="67"/>
  <c r="Q269" i="67"/>
  <c r="P269" i="67"/>
  <c r="X269" i="67" s="1"/>
  <c r="O269" i="67"/>
  <c r="N269" i="67"/>
  <c r="M269" i="67"/>
  <c r="L269" i="67"/>
  <c r="AC268" i="67"/>
  <c r="AA268" i="67"/>
  <c r="W268" i="67"/>
  <c r="U268" i="67"/>
  <c r="S268" i="67"/>
  <c r="R268" i="67"/>
  <c r="Q268" i="67"/>
  <c r="P268" i="67"/>
  <c r="O268" i="67"/>
  <c r="N268" i="67"/>
  <c r="M268" i="67"/>
  <c r="L268" i="67"/>
  <c r="AA267" i="67"/>
  <c r="X267" i="67"/>
  <c r="U267" i="67"/>
  <c r="S267" i="67"/>
  <c r="R267" i="67"/>
  <c r="Q267" i="67"/>
  <c r="O267" i="67"/>
  <c r="N267" i="67"/>
  <c r="M267" i="67"/>
  <c r="AC266" i="67"/>
  <c r="AA266" i="67"/>
  <c r="W266" i="67"/>
  <c r="U266" i="67"/>
  <c r="S266" i="67"/>
  <c r="R266" i="67"/>
  <c r="Q266" i="67"/>
  <c r="P266" i="67"/>
  <c r="X266" i="67" s="1"/>
  <c r="O266" i="67"/>
  <c r="N266" i="67"/>
  <c r="M266" i="67"/>
  <c r="L266" i="67"/>
  <c r="AC265" i="67"/>
  <c r="AA265" i="67"/>
  <c r="W265" i="67"/>
  <c r="U265" i="67"/>
  <c r="S265" i="67"/>
  <c r="R265" i="67"/>
  <c r="Q265" i="67"/>
  <c r="P265" i="67"/>
  <c r="X265" i="67" s="1"/>
  <c r="O265" i="67"/>
  <c r="N265" i="67"/>
  <c r="M265" i="67"/>
  <c r="L265" i="67"/>
  <c r="AC264" i="67"/>
  <c r="AA264" i="67"/>
  <c r="W264" i="67"/>
  <c r="U264" i="67"/>
  <c r="S264" i="67"/>
  <c r="R264" i="67"/>
  <c r="Q264" i="67"/>
  <c r="P264" i="67"/>
  <c r="X264" i="67" s="1"/>
  <c r="O264" i="67"/>
  <c r="N264" i="67"/>
  <c r="M264" i="67"/>
  <c r="L264" i="67"/>
  <c r="AC263" i="67"/>
  <c r="AA263" i="67"/>
  <c r="W263" i="67"/>
  <c r="U263" i="67"/>
  <c r="S263" i="67"/>
  <c r="R263" i="67"/>
  <c r="Q263" i="67"/>
  <c r="P263" i="67"/>
  <c r="X263" i="67" s="1"/>
  <c r="O263" i="67"/>
  <c r="N263" i="67"/>
  <c r="M263" i="67"/>
  <c r="L263" i="67"/>
  <c r="AC262" i="67"/>
  <c r="AA262" i="67"/>
  <c r="W262" i="67"/>
  <c r="U262" i="67"/>
  <c r="S262" i="67"/>
  <c r="R262" i="67"/>
  <c r="Q262" i="67"/>
  <c r="P262" i="67"/>
  <c r="O262" i="67"/>
  <c r="N262" i="67"/>
  <c r="M262" i="67"/>
  <c r="L262" i="67"/>
  <c r="AA261" i="67"/>
  <c r="X261" i="67"/>
  <c r="U261" i="67"/>
  <c r="S261" i="67"/>
  <c r="R261" i="67"/>
  <c r="Q261" i="67"/>
  <c r="O261" i="67"/>
  <c r="N261" i="67"/>
  <c r="M261" i="67"/>
  <c r="AC260" i="67"/>
  <c r="AA260" i="67"/>
  <c r="W260" i="67"/>
  <c r="U260" i="67"/>
  <c r="S260" i="67"/>
  <c r="R260" i="67"/>
  <c r="Q260" i="67"/>
  <c r="P260" i="67"/>
  <c r="X260" i="67" s="1"/>
  <c r="O260" i="67"/>
  <c r="N260" i="67"/>
  <c r="M260" i="67"/>
  <c r="L260" i="67"/>
  <c r="AC259" i="67"/>
  <c r="AA259" i="67"/>
  <c r="W259" i="67"/>
  <c r="U259" i="67"/>
  <c r="S259" i="67"/>
  <c r="R259" i="67"/>
  <c r="Q259" i="67"/>
  <c r="P259" i="67"/>
  <c r="X259" i="67" s="1"/>
  <c r="O259" i="67"/>
  <c r="N259" i="67"/>
  <c r="M259" i="67"/>
  <c r="L259" i="67"/>
  <c r="AC258" i="67"/>
  <c r="AA258" i="67"/>
  <c r="W258" i="67"/>
  <c r="U258" i="67"/>
  <c r="S258" i="67"/>
  <c r="R258" i="67"/>
  <c r="Q258" i="67"/>
  <c r="P258" i="67"/>
  <c r="X258" i="67" s="1"/>
  <c r="O258" i="67"/>
  <c r="N258" i="67"/>
  <c r="M258" i="67"/>
  <c r="L258" i="67"/>
  <c r="AC257" i="67"/>
  <c r="AA257" i="67"/>
  <c r="W257" i="67"/>
  <c r="U257" i="67"/>
  <c r="S257" i="67"/>
  <c r="R257" i="67"/>
  <c r="Q257" i="67"/>
  <c r="P257" i="67"/>
  <c r="X257" i="67" s="1"/>
  <c r="O257" i="67"/>
  <c r="N257" i="67"/>
  <c r="M257" i="67"/>
  <c r="L257" i="67"/>
  <c r="AC256" i="67"/>
  <c r="AA256" i="67"/>
  <c r="W256" i="67"/>
  <c r="U256" i="67"/>
  <c r="S256" i="67"/>
  <c r="R256" i="67"/>
  <c r="Q256" i="67"/>
  <c r="P256" i="67"/>
  <c r="O256" i="67"/>
  <c r="N256" i="67"/>
  <c r="M256" i="67"/>
  <c r="L256" i="67"/>
  <c r="AA255" i="67"/>
  <c r="X255" i="67"/>
  <c r="U255" i="67"/>
  <c r="S255" i="67"/>
  <c r="R255" i="67"/>
  <c r="Q255" i="67"/>
  <c r="O255" i="67"/>
  <c r="N255" i="67"/>
  <c r="M255" i="67"/>
  <c r="AC254" i="67"/>
  <c r="AA254" i="67"/>
  <c r="W254" i="67"/>
  <c r="U254" i="67"/>
  <c r="S254" i="67"/>
  <c r="R254" i="67"/>
  <c r="Q254" i="67"/>
  <c r="P254" i="67"/>
  <c r="X254" i="67" s="1"/>
  <c r="O254" i="67"/>
  <c r="N254" i="67"/>
  <c r="M254" i="67"/>
  <c r="L254" i="67"/>
  <c r="AC253" i="67"/>
  <c r="AA253" i="67"/>
  <c r="W253" i="67"/>
  <c r="U253" i="67"/>
  <c r="S253" i="67"/>
  <c r="R253" i="67"/>
  <c r="Q253" i="67"/>
  <c r="P253" i="67"/>
  <c r="X253" i="67" s="1"/>
  <c r="O253" i="67"/>
  <c r="N253" i="67"/>
  <c r="M253" i="67"/>
  <c r="L253" i="67"/>
  <c r="AC252" i="67"/>
  <c r="AA252" i="67"/>
  <c r="W252" i="67"/>
  <c r="U252" i="67"/>
  <c r="S252" i="67"/>
  <c r="R252" i="67"/>
  <c r="Q252" i="67"/>
  <c r="P252" i="67"/>
  <c r="X252" i="67" s="1"/>
  <c r="O252" i="67"/>
  <c r="N252" i="67"/>
  <c r="M252" i="67"/>
  <c r="L252" i="67"/>
  <c r="AC251" i="67"/>
  <c r="AA251" i="67"/>
  <c r="W251" i="67"/>
  <c r="U251" i="67"/>
  <c r="S251" i="67"/>
  <c r="R251" i="67"/>
  <c r="Q251" i="67"/>
  <c r="P251" i="67"/>
  <c r="X251" i="67" s="1"/>
  <c r="O251" i="67"/>
  <c r="N251" i="67"/>
  <c r="M251" i="67"/>
  <c r="L251" i="67"/>
  <c r="AC250" i="67"/>
  <c r="AA250" i="67"/>
  <c r="W250" i="67"/>
  <c r="U250" i="67"/>
  <c r="S250" i="67"/>
  <c r="R250" i="67"/>
  <c r="Q250" i="67"/>
  <c r="P250" i="67"/>
  <c r="X250" i="67" s="1"/>
  <c r="O250" i="67"/>
  <c r="N250" i="67"/>
  <c r="M250" i="67"/>
  <c r="L250" i="67"/>
  <c r="AA249" i="67"/>
  <c r="X249" i="67"/>
  <c r="U249" i="67"/>
  <c r="S249" i="67"/>
  <c r="R249" i="67"/>
  <c r="Q249" i="67"/>
  <c r="O249" i="67"/>
  <c r="N249" i="67"/>
  <c r="M249" i="67"/>
  <c r="AC248" i="67"/>
  <c r="AA248" i="67"/>
  <c r="W248" i="67"/>
  <c r="U248" i="67"/>
  <c r="S248" i="67"/>
  <c r="R248" i="67"/>
  <c r="Q248" i="67"/>
  <c r="P248" i="67"/>
  <c r="X248" i="67" s="1"/>
  <c r="O248" i="67"/>
  <c r="N248" i="67"/>
  <c r="M248" i="67"/>
  <c r="L248" i="67"/>
  <c r="AC247" i="67"/>
  <c r="AA247" i="67"/>
  <c r="W247" i="67"/>
  <c r="U247" i="67"/>
  <c r="S247" i="67"/>
  <c r="R247" i="67"/>
  <c r="Q247" i="67"/>
  <c r="P247" i="67"/>
  <c r="X247" i="67" s="1"/>
  <c r="O247" i="67"/>
  <c r="N247" i="67"/>
  <c r="M247" i="67"/>
  <c r="L247" i="67"/>
  <c r="AC246" i="67"/>
  <c r="AA246" i="67"/>
  <c r="W246" i="67"/>
  <c r="U246" i="67"/>
  <c r="S246" i="67"/>
  <c r="R246" i="67"/>
  <c r="Q246" i="67"/>
  <c r="P246" i="67"/>
  <c r="X246" i="67" s="1"/>
  <c r="O246" i="67"/>
  <c r="N246" i="67"/>
  <c r="M246" i="67"/>
  <c r="L246" i="67"/>
  <c r="AC245" i="67"/>
  <c r="AA245" i="67"/>
  <c r="W245" i="67"/>
  <c r="U245" i="67"/>
  <c r="S245" i="67"/>
  <c r="R245" i="67"/>
  <c r="Q245" i="67"/>
  <c r="P245" i="67"/>
  <c r="X245" i="67" s="1"/>
  <c r="O245" i="67"/>
  <c r="N245" i="67"/>
  <c r="M245" i="67"/>
  <c r="L245" i="67"/>
  <c r="AC244" i="67"/>
  <c r="AA244" i="67"/>
  <c r="W244" i="67"/>
  <c r="U244" i="67"/>
  <c r="S244" i="67"/>
  <c r="R244" i="67"/>
  <c r="Q244" i="67"/>
  <c r="P244" i="67"/>
  <c r="O244" i="67"/>
  <c r="N244" i="67"/>
  <c r="M244" i="67"/>
  <c r="L244" i="67"/>
  <c r="AA243" i="67"/>
  <c r="X243" i="67"/>
  <c r="U243" i="67"/>
  <c r="S243" i="67"/>
  <c r="R243" i="67"/>
  <c r="Q243" i="67"/>
  <c r="O243" i="67"/>
  <c r="N243" i="67"/>
  <c r="M243" i="67"/>
  <c r="AC242" i="67"/>
  <c r="AA242" i="67"/>
  <c r="W242" i="67"/>
  <c r="U242" i="67"/>
  <c r="S242" i="67"/>
  <c r="R242" i="67"/>
  <c r="Q242" i="67"/>
  <c r="P242" i="67"/>
  <c r="X242" i="67" s="1"/>
  <c r="O242" i="67"/>
  <c r="N242" i="67"/>
  <c r="M242" i="67"/>
  <c r="L242" i="67"/>
  <c r="AC241" i="67"/>
  <c r="AA241" i="67"/>
  <c r="W241" i="67"/>
  <c r="U241" i="67"/>
  <c r="S241" i="67"/>
  <c r="R241" i="67"/>
  <c r="Q241" i="67"/>
  <c r="P241" i="67"/>
  <c r="X241" i="67" s="1"/>
  <c r="O241" i="67"/>
  <c r="N241" i="67"/>
  <c r="M241" i="67"/>
  <c r="L241" i="67"/>
  <c r="AC240" i="67"/>
  <c r="AA240" i="67"/>
  <c r="W240" i="67"/>
  <c r="U240" i="67"/>
  <c r="S240" i="67"/>
  <c r="R240" i="67"/>
  <c r="Q240" i="67"/>
  <c r="P240" i="67"/>
  <c r="X240" i="67" s="1"/>
  <c r="O240" i="67"/>
  <c r="N240" i="67"/>
  <c r="M240" i="67"/>
  <c r="L240" i="67"/>
  <c r="AC239" i="67"/>
  <c r="AA239" i="67"/>
  <c r="W239" i="67"/>
  <c r="U239" i="67"/>
  <c r="S239" i="67"/>
  <c r="R239" i="67"/>
  <c r="Q239" i="67"/>
  <c r="P239" i="67"/>
  <c r="X239" i="67" s="1"/>
  <c r="O239" i="67"/>
  <c r="N239" i="67"/>
  <c r="M239" i="67"/>
  <c r="L239" i="67"/>
  <c r="AC238" i="67"/>
  <c r="AA238" i="67"/>
  <c r="W238" i="67"/>
  <c r="U238" i="67"/>
  <c r="S238" i="67"/>
  <c r="R238" i="67"/>
  <c r="Q238" i="67"/>
  <c r="P238" i="67"/>
  <c r="W237" i="67" s="1"/>
  <c r="O238" i="67"/>
  <c r="N238" i="67"/>
  <c r="M238" i="67"/>
  <c r="L238" i="67"/>
  <c r="AA237" i="67"/>
  <c r="X237" i="67"/>
  <c r="U237" i="67"/>
  <c r="S237" i="67"/>
  <c r="R237" i="67"/>
  <c r="Q237" i="67"/>
  <c r="O237" i="67"/>
  <c r="N237" i="67"/>
  <c r="M237" i="67"/>
  <c r="AC236" i="67"/>
  <c r="AA236" i="67"/>
  <c r="W236" i="67"/>
  <c r="U236" i="67"/>
  <c r="S236" i="67"/>
  <c r="R236" i="67"/>
  <c r="Q236" i="67"/>
  <c r="P236" i="67"/>
  <c r="X236" i="67" s="1"/>
  <c r="O236" i="67"/>
  <c r="N236" i="67"/>
  <c r="M236" i="67"/>
  <c r="L236" i="67"/>
  <c r="AC235" i="67"/>
  <c r="AA235" i="67"/>
  <c r="W235" i="67"/>
  <c r="U235" i="67"/>
  <c r="S235" i="67"/>
  <c r="R235" i="67"/>
  <c r="Q235" i="67"/>
  <c r="P235" i="67"/>
  <c r="X235" i="67" s="1"/>
  <c r="O235" i="67"/>
  <c r="N235" i="67"/>
  <c r="M235" i="67"/>
  <c r="L235" i="67"/>
  <c r="AC234" i="67"/>
  <c r="AA234" i="67"/>
  <c r="W234" i="67"/>
  <c r="U234" i="67"/>
  <c r="S234" i="67"/>
  <c r="R234" i="67"/>
  <c r="Q234" i="67"/>
  <c r="P234" i="67"/>
  <c r="X234" i="67" s="1"/>
  <c r="O234" i="67"/>
  <c r="N234" i="67"/>
  <c r="M234" i="67"/>
  <c r="L234" i="67"/>
  <c r="AC233" i="67"/>
  <c r="AA233" i="67"/>
  <c r="W233" i="67"/>
  <c r="U233" i="67"/>
  <c r="S233" i="67"/>
  <c r="R233" i="67"/>
  <c r="Q233" i="67"/>
  <c r="P233" i="67"/>
  <c r="X233" i="67" s="1"/>
  <c r="O233" i="67"/>
  <c r="N233" i="67"/>
  <c r="M233" i="67"/>
  <c r="L233" i="67"/>
  <c r="AC232" i="67"/>
  <c r="AA232" i="67"/>
  <c r="W232" i="67"/>
  <c r="U232" i="67"/>
  <c r="S232" i="67"/>
  <c r="R232" i="67"/>
  <c r="Q232" i="67"/>
  <c r="P232" i="67"/>
  <c r="X232" i="67" s="1"/>
  <c r="O232" i="67"/>
  <c r="N232" i="67"/>
  <c r="M232" i="67"/>
  <c r="L232" i="67"/>
  <c r="AA231" i="67"/>
  <c r="X231" i="67"/>
  <c r="U231" i="67"/>
  <c r="S231" i="67"/>
  <c r="R231" i="67"/>
  <c r="Q231" i="67"/>
  <c r="O231" i="67"/>
  <c r="N231" i="67"/>
  <c r="M231" i="67"/>
  <c r="AC230" i="67"/>
  <c r="AA230" i="67"/>
  <c r="W230" i="67"/>
  <c r="U230" i="67"/>
  <c r="S230" i="67"/>
  <c r="R230" i="67"/>
  <c r="Q230" i="67"/>
  <c r="P230" i="67"/>
  <c r="X230" i="67" s="1"/>
  <c r="O230" i="67"/>
  <c r="N230" i="67"/>
  <c r="M230" i="67"/>
  <c r="L230" i="67"/>
  <c r="AC229" i="67"/>
  <c r="AA229" i="67"/>
  <c r="W229" i="67"/>
  <c r="U229" i="67"/>
  <c r="S229" i="67"/>
  <c r="R229" i="67"/>
  <c r="Q229" i="67"/>
  <c r="P229" i="67"/>
  <c r="X229" i="67" s="1"/>
  <c r="O229" i="67"/>
  <c r="N229" i="67"/>
  <c r="M229" i="67"/>
  <c r="L229" i="67"/>
  <c r="AC228" i="67"/>
  <c r="AA228" i="67"/>
  <c r="W228" i="67"/>
  <c r="U228" i="67"/>
  <c r="S228" i="67"/>
  <c r="R228" i="67"/>
  <c r="Q228" i="67"/>
  <c r="P228" i="67"/>
  <c r="X228" i="67" s="1"/>
  <c r="O228" i="67"/>
  <c r="N228" i="67"/>
  <c r="M228" i="67"/>
  <c r="L228" i="67"/>
  <c r="AC227" i="67"/>
  <c r="AA227" i="67"/>
  <c r="W227" i="67"/>
  <c r="U227" i="67"/>
  <c r="S227" i="67"/>
  <c r="R227" i="67"/>
  <c r="Q227" i="67"/>
  <c r="P227" i="67"/>
  <c r="X227" i="67" s="1"/>
  <c r="O227" i="67"/>
  <c r="N227" i="67"/>
  <c r="M227" i="67"/>
  <c r="L227" i="67"/>
  <c r="AC226" i="67"/>
  <c r="AA226" i="67"/>
  <c r="W226" i="67"/>
  <c r="U226" i="67"/>
  <c r="S226" i="67"/>
  <c r="R226" i="67"/>
  <c r="Q226" i="67"/>
  <c r="P226" i="67"/>
  <c r="W225" i="67" s="1"/>
  <c r="O226" i="67"/>
  <c r="N226" i="67"/>
  <c r="M226" i="67"/>
  <c r="L226" i="67"/>
  <c r="AA225" i="67"/>
  <c r="X225" i="67"/>
  <c r="U225" i="67"/>
  <c r="S225" i="67"/>
  <c r="R225" i="67"/>
  <c r="Q225" i="67"/>
  <c r="O225" i="67"/>
  <c r="N225" i="67"/>
  <c r="M225" i="67"/>
  <c r="AC224" i="67"/>
  <c r="AA224" i="67"/>
  <c r="W224" i="67"/>
  <c r="U224" i="67"/>
  <c r="S224" i="67"/>
  <c r="R224" i="67"/>
  <c r="Q224" i="67"/>
  <c r="P224" i="67"/>
  <c r="X224" i="67" s="1"/>
  <c r="O224" i="67"/>
  <c r="N224" i="67"/>
  <c r="M224" i="67"/>
  <c r="L224" i="67"/>
  <c r="AC223" i="67"/>
  <c r="AA223" i="67"/>
  <c r="W223" i="67"/>
  <c r="U223" i="67"/>
  <c r="S223" i="67"/>
  <c r="R223" i="67"/>
  <c r="Q223" i="67"/>
  <c r="P223" i="67"/>
  <c r="X223" i="67" s="1"/>
  <c r="O223" i="67"/>
  <c r="N223" i="67"/>
  <c r="M223" i="67"/>
  <c r="L223" i="67"/>
  <c r="AC222" i="67"/>
  <c r="AA222" i="67"/>
  <c r="W222" i="67"/>
  <c r="U222" i="67"/>
  <c r="S222" i="67"/>
  <c r="R222" i="67"/>
  <c r="Q222" i="67"/>
  <c r="P222" i="67"/>
  <c r="X222" i="67" s="1"/>
  <c r="O222" i="67"/>
  <c r="N222" i="67"/>
  <c r="M222" i="67"/>
  <c r="L222" i="67"/>
  <c r="AC221" i="67"/>
  <c r="AA221" i="67"/>
  <c r="W221" i="67"/>
  <c r="U221" i="67"/>
  <c r="S221" i="67"/>
  <c r="R221" i="67"/>
  <c r="Q221" i="67"/>
  <c r="P221" i="67"/>
  <c r="X221" i="67" s="1"/>
  <c r="O221" i="67"/>
  <c r="N221" i="67"/>
  <c r="M221" i="67"/>
  <c r="L221" i="67"/>
  <c r="AC220" i="67"/>
  <c r="AA220" i="67"/>
  <c r="W220" i="67"/>
  <c r="U220" i="67"/>
  <c r="S220" i="67"/>
  <c r="R220" i="67"/>
  <c r="Q220" i="67"/>
  <c r="P220" i="67"/>
  <c r="X220" i="67" s="1"/>
  <c r="O220" i="67"/>
  <c r="N220" i="67"/>
  <c r="M220" i="67"/>
  <c r="L220" i="67"/>
  <c r="AA219" i="67"/>
  <c r="X219" i="67"/>
  <c r="U219" i="67"/>
  <c r="S219" i="67"/>
  <c r="R219" i="67"/>
  <c r="Q219" i="67"/>
  <c r="O219" i="67"/>
  <c r="N219" i="67"/>
  <c r="M219" i="67"/>
  <c r="AC218" i="67"/>
  <c r="AA218" i="67"/>
  <c r="W218" i="67"/>
  <c r="U218" i="67"/>
  <c r="S218" i="67"/>
  <c r="R218" i="67"/>
  <c r="Q218" i="67"/>
  <c r="P218" i="67"/>
  <c r="X218" i="67" s="1"/>
  <c r="O218" i="67"/>
  <c r="N218" i="67"/>
  <c r="M218" i="67"/>
  <c r="L218" i="67"/>
  <c r="AC217" i="67"/>
  <c r="AA217" i="67"/>
  <c r="W217" i="67"/>
  <c r="U217" i="67"/>
  <c r="S217" i="67"/>
  <c r="R217" i="67"/>
  <c r="Q217" i="67"/>
  <c r="P217" i="67"/>
  <c r="X217" i="67" s="1"/>
  <c r="O217" i="67"/>
  <c r="N217" i="67"/>
  <c r="M217" i="67"/>
  <c r="L217" i="67"/>
  <c r="AC216" i="67"/>
  <c r="AA216" i="67"/>
  <c r="W216" i="67"/>
  <c r="U216" i="67"/>
  <c r="S216" i="67"/>
  <c r="R216" i="67"/>
  <c r="Q216" i="67"/>
  <c r="P216" i="67"/>
  <c r="X216" i="67" s="1"/>
  <c r="O216" i="67"/>
  <c r="N216" i="67"/>
  <c r="M216" i="67"/>
  <c r="L216" i="67"/>
  <c r="AC215" i="67"/>
  <c r="AA215" i="67"/>
  <c r="W215" i="67"/>
  <c r="U215" i="67"/>
  <c r="S215" i="67"/>
  <c r="R215" i="67"/>
  <c r="Q215" i="67"/>
  <c r="P215" i="67"/>
  <c r="X215" i="67" s="1"/>
  <c r="O215" i="67"/>
  <c r="N215" i="67"/>
  <c r="M215" i="67"/>
  <c r="L215" i="67"/>
  <c r="AC214" i="67"/>
  <c r="AA214" i="67"/>
  <c r="W214" i="67"/>
  <c r="U214" i="67"/>
  <c r="S214" i="67"/>
  <c r="R214" i="67"/>
  <c r="Q214" i="67"/>
  <c r="P214" i="67"/>
  <c r="O214" i="67"/>
  <c r="N214" i="67"/>
  <c r="M214" i="67"/>
  <c r="L214" i="67"/>
  <c r="AA213" i="67"/>
  <c r="X213" i="67"/>
  <c r="U213" i="67"/>
  <c r="S213" i="67"/>
  <c r="R213" i="67"/>
  <c r="Q213" i="67"/>
  <c r="O213" i="67"/>
  <c r="N213" i="67"/>
  <c r="M213" i="67"/>
  <c r="AC212" i="67"/>
  <c r="AA212" i="67"/>
  <c r="W212" i="67"/>
  <c r="U212" i="67"/>
  <c r="S212" i="67"/>
  <c r="R212" i="67"/>
  <c r="Q212" i="67"/>
  <c r="P212" i="67"/>
  <c r="X212" i="67" s="1"/>
  <c r="O212" i="67"/>
  <c r="N212" i="67"/>
  <c r="M212" i="67"/>
  <c r="L212" i="67"/>
  <c r="AC211" i="67"/>
  <c r="AA211" i="67"/>
  <c r="W211" i="67"/>
  <c r="U211" i="67"/>
  <c r="S211" i="67"/>
  <c r="R211" i="67"/>
  <c r="Q211" i="67"/>
  <c r="P211" i="67"/>
  <c r="X211" i="67" s="1"/>
  <c r="O211" i="67"/>
  <c r="N211" i="67"/>
  <c r="M211" i="67"/>
  <c r="L211" i="67"/>
  <c r="AC210" i="67"/>
  <c r="AA210" i="67"/>
  <c r="W210" i="67"/>
  <c r="U210" i="67"/>
  <c r="S210" i="67"/>
  <c r="R210" i="67"/>
  <c r="Q210" i="67"/>
  <c r="P210" i="67"/>
  <c r="X210" i="67" s="1"/>
  <c r="O210" i="67"/>
  <c r="N210" i="67"/>
  <c r="M210" i="67"/>
  <c r="L210" i="67"/>
  <c r="AC209" i="67"/>
  <c r="AA209" i="67"/>
  <c r="W209" i="67"/>
  <c r="U209" i="67"/>
  <c r="S209" i="67"/>
  <c r="R209" i="67"/>
  <c r="Q209" i="67"/>
  <c r="P209" i="67"/>
  <c r="X209" i="67" s="1"/>
  <c r="O209" i="67"/>
  <c r="N209" i="67"/>
  <c r="M209" i="67"/>
  <c r="L209" i="67"/>
  <c r="AC208" i="67"/>
  <c r="AA208" i="67"/>
  <c r="W208" i="67"/>
  <c r="U208" i="67"/>
  <c r="S208" i="67"/>
  <c r="R208" i="67"/>
  <c r="Q208" i="67"/>
  <c r="P208" i="67"/>
  <c r="X208" i="67" s="1"/>
  <c r="O208" i="67"/>
  <c r="N208" i="67"/>
  <c r="M208" i="67"/>
  <c r="L208" i="67"/>
  <c r="AA207" i="67"/>
  <c r="X207" i="67"/>
  <c r="W207" i="67"/>
  <c r="U207" i="67"/>
  <c r="S207" i="67"/>
  <c r="R207" i="67"/>
  <c r="Q207" i="67"/>
  <c r="P207" i="67"/>
  <c r="O207" i="67"/>
  <c r="N207" i="67"/>
  <c r="M207" i="67"/>
  <c r="L207" i="67"/>
  <c r="AC206" i="67"/>
  <c r="AA206" i="67"/>
  <c r="W206" i="67"/>
  <c r="U206" i="67"/>
  <c r="S206" i="67"/>
  <c r="R206" i="67"/>
  <c r="P206" i="67"/>
  <c r="X206" i="67" s="1"/>
  <c r="T206" i="67" s="1"/>
  <c r="O206" i="67"/>
  <c r="N206" i="67"/>
  <c r="M206" i="67"/>
  <c r="L206" i="67"/>
  <c r="AC205" i="67"/>
  <c r="AA205" i="67"/>
  <c r="W205" i="67"/>
  <c r="U205" i="67"/>
  <c r="S205" i="67"/>
  <c r="R205" i="67"/>
  <c r="Q205" i="67"/>
  <c r="P205" i="67"/>
  <c r="X205" i="67" s="1"/>
  <c r="O205" i="67"/>
  <c r="N205" i="67"/>
  <c r="M205" i="67"/>
  <c r="L205" i="67"/>
  <c r="AC204" i="67"/>
  <c r="AA204" i="67"/>
  <c r="W204" i="67"/>
  <c r="U204" i="67"/>
  <c r="S204" i="67"/>
  <c r="R204" i="67"/>
  <c r="Q204" i="67"/>
  <c r="P204" i="67"/>
  <c r="X204" i="67" s="1"/>
  <c r="O204" i="67"/>
  <c r="N204" i="67"/>
  <c r="M204" i="67"/>
  <c r="L204" i="67"/>
  <c r="AC203" i="67"/>
  <c r="AA203" i="67"/>
  <c r="W203" i="67"/>
  <c r="U203" i="67"/>
  <c r="S203" i="67"/>
  <c r="R203" i="67"/>
  <c r="Q203" i="67"/>
  <c r="P203" i="67"/>
  <c r="X203" i="67" s="1"/>
  <c r="O203" i="67"/>
  <c r="N203" i="67"/>
  <c r="M203" i="67"/>
  <c r="L203" i="67"/>
  <c r="AC202" i="67"/>
  <c r="AA202" i="67"/>
  <c r="W202" i="67"/>
  <c r="U202" i="67"/>
  <c r="S202" i="67"/>
  <c r="R202" i="67"/>
  <c r="Q202" i="67"/>
  <c r="P202" i="67"/>
  <c r="X202" i="67" s="1"/>
  <c r="O202" i="67"/>
  <c r="N202" i="67"/>
  <c r="M202" i="67"/>
  <c r="L202" i="67"/>
  <c r="AA201" i="67"/>
  <c r="X201" i="67"/>
  <c r="W201" i="67"/>
  <c r="U201" i="67"/>
  <c r="S201" i="67"/>
  <c r="R201" i="67"/>
  <c r="Q201" i="67"/>
  <c r="P201" i="67"/>
  <c r="O201" i="67"/>
  <c r="N201" i="67"/>
  <c r="M201" i="67"/>
  <c r="L201" i="67"/>
  <c r="AC200" i="67"/>
  <c r="AA200" i="67"/>
  <c r="W200" i="67"/>
  <c r="U200" i="67"/>
  <c r="S200" i="67"/>
  <c r="R200" i="67"/>
  <c r="Q200" i="67"/>
  <c r="P200" i="67"/>
  <c r="X200" i="67" s="1"/>
  <c r="O200" i="67"/>
  <c r="N200" i="67"/>
  <c r="M200" i="67"/>
  <c r="L200" i="67"/>
  <c r="AC199" i="67"/>
  <c r="AA199" i="67"/>
  <c r="W199" i="67"/>
  <c r="U199" i="67"/>
  <c r="S199" i="67"/>
  <c r="R199" i="67"/>
  <c r="Q199" i="67"/>
  <c r="P199" i="67"/>
  <c r="X199" i="67" s="1"/>
  <c r="O199" i="67"/>
  <c r="N199" i="67"/>
  <c r="M199" i="67"/>
  <c r="L199" i="67"/>
  <c r="AC198" i="67"/>
  <c r="AA198" i="67"/>
  <c r="W198" i="67"/>
  <c r="U198" i="67"/>
  <c r="S198" i="67"/>
  <c r="R198" i="67"/>
  <c r="Q198" i="67"/>
  <c r="P198" i="67"/>
  <c r="X198" i="67" s="1"/>
  <c r="O198" i="67"/>
  <c r="N198" i="67"/>
  <c r="M198" i="67"/>
  <c r="L198" i="67"/>
  <c r="AC197" i="67"/>
  <c r="AA197" i="67"/>
  <c r="W197" i="67"/>
  <c r="U197" i="67"/>
  <c r="S197" i="67"/>
  <c r="R197" i="67"/>
  <c r="Q197" i="67"/>
  <c r="P197" i="67"/>
  <c r="X197" i="67" s="1"/>
  <c r="O197" i="67"/>
  <c r="N197" i="67"/>
  <c r="M197" i="67"/>
  <c r="L197" i="67"/>
  <c r="AC196" i="67"/>
  <c r="AA196" i="67"/>
  <c r="W196" i="67"/>
  <c r="U196" i="67"/>
  <c r="S196" i="67"/>
  <c r="R196" i="67"/>
  <c r="Q196" i="67"/>
  <c r="P196" i="67"/>
  <c r="X196" i="67" s="1"/>
  <c r="O196" i="67"/>
  <c r="N196" i="67"/>
  <c r="M196" i="67"/>
  <c r="L196" i="67"/>
  <c r="AA195" i="67"/>
  <c r="X195" i="67"/>
  <c r="W195" i="67"/>
  <c r="U195" i="67"/>
  <c r="S195" i="67"/>
  <c r="R195" i="67"/>
  <c r="Q195" i="67"/>
  <c r="P195" i="67"/>
  <c r="O195" i="67"/>
  <c r="N195" i="67"/>
  <c r="M195" i="67"/>
  <c r="L195" i="67"/>
  <c r="AC194" i="67"/>
  <c r="AA194" i="67"/>
  <c r="W194" i="67"/>
  <c r="U194" i="67"/>
  <c r="S194" i="67"/>
  <c r="R194" i="67"/>
  <c r="Q194" i="67"/>
  <c r="P194" i="67"/>
  <c r="X194" i="67" s="1"/>
  <c r="O194" i="67"/>
  <c r="N194" i="67"/>
  <c r="M194" i="67"/>
  <c r="L194" i="67"/>
  <c r="AC193" i="67"/>
  <c r="AA193" i="67"/>
  <c r="W193" i="67"/>
  <c r="U193" i="67"/>
  <c r="S193" i="67"/>
  <c r="R193" i="67"/>
  <c r="Q193" i="67"/>
  <c r="P193" i="67"/>
  <c r="X193" i="67" s="1"/>
  <c r="O193" i="67"/>
  <c r="N193" i="67"/>
  <c r="M193" i="67"/>
  <c r="L193" i="67"/>
  <c r="AC192" i="67"/>
  <c r="AA192" i="67"/>
  <c r="W192" i="67"/>
  <c r="U192" i="67"/>
  <c r="S192" i="67"/>
  <c r="R192" i="67"/>
  <c r="Q192" i="67"/>
  <c r="P192" i="67"/>
  <c r="X192" i="67" s="1"/>
  <c r="O192" i="67"/>
  <c r="N192" i="67"/>
  <c r="M192" i="67"/>
  <c r="L192" i="67"/>
  <c r="AC191" i="67"/>
  <c r="AA191" i="67"/>
  <c r="W191" i="67"/>
  <c r="U191" i="67"/>
  <c r="S191" i="67"/>
  <c r="R191" i="67"/>
  <c r="Q191" i="67"/>
  <c r="P191" i="67"/>
  <c r="X191" i="67" s="1"/>
  <c r="O191" i="67"/>
  <c r="N191" i="67"/>
  <c r="M191" i="67"/>
  <c r="L191" i="67"/>
  <c r="AC190" i="67"/>
  <c r="AA190" i="67"/>
  <c r="W190" i="67"/>
  <c r="U190" i="67"/>
  <c r="S190" i="67"/>
  <c r="R190" i="67"/>
  <c r="Q190" i="67"/>
  <c r="P190" i="67"/>
  <c r="X190" i="67" s="1"/>
  <c r="O190" i="67"/>
  <c r="N190" i="67"/>
  <c r="M190" i="67"/>
  <c r="L190" i="67"/>
  <c r="AC189" i="67"/>
  <c r="AA189" i="67"/>
  <c r="W189" i="67"/>
  <c r="U189" i="67"/>
  <c r="S189" i="67"/>
  <c r="R189" i="67"/>
  <c r="Q189" i="67"/>
  <c r="P189" i="67"/>
  <c r="W188" i="67" s="1"/>
  <c r="O189" i="67"/>
  <c r="N189" i="67"/>
  <c r="M189" i="67"/>
  <c r="L189" i="67"/>
  <c r="AA188" i="67"/>
  <c r="X188" i="67"/>
  <c r="U188" i="67"/>
  <c r="S188" i="67"/>
  <c r="R188" i="67"/>
  <c r="Q188" i="67"/>
  <c r="O188" i="67"/>
  <c r="N188" i="67"/>
  <c r="M188" i="67"/>
  <c r="AC187" i="67"/>
  <c r="AA187" i="67"/>
  <c r="W187" i="67"/>
  <c r="U187" i="67"/>
  <c r="S187" i="67"/>
  <c r="R187" i="67"/>
  <c r="Q187" i="67"/>
  <c r="P187" i="67"/>
  <c r="X187" i="67" s="1"/>
  <c r="O187" i="67"/>
  <c r="N187" i="67"/>
  <c r="M187" i="67"/>
  <c r="L187" i="67"/>
  <c r="AC186" i="67"/>
  <c r="AA186" i="67"/>
  <c r="W186" i="67"/>
  <c r="U186" i="67"/>
  <c r="S186" i="67"/>
  <c r="R186" i="67"/>
  <c r="Q186" i="67"/>
  <c r="P186" i="67"/>
  <c r="X186" i="67" s="1"/>
  <c r="O186" i="67"/>
  <c r="N186" i="67"/>
  <c r="M186" i="67"/>
  <c r="L186" i="67"/>
  <c r="AC185" i="67"/>
  <c r="AA185" i="67"/>
  <c r="W185" i="67"/>
  <c r="U185" i="67"/>
  <c r="S185" i="67"/>
  <c r="R185" i="67"/>
  <c r="Q185" i="67"/>
  <c r="P185" i="67"/>
  <c r="X185" i="67" s="1"/>
  <c r="O185" i="67"/>
  <c r="N185" i="67"/>
  <c r="M185" i="67"/>
  <c r="L185" i="67"/>
  <c r="AC184" i="67"/>
  <c r="AA184" i="67"/>
  <c r="W184" i="67"/>
  <c r="U184" i="67"/>
  <c r="S184" i="67"/>
  <c r="R184" i="67"/>
  <c r="Q184" i="67"/>
  <c r="P184" i="67"/>
  <c r="W183" i="67" s="1"/>
  <c r="O184" i="67"/>
  <c r="N184" i="67"/>
  <c r="M184" i="67"/>
  <c r="L184" i="67"/>
  <c r="AA183" i="67"/>
  <c r="X183" i="67"/>
  <c r="U183" i="67"/>
  <c r="S183" i="67"/>
  <c r="R183" i="67"/>
  <c r="Q183" i="67"/>
  <c r="O183" i="67"/>
  <c r="N183" i="67"/>
  <c r="M183" i="67"/>
  <c r="AC182" i="67"/>
  <c r="AA182" i="67"/>
  <c r="W182" i="67"/>
  <c r="U182" i="67"/>
  <c r="S182" i="67"/>
  <c r="R182" i="67"/>
  <c r="Q182" i="67"/>
  <c r="P182" i="67"/>
  <c r="X182" i="67" s="1"/>
  <c r="O182" i="67"/>
  <c r="N182" i="67"/>
  <c r="M182" i="67"/>
  <c r="L182" i="67"/>
  <c r="AC181" i="67"/>
  <c r="AA181" i="67"/>
  <c r="W181" i="67"/>
  <c r="U181" i="67"/>
  <c r="S181" i="67"/>
  <c r="R181" i="67"/>
  <c r="Q181" i="67"/>
  <c r="P181" i="67"/>
  <c r="X181" i="67" s="1"/>
  <c r="O181" i="67"/>
  <c r="N181" i="67"/>
  <c r="M181" i="67"/>
  <c r="L181" i="67"/>
  <c r="AC180" i="67"/>
  <c r="AA180" i="67"/>
  <c r="W180" i="67"/>
  <c r="U180" i="67"/>
  <c r="S180" i="67"/>
  <c r="R180" i="67"/>
  <c r="Q180" i="67"/>
  <c r="P180" i="67"/>
  <c r="X180" i="67" s="1"/>
  <c r="O180" i="67"/>
  <c r="N180" i="67"/>
  <c r="M180" i="67"/>
  <c r="L180" i="67"/>
  <c r="AC179" i="67"/>
  <c r="AA179" i="67"/>
  <c r="W179" i="67"/>
  <c r="U179" i="67"/>
  <c r="S179" i="67"/>
  <c r="R179" i="67"/>
  <c r="Q179" i="67"/>
  <c r="P179" i="67"/>
  <c r="W178" i="67" s="1"/>
  <c r="O179" i="67"/>
  <c r="N179" i="67"/>
  <c r="M179" i="67"/>
  <c r="L179" i="67"/>
  <c r="AA178" i="67"/>
  <c r="X178" i="67"/>
  <c r="U178" i="67"/>
  <c r="S178" i="67"/>
  <c r="R178" i="67"/>
  <c r="Q178" i="67"/>
  <c r="O178" i="67"/>
  <c r="N178" i="67"/>
  <c r="M178" i="67"/>
  <c r="AC177" i="67"/>
  <c r="AA177" i="67"/>
  <c r="W177" i="67"/>
  <c r="U177" i="67"/>
  <c r="S177" i="67"/>
  <c r="R177" i="67"/>
  <c r="Q177" i="67"/>
  <c r="P177" i="67"/>
  <c r="X177" i="67" s="1"/>
  <c r="O177" i="67"/>
  <c r="N177" i="67"/>
  <c r="M177" i="67"/>
  <c r="L177" i="67"/>
  <c r="AC176" i="67"/>
  <c r="AA176" i="67"/>
  <c r="W176" i="67"/>
  <c r="U176" i="67"/>
  <c r="S176" i="67"/>
  <c r="R176" i="67"/>
  <c r="Q176" i="67"/>
  <c r="P176" i="67"/>
  <c r="X176" i="67" s="1"/>
  <c r="O176" i="67"/>
  <c r="N176" i="67"/>
  <c r="M176" i="67"/>
  <c r="L176" i="67"/>
  <c r="AC175" i="67"/>
  <c r="AA175" i="67"/>
  <c r="W175" i="67"/>
  <c r="U175" i="67"/>
  <c r="S175" i="67"/>
  <c r="R175" i="67"/>
  <c r="Q175" i="67"/>
  <c r="P175" i="67"/>
  <c r="X175" i="67" s="1"/>
  <c r="O175" i="67"/>
  <c r="N175" i="67"/>
  <c r="M175" i="67"/>
  <c r="L175" i="67"/>
  <c r="AC174" i="67"/>
  <c r="AA174" i="67"/>
  <c r="W174" i="67"/>
  <c r="U174" i="67"/>
  <c r="S174" i="67"/>
  <c r="R174" i="67"/>
  <c r="Q174" i="67"/>
  <c r="P174" i="67"/>
  <c r="X174" i="67" s="1"/>
  <c r="O174" i="67"/>
  <c r="N174" i="67"/>
  <c r="M174" i="67"/>
  <c r="L174" i="67"/>
  <c r="AC173" i="67"/>
  <c r="AA173" i="67"/>
  <c r="W173" i="67"/>
  <c r="U173" i="67"/>
  <c r="S173" i="67"/>
  <c r="R173" i="67"/>
  <c r="Q173" i="67"/>
  <c r="P173" i="67"/>
  <c r="X173" i="67" s="1"/>
  <c r="O173" i="67"/>
  <c r="N173" i="67"/>
  <c r="M173" i="67"/>
  <c r="L173" i="67"/>
  <c r="AC172" i="67"/>
  <c r="AA172" i="67"/>
  <c r="W172" i="67"/>
  <c r="U172" i="67"/>
  <c r="S172" i="67"/>
  <c r="R172" i="67"/>
  <c r="Q172" i="67"/>
  <c r="P172" i="67"/>
  <c r="X172" i="67" s="1"/>
  <c r="O172" i="67"/>
  <c r="N172" i="67"/>
  <c r="M172" i="67"/>
  <c r="L172" i="67"/>
  <c r="AA171" i="67"/>
  <c r="X171" i="67"/>
  <c r="U171" i="67"/>
  <c r="S171" i="67"/>
  <c r="R171" i="67"/>
  <c r="Q171" i="67"/>
  <c r="O171" i="67"/>
  <c r="N171" i="67"/>
  <c r="M171" i="67"/>
  <c r="AC170" i="67"/>
  <c r="AA170" i="67"/>
  <c r="W170" i="67"/>
  <c r="U170" i="67"/>
  <c r="S170" i="67"/>
  <c r="R170" i="67"/>
  <c r="Q170" i="67"/>
  <c r="P170" i="67"/>
  <c r="X170" i="67" s="1"/>
  <c r="O170" i="67"/>
  <c r="N170" i="67"/>
  <c r="M170" i="67"/>
  <c r="L170" i="67"/>
  <c r="AC169" i="67"/>
  <c r="AA169" i="67"/>
  <c r="W169" i="67"/>
  <c r="U169" i="67"/>
  <c r="S169" i="67"/>
  <c r="R169" i="67"/>
  <c r="Q169" i="67"/>
  <c r="P169" i="67"/>
  <c r="X169" i="67" s="1"/>
  <c r="O169" i="67"/>
  <c r="N169" i="67"/>
  <c r="M169" i="67"/>
  <c r="L169" i="67"/>
  <c r="AC168" i="67"/>
  <c r="AA168" i="67"/>
  <c r="W168" i="67"/>
  <c r="U168" i="67"/>
  <c r="S168" i="67"/>
  <c r="R168" i="67"/>
  <c r="Q168" i="67"/>
  <c r="P168" i="67"/>
  <c r="X168" i="67" s="1"/>
  <c r="O168" i="67"/>
  <c r="N168" i="67"/>
  <c r="M168" i="67"/>
  <c r="L168" i="67"/>
  <c r="AC167" i="67"/>
  <c r="AA167" i="67"/>
  <c r="W167" i="67"/>
  <c r="U167" i="67"/>
  <c r="S167" i="67"/>
  <c r="R167" i="67"/>
  <c r="Q167" i="67"/>
  <c r="P167" i="67"/>
  <c r="X167" i="67" s="1"/>
  <c r="O167" i="67"/>
  <c r="N167" i="67"/>
  <c r="M167" i="67"/>
  <c r="L167" i="67"/>
  <c r="AA166" i="67"/>
  <c r="X166" i="67"/>
  <c r="U166" i="67"/>
  <c r="S166" i="67"/>
  <c r="R166" i="67"/>
  <c r="Q166" i="67"/>
  <c r="O166" i="67"/>
  <c r="N166" i="67"/>
  <c r="M166" i="67"/>
  <c r="AC165" i="67"/>
  <c r="AA165" i="67"/>
  <c r="W165" i="67"/>
  <c r="U165" i="67"/>
  <c r="S165" i="67"/>
  <c r="R165" i="67"/>
  <c r="Q165" i="67"/>
  <c r="P165" i="67"/>
  <c r="X165" i="67" s="1"/>
  <c r="O165" i="67"/>
  <c r="N165" i="67"/>
  <c r="M165" i="67"/>
  <c r="L165" i="67"/>
  <c r="AC164" i="67"/>
  <c r="AA164" i="67"/>
  <c r="W164" i="67"/>
  <c r="U164" i="67"/>
  <c r="S164" i="67"/>
  <c r="R164" i="67"/>
  <c r="Q164" i="67"/>
  <c r="P164" i="67"/>
  <c r="X164" i="67" s="1"/>
  <c r="O164" i="67"/>
  <c r="N164" i="67"/>
  <c r="M164" i="67"/>
  <c r="L164" i="67"/>
  <c r="AC163" i="67"/>
  <c r="AA163" i="67"/>
  <c r="W163" i="67"/>
  <c r="U163" i="67"/>
  <c r="S163" i="67"/>
  <c r="R163" i="67"/>
  <c r="Q163" i="67"/>
  <c r="P163" i="67"/>
  <c r="X163" i="67" s="1"/>
  <c r="O163" i="67"/>
  <c r="N163" i="67"/>
  <c r="M163" i="67"/>
  <c r="L163" i="67"/>
  <c r="AC162" i="67"/>
  <c r="AA162" i="67"/>
  <c r="W162" i="67"/>
  <c r="U162" i="67"/>
  <c r="S162" i="67"/>
  <c r="R162" i="67"/>
  <c r="Q162" i="67"/>
  <c r="P162" i="67"/>
  <c r="X162" i="67" s="1"/>
  <c r="O162" i="67"/>
  <c r="N162" i="67"/>
  <c r="M162" i="67"/>
  <c r="L162" i="67"/>
  <c r="AC161" i="67"/>
  <c r="AA161" i="67"/>
  <c r="W161" i="67"/>
  <c r="U161" i="67"/>
  <c r="S161" i="67"/>
  <c r="R161" i="67"/>
  <c r="Q161" i="67"/>
  <c r="P161" i="67"/>
  <c r="X161" i="67" s="1"/>
  <c r="O161" i="67"/>
  <c r="N161" i="67"/>
  <c r="M161" i="67"/>
  <c r="L161" i="67"/>
  <c r="AC160" i="67"/>
  <c r="AA160" i="67"/>
  <c r="W160" i="67"/>
  <c r="U160" i="67"/>
  <c r="S160" i="67"/>
  <c r="R160" i="67"/>
  <c r="Q160" i="67"/>
  <c r="P160" i="67"/>
  <c r="X160" i="67" s="1"/>
  <c r="O160" i="67"/>
  <c r="N160" i="67"/>
  <c r="M160" i="67"/>
  <c r="L160" i="67"/>
  <c r="AA159" i="67"/>
  <c r="X159" i="67"/>
  <c r="U159" i="67"/>
  <c r="S159" i="67"/>
  <c r="R159" i="67"/>
  <c r="Q159" i="67"/>
  <c r="O159" i="67"/>
  <c r="N159" i="67"/>
  <c r="M159" i="67"/>
  <c r="AC158" i="67"/>
  <c r="AA158" i="67"/>
  <c r="W158" i="67"/>
  <c r="U158" i="67"/>
  <c r="S158" i="67"/>
  <c r="R158" i="67"/>
  <c r="Q158" i="67"/>
  <c r="P158" i="67"/>
  <c r="X158" i="67" s="1"/>
  <c r="O158" i="67"/>
  <c r="N158" i="67"/>
  <c r="M158" i="67"/>
  <c r="L158" i="67"/>
  <c r="AC157" i="67"/>
  <c r="AA157" i="67"/>
  <c r="W157" i="67"/>
  <c r="U157" i="67"/>
  <c r="S157" i="67"/>
  <c r="R157" i="67"/>
  <c r="Q157" i="67"/>
  <c r="P157" i="67"/>
  <c r="X157" i="67" s="1"/>
  <c r="O157" i="67"/>
  <c r="N157" i="67"/>
  <c r="M157" i="67"/>
  <c r="L157" i="67"/>
  <c r="AC156" i="67"/>
  <c r="AA156" i="67"/>
  <c r="W156" i="67"/>
  <c r="U156" i="67"/>
  <c r="S156" i="67"/>
  <c r="R156" i="67"/>
  <c r="Q156" i="67"/>
  <c r="P156" i="67"/>
  <c r="X156" i="67" s="1"/>
  <c r="O156" i="67"/>
  <c r="N156" i="67"/>
  <c r="M156" i="67"/>
  <c r="L156" i="67"/>
  <c r="AC155" i="67"/>
  <c r="AA155" i="67"/>
  <c r="W155" i="67"/>
  <c r="U155" i="67"/>
  <c r="S155" i="67"/>
  <c r="R155" i="67"/>
  <c r="Q155" i="67"/>
  <c r="P155" i="67"/>
  <c r="X155" i="67" s="1"/>
  <c r="O155" i="67"/>
  <c r="N155" i="67"/>
  <c r="M155" i="67"/>
  <c r="L155" i="67"/>
  <c r="AA154" i="67"/>
  <c r="X154" i="67"/>
  <c r="U154" i="67"/>
  <c r="S154" i="67"/>
  <c r="R154" i="67"/>
  <c r="Q154" i="67"/>
  <c r="O154" i="67"/>
  <c r="N154" i="67"/>
  <c r="M154" i="67"/>
  <c r="AC153" i="67"/>
  <c r="AA153" i="67"/>
  <c r="W153" i="67"/>
  <c r="U153" i="67"/>
  <c r="S153" i="67"/>
  <c r="R153" i="67"/>
  <c r="Q153" i="67"/>
  <c r="P153" i="67"/>
  <c r="X153" i="67" s="1"/>
  <c r="O153" i="67"/>
  <c r="N153" i="67"/>
  <c r="M153" i="67"/>
  <c r="L153" i="67"/>
  <c r="AC152" i="67"/>
  <c r="AA152" i="67"/>
  <c r="W152" i="67"/>
  <c r="U152" i="67"/>
  <c r="S152" i="67"/>
  <c r="R152" i="67"/>
  <c r="Q152" i="67"/>
  <c r="P152" i="67"/>
  <c r="X152" i="67" s="1"/>
  <c r="O152" i="67"/>
  <c r="N152" i="67"/>
  <c r="M152" i="67"/>
  <c r="L152" i="67"/>
  <c r="AC151" i="67"/>
  <c r="AA151" i="67"/>
  <c r="W151" i="67"/>
  <c r="U151" i="67"/>
  <c r="S151" i="67"/>
  <c r="R151" i="67"/>
  <c r="Q151" i="67"/>
  <c r="P151" i="67"/>
  <c r="X151" i="67" s="1"/>
  <c r="O151" i="67"/>
  <c r="N151" i="67"/>
  <c r="M151" i="67"/>
  <c r="L151" i="67"/>
  <c r="AC150" i="67"/>
  <c r="AA150" i="67"/>
  <c r="W150" i="67"/>
  <c r="U150" i="67"/>
  <c r="S150" i="67"/>
  <c r="R150" i="67"/>
  <c r="Q150" i="67"/>
  <c r="P150" i="67"/>
  <c r="X150" i="67" s="1"/>
  <c r="O150" i="67"/>
  <c r="N150" i="67"/>
  <c r="M150" i="67"/>
  <c r="L150" i="67"/>
  <c r="AC149" i="67"/>
  <c r="AA149" i="67"/>
  <c r="W149" i="67"/>
  <c r="U149" i="67"/>
  <c r="S149" i="67"/>
  <c r="R149" i="67"/>
  <c r="Q149" i="67"/>
  <c r="P149" i="67"/>
  <c r="X149" i="67" s="1"/>
  <c r="O149" i="67"/>
  <c r="N149" i="67"/>
  <c r="M149" i="67"/>
  <c r="L149" i="67"/>
  <c r="AC148" i="67"/>
  <c r="AA148" i="67"/>
  <c r="W148" i="67"/>
  <c r="U148" i="67"/>
  <c r="S148" i="67"/>
  <c r="R148" i="67"/>
  <c r="Q148" i="67"/>
  <c r="P148" i="67"/>
  <c r="X148" i="67" s="1"/>
  <c r="O148" i="67"/>
  <c r="N148" i="67"/>
  <c r="M148" i="67"/>
  <c r="L148" i="67"/>
  <c r="AA147" i="67"/>
  <c r="X147" i="67"/>
  <c r="U147" i="67"/>
  <c r="S147" i="67"/>
  <c r="R147" i="67"/>
  <c r="Q147" i="67"/>
  <c r="O147" i="67"/>
  <c r="N147" i="67"/>
  <c r="M147" i="67"/>
  <c r="AA146" i="67"/>
  <c r="W146" i="67"/>
  <c r="U146" i="67"/>
  <c r="S146" i="67"/>
  <c r="R146" i="67"/>
  <c r="Q146" i="67"/>
  <c r="P146" i="67"/>
  <c r="X146" i="67" s="1"/>
  <c r="O146" i="67"/>
  <c r="N146" i="67"/>
  <c r="M146" i="67"/>
  <c r="L146" i="67"/>
  <c r="AA145" i="67"/>
  <c r="W145" i="67"/>
  <c r="U145" i="67"/>
  <c r="S145" i="67"/>
  <c r="R145" i="67"/>
  <c r="Q145" i="67"/>
  <c r="P145" i="67"/>
  <c r="X145" i="67" s="1"/>
  <c r="O145" i="67"/>
  <c r="N145" i="67"/>
  <c r="M145" i="67"/>
  <c r="L145" i="67"/>
  <c r="AC144" i="67"/>
  <c r="AA144" i="67"/>
  <c r="W144" i="67"/>
  <c r="U144" i="67"/>
  <c r="S144" i="67"/>
  <c r="R144" i="67"/>
  <c r="Q144" i="67"/>
  <c r="P144" i="67"/>
  <c r="X144" i="67" s="1"/>
  <c r="O144" i="67"/>
  <c r="N144" i="67"/>
  <c r="M144" i="67"/>
  <c r="L144" i="67"/>
  <c r="AC143" i="67"/>
  <c r="AA143" i="67"/>
  <c r="W143" i="67"/>
  <c r="U143" i="67"/>
  <c r="S143" i="67"/>
  <c r="R143" i="67"/>
  <c r="Q143" i="67"/>
  <c r="P143" i="67"/>
  <c r="O143" i="67"/>
  <c r="N143" i="67"/>
  <c r="M143" i="67"/>
  <c r="L143" i="67"/>
  <c r="AC142" i="67"/>
  <c r="AA142" i="67"/>
  <c r="X142" i="67"/>
  <c r="U142" i="67"/>
  <c r="S142" i="67"/>
  <c r="R142" i="67"/>
  <c r="Q142" i="67"/>
  <c r="O142" i="67"/>
  <c r="N142" i="67"/>
  <c r="M142" i="67"/>
  <c r="AA141" i="67"/>
  <c r="W141" i="67"/>
  <c r="U141" i="67"/>
  <c r="S141" i="67"/>
  <c r="R141" i="67"/>
  <c r="Q141" i="67"/>
  <c r="P141" i="67"/>
  <c r="X141" i="67" s="1"/>
  <c r="O141" i="67"/>
  <c r="N141" i="67"/>
  <c r="M141" i="67"/>
  <c r="L141" i="67"/>
  <c r="AA140" i="67"/>
  <c r="W140" i="67"/>
  <c r="U140" i="67"/>
  <c r="S140" i="67"/>
  <c r="R140" i="67"/>
  <c r="Q140" i="67"/>
  <c r="P140" i="67"/>
  <c r="X140" i="67" s="1"/>
  <c r="O140" i="67"/>
  <c r="N140" i="67"/>
  <c r="M140" i="67"/>
  <c r="L140" i="67"/>
  <c r="AC139" i="67"/>
  <c r="AA139" i="67"/>
  <c r="W139" i="67"/>
  <c r="U139" i="67"/>
  <c r="S139" i="67"/>
  <c r="R139" i="67"/>
  <c r="Q139" i="67"/>
  <c r="P139" i="67"/>
  <c r="X139" i="67" s="1"/>
  <c r="O139" i="67"/>
  <c r="N139" i="67"/>
  <c r="M139" i="67"/>
  <c r="L139" i="67"/>
  <c r="AC138" i="67"/>
  <c r="AA138" i="67"/>
  <c r="W138" i="67"/>
  <c r="U138" i="67"/>
  <c r="S138" i="67"/>
  <c r="R138" i="67"/>
  <c r="Q138" i="67"/>
  <c r="P138" i="67"/>
  <c r="X138" i="67" s="1"/>
  <c r="O138" i="67"/>
  <c r="N138" i="67"/>
  <c r="M138" i="67"/>
  <c r="L138" i="67"/>
  <c r="AA137" i="67"/>
  <c r="X137" i="67"/>
  <c r="U137" i="67"/>
  <c r="S137" i="67"/>
  <c r="R137" i="67"/>
  <c r="Q137" i="67"/>
  <c r="O137" i="67"/>
  <c r="N137" i="67"/>
  <c r="M137" i="67"/>
  <c r="AA136" i="67"/>
  <c r="W136" i="67"/>
  <c r="U136" i="67"/>
  <c r="S136" i="67"/>
  <c r="R136" i="67"/>
  <c r="Q136" i="67"/>
  <c r="P136" i="67"/>
  <c r="X136" i="67" s="1"/>
  <c r="O136" i="67"/>
  <c r="N136" i="67"/>
  <c r="M136" i="67"/>
  <c r="L136" i="67"/>
  <c r="AC135" i="67"/>
  <c r="AA135" i="67"/>
  <c r="W135" i="67"/>
  <c r="U135" i="67"/>
  <c r="S135" i="67"/>
  <c r="R135" i="67"/>
  <c r="Q135" i="67"/>
  <c r="P135" i="67"/>
  <c r="X135" i="67" s="1"/>
  <c r="O135" i="67"/>
  <c r="N135" i="67"/>
  <c r="M135" i="67"/>
  <c r="L135" i="67"/>
  <c r="AC134" i="67"/>
  <c r="AA134" i="67"/>
  <c r="W134" i="67"/>
  <c r="U134" i="67"/>
  <c r="S134" i="67"/>
  <c r="R134" i="67"/>
  <c r="Q134" i="67"/>
  <c r="P134" i="67"/>
  <c r="X134" i="67" s="1"/>
  <c r="O134" i="67"/>
  <c r="N134" i="67"/>
  <c r="M134" i="67"/>
  <c r="L134" i="67"/>
  <c r="AC133" i="67"/>
  <c r="AA133" i="67"/>
  <c r="W133" i="67"/>
  <c r="U133" i="67"/>
  <c r="S133" i="67"/>
  <c r="R133" i="67"/>
  <c r="Q133" i="67"/>
  <c r="P133" i="67"/>
  <c r="X133" i="67" s="1"/>
  <c r="O133" i="67"/>
  <c r="N133" i="67"/>
  <c r="M133" i="67"/>
  <c r="L133" i="67"/>
  <c r="AC132" i="67"/>
  <c r="AA132" i="67"/>
  <c r="W132" i="67"/>
  <c r="U132" i="67"/>
  <c r="S132" i="67"/>
  <c r="R132" i="67"/>
  <c r="Q132" i="67"/>
  <c r="P132" i="67"/>
  <c r="X132" i="67" s="1"/>
  <c r="O132" i="67"/>
  <c r="N132" i="67"/>
  <c r="M132" i="67"/>
  <c r="L132" i="67"/>
  <c r="AC131" i="67"/>
  <c r="AA131" i="67"/>
  <c r="W131" i="67"/>
  <c r="U131" i="67"/>
  <c r="S131" i="67"/>
  <c r="R131" i="67"/>
  <c r="Q131" i="67"/>
  <c r="P131" i="67"/>
  <c r="X131" i="67" s="1"/>
  <c r="O131" i="67"/>
  <c r="N131" i="67"/>
  <c r="M131" i="67"/>
  <c r="L131" i="67"/>
  <c r="AA130" i="67"/>
  <c r="X130" i="67"/>
  <c r="U130" i="67"/>
  <c r="S130" i="67"/>
  <c r="R130" i="67"/>
  <c r="Q130" i="67"/>
  <c r="O130" i="67"/>
  <c r="N130" i="67"/>
  <c r="M130" i="67"/>
  <c r="AC129" i="67"/>
  <c r="AA129" i="67"/>
  <c r="W129" i="67"/>
  <c r="U129" i="67"/>
  <c r="S129" i="67"/>
  <c r="R129" i="67"/>
  <c r="Q129" i="67"/>
  <c r="P129" i="67"/>
  <c r="X129" i="67" s="1"/>
  <c r="O129" i="67"/>
  <c r="N129" i="67"/>
  <c r="M129" i="67"/>
  <c r="L129" i="67"/>
  <c r="AC128" i="67"/>
  <c r="AA128" i="67"/>
  <c r="W128" i="67"/>
  <c r="U128" i="67"/>
  <c r="S128" i="67"/>
  <c r="R128" i="67"/>
  <c r="Q128" i="67"/>
  <c r="P128" i="67"/>
  <c r="X128" i="67" s="1"/>
  <c r="O128" i="67"/>
  <c r="N128" i="67"/>
  <c r="M128" i="67"/>
  <c r="L128" i="67"/>
  <c r="AC127" i="67"/>
  <c r="AA127" i="67"/>
  <c r="W127" i="67"/>
  <c r="U127" i="67"/>
  <c r="S127" i="67"/>
  <c r="R127" i="67"/>
  <c r="Q127" i="67"/>
  <c r="P127" i="67"/>
  <c r="X127" i="67" s="1"/>
  <c r="O127" i="67"/>
  <c r="N127" i="67"/>
  <c r="M127" i="67"/>
  <c r="L127" i="67"/>
  <c r="AC126" i="67"/>
  <c r="AA126" i="67"/>
  <c r="W126" i="67"/>
  <c r="U126" i="67"/>
  <c r="S126" i="67"/>
  <c r="R126" i="67"/>
  <c r="Q126" i="67"/>
  <c r="P126" i="67"/>
  <c r="X126" i="67" s="1"/>
  <c r="O126" i="67"/>
  <c r="N126" i="67"/>
  <c r="M126" i="67"/>
  <c r="L126" i="67"/>
  <c r="AC125" i="67"/>
  <c r="AA125" i="67"/>
  <c r="W125" i="67"/>
  <c r="U125" i="67"/>
  <c r="S125" i="67"/>
  <c r="R125" i="67"/>
  <c r="Q125" i="67"/>
  <c r="P125" i="67"/>
  <c r="W124" i="67" s="1"/>
  <c r="O125" i="67"/>
  <c r="N125" i="67"/>
  <c r="M125" i="67"/>
  <c r="L125" i="67"/>
  <c r="AA124" i="67"/>
  <c r="X124" i="67"/>
  <c r="U124" i="67"/>
  <c r="S124" i="67"/>
  <c r="R124" i="67"/>
  <c r="Q124" i="67"/>
  <c r="O124" i="67"/>
  <c r="N124" i="67"/>
  <c r="M124" i="67"/>
  <c r="AA123" i="67"/>
  <c r="W123" i="67"/>
  <c r="U123" i="67"/>
  <c r="S123" i="67"/>
  <c r="R123" i="67"/>
  <c r="Q123" i="67"/>
  <c r="P123" i="67"/>
  <c r="X123" i="67" s="1"/>
  <c r="O123" i="67"/>
  <c r="N123" i="67"/>
  <c r="M123" i="67"/>
  <c r="L123" i="67"/>
  <c r="AC122" i="67"/>
  <c r="AA122" i="67"/>
  <c r="W122" i="67"/>
  <c r="U122" i="67"/>
  <c r="S122" i="67"/>
  <c r="R122" i="67"/>
  <c r="Q122" i="67"/>
  <c r="P122" i="67"/>
  <c r="X122" i="67" s="1"/>
  <c r="O122" i="67"/>
  <c r="N122" i="67"/>
  <c r="M122" i="67"/>
  <c r="L122" i="67"/>
  <c r="AC121" i="67"/>
  <c r="AA121" i="67"/>
  <c r="W121" i="67"/>
  <c r="U121" i="67"/>
  <c r="S121" i="67"/>
  <c r="R121" i="67"/>
  <c r="Q121" i="67"/>
  <c r="P121" i="67"/>
  <c r="X121" i="67" s="1"/>
  <c r="O121" i="67"/>
  <c r="N121" i="67"/>
  <c r="M121" i="67"/>
  <c r="L121" i="67"/>
  <c r="AC120" i="67"/>
  <c r="AA120" i="67"/>
  <c r="W120" i="67"/>
  <c r="U120" i="67"/>
  <c r="S120" i="67"/>
  <c r="R120" i="67"/>
  <c r="Q120" i="67"/>
  <c r="P120" i="67"/>
  <c r="X120" i="67" s="1"/>
  <c r="O120" i="67"/>
  <c r="N120" i="67"/>
  <c r="M120" i="67"/>
  <c r="L120" i="67"/>
  <c r="AC119" i="67"/>
  <c r="AA119" i="67"/>
  <c r="W119" i="67"/>
  <c r="U119" i="67"/>
  <c r="S119" i="67"/>
  <c r="R119" i="67"/>
  <c r="Q119" i="67"/>
  <c r="P119" i="67"/>
  <c r="X119" i="67" s="1"/>
  <c r="O119" i="67"/>
  <c r="N119" i="67"/>
  <c r="M119" i="67"/>
  <c r="L119" i="67"/>
  <c r="AC118" i="67"/>
  <c r="AA118" i="67"/>
  <c r="W118" i="67"/>
  <c r="U118" i="67"/>
  <c r="S118" i="67"/>
  <c r="R118" i="67"/>
  <c r="Q118" i="67"/>
  <c r="P118" i="67"/>
  <c r="X118" i="67" s="1"/>
  <c r="O118" i="67"/>
  <c r="N118" i="67"/>
  <c r="M118" i="67"/>
  <c r="L118" i="67"/>
  <c r="AA117" i="67"/>
  <c r="X117" i="67"/>
  <c r="U117" i="67"/>
  <c r="S117" i="67"/>
  <c r="R117" i="67"/>
  <c r="Q117" i="67"/>
  <c r="O117" i="67"/>
  <c r="N117" i="67"/>
  <c r="M117" i="67"/>
  <c r="AC116" i="67"/>
  <c r="AA116" i="67"/>
  <c r="W116" i="67"/>
  <c r="U116" i="67"/>
  <c r="S116" i="67"/>
  <c r="R116" i="67"/>
  <c r="Q116" i="67"/>
  <c r="P116" i="67"/>
  <c r="X116" i="67" s="1"/>
  <c r="O116" i="67"/>
  <c r="N116" i="67"/>
  <c r="M116" i="67"/>
  <c r="L116" i="67"/>
  <c r="AC115" i="67"/>
  <c r="AA115" i="67"/>
  <c r="W115" i="67"/>
  <c r="U115" i="67"/>
  <c r="S115" i="67"/>
  <c r="R115" i="67"/>
  <c r="Q115" i="67"/>
  <c r="P115" i="67"/>
  <c r="X115" i="67" s="1"/>
  <c r="O115" i="67"/>
  <c r="N115" i="67"/>
  <c r="M115" i="67"/>
  <c r="L115" i="67"/>
  <c r="AC114" i="67"/>
  <c r="AA114" i="67"/>
  <c r="W114" i="67"/>
  <c r="U114" i="67"/>
  <c r="S114" i="67"/>
  <c r="R114" i="67"/>
  <c r="Q114" i="67"/>
  <c r="P114" i="67"/>
  <c r="X114" i="67" s="1"/>
  <c r="O114" i="67"/>
  <c r="N114" i="67"/>
  <c r="M114" i="67"/>
  <c r="L114" i="67"/>
  <c r="AC113" i="67"/>
  <c r="AA113" i="67"/>
  <c r="W113" i="67"/>
  <c r="U113" i="67"/>
  <c r="S113" i="67"/>
  <c r="R113" i="67"/>
  <c r="Q113" i="67"/>
  <c r="P113" i="67"/>
  <c r="X113" i="67" s="1"/>
  <c r="O113" i="67"/>
  <c r="N113" i="67"/>
  <c r="M113" i="67"/>
  <c r="L113" i="67"/>
  <c r="AC112" i="67"/>
  <c r="AA112" i="67"/>
  <c r="W112" i="67"/>
  <c r="U112" i="67"/>
  <c r="S112" i="67"/>
  <c r="R112" i="67"/>
  <c r="Q112" i="67"/>
  <c r="P112" i="67"/>
  <c r="X112" i="67" s="1"/>
  <c r="O112" i="67"/>
  <c r="N112" i="67"/>
  <c r="M112" i="67"/>
  <c r="L112" i="67"/>
  <c r="AA111" i="67"/>
  <c r="X111" i="67"/>
  <c r="U111" i="67"/>
  <c r="S111" i="67"/>
  <c r="R111" i="67"/>
  <c r="Q111" i="67"/>
  <c r="O111" i="67"/>
  <c r="N111" i="67"/>
  <c r="M111" i="67"/>
  <c r="AC110" i="67"/>
  <c r="AA110" i="67"/>
  <c r="W110" i="67"/>
  <c r="U110" i="67"/>
  <c r="S110" i="67"/>
  <c r="R110" i="67"/>
  <c r="Q110" i="67"/>
  <c r="P110" i="67"/>
  <c r="X110" i="67" s="1"/>
  <c r="O110" i="67"/>
  <c r="N110" i="67"/>
  <c r="M110" i="67"/>
  <c r="L110" i="67"/>
  <c r="AC109" i="67"/>
  <c r="AA109" i="67"/>
  <c r="W109" i="67"/>
  <c r="U109" i="67"/>
  <c r="S109" i="67"/>
  <c r="R109" i="67"/>
  <c r="Q109" i="67"/>
  <c r="P109" i="67"/>
  <c r="X109" i="67" s="1"/>
  <c r="O109" i="67"/>
  <c r="N109" i="67"/>
  <c r="M109" i="67"/>
  <c r="L109" i="67"/>
  <c r="AC108" i="67"/>
  <c r="AA108" i="67"/>
  <c r="W108" i="67"/>
  <c r="U108" i="67"/>
  <c r="S108" i="67"/>
  <c r="R108" i="67"/>
  <c r="Q108" i="67"/>
  <c r="P108" i="67"/>
  <c r="X108" i="67" s="1"/>
  <c r="O108" i="67"/>
  <c r="N108" i="67"/>
  <c r="M108" i="67"/>
  <c r="L108" i="67"/>
  <c r="AC107" i="67"/>
  <c r="AA107" i="67"/>
  <c r="W107" i="67"/>
  <c r="U107" i="67"/>
  <c r="S107" i="67"/>
  <c r="R107" i="67"/>
  <c r="Q107" i="67"/>
  <c r="P107" i="67"/>
  <c r="X107" i="67" s="1"/>
  <c r="O107" i="67"/>
  <c r="N107" i="67"/>
  <c r="M107" i="67"/>
  <c r="L107" i="67"/>
  <c r="AA106" i="67"/>
  <c r="X106" i="67"/>
  <c r="U106" i="67"/>
  <c r="S106" i="67"/>
  <c r="R106" i="67"/>
  <c r="Q106" i="67"/>
  <c r="O106" i="67"/>
  <c r="N106" i="67"/>
  <c r="M106" i="67"/>
  <c r="AC105" i="67"/>
  <c r="AA105" i="67"/>
  <c r="W105" i="67"/>
  <c r="U105" i="67"/>
  <c r="S105" i="67"/>
  <c r="R105" i="67"/>
  <c r="Q105" i="67"/>
  <c r="P105" i="67"/>
  <c r="X105" i="67" s="1"/>
  <c r="O105" i="67"/>
  <c r="N105" i="67"/>
  <c r="M105" i="67"/>
  <c r="L105" i="67"/>
  <c r="AC104" i="67"/>
  <c r="AA104" i="67"/>
  <c r="W104" i="67"/>
  <c r="U104" i="67"/>
  <c r="S104" i="67"/>
  <c r="R104" i="67"/>
  <c r="Q104" i="67"/>
  <c r="P104" i="67"/>
  <c r="X104" i="67" s="1"/>
  <c r="O104" i="67"/>
  <c r="N104" i="67"/>
  <c r="M104" i="67"/>
  <c r="L104" i="67"/>
  <c r="AC103" i="67"/>
  <c r="AA103" i="67"/>
  <c r="W103" i="67"/>
  <c r="U103" i="67"/>
  <c r="S103" i="67"/>
  <c r="R103" i="67"/>
  <c r="Q103" i="67"/>
  <c r="P103" i="67"/>
  <c r="X103" i="67" s="1"/>
  <c r="O103" i="67"/>
  <c r="N103" i="67"/>
  <c r="M103" i="67"/>
  <c r="L103" i="67"/>
  <c r="AC102" i="67"/>
  <c r="AA102" i="67"/>
  <c r="W102" i="67"/>
  <c r="U102" i="67"/>
  <c r="S102" i="67"/>
  <c r="R102" i="67"/>
  <c r="Q102" i="67"/>
  <c r="P102" i="67"/>
  <c r="X102" i="67" s="1"/>
  <c r="O102" i="67"/>
  <c r="N102" i="67"/>
  <c r="M102" i="67"/>
  <c r="L102" i="67"/>
  <c r="AA101" i="67"/>
  <c r="X101" i="67"/>
  <c r="U101" i="67"/>
  <c r="S101" i="67"/>
  <c r="R101" i="67"/>
  <c r="Q101" i="67"/>
  <c r="O101" i="67"/>
  <c r="N101" i="67"/>
  <c r="M101" i="67"/>
  <c r="AC100" i="67"/>
  <c r="AA100" i="67"/>
  <c r="W100" i="67"/>
  <c r="U100" i="67"/>
  <c r="S100" i="67"/>
  <c r="R100" i="67"/>
  <c r="Q100" i="67"/>
  <c r="P100" i="67"/>
  <c r="X100" i="67" s="1"/>
  <c r="O100" i="67"/>
  <c r="N100" i="67"/>
  <c r="M100" i="67"/>
  <c r="L100" i="67"/>
  <c r="AC99" i="67"/>
  <c r="AA99" i="67"/>
  <c r="W99" i="67"/>
  <c r="U99" i="67"/>
  <c r="S99" i="67"/>
  <c r="R99" i="67"/>
  <c r="Q99" i="67"/>
  <c r="P99" i="67"/>
  <c r="X99" i="67" s="1"/>
  <c r="O99" i="67"/>
  <c r="N99" i="67"/>
  <c r="M99" i="67"/>
  <c r="L99" i="67"/>
  <c r="AC98" i="67"/>
  <c r="AA98" i="67"/>
  <c r="W98" i="67"/>
  <c r="U98" i="67"/>
  <c r="S98" i="67"/>
  <c r="R98" i="67"/>
  <c r="Q98" i="67"/>
  <c r="P98" i="67"/>
  <c r="X98" i="67" s="1"/>
  <c r="O98" i="67"/>
  <c r="N98" i="67"/>
  <c r="M98" i="67"/>
  <c r="L98" i="67"/>
  <c r="AC97" i="67"/>
  <c r="AA97" i="67"/>
  <c r="W97" i="67"/>
  <c r="U97" i="67"/>
  <c r="S97" i="67"/>
  <c r="R97" i="67"/>
  <c r="Q97" i="67"/>
  <c r="P97" i="67"/>
  <c r="X97" i="67" s="1"/>
  <c r="O97" i="67"/>
  <c r="N97" i="67"/>
  <c r="M97" i="67"/>
  <c r="L97" i="67"/>
  <c r="AC96" i="67"/>
  <c r="AA96" i="67"/>
  <c r="W96" i="67"/>
  <c r="U96" i="67"/>
  <c r="S96" i="67"/>
  <c r="R96" i="67"/>
  <c r="Q96" i="67"/>
  <c r="P96" i="67"/>
  <c r="X96" i="67" s="1"/>
  <c r="O96" i="67"/>
  <c r="N96" i="67"/>
  <c r="M96" i="67"/>
  <c r="L96" i="67"/>
  <c r="AC95" i="67"/>
  <c r="AA95" i="67"/>
  <c r="W95" i="67"/>
  <c r="U95" i="67"/>
  <c r="S95" i="67"/>
  <c r="R95" i="67"/>
  <c r="Q95" i="67"/>
  <c r="P95" i="67"/>
  <c r="X95" i="67" s="1"/>
  <c r="O95" i="67"/>
  <c r="N95" i="67"/>
  <c r="M95" i="67"/>
  <c r="L95" i="67"/>
  <c r="AC94" i="67"/>
  <c r="AA94" i="67"/>
  <c r="W94" i="67"/>
  <c r="U94" i="67"/>
  <c r="S94" i="67"/>
  <c r="R94" i="67"/>
  <c r="Q94" i="67"/>
  <c r="P94" i="67"/>
  <c r="X94" i="67" s="1"/>
  <c r="O94" i="67"/>
  <c r="N94" i="67"/>
  <c r="M94" i="67"/>
  <c r="L94" i="67"/>
  <c r="AC93" i="67"/>
  <c r="AA93" i="67"/>
  <c r="W93" i="67"/>
  <c r="U93" i="67"/>
  <c r="S93" i="67"/>
  <c r="R93" i="67"/>
  <c r="Q93" i="67"/>
  <c r="P93" i="67"/>
  <c r="X93" i="67" s="1"/>
  <c r="O93" i="67"/>
  <c r="N93" i="67"/>
  <c r="M93" i="67"/>
  <c r="L93" i="67"/>
  <c r="AA92" i="67"/>
  <c r="X92" i="67"/>
  <c r="U92" i="67"/>
  <c r="S92" i="67"/>
  <c r="R92" i="67"/>
  <c r="Q92" i="67"/>
  <c r="P92" i="67"/>
  <c r="O92" i="67"/>
  <c r="N92" i="67"/>
  <c r="M92" i="67"/>
  <c r="L92" i="67"/>
  <c r="AC91" i="67"/>
  <c r="AA91" i="67"/>
  <c r="W91" i="67"/>
  <c r="U91" i="67"/>
  <c r="S91" i="67"/>
  <c r="R91" i="67"/>
  <c r="Q91" i="67"/>
  <c r="P91" i="67"/>
  <c r="X91" i="67" s="1"/>
  <c r="O91" i="67"/>
  <c r="N91" i="67"/>
  <c r="M91" i="67"/>
  <c r="L91" i="67"/>
  <c r="AC90" i="67"/>
  <c r="AA90" i="67"/>
  <c r="W90" i="67"/>
  <c r="U90" i="67"/>
  <c r="S90" i="67"/>
  <c r="R90" i="67"/>
  <c r="Q90" i="67"/>
  <c r="P90" i="67"/>
  <c r="X90" i="67" s="1"/>
  <c r="O90" i="67"/>
  <c r="N90" i="67"/>
  <c r="M90" i="67"/>
  <c r="L90" i="67"/>
  <c r="AC89" i="67"/>
  <c r="AA89" i="67"/>
  <c r="W89" i="67"/>
  <c r="U89" i="67"/>
  <c r="S89" i="67"/>
  <c r="R89" i="67"/>
  <c r="Q89" i="67"/>
  <c r="P89" i="67"/>
  <c r="X89" i="67" s="1"/>
  <c r="O89" i="67"/>
  <c r="N89" i="67"/>
  <c r="M89" i="67"/>
  <c r="L89" i="67"/>
  <c r="AC88" i="67"/>
  <c r="AA88" i="67"/>
  <c r="W88" i="67"/>
  <c r="U88" i="67"/>
  <c r="S88" i="67"/>
  <c r="R88" i="67"/>
  <c r="Q88" i="67"/>
  <c r="P88" i="67"/>
  <c r="X88" i="67" s="1"/>
  <c r="O88" i="67"/>
  <c r="N88" i="67"/>
  <c r="M88" i="67"/>
  <c r="L88" i="67"/>
  <c r="AC87" i="67"/>
  <c r="AA87" i="67"/>
  <c r="W87" i="67"/>
  <c r="U87" i="67"/>
  <c r="S87" i="67"/>
  <c r="R87" i="67"/>
  <c r="Q87" i="67"/>
  <c r="P87" i="67"/>
  <c r="X87" i="67" s="1"/>
  <c r="O87" i="67"/>
  <c r="N87" i="67"/>
  <c r="M87" i="67"/>
  <c r="L87" i="67"/>
  <c r="AA86" i="67"/>
  <c r="X86" i="67"/>
  <c r="U86" i="67"/>
  <c r="S86" i="67"/>
  <c r="R86" i="67"/>
  <c r="Q86" i="67"/>
  <c r="O86" i="67"/>
  <c r="N86" i="67"/>
  <c r="M86" i="67"/>
  <c r="AC85" i="67"/>
  <c r="AA85" i="67"/>
  <c r="W85" i="67"/>
  <c r="U85" i="67"/>
  <c r="S85" i="67"/>
  <c r="R85" i="67"/>
  <c r="Q85" i="67"/>
  <c r="P85" i="67"/>
  <c r="X85" i="67" s="1"/>
  <c r="O85" i="67"/>
  <c r="N85" i="67"/>
  <c r="M85" i="67"/>
  <c r="L85" i="67"/>
  <c r="AC84" i="67"/>
  <c r="AA84" i="67"/>
  <c r="W84" i="67"/>
  <c r="U84" i="67"/>
  <c r="S84" i="67"/>
  <c r="R84" i="67"/>
  <c r="Q84" i="67"/>
  <c r="P84" i="67"/>
  <c r="X84" i="67" s="1"/>
  <c r="O84" i="67"/>
  <c r="N84" i="67"/>
  <c r="M84" i="67"/>
  <c r="L84" i="67"/>
  <c r="AC83" i="67"/>
  <c r="AA83" i="67"/>
  <c r="W83" i="67"/>
  <c r="U83" i="67"/>
  <c r="S83" i="67"/>
  <c r="R83" i="67"/>
  <c r="Q83" i="67"/>
  <c r="P83" i="67"/>
  <c r="X83" i="67" s="1"/>
  <c r="O83" i="67"/>
  <c r="N83" i="67"/>
  <c r="M83" i="67"/>
  <c r="L83" i="67"/>
  <c r="AC82" i="67"/>
  <c r="AA82" i="67"/>
  <c r="W82" i="67"/>
  <c r="U82" i="67"/>
  <c r="S82" i="67"/>
  <c r="R82" i="67"/>
  <c r="Q82" i="67"/>
  <c r="P82" i="67"/>
  <c r="X82" i="67" s="1"/>
  <c r="O82" i="67"/>
  <c r="N82" i="67"/>
  <c r="M82" i="67"/>
  <c r="L82" i="67"/>
  <c r="AC81" i="67"/>
  <c r="AA81" i="67"/>
  <c r="W81" i="67"/>
  <c r="U81" i="67"/>
  <c r="S81" i="67"/>
  <c r="R81" i="67"/>
  <c r="Q81" i="67"/>
  <c r="P81" i="67"/>
  <c r="X81" i="67" s="1"/>
  <c r="O81" i="67"/>
  <c r="N81" i="67"/>
  <c r="M81" i="67"/>
  <c r="L81" i="67"/>
  <c r="AA80" i="67"/>
  <c r="X80" i="67"/>
  <c r="U80" i="67"/>
  <c r="S80" i="67"/>
  <c r="R80" i="67"/>
  <c r="Q80" i="67"/>
  <c r="O80" i="67"/>
  <c r="N80" i="67"/>
  <c r="M80" i="67"/>
  <c r="AC79" i="67"/>
  <c r="AA79" i="67"/>
  <c r="W79" i="67"/>
  <c r="U79" i="67"/>
  <c r="S79" i="67"/>
  <c r="R79" i="67"/>
  <c r="Q79" i="67"/>
  <c r="P79" i="67"/>
  <c r="X79" i="67" s="1"/>
  <c r="O79" i="67"/>
  <c r="N79" i="67"/>
  <c r="M79" i="67"/>
  <c r="L79" i="67"/>
  <c r="AC78" i="67"/>
  <c r="AA78" i="67"/>
  <c r="W78" i="67"/>
  <c r="U78" i="67"/>
  <c r="S78" i="67"/>
  <c r="R78" i="67"/>
  <c r="Q78" i="67"/>
  <c r="P78" i="67"/>
  <c r="X78" i="67" s="1"/>
  <c r="O78" i="67"/>
  <c r="N78" i="67"/>
  <c r="M78" i="67"/>
  <c r="L78" i="67"/>
  <c r="AC77" i="67"/>
  <c r="AA77" i="67"/>
  <c r="W77" i="67"/>
  <c r="U77" i="67"/>
  <c r="S77" i="67"/>
  <c r="R77" i="67"/>
  <c r="Q77" i="67"/>
  <c r="P77" i="67"/>
  <c r="X77" i="67" s="1"/>
  <c r="O77" i="67"/>
  <c r="N77" i="67"/>
  <c r="M77" i="67"/>
  <c r="L77" i="67"/>
  <c r="AA76" i="67"/>
  <c r="X76" i="67"/>
  <c r="U76" i="67"/>
  <c r="S76" i="67"/>
  <c r="R76" i="67"/>
  <c r="Q76" i="67"/>
  <c r="O76" i="67"/>
  <c r="N76" i="67"/>
  <c r="M76" i="67"/>
  <c r="AC75" i="67"/>
  <c r="AA75" i="67"/>
  <c r="W75" i="67"/>
  <c r="U75" i="67"/>
  <c r="S75" i="67"/>
  <c r="R75" i="67"/>
  <c r="Q75" i="67"/>
  <c r="P75" i="67"/>
  <c r="X75" i="67" s="1"/>
  <c r="O75" i="67"/>
  <c r="N75" i="67"/>
  <c r="M75" i="67"/>
  <c r="L75" i="67"/>
  <c r="AC74" i="67"/>
  <c r="AA74" i="67"/>
  <c r="W74" i="67"/>
  <c r="U74" i="67"/>
  <c r="S74" i="67"/>
  <c r="R74" i="67"/>
  <c r="Q74" i="67"/>
  <c r="P74" i="67"/>
  <c r="O74" i="67"/>
  <c r="N74" i="67"/>
  <c r="M74" i="67"/>
  <c r="L74" i="67"/>
  <c r="AA73" i="67"/>
  <c r="X73" i="67"/>
  <c r="U73" i="67"/>
  <c r="S73" i="67"/>
  <c r="R73" i="67"/>
  <c r="Q73" i="67"/>
  <c r="O73" i="67"/>
  <c r="N73" i="67"/>
  <c r="M73" i="67"/>
  <c r="AC72" i="67"/>
  <c r="AA72" i="67"/>
  <c r="W72" i="67"/>
  <c r="U72" i="67"/>
  <c r="S72" i="67"/>
  <c r="R72" i="67"/>
  <c r="Q72" i="67"/>
  <c r="P72" i="67"/>
  <c r="X72" i="67" s="1"/>
  <c r="O72" i="67"/>
  <c r="N72" i="67"/>
  <c r="M72" i="67"/>
  <c r="L72" i="67"/>
  <c r="AC71" i="67"/>
  <c r="AA71" i="67"/>
  <c r="W71" i="67"/>
  <c r="U71" i="67"/>
  <c r="S71" i="67"/>
  <c r="R71" i="67"/>
  <c r="Q71" i="67"/>
  <c r="P71" i="67"/>
  <c r="W70" i="67" s="1"/>
  <c r="O71" i="67"/>
  <c r="N71" i="67"/>
  <c r="M71" i="67"/>
  <c r="L71" i="67"/>
  <c r="AA70" i="67"/>
  <c r="X70" i="67"/>
  <c r="U70" i="67"/>
  <c r="S70" i="67"/>
  <c r="R70" i="67"/>
  <c r="Q70" i="67"/>
  <c r="O70" i="67"/>
  <c r="N70" i="67"/>
  <c r="M70" i="67"/>
  <c r="AC69" i="67"/>
  <c r="AA69" i="67"/>
  <c r="W69" i="67"/>
  <c r="U69" i="67"/>
  <c r="S69" i="67"/>
  <c r="R69" i="67"/>
  <c r="Q69" i="67"/>
  <c r="P69" i="67"/>
  <c r="X69" i="67" s="1"/>
  <c r="O69" i="67"/>
  <c r="N69" i="67"/>
  <c r="M69" i="67"/>
  <c r="L69" i="67"/>
  <c r="AC68" i="67"/>
  <c r="AA68" i="67"/>
  <c r="W68" i="67"/>
  <c r="U68" i="67"/>
  <c r="S68" i="67"/>
  <c r="R68" i="67"/>
  <c r="Q68" i="67"/>
  <c r="P68" i="67"/>
  <c r="X68" i="67" s="1"/>
  <c r="O68" i="67"/>
  <c r="N68" i="67"/>
  <c r="M68" i="67"/>
  <c r="L68" i="67"/>
  <c r="AC67" i="67"/>
  <c r="AA67" i="67"/>
  <c r="W67" i="67"/>
  <c r="U67" i="67"/>
  <c r="S67" i="67"/>
  <c r="R67" i="67"/>
  <c r="Q67" i="67"/>
  <c r="P67" i="67"/>
  <c r="X67" i="67" s="1"/>
  <c r="O67" i="67"/>
  <c r="N67" i="67"/>
  <c r="M67" i="67"/>
  <c r="L67" i="67"/>
  <c r="AA66" i="67"/>
  <c r="X66" i="67"/>
  <c r="U66" i="67"/>
  <c r="S66" i="67"/>
  <c r="R66" i="67"/>
  <c r="Q66" i="67"/>
  <c r="O66" i="67"/>
  <c r="N66" i="67"/>
  <c r="M66" i="67"/>
  <c r="AC65" i="67"/>
  <c r="AA65" i="67"/>
  <c r="W65" i="67"/>
  <c r="U65" i="67"/>
  <c r="S65" i="67"/>
  <c r="R65" i="67"/>
  <c r="Q65" i="67"/>
  <c r="P65" i="67"/>
  <c r="X65" i="67" s="1"/>
  <c r="O65" i="67"/>
  <c r="N65" i="67"/>
  <c r="M65" i="67"/>
  <c r="L65" i="67"/>
  <c r="AC64" i="67"/>
  <c r="AA64" i="67"/>
  <c r="W64" i="67"/>
  <c r="U64" i="67"/>
  <c r="S64" i="67"/>
  <c r="R64" i="67"/>
  <c r="Q64" i="67"/>
  <c r="P64" i="67"/>
  <c r="X64" i="67" s="1"/>
  <c r="O64" i="67"/>
  <c r="N64" i="67"/>
  <c r="M64" i="67"/>
  <c r="L64" i="67"/>
  <c r="AC63" i="67"/>
  <c r="AA63" i="67"/>
  <c r="W63" i="67"/>
  <c r="U63" i="67"/>
  <c r="S63" i="67"/>
  <c r="R63" i="67"/>
  <c r="Q63" i="67"/>
  <c r="P63" i="67"/>
  <c r="X63" i="67" s="1"/>
  <c r="O63" i="67"/>
  <c r="N63" i="67"/>
  <c r="M63" i="67"/>
  <c r="L63" i="67"/>
  <c r="AC62" i="67"/>
  <c r="AA62" i="67"/>
  <c r="W62" i="67"/>
  <c r="U62" i="67"/>
  <c r="S62" i="67"/>
  <c r="R62" i="67"/>
  <c r="Q62" i="67"/>
  <c r="P62" i="67"/>
  <c r="X62" i="67" s="1"/>
  <c r="O62" i="67"/>
  <c r="N62" i="67"/>
  <c r="M62" i="67"/>
  <c r="L62" i="67"/>
  <c r="AC61" i="67"/>
  <c r="AA61" i="67"/>
  <c r="W61" i="67"/>
  <c r="U61" i="67"/>
  <c r="S61" i="67"/>
  <c r="R61" i="67"/>
  <c r="Q61" i="67"/>
  <c r="P61" i="67"/>
  <c r="X61" i="67" s="1"/>
  <c r="O61" i="67"/>
  <c r="N61" i="67"/>
  <c r="M61" i="67"/>
  <c r="L61" i="67"/>
  <c r="AA60" i="67"/>
  <c r="X60" i="67"/>
  <c r="U60" i="67"/>
  <c r="S60" i="67"/>
  <c r="R60" i="67"/>
  <c r="Q60" i="67"/>
  <c r="O60" i="67"/>
  <c r="N60" i="67"/>
  <c r="M60" i="67"/>
  <c r="AC59" i="67"/>
  <c r="AA59" i="67"/>
  <c r="W59" i="67"/>
  <c r="U59" i="67"/>
  <c r="S59" i="67"/>
  <c r="R59" i="67"/>
  <c r="Q59" i="67"/>
  <c r="P59" i="67"/>
  <c r="X59" i="67" s="1"/>
  <c r="O59" i="67"/>
  <c r="N59" i="67"/>
  <c r="M59" i="67"/>
  <c r="L59" i="67"/>
  <c r="AC58" i="67"/>
  <c r="AA58" i="67"/>
  <c r="W58" i="67"/>
  <c r="U58" i="67"/>
  <c r="S58" i="67"/>
  <c r="R58" i="67"/>
  <c r="Q58" i="67"/>
  <c r="P58" i="67"/>
  <c r="X58" i="67" s="1"/>
  <c r="O58" i="67"/>
  <c r="N58" i="67"/>
  <c r="M58" i="67"/>
  <c r="L58" i="67"/>
  <c r="AC57" i="67"/>
  <c r="AA57" i="67"/>
  <c r="W57" i="67"/>
  <c r="U57" i="67"/>
  <c r="S57" i="67"/>
  <c r="R57" i="67"/>
  <c r="Q57" i="67"/>
  <c r="P57" i="67"/>
  <c r="X57" i="67" s="1"/>
  <c r="O57" i="67"/>
  <c r="N57" i="67"/>
  <c r="M57" i="67"/>
  <c r="L57" i="67"/>
  <c r="AC56" i="67"/>
  <c r="AA56" i="67"/>
  <c r="W56" i="67"/>
  <c r="U56" i="67"/>
  <c r="S56" i="67"/>
  <c r="R56" i="67"/>
  <c r="Q56" i="67"/>
  <c r="P56" i="67"/>
  <c r="X56" i="67" s="1"/>
  <c r="O56" i="67"/>
  <c r="N56" i="67"/>
  <c r="M56" i="67"/>
  <c r="L56" i="67"/>
  <c r="AC55" i="67"/>
  <c r="AA55" i="67"/>
  <c r="W55" i="67"/>
  <c r="U55" i="67"/>
  <c r="S55" i="67"/>
  <c r="R55" i="67"/>
  <c r="Q55" i="67"/>
  <c r="P55" i="67"/>
  <c r="X55" i="67" s="1"/>
  <c r="O55" i="67"/>
  <c r="N55" i="67"/>
  <c r="M55" i="67"/>
  <c r="L55" i="67"/>
  <c r="AA54" i="67"/>
  <c r="X54" i="67"/>
  <c r="U54" i="67"/>
  <c r="S54" i="67"/>
  <c r="R54" i="67"/>
  <c r="Q54" i="67"/>
  <c r="O54" i="67"/>
  <c r="N54" i="67"/>
  <c r="M54" i="67"/>
  <c r="AC53" i="67"/>
  <c r="AA53" i="67"/>
  <c r="W53" i="67"/>
  <c r="U53" i="67"/>
  <c r="S53" i="67"/>
  <c r="R53" i="67"/>
  <c r="Q53" i="67"/>
  <c r="P53" i="67"/>
  <c r="X53" i="67" s="1"/>
  <c r="O53" i="67"/>
  <c r="N53" i="67"/>
  <c r="M53" i="67"/>
  <c r="L53" i="67"/>
  <c r="AC52" i="67"/>
  <c r="AA52" i="67"/>
  <c r="W52" i="67"/>
  <c r="U52" i="67"/>
  <c r="S52" i="67"/>
  <c r="R52" i="67"/>
  <c r="Q52" i="67"/>
  <c r="P52" i="67"/>
  <c r="X52" i="67" s="1"/>
  <c r="O52" i="67"/>
  <c r="N52" i="67"/>
  <c r="M52" i="67"/>
  <c r="L52" i="67"/>
  <c r="AC51" i="67"/>
  <c r="AA51" i="67"/>
  <c r="W51" i="67"/>
  <c r="U51" i="67"/>
  <c r="S51" i="67"/>
  <c r="R51" i="67"/>
  <c r="Q51" i="67"/>
  <c r="P51" i="67"/>
  <c r="X51" i="67" s="1"/>
  <c r="O51" i="67"/>
  <c r="N51" i="67"/>
  <c r="M51" i="67"/>
  <c r="L51" i="67"/>
  <c r="AC50" i="67"/>
  <c r="AA50" i="67"/>
  <c r="W50" i="67"/>
  <c r="U50" i="67"/>
  <c r="S50" i="67"/>
  <c r="R50" i="67"/>
  <c r="Q50" i="67"/>
  <c r="P50" i="67"/>
  <c r="X50" i="67" s="1"/>
  <c r="O50" i="67"/>
  <c r="N50" i="67"/>
  <c r="M50" i="67"/>
  <c r="L50" i="67"/>
  <c r="AA49" i="67"/>
  <c r="X49" i="67"/>
  <c r="U49" i="67"/>
  <c r="S49" i="67"/>
  <c r="R49" i="67"/>
  <c r="Q49" i="67"/>
  <c r="O49" i="67"/>
  <c r="N49" i="67"/>
  <c r="M49" i="67"/>
  <c r="AA48" i="67"/>
  <c r="W48" i="67"/>
  <c r="U48" i="67"/>
  <c r="S48" i="67"/>
  <c r="R48" i="67"/>
  <c r="Q48" i="67"/>
  <c r="P48" i="67"/>
  <c r="X48" i="67" s="1"/>
  <c r="O48" i="67"/>
  <c r="N48" i="67"/>
  <c r="M48" i="67"/>
  <c r="L48" i="67"/>
  <c r="AC47" i="67"/>
  <c r="AA47" i="67"/>
  <c r="W47" i="67"/>
  <c r="U47" i="67"/>
  <c r="S47" i="67"/>
  <c r="R47" i="67"/>
  <c r="Q47" i="67"/>
  <c r="P47" i="67"/>
  <c r="X47" i="67" s="1"/>
  <c r="O47" i="67"/>
  <c r="N47" i="67"/>
  <c r="M47" i="67"/>
  <c r="L47" i="67"/>
  <c r="AC46" i="67"/>
  <c r="AA46" i="67"/>
  <c r="W46" i="67"/>
  <c r="U46" i="67"/>
  <c r="S46" i="67"/>
  <c r="R46" i="67"/>
  <c r="Q46" i="67"/>
  <c r="P46" i="67"/>
  <c r="X46" i="67" s="1"/>
  <c r="O46" i="67"/>
  <c r="N46" i="67"/>
  <c r="M46" i="67"/>
  <c r="L46" i="67"/>
  <c r="AC45" i="67"/>
  <c r="AA45" i="67"/>
  <c r="W45" i="67"/>
  <c r="U45" i="67"/>
  <c r="S45" i="67"/>
  <c r="R45" i="67"/>
  <c r="Q45" i="67"/>
  <c r="P45" i="67"/>
  <c r="X45" i="67" s="1"/>
  <c r="O45" i="67"/>
  <c r="N45" i="67"/>
  <c r="M45" i="67"/>
  <c r="L45" i="67"/>
  <c r="AC44" i="67"/>
  <c r="AA44" i="67"/>
  <c r="W44" i="67"/>
  <c r="U44" i="67"/>
  <c r="S44" i="67"/>
  <c r="R44" i="67"/>
  <c r="Q44" i="67"/>
  <c r="P44" i="67"/>
  <c r="X44" i="67" s="1"/>
  <c r="O44" i="67"/>
  <c r="N44" i="67"/>
  <c r="M44" i="67"/>
  <c r="L44" i="67"/>
  <c r="AA43" i="67"/>
  <c r="X43" i="67"/>
  <c r="U43" i="67"/>
  <c r="S43" i="67"/>
  <c r="R43" i="67"/>
  <c r="Q43" i="67"/>
  <c r="O43" i="67"/>
  <c r="N43" i="67"/>
  <c r="M43" i="67"/>
  <c r="AC42" i="67"/>
  <c r="AA42" i="67"/>
  <c r="W42" i="67"/>
  <c r="U42" i="67"/>
  <c r="S42" i="67"/>
  <c r="R42" i="67"/>
  <c r="Q42" i="67"/>
  <c r="P42" i="67"/>
  <c r="X42" i="67" s="1"/>
  <c r="O42" i="67"/>
  <c r="N42" i="67"/>
  <c r="M42" i="67"/>
  <c r="L42" i="67"/>
  <c r="AO41" i="67"/>
  <c r="AN41" i="67"/>
  <c r="AM41" i="67"/>
  <c r="AC41" i="67"/>
  <c r="AA41" i="67"/>
  <c r="W41" i="67"/>
  <c r="U41" i="67"/>
  <c r="S41" i="67"/>
  <c r="R41" i="67"/>
  <c r="Q41" i="67"/>
  <c r="P41" i="67"/>
  <c r="X41" i="67" s="1"/>
  <c r="O41" i="67"/>
  <c r="N41" i="67"/>
  <c r="M41" i="67"/>
  <c r="L41" i="67"/>
  <c r="AO40" i="67"/>
  <c r="AN40" i="67"/>
  <c r="AM40" i="67"/>
  <c r="AC40" i="67"/>
  <c r="AA40" i="67"/>
  <c r="W40" i="67"/>
  <c r="U40" i="67"/>
  <c r="S40" i="67"/>
  <c r="R40" i="67"/>
  <c r="Q40" i="67"/>
  <c r="P40" i="67"/>
  <c r="X40" i="67" s="1"/>
  <c r="O40" i="67"/>
  <c r="N40" i="67"/>
  <c r="M40" i="67"/>
  <c r="L40" i="67"/>
  <c r="AO39" i="67"/>
  <c r="AN39" i="67"/>
  <c r="AM39" i="67"/>
  <c r="AC39" i="67"/>
  <c r="AA39" i="67"/>
  <c r="W39" i="67"/>
  <c r="U39" i="67"/>
  <c r="S39" i="67"/>
  <c r="R39" i="67"/>
  <c r="Q39" i="67"/>
  <c r="P39" i="67"/>
  <c r="X39" i="67" s="1"/>
  <c r="O39" i="67"/>
  <c r="N39" i="67"/>
  <c r="M39" i="67"/>
  <c r="L39" i="67"/>
  <c r="AO38" i="67"/>
  <c r="AN38" i="67"/>
  <c r="AM38" i="67"/>
  <c r="AC38" i="67"/>
  <c r="AA38" i="67"/>
  <c r="W38" i="67"/>
  <c r="U38" i="67"/>
  <c r="S38" i="67"/>
  <c r="R38" i="67"/>
  <c r="Q38" i="67"/>
  <c r="P38" i="67"/>
  <c r="X38" i="67" s="1"/>
  <c r="O38" i="67"/>
  <c r="N38" i="67"/>
  <c r="M38" i="67"/>
  <c r="L38" i="67"/>
  <c r="AO37" i="67"/>
  <c r="AN37" i="67"/>
  <c r="AM37" i="67"/>
  <c r="AC37" i="67"/>
  <c r="AA37" i="67"/>
  <c r="W37" i="67"/>
  <c r="U37" i="67"/>
  <c r="S37" i="67"/>
  <c r="R37" i="67"/>
  <c r="Q37" i="67"/>
  <c r="P37" i="67"/>
  <c r="X37" i="67" s="1"/>
  <c r="O37" i="67"/>
  <c r="N37" i="67"/>
  <c r="M37" i="67"/>
  <c r="L37" i="67"/>
  <c r="AO36" i="67"/>
  <c r="AN36" i="67"/>
  <c r="AM36" i="67"/>
  <c r="AC36" i="67"/>
  <c r="AA36" i="67"/>
  <c r="W36" i="67"/>
  <c r="U36" i="67"/>
  <c r="S36" i="67"/>
  <c r="R36" i="67"/>
  <c r="Q36" i="67"/>
  <c r="P36" i="67"/>
  <c r="X36" i="67" s="1"/>
  <c r="O36" i="67"/>
  <c r="N36" i="67"/>
  <c r="M36" i="67"/>
  <c r="L36" i="67"/>
  <c r="AO35" i="67"/>
  <c r="AN35" i="67"/>
  <c r="AM35" i="67"/>
  <c r="AC35" i="67"/>
  <c r="AA35" i="67"/>
  <c r="W35" i="67"/>
  <c r="U35" i="67"/>
  <c r="S35" i="67"/>
  <c r="R35" i="67"/>
  <c r="Q35" i="67"/>
  <c r="P35" i="67"/>
  <c r="X35" i="67" s="1"/>
  <c r="O35" i="67"/>
  <c r="N35" i="67"/>
  <c r="M35" i="67"/>
  <c r="L35" i="67"/>
  <c r="AO34" i="67"/>
  <c r="AN34" i="67"/>
  <c r="AM34" i="67"/>
  <c r="AA34" i="67"/>
  <c r="X34" i="67"/>
  <c r="U34" i="67"/>
  <c r="S34" i="67"/>
  <c r="R34" i="67"/>
  <c r="Q34" i="67"/>
  <c r="P34" i="67"/>
  <c r="O34" i="67"/>
  <c r="N34" i="67"/>
  <c r="M34" i="67"/>
  <c r="L34" i="67"/>
  <c r="AO33" i="67"/>
  <c r="AN33" i="67"/>
  <c r="AM33" i="67"/>
  <c r="AC33" i="67"/>
  <c r="AA33" i="67"/>
  <c r="W33" i="67"/>
  <c r="U33" i="67"/>
  <c r="S33" i="67"/>
  <c r="R33" i="67"/>
  <c r="Q33" i="67"/>
  <c r="P33" i="67"/>
  <c r="X33" i="67" s="1"/>
  <c r="O33" i="67"/>
  <c r="N33" i="67"/>
  <c r="M33" i="67"/>
  <c r="L33" i="67"/>
  <c r="AO32" i="67"/>
  <c r="AN32" i="67"/>
  <c r="AM32" i="67"/>
  <c r="AC32" i="67"/>
  <c r="AA32" i="67"/>
  <c r="W32" i="67"/>
  <c r="U32" i="67"/>
  <c r="S32" i="67"/>
  <c r="R32" i="67"/>
  <c r="Q32" i="67"/>
  <c r="P32" i="67"/>
  <c r="X32" i="67" s="1"/>
  <c r="O32" i="67"/>
  <c r="N32" i="67"/>
  <c r="M32" i="67"/>
  <c r="L32" i="67"/>
  <c r="AO31" i="67"/>
  <c r="AN31" i="67"/>
  <c r="AM31" i="67"/>
  <c r="AC31" i="67"/>
  <c r="AA31" i="67"/>
  <c r="W31" i="67"/>
  <c r="U31" i="67"/>
  <c r="S31" i="67"/>
  <c r="R31" i="67"/>
  <c r="Q31" i="67"/>
  <c r="P31" i="67"/>
  <c r="X31" i="67" s="1"/>
  <c r="O31" i="67"/>
  <c r="N31" i="67"/>
  <c r="M31" i="67"/>
  <c r="L31" i="67"/>
  <c r="AO30" i="67"/>
  <c r="AN30" i="67"/>
  <c r="AM30" i="67"/>
  <c r="AC30" i="67"/>
  <c r="AA30" i="67"/>
  <c r="W30" i="67"/>
  <c r="U30" i="67"/>
  <c r="S30" i="67"/>
  <c r="R30" i="67"/>
  <c r="Q30" i="67"/>
  <c r="P30" i="67"/>
  <c r="X30" i="67" s="1"/>
  <c r="O30" i="67"/>
  <c r="N30" i="67"/>
  <c r="M30" i="67"/>
  <c r="L30" i="67"/>
  <c r="AO29" i="67"/>
  <c r="AN29" i="67"/>
  <c r="AM29" i="67"/>
  <c r="AC29" i="67"/>
  <c r="AA29" i="67"/>
  <c r="W29" i="67"/>
  <c r="U29" i="67"/>
  <c r="S29" i="67"/>
  <c r="R29" i="67"/>
  <c r="Q29" i="67"/>
  <c r="P29" i="67"/>
  <c r="X29" i="67" s="1"/>
  <c r="O29" i="67"/>
  <c r="N29" i="67"/>
  <c r="M29" i="67"/>
  <c r="L29" i="67"/>
  <c r="AO28" i="67"/>
  <c r="AN28" i="67"/>
  <c r="AM28" i="67"/>
  <c r="AC28" i="67"/>
  <c r="AA28" i="67"/>
  <c r="W28" i="67"/>
  <c r="U28" i="67"/>
  <c r="S28" i="67"/>
  <c r="R28" i="67"/>
  <c r="Q28" i="67"/>
  <c r="P28" i="67"/>
  <c r="X28" i="67" s="1"/>
  <c r="O28" i="67"/>
  <c r="N28" i="67"/>
  <c r="M28" i="67"/>
  <c r="L28" i="67"/>
  <c r="AO27" i="67"/>
  <c r="AN27" i="67"/>
  <c r="AM27" i="67"/>
  <c r="AA27" i="67"/>
  <c r="X27" i="67"/>
  <c r="U27" i="67"/>
  <c r="S27" i="67"/>
  <c r="R27" i="67"/>
  <c r="Q27" i="67"/>
  <c r="O27" i="67"/>
  <c r="N27" i="67"/>
  <c r="M27" i="67"/>
  <c r="AO26" i="67"/>
  <c r="AN26" i="67"/>
  <c r="AM26" i="67"/>
  <c r="AC26" i="67"/>
  <c r="AA26" i="67"/>
  <c r="W26" i="67"/>
  <c r="U26" i="67"/>
  <c r="S26" i="67"/>
  <c r="R26" i="67"/>
  <c r="Q26" i="67"/>
  <c r="P26" i="67"/>
  <c r="X26" i="67" s="1"/>
  <c r="O26" i="67"/>
  <c r="N26" i="67"/>
  <c r="M26" i="67"/>
  <c r="L26" i="67"/>
  <c r="AO25" i="67"/>
  <c r="AN25" i="67"/>
  <c r="AM25" i="67"/>
  <c r="AC25" i="67"/>
  <c r="AA25" i="67"/>
  <c r="W25" i="67"/>
  <c r="U25" i="67"/>
  <c r="S25" i="67"/>
  <c r="R25" i="67"/>
  <c r="Q25" i="67"/>
  <c r="P25" i="67"/>
  <c r="X25" i="67" s="1"/>
  <c r="O25" i="67"/>
  <c r="N25" i="67"/>
  <c r="M25" i="67"/>
  <c r="L25" i="67"/>
  <c r="AO24" i="67"/>
  <c r="AN24" i="67"/>
  <c r="AM24" i="67"/>
  <c r="AC24" i="67"/>
  <c r="AA24" i="67"/>
  <c r="W24" i="67"/>
  <c r="U24" i="67"/>
  <c r="S24" i="67"/>
  <c r="R24" i="67"/>
  <c r="Q24" i="67"/>
  <c r="P24" i="67"/>
  <c r="X24" i="67" s="1"/>
  <c r="O24" i="67"/>
  <c r="N24" i="67"/>
  <c r="M24" i="67"/>
  <c r="L24" i="67"/>
  <c r="AO23" i="67"/>
  <c r="AN23" i="67"/>
  <c r="AM23" i="67"/>
  <c r="AC23" i="67"/>
  <c r="AA23" i="67"/>
  <c r="W23" i="67"/>
  <c r="U23" i="67"/>
  <c r="S23" i="67"/>
  <c r="R23" i="67"/>
  <c r="Q23" i="67"/>
  <c r="P23" i="67"/>
  <c r="X23" i="67" s="1"/>
  <c r="O23" i="67"/>
  <c r="N23" i="67"/>
  <c r="M23" i="67"/>
  <c r="L23" i="67"/>
  <c r="AO22" i="67"/>
  <c r="AN22" i="67"/>
  <c r="AM22" i="67"/>
  <c r="AC22" i="67"/>
  <c r="AA22" i="67"/>
  <c r="W22" i="67"/>
  <c r="U22" i="67"/>
  <c r="S22" i="67"/>
  <c r="R22" i="67"/>
  <c r="Q22" i="67"/>
  <c r="P22" i="67"/>
  <c r="X22" i="67" s="1"/>
  <c r="O22" i="67"/>
  <c r="N22" i="67"/>
  <c r="M22" i="67"/>
  <c r="L22" i="67"/>
  <c r="AO21" i="67"/>
  <c r="AN21" i="67"/>
  <c r="AM21" i="67"/>
  <c r="AC21" i="67"/>
  <c r="AA21" i="67"/>
  <c r="W21" i="67"/>
  <c r="U21" i="67"/>
  <c r="S21" i="67"/>
  <c r="R21" i="67"/>
  <c r="Q21" i="67"/>
  <c r="P21" i="67"/>
  <c r="X21" i="67" s="1"/>
  <c r="O21" i="67"/>
  <c r="N21" i="67"/>
  <c r="M21" i="67"/>
  <c r="L21" i="67"/>
  <c r="AO20" i="67"/>
  <c r="AN20" i="67"/>
  <c r="AM20" i="67"/>
  <c r="AA20" i="67"/>
  <c r="X20" i="67"/>
  <c r="U20" i="67"/>
  <c r="S20" i="67"/>
  <c r="R20" i="67"/>
  <c r="Q20" i="67"/>
  <c r="O20" i="67"/>
  <c r="N20" i="67"/>
  <c r="M20" i="67"/>
  <c r="AO19" i="67"/>
  <c r="AN19" i="67"/>
  <c r="AM19" i="67"/>
  <c r="AC19" i="67"/>
  <c r="AA19" i="67"/>
  <c r="W19" i="67"/>
  <c r="U19" i="67"/>
  <c r="S19" i="67"/>
  <c r="R19" i="67"/>
  <c r="Q19" i="67"/>
  <c r="P19" i="67"/>
  <c r="X19" i="67" s="1"/>
  <c r="O19" i="67"/>
  <c r="N19" i="67"/>
  <c r="M19" i="67"/>
  <c r="L19" i="67"/>
  <c r="AO18" i="67"/>
  <c r="AN18" i="67"/>
  <c r="AM18" i="67"/>
  <c r="AA18" i="67"/>
  <c r="W18" i="67"/>
  <c r="U18" i="67"/>
  <c r="S18" i="67"/>
  <c r="R18" i="67"/>
  <c r="Q18" i="67"/>
  <c r="P18" i="67"/>
  <c r="X18" i="67" s="1"/>
  <c r="O18" i="67"/>
  <c r="N18" i="67"/>
  <c r="M18" i="67"/>
  <c r="L18" i="67"/>
  <c r="AO17" i="67"/>
  <c r="AN17" i="67"/>
  <c r="AM17" i="67"/>
  <c r="AC17" i="67"/>
  <c r="AA17" i="67"/>
  <c r="W17" i="67"/>
  <c r="U17" i="67"/>
  <c r="S17" i="67"/>
  <c r="R17" i="67"/>
  <c r="Q17" i="67"/>
  <c r="P17" i="67"/>
  <c r="X17" i="67" s="1"/>
  <c r="O17" i="67"/>
  <c r="N17" i="67"/>
  <c r="M17" i="67"/>
  <c r="L17" i="67"/>
  <c r="AO16" i="67"/>
  <c r="AN16" i="67"/>
  <c r="AM16" i="67"/>
  <c r="AC16" i="67"/>
  <c r="AA16" i="67"/>
  <c r="W16" i="67"/>
  <c r="U16" i="67"/>
  <c r="S16" i="67"/>
  <c r="R16" i="67"/>
  <c r="Q16" i="67"/>
  <c r="P16" i="67"/>
  <c r="X16" i="67" s="1"/>
  <c r="O16" i="67"/>
  <c r="N16" i="67"/>
  <c r="M16" i="67"/>
  <c r="L16" i="67"/>
  <c r="AO15" i="67"/>
  <c r="AN15" i="67"/>
  <c r="AM15" i="67"/>
  <c r="AC15" i="67"/>
  <c r="AA15" i="67"/>
  <c r="W15" i="67"/>
  <c r="U15" i="67"/>
  <c r="S15" i="67"/>
  <c r="R15" i="67"/>
  <c r="Q15" i="67"/>
  <c r="P15" i="67"/>
  <c r="X15" i="67" s="1"/>
  <c r="O15" i="67"/>
  <c r="N15" i="67"/>
  <c r="M15" i="67"/>
  <c r="L15" i="67"/>
  <c r="AO14" i="67"/>
  <c r="AN14" i="67"/>
  <c r="AM14" i="67"/>
  <c r="AC14" i="67"/>
  <c r="AA14" i="67"/>
  <c r="W14" i="67"/>
  <c r="U14" i="67"/>
  <c r="S14" i="67"/>
  <c r="R14" i="67"/>
  <c r="Q14" i="67"/>
  <c r="P14" i="67"/>
  <c r="X14" i="67" s="1"/>
  <c r="O14" i="67"/>
  <c r="N14" i="67"/>
  <c r="M14" i="67"/>
  <c r="L14" i="67"/>
  <c r="AO13" i="67"/>
  <c r="AN13" i="67"/>
  <c r="AM13" i="67"/>
  <c r="AC13" i="67"/>
  <c r="AA13" i="67"/>
  <c r="W13" i="67"/>
  <c r="U13" i="67"/>
  <c r="S13" i="67"/>
  <c r="R13" i="67"/>
  <c r="Q13" i="67"/>
  <c r="P13" i="67"/>
  <c r="X13" i="67" s="1"/>
  <c r="O13" i="67"/>
  <c r="N13" i="67"/>
  <c r="M13" i="67"/>
  <c r="L13" i="67"/>
  <c r="AO12" i="67"/>
  <c r="AN12" i="67"/>
  <c r="AM12" i="67"/>
  <c r="AA12" i="67"/>
  <c r="X12" i="67"/>
  <c r="U12" i="67"/>
  <c r="S12" i="67"/>
  <c r="R12" i="67"/>
  <c r="Q12" i="67"/>
  <c r="P12" i="67"/>
  <c r="O12" i="67"/>
  <c r="N12" i="67"/>
  <c r="M12" i="67"/>
  <c r="L12" i="67"/>
  <c r="AO11" i="67"/>
  <c r="AN11" i="67"/>
  <c r="AM11" i="67"/>
  <c r="AC11" i="67"/>
  <c r="AA11" i="67"/>
  <c r="W11" i="67"/>
  <c r="U11" i="67"/>
  <c r="S11" i="67"/>
  <c r="R11" i="67"/>
  <c r="Q11" i="67"/>
  <c r="P11" i="67"/>
  <c r="X11" i="67" s="1"/>
  <c r="O11" i="67"/>
  <c r="N11" i="67"/>
  <c r="M11" i="67"/>
  <c r="L11" i="67"/>
  <c r="AO10" i="67"/>
  <c r="AN10" i="67"/>
  <c r="AM10" i="67"/>
  <c r="AC10" i="67"/>
  <c r="AA10" i="67"/>
  <c r="W10" i="67"/>
  <c r="U10" i="67"/>
  <c r="S10" i="67"/>
  <c r="R10" i="67"/>
  <c r="Q10" i="67"/>
  <c r="P10" i="67"/>
  <c r="X10" i="67" s="1"/>
  <c r="O10" i="67"/>
  <c r="N10" i="67"/>
  <c r="M10" i="67"/>
  <c r="L10" i="67"/>
  <c r="AO9" i="67"/>
  <c r="AN9" i="67"/>
  <c r="AM9" i="67"/>
  <c r="AC9" i="67"/>
  <c r="AA9" i="67"/>
  <c r="W9" i="67"/>
  <c r="U9" i="67"/>
  <c r="S9" i="67"/>
  <c r="R9" i="67"/>
  <c r="Q9" i="67"/>
  <c r="P9" i="67"/>
  <c r="X9" i="67" s="1"/>
  <c r="O9" i="67"/>
  <c r="N9" i="67"/>
  <c r="M9" i="67"/>
  <c r="L9" i="67"/>
  <c r="AO8" i="67"/>
  <c r="AN8" i="67"/>
  <c r="AM8" i="67"/>
  <c r="AC8" i="67"/>
  <c r="AA8" i="67"/>
  <c r="W8" i="67"/>
  <c r="U8" i="67"/>
  <c r="S8" i="67"/>
  <c r="R8" i="67"/>
  <c r="Q8" i="67"/>
  <c r="P8" i="67"/>
  <c r="X8" i="67" s="1"/>
  <c r="O8" i="67"/>
  <c r="N8" i="67"/>
  <c r="M8" i="67"/>
  <c r="L8" i="67"/>
  <c r="AO7" i="67"/>
  <c r="AN7" i="67"/>
  <c r="AM7" i="67"/>
  <c r="AC7" i="67"/>
  <c r="AA7" i="67"/>
  <c r="W7" i="67"/>
  <c r="U7" i="67"/>
  <c r="S7" i="67"/>
  <c r="R7" i="67"/>
  <c r="Q7" i="67"/>
  <c r="P7" i="67"/>
  <c r="X7" i="67" s="1"/>
  <c r="O7" i="67"/>
  <c r="N7" i="67"/>
  <c r="M7" i="67"/>
  <c r="L7" i="67"/>
  <c r="AO6" i="67"/>
  <c r="AN6" i="67"/>
  <c r="AM6" i="67"/>
  <c r="AC6" i="67"/>
  <c r="AA6" i="67"/>
  <c r="W6" i="67"/>
  <c r="U6" i="67"/>
  <c r="S6" i="67"/>
  <c r="R6" i="67"/>
  <c r="Q6" i="67"/>
  <c r="P6" i="67"/>
  <c r="X6" i="67" s="1"/>
  <c r="O6" i="67"/>
  <c r="N6" i="67"/>
  <c r="M6" i="67"/>
  <c r="L6" i="67"/>
  <c r="AO5" i="67"/>
  <c r="AN5" i="67"/>
  <c r="AM5" i="67"/>
  <c r="AC5" i="67"/>
  <c r="AA5" i="67"/>
  <c r="W5" i="67"/>
  <c r="U5" i="67"/>
  <c r="S5" i="67"/>
  <c r="R5" i="67"/>
  <c r="Q5" i="67"/>
  <c r="P5" i="67"/>
  <c r="X5" i="67" s="1"/>
  <c r="O5" i="67"/>
  <c r="N5" i="67"/>
  <c r="M5" i="67"/>
  <c r="L5" i="67"/>
  <c r="AO4" i="67"/>
  <c r="AN4" i="67"/>
  <c r="AM4" i="67"/>
  <c r="AC4" i="67"/>
  <c r="AA4" i="67"/>
  <c r="W4" i="67"/>
  <c r="U4" i="67"/>
  <c r="S4" i="67"/>
  <c r="R4" i="67"/>
  <c r="Q4" i="67"/>
  <c r="P4" i="67"/>
  <c r="X4" i="67" s="1"/>
  <c r="O4" i="67"/>
  <c r="N4" i="67"/>
  <c r="M4" i="67"/>
  <c r="L4" i="67"/>
  <c r="AO3" i="67"/>
  <c r="AN3" i="67"/>
  <c r="AM3" i="67"/>
  <c r="AA3" i="67"/>
  <c r="X3" i="67"/>
  <c r="U3" i="67"/>
  <c r="S3" i="67"/>
  <c r="R3" i="67"/>
  <c r="Q3" i="67"/>
  <c r="P3" i="67"/>
  <c r="O3" i="67"/>
  <c r="N3" i="67"/>
  <c r="M3" i="67"/>
  <c r="L3" i="67"/>
  <c r="AO2" i="67"/>
  <c r="AN2" i="67"/>
  <c r="AM2" i="67"/>
  <c r="T669" i="67" l="1"/>
  <c r="T657" i="67"/>
  <c r="T718" i="67"/>
  <c r="W453" i="67"/>
  <c r="T478" i="67"/>
  <c r="T585" i="67"/>
  <c r="T119" i="67"/>
  <c r="P324" i="67"/>
  <c r="AS12" i="67"/>
  <c r="AS19" i="67"/>
  <c r="AS15" i="67"/>
  <c r="W812" i="67"/>
  <c r="AS18" i="67"/>
  <c r="AS21" i="67"/>
  <c r="AS20" i="67"/>
  <c r="AS16" i="67"/>
  <c r="AS17" i="67"/>
  <c r="W711" i="67"/>
  <c r="X515" i="67"/>
  <c r="T514" i="67" s="1"/>
  <c r="AQ7" i="67"/>
  <c r="AQ2" i="67"/>
  <c r="AQ8" i="67"/>
  <c r="AQ3" i="67"/>
  <c r="AQ9" i="67"/>
  <c r="AQ4" i="67"/>
  <c r="AQ6" i="67"/>
  <c r="AQ11" i="67"/>
  <c r="AQ10" i="67"/>
  <c r="AQ5" i="67"/>
  <c r="W808" i="67"/>
  <c r="W816" i="67"/>
  <c r="T273" i="67"/>
  <c r="AS6" i="67"/>
  <c r="AS11" i="67"/>
  <c r="P166" i="67"/>
  <c r="V167" i="67" s="1" a="1"/>
  <c r="V167" i="67" s="1"/>
  <c r="AS10" i="67"/>
  <c r="AS5" i="67"/>
  <c r="AS9" i="67"/>
  <c r="AS4" i="67"/>
  <c r="W450" i="67"/>
  <c r="AS2" i="67"/>
  <c r="AS7" i="67"/>
  <c r="W723" i="67"/>
  <c r="W446" i="67"/>
  <c r="W598" i="67"/>
  <c r="W718" i="67"/>
  <c r="AS8" i="67"/>
  <c r="AS3" i="67"/>
  <c r="T723" i="67"/>
  <c r="T767" i="67"/>
  <c r="P54" i="67"/>
  <c r="V58" i="67" s="1" a="1"/>
  <c r="V58" i="67" s="1"/>
  <c r="W154" i="67"/>
  <c r="T785" i="67"/>
  <c r="T627" i="67"/>
  <c r="T759" i="67"/>
  <c r="P300" i="67"/>
  <c r="V300" i="67" s="1" a="1"/>
  <c r="V300" i="67" s="1"/>
  <c r="T53" i="67"/>
  <c r="L54" i="67"/>
  <c r="T60" i="67"/>
  <c r="T64" i="67"/>
  <c r="T65" i="67"/>
  <c r="P111" i="67"/>
  <c r="W166" i="67"/>
  <c r="X238" i="67"/>
  <c r="T238" i="67" s="1"/>
  <c r="P243" i="67"/>
  <c r="V244" i="67" s="1" a="1"/>
  <c r="V244" i="67" s="1"/>
  <c r="T245" i="67"/>
  <c r="T246" i="67"/>
  <c r="T269" i="67"/>
  <c r="T270" i="67"/>
  <c r="T272" i="67"/>
  <c r="T496" i="67"/>
  <c r="T498" i="67"/>
  <c r="T499" i="67"/>
  <c r="T502" i="67"/>
  <c r="T504" i="67"/>
  <c r="T512" i="67"/>
  <c r="T530" i="67"/>
  <c r="P531" i="67"/>
  <c r="X184" i="67"/>
  <c r="T183" i="67" s="1"/>
  <c r="P342" i="67"/>
  <c r="V345" i="67" s="1" a="1"/>
  <c r="V345" i="67" s="1"/>
  <c r="T404" i="67"/>
  <c r="T482" i="67"/>
  <c r="T483" i="67"/>
  <c r="T755" i="67"/>
  <c r="T756" i="67"/>
  <c r="T757" i="67"/>
  <c r="T797" i="67"/>
  <c r="T814" i="67"/>
  <c r="T75" i="67"/>
  <c r="T136" i="67"/>
  <c r="T220" i="67"/>
  <c r="T221" i="67"/>
  <c r="T338" i="67"/>
  <c r="T339" i="67"/>
  <c r="T340" i="67"/>
  <c r="L342" i="67"/>
  <c r="T350" i="67"/>
  <c r="T450" i="67"/>
  <c r="T548" i="67"/>
  <c r="T705" i="67"/>
  <c r="T743" i="67"/>
  <c r="T745" i="67"/>
  <c r="T66" i="67"/>
  <c r="T93" i="67"/>
  <c r="T95" i="67"/>
  <c r="T96" i="67"/>
  <c r="T97" i="67"/>
  <c r="T153" i="67"/>
  <c r="T231" i="67"/>
  <c r="T288" i="67"/>
  <c r="W318" i="67"/>
  <c r="P450" i="67"/>
  <c r="V450" i="67" s="1" a="1"/>
  <c r="V450" i="67" s="1"/>
  <c r="T635" i="67"/>
  <c r="T638" i="67"/>
  <c r="T698" i="67"/>
  <c r="T651" i="67"/>
  <c r="T8" i="67"/>
  <c r="T15" i="67"/>
  <c r="T86" i="67"/>
  <c r="T88" i="67"/>
  <c r="T102" i="67"/>
  <c r="X189" i="67"/>
  <c r="T188" i="67" s="1"/>
  <c r="T194" i="67"/>
  <c r="T204" i="67"/>
  <c r="T205" i="67"/>
  <c r="T378" i="67"/>
  <c r="T379" i="67"/>
  <c r="T387" i="67"/>
  <c r="T677" i="67"/>
  <c r="T678" i="67"/>
  <c r="T679" i="67"/>
  <c r="T699" i="67"/>
  <c r="T711" i="67"/>
  <c r="P718" i="67"/>
  <c r="V722" i="67" s="1" a="1"/>
  <c r="V722" i="67" s="1"/>
  <c r="T721" i="67"/>
  <c r="T722" i="67"/>
  <c r="T724" i="67"/>
  <c r="T726" i="67"/>
  <c r="T727" i="67"/>
  <c r="T735" i="67"/>
  <c r="T776" i="67"/>
  <c r="T19" i="67"/>
  <c r="T111" i="67"/>
  <c r="T135" i="67"/>
  <c r="V3" i="67" a="1"/>
  <c r="V3" i="67" s="1"/>
  <c r="T6" i="67"/>
  <c r="T10" i="67"/>
  <c r="T17" i="67"/>
  <c r="T31" i="67"/>
  <c r="T38" i="67"/>
  <c r="T42" i="67"/>
  <c r="T76" i="67"/>
  <c r="P106" i="67"/>
  <c r="T110" i="67"/>
  <c r="L111" i="67"/>
  <c r="T129" i="67"/>
  <c r="P147" i="67"/>
  <c r="V149" i="67" s="1" a="1"/>
  <c r="V149" i="67" s="1"/>
  <c r="T154" i="67"/>
  <c r="W171" i="67"/>
  <c r="T172" i="67"/>
  <c r="T253" i="67"/>
  <c r="W279" i="67"/>
  <c r="T282" i="67"/>
  <c r="T283" i="67"/>
  <c r="T284" i="67"/>
  <c r="T299" i="67"/>
  <c r="W330" i="67"/>
  <c r="P348" i="67"/>
  <c r="W434" i="67"/>
  <c r="X457" i="67"/>
  <c r="T462" i="67"/>
  <c r="T463" i="67"/>
  <c r="T489" i="67"/>
  <c r="T494" i="67"/>
  <c r="T495" i="67"/>
  <c r="T551" i="67"/>
  <c r="T553" i="67"/>
  <c r="T554" i="67"/>
  <c r="T560" i="67"/>
  <c r="T565" i="67"/>
  <c r="P598" i="67"/>
  <c r="T604" i="67"/>
  <c r="T647" i="67"/>
  <c r="T749" i="67"/>
  <c r="T750" i="67"/>
  <c r="T751" i="67"/>
  <c r="T752" i="67"/>
  <c r="T761" i="67"/>
  <c r="T763" i="67"/>
  <c r="T764" i="67"/>
  <c r="T801" i="67"/>
  <c r="T805" i="67"/>
  <c r="T809" i="67"/>
  <c r="T753" i="67"/>
  <c r="T765" i="67"/>
  <c r="T789" i="67"/>
  <c r="W66" i="67"/>
  <c r="P86" i="67"/>
  <c r="T100" i="67"/>
  <c r="P101" i="67"/>
  <c r="V103" i="67" s="1" a="1"/>
  <c r="V103" i="67" s="1"/>
  <c r="W130" i="67"/>
  <c r="W147" i="67"/>
  <c r="T148" i="67"/>
  <c r="T169" i="67"/>
  <c r="P219" i="67"/>
  <c r="V219" i="67" s="1" a="1"/>
  <c r="V219" i="67" s="1"/>
  <c r="T235" i="67"/>
  <c r="T277" i="67"/>
  <c r="T293" i="67"/>
  <c r="P294" i="67"/>
  <c r="T320" i="67"/>
  <c r="T321" i="67"/>
  <c r="L324" i="67"/>
  <c r="W336" i="67"/>
  <c r="T449" i="67"/>
  <c r="T468" i="67"/>
  <c r="T484" i="67"/>
  <c r="T519" i="67"/>
  <c r="T570" i="67"/>
  <c r="T579" i="67"/>
  <c r="T598" i="67"/>
  <c r="T618" i="67"/>
  <c r="T621" i="67"/>
  <c r="T652" i="67"/>
  <c r="T654" i="67"/>
  <c r="T655" i="67"/>
  <c r="L718" i="67"/>
  <c r="T780" i="67"/>
  <c r="T782" i="67"/>
  <c r="P808" i="67"/>
  <c r="V811" i="67" s="1" a="1"/>
  <c r="V811" i="67" s="1"/>
  <c r="P20" i="67"/>
  <c r="V22" i="67" s="1" a="1"/>
  <c r="V22" i="67" s="1"/>
  <c r="X179" i="67"/>
  <c r="T178" i="67" s="1"/>
  <c r="T825" i="67"/>
  <c r="W823" i="67"/>
  <c r="P43" i="67"/>
  <c r="V46" i="67" s="1" a="1"/>
  <c r="V46" i="67" s="1"/>
  <c r="X74" i="67"/>
  <c r="T73" i="67" s="1"/>
  <c r="W73" i="67"/>
  <c r="T137" i="67"/>
  <c r="T18" i="67"/>
  <c r="T32" i="67"/>
  <c r="T39" i="67"/>
  <c r="W43" i="67"/>
  <c r="P49" i="67"/>
  <c r="V52" i="67" s="1" a="1"/>
  <c r="V52" i="67" s="1"/>
  <c r="T58" i="67"/>
  <c r="T59" i="67"/>
  <c r="T67" i="67"/>
  <c r="P70" i="67"/>
  <c r="V71" i="67" s="1" a="1"/>
  <c r="V71" i="67" s="1"/>
  <c r="T319" i="67"/>
  <c r="T663" i="67"/>
  <c r="T687" i="67"/>
  <c r="P80" i="67"/>
  <c r="V85" i="67" s="1" a="1"/>
  <c r="V85" i="67" s="1"/>
  <c r="T82" i="67"/>
  <c r="T85" i="67"/>
  <c r="T117" i="67"/>
  <c r="T133" i="67"/>
  <c r="T157" i="67"/>
  <c r="T159" i="67"/>
  <c r="T161" i="67"/>
  <c r="T193" i="67"/>
  <c r="T207" i="67"/>
  <c r="L219" i="67"/>
  <c r="P225" i="67"/>
  <c r="V229" i="67" s="1" a="1"/>
  <c r="V229" i="67" s="1"/>
  <c r="W231" i="67"/>
  <c r="T233" i="67"/>
  <c r="L243" i="67"/>
  <c r="W288" i="67"/>
  <c r="W294" i="67"/>
  <c r="T295" i="67"/>
  <c r="T302" i="67"/>
  <c r="T333" i="67"/>
  <c r="T334" i="67"/>
  <c r="T335" i="67"/>
  <c r="T370" i="67"/>
  <c r="T371" i="67"/>
  <c r="T374" i="67"/>
  <c r="T376" i="67"/>
  <c r="T377" i="67"/>
  <c r="T398" i="67"/>
  <c r="T403" i="67"/>
  <c r="T429" i="67"/>
  <c r="T430" i="67"/>
  <c r="T432" i="67"/>
  <c r="T433" i="67"/>
  <c r="T469" i="67"/>
  <c r="T474" i="67"/>
  <c r="T475" i="67"/>
  <c r="T477" i="67"/>
  <c r="T511" i="67"/>
  <c r="W526" i="67"/>
  <c r="T538" i="67"/>
  <c r="T540" i="67"/>
  <c r="T541" i="67"/>
  <c r="T542" i="67"/>
  <c r="T544" i="67"/>
  <c r="T546" i="67"/>
  <c r="T563" i="67"/>
  <c r="T571" i="67"/>
  <c r="T581" i="67"/>
  <c r="T582" i="67"/>
  <c r="T632" i="67"/>
  <c r="T689" i="67"/>
  <c r="T709" i="67"/>
  <c r="T713" i="67"/>
  <c r="T716" i="67"/>
  <c r="T774" i="67"/>
  <c r="T802" i="67"/>
  <c r="T202" i="67"/>
  <c r="T228" i="67"/>
  <c r="L300" i="67"/>
  <c r="L450" i="67"/>
  <c r="T465" i="67"/>
  <c r="T497" i="67"/>
  <c r="X522" i="67"/>
  <c r="T522" i="67" s="1"/>
  <c r="T599" i="67"/>
  <c r="T611" i="67"/>
  <c r="T624" i="67"/>
  <c r="T769" i="67"/>
  <c r="T777" i="67"/>
  <c r="T799" i="67"/>
  <c r="P76" i="67"/>
  <c r="V76" i="67" s="1" a="1"/>
  <c r="V76" i="67" s="1"/>
  <c r="T78" i="67"/>
  <c r="T139" i="67"/>
  <c r="T166" i="67"/>
  <c r="T170" i="67"/>
  <c r="W249" i="67"/>
  <c r="T278" i="67"/>
  <c r="T326" i="67"/>
  <c r="T344" i="67"/>
  <c r="T345" i="67"/>
  <c r="T347" i="67"/>
  <c r="L348" i="67"/>
  <c r="T357" i="67"/>
  <c r="T358" i="67"/>
  <c r="T359" i="67"/>
  <c r="T360" i="67"/>
  <c r="T383" i="67"/>
  <c r="T384" i="67"/>
  <c r="T385" i="67"/>
  <c r="T388" i="67"/>
  <c r="T389" i="67"/>
  <c r="T390" i="67"/>
  <c r="T392" i="67"/>
  <c r="T413" i="67"/>
  <c r="T414" i="67"/>
  <c r="T415" i="67"/>
  <c r="T419" i="67"/>
  <c r="T420" i="67"/>
  <c r="T421" i="67"/>
  <c r="P521" i="67"/>
  <c r="V523" i="67" s="1" a="1"/>
  <c r="V523" i="67" s="1"/>
  <c r="T533" i="67"/>
  <c r="T556" i="67"/>
  <c r="T575" i="67"/>
  <c r="T587" i="67"/>
  <c r="T596" i="67"/>
  <c r="L598" i="67"/>
  <c r="T660" i="67"/>
  <c r="T662" i="67"/>
  <c r="T670" i="67"/>
  <c r="T671" i="67"/>
  <c r="T685" i="67"/>
  <c r="T686" i="67"/>
  <c r="T733" i="67"/>
  <c r="T734" i="67"/>
  <c r="T740" i="67"/>
  <c r="T792" i="67"/>
  <c r="T793" i="67"/>
  <c r="L808" i="67"/>
  <c r="T808" i="67"/>
  <c r="T817" i="67"/>
  <c r="T818" i="67"/>
  <c r="T52" i="67"/>
  <c r="T113" i="67"/>
  <c r="P137" i="67"/>
  <c r="V140" i="67" s="1" a="1"/>
  <c r="V140" i="67" s="1"/>
  <c r="L137" i="67"/>
  <c r="W243" i="67"/>
  <c r="X244" i="67"/>
  <c r="T244" i="67" s="1"/>
  <c r="X256" i="67"/>
  <c r="T256" i="67" s="1"/>
  <c r="W255" i="67"/>
  <c r="X268" i="67"/>
  <c r="T267" i="67" s="1"/>
  <c r="W267" i="67"/>
  <c r="X307" i="67"/>
  <c r="T307" i="67" s="1"/>
  <c r="W306" i="67"/>
  <c r="P318" i="67"/>
  <c r="V323" i="67" s="1" a="1"/>
  <c r="V323" i="67" s="1"/>
  <c r="L318" i="67"/>
  <c r="X349" i="67"/>
  <c r="T349" i="67" s="1"/>
  <c r="W348" i="67"/>
  <c r="T472" i="67"/>
  <c r="W591" i="67"/>
  <c r="X592" i="67"/>
  <c r="T591" i="67" s="1"/>
  <c r="T675" i="67"/>
  <c r="T7" i="67"/>
  <c r="T11" i="67"/>
  <c r="T14" i="67"/>
  <c r="T21" i="67"/>
  <c r="T22" i="67"/>
  <c r="T23" i="67"/>
  <c r="T24" i="67"/>
  <c r="T25" i="67"/>
  <c r="T26" i="67"/>
  <c r="P27" i="67"/>
  <c r="V30" i="67" s="1" a="1"/>
  <c r="V30" i="67" s="1"/>
  <c r="L43" i="67"/>
  <c r="W54" i="67"/>
  <c r="T56" i="67"/>
  <c r="W60" i="67"/>
  <c r="T61" i="67"/>
  <c r="T83" i="67"/>
  <c r="W92" i="67"/>
  <c r="W101" i="67"/>
  <c r="T103" i="67"/>
  <c r="T106" i="67"/>
  <c r="T114" i="67"/>
  <c r="W117" i="67"/>
  <c r="T118" i="67"/>
  <c r="T147" i="67"/>
  <c r="W159" i="67"/>
  <c r="T208" i="67"/>
  <c r="W219" i="67"/>
  <c r="T222" i="67"/>
  <c r="T236" i="67"/>
  <c r="T239" i="67"/>
  <c r="T240" i="67"/>
  <c r="T241" i="67"/>
  <c r="P249" i="67"/>
  <c r="V254" i="67" s="1" a="1"/>
  <c r="V254" i="67" s="1"/>
  <c r="L249" i="67"/>
  <c r="X325" i="67"/>
  <c r="T324" i="67" s="1"/>
  <c r="W324" i="67"/>
  <c r="P453" i="67"/>
  <c r="V454" i="67" s="1" a="1"/>
  <c r="V454" i="67" s="1"/>
  <c r="L453" i="67"/>
  <c r="T476" i="67"/>
  <c r="T20" i="67"/>
  <c r="W20" i="67"/>
  <c r="T30" i="67"/>
  <c r="T37" i="67"/>
  <c r="T41" i="67"/>
  <c r="T45" i="67"/>
  <c r="L49" i="67"/>
  <c r="T57" i="67"/>
  <c r="T62" i="67"/>
  <c r="T68" i="67"/>
  <c r="L76" i="67"/>
  <c r="W80" i="67"/>
  <c r="L86" i="67"/>
  <c r="T98" i="67"/>
  <c r="T105" i="67"/>
  <c r="L106" i="67"/>
  <c r="T108" i="67"/>
  <c r="T115" i="67"/>
  <c r="T116" i="67"/>
  <c r="X125" i="67"/>
  <c r="T124" i="67" s="1"/>
  <c r="T126" i="67"/>
  <c r="T127" i="67"/>
  <c r="T131" i="67"/>
  <c r="T132" i="67"/>
  <c r="T140" i="67"/>
  <c r="T141" i="67"/>
  <c r="T156" i="67"/>
  <c r="T165" i="67"/>
  <c r="T168" i="67"/>
  <c r="T171" i="67"/>
  <c r="T173" i="67"/>
  <c r="T201" i="67"/>
  <c r="T203" i="67"/>
  <c r="X214" i="67"/>
  <c r="T214" i="67" s="1"/>
  <c r="W213" i="67"/>
  <c r="T234" i="67"/>
  <c r="X262" i="67"/>
  <c r="T261" i="67" s="1"/>
  <c r="W261" i="67"/>
  <c r="P273" i="67"/>
  <c r="V273" i="67" s="1" a="1"/>
  <c r="V273" i="67" s="1"/>
  <c r="L273" i="67"/>
  <c r="X301" i="67"/>
  <c r="W300" i="67"/>
  <c r="T346" i="67"/>
  <c r="T448" i="67"/>
  <c r="T500" i="67"/>
  <c r="T5" i="67"/>
  <c r="T9" i="67"/>
  <c r="T16" i="67"/>
  <c r="T29" i="67"/>
  <c r="T33" i="67"/>
  <c r="T36" i="67"/>
  <c r="T40" i="67"/>
  <c r="T46" i="67"/>
  <c r="T47" i="67"/>
  <c r="T48" i="67"/>
  <c r="W49" i="67"/>
  <c r="T51" i="67"/>
  <c r="P60" i="67"/>
  <c r="V61" i="67" s="1" a="1"/>
  <c r="V61" i="67" s="1"/>
  <c r="P66" i="67"/>
  <c r="V66" i="67" s="1" a="1"/>
  <c r="V66" i="67" s="1"/>
  <c r="T72" i="67"/>
  <c r="W76" i="67"/>
  <c r="T79" i="67"/>
  <c r="W86" i="67"/>
  <c r="T90" i="67"/>
  <c r="T91" i="67"/>
  <c r="T92" i="67"/>
  <c r="T99" i="67"/>
  <c r="L101" i="67"/>
  <c r="T101" i="67"/>
  <c r="T122" i="67"/>
  <c r="T128" i="67"/>
  <c r="W142" i="67"/>
  <c r="X143" i="67"/>
  <c r="T142" i="67" s="1"/>
  <c r="T152" i="67"/>
  <c r="T177" i="67"/>
  <c r="T182" i="67"/>
  <c r="T187" i="67"/>
  <c r="T192" i="67"/>
  <c r="T229" i="67"/>
  <c r="T230" i="67"/>
  <c r="T276" i="67"/>
  <c r="W312" i="67"/>
  <c r="T313" i="67"/>
  <c r="T318" i="67"/>
  <c r="T336" i="67"/>
  <c r="W354" i="67"/>
  <c r="T356" i="67"/>
  <c r="T400" i="67"/>
  <c r="T401" i="67"/>
  <c r="T402" i="67"/>
  <c r="T436" i="67"/>
  <c r="T437" i="67"/>
  <c r="T438" i="67"/>
  <c r="T439" i="67"/>
  <c r="P446" i="67"/>
  <c r="V446" i="67" s="1" a="1"/>
  <c r="V446" i="67" s="1"/>
  <c r="L446" i="67"/>
  <c r="T481" i="67"/>
  <c r="T491" i="67"/>
  <c r="T490" i="67"/>
  <c r="T510" i="67"/>
  <c r="T645" i="67"/>
  <c r="T747" i="67"/>
  <c r="T120" i="67"/>
  <c r="T121" i="67"/>
  <c r="T134" i="67"/>
  <c r="T138" i="67"/>
  <c r="T144" i="67"/>
  <c r="T149" i="67"/>
  <c r="T158" i="67"/>
  <c r="T162" i="67"/>
  <c r="P171" i="67"/>
  <c r="V176" i="67" s="1" a="1"/>
  <c r="V176" i="67" s="1"/>
  <c r="T175" i="67"/>
  <c r="T197" i="67"/>
  <c r="T209" i="67"/>
  <c r="T210" i="67"/>
  <c r="T211" i="67"/>
  <c r="T215" i="67"/>
  <c r="T216" i="67"/>
  <c r="T223" i="67"/>
  <c r="T224" i="67"/>
  <c r="T250" i="67"/>
  <c r="T251" i="67"/>
  <c r="T257" i="67"/>
  <c r="T263" i="67"/>
  <c r="T264" i="67"/>
  <c r="T265" i="67"/>
  <c r="T271" i="67"/>
  <c r="T285" i="67"/>
  <c r="T294" i="67"/>
  <c r="T296" i="67"/>
  <c r="T297" i="67"/>
  <c r="T303" i="67"/>
  <c r="T309" i="67"/>
  <c r="T310" i="67"/>
  <c r="T311" i="67"/>
  <c r="T314" i="67"/>
  <c r="T315" i="67"/>
  <c r="T316" i="67"/>
  <c r="T323" i="67"/>
  <c r="T328" i="67"/>
  <c r="T329" i="67"/>
  <c r="P336" i="67"/>
  <c r="V339" i="67" s="1" a="1"/>
  <c r="V339" i="67" s="1"/>
  <c r="T352" i="67"/>
  <c r="T353" i="67"/>
  <c r="T362" i="67"/>
  <c r="T363" i="67"/>
  <c r="T364" i="67"/>
  <c r="T391" i="67"/>
  <c r="T405" i="67"/>
  <c r="T406" i="67"/>
  <c r="T407" i="67"/>
  <c r="T423" i="67"/>
  <c r="T424" i="67"/>
  <c r="T425" i="67"/>
  <c r="T426" i="67"/>
  <c r="T442" i="67"/>
  <c r="T443" i="67"/>
  <c r="T457" i="67"/>
  <c r="T458" i="67"/>
  <c r="T459" i="67"/>
  <c r="T485" i="67"/>
  <c r="T486" i="67"/>
  <c r="T487" i="67"/>
  <c r="T492" i="67"/>
  <c r="T524" i="67"/>
  <c r="L531" i="67"/>
  <c r="X532" i="67"/>
  <c r="T531" i="67" s="1"/>
  <c r="W531" i="67"/>
  <c r="T145" i="67"/>
  <c r="T146" i="67"/>
  <c r="T150" i="67"/>
  <c r="T151" i="67"/>
  <c r="T163" i="67"/>
  <c r="T167" i="67"/>
  <c r="T176" i="67"/>
  <c r="T180" i="67"/>
  <c r="T181" i="67"/>
  <c r="T185" i="67"/>
  <c r="T186" i="67"/>
  <c r="T190" i="67"/>
  <c r="T191" i="67"/>
  <c r="T198" i="67"/>
  <c r="T199" i="67"/>
  <c r="T200" i="67"/>
  <c r="T212" i="67"/>
  <c r="T217" i="67"/>
  <c r="T227" i="67"/>
  <c r="T232" i="67"/>
  <c r="T254" i="67"/>
  <c r="T258" i="67"/>
  <c r="T259" i="67"/>
  <c r="T260" i="67"/>
  <c r="T266" i="67"/>
  <c r="P267" i="67"/>
  <c r="V269" i="67" s="1" a="1"/>
  <c r="V269" i="67" s="1"/>
  <c r="T274" i="67"/>
  <c r="T275" i="67"/>
  <c r="T290" i="67"/>
  <c r="T291" i="67"/>
  <c r="T292" i="67"/>
  <c r="T298" i="67"/>
  <c r="T304" i="67"/>
  <c r="T305" i="67"/>
  <c r="T367" i="67"/>
  <c r="T368" i="67"/>
  <c r="T369" i="67"/>
  <c r="T393" i="67"/>
  <c r="T394" i="67"/>
  <c r="T395" i="67"/>
  <c r="T409" i="67"/>
  <c r="T412" i="67"/>
  <c r="T427" i="67"/>
  <c r="T445" i="67"/>
  <c r="T451" i="67"/>
  <c r="T454" i="67"/>
  <c r="T453" i="67"/>
  <c r="T455" i="67"/>
  <c r="T479" i="67"/>
  <c r="T488" i="67"/>
  <c r="T506" i="67"/>
  <c r="T507" i="67"/>
  <c r="T515" i="67"/>
  <c r="T518" i="67"/>
  <c r="T639" i="67"/>
  <c r="T547" i="67"/>
  <c r="T557" i="67"/>
  <c r="T564" i="67"/>
  <c r="T576" i="67"/>
  <c r="T583" i="67"/>
  <c r="T588" i="67"/>
  <c r="T592" i="67"/>
  <c r="T597" i="67"/>
  <c r="T600" i="67"/>
  <c r="T607" i="67"/>
  <c r="T612" i="67"/>
  <c r="T619" i="67"/>
  <c r="T625" i="67"/>
  <c r="T653" i="67"/>
  <c r="T661" i="67"/>
  <c r="T760" i="67"/>
  <c r="T768" i="67"/>
  <c r="T770" i="67"/>
  <c r="T775" i="67"/>
  <c r="T778" i="67"/>
  <c r="T788" i="67"/>
  <c r="T794" i="67"/>
  <c r="T800" i="67"/>
  <c r="T803" i="67"/>
  <c r="T827" i="67"/>
  <c r="T464" i="67"/>
  <c r="T470" i="67"/>
  <c r="T471" i="67"/>
  <c r="T505" i="67"/>
  <c r="T526" i="67"/>
  <c r="T528" i="67"/>
  <c r="T534" i="67"/>
  <c r="T535" i="67"/>
  <c r="T537" i="67"/>
  <c r="T558" i="67"/>
  <c r="T559" i="67"/>
  <c r="T561" i="67"/>
  <c r="T566" i="67"/>
  <c r="T572" i="67"/>
  <c r="T577" i="67"/>
  <c r="T578" i="67"/>
  <c r="T589" i="67"/>
  <c r="T590" i="67"/>
  <c r="T593" i="67"/>
  <c r="T594" i="67"/>
  <c r="T602" i="67"/>
  <c r="T608" i="67"/>
  <c r="T615" i="67"/>
  <c r="T620" i="67"/>
  <c r="T626" i="67"/>
  <c r="T634" i="67"/>
  <c r="T637" i="67"/>
  <c r="T641" i="67"/>
  <c r="T642" i="67"/>
  <c r="T643" i="67"/>
  <c r="T646" i="67"/>
  <c r="T649" i="67"/>
  <c r="T650" i="67"/>
  <c r="T664" i="67"/>
  <c r="T672" i="67"/>
  <c r="T680" i="67"/>
  <c r="T690" i="67"/>
  <c r="T691" i="67"/>
  <c r="T697" i="67"/>
  <c r="T706" i="67"/>
  <c r="T707" i="67"/>
  <c r="T779" i="67"/>
  <c r="T819" i="67"/>
  <c r="T508" i="67"/>
  <c r="T523" i="67"/>
  <c r="T543" i="67"/>
  <c r="T549" i="67"/>
  <c r="T550" i="67"/>
  <c r="T562" i="67"/>
  <c r="T567" i="67"/>
  <c r="T573" i="67"/>
  <c r="T586" i="67"/>
  <c r="T595" i="67"/>
  <c r="T603" i="67"/>
  <c r="T610" i="67"/>
  <c r="T616" i="67"/>
  <c r="T622" i="67"/>
  <c r="T623" i="67"/>
  <c r="T628" i="67"/>
  <c r="T631" i="67"/>
  <c r="T658" i="67"/>
  <c r="T659" i="67"/>
  <c r="T665" i="67"/>
  <c r="T666" i="67"/>
  <c r="T667" i="67"/>
  <c r="T674" i="67"/>
  <c r="T681" i="67"/>
  <c r="T683" i="67"/>
  <c r="T692" i="67"/>
  <c r="T700" i="67"/>
  <c r="T702" i="67"/>
  <c r="T703" i="67"/>
  <c r="T708" i="67"/>
  <c r="T710" i="67"/>
  <c r="T714" i="67"/>
  <c r="T715" i="67"/>
  <c r="T719" i="67"/>
  <c r="T730" i="67"/>
  <c r="T731" i="67"/>
  <c r="T737" i="67"/>
  <c r="T738" i="67"/>
  <c r="T739" i="67"/>
  <c r="T746" i="67"/>
  <c r="T772" i="67"/>
  <c r="T773" i="67"/>
  <c r="T781" i="67"/>
  <c r="T786" i="67"/>
  <c r="T790" i="67"/>
  <c r="T798" i="67"/>
  <c r="T806" i="67"/>
  <c r="T811" i="67"/>
  <c r="T816" i="67"/>
  <c r="T820" i="67"/>
  <c r="T821" i="67"/>
  <c r="T822" i="67"/>
  <c r="T823" i="67"/>
  <c r="T12" i="67"/>
  <c r="T13" i="67"/>
  <c r="T50" i="67"/>
  <c r="T49" i="67"/>
  <c r="T69" i="67"/>
  <c r="T77" i="67"/>
  <c r="T87" i="67"/>
  <c r="T3" i="67"/>
  <c r="T4" i="67"/>
  <c r="T27" i="67"/>
  <c r="T28" i="67"/>
  <c r="T35" i="67"/>
  <c r="T34" i="67"/>
  <c r="T55" i="67"/>
  <c r="T54" i="67"/>
  <c r="T44" i="67"/>
  <c r="T43" i="67"/>
  <c r="T80" i="67"/>
  <c r="T81" i="67"/>
  <c r="P183" i="67"/>
  <c r="V187" i="67" s="1" a="1"/>
  <c r="V187" i="67" s="1"/>
  <c r="L183" i="67"/>
  <c r="P231" i="67"/>
  <c r="V234" i="67" s="1" a="1"/>
  <c r="V234" i="67" s="1"/>
  <c r="L231" i="67"/>
  <c r="P255" i="67"/>
  <c r="V259" i="67" s="1" a="1"/>
  <c r="V259" i="67" s="1"/>
  <c r="L255" i="67"/>
  <c r="P456" i="67"/>
  <c r="V458" i="67" s="1" a="1"/>
  <c r="V458" i="67" s="1"/>
  <c r="L456" i="67"/>
  <c r="T503" i="67"/>
  <c r="V743" i="67" a="1"/>
  <c r="V743" i="67" s="1"/>
  <c r="W12" i="67"/>
  <c r="V19" i="67" a="1"/>
  <c r="V19" i="67" s="1"/>
  <c r="W34" i="67"/>
  <c r="V57" i="67" a="1"/>
  <c r="V57" i="67" s="1"/>
  <c r="T63" i="67"/>
  <c r="X71" i="67"/>
  <c r="P73" i="67"/>
  <c r="V74" i="67" s="1" a="1"/>
  <c r="V74" i="67" s="1"/>
  <c r="L73" i="67"/>
  <c r="T84" i="67"/>
  <c r="V84" i="67" a="1"/>
  <c r="V84" i="67" s="1"/>
  <c r="T94" i="67"/>
  <c r="V94" i="67" a="1"/>
  <c r="V94" i="67" s="1"/>
  <c r="V98" i="67" a="1"/>
  <c r="V98" i="67" s="1"/>
  <c r="V99" i="67" a="1"/>
  <c r="V99" i="67" s="1"/>
  <c r="W106" i="67"/>
  <c r="T112" i="67"/>
  <c r="P124" i="67"/>
  <c r="V125" i="67" s="1" a="1"/>
  <c r="V125" i="67" s="1"/>
  <c r="L124" i="67"/>
  <c r="P142" i="67"/>
  <c r="V145" i="67" s="1" a="1"/>
  <c r="V145" i="67" s="1"/>
  <c r="L142" i="67"/>
  <c r="V197" i="67" a="1"/>
  <c r="V197" i="67" s="1"/>
  <c r="V202" i="67" a="1"/>
  <c r="V202" i="67" s="1"/>
  <c r="V208" i="67" a="1"/>
  <c r="V208" i="67" s="1"/>
  <c r="P213" i="67"/>
  <c r="V216" i="67" s="1" a="1"/>
  <c r="V216" i="67" s="1"/>
  <c r="L213" i="67"/>
  <c r="X343" i="67"/>
  <c r="W342" i="67"/>
  <c r="V364" i="67" a="1"/>
  <c r="V364" i="67" s="1"/>
  <c r="T411" i="67"/>
  <c r="T410" i="67"/>
  <c r="V56" i="67" a="1"/>
  <c r="V56" i="67" s="1"/>
  <c r="T107" i="67"/>
  <c r="P159" i="67"/>
  <c r="V159" i="67" s="1" a="1"/>
  <c r="V159" i="67" s="1"/>
  <c r="L159" i="67"/>
  <c r="P178" i="67"/>
  <c r="V179" i="67" s="1" a="1"/>
  <c r="V179" i="67" s="1"/>
  <c r="L178" i="67"/>
  <c r="P188" i="67"/>
  <c r="V192" i="67" s="1" a="1"/>
  <c r="V192" i="67" s="1"/>
  <c r="L188" i="67"/>
  <c r="T417" i="67"/>
  <c r="T416" i="67"/>
  <c r="W3" i="67"/>
  <c r="V13" i="67" a="1"/>
  <c r="V13" i="67" s="1"/>
  <c r="V14" i="67" a="1"/>
  <c r="V14" i="67" s="1"/>
  <c r="V15" i="67" a="1"/>
  <c r="V15" i="67" s="1"/>
  <c r="V16" i="67" a="1"/>
  <c r="V16" i="67" s="1"/>
  <c r="V17" i="67" a="1"/>
  <c r="V17" i="67" s="1"/>
  <c r="V18" i="67" a="1"/>
  <c r="V18" i="67" s="1"/>
  <c r="L27" i="67"/>
  <c r="W27" i="67"/>
  <c r="V35" i="67" a="1"/>
  <c r="V35" i="67" s="1"/>
  <c r="V36" i="67" a="1"/>
  <c r="V36" i="67" s="1"/>
  <c r="V37" i="67" a="1"/>
  <c r="V37" i="67" s="1"/>
  <c r="V38" i="67" a="1"/>
  <c r="V38" i="67" s="1"/>
  <c r="V39" i="67" a="1"/>
  <c r="V39" i="67" s="1"/>
  <c r="V40" i="67" a="1"/>
  <c r="V40" i="67" s="1"/>
  <c r="V41" i="67" a="1"/>
  <c r="V41" i="67" s="1"/>
  <c r="V42" i="67" a="1"/>
  <c r="V42" i="67" s="1"/>
  <c r="V47" i="67" a="1"/>
  <c r="V47" i="67" s="1"/>
  <c r="L60" i="67"/>
  <c r="V72" i="67" a="1"/>
  <c r="V72" i="67" s="1"/>
  <c r="L80" i="67"/>
  <c r="T89" i="67"/>
  <c r="V89" i="67" a="1"/>
  <c r="V89" i="67" s="1"/>
  <c r="V92" i="67" a="1"/>
  <c r="V92" i="67" s="1"/>
  <c r="V93" i="67" a="1"/>
  <c r="V93" i="67" s="1"/>
  <c r="V95" i="67" a="1"/>
  <c r="V95" i="67" s="1"/>
  <c r="T104" i="67"/>
  <c r="V104" i="67" a="1"/>
  <c r="V104" i="67" s="1"/>
  <c r="W111" i="67"/>
  <c r="P130" i="67"/>
  <c r="V134" i="67" s="1" a="1"/>
  <c r="V134" i="67" s="1"/>
  <c r="L130" i="67"/>
  <c r="T130" i="67"/>
  <c r="W137" i="67"/>
  <c r="T155" i="67"/>
  <c r="T164" i="67"/>
  <c r="T174" i="67"/>
  <c r="T218" i="67"/>
  <c r="T219" i="67"/>
  <c r="T248" i="67"/>
  <c r="V285" i="67" a="1"/>
  <c r="V285" i="67" s="1"/>
  <c r="V374" i="67" a="1"/>
  <c r="V374" i="67" s="1"/>
  <c r="V468" i="67" a="1"/>
  <c r="V468" i="67" s="1"/>
  <c r="T574" i="67"/>
  <c r="V113" i="67" a="1"/>
  <c r="V113" i="67" s="1"/>
  <c r="V114" i="67" a="1"/>
  <c r="V114" i="67" s="1"/>
  <c r="V821" i="67" a="1"/>
  <c r="V821" i="67" s="1"/>
  <c r="V817" i="67" a="1"/>
  <c r="V817" i="67" s="1"/>
  <c r="V805" i="67" a="1"/>
  <c r="V805" i="67" s="1"/>
  <c r="V801" i="67" a="1"/>
  <c r="V801" i="67" s="1"/>
  <c r="V797" i="67" a="1"/>
  <c r="V797" i="67" s="1"/>
  <c r="V793" i="67" a="1"/>
  <c r="V793" i="67" s="1"/>
  <c r="V789" i="67" a="1"/>
  <c r="V789" i="67" s="1"/>
  <c r="V785" i="67" a="1"/>
  <c r="V785" i="67" s="1"/>
  <c r="V781" i="67" a="1"/>
  <c r="V781" i="67" s="1"/>
  <c r="V777" i="67" a="1"/>
  <c r="V777" i="67" s="1"/>
  <c r="V773" i="67" a="1"/>
  <c r="V773" i="67" s="1"/>
  <c r="V769" i="67" a="1"/>
  <c r="V769" i="67" s="1"/>
  <c r="V820" i="67" a="1"/>
  <c r="V820" i="67" s="1"/>
  <c r="V816" i="67" a="1"/>
  <c r="V816" i="67" s="1"/>
  <c r="V804" i="67" a="1"/>
  <c r="V804" i="67" s="1"/>
  <c r="V800" i="67" a="1"/>
  <c r="V800" i="67" s="1"/>
  <c r="V796" i="67" a="1"/>
  <c r="V796" i="67" s="1"/>
  <c r="V792" i="67" a="1"/>
  <c r="V792" i="67" s="1"/>
  <c r="V788" i="67" a="1"/>
  <c r="V788" i="67" s="1"/>
  <c r="V784" i="67" a="1"/>
  <c r="V784" i="67" s="1"/>
  <c r="V780" i="67" a="1"/>
  <c r="V780" i="67" s="1"/>
  <c r="V776" i="67" a="1"/>
  <c r="V776" i="67" s="1"/>
  <c r="V772" i="67" a="1"/>
  <c r="V772" i="67" s="1"/>
  <c r="V768" i="67" a="1"/>
  <c r="V768" i="67" s="1"/>
  <c r="V764" i="67" a="1"/>
  <c r="V764" i="67" s="1"/>
  <c r="V760" i="67" a="1"/>
  <c r="V760" i="67" s="1"/>
  <c r="V756" i="67" a="1"/>
  <c r="V756" i="67" s="1"/>
  <c r="V752" i="67" a="1"/>
  <c r="V752" i="67" s="1"/>
  <c r="V827" i="67" a="1"/>
  <c r="V827" i="67" s="1"/>
  <c r="V825" i="67" a="1"/>
  <c r="V825" i="67" s="1"/>
  <c r="V807" i="67" a="1"/>
  <c r="V807" i="67" s="1"/>
  <c r="V806" i="67" a="1"/>
  <c r="V806" i="67" s="1"/>
  <c r="V783" i="67" a="1"/>
  <c r="V783" i="67" s="1"/>
  <c r="V782" i="67" a="1"/>
  <c r="V782" i="67" s="1"/>
  <c r="V759" i="67" a="1"/>
  <c r="V759" i="67" s="1"/>
  <c r="V757" i="67" a="1"/>
  <c r="V757" i="67" s="1"/>
  <c r="V754" i="67" a="1"/>
  <c r="V754" i="67" s="1"/>
  <c r="V753" i="67" a="1"/>
  <c r="V753" i="67" s="1"/>
  <c r="V750" i="67" a="1"/>
  <c r="V750" i="67" s="1"/>
  <c r="V746" i="67" a="1"/>
  <c r="V746" i="67" s="1"/>
  <c r="V742" i="67" a="1"/>
  <c r="V742" i="67" s="1"/>
  <c r="V738" i="67" a="1"/>
  <c r="V738" i="67" s="1"/>
  <c r="V823" i="67" a="1"/>
  <c r="V823" i="67" s="1"/>
  <c r="V818" i="67" a="1"/>
  <c r="V818" i="67" s="1"/>
  <c r="V810" i="67" a="1"/>
  <c r="V810" i="67" s="1"/>
  <c r="V791" i="67" a="1"/>
  <c r="V791" i="67" s="1"/>
  <c r="V790" i="67" a="1"/>
  <c r="V790" i="67" s="1"/>
  <c r="V787" i="67" a="1"/>
  <c r="V787" i="67" s="1"/>
  <c r="V786" i="67" a="1"/>
  <c r="V786" i="67" s="1"/>
  <c r="V767" i="67" a="1"/>
  <c r="V767" i="67" s="1"/>
  <c r="V763" i="67" a="1"/>
  <c r="V763" i="67" s="1"/>
  <c r="V761" i="67" a="1"/>
  <c r="V761" i="67" s="1"/>
  <c r="V758" i="67" a="1"/>
  <c r="V758" i="67" s="1"/>
  <c r="V749" i="67" a="1"/>
  <c r="V749" i="67" s="1"/>
  <c r="V745" i="67" a="1"/>
  <c r="V745" i="67" s="1"/>
  <c r="V741" i="67" a="1"/>
  <c r="V741" i="67" s="1"/>
  <c r="V822" i="67" a="1"/>
  <c r="V822" i="67" s="1"/>
  <c r="V779" i="67" a="1"/>
  <c r="V779" i="67" s="1"/>
  <c r="V778" i="67" a="1"/>
  <c r="V778" i="67" s="1"/>
  <c r="V765" i="67" a="1"/>
  <c r="V765" i="67" s="1"/>
  <c r="V762" i="67" a="1"/>
  <c r="V762" i="67" s="1"/>
  <c r="V744" i="67" a="1"/>
  <c r="V744" i="67" s="1"/>
  <c r="V737" i="67" a="1"/>
  <c r="V737" i="67" s="1"/>
  <c r="V718" i="67" a="1"/>
  <c r="V718" i="67" s="1"/>
  <c r="V710" i="67" a="1"/>
  <c r="V710" i="67" s="1"/>
  <c r="V706" i="67" a="1"/>
  <c r="V706" i="67" s="1"/>
  <c r="V702" i="67" a="1"/>
  <c r="V702" i="67" s="1"/>
  <c r="V698" i="67" a="1"/>
  <c r="V698" i="67" s="1"/>
  <c r="V694" i="67" a="1"/>
  <c r="V694" i="67" s="1"/>
  <c r="V690" i="67" a="1"/>
  <c r="V690" i="67" s="1"/>
  <c r="V686" i="67" a="1"/>
  <c r="V686" i="67" s="1"/>
  <c r="V682" i="67" a="1"/>
  <c r="V682" i="67" s="1"/>
  <c r="V678" i="67" a="1"/>
  <c r="V678" i="67" s="1"/>
  <c r="V674" i="67" a="1"/>
  <c r="V674" i="67" s="1"/>
  <c r="V670" i="67" a="1"/>
  <c r="V670" i="67" s="1"/>
  <c r="V666" i="67" a="1"/>
  <c r="V666" i="67" s="1"/>
  <c r="V662" i="67" a="1"/>
  <c r="V662" i="67" s="1"/>
  <c r="V658" i="67" a="1"/>
  <c r="V658" i="67" s="1"/>
  <c r="V654" i="67" a="1"/>
  <c r="V654" i="67" s="1"/>
  <c r="V650" i="67" a="1"/>
  <c r="V650" i="67" s="1"/>
  <c r="V646" i="67" a="1"/>
  <c r="V646" i="67" s="1"/>
  <c r="V642" i="67" a="1"/>
  <c r="V642" i="67" s="1"/>
  <c r="V638" i="67" a="1"/>
  <c r="V638" i="67" s="1"/>
  <c r="V634" i="67" a="1"/>
  <c r="V634" i="67" s="1"/>
  <c r="V630" i="67" a="1"/>
  <c r="V630" i="67" s="1"/>
  <c r="V626" i="67" a="1"/>
  <c r="V626" i="67" s="1"/>
  <c r="V828" i="67" a="1"/>
  <c r="V828" i="67" s="1"/>
  <c r="V819" i="67" a="1"/>
  <c r="V819" i="67" s="1"/>
  <c r="V775" i="67" a="1"/>
  <c r="V775" i="67" s="1"/>
  <c r="V774" i="67" a="1"/>
  <c r="V774" i="67" s="1"/>
  <c r="V770" i="67" a="1"/>
  <c r="V770" i="67" s="1"/>
  <c r="V766" i="67" a="1"/>
  <c r="V766" i="67" s="1"/>
  <c r="V748" i="67" a="1"/>
  <c r="V748" i="67" s="1"/>
  <c r="V747" i="67" a="1"/>
  <c r="V747" i="67" s="1"/>
  <c r="V739" i="67" a="1"/>
  <c r="V739" i="67" s="1"/>
  <c r="V736" i="67" a="1"/>
  <c r="V736" i="67" s="1"/>
  <c r="V735" i="67" a="1"/>
  <c r="V735" i="67" s="1"/>
  <c r="V721" i="67" a="1"/>
  <c r="V721" i="67" s="1"/>
  <c r="V709" i="67" a="1"/>
  <c r="V709" i="67" s="1"/>
  <c r="V705" i="67" a="1"/>
  <c r="V705" i="67" s="1"/>
  <c r="V701" i="67" a="1"/>
  <c r="V701" i="67" s="1"/>
  <c r="V697" i="67" a="1"/>
  <c r="V697" i="67" s="1"/>
  <c r="V693" i="67" a="1"/>
  <c r="V693" i="67" s="1"/>
  <c r="V689" i="67" a="1"/>
  <c r="V689" i="67" s="1"/>
  <c r="V685" i="67" a="1"/>
  <c r="V685" i="67" s="1"/>
  <c r="V681" i="67" a="1"/>
  <c r="V681" i="67" s="1"/>
  <c r="V677" i="67" a="1"/>
  <c r="V677" i="67" s="1"/>
  <c r="V673" i="67" a="1"/>
  <c r="V673" i="67" s="1"/>
  <c r="V669" i="67" a="1"/>
  <c r="V669" i="67" s="1"/>
  <c r="V665" i="67" a="1"/>
  <c r="V665" i="67" s="1"/>
  <c r="V661" i="67" a="1"/>
  <c r="V661" i="67" s="1"/>
  <c r="V657" i="67" a="1"/>
  <c r="V657" i="67" s="1"/>
  <c r="V653" i="67" a="1"/>
  <c r="V653" i="67" s="1"/>
  <c r="V649" i="67" a="1"/>
  <c r="V649" i="67" s="1"/>
  <c r="V826" i="67" a="1"/>
  <c r="V826" i="67" s="1"/>
  <c r="V803" i="67" a="1"/>
  <c r="V803" i="67" s="1"/>
  <c r="V802" i="67" a="1"/>
  <c r="V802" i="67" s="1"/>
  <c r="V794" i="67" a="1"/>
  <c r="V794" i="67" s="1"/>
  <c r="V771" i="67" a="1"/>
  <c r="V771" i="67" s="1"/>
  <c r="V751" i="67" a="1"/>
  <c r="V751" i="67" s="1"/>
  <c r="V740" i="67" a="1"/>
  <c r="V740" i="67" s="1"/>
  <c r="V755" i="67" a="1"/>
  <c r="V755" i="67" s="1"/>
  <c r="V703" i="67" a="1"/>
  <c r="V703" i="67" s="1"/>
  <c r="V692" i="67" a="1"/>
  <c r="V692" i="67" s="1"/>
  <c r="V683" i="67" a="1"/>
  <c r="V683" i="67" s="1"/>
  <c r="V672" i="67" a="1"/>
  <c r="V672" i="67" s="1"/>
  <c r="V664" i="67" a="1"/>
  <c r="V664" i="67" s="1"/>
  <c r="V663" i="67" a="1"/>
  <c r="V663" i="67" s="1"/>
  <c r="V824" i="67" a="1"/>
  <c r="V824" i="67" s="1"/>
  <c r="V798" i="67" a="1"/>
  <c r="V798" i="67" s="1"/>
  <c r="V704" i="67" a="1"/>
  <c r="V704" i="67" s="1"/>
  <c r="V695" i="67" a="1"/>
  <c r="V695" i="67" s="1"/>
  <c r="V684" i="67" a="1"/>
  <c r="V684" i="67" s="1"/>
  <c r="V676" i="67" a="1"/>
  <c r="V676" i="67" s="1"/>
  <c r="V675" i="67" a="1"/>
  <c r="V675" i="67" s="1"/>
  <c r="V667" i="67" a="1"/>
  <c r="V667" i="67" s="1"/>
  <c r="V656" i="67" a="1"/>
  <c r="V656" i="67" s="1"/>
  <c r="V799" i="67" a="1"/>
  <c r="V799" i="67" s="1"/>
  <c r="V707" i="67" a="1"/>
  <c r="V707" i="67" s="1"/>
  <c r="V696" i="67" a="1"/>
  <c r="V696" i="67" s="1"/>
  <c r="V688" i="67" a="1"/>
  <c r="V688" i="67" s="1"/>
  <c r="V687" i="67" a="1"/>
  <c r="V687" i="67" s="1"/>
  <c r="V679" i="67" a="1"/>
  <c r="V679" i="67" s="1"/>
  <c r="V668" i="67" a="1"/>
  <c r="V668" i="67" s="1"/>
  <c r="V659" i="67" a="1"/>
  <c r="V659" i="67" s="1"/>
  <c r="V648" i="67" a="1"/>
  <c r="V648" i="67" s="1"/>
  <c r="V645" i="67" a="1"/>
  <c r="V645" i="67" s="1"/>
  <c r="V643" i="67" a="1"/>
  <c r="V643" i="67" s="1"/>
  <c r="V640" i="67" a="1"/>
  <c r="V640" i="67" s="1"/>
  <c r="V639" i="67" a="1"/>
  <c r="V639" i="67" s="1"/>
  <c r="V636" i="67" a="1"/>
  <c r="V636" i="67" s="1"/>
  <c r="V700" i="67" a="1"/>
  <c r="V700" i="67" s="1"/>
  <c r="V691" i="67" a="1"/>
  <c r="V691" i="67" s="1"/>
  <c r="V655" i="67" a="1"/>
  <c r="V655" i="67" s="1"/>
  <c r="V652" i="67" a="1"/>
  <c r="V652" i="67" s="1"/>
  <c r="V637" i="67" a="1"/>
  <c r="V637" i="67" s="1"/>
  <c r="V632" i="67" a="1"/>
  <c r="V632" i="67" s="1"/>
  <c r="V624" i="67" a="1"/>
  <c r="V624" i="67" s="1"/>
  <c r="V619" i="67" a="1"/>
  <c r="V619" i="67" s="1"/>
  <c r="V615" i="67" a="1"/>
  <c r="V615" i="67" s="1"/>
  <c r="V611" i="67" a="1"/>
  <c r="V611" i="67" s="1"/>
  <c r="V607" i="67" a="1"/>
  <c r="V607" i="67" s="1"/>
  <c r="V603" i="67" a="1"/>
  <c r="V603" i="67" s="1"/>
  <c r="V599" i="67" a="1"/>
  <c r="V599" i="67" s="1"/>
  <c r="V660" i="67" a="1"/>
  <c r="V660" i="67" s="1"/>
  <c r="V644" i="67" a="1"/>
  <c r="V644" i="67" s="1"/>
  <c r="V641" i="67" a="1"/>
  <c r="V641" i="67" s="1"/>
  <c r="V635" i="67" a="1"/>
  <c r="V635" i="67" s="1"/>
  <c r="V623" i="67" a="1"/>
  <c r="V623" i="67" s="1"/>
  <c r="V618" i="67" a="1"/>
  <c r="V618" i="67" s="1"/>
  <c r="V614" i="67" a="1"/>
  <c r="V614" i="67" s="1"/>
  <c r="V610" i="67" a="1"/>
  <c r="V610" i="67" s="1"/>
  <c r="V606" i="67" a="1"/>
  <c r="V606" i="67" s="1"/>
  <c r="V602" i="67" a="1"/>
  <c r="V602" i="67" s="1"/>
  <c r="V598" i="67" a="1"/>
  <c r="V598" i="67" s="1"/>
  <c r="V590" i="67" a="1"/>
  <c r="V590" i="67" s="1"/>
  <c r="V586" i="67" a="1"/>
  <c r="V586" i="67" s="1"/>
  <c r="V582" i="67" a="1"/>
  <c r="V582" i="67" s="1"/>
  <c r="V578" i="67" a="1"/>
  <c r="V578" i="67" s="1"/>
  <c r="V574" i="67" a="1"/>
  <c r="V574" i="67" s="1"/>
  <c r="V570" i="67" a="1"/>
  <c r="V570" i="67" s="1"/>
  <c r="V566" i="67" a="1"/>
  <c r="V566" i="67" s="1"/>
  <c r="V565" i="67" a="1"/>
  <c r="V565" i="67" s="1"/>
  <c r="V561" i="67" a="1"/>
  <c r="V561" i="67" s="1"/>
  <c r="V556" i="67" a="1"/>
  <c r="V556" i="67" s="1"/>
  <c r="V555" i="67" a="1"/>
  <c r="V555" i="67" s="1"/>
  <c r="V554" i="67" a="1"/>
  <c r="V554" i="67" s="1"/>
  <c r="V550" i="67" a="1"/>
  <c r="V550" i="67" s="1"/>
  <c r="V546" i="67" a="1"/>
  <c r="V546" i="67" s="1"/>
  <c r="V795" i="67" a="1"/>
  <c r="V795" i="67" s="1"/>
  <c r="V647" i="67" a="1"/>
  <c r="V647" i="67" s="1"/>
  <c r="V629" i="67" a="1"/>
  <c r="V629" i="67" s="1"/>
  <c r="V622" i="67" a="1"/>
  <c r="V622" i="67" s="1"/>
  <c r="V617" i="67" a="1"/>
  <c r="V617" i="67" s="1"/>
  <c r="V613" i="67" a="1"/>
  <c r="V613" i="67" s="1"/>
  <c r="V609" i="67" a="1"/>
  <c r="V609" i="67" s="1"/>
  <c r="V605" i="67" a="1"/>
  <c r="V605" i="67" s="1"/>
  <c r="V601" i="67" a="1"/>
  <c r="V601" i="67" s="1"/>
  <c r="V589" i="67" a="1"/>
  <c r="V589" i="67" s="1"/>
  <c r="V585" i="67" a="1"/>
  <c r="V585" i="67" s="1"/>
  <c r="V581" i="67" a="1"/>
  <c r="V581" i="67" s="1"/>
  <c r="V577" i="67" a="1"/>
  <c r="V577" i="67" s="1"/>
  <c r="V573" i="67" a="1"/>
  <c r="V573" i="67" s="1"/>
  <c r="V569" i="67" a="1"/>
  <c r="V569" i="67" s="1"/>
  <c r="V564" i="67" a="1"/>
  <c r="V564" i="67" s="1"/>
  <c r="V560" i="67" a="1"/>
  <c r="V560" i="67" s="1"/>
  <c r="V559" i="67" a="1"/>
  <c r="V559" i="67" s="1"/>
  <c r="V553" i="67" a="1"/>
  <c r="V553" i="67" s="1"/>
  <c r="V549" i="67" a="1"/>
  <c r="V549" i="67" s="1"/>
  <c r="V545" i="67" a="1"/>
  <c r="V545" i="67" s="1"/>
  <c r="V536" i="67" a="1"/>
  <c r="V536" i="67" s="1"/>
  <c r="V532" i="67" a="1"/>
  <c r="V532" i="67" s="1"/>
  <c r="V531" i="67" a="1"/>
  <c r="V531" i="67" s="1"/>
  <c r="V671" i="67" a="1"/>
  <c r="V671" i="67" s="1"/>
  <c r="V627" i="67" a="1"/>
  <c r="V627" i="67" s="1"/>
  <c r="V620" i="67" a="1"/>
  <c r="V620" i="67" s="1"/>
  <c r="V608" i="67" a="1"/>
  <c r="V608" i="67" s="1"/>
  <c r="V576" i="67" a="1"/>
  <c r="V576" i="67" s="1"/>
  <c r="V575" i="67" a="1"/>
  <c r="V575" i="67" s="1"/>
  <c r="V548" i="67" a="1"/>
  <c r="V548" i="67" s="1"/>
  <c r="V547" i="67" a="1"/>
  <c r="V547" i="67" s="1"/>
  <c r="V540" i="67" a="1"/>
  <c r="V540" i="67" s="1"/>
  <c r="V535" i="67" a="1"/>
  <c r="V535" i="67" s="1"/>
  <c r="V533" i="67" a="1"/>
  <c r="V533" i="67" s="1"/>
  <c r="V513" i="67" a="1"/>
  <c r="V513" i="67" s="1"/>
  <c r="V509" i="67" a="1"/>
  <c r="V509" i="67" s="1"/>
  <c r="V508" i="67" a="1"/>
  <c r="V508" i="67" s="1"/>
  <c r="V504" i="67" a="1"/>
  <c r="V504" i="67" s="1"/>
  <c r="V499" i="67" a="1"/>
  <c r="V499" i="67" s="1"/>
  <c r="V495" i="67" a="1"/>
  <c r="V495" i="67" s="1"/>
  <c r="V491" i="67" a="1"/>
  <c r="V491" i="67" s="1"/>
  <c r="V487" i="67" a="1"/>
  <c r="V487" i="67" s="1"/>
  <c r="V483" i="67" a="1"/>
  <c r="V483" i="67" s="1"/>
  <c r="V680" i="67" a="1"/>
  <c r="V680" i="67" s="1"/>
  <c r="V631" i="67" a="1"/>
  <c r="V631" i="67" s="1"/>
  <c r="V628" i="67" a="1"/>
  <c r="V628" i="67" s="1"/>
  <c r="V612" i="67" a="1"/>
  <c r="V612" i="67" s="1"/>
  <c r="V600" i="67" a="1"/>
  <c r="V600" i="67" s="1"/>
  <c r="V580" i="67" a="1"/>
  <c r="V580" i="67" s="1"/>
  <c r="V579" i="67" a="1"/>
  <c r="V579" i="67" s="1"/>
  <c r="V552" i="67" a="1"/>
  <c r="V552" i="67" s="1"/>
  <c r="V551" i="67" a="1"/>
  <c r="V551" i="67" s="1"/>
  <c r="V541" i="67" a="1"/>
  <c r="V541" i="67" s="1"/>
  <c r="V537" i="67" a="1"/>
  <c r="V537" i="67" s="1"/>
  <c r="V534" i="67" a="1"/>
  <c r="V534" i="67" s="1"/>
  <c r="V512" i="67" a="1"/>
  <c r="V512" i="67" s="1"/>
  <c r="V507" i="67" a="1"/>
  <c r="V507" i="67" s="1"/>
  <c r="V503" i="67" a="1"/>
  <c r="V503" i="67" s="1"/>
  <c r="V502" i="67" a="1"/>
  <c r="V502" i="67" s="1"/>
  <c r="V498" i="67" a="1"/>
  <c r="V498" i="67" s="1"/>
  <c r="V494" i="67" a="1"/>
  <c r="V494" i="67" s="1"/>
  <c r="V490" i="67" a="1"/>
  <c r="V490" i="67" s="1"/>
  <c r="V486" i="67" a="1"/>
  <c r="V486" i="67" s="1"/>
  <c r="V482" i="67" a="1"/>
  <c r="V482" i="67" s="1"/>
  <c r="V478" i="67" a="1"/>
  <c r="V478" i="67" s="1"/>
  <c r="V474" i="67" a="1"/>
  <c r="V474" i="67" s="1"/>
  <c r="V470" i="67" a="1"/>
  <c r="V470" i="67" s="1"/>
  <c r="V466" i="67" a="1"/>
  <c r="V466" i="67" s="1"/>
  <c r="V462" i="67" a="1"/>
  <c r="V462" i="67" s="1"/>
  <c r="V708" i="67" a="1"/>
  <c r="V708" i="67" s="1"/>
  <c r="V699" i="67" a="1"/>
  <c r="V699" i="67" s="1"/>
  <c r="V651" i="67" a="1"/>
  <c r="V651" i="67" s="1"/>
  <c r="V633" i="67" a="1"/>
  <c r="V633" i="67" s="1"/>
  <c r="V621" i="67" a="1"/>
  <c r="V621" i="67" s="1"/>
  <c r="V604" i="67" a="1"/>
  <c r="V604" i="67" s="1"/>
  <c r="V584" i="67" a="1"/>
  <c r="V584" i="67" s="1"/>
  <c r="V583" i="67" a="1"/>
  <c r="V583" i="67" s="1"/>
  <c r="V568" i="67" a="1"/>
  <c r="V568" i="67" s="1"/>
  <c r="V567" i="67" a="1"/>
  <c r="V567" i="67" s="1"/>
  <c r="V542" i="67" a="1"/>
  <c r="V542" i="67" s="1"/>
  <c r="V538" i="67" a="1"/>
  <c r="V538" i="67" s="1"/>
  <c r="V511" i="67" a="1"/>
  <c r="V511" i="67" s="1"/>
  <c r="V506" i="67" a="1"/>
  <c r="V506" i="67" s="1"/>
  <c r="V501" i="67" a="1"/>
  <c r="V501" i="67" s="1"/>
  <c r="V497" i="67" a="1"/>
  <c r="V497" i="67" s="1"/>
  <c r="V493" i="67" a="1"/>
  <c r="V493" i="67" s="1"/>
  <c r="V489" i="67" a="1"/>
  <c r="V489" i="67" s="1"/>
  <c r="V485" i="67" a="1"/>
  <c r="V485" i="67" s="1"/>
  <c r="V481" i="67" a="1"/>
  <c r="V481" i="67" s="1"/>
  <c r="V477" i="67" a="1"/>
  <c r="V477" i="67" s="1"/>
  <c r="V473" i="67" a="1"/>
  <c r="V473" i="67" s="1"/>
  <c r="V469" i="67" a="1"/>
  <c r="V469" i="67" s="1"/>
  <c r="V465" i="67" a="1"/>
  <c r="V465" i="67" s="1"/>
  <c r="V461" i="67" a="1"/>
  <c r="V461" i="67" s="1"/>
  <c r="V453" i="67" a="1"/>
  <c r="V453" i="67" s="1"/>
  <c r="V571" i="67" a="1"/>
  <c r="V571" i="67" s="1"/>
  <c r="V563" i="67" a="1"/>
  <c r="V563" i="67" s="1"/>
  <c r="V557" i="67" a="1"/>
  <c r="V557" i="67" s="1"/>
  <c r="V524" i="67" a="1"/>
  <c r="V524" i="67" s="1"/>
  <c r="V505" i="67" a="1"/>
  <c r="V505" i="67" s="1"/>
  <c r="V484" i="67" a="1"/>
  <c r="V484" i="67" s="1"/>
  <c r="V480" i="67" a="1"/>
  <c r="V480" i="67" s="1"/>
  <c r="V471" i="67" a="1"/>
  <c r="V471" i="67" s="1"/>
  <c r="V460" i="67" a="1"/>
  <c r="V460" i="67" s="1"/>
  <c r="V433" i="67" a="1"/>
  <c r="V433" i="67" s="1"/>
  <c r="V429" i="67" a="1"/>
  <c r="V429" i="67" s="1"/>
  <c r="V425" i="67" a="1"/>
  <c r="V425" i="67" s="1"/>
  <c r="V420" i="67" a="1"/>
  <c r="V420" i="67" s="1"/>
  <c r="V415" i="67" a="1"/>
  <c r="V415" i="67" s="1"/>
  <c r="V411" i="67" a="1"/>
  <c r="V411" i="67" s="1"/>
  <c r="V410" i="67" a="1"/>
  <c r="V410" i="67" s="1"/>
  <c r="V406" i="67" a="1"/>
  <c r="V406" i="67" s="1"/>
  <c r="V401" i="67" a="1"/>
  <c r="V401" i="67" s="1"/>
  <c r="V394" i="67" a="1"/>
  <c r="V394" i="67" s="1"/>
  <c r="V389" i="67" a="1"/>
  <c r="V389" i="67" s="1"/>
  <c r="V384" i="67" a="1"/>
  <c r="V384" i="67" s="1"/>
  <c r="V377" i="67" a="1"/>
  <c r="V377" i="67" s="1"/>
  <c r="V373" i="67" a="1"/>
  <c r="V373" i="67" s="1"/>
  <c r="V372" i="67" a="1"/>
  <c r="V372" i="67" s="1"/>
  <c r="V368" i="67" a="1"/>
  <c r="V368" i="67" s="1"/>
  <c r="V363" i="67" a="1"/>
  <c r="V363" i="67" s="1"/>
  <c r="V353" i="67" a="1"/>
  <c r="V353" i="67" s="1"/>
  <c r="V349" i="67" a="1"/>
  <c r="V349" i="67" s="1"/>
  <c r="V348" i="67" a="1"/>
  <c r="V348" i="67" s="1"/>
  <c r="V329" i="67" a="1"/>
  <c r="V329" i="67" s="1"/>
  <c r="V325" i="67" a="1"/>
  <c r="V325" i="67" s="1"/>
  <c r="V324" i="67" a="1"/>
  <c r="V324" i="67" s="1"/>
  <c r="V305" i="67" a="1"/>
  <c r="V305" i="67" s="1"/>
  <c r="V301" i="67" a="1"/>
  <c r="V301" i="67" s="1"/>
  <c r="V296" i="67" a="1"/>
  <c r="V296" i="67" s="1"/>
  <c r="V235" i="67" a="1"/>
  <c r="V235" i="67" s="1"/>
  <c r="V625" i="67" a="1"/>
  <c r="V625" i="67" s="1"/>
  <c r="V587" i="67" a="1"/>
  <c r="V587" i="67" s="1"/>
  <c r="V572" i="67" a="1"/>
  <c r="V572" i="67" s="1"/>
  <c r="V558" i="67" a="1"/>
  <c r="V558" i="67" s="1"/>
  <c r="V539" i="67" a="1"/>
  <c r="V539" i="67" s="1"/>
  <c r="V510" i="67" a="1"/>
  <c r="V510" i="67" s="1"/>
  <c r="V496" i="67" a="1"/>
  <c r="V496" i="67" s="1"/>
  <c r="V472" i="67" a="1"/>
  <c r="V472" i="67" s="1"/>
  <c r="V463" i="67" a="1"/>
  <c r="V463" i="67" s="1"/>
  <c r="V432" i="67" a="1"/>
  <c r="V432" i="67" s="1"/>
  <c r="V428" i="67" a="1"/>
  <c r="V428" i="67" s="1"/>
  <c r="V424" i="67" a="1"/>
  <c r="V424" i="67" s="1"/>
  <c r="V419" i="67" a="1"/>
  <c r="V419" i="67" s="1"/>
  <c r="V414" i="67" a="1"/>
  <c r="V414" i="67" s="1"/>
  <c r="V409" i="67" a="1"/>
  <c r="V409" i="67" s="1"/>
  <c r="V405" i="67" a="1"/>
  <c r="V405" i="67" s="1"/>
  <c r="V404" i="67" a="1"/>
  <c r="V404" i="67" s="1"/>
  <c r="V400" i="67" a="1"/>
  <c r="V400" i="67" s="1"/>
  <c r="V393" i="67" a="1"/>
  <c r="V393" i="67" s="1"/>
  <c r="V392" i="67" a="1"/>
  <c r="V392" i="67" s="1"/>
  <c r="V388" i="67" a="1"/>
  <c r="V388" i="67" s="1"/>
  <c r="V383" i="67" a="1"/>
  <c r="V383" i="67" s="1"/>
  <c r="V376" i="67" a="1"/>
  <c r="V376" i="67" s="1"/>
  <c r="V371" i="67" a="1"/>
  <c r="V371" i="67" s="1"/>
  <c r="V367" i="67" a="1"/>
  <c r="V367" i="67" s="1"/>
  <c r="V366" i="67" a="1"/>
  <c r="V366" i="67" s="1"/>
  <c r="V362" i="67" a="1"/>
  <c r="V362" i="67" s="1"/>
  <c r="V352" i="67" a="1"/>
  <c r="V352" i="67" s="1"/>
  <c r="V343" i="67" a="1"/>
  <c r="V343" i="67" s="1"/>
  <c r="V342" i="67" a="1"/>
  <c r="V342" i="67" s="1"/>
  <c r="V328" i="67" a="1"/>
  <c r="V328" i="67" s="1"/>
  <c r="V304" i="67" a="1"/>
  <c r="V304" i="67" s="1"/>
  <c r="V299" i="67" a="1"/>
  <c r="V299" i="67" s="1"/>
  <c r="V295" i="67" a="1"/>
  <c r="V295" i="67" s="1"/>
  <c r="V294" i="67" a="1"/>
  <c r="V294" i="67" s="1"/>
  <c r="V253" i="67" a="1"/>
  <c r="V253" i="67" s="1"/>
  <c r="V616" i="67" a="1"/>
  <c r="V616" i="67" s="1"/>
  <c r="V588" i="67" a="1"/>
  <c r="V588" i="67" s="1"/>
  <c r="V543" i="67" a="1"/>
  <c r="V543" i="67" s="1"/>
  <c r="V488" i="67" a="1"/>
  <c r="V488" i="67" s="1"/>
  <c r="V475" i="67" a="1"/>
  <c r="V475" i="67" s="1"/>
  <c r="V467" i="67" a="1"/>
  <c r="V467" i="67" s="1"/>
  <c r="V464" i="67" a="1"/>
  <c r="V464" i="67" s="1"/>
  <c r="V431" i="67" a="1"/>
  <c r="V431" i="67" s="1"/>
  <c r="V427" i="67" a="1"/>
  <c r="V427" i="67" s="1"/>
  <c r="V423" i="67" a="1"/>
  <c r="V423" i="67" s="1"/>
  <c r="V422" i="67" a="1"/>
  <c r="V422" i="67" s="1"/>
  <c r="V418" i="67" a="1"/>
  <c r="V418" i="67" s="1"/>
  <c r="V413" i="67" a="1"/>
  <c r="V413" i="67" s="1"/>
  <c r="V408" i="67" a="1"/>
  <c r="V408" i="67" s="1"/>
  <c r="V403" i="67" a="1"/>
  <c r="V403" i="67" s="1"/>
  <c r="V399" i="67" a="1"/>
  <c r="V399" i="67" s="1"/>
  <c r="V398" i="67" a="1"/>
  <c r="V398" i="67" s="1"/>
  <c r="V397" i="67" a="1"/>
  <c r="V397" i="67" s="1"/>
  <c r="V396" i="67" a="1"/>
  <c r="V396" i="67" s="1"/>
  <c r="V391" i="67" a="1"/>
  <c r="V391" i="67" s="1"/>
  <c r="V387" i="67" a="1"/>
  <c r="V387" i="67" s="1"/>
  <c r="V386" i="67" a="1"/>
  <c r="V386" i="67" s="1"/>
  <c r="V382" i="67" a="1"/>
  <c r="V382" i="67" s="1"/>
  <c r="V375" i="67" a="1"/>
  <c r="V375" i="67" s="1"/>
  <c r="V370" i="67" a="1"/>
  <c r="V370" i="67" s="1"/>
  <c r="V365" i="67" a="1"/>
  <c r="V365" i="67" s="1"/>
  <c r="V361" i="67" a="1"/>
  <c r="V361" i="67" s="1"/>
  <c r="V360" i="67" a="1"/>
  <c r="V360" i="67" s="1"/>
  <c r="V351" i="67" a="1"/>
  <c r="V351" i="67" s="1"/>
  <c r="V341" i="67" a="1"/>
  <c r="V341" i="67" s="1"/>
  <c r="V327" i="67" a="1"/>
  <c r="V327" i="67" s="1"/>
  <c r="V562" i="67" a="1"/>
  <c r="V562" i="67" s="1"/>
  <c r="V447" i="67" a="1"/>
  <c r="V447" i="67" s="1"/>
  <c r="V426" i="67" a="1"/>
  <c r="V426" i="67" s="1"/>
  <c r="V416" i="67" a="1"/>
  <c r="V416" i="67" s="1"/>
  <c r="V390" i="67" a="1"/>
  <c r="V390" i="67" s="1"/>
  <c r="V380" i="67" a="1"/>
  <c r="V380" i="67" s="1"/>
  <c r="V298" i="67" a="1"/>
  <c r="V298" i="67" s="1"/>
  <c r="V276" i="67" a="1"/>
  <c r="V276" i="67" s="1"/>
  <c r="V225" i="67" a="1"/>
  <c r="V225" i="67" s="1"/>
  <c r="V221" i="67" a="1"/>
  <c r="V221" i="67" s="1"/>
  <c r="V211" i="67" a="1"/>
  <c r="V211" i="67" s="1"/>
  <c r="V206" i="67" a="1"/>
  <c r="V206" i="67" s="1"/>
  <c r="V205" i="67" a="1"/>
  <c r="V205" i="67" s="1"/>
  <c r="V200" i="67" a="1"/>
  <c r="V200" i="67" s="1"/>
  <c r="V196" i="67" a="1"/>
  <c r="V196" i="67" s="1"/>
  <c r="V195" i="67" a="1"/>
  <c r="V195" i="67" s="1"/>
  <c r="V191" i="67" a="1"/>
  <c r="V191" i="67" s="1"/>
  <c r="V166" i="67" a="1"/>
  <c r="V166" i="67" s="1"/>
  <c r="V162" i="67" a="1"/>
  <c r="V162" i="67" s="1"/>
  <c r="V146" i="67" a="1"/>
  <c r="V146" i="67" s="1"/>
  <c r="V544" i="67" a="1"/>
  <c r="V544" i="67" s="1"/>
  <c r="V500" i="67" a="1"/>
  <c r="V500" i="67" s="1"/>
  <c r="V479" i="67" a="1"/>
  <c r="V479" i="67" s="1"/>
  <c r="V421" i="67" a="1"/>
  <c r="V421" i="67" s="1"/>
  <c r="V412" i="67" a="1"/>
  <c r="V412" i="67" s="1"/>
  <c r="V402" i="67" a="1"/>
  <c r="V402" i="67" s="1"/>
  <c r="V385" i="67" a="1"/>
  <c r="V385" i="67" s="1"/>
  <c r="V378" i="67" a="1"/>
  <c r="V378" i="67" s="1"/>
  <c r="V369" i="67" a="1"/>
  <c r="V369" i="67" s="1"/>
  <c r="V321" i="67" a="1"/>
  <c r="V321" i="67" s="1"/>
  <c r="V286" i="67" a="1"/>
  <c r="V286" i="67" s="1"/>
  <c r="V224" i="67" a="1"/>
  <c r="V224" i="67" s="1"/>
  <c r="V220" i="67" a="1"/>
  <c r="V220" i="67" s="1"/>
  <c r="V210" i="67" a="1"/>
  <c r="V210" i="67" s="1"/>
  <c r="V204" i="67" a="1"/>
  <c r="V204" i="67" s="1"/>
  <c r="V199" i="67" a="1"/>
  <c r="V199" i="67" s="1"/>
  <c r="V170" i="67" a="1"/>
  <c r="V170" i="67" s="1"/>
  <c r="V161" i="67" a="1"/>
  <c r="V161" i="67" s="1"/>
  <c r="V116" i="67" a="1"/>
  <c r="V116" i="67" s="1"/>
  <c r="V112" i="67" a="1"/>
  <c r="V112" i="67" s="1"/>
  <c r="V111" i="67" a="1"/>
  <c r="V111" i="67" s="1"/>
  <c r="V107" i="67" a="1"/>
  <c r="V107" i="67" s="1"/>
  <c r="V106" i="67" a="1"/>
  <c r="V106" i="67" s="1"/>
  <c r="V102" i="67" a="1"/>
  <c r="V102" i="67" s="1"/>
  <c r="V101" i="67" a="1"/>
  <c r="V101" i="67" s="1"/>
  <c r="V97" i="67" a="1"/>
  <c r="V97" i="67" s="1"/>
  <c r="V492" i="67" a="1"/>
  <c r="V492" i="67" s="1"/>
  <c r="V476" i="67" a="1"/>
  <c r="V476" i="67" s="1"/>
  <c r="V430" i="67" a="1"/>
  <c r="V430" i="67" s="1"/>
  <c r="V417" i="67" a="1"/>
  <c r="V417" i="67" s="1"/>
  <c r="V395" i="67" a="1"/>
  <c r="V395" i="67" s="1"/>
  <c r="V381" i="67" a="1"/>
  <c r="V381" i="67" s="1"/>
  <c r="V379" i="67" a="1"/>
  <c r="V379" i="67" s="1"/>
  <c r="V350" i="67" a="1"/>
  <c r="V350" i="67" s="1"/>
  <c r="V227" i="67" a="1"/>
  <c r="V227" i="67" s="1"/>
  <c r="V223" i="67" a="1"/>
  <c r="V223" i="67" s="1"/>
  <c r="V218" i="67" a="1"/>
  <c r="V218" i="67" s="1"/>
  <c r="V213" i="67" a="1"/>
  <c r="V213" i="67" s="1"/>
  <c r="V209" i="67" a="1"/>
  <c r="V209" i="67" s="1"/>
  <c r="V203" i="67" a="1"/>
  <c r="V203" i="67" s="1"/>
  <c r="V198" i="67" a="1"/>
  <c r="V198" i="67" s="1"/>
  <c r="V169" i="67" a="1"/>
  <c r="V169" i="67" s="1"/>
  <c r="V164" i="67" a="1"/>
  <c r="V164" i="67" s="1"/>
  <c r="V115" i="67" a="1"/>
  <c r="V115" i="67" s="1"/>
  <c r="V110" i="67" a="1"/>
  <c r="V110" i="67" s="1"/>
  <c r="V105" i="67" a="1"/>
  <c r="V105" i="67" s="1"/>
  <c r="V100" i="67" a="1"/>
  <c r="V100" i="67" s="1"/>
  <c r="V96" i="67" a="1"/>
  <c r="V96" i="67" s="1"/>
  <c r="V91" i="67" a="1"/>
  <c r="V91" i="67" s="1"/>
  <c r="V87" i="67" a="1"/>
  <c r="V87" i="67" s="1"/>
  <c r="V86" i="67" a="1"/>
  <c r="V86" i="67" s="1"/>
  <c r="V82" i="67" a="1"/>
  <c r="V82" i="67" s="1"/>
  <c r="V70" i="67" a="1"/>
  <c r="V70" i="67" s="1"/>
  <c r="V65" i="67" a="1"/>
  <c r="V65" i="67" s="1"/>
  <c r="V4" i="67" a="1"/>
  <c r="V4" i="67" s="1"/>
  <c r="V5" i="67" a="1"/>
  <c r="V5" i="67" s="1"/>
  <c r="V6" i="67" a="1"/>
  <c r="V6" i="67" s="1"/>
  <c r="V7" i="67" a="1"/>
  <c r="V7" i="67" s="1"/>
  <c r="V8" i="67" a="1"/>
  <c r="V8" i="67" s="1"/>
  <c r="V9" i="67" a="1"/>
  <c r="V9" i="67" s="1"/>
  <c r="V10" i="67" a="1"/>
  <c r="V10" i="67" s="1"/>
  <c r="V11" i="67" a="1"/>
  <c r="V11" i="67" s="1"/>
  <c r="V12" i="67" a="1"/>
  <c r="V12" i="67" s="1"/>
  <c r="L20" i="67"/>
  <c r="V34" i="67" a="1"/>
  <c r="V34" i="67" s="1"/>
  <c r="V43" i="67" a="1"/>
  <c r="V43" i="67" s="1"/>
  <c r="V44" i="67" a="1"/>
  <c r="V44" i="67" s="1"/>
  <c r="V48" i="67" a="1"/>
  <c r="V48" i="67" s="1"/>
  <c r="V50" i="67" a="1"/>
  <c r="V50" i="67" s="1"/>
  <c r="V54" i="67" a="1"/>
  <c r="V54" i="67" s="1"/>
  <c r="V55" i="67" a="1"/>
  <c r="V55" i="67" s="1"/>
  <c r="V59" i="67" a="1"/>
  <c r="V59" i="67" s="1"/>
  <c r="L66" i="67"/>
  <c r="L70" i="67"/>
  <c r="V75" i="67" a="1"/>
  <c r="V75" i="67" s="1"/>
  <c r="V81" i="67" a="1"/>
  <c r="V81" i="67" s="1"/>
  <c r="V88" i="67" a="1"/>
  <c r="V88" i="67" s="1"/>
  <c r="V90" i="67" a="1"/>
  <c r="V90" i="67" s="1"/>
  <c r="V108" i="67" a="1"/>
  <c r="V108" i="67" s="1"/>
  <c r="T109" i="67"/>
  <c r="V109" i="67" a="1"/>
  <c r="V109" i="67" s="1"/>
  <c r="P117" i="67"/>
  <c r="V120" i="67" s="1" a="1"/>
  <c r="V120" i="67" s="1"/>
  <c r="L117" i="67"/>
  <c r="T123" i="67"/>
  <c r="P154" i="67"/>
  <c r="V158" i="67" s="1" a="1"/>
  <c r="V158" i="67" s="1"/>
  <c r="L154" i="67"/>
  <c r="T160" i="67"/>
  <c r="T196" i="67"/>
  <c r="T195" i="67"/>
  <c r="V201" i="67" a="1"/>
  <c r="V201" i="67" s="1"/>
  <c r="V207" i="67" a="1"/>
  <c r="V207" i="67" s="1"/>
  <c r="V212" i="67" a="1"/>
  <c r="V212" i="67" s="1"/>
  <c r="V217" i="67" a="1"/>
  <c r="V217" i="67" s="1"/>
  <c r="X226" i="67"/>
  <c r="P237" i="67"/>
  <c r="V241" i="67" s="1" a="1"/>
  <c r="V241" i="67" s="1"/>
  <c r="L237" i="67"/>
  <c r="V270" i="67" a="1"/>
  <c r="V270" i="67" s="1"/>
  <c r="V287" i="67" a="1"/>
  <c r="V287" i="67" s="1"/>
  <c r="V297" i="67" a="1"/>
  <c r="V297" i="67" s="1"/>
  <c r="V302" i="67" a="1"/>
  <c r="V302" i="67" s="1"/>
  <c r="P312" i="67"/>
  <c r="V312" i="67" s="1" a="1"/>
  <c r="V312" i="67" s="1"/>
  <c r="L312" i="67"/>
  <c r="V326" i="67" a="1"/>
  <c r="V326" i="67" s="1"/>
  <c r="T331" i="67"/>
  <c r="T330" i="67"/>
  <c r="T381" i="67"/>
  <c r="T380" i="67"/>
  <c r="V407" i="67" a="1"/>
  <c r="V407" i="67" s="1"/>
  <c r="L147" i="67"/>
  <c r="L166" i="67"/>
  <c r="L171" i="67"/>
  <c r="L225" i="67"/>
  <c r="T247" i="67"/>
  <c r="T249" i="67"/>
  <c r="T252" i="67"/>
  <c r="T322" i="67"/>
  <c r="P330" i="67"/>
  <c r="V334" i="67" s="1" a="1"/>
  <c r="V334" i="67" s="1"/>
  <c r="L330" i="67"/>
  <c r="T355" i="67"/>
  <c r="T354" i="67"/>
  <c r="T361" i="67"/>
  <c r="T386" i="67"/>
  <c r="T422" i="67"/>
  <c r="T428" i="67"/>
  <c r="T435" i="67"/>
  <c r="T434" i="67"/>
  <c r="P440" i="67"/>
  <c r="V440" i="67" s="1" a="1"/>
  <c r="V440" i="67" s="1"/>
  <c r="T473" i="67"/>
  <c r="T237" i="67"/>
  <c r="T242" i="67"/>
  <c r="P261" i="67"/>
  <c r="V264" i="67" s="1" a="1"/>
  <c r="V264" i="67" s="1"/>
  <c r="L261" i="67"/>
  <c r="L267" i="67"/>
  <c r="W273" i="67"/>
  <c r="P279" i="67"/>
  <c r="V283" i="67" s="1" a="1"/>
  <c r="V283" i="67" s="1"/>
  <c r="L279" i="67"/>
  <c r="T280" i="67"/>
  <c r="T279" i="67"/>
  <c r="T281" i="67"/>
  <c r="T286" i="67"/>
  <c r="P288" i="67"/>
  <c r="V288" i="67" s="1" a="1"/>
  <c r="V288" i="67" s="1"/>
  <c r="L288" i="67"/>
  <c r="T287" i="67"/>
  <c r="T289" i="67"/>
  <c r="L294" i="67"/>
  <c r="P306" i="67"/>
  <c r="V306" i="67" s="1" a="1"/>
  <c r="V306" i="67" s="1"/>
  <c r="L306" i="67"/>
  <c r="T308" i="67"/>
  <c r="T312" i="67"/>
  <c r="T317" i="67"/>
  <c r="T325" i="67"/>
  <c r="T327" i="67"/>
  <c r="T337" i="67"/>
  <c r="P354" i="67"/>
  <c r="V354" i="67" s="1" a="1"/>
  <c r="V354" i="67" s="1"/>
  <c r="L354" i="67"/>
  <c r="T365" i="67"/>
  <c r="T366" i="67"/>
  <c r="T373" i="67"/>
  <c r="T372" i="67"/>
  <c r="T375" i="67"/>
  <c r="T408" i="67"/>
  <c r="P434" i="67"/>
  <c r="V438" i="67" s="1" a="1"/>
  <c r="V438" i="67" s="1"/>
  <c r="L434" i="67"/>
  <c r="W440" i="67"/>
  <c r="X441" i="67"/>
  <c r="T447" i="67"/>
  <c r="T446" i="67"/>
  <c r="T467" i="67"/>
  <c r="T466" i="67"/>
  <c r="T332" i="67"/>
  <c r="T341" i="67"/>
  <c r="T351" i="67"/>
  <c r="T382" i="67"/>
  <c r="T396" i="67"/>
  <c r="T397" i="67"/>
  <c r="T399" i="67"/>
  <c r="T418" i="67"/>
  <c r="T431" i="67"/>
  <c r="T444" i="67"/>
  <c r="T460" i="67"/>
  <c r="T461" i="67"/>
  <c r="T509" i="67"/>
  <c r="T516" i="67"/>
  <c r="T520" i="67"/>
  <c r="T527" i="67"/>
  <c r="T536" i="67"/>
  <c r="T452" i="67"/>
  <c r="T456" i="67"/>
  <c r="T517" i="67"/>
  <c r="T525" i="67"/>
  <c r="P526" i="67"/>
  <c r="V527" i="67" s="1" a="1"/>
  <c r="V527" i="67" s="1"/>
  <c r="L526" i="67"/>
  <c r="T545" i="67"/>
  <c r="T555" i="67"/>
  <c r="W613" i="67"/>
  <c r="X614" i="67"/>
  <c r="L336" i="67"/>
  <c r="L440" i="67"/>
  <c r="T480" i="67"/>
  <c r="T493" i="67"/>
  <c r="T501" i="67"/>
  <c r="T513" i="67"/>
  <c r="T569" i="67"/>
  <c r="T529" i="67"/>
  <c r="T568" i="67"/>
  <c r="T584" i="67"/>
  <c r="T601" i="67"/>
  <c r="T629" i="67"/>
  <c r="L521" i="67"/>
  <c r="T539" i="67"/>
  <c r="T552" i="67"/>
  <c r="T580" i="67"/>
  <c r="T609" i="67"/>
  <c r="T630" i="67"/>
  <c r="P514" i="67"/>
  <c r="V517" i="67" s="1" a="1"/>
  <c r="V517" i="67" s="1"/>
  <c r="L514" i="67"/>
  <c r="P591" i="67"/>
  <c r="V593" i="67" s="1" a="1"/>
  <c r="V593" i="67" s="1"/>
  <c r="L591" i="67"/>
  <c r="W605" i="67"/>
  <c r="X606" i="67"/>
  <c r="T617" i="67"/>
  <c r="T701" i="67"/>
  <c r="T644" i="67"/>
  <c r="T673" i="67"/>
  <c r="T682" i="67"/>
  <c r="T717" i="67"/>
  <c r="T725" i="67"/>
  <c r="T636" i="67"/>
  <c r="T640" i="67"/>
  <c r="T648" i="67"/>
  <c r="T668" i="67"/>
  <c r="T688" i="67"/>
  <c r="T693" i="67"/>
  <c r="T696" i="67"/>
  <c r="T712" i="67"/>
  <c r="P723" i="67"/>
  <c r="V724" i="67" s="1" a="1"/>
  <c r="V724" i="67" s="1"/>
  <c r="L723" i="67"/>
  <c r="P728" i="67"/>
  <c r="V730" i="67" s="1" a="1"/>
  <c r="V730" i="67" s="1"/>
  <c r="L728" i="67"/>
  <c r="T783" i="67"/>
  <c r="T784" i="67"/>
  <c r="T656" i="67"/>
  <c r="T676" i="67"/>
  <c r="T684" i="67"/>
  <c r="T704" i="67"/>
  <c r="T720" i="67"/>
  <c r="P711" i="67"/>
  <c r="V714" i="67" s="1" a="1"/>
  <c r="V714" i="67" s="1"/>
  <c r="L711" i="67"/>
  <c r="T741" i="67"/>
  <c r="T742" i="67"/>
  <c r="T812" i="67"/>
  <c r="T813" i="67"/>
  <c r="X729" i="67"/>
  <c r="T732" i="67"/>
  <c r="T736" i="67"/>
  <c r="T748" i="67"/>
  <c r="T766" i="67"/>
  <c r="T795" i="67"/>
  <c r="P812" i="67"/>
  <c r="V812" i="67" s="1" a="1"/>
  <c r="V812" i="67" s="1"/>
  <c r="L812" i="67"/>
  <c r="T744" i="67"/>
  <c r="T762" i="67"/>
  <c r="T796" i="67"/>
  <c r="T804" i="67"/>
  <c r="T758" i="67"/>
  <c r="T771" i="67"/>
  <c r="T787" i="67"/>
  <c r="T791" i="67"/>
  <c r="T810" i="67"/>
  <c r="T824" i="67"/>
  <c r="T826" i="67"/>
  <c r="T828" i="67"/>
  <c r="T754" i="67"/>
  <c r="T807" i="67"/>
  <c r="T815" i="67"/>
  <c r="V256" i="67" l="1" a="1"/>
  <c r="V256" i="67" s="1"/>
  <c r="V320" i="67" a="1"/>
  <c r="V320" i="67" s="1"/>
  <c r="T213" i="67"/>
  <c r="V344" i="67" a="1"/>
  <c r="V344" i="67" s="1"/>
  <c r="V322" i="67" a="1"/>
  <c r="V322" i="67" s="1"/>
  <c r="V347" i="67" a="1"/>
  <c r="V347" i="67" s="1"/>
  <c r="V194" i="67" a="1"/>
  <c r="V194" i="67" s="1"/>
  <c r="V222" i="67" a="1"/>
  <c r="V222" i="67" s="1"/>
  <c r="V153" i="67" a="1"/>
  <c r="V153" i="67" s="1"/>
  <c r="V63" i="67" a="1"/>
  <c r="V63" i="67" s="1"/>
  <c r="V346" i="67" a="1"/>
  <c r="V346" i="67" s="1"/>
  <c r="T189" i="67"/>
  <c r="V188" i="67" a="1"/>
  <c r="V188" i="67" s="1"/>
  <c r="V260" i="67" a="1"/>
  <c r="V260" i="67" s="1"/>
  <c r="V258" i="67" a="1"/>
  <c r="V258" i="67" s="1"/>
  <c r="V193" i="67" a="1"/>
  <c r="V193" i="67" s="1"/>
  <c r="V80" i="67" a="1"/>
  <c r="V80" i="67" s="1"/>
  <c r="V151" i="67" a="1"/>
  <c r="V151" i="67" s="1"/>
  <c r="V215" i="67" a="1"/>
  <c r="V215" i="67" s="1"/>
  <c r="V147" i="67" a="1"/>
  <c r="V147" i="67" s="1"/>
  <c r="V318" i="67" a="1"/>
  <c r="V318" i="67" s="1"/>
  <c r="V83" i="67" a="1"/>
  <c r="V83" i="67" s="1"/>
  <c r="V243" i="67" a="1"/>
  <c r="V243" i="67" s="1"/>
  <c r="V150" i="67" a="1"/>
  <c r="V150" i="67" s="1"/>
  <c r="V148" i="67" a="1"/>
  <c r="V148" i="67" s="1"/>
  <c r="V455" i="67" a="1"/>
  <c r="V455" i="67" s="1"/>
  <c r="V319" i="67" a="1"/>
  <c r="V319" i="67" s="1"/>
  <c r="V45" i="67" a="1"/>
  <c r="V45" i="67" s="1"/>
  <c r="V152" i="67" a="1"/>
  <c r="V152" i="67" s="1"/>
  <c r="V246" i="67" a="1"/>
  <c r="V246" i="67" s="1"/>
  <c r="V249" i="67" a="1"/>
  <c r="V249" i="67" s="1"/>
  <c r="V451" i="67" a="1"/>
  <c r="V451" i="67" s="1"/>
  <c r="V252" i="67" a="1"/>
  <c r="V252" i="67" s="1"/>
  <c r="V452" i="67" a="1"/>
  <c r="V452" i="67" s="1"/>
  <c r="V250" i="67" a="1"/>
  <c r="V250" i="67" s="1"/>
  <c r="V231" i="67" a="1"/>
  <c r="V231" i="67" s="1"/>
  <c r="T306" i="67"/>
  <c r="V160" i="67" a="1"/>
  <c r="V160" i="67" s="1"/>
  <c r="V136" i="67" a="1"/>
  <c r="V136" i="67" s="1"/>
  <c r="V248" i="67" a="1"/>
  <c r="V248" i="67" s="1"/>
  <c r="V245" i="67" a="1"/>
  <c r="V245" i="67" s="1"/>
  <c r="V522" i="67" a="1"/>
  <c r="V522" i="67" s="1"/>
  <c r="V720" i="67" a="1"/>
  <c r="V720" i="67" s="1"/>
  <c r="V53" i="67" a="1"/>
  <c r="V53" i="67" s="1"/>
  <c r="V60" i="67" a="1"/>
  <c r="V60" i="67" s="1"/>
  <c r="V228" i="67" a="1"/>
  <c r="V228" i="67" s="1"/>
  <c r="T268" i="67"/>
  <c r="V168" i="67" a="1"/>
  <c r="V168" i="67" s="1"/>
  <c r="V163" i="67" a="1"/>
  <c r="V163" i="67" s="1"/>
  <c r="V131" i="67" a="1"/>
  <c r="V131" i="67" s="1"/>
  <c r="V183" i="67" a="1"/>
  <c r="V183" i="67" s="1"/>
  <c r="V247" i="67" a="1"/>
  <c r="V247" i="67" s="1"/>
  <c r="V165" i="67" a="1"/>
  <c r="V165" i="67" s="1"/>
  <c r="V251" i="67" a="1"/>
  <c r="V251" i="67" s="1"/>
  <c r="V267" i="67" a="1"/>
  <c r="V267" i="67" s="1"/>
  <c r="V226" i="67" a="1"/>
  <c r="V226" i="67" s="1"/>
  <c r="V457" i="67" a="1"/>
  <c r="V457" i="67" s="1"/>
  <c r="V719" i="67" a="1"/>
  <c r="V719" i="67" s="1"/>
  <c r="V51" i="67" a="1"/>
  <c r="V51" i="67" s="1"/>
  <c r="V64" i="67" a="1"/>
  <c r="V64" i="67" s="1"/>
  <c r="V62" i="67" a="1"/>
  <c r="V62" i="67" s="1"/>
  <c r="V28" i="67" a="1"/>
  <c r="V28" i="67" s="1"/>
  <c r="V230" i="67" a="1"/>
  <c r="V230" i="67" s="1"/>
  <c r="V25" i="67" a="1"/>
  <c r="V25" i="67" s="1"/>
  <c r="V49" i="67" a="1"/>
  <c r="V49" i="67" s="1"/>
  <c r="V189" i="67" a="1"/>
  <c r="V189" i="67" s="1"/>
  <c r="V214" i="67" a="1"/>
  <c r="V214" i="67" s="1"/>
  <c r="V132" i="67" a="1"/>
  <c r="V132" i="67" s="1"/>
  <c r="V190" i="67" a="1"/>
  <c r="V190" i="67" s="1"/>
  <c r="V303" i="67" a="1"/>
  <c r="V303" i="67" s="1"/>
  <c r="V456" i="67" a="1"/>
  <c r="V456" i="67" s="1"/>
  <c r="V525" i="67" a="1"/>
  <c r="V525" i="67" s="1"/>
  <c r="V521" i="67" a="1"/>
  <c r="V521" i="67" s="1"/>
  <c r="V257" i="67" a="1"/>
  <c r="V257" i="67" s="1"/>
  <c r="V141" i="67" a="1"/>
  <c r="V141" i="67" s="1"/>
  <c r="V271" i="67" a="1"/>
  <c r="V271" i="67" s="1"/>
  <c r="V268" i="67" a="1"/>
  <c r="V268" i="67" s="1"/>
  <c r="T521" i="67"/>
  <c r="Y816" i="67"/>
  <c r="T348" i="67"/>
  <c r="V137" i="67" a="1"/>
  <c r="V137" i="67" s="1"/>
  <c r="V336" i="67" a="1"/>
  <c r="V336" i="67" s="1"/>
  <c r="V130" i="67" a="1"/>
  <c r="V130" i="67" s="1"/>
  <c r="V340" i="67" a="1"/>
  <c r="V340" i="67" s="1"/>
  <c r="V138" i="67" a="1"/>
  <c r="V138" i="67" s="1"/>
  <c r="V255" i="67" a="1"/>
  <c r="V255" i="67" s="1"/>
  <c r="V139" i="67" a="1"/>
  <c r="V139" i="67" s="1"/>
  <c r="V337" i="67" a="1"/>
  <c r="V337" i="67" s="1"/>
  <c r="T255" i="67"/>
  <c r="T184" i="67"/>
  <c r="V73" i="67" a="1"/>
  <c r="V73" i="67" s="1"/>
  <c r="V33" i="67" a="1"/>
  <c r="V33" i="67" s="1"/>
  <c r="V274" i="67" a="1"/>
  <c r="V274" i="67" s="1"/>
  <c r="V32" i="67" a="1"/>
  <c r="V32" i="67" s="1"/>
  <c r="V77" i="67" a="1"/>
  <c r="V77" i="67" s="1"/>
  <c r="V143" i="67" a="1"/>
  <c r="V143" i="67" s="1"/>
  <c r="V144" i="67" a="1"/>
  <c r="V144" i="67" s="1"/>
  <c r="V278" i="67" a="1"/>
  <c r="V278" i="67" s="1"/>
  <c r="V182" i="67" a="1"/>
  <c r="V182" i="67" s="1"/>
  <c r="V67" i="67" a="1"/>
  <c r="V67" i="67" s="1"/>
  <c r="V29" i="67" a="1"/>
  <c r="V29" i="67" s="1"/>
  <c r="V180" i="67" a="1"/>
  <c r="V180" i="67" s="1"/>
  <c r="V181" i="67" a="1"/>
  <c r="V181" i="67" s="1"/>
  <c r="V809" i="67" a="1"/>
  <c r="V809" i="67" s="1"/>
  <c r="T74" i="67"/>
  <c r="V68" i="67" a="1"/>
  <c r="V68" i="67" s="1"/>
  <c r="V808" i="67" a="1"/>
  <c r="V808" i="67" s="1"/>
  <c r="V27" i="67" a="1"/>
  <c r="V27" i="67" s="1"/>
  <c r="V275" i="67" a="1"/>
  <c r="V275" i="67" s="1"/>
  <c r="V69" i="67" a="1"/>
  <c r="V69" i="67" s="1"/>
  <c r="T179" i="67"/>
  <c r="V79" i="67" a="1"/>
  <c r="V79" i="67" s="1"/>
  <c r="V31" i="67" a="1"/>
  <c r="V31" i="67" s="1"/>
  <c r="V233" i="67" a="1"/>
  <c r="V233" i="67" s="1"/>
  <c r="V448" i="67" a="1"/>
  <c r="V448" i="67" s="1"/>
  <c r="V272" i="67" a="1"/>
  <c r="V272" i="67" s="1"/>
  <c r="V449" i="67" a="1"/>
  <c r="V449" i="67" s="1"/>
  <c r="V78" i="67" a="1"/>
  <c r="V78" i="67" s="1"/>
  <c r="V23" i="67" a="1"/>
  <c r="V23" i="67" s="1"/>
  <c r="T243" i="67"/>
  <c r="V20" i="67" a="1"/>
  <c r="V20" i="67" s="1"/>
  <c r="V26" i="67" a="1"/>
  <c r="V26" i="67" s="1"/>
  <c r="T532" i="67"/>
  <c r="V142" i="67" a="1"/>
  <c r="V142" i="67" s="1"/>
  <c r="V236" i="67" a="1"/>
  <c r="V236" i="67" s="1"/>
  <c r="V277" i="67" a="1"/>
  <c r="V277" i="67" s="1"/>
  <c r="V21" i="67" a="1"/>
  <c r="V21" i="67" s="1"/>
  <c r="V24" i="67" a="1"/>
  <c r="V24" i="67" s="1"/>
  <c r="V232" i="67" a="1"/>
  <c r="V232" i="67" s="1"/>
  <c r="T125" i="67"/>
  <c r="V444" i="67" a="1"/>
  <c r="V444" i="67" s="1"/>
  <c r="V317" i="67" a="1"/>
  <c r="V317" i="67" s="1"/>
  <c r="V716" i="67" a="1"/>
  <c r="V716" i="67" s="1"/>
  <c r="Y804" i="67"/>
  <c r="Y753" i="67"/>
  <c r="Y784" i="67"/>
  <c r="Y817" i="67"/>
  <c r="V240" i="67" a="1"/>
  <c r="V240" i="67" s="1"/>
  <c r="V261" i="67" a="1"/>
  <c r="V261" i="67" s="1"/>
  <c r="Y812" i="67"/>
  <c r="V135" i="67" a="1"/>
  <c r="V135" i="67" s="1"/>
  <c r="V133" i="67" a="1"/>
  <c r="V133" i="67" s="1"/>
  <c r="V338" i="67" a="1"/>
  <c r="V338" i="67" s="1"/>
  <c r="V725" i="67" a="1"/>
  <c r="V725" i="67" s="1"/>
  <c r="V733" i="67" a="1"/>
  <c r="V733" i="67" s="1"/>
  <c r="T301" i="67"/>
  <c r="T300" i="67"/>
  <c r="Y789" i="67"/>
  <c r="Y752" i="67"/>
  <c r="Y473" i="67"/>
  <c r="V124" i="67" a="1"/>
  <c r="V124" i="67" s="1"/>
  <c r="V184" i="67" a="1"/>
  <c r="V184" i="67" s="1"/>
  <c r="V127" i="67" a="1"/>
  <c r="V127" i="67" s="1"/>
  <c r="V186" i="67" a="1"/>
  <c r="V186" i="67" s="1"/>
  <c r="V290" i="67" a="1"/>
  <c r="V290" i="67" s="1"/>
  <c r="V437" i="67" a="1"/>
  <c r="V437" i="67" s="1"/>
  <c r="V529" i="67" a="1"/>
  <c r="V529" i="67" s="1"/>
  <c r="V729" i="67" a="1"/>
  <c r="V729" i="67" s="1"/>
  <c r="V177" i="67" a="1"/>
  <c r="V177" i="67" s="1"/>
  <c r="Y347" i="67"/>
  <c r="T143" i="67"/>
  <c r="Y796" i="67"/>
  <c r="Y755" i="67"/>
  <c r="T262" i="67"/>
  <c r="V174" i="67" a="1"/>
  <c r="V174" i="67" s="1"/>
  <c r="V185" i="67" a="1"/>
  <c r="V185" i="67" s="1"/>
  <c r="V171" i="67" a="1"/>
  <c r="V171" i="67" s="1"/>
  <c r="V459" i="67" a="1"/>
  <c r="V459" i="67" s="1"/>
  <c r="V173" i="67" a="1"/>
  <c r="V173" i="67" s="1"/>
  <c r="V178" i="67" a="1"/>
  <c r="V178" i="67" s="1"/>
  <c r="V311" i="67" a="1"/>
  <c r="V311" i="67" s="1"/>
  <c r="V128" i="67" a="1"/>
  <c r="V128" i="67" s="1"/>
  <c r="V172" i="67" a="1"/>
  <c r="V172" i="67" s="1"/>
  <c r="V442" i="67" a="1"/>
  <c r="V442" i="67" s="1"/>
  <c r="V514" i="67" a="1"/>
  <c r="V514" i="67" s="1"/>
  <c r="V728" i="67" a="1"/>
  <c r="V728" i="67" s="1"/>
  <c r="V734" i="67" a="1"/>
  <c r="V734" i="67" s="1"/>
  <c r="V238" i="67" a="1"/>
  <c r="V238" i="67" s="1"/>
  <c r="Y528" i="67"/>
  <c r="Y103" i="67"/>
  <c r="V266" i="67" a="1"/>
  <c r="V266" i="67" s="1"/>
  <c r="Y4" i="67"/>
  <c r="V126" i="67" a="1"/>
  <c r="V126" i="67" s="1"/>
  <c r="V175" i="67" a="1"/>
  <c r="V175" i="67" s="1"/>
  <c r="V356" i="67" a="1"/>
  <c r="V356" i="67" s="1"/>
  <c r="V239" i="67" a="1"/>
  <c r="V239" i="67" s="1"/>
  <c r="V291" i="67" a="1"/>
  <c r="V291" i="67" s="1"/>
  <c r="V597" i="67" a="1"/>
  <c r="V597" i="67" s="1"/>
  <c r="V594" i="67" a="1"/>
  <c r="V594" i="67" s="1"/>
  <c r="V313" i="67" a="1"/>
  <c r="V313" i="67" s="1"/>
  <c r="Y713" i="67"/>
  <c r="Y681" i="67"/>
  <c r="Y673" i="67"/>
  <c r="Y639" i="67"/>
  <c r="Y641" i="67"/>
  <c r="Y593" i="67"/>
  <c r="Y609" i="67"/>
  <c r="Y522" i="67"/>
  <c r="Y493" i="67"/>
  <c r="Y450" i="67"/>
  <c r="Y352" i="67"/>
  <c r="Y278" i="67"/>
  <c r="Y376" i="67"/>
  <c r="Y314" i="67"/>
  <c r="Y537" i="67"/>
  <c r="Y405" i="67"/>
  <c r="Y269" i="67"/>
  <c r="Y421" i="67"/>
  <c r="Y256" i="67"/>
  <c r="Y126" i="67"/>
  <c r="Y777" i="67"/>
  <c r="Y666" i="67"/>
  <c r="Y725" i="67"/>
  <c r="Y705" i="67"/>
  <c r="Y605" i="67"/>
  <c r="Y573" i="67"/>
  <c r="Y586" i="67"/>
  <c r="Y494" i="67"/>
  <c r="Y469" i="67"/>
  <c r="Y442" i="67"/>
  <c r="Y349" i="67"/>
  <c r="Y250" i="67"/>
  <c r="Y373" i="67"/>
  <c r="Y294" i="67"/>
  <c r="Y438" i="67"/>
  <c r="Y330" i="67"/>
  <c r="Y249" i="67"/>
  <c r="Y401" i="67"/>
  <c r="Y220" i="67"/>
  <c r="Y161" i="67"/>
  <c r="Y122" i="67"/>
  <c r="Y125" i="67"/>
  <c r="Y385" i="67"/>
  <c r="Y243" i="67"/>
  <c r="Y184" i="67"/>
  <c r="Y156" i="67"/>
  <c r="Y109" i="67"/>
  <c r="Y242" i="67"/>
  <c r="Y378" i="67"/>
  <c r="Y298" i="67"/>
  <c r="Y128" i="67"/>
  <c r="Y181" i="67"/>
  <c r="Y233" i="67"/>
  <c r="Y381" i="67"/>
  <c r="Y341" i="67"/>
  <c r="Y391" i="67"/>
  <c r="Y431" i="67"/>
  <c r="Y587" i="67"/>
  <c r="Y459" i="67"/>
  <c r="Y538" i="67"/>
  <c r="Y534" i="67"/>
  <c r="Y487" i="67"/>
  <c r="Y544" i="67"/>
  <c r="Y616" i="67"/>
  <c r="Y615" i="67"/>
  <c r="Y640" i="67"/>
  <c r="Y798" i="67"/>
  <c r="Y660" i="67"/>
  <c r="Y736" i="67"/>
  <c r="Y811" i="67"/>
  <c r="Y775" i="67"/>
  <c r="Y229" i="67"/>
  <c r="Y137" i="67"/>
  <c r="Y404" i="67"/>
  <c r="Y218" i="67"/>
  <c r="Y174" i="67"/>
  <c r="Y138" i="67"/>
  <c r="Y112" i="67"/>
  <c r="Y84" i="67"/>
  <c r="Y71" i="67"/>
  <c r="Y46" i="67"/>
  <c r="Y749" i="67"/>
  <c r="Y334" i="67"/>
  <c r="Y197" i="67"/>
  <c r="Y86" i="67"/>
  <c r="Y23" i="67"/>
  <c r="Y11" i="67"/>
  <c r="Y63" i="67"/>
  <c r="Y93" i="67"/>
  <c r="Y54" i="67"/>
  <c r="Y75" i="67"/>
  <c r="Y17" i="67"/>
  <c r="Y48" i="67"/>
  <c r="Y33" i="67"/>
  <c r="Y9" i="67"/>
  <c r="Y59" i="67"/>
  <c r="Y785" i="67"/>
  <c r="Y800" i="67"/>
  <c r="Y769" i="67"/>
  <c r="Y808" i="67"/>
  <c r="Y788" i="67"/>
  <c r="Y746" i="67"/>
  <c r="Y792" i="67"/>
  <c r="Y750" i="67"/>
  <c r="Y730" i="67"/>
  <c r="Y781" i="67"/>
  <c r="Y742" i="67"/>
  <c r="Y773" i="67"/>
  <c r="Y737" i="67"/>
  <c r="Y711" i="67"/>
  <c r="Y689" i="67"/>
  <c r="Y764" i="67"/>
  <c r="Y701" i="67"/>
  <c r="Y678" i="67"/>
  <c r="Y763" i="67"/>
  <c r="Y723" i="67"/>
  <c r="Y693" i="67"/>
  <c r="Y670" i="67"/>
  <c r="Y662" i="67"/>
  <c r="Y630" i="67"/>
  <c r="Y733" i="67"/>
  <c r="Y634" i="67"/>
  <c r="Y685" i="67"/>
  <c r="Y702" i="67"/>
  <c r="Y635" i="67"/>
  <c r="T605" i="67"/>
  <c r="T606" i="67"/>
  <c r="Y591" i="67"/>
  <c r="Y569" i="67"/>
  <c r="Y514" i="67"/>
  <c r="Y617" i="67"/>
  <c r="Y589" i="67"/>
  <c r="Y566" i="67"/>
  <c r="Y521" i="67"/>
  <c r="Y602" i="67"/>
  <c r="Y561" i="67"/>
  <c r="Y581" i="67"/>
  <c r="Y465" i="67"/>
  <c r="Y336" i="67"/>
  <c r="Y613" i="67"/>
  <c r="Y555" i="67"/>
  <c r="Y530" i="67"/>
  <c r="Y486" i="67"/>
  <c r="Y565" i="67"/>
  <c r="Y506" i="67"/>
  <c r="Y466" i="67"/>
  <c r="Y531" i="67"/>
  <c r="Y453" i="67"/>
  <c r="Y432" i="67"/>
  <c r="Y342" i="67"/>
  <c r="Y305" i="67"/>
  <c r="Y273" i="67"/>
  <c r="Y248" i="67"/>
  <c r="Y490" i="67"/>
  <c r="Y441" i="67"/>
  <c r="Y354" i="67"/>
  <c r="Y291" i="67"/>
  <c r="Y261" i="67"/>
  <c r="Y239" i="67"/>
  <c r="Y535" i="67"/>
  <c r="Y451" i="67"/>
  <c r="Y425" i="67"/>
  <c r="Y392" i="67"/>
  <c r="Y362" i="67"/>
  <c r="Y304" i="67"/>
  <c r="Y277" i="67"/>
  <c r="Y254" i="67"/>
  <c r="Y166" i="67"/>
  <c r="Y414" i="67"/>
  <c r="Y265" i="67"/>
  <c r="Y240" i="67"/>
  <c r="Y185" i="67"/>
  <c r="V122" i="67" a="1"/>
  <c r="V122" i="67" s="1"/>
  <c r="Y114" i="67"/>
  <c r="Y108" i="67"/>
  <c r="V265" i="67" a="1"/>
  <c r="V265" i="67" s="1"/>
  <c r="V121" i="67" a="1"/>
  <c r="V121" i="67" s="1"/>
  <c r="V156" i="67" a="1"/>
  <c r="V156" i="67" s="1"/>
  <c r="V237" i="67" a="1"/>
  <c r="V237" i="67" s="1"/>
  <c r="V289" i="67" a="1"/>
  <c r="V289" i="67" s="1"/>
  <c r="V307" i="67" a="1"/>
  <c r="V307" i="67" s="1"/>
  <c r="V359" i="67" a="1"/>
  <c r="V359" i="67" s="1"/>
  <c r="V309" i="67" a="1"/>
  <c r="V309" i="67" s="1"/>
  <c r="V357" i="67" a="1"/>
  <c r="V357" i="67" s="1"/>
  <c r="V441" i="67" a="1"/>
  <c r="V441" i="67" s="1"/>
  <c r="V310" i="67" a="1"/>
  <c r="V310" i="67" s="1"/>
  <c r="V358" i="67" a="1"/>
  <c r="V358" i="67" s="1"/>
  <c r="V516" i="67" a="1"/>
  <c r="V516" i="67" s="1"/>
  <c r="V713" i="67" a="1"/>
  <c r="V713" i="67" s="1"/>
  <c r="V732" i="67" a="1"/>
  <c r="V732" i="67" s="1"/>
  <c r="V815" i="67" a="1"/>
  <c r="V815" i="67" s="1"/>
  <c r="V813" i="67" a="1"/>
  <c r="V813" i="67" s="1"/>
  <c r="Y369" i="67"/>
  <c r="Y170" i="67"/>
  <c r="V119" i="67" a="1"/>
  <c r="V119" i="67" s="1"/>
  <c r="Y105" i="67"/>
  <c r="Y467" i="67"/>
  <c r="Y335" i="67"/>
  <c r="Y284" i="67"/>
  <c r="Y217" i="67"/>
  <c r="Y163" i="67"/>
  <c r="Y120" i="67"/>
  <c r="Y106" i="67"/>
  <c r="Y87" i="67"/>
  <c r="Y74" i="67"/>
  <c r="Y13" i="67"/>
  <c r="Y246" i="67"/>
  <c r="Y286" i="67"/>
  <c r="Y321" i="67"/>
  <c r="Y390" i="67"/>
  <c r="Y464" i="67"/>
  <c r="Y271" i="67"/>
  <c r="Y303" i="67"/>
  <c r="Y364" i="67"/>
  <c r="Y416" i="67"/>
  <c r="Y133" i="67"/>
  <c r="Y148" i="67"/>
  <c r="Y167" i="67"/>
  <c r="Y186" i="67"/>
  <c r="Y200" i="67"/>
  <c r="Y216" i="67"/>
  <c r="Y234" i="67"/>
  <c r="Y270" i="67"/>
  <c r="Y293" i="67"/>
  <c r="Y331" i="67"/>
  <c r="Y395" i="67"/>
  <c r="Y327" i="67"/>
  <c r="Y346" i="67"/>
  <c r="Y361" i="67"/>
  <c r="Y382" i="67"/>
  <c r="Y396" i="67"/>
  <c r="Y403" i="67"/>
  <c r="Y422" i="67"/>
  <c r="Y436" i="67"/>
  <c r="Y463" i="67"/>
  <c r="Y515" i="67"/>
  <c r="Y604" i="67"/>
  <c r="Y480" i="67"/>
  <c r="Y524" i="67"/>
  <c r="Y468" i="67"/>
  <c r="Y500" i="67"/>
  <c r="Y568" i="67"/>
  <c r="Y542" i="67"/>
  <c r="Y583" i="67"/>
  <c r="Y628" i="67"/>
  <c r="Y541" i="67"/>
  <c r="Y579" i="67"/>
  <c r="Y629" i="67"/>
  <c r="Y491" i="67"/>
  <c r="Y508" i="67"/>
  <c r="Y519" i="67"/>
  <c r="Y547" i="67"/>
  <c r="Y575" i="67"/>
  <c r="Y625" i="67"/>
  <c r="Y652" i="67"/>
  <c r="Y603" i="67"/>
  <c r="Y619" i="67"/>
  <c r="Y633" i="67"/>
  <c r="Y699" i="67"/>
  <c r="Y647" i="67"/>
  <c r="Y684" i="67"/>
  <c r="Y720" i="67"/>
  <c r="Y655" i="67"/>
  <c r="Y683" i="67"/>
  <c r="Y719" i="67"/>
  <c r="Y663" i="67"/>
  <c r="Y700" i="67"/>
  <c r="Y771" i="67"/>
  <c r="Y802" i="67"/>
  <c r="Y744" i="67"/>
  <c r="Y774" i="67"/>
  <c r="Y778" i="67"/>
  <c r="Y826" i="67"/>
  <c r="Y790" i="67"/>
  <c r="Y825" i="67"/>
  <c r="Y779" i="67"/>
  <c r="Y806" i="67"/>
  <c r="Y223" i="67"/>
  <c r="Y159" i="67"/>
  <c r="Y131" i="67"/>
  <c r="Y99" i="67"/>
  <c r="Y26" i="67"/>
  <c r="Y21" i="67"/>
  <c r="Y402" i="67"/>
  <c r="Y259" i="67"/>
  <c r="Y187" i="67"/>
  <c r="Y142" i="67"/>
  <c r="Y110" i="67"/>
  <c r="Y73" i="67"/>
  <c r="Y255" i="67"/>
  <c r="Y231" i="67"/>
  <c r="Y226" i="67"/>
  <c r="Y183" i="67"/>
  <c r="Y136" i="67"/>
  <c r="Y113" i="67"/>
  <c r="Y45" i="67"/>
  <c r="Y44" i="67"/>
  <c r="Y31" i="67"/>
  <c r="Y7" i="67"/>
  <c r="Y49" i="67"/>
  <c r="Y53" i="67"/>
  <c r="Y35" i="67"/>
  <c r="Y28" i="67"/>
  <c r="Y58" i="67"/>
  <c r="Y10" i="67"/>
  <c r="Y47" i="67"/>
  <c r="Y29" i="67"/>
  <c r="Y5" i="67"/>
  <c r="Y739" i="67"/>
  <c r="Y722" i="67"/>
  <c r="Y714" i="67"/>
  <c r="Y735" i="67"/>
  <c r="Y517" i="67"/>
  <c r="Y532" i="67"/>
  <c r="Y590" i="67"/>
  <c r="Y614" i="67"/>
  <c r="Y481" i="67"/>
  <c r="Y383" i="67"/>
  <c r="Y320" i="67"/>
  <c r="Y409" i="67"/>
  <c r="Y338" i="67"/>
  <c r="Y372" i="67"/>
  <c r="Y296" i="67"/>
  <c r="Y290" i="67"/>
  <c r="Y209" i="67"/>
  <c r="Y100" i="67"/>
  <c r="Y199" i="67"/>
  <c r="Y317" i="67"/>
  <c r="Y260" i="67"/>
  <c r="Y407" i="67"/>
  <c r="Y162" i="67"/>
  <c r="Y211" i="67"/>
  <c r="Y287" i="67"/>
  <c r="Y443" i="67"/>
  <c r="Y375" i="67"/>
  <c r="Y418" i="67"/>
  <c r="Y510" i="67"/>
  <c r="Y516" i="67"/>
  <c r="Y562" i="67"/>
  <c r="Y612" i="67"/>
  <c r="Y627" i="67"/>
  <c r="Y518" i="67"/>
  <c r="Y599" i="67"/>
  <c r="Y688" i="67"/>
  <c r="Y704" i="67"/>
  <c r="Y716" i="67"/>
  <c r="Y740" i="67"/>
  <c r="Y765" i="67"/>
  <c r="Y786" i="67"/>
  <c r="Y803" i="67"/>
  <c r="Y168" i="67"/>
  <c r="Y22" i="67"/>
  <c r="Y353" i="67"/>
  <c r="Y192" i="67"/>
  <c r="Y144" i="67"/>
  <c r="Y124" i="67"/>
  <c r="Y94" i="67"/>
  <c r="Y76" i="67"/>
  <c r="Y57" i="67"/>
  <c r="Y19" i="67"/>
  <c r="Y456" i="67"/>
  <c r="Y227" i="67"/>
  <c r="Y143" i="67"/>
  <c r="V118" i="67" a="1"/>
  <c r="V118" i="67" s="1"/>
  <c r="Y51" i="67"/>
  <c r="Y38" i="67"/>
  <c r="Y8" i="67"/>
  <c r="Y809" i="67"/>
  <c r="Y772" i="67"/>
  <c r="Y793" i="67"/>
  <c r="Y780" i="67"/>
  <c r="Y805" i="67"/>
  <c r="Y768" i="67"/>
  <c r="Y801" i="67"/>
  <c r="T728" i="67"/>
  <c r="T729" i="67"/>
  <c r="Y757" i="67"/>
  <c r="Y738" i="67"/>
  <c r="Y761" i="67"/>
  <c r="Y726" i="67"/>
  <c r="Y674" i="67"/>
  <c r="Y751" i="67"/>
  <c r="Y709" i="67"/>
  <c r="Y686" i="67"/>
  <c r="Y653" i="67"/>
  <c r="Y728" i="67"/>
  <c r="Y698" i="67"/>
  <c r="Y690" i="67"/>
  <c r="Y646" i="67"/>
  <c r="Y626" i="67"/>
  <c r="Y682" i="67"/>
  <c r="Y729" i="67"/>
  <c r="Y657" i="67"/>
  <c r="Y677" i="67"/>
  <c r="Y622" i="67"/>
  <c r="Y560" i="67"/>
  <c r="Y610" i="67"/>
  <c r="Y582" i="67"/>
  <c r="Y564" i="67"/>
  <c r="Y545" i="67"/>
  <c r="Y643" i="67"/>
  <c r="Y577" i="67"/>
  <c r="Y556" i="67"/>
  <c r="Y527" i="67"/>
  <c r="Y502" i="67"/>
  <c r="Y489" i="67"/>
  <c r="Y462" i="67"/>
  <c r="T613" i="67"/>
  <c r="T614" i="67"/>
  <c r="Y597" i="67"/>
  <c r="Y526" i="67"/>
  <c r="Y507" i="67"/>
  <c r="Y477" i="67"/>
  <c r="Y454" i="67"/>
  <c r="Y546" i="67"/>
  <c r="Y498" i="67"/>
  <c r="Y461" i="67"/>
  <c r="Y478" i="67"/>
  <c r="Y445" i="67"/>
  <c r="Y410" i="67"/>
  <c r="Y377" i="67"/>
  <c r="Y329" i="67"/>
  <c r="Y300" i="67"/>
  <c r="Y268" i="67"/>
  <c r="Y245" i="67"/>
  <c r="Y470" i="67"/>
  <c r="Y434" i="67"/>
  <c r="Y406" i="67"/>
  <c r="Y366" i="67"/>
  <c r="Y328" i="67"/>
  <c r="Y325" i="67"/>
  <c r="Y310" i="67"/>
  <c r="Y306" i="67"/>
  <c r="Y267" i="67"/>
  <c r="Y511" i="67"/>
  <c r="Y449" i="67"/>
  <c r="Y389" i="67"/>
  <c r="Y324" i="67"/>
  <c r="Y301" i="67"/>
  <c r="Y274" i="67"/>
  <c r="Y244" i="67"/>
  <c r="Y147" i="67"/>
  <c r="V434" i="67" a="1"/>
  <c r="V434" i="67" s="1"/>
  <c r="Y412" i="67"/>
  <c r="Y322" i="67"/>
  <c r="Y311" i="67"/>
  <c r="V293" i="67" a="1"/>
  <c r="V293" i="67" s="1"/>
  <c r="V279" i="67" a="1"/>
  <c r="V279" i="67" s="1"/>
  <c r="Y263" i="67"/>
  <c r="Y237" i="67"/>
  <c r="Y228" i="67"/>
  <c r="Y214" i="67"/>
  <c r="Y203" i="67"/>
  <c r="Y169" i="67"/>
  <c r="Y154" i="67"/>
  <c r="Y135" i="67"/>
  <c r="V123" i="67" a="1"/>
  <c r="V123" i="67" s="1"/>
  <c r="Y119" i="67"/>
  <c r="Y111" i="67"/>
  <c r="Y78" i="67"/>
  <c r="Y70" i="67"/>
  <c r="V154" i="67" a="1"/>
  <c r="V154" i="67" s="1"/>
  <c r="V284" i="67" a="1"/>
  <c r="V284" i="67" s="1"/>
  <c r="V331" i="67" a="1"/>
  <c r="V331" i="67" s="1"/>
  <c r="V443" i="67" a="1"/>
  <c r="V443" i="67" s="1"/>
  <c r="V242" i="67" a="1"/>
  <c r="V242" i="67" s="1"/>
  <c r="V262" i="67" a="1"/>
  <c r="V262" i="67" s="1"/>
  <c r="V308" i="67" a="1"/>
  <c r="V308" i="67" s="1"/>
  <c r="V335" i="67" a="1"/>
  <c r="V335" i="67" s="1"/>
  <c r="V435" i="67" a="1"/>
  <c r="V435" i="67" s="1"/>
  <c r="V157" i="67" a="1"/>
  <c r="V157" i="67" s="1"/>
  <c r="V280" i="67" a="1"/>
  <c r="V280" i="67" s="1"/>
  <c r="V316" i="67" a="1"/>
  <c r="V316" i="67" s="1"/>
  <c r="V439" i="67" a="1"/>
  <c r="V439" i="67" s="1"/>
  <c r="V332" i="67" a="1"/>
  <c r="V332" i="67" s="1"/>
  <c r="V436" i="67" a="1"/>
  <c r="V436" i="67" s="1"/>
  <c r="V263" i="67" a="1"/>
  <c r="V263" i="67" s="1"/>
  <c r="V314" i="67" a="1"/>
  <c r="V314" i="67" s="1"/>
  <c r="V445" i="67" a="1"/>
  <c r="V445" i="67" s="1"/>
  <c r="V515" i="67" a="1"/>
  <c r="V515" i="67" s="1"/>
  <c r="V315" i="67" a="1"/>
  <c r="V315" i="67" s="1"/>
  <c r="V528" i="67" a="1"/>
  <c r="V528" i="67" s="1"/>
  <c r="V519" i="67" a="1"/>
  <c r="V519" i="67" s="1"/>
  <c r="V595" i="67" a="1"/>
  <c r="V595" i="67" s="1"/>
  <c r="V526" i="67" a="1"/>
  <c r="V526" i="67" s="1"/>
  <c r="V711" i="67" a="1"/>
  <c r="V711" i="67" s="1"/>
  <c r="V727" i="67" a="1"/>
  <c r="V727" i="67" s="1"/>
  <c r="V723" i="67" a="1"/>
  <c r="V723" i="67" s="1"/>
  <c r="V717" i="67" a="1"/>
  <c r="V717" i="67" s="1"/>
  <c r="V726" i="67" a="1"/>
  <c r="V726" i="67" s="1"/>
  <c r="Y215" i="67"/>
  <c r="Y140" i="67"/>
  <c r="Y118" i="67"/>
  <c r="Y446" i="67"/>
  <c r="Y368" i="67"/>
  <c r="Y318" i="67"/>
  <c r="Y282" i="67"/>
  <c r="Y247" i="67"/>
  <c r="Y212" i="67"/>
  <c r="Y189" i="67"/>
  <c r="Y179" i="67"/>
  <c r="Y173" i="67"/>
  <c r="Y160" i="67"/>
  <c r="Y130" i="67"/>
  <c r="Y115" i="67"/>
  <c r="Y97" i="67"/>
  <c r="Y89" i="67"/>
  <c r="Y60" i="67"/>
  <c r="Y251" i="67"/>
  <c r="Y289" i="67"/>
  <c r="Y345" i="67"/>
  <c r="Y426" i="67"/>
  <c r="Y475" i="67"/>
  <c r="Y276" i="67"/>
  <c r="Y307" i="67"/>
  <c r="Y374" i="67"/>
  <c r="Y488" i="67"/>
  <c r="Y139" i="67"/>
  <c r="Y152" i="67"/>
  <c r="Y172" i="67"/>
  <c r="Y191" i="67"/>
  <c r="Y205" i="67"/>
  <c r="Y221" i="67"/>
  <c r="Y238" i="67"/>
  <c r="Y275" i="67"/>
  <c r="Y297" i="67"/>
  <c r="Y340" i="67"/>
  <c r="Y417" i="67"/>
  <c r="Y332" i="67"/>
  <c r="Y351" i="67"/>
  <c r="Y365" i="67"/>
  <c r="Y386" i="67"/>
  <c r="Y397" i="67"/>
  <c r="Y408" i="67"/>
  <c r="Y423" i="67"/>
  <c r="Y444" i="67"/>
  <c r="Y472" i="67"/>
  <c r="Y539" i="67"/>
  <c r="Y712" i="67"/>
  <c r="Y484" i="67"/>
  <c r="Y557" i="67"/>
  <c r="Y476" i="67"/>
  <c r="Y523" i="67"/>
  <c r="Y621" i="67"/>
  <c r="Y552" i="67"/>
  <c r="Y596" i="67"/>
  <c r="Y696" i="67"/>
  <c r="Y548" i="67"/>
  <c r="Y608" i="67"/>
  <c r="Y679" i="67"/>
  <c r="Y495" i="67"/>
  <c r="Y509" i="67"/>
  <c r="Y520" i="67"/>
  <c r="Y558" i="67"/>
  <c r="Y588" i="67"/>
  <c r="Y644" i="67"/>
  <c r="Y659" i="67"/>
  <c r="Y607" i="67"/>
  <c r="Y624" i="67"/>
  <c r="Y651" i="67"/>
  <c r="Y767" i="67"/>
  <c r="Y656" i="67"/>
  <c r="Y687" i="67"/>
  <c r="Y727" i="67"/>
  <c r="Y664" i="67"/>
  <c r="Y692" i="67"/>
  <c r="Y724" i="67"/>
  <c r="Y671" i="67"/>
  <c r="Y708" i="67"/>
  <c r="Y748" i="67"/>
  <c r="Y819" i="67"/>
  <c r="Y747" i="67"/>
  <c r="Y818" i="67"/>
  <c r="Y791" i="67"/>
  <c r="Y758" i="67"/>
  <c r="Y807" i="67"/>
  <c r="Y827" i="67"/>
  <c r="Y782" i="67"/>
  <c r="Y814" i="67"/>
  <c r="Y384" i="67"/>
  <c r="Y208" i="67"/>
  <c r="Y178" i="67"/>
  <c r="Y121" i="67"/>
  <c r="Y25" i="67"/>
  <c r="Y497" i="67"/>
  <c r="Y379" i="67"/>
  <c r="T342" i="67"/>
  <c r="T343" i="67"/>
  <c r="Y224" i="67"/>
  <c r="Y213" i="67"/>
  <c r="Y182" i="67"/>
  <c r="Y164" i="67"/>
  <c r="Y151" i="67"/>
  <c r="Y132" i="67"/>
  <c r="V117" i="67" a="1"/>
  <c r="V117" i="67" s="1"/>
  <c r="Y98" i="67"/>
  <c r="Y62" i="67"/>
  <c r="Y52" i="67"/>
  <c r="Y433" i="67"/>
  <c r="Y210" i="67"/>
  <c r="V129" i="67" a="1"/>
  <c r="V129" i="67" s="1"/>
  <c r="Y107" i="67"/>
  <c r="Y65" i="67"/>
  <c r="Y95" i="67"/>
  <c r="Y81" i="67"/>
  <c r="Y43" i="67"/>
  <c r="Y18" i="67"/>
  <c r="V592" i="67" a="1"/>
  <c r="V592" i="67" s="1"/>
  <c r="Y37" i="67"/>
  <c r="Y39" i="67"/>
  <c r="Y32" i="67"/>
  <c r="Y15" i="67"/>
  <c r="Y50" i="67"/>
  <c r="Y92" i="67"/>
  <c r="Y72" i="67"/>
  <c r="Y40" i="67"/>
  <c r="Y85" i="67"/>
  <c r="Y694" i="67"/>
  <c r="Y658" i="67"/>
  <c r="Y650" i="67"/>
  <c r="Y637" i="67"/>
  <c r="Y578" i="67"/>
  <c r="Y554" i="67"/>
  <c r="Y536" i="67"/>
  <c r="Y440" i="67"/>
  <c r="Y645" i="67"/>
  <c r="Y419" i="67"/>
  <c r="Y333" i="67"/>
  <c r="Y601" i="67"/>
  <c r="Y363" i="67"/>
  <c r="Y288" i="67"/>
  <c r="Y428" i="67"/>
  <c r="Y319" i="67"/>
  <c r="Y171" i="67"/>
  <c r="Y312" i="67"/>
  <c r="Y236" i="67"/>
  <c r="Y198" i="67"/>
  <c r="Y79" i="67"/>
  <c r="Y455" i="67"/>
  <c r="Y61" i="67"/>
  <c r="Y355" i="67"/>
  <c r="Y201" i="67"/>
  <c r="Y175" i="67"/>
  <c r="Y123" i="67"/>
  <c r="Y80" i="67"/>
  <c r="Y281" i="67"/>
  <c r="Y447" i="67"/>
  <c r="Y326" i="67"/>
  <c r="Y146" i="67"/>
  <c r="Y196" i="67"/>
  <c r="Y266" i="67"/>
  <c r="Y313" i="67"/>
  <c r="Y360" i="67"/>
  <c r="Y399" i="67"/>
  <c r="Y452" i="67"/>
  <c r="Y471" i="67"/>
  <c r="Y492" i="67"/>
  <c r="Y580" i="67"/>
  <c r="Y576" i="67"/>
  <c r="Y504" i="67"/>
  <c r="Y572" i="67"/>
  <c r="Y794" i="67"/>
  <c r="Y632" i="67"/>
  <c r="Y676" i="67"/>
  <c r="Y675" i="67"/>
  <c r="Y691" i="67"/>
  <c r="Y770" i="67"/>
  <c r="Y743" i="67"/>
  <c r="Y823" i="67"/>
  <c r="Y188" i="67"/>
  <c r="Y67" i="67"/>
  <c r="Y420" i="67"/>
  <c r="Y155" i="67"/>
  <c r="Y101" i="67"/>
  <c r="Y820" i="67"/>
  <c r="Y776" i="67"/>
  <c r="Y756" i="67"/>
  <c r="Y741" i="67"/>
  <c r="Y797" i="67"/>
  <c r="Y760" i="67"/>
  <c r="Y821" i="67"/>
  <c r="Y813" i="67"/>
  <c r="Y745" i="67"/>
  <c r="Y734" i="67"/>
  <c r="Y718" i="67"/>
  <c r="Y697" i="67"/>
  <c r="Y669" i="67"/>
  <c r="Y731" i="67"/>
  <c r="Y706" i="67"/>
  <c r="Y661" i="67"/>
  <c r="Y717" i="67"/>
  <c r="Y665" i="67"/>
  <c r="Y642" i="67"/>
  <c r="Y759" i="67"/>
  <c r="Y721" i="67"/>
  <c r="Y710" i="67"/>
  <c r="Y654" i="67"/>
  <c r="Y649" i="67"/>
  <c r="Y618" i="67"/>
  <c r="Y606" i="67"/>
  <c r="Y585" i="67"/>
  <c r="Y550" i="67"/>
  <c r="Y638" i="67"/>
  <c r="Y559" i="67"/>
  <c r="Y598" i="67"/>
  <c r="Y570" i="67"/>
  <c r="Y549" i="67"/>
  <c r="Y623" i="67"/>
  <c r="Y482" i="67"/>
  <c r="Y457" i="67"/>
  <c r="Y594" i="67"/>
  <c r="Y533" i="67"/>
  <c r="Y501" i="67"/>
  <c r="Y474" i="67"/>
  <c r="Y512" i="67"/>
  <c r="Y485" i="67"/>
  <c r="Y458" i="67"/>
  <c r="Y429" i="67"/>
  <c r="Y400" i="67"/>
  <c r="Y394" i="67"/>
  <c r="Y367" i="67"/>
  <c r="Y339" i="67"/>
  <c r="Y323" i="67"/>
  <c r="Y295" i="67"/>
  <c r="Y253" i="67"/>
  <c r="Y230" i="67"/>
  <c r="T440" i="67"/>
  <c r="T441" i="67"/>
  <c r="Y393" i="67"/>
  <c r="Y348" i="67"/>
  <c r="Y283" i="67"/>
  <c r="Y279" i="67"/>
  <c r="Y264" i="67"/>
  <c r="Y258" i="67"/>
  <c r="Y235" i="67"/>
  <c r="Y415" i="67"/>
  <c r="Y358" i="67"/>
  <c r="Y344" i="67"/>
  <c r="Y299" i="67"/>
  <c r="Y272" i="67"/>
  <c r="Y225" i="67"/>
  <c r="Y553" i="67"/>
  <c r="Y424" i="67"/>
  <c r="Y315" i="67"/>
  <c r="Y309" i="67"/>
  <c r="Y292" i="67"/>
  <c r="T225" i="67"/>
  <c r="T226" i="67"/>
  <c r="Y190" i="67"/>
  <c r="Y180" i="67"/>
  <c r="Y129" i="67"/>
  <c r="Y117" i="67"/>
  <c r="Y102" i="67"/>
  <c r="Y77" i="67"/>
  <c r="Y66" i="67"/>
  <c r="Y20" i="67"/>
  <c r="Y3" i="67"/>
  <c r="V155" i="67" a="1"/>
  <c r="V155" i="67" s="1"/>
  <c r="V292" i="67" a="1"/>
  <c r="V292" i="67" s="1"/>
  <c r="V281" i="67" a="1"/>
  <c r="V281" i="67" s="1"/>
  <c r="V355" i="67" a="1"/>
  <c r="V355" i="67" s="1"/>
  <c r="V330" i="67" a="1"/>
  <c r="V330" i="67" s="1"/>
  <c r="V520" i="67" a="1"/>
  <c r="V520" i="67" s="1"/>
  <c r="V715" i="67" a="1"/>
  <c r="V715" i="67" s="1"/>
  <c r="V282" i="67" a="1"/>
  <c r="V282" i="67" s="1"/>
  <c r="V333" i="67" a="1"/>
  <c r="V333" i="67" s="1"/>
  <c r="V518" i="67" a="1"/>
  <c r="V518" i="67" s="1"/>
  <c r="V591" i="67" a="1"/>
  <c r="V591" i="67" s="1"/>
  <c r="V530" i="67" a="1"/>
  <c r="V530" i="67" s="1"/>
  <c r="V596" i="67" a="1"/>
  <c r="V596" i="67" s="1"/>
  <c r="V712" i="67" a="1"/>
  <c r="V712" i="67" s="1"/>
  <c r="V731" i="67" a="1"/>
  <c r="V731" i="67" s="1"/>
  <c r="V814" i="67" a="1"/>
  <c r="V814" i="67" s="1"/>
  <c r="Y202" i="67"/>
  <c r="Y134" i="67"/>
  <c r="Y68" i="67"/>
  <c r="Y574" i="67"/>
  <c r="Y388" i="67"/>
  <c r="Y357" i="67"/>
  <c r="Y219" i="67"/>
  <c r="Y207" i="67"/>
  <c r="Y165" i="67"/>
  <c r="Y141" i="67"/>
  <c r="Y27" i="67"/>
  <c r="Y262" i="67"/>
  <c r="Y308" i="67"/>
  <c r="Y359" i="67"/>
  <c r="Y439" i="67"/>
  <c r="Y241" i="67"/>
  <c r="Y280" i="67"/>
  <c r="Y316" i="67"/>
  <c r="Y380" i="67"/>
  <c r="Y543" i="67"/>
  <c r="Y145" i="67"/>
  <c r="Y157" i="67"/>
  <c r="Y176" i="67"/>
  <c r="Y195" i="67"/>
  <c r="Y206" i="67"/>
  <c r="Y232" i="67"/>
  <c r="Y257" i="67"/>
  <c r="Y285" i="67"/>
  <c r="Y302" i="67"/>
  <c r="Y350" i="67"/>
  <c r="Y430" i="67"/>
  <c r="Y337" i="67"/>
  <c r="Y356" i="67"/>
  <c r="Y370" i="67"/>
  <c r="Y387" i="67"/>
  <c r="Y398" i="67"/>
  <c r="Y413" i="67"/>
  <c r="Y427" i="67"/>
  <c r="Y448" i="67"/>
  <c r="Y496" i="67"/>
  <c r="Y584" i="67"/>
  <c r="Y460" i="67"/>
  <c r="Y505" i="67"/>
  <c r="Y571" i="67"/>
  <c r="Y479" i="67"/>
  <c r="Y525" i="67"/>
  <c r="Y529" i="67"/>
  <c r="Y567" i="67"/>
  <c r="Y600" i="67"/>
  <c r="Y707" i="67"/>
  <c r="Y551" i="67"/>
  <c r="Y620" i="67"/>
  <c r="Y483" i="67"/>
  <c r="Y499" i="67"/>
  <c r="Y513" i="67"/>
  <c r="Y540" i="67"/>
  <c r="Y563" i="67"/>
  <c r="Y592" i="67"/>
  <c r="Y648" i="67"/>
  <c r="Y595" i="67"/>
  <c r="Y611" i="67"/>
  <c r="Y631" i="67"/>
  <c r="Y668" i="67"/>
  <c r="Y636" i="67"/>
  <c r="Y667" i="67"/>
  <c r="Y695" i="67"/>
  <c r="Y787" i="67"/>
  <c r="Y672" i="67"/>
  <c r="Y703" i="67"/>
  <c r="Y810" i="67"/>
  <c r="Y680" i="67"/>
  <c r="Y715" i="67"/>
  <c r="Y766" i="67"/>
  <c r="Y732" i="67"/>
  <c r="Y762" i="67"/>
  <c r="Y824" i="67"/>
  <c r="Y795" i="67"/>
  <c r="Y783" i="67"/>
  <c r="Y815" i="67"/>
  <c r="Y754" i="67"/>
  <c r="Y799" i="67"/>
  <c r="Y822" i="67"/>
  <c r="Y193" i="67"/>
  <c r="Y153" i="67"/>
  <c r="Y116" i="67"/>
  <c r="Y69" i="67"/>
  <c r="Y437" i="67"/>
  <c r="Y411" i="67"/>
  <c r="Y343" i="67"/>
  <c r="Y222" i="67"/>
  <c r="Y194" i="67"/>
  <c r="Y177" i="67"/>
  <c r="Y158" i="67"/>
  <c r="Y149" i="67"/>
  <c r="Y104" i="67"/>
  <c r="Y91" i="67"/>
  <c r="Y82" i="67"/>
  <c r="T70" i="67"/>
  <c r="T71" i="67"/>
  <c r="Y828" i="67"/>
  <c r="Y503" i="67"/>
  <c r="Y371" i="67"/>
  <c r="Y252" i="67"/>
  <c r="Y204" i="67"/>
  <c r="Y150" i="67"/>
  <c r="Y127" i="67"/>
  <c r="Y96" i="67"/>
  <c r="Y56" i="67"/>
  <c r="Y24" i="67"/>
  <c r="Y83" i="67"/>
  <c r="Y42" i="67"/>
  <c r="Y14" i="67"/>
  <c r="Y435" i="67"/>
  <c r="Y30" i="67"/>
  <c r="Y55" i="67"/>
  <c r="Y12" i="67"/>
  <c r="Y88" i="67"/>
  <c r="Y34" i="67"/>
  <c r="Y90" i="67"/>
  <c r="Y36" i="67"/>
  <c r="Y16" i="67"/>
  <c r="Y64" i="67"/>
  <c r="Y41" i="67"/>
  <c r="Y6" i="67"/>
  <c r="N9" i="58" l="1"/>
  <c r="G35" i="58" l="1"/>
  <c r="H35" i="58"/>
  <c r="I35" i="58"/>
  <c r="J35" i="58"/>
  <c r="K35" i="58"/>
  <c r="G36" i="58"/>
  <c r="H36" i="58"/>
  <c r="I36" i="58"/>
  <c r="J36" i="58"/>
  <c r="K36" i="58"/>
  <c r="G37" i="58"/>
  <c r="H37" i="58"/>
  <c r="I37" i="58"/>
  <c r="J37" i="58"/>
  <c r="K37" i="58"/>
  <c r="G38" i="58"/>
  <c r="H38" i="58"/>
  <c r="I38" i="58"/>
  <c r="J38" i="58"/>
  <c r="K38" i="58"/>
  <c r="G39" i="58"/>
  <c r="H39" i="58"/>
  <c r="I39" i="58"/>
  <c r="J39" i="58"/>
  <c r="K39" i="58"/>
  <c r="G40" i="58"/>
  <c r="H40" i="58"/>
  <c r="I40" i="58"/>
  <c r="J40" i="58"/>
  <c r="K40" i="58"/>
  <c r="G12" i="58"/>
  <c r="H12" i="58"/>
  <c r="I12" i="58"/>
  <c r="J12" i="58"/>
  <c r="K12" i="58"/>
  <c r="G13" i="58"/>
  <c r="H13" i="58"/>
  <c r="I13" i="58"/>
  <c r="J13" i="58"/>
  <c r="K13" i="58"/>
  <c r="G14" i="58"/>
  <c r="H14" i="58"/>
  <c r="I14" i="58"/>
  <c r="J14" i="58"/>
  <c r="K14" i="58"/>
  <c r="G15" i="58"/>
  <c r="H15" i="58"/>
  <c r="I15" i="58"/>
  <c r="J15" i="58"/>
  <c r="K15" i="58"/>
  <c r="G16" i="58"/>
  <c r="H16" i="58"/>
  <c r="I16" i="58"/>
  <c r="J16" i="58"/>
  <c r="K16" i="58"/>
  <c r="G17" i="58"/>
  <c r="H17" i="58"/>
  <c r="I17" i="58"/>
  <c r="J17" i="58"/>
  <c r="K17" i="58"/>
  <c r="G18" i="58"/>
  <c r="H18" i="58"/>
  <c r="I18" i="58"/>
  <c r="J18" i="58"/>
  <c r="K18" i="58"/>
  <c r="G19" i="58"/>
  <c r="H19" i="58"/>
  <c r="I19" i="58"/>
  <c r="J19" i="58"/>
  <c r="K19" i="58"/>
  <c r="G20" i="58"/>
  <c r="H20" i="58"/>
  <c r="I20" i="58"/>
  <c r="J20" i="58"/>
  <c r="K20" i="58"/>
  <c r="G21" i="58"/>
  <c r="H21" i="58"/>
  <c r="I21" i="58"/>
  <c r="J21" i="58"/>
  <c r="K21" i="58"/>
  <c r="G22" i="58"/>
  <c r="H22" i="58"/>
  <c r="I22" i="58"/>
  <c r="J22" i="58"/>
  <c r="K22" i="58"/>
  <c r="G23" i="58"/>
  <c r="H23" i="58"/>
  <c r="I23" i="58"/>
  <c r="J23" i="58"/>
  <c r="K23" i="58"/>
  <c r="G24" i="58"/>
  <c r="H24" i="58"/>
  <c r="I24" i="58"/>
  <c r="J24" i="58"/>
  <c r="K24" i="58"/>
  <c r="G25" i="58"/>
  <c r="H25" i="58"/>
  <c r="I25" i="58"/>
  <c r="J25" i="58"/>
  <c r="K25" i="58"/>
  <c r="G26" i="58"/>
  <c r="H26" i="58"/>
  <c r="I26" i="58"/>
  <c r="J26" i="58"/>
  <c r="K26" i="58"/>
  <c r="G27" i="58"/>
  <c r="H27" i="58"/>
  <c r="I27" i="58"/>
  <c r="J27" i="58"/>
  <c r="K27" i="58"/>
  <c r="G28" i="58"/>
  <c r="H28" i="58"/>
  <c r="I28" i="58"/>
  <c r="J28" i="58"/>
  <c r="K28" i="58"/>
  <c r="G29" i="58"/>
  <c r="H29" i="58"/>
  <c r="I29" i="58"/>
  <c r="J29" i="58"/>
  <c r="K29" i="58"/>
  <c r="G30" i="58"/>
  <c r="H30" i="58"/>
  <c r="I30" i="58"/>
  <c r="J30" i="58"/>
  <c r="K30" i="58"/>
  <c r="G31" i="58"/>
  <c r="H31" i="58"/>
  <c r="I31" i="58"/>
  <c r="J31" i="58"/>
  <c r="K31" i="58"/>
  <c r="G32" i="58"/>
  <c r="H32" i="58"/>
  <c r="I32" i="58"/>
  <c r="J32" i="58"/>
  <c r="K32" i="58"/>
  <c r="G33" i="58"/>
  <c r="H33" i="58"/>
  <c r="I33" i="58"/>
  <c r="J33" i="58"/>
  <c r="K33" i="58"/>
  <c r="G34" i="58"/>
  <c r="H34" i="58"/>
  <c r="I34" i="58"/>
  <c r="J34" i="58"/>
  <c r="K34" i="58"/>
  <c r="H11" i="58"/>
  <c r="I11" i="58"/>
  <c r="J11" i="58"/>
  <c r="K11" i="58"/>
  <c r="G11" i="58"/>
  <c r="B12" i="58"/>
  <c r="C12" i="58"/>
  <c r="D12" i="58"/>
  <c r="P12" i="58" s="1"/>
  <c r="E12" i="58"/>
  <c r="Q12" i="58" s="1"/>
  <c r="F12" i="58"/>
  <c r="R12" i="58" s="1"/>
  <c r="B13" i="58"/>
  <c r="N13" i="58" s="1"/>
  <c r="C13" i="58"/>
  <c r="O13" i="58" s="1"/>
  <c r="D13" i="58"/>
  <c r="P13" i="58" s="1"/>
  <c r="E13" i="58"/>
  <c r="Q13" i="58" s="1"/>
  <c r="F13" i="58"/>
  <c r="R13" i="58" s="1"/>
  <c r="B14" i="58"/>
  <c r="C14" i="58"/>
  <c r="O14" i="58" s="1"/>
  <c r="D14" i="58"/>
  <c r="P14" i="58" s="1"/>
  <c r="E14" i="58"/>
  <c r="F14" i="58"/>
  <c r="B15" i="58"/>
  <c r="C15" i="58"/>
  <c r="D15" i="58"/>
  <c r="E15" i="58"/>
  <c r="Q15" i="58" s="1"/>
  <c r="F15" i="58"/>
  <c r="R15" i="58" s="1"/>
  <c r="B16" i="58"/>
  <c r="N16" i="58" s="1"/>
  <c r="C16" i="58"/>
  <c r="O16" i="58" s="1"/>
  <c r="D16" i="58"/>
  <c r="P16" i="58" s="1"/>
  <c r="E16" i="58"/>
  <c r="Q16" i="58" s="1"/>
  <c r="F16" i="58"/>
  <c r="R16" i="58" s="1"/>
  <c r="B17" i="58"/>
  <c r="N17" i="58" s="1"/>
  <c r="C17" i="58"/>
  <c r="D17" i="58"/>
  <c r="P17" i="58" s="1"/>
  <c r="E17" i="58"/>
  <c r="Q17" i="58" s="1"/>
  <c r="F17" i="58"/>
  <c r="B18" i="58"/>
  <c r="C18" i="58"/>
  <c r="D18" i="58"/>
  <c r="E18" i="58"/>
  <c r="F18" i="58"/>
  <c r="R18" i="58" s="1"/>
  <c r="B19" i="58"/>
  <c r="N19" i="58" s="1"/>
  <c r="C19" i="58"/>
  <c r="O19" i="58" s="1"/>
  <c r="D19" i="58"/>
  <c r="P19" i="58" s="1"/>
  <c r="E19" i="58"/>
  <c r="Q19" i="58" s="1"/>
  <c r="F19" i="58"/>
  <c r="R19" i="58" s="1"/>
  <c r="B20" i="58"/>
  <c r="N20" i="58" s="1"/>
  <c r="C20" i="58"/>
  <c r="O20" i="58" s="1"/>
  <c r="D20" i="58"/>
  <c r="E20" i="58"/>
  <c r="Q20" i="58" s="1"/>
  <c r="F20" i="58"/>
  <c r="B21" i="58"/>
  <c r="C21" i="58"/>
  <c r="D21" i="58"/>
  <c r="E21" i="58"/>
  <c r="F21" i="58"/>
  <c r="B22" i="58"/>
  <c r="N22" i="58" s="1"/>
  <c r="C22" i="58"/>
  <c r="O22" i="58" s="1"/>
  <c r="D22" i="58"/>
  <c r="P22" i="58" s="1"/>
  <c r="E22" i="58"/>
  <c r="Q22" i="58" s="1"/>
  <c r="F22" i="58"/>
  <c r="R22" i="58" s="1"/>
  <c r="B23" i="58"/>
  <c r="N23" i="58" s="1"/>
  <c r="C23" i="58"/>
  <c r="O23" i="58" s="1"/>
  <c r="D23" i="58"/>
  <c r="P23" i="58" s="1"/>
  <c r="E23" i="58"/>
  <c r="F23" i="58"/>
  <c r="R23" i="58" s="1"/>
  <c r="B24" i="58"/>
  <c r="N24" i="58" s="1"/>
  <c r="C24" i="58"/>
  <c r="D24" i="58"/>
  <c r="E24" i="58"/>
  <c r="F24" i="58"/>
  <c r="B25" i="58"/>
  <c r="C25" i="58"/>
  <c r="O25" i="58" s="1"/>
  <c r="D25" i="58"/>
  <c r="P25" i="58" s="1"/>
  <c r="E25" i="58"/>
  <c r="Q25" i="58" s="1"/>
  <c r="F25" i="58"/>
  <c r="R25" i="58" s="1"/>
  <c r="B26" i="58"/>
  <c r="N26" i="58" s="1"/>
  <c r="C26" i="58"/>
  <c r="O26" i="58" s="1"/>
  <c r="D26" i="58"/>
  <c r="P26" i="58" s="1"/>
  <c r="E26" i="58"/>
  <c r="Q26" i="58" s="1"/>
  <c r="F26" i="58"/>
  <c r="B27" i="58"/>
  <c r="N27" i="58" s="1"/>
  <c r="C27" i="58"/>
  <c r="D27" i="58"/>
  <c r="E27" i="58"/>
  <c r="F27" i="58"/>
  <c r="B28" i="58"/>
  <c r="C28" i="58"/>
  <c r="D28" i="58"/>
  <c r="P28" i="58" s="1"/>
  <c r="E28" i="58"/>
  <c r="Q28" i="58" s="1"/>
  <c r="F28" i="58"/>
  <c r="R28" i="58" s="1"/>
  <c r="B29" i="58"/>
  <c r="N29" i="58" s="1"/>
  <c r="C29" i="58"/>
  <c r="O29" i="58" s="1"/>
  <c r="D29" i="58"/>
  <c r="P29" i="58" s="1"/>
  <c r="E29" i="58"/>
  <c r="Q29" i="58" s="1"/>
  <c r="F29" i="58"/>
  <c r="R29" i="58" s="1"/>
  <c r="B30" i="58"/>
  <c r="C30" i="58"/>
  <c r="O30" i="58" s="1"/>
  <c r="D30" i="58"/>
  <c r="P30" i="58" s="1"/>
  <c r="E30" i="58"/>
  <c r="F30" i="58"/>
  <c r="B31" i="58"/>
  <c r="C31" i="58"/>
  <c r="D31" i="58"/>
  <c r="E31" i="58"/>
  <c r="Q31" i="58" s="1"/>
  <c r="F31" i="58"/>
  <c r="R31" i="58" s="1"/>
  <c r="B32" i="58"/>
  <c r="N32" i="58" s="1"/>
  <c r="C32" i="58"/>
  <c r="O32" i="58" s="1"/>
  <c r="D32" i="58"/>
  <c r="P32" i="58" s="1"/>
  <c r="E32" i="58"/>
  <c r="Q32" i="58" s="1"/>
  <c r="F32" i="58"/>
  <c r="R32" i="58" s="1"/>
  <c r="B33" i="58"/>
  <c r="N33" i="58" s="1"/>
  <c r="C33" i="58"/>
  <c r="D33" i="58"/>
  <c r="P33" i="58" s="1"/>
  <c r="E33" i="58"/>
  <c r="Q33" i="58" s="1"/>
  <c r="F33" i="58"/>
  <c r="B34" i="58"/>
  <c r="C34" i="58"/>
  <c r="D34" i="58"/>
  <c r="E34" i="58"/>
  <c r="F34" i="58"/>
  <c r="R34" i="58" s="1"/>
  <c r="B35" i="58"/>
  <c r="C35" i="58"/>
  <c r="D35" i="58"/>
  <c r="E35" i="58"/>
  <c r="F35" i="58"/>
  <c r="B36" i="58"/>
  <c r="C36" i="58"/>
  <c r="D36" i="58"/>
  <c r="P36" i="58" s="1"/>
  <c r="E36" i="58"/>
  <c r="F36" i="58"/>
  <c r="B37" i="58"/>
  <c r="C37" i="58"/>
  <c r="D37" i="58"/>
  <c r="E37" i="58"/>
  <c r="F37" i="58"/>
  <c r="B38" i="58"/>
  <c r="C38" i="58"/>
  <c r="D38" i="58"/>
  <c r="E38" i="58"/>
  <c r="F38" i="58"/>
  <c r="R38" i="58" s="1"/>
  <c r="B39" i="58"/>
  <c r="C39" i="58"/>
  <c r="D39" i="58"/>
  <c r="E39" i="58"/>
  <c r="F39" i="58"/>
  <c r="B40" i="58"/>
  <c r="C40" i="58"/>
  <c r="D40" i="58"/>
  <c r="E40" i="58"/>
  <c r="F40" i="58"/>
  <c r="C11" i="58"/>
  <c r="D11" i="58"/>
  <c r="E11" i="58"/>
  <c r="F11" i="58"/>
  <c r="B11" i="58"/>
  <c r="N38" i="58" l="1"/>
  <c r="Q34" i="58"/>
  <c r="P31" i="58"/>
  <c r="O28" i="58"/>
  <c r="N25" i="58"/>
  <c r="R21" i="58"/>
  <c r="Q18" i="58"/>
  <c r="P15" i="58"/>
  <c r="O12" i="58"/>
  <c r="N28" i="58"/>
  <c r="O15" i="58"/>
  <c r="P34" i="58"/>
  <c r="O31" i="58"/>
  <c r="R24" i="58"/>
  <c r="Q21" i="58"/>
  <c r="P18" i="58"/>
  <c r="N12" i="58"/>
  <c r="O34" i="58"/>
  <c r="N31" i="58"/>
  <c r="R27" i="58"/>
  <c r="Q24" i="58"/>
  <c r="P21" i="58"/>
  <c r="O18" i="58"/>
  <c r="N15" i="58"/>
  <c r="P24" i="58"/>
  <c r="R14" i="58"/>
  <c r="P40" i="58"/>
  <c r="N34" i="58"/>
  <c r="R30" i="58"/>
  <c r="Q27" i="58"/>
  <c r="O21" i="58"/>
  <c r="N18" i="58"/>
  <c r="R33" i="58"/>
  <c r="Q30" i="58"/>
  <c r="P27" i="58"/>
  <c r="O24" i="58"/>
  <c r="N21" i="58"/>
  <c r="R17" i="58"/>
  <c r="Q14" i="58"/>
  <c r="R20" i="58"/>
  <c r="O27" i="58"/>
  <c r="O33" i="58"/>
  <c r="N30" i="58"/>
  <c r="R26" i="58"/>
  <c r="Q23" i="58"/>
  <c r="P20" i="58"/>
  <c r="O17" i="58"/>
  <c r="N14" i="58"/>
  <c r="Q39" i="58"/>
  <c r="O37" i="58"/>
  <c r="O40" i="58"/>
  <c r="P39" i="58"/>
  <c r="Q38" i="58"/>
  <c r="R37" i="58"/>
  <c r="N37" i="58"/>
  <c r="O36" i="58"/>
  <c r="R11" i="58"/>
  <c r="Q40" i="58"/>
  <c r="R39" i="58"/>
  <c r="N39" i="58"/>
  <c r="O38" i="58"/>
  <c r="P37" i="58"/>
  <c r="Q36" i="58"/>
  <c r="R35" i="58"/>
  <c r="P11" i="58"/>
  <c r="Q11" i="58"/>
  <c r="N11" i="58"/>
  <c r="O11" i="58"/>
  <c r="R40" i="58"/>
  <c r="N40" i="58"/>
  <c r="O39" i="58"/>
  <c r="P38" i="58"/>
  <c r="Q37" i="58"/>
  <c r="R36" i="58"/>
  <c r="N36" i="58"/>
  <c r="G9" i="58" l="1"/>
  <c r="B9" i="58" l="1"/>
  <c r="L3" i="9" l="1"/>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2" i="9"/>
  <c r="K3" i="9"/>
  <c r="K4" i="9"/>
  <c r="K5" i="9"/>
  <c r="K6" i="9"/>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2" i="9"/>
  <c r="AT3" i="67" l="1"/>
  <c r="AT9" i="67"/>
  <c r="AT15" i="67"/>
  <c r="AT21" i="67"/>
  <c r="AT27" i="67"/>
  <c r="AT33" i="67"/>
  <c r="AT39" i="67"/>
  <c r="AR3" i="67"/>
  <c r="AR9" i="67"/>
  <c r="AR15" i="67"/>
  <c r="AR21" i="67"/>
  <c r="AR27" i="67"/>
  <c r="AR33" i="67"/>
  <c r="AR39" i="67"/>
  <c r="AT2" i="67"/>
  <c r="AT4" i="67"/>
  <c r="AT10" i="67"/>
  <c r="AT16" i="67"/>
  <c r="AT22" i="67"/>
  <c r="AT28" i="67"/>
  <c r="AT34" i="67"/>
  <c r="AT40" i="67"/>
  <c r="AR4" i="67"/>
  <c r="AR10" i="67"/>
  <c r="AR16" i="67"/>
  <c r="AR22" i="67"/>
  <c r="AR28" i="67"/>
  <c r="AR34" i="67"/>
  <c r="AR40" i="67"/>
  <c r="AR2" i="67"/>
  <c r="AX2" i="67" s="1"/>
  <c r="AT5" i="67"/>
  <c r="AT11" i="67"/>
  <c r="AT17" i="67"/>
  <c r="AT23" i="67"/>
  <c r="AT29" i="67"/>
  <c r="AT35" i="67"/>
  <c r="AT41" i="67"/>
  <c r="AR5" i="67"/>
  <c r="AR11" i="67"/>
  <c r="AR17" i="67"/>
  <c r="AR23" i="67"/>
  <c r="AR29" i="67"/>
  <c r="AR35" i="67"/>
  <c r="AR41" i="67"/>
  <c r="AT6" i="67"/>
  <c r="AT12" i="67"/>
  <c r="AT18" i="67"/>
  <c r="AT24" i="67"/>
  <c r="AT30" i="67"/>
  <c r="AT36" i="67"/>
  <c r="AR6" i="67"/>
  <c r="AR12" i="67"/>
  <c r="AR18" i="67"/>
  <c r="AR24" i="67"/>
  <c r="AR30" i="67"/>
  <c r="AR36" i="67"/>
  <c r="AT7" i="67"/>
  <c r="AT13" i="67"/>
  <c r="AT19" i="67"/>
  <c r="AT25" i="67"/>
  <c r="AT31" i="67"/>
  <c r="AT37" i="67"/>
  <c r="AR7" i="67"/>
  <c r="AR13" i="67"/>
  <c r="AR19" i="67"/>
  <c r="AR25" i="67"/>
  <c r="AR31" i="67"/>
  <c r="AR37" i="67"/>
  <c r="AT8" i="67"/>
  <c r="AT14" i="67"/>
  <c r="AT20" i="67"/>
  <c r="AT26" i="67"/>
  <c r="AT32" i="67"/>
  <c r="AT38" i="67"/>
  <c r="AR8" i="67"/>
  <c r="AR14" i="67"/>
  <c r="AR20" i="67"/>
  <c r="AR26" i="67"/>
  <c r="AR32" i="67"/>
  <c r="AR38" i="67"/>
  <c r="W4" i="9"/>
  <c r="X4" i="9"/>
  <c r="X5" i="9"/>
  <c r="X3" i="9"/>
  <c r="W2" i="9"/>
  <c r="W6" i="9"/>
  <c r="W3" i="9"/>
  <c r="X6" i="9"/>
  <c r="W5" i="9"/>
  <c r="X2" i="9" l="1"/>
  <c r="K39" i="42"/>
  <c r="D39" i="42"/>
  <c r="K38" i="42"/>
  <c r="D38" i="42"/>
  <c r="K37" i="42"/>
  <c r="D37" i="42"/>
  <c r="K36" i="42"/>
  <c r="D36" i="42"/>
  <c r="K35" i="42"/>
  <c r="D35" i="42"/>
  <c r="K34" i="42"/>
  <c r="D34" i="42"/>
  <c r="K33" i="42"/>
  <c r="D33" i="42"/>
  <c r="K32" i="42"/>
  <c r="D32" i="42"/>
  <c r="K31" i="42"/>
  <c r="D31" i="42"/>
  <c r="K30" i="42"/>
  <c r="D30" i="42"/>
  <c r="K29" i="42"/>
  <c r="D29" i="42"/>
  <c r="K28" i="42"/>
  <c r="D28" i="42"/>
  <c r="K27" i="42"/>
  <c r="D27" i="42"/>
  <c r="K26" i="42"/>
  <c r="D26" i="42"/>
  <c r="K25" i="42"/>
  <c r="D25" i="42"/>
  <c r="K24" i="42"/>
  <c r="D24" i="42"/>
  <c r="K23" i="42"/>
  <c r="D23" i="42"/>
  <c r="K22" i="42"/>
  <c r="D22" i="42"/>
  <c r="K21" i="42"/>
  <c r="D21" i="42"/>
  <c r="N24" i="40"/>
  <c r="L24" i="40"/>
  <c r="K24" i="40"/>
  <c r="J24" i="40"/>
  <c r="I24" i="40"/>
  <c r="H24" i="40"/>
  <c r="G24" i="40"/>
  <c r="F24" i="40"/>
  <c r="E24" i="40"/>
  <c r="D24" i="40"/>
  <c r="C24" i="40"/>
  <c r="B24" i="40"/>
  <c r="N23" i="40"/>
  <c r="L23" i="40"/>
  <c r="K23" i="40"/>
  <c r="J23" i="40"/>
  <c r="I23" i="40"/>
  <c r="H23" i="40"/>
  <c r="G23" i="40"/>
  <c r="F23" i="40"/>
  <c r="E23" i="40"/>
  <c r="D23" i="40"/>
  <c r="C23" i="40"/>
  <c r="B23" i="40"/>
  <c r="N22" i="40"/>
  <c r="L22" i="40"/>
  <c r="K22" i="40"/>
  <c r="J22" i="40"/>
  <c r="I22" i="40"/>
  <c r="H22" i="40"/>
  <c r="G22" i="40"/>
  <c r="F22" i="40"/>
  <c r="E22" i="40"/>
  <c r="D22" i="40"/>
  <c r="C22" i="40"/>
  <c r="B22" i="40"/>
  <c r="N21" i="40"/>
  <c r="L21" i="40"/>
  <c r="K21" i="40"/>
  <c r="J21" i="40"/>
  <c r="I21" i="40"/>
  <c r="H21" i="40"/>
  <c r="G21" i="40"/>
  <c r="F21" i="40"/>
  <c r="E21" i="40"/>
  <c r="D21" i="40"/>
  <c r="C21" i="40"/>
  <c r="B21" i="40"/>
  <c r="N20" i="40"/>
  <c r="L20" i="40"/>
  <c r="K20" i="40"/>
  <c r="J20" i="40"/>
  <c r="I20" i="40"/>
  <c r="H20" i="40"/>
  <c r="G20" i="40"/>
  <c r="F20" i="40"/>
  <c r="E20" i="40"/>
  <c r="D20" i="40"/>
  <c r="C20" i="40"/>
  <c r="B20" i="40"/>
  <c r="A21" i="40" s="1"/>
  <c r="A22" i="40" s="1"/>
  <c r="C19" i="40"/>
  <c r="C18" i="40"/>
  <c r="C17" i="40"/>
  <c r="C16" i="40"/>
  <c r="A16" i="40"/>
  <c r="A18" i="40" s="1"/>
  <c r="C15" i="40"/>
  <c r="C14" i="40"/>
  <c r="C13" i="40"/>
  <c r="C12" i="40"/>
  <c r="C11" i="40"/>
  <c r="A11" i="40"/>
  <c r="A12" i="40" s="1"/>
  <c r="C9" i="40"/>
  <c r="C8" i="40"/>
  <c r="C7" i="40"/>
  <c r="C6" i="40"/>
  <c r="A6" i="40"/>
  <c r="A7" i="40" s="1"/>
  <c r="G10" i="40" s="1"/>
  <c r="F5" i="40"/>
  <c r="E5" i="40"/>
  <c r="G5" i="40" s="1"/>
  <c r="C5" i="40"/>
  <c r="W31" i="39"/>
  <c r="U31" i="39"/>
  <c r="R31" i="39"/>
  <c r="X31" i="39" s="1"/>
  <c r="P31" i="39"/>
  <c r="Q31" i="39" s="1"/>
  <c r="W28" i="39"/>
  <c r="U28" i="39"/>
  <c r="R28" i="39"/>
  <c r="P28" i="39"/>
  <c r="V28" i="39" s="1"/>
  <c r="W27" i="39"/>
  <c r="U27" i="39"/>
  <c r="R27" i="39"/>
  <c r="P27" i="39"/>
  <c r="Q27" i="39" s="1"/>
  <c r="A27" i="39"/>
  <c r="A30" i="39" s="1"/>
  <c r="W26" i="39"/>
  <c r="U26" i="39"/>
  <c r="R26" i="39"/>
  <c r="S26" i="39" s="1"/>
  <c r="P26" i="39"/>
  <c r="V26" i="39" s="1"/>
  <c r="W25" i="39"/>
  <c r="U25" i="39"/>
  <c r="R25" i="39"/>
  <c r="S25" i="39" s="1"/>
  <c r="P25" i="39"/>
  <c r="V25" i="39" s="1"/>
  <c r="U24" i="39"/>
  <c r="D20" i="42" s="1"/>
  <c r="U23" i="39"/>
  <c r="D19" i="42" s="1"/>
  <c r="U22" i="39"/>
  <c r="D18" i="42" s="1"/>
  <c r="U21" i="39"/>
  <c r="D17" i="42" s="1"/>
  <c r="U20" i="39"/>
  <c r="D16" i="42" s="1"/>
  <c r="U19" i="39"/>
  <c r="D15" i="42" s="1"/>
  <c r="U18" i="39"/>
  <c r="D14" i="42" s="1"/>
  <c r="U17" i="39"/>
  <c r="D13" i="42" s="1"/>
  <c r="U16" i="39"/>
  <c r="D12" i="42" s="1"/>
  <c r="W15" i="39"/>
  <c r="U15" i="39"/>
  <c r="R15" i="39"/>
  <c r="S15" i="39" s="1"/>
  <c r="P15" i="39"/>
  <c r="Q15" i="39" s="1"/>
  <c r="U14" i="39"/>
  <c r="D11" i="42" s="1"/>
  <c r="U13" i="39"/>
  <c r="D10" i="42" s="1"/>
  <c r="U12" i="39"/>
  <c r="D9" i="42" s="1"/>
  <c r="U11" i="39"/>
  <c r="D8" i="42" s="1"/>
  <c r="U10" i="39"/>
  <c r="D7" i="42" s="1"/>
  <c r="U9" i="39"/>
  <c r="D6" i="42" s="1"/>
  <c r="U8" i="39"/>
  <c r="D5" i="42" s="1"/>
  <c r="U7" i="39"/>
  <c r="D4" i="42" s="1"/>
  <c r="U6" i="39"/>
  <c r="D3" i="42" s="1"/>
  <c r="U5" i="39"/>
  <c r="D2" i="42" s="1"/>
  <c r="I5" i="40" l="1"/>
  <c r="A17" i="40"/>
  <c r="G13" i="40" s="1"/>
  <c r="H13" i="40" s="1"/>
  <c r="J5" i="40"/>
  <c r="K5" i="40" s="1"/>
  <c r="A23" i="40"/>
  <c r="S31" i="39"/>
  <c r="Q28" i="39"/>
  <c r="V15" i="39"/>
  <c r="X26" i="39"/>
  <c r="X15" i="39"/>
  <c r="V31" i="39"/>
  <c r="X25" i="39"/>
  <c r="Q26" i="39"/>
  <c r="J10" i="40"/>
  <c r="K10" i="40" s="1"/>
  <c r="H10" i="40"/>
  <c r="G15" i="40"/>
  <c r="H15" i="40" s="1"/>
  <c r="G7" i="40"/>
  <c r="H7" i="40" s="1"/>
  <c r="H7" i="42"/>
  <c r="G7" i="42"/>
  <c r="E7" i="42"/>
  <c r="F7" i="42"/>
  <c r="H9" i="42"/>
  <c r="G9" i="42"/>
  <c r="F9" i="42"/>
  <c r="E9" i="42"/>
  <c r="F13" i="42"/>
  <c r="G13" i="42"/>
  <c r="E13" i="42"/>
  <c r="H13" i="42"/>
  <c r="F17" i="42"/>
  <c r="H17" i="42"/>
  <c r="E17" i="42"/>
  <c r="G17" i="42"/>
  <c r="F19" i="42"/>
  <c r="H19" i="42"/>
  <c r="G19" i="42"/>
  <c r="E19" i="42"/>
  <c r="V27" i="39"/>
  <c r="X28" i="39"/>
  <c r="S28" i="39"/>
  <c r="A13" i="40"/>
  <c r="H3" i="42"/>
  <c r="G3" i="42"/>
  <c r="E3" i="42"/>
  <c r="F3" i="42"/>
  <c r="H5" i="42"/>
  <c r="G5" i="42"/>
  <c r="F5" i="42"/>
  <c r="E5" i="42"/>
  <c r="F6" i="42"/>
  <c r="E6" i="42"/>
  <c r="H6" i="42"/>
  <c r="G6" i="42"/>
  <c r="H12" i="42"/>
  <c r="G12" i="42"/>
  <c r="E12" i="42"/>
  <c r="F12" i="42"/>
  <c r="F15" i="42"/>
  <c r="E15" i="42"/>
  <c r="H15" i="42"/>
  <c r="G15" i="42"/>
  <c r="H20" i="42"/>
  <c r="E20" i="42"/>
  <c r="F20" i="42"/>
  <c r="G20" i="42"/>
  <c r="H5" i="40"/>
  <c r="E38" i="42"/>
  <c r="E36" i="42"/>
  <c r="G34" i="42"/>
  <c r="E32" i="42"/>
  <c r="G30" i="42"/>
  <c r="E28" i="42"/>
  <c r="G26" i="42"/>
  <c r="E24" i="42"/>
  <c r="G22" i="42"/>
  <c r="G38" i="42"/>
  <c r="F34" i="42"/>
  <c r="F30" i="42"/>
  <c r="F26" i="42"/>
  <c r="F22" i="42"/>
  <c r="E39" i="42"/>
  <c r="F38" i="42"/>
  <c r="F36" i="42"/>
  <c r="G31" i="42"/>
  <c r="E30" i="42"/>
  <c r="F28" i="42"/>
  <c r="G23" i="42"/>
  <c r="E22" i="42"/>
  <c r="F2" i="42"/>
  <c r="G32" i="42"/>
  <c r="E31" i="42"/>
  <c r="G24" i="42"/>
  <c r="E23" i="42"/>
  <c r="E2" i="42"/>
  <c r="G36" i="42"/>
  <c r="E27" i="42"/>
  <c r="E26" i="42"/>
  <c r="F24" i="42"/>
  <c r="H39" i="42"/>
  <c r="G35" i="42"/>
  <c r="H2" i="42"/>
  <c r="H29" i="42"/>
  <c r="E34" i="42"/>
  <c r="E35" i="42"/>
  <c r="G27" i="42"/>
  <c r="G28" i="42"/>
  <c r="G2" i="42"/>
  <c r="F32" i="42"/>
  <c r="G10" i="42"/>
  <c r="E10" i="42"/>
  <c r="F10" i="42"/>
  <c r="H10" i="42"/>
  <c r="H14" i="42"/>
  <c r="G14" i="42"/>
  <c r="E14" i="42"/>
  <c r="F14" i="42"/>
  <c r="H16" i="42"/>
  <c r="G16" i="42"/>
  <c r="F16" i="42"/>
  <c r="E16" i="42"/>
  <c r="H18" i="42"/>
  <c r="F18" i="42"/>
  <c r="E18" i="42"/>
  <c r="G18" i="42"/>
  <c r="X27" i="39"/>
  <c r="S27" i="39"/>
  <c r="A8" i="40"/>
  <c r="F4" i="42"/>
  <c r="E4" i="42"/>
  <c r="G4" i="42"/>
  <c r="H4" i="42"/>
  <c r="F8" i="42"/>
  <c r="E8" i="42"/>
  <c r="G8" i="42"/>
  <c r="H8" i="42"/>
  <c r="E11" i="42"/>
  <c r="G11" i="42"/>
  <c r="F11" i="42"/>
  <c r="H11" i="42"/>
  <c r="F21" i="42"/>
  <c r="G21" i="42"/>
  <c r="E21" i="42"/>
  <c r="H21" i="42"/>
  <c r="H34" i="42"/>
  <c r="H31" i="42"/>
  <c r="F37" i="42"/>
  <c r="G37" i="42"/>
  <c r="E37" i="42"/>
  <c r="H37" i="42"/>
  <c r="H26" i="42"/>
  <c r="H23" i="42"/>
  <c r="F29" i="42"/>
  <c r="G29" i="42"/>
  <c r="E29" i="42"/>
  <c r="H22" i="42"/>
  <c r="F25" i="42"/>
  <c r="G25" i="42"/>
  <c r="E25" i="42"/>
  <c r="H30" i="42"/>
  <c r="F33" i="42"/>
  <c r="G33" i="42"/>
  <c r="E33" i="42"/>
  <c r="H38" i="42"/>
  <c r="H25" i="42"/>
  <c r="H27" i="42"/>
  <c r="H33" i="42"/>
  <c r="H35" i="42"/>
  <c r="H24" i="42"/>
  <c r="H28" i="42"/>
  <c r="H32" i="42"/>
  <c r="H36" i="42"/>
  <c r="F23" i="42"/>
  <c r="F27" i="42"/>
  <c r="F31" i="42"/>
  <c r="F35" i="42"/>
  <c r="G39" i="42"/>
  <c r="F39" i="42"/>
  <c r="J7" i="40" l="1"/>
  <c r="K7" i="40" s="1"/>
  <c r="J13" i="40"/>
  <c r="K15" i="40" s="1"/>
  <c r="E23" i="39"/>
  <c r="A17" i="39"/>
  <c r="A21" i="39" s="1"/>
  <c r="E11" i="39"/>
  <c r="C5" i="39"/>
  <c r="E18" i="39"/>
  <c r="W18" i="39" s="1"/>
  <c r="K14" i="42" s="1"/>
  <c r="E19" i="39"/>
  <c r="I29" i="42"/>
  <c r="J29" i="42" s="1"/>
  <c r="I8" i="42"/>
  <c r="P11" i="39" s="1"/>
  <c r="V11" i="39" s="1"/>
  <c r="I12" i="42"/>
  <c r="P16" i="39" s="1"/>
  <c r="V16" i="39" s="1"/>
  <c r="I16" i="42"/>
  <c r="P20" i="39" s="1"/>
  <c r="V20" i="39" s="1"/>
  <c r="I17" i="42"/>
  <c r="P21" i="39" s="1"/>
  <c r="V21" i="39" s="1"/>
  <c r="I7" i="42"/>
  <c r="P10" i="39" s="1"/>
  <c r="F10" i="39" s="1" a="1"/>
  <c r="F10" i="39" s="1"/>
  <c r="E24" i="39"/>
  <c r="E14" i="39"/>
  <c r="C8" i="39"/>
  <c r="C19" i="39"/>
  <c r="I26" i="42"/>
  <c r="J26" i="42" s="1"/>
  <c r="I23" i="42"/>
  <c r="J23" i="42" s="1"/>
  <c r="I24" i="42"/>
  <c r="J24" i="42" s="1"/>
  <c r="I32" i="42"/>
  <c r="J32" i="42" s="1"/>
  <c r="E8" i="39"/>
  <c r="A6" i="39"/>
  <c r="A10" i="39" s="1"/>
  <c r="E17" i="39"/>
  <c r="C12" i="39"/>
  <c r="I10" i="42"/>
  <c r="C10" i="39"/>
  <c r="I35" i="42"/>
  <c r="J35" i="42" s="1"/>
  <c r="I27" i="42"/>
  <c r="J27" i="42" s="1"/>
  <c r="I30" i="42"/>
  <c r="J30" i="42" s="1"/>
  <c r="I39" i="42"/>
  <c r="J39" i="42" s="1"/>
  <c r="C23" i="39"/>
  <c r="I15" i="42"/>
  <c r="C9" i="39"/>
  <c r="E5" i="39"/>
  <c r="I13" i="42"/>
  <c r="I9" i="42"/>
  <c r="A11" i="39"/>
  <c r="C20" i="39"/>
  <c r="K13" i="40"/>
  <c r="J15" i="40"/>
  <c r="I21" i="42"/>
  <c r="J21" i="42" s="1"/>
  <c r="E16" i="39"/>
  <c r="E21" i="39"/>
  <c r="C21" i="39"/>
  <c r="C16" i="39"/>
  <c r="C6" i="39"/>
  <c r="I18" i="42"/>
  <c r="C17" i="39"/>
  <c r="E9" i="39"/>
  <c r="I34" i="42"/>
  <c r="J34" i="42" s="1"/>
  <c r="I31" i="42"/>
  <c r="J31" i="42" s="1"/>
  <c r="I22" i="42"/>
  <c r="J22" i="42" s="1"/>
  <c r="I28" i="42"/>
  <c r="J28" i="42" s="1"/>
  <c r="I36" i="42"/>
  <c r="J36" i="42" s="1"/>
  <c r="I20" i="42"/>
  <c r="E20" i="39"/>
  <c r="I6" i="42"/>
  <c r="I3" i="42"/>
  <c r="I19" i="42"/>
  <c r="E12" i="39"/>
  <c r="C22" i="39"/>
  <c r="I33" i="42"/>
  <c r="J33" i="42" s="1"/>
  <c r="I25" i="42"/>
  <c r="J25" i="42" s="1"/>
  <c r="I37" i="42"/>
  <c r="J37" i="42" s="1"/>
  <c r="E22" i="39"/>
  <c r="A22" i="39"/>
  <c r="I11" i="42"/>
  <c r="E10" i="39"/>
  <c r="I4" i="42"/>
  <c r="I14" i="42"/>
  <c r="E7" i="39"/>
  <c r="I2" i="42"/>
  <c r="I38" i="42"/>
  <c r="J38" i="42" s="1"/>
  <c r="E13" i="39"/>
  <c r="I5" i="42"/>
  <c r="C7" i="39"/>
  <c r="E6" i="39"/>
  <c r="C13" i="39"/>
  <c r="F21" i="39" l="1" a="1"/>
  <c r="F21" i="39" s="1"/>
  <c r="I21" i="39" s="1"/>
  <c r="J8" i="42"/>
  <c r="J7" i="42"/>
  <c r="F16" i="39" a="1"/>
  <c r="F16" i="39" s="1"/>
  <c r="I16" i="39" s="1"/>
  <c r="J12" i="42"/>
  <c r="J17" i="42"/>
  <c r="V10" i="39"/>
  <c r="J16" i="42"/>
  <c r="W16" i="39"/>
  <c r="K12" i="42" s="1"/>
  <c r="W6" i="39"/>
  <c r="K3" i="42" s="1"/>
  <c r="W13" i="39"/>
  <c r="K10" i="42" s="1"/>
  <c r="P9" i="39"/>
  <c r="J6" i="42"/>
  <c r="C18" i="39"/>
  <c r="P17" i="39"/>
  <c r="J13" i="42"/>
  <c r="W11" i="39"/>
  <c r="K8" i="42" s="1"/>
  <c r="P5" i="39"/>
  <c r="J2" i="42"/>
  <c r="P7" i="39"/>
  <c r="J4" i="42"/>
  <c r="W22" i="39"/>
  <c r="K18" i="42" s="1"/>
  <c r="W20" i="39"/>
  <c r="K16" i="42" s="1"/>
  <c r="W21" i="39"/>
  <c r="K17" i="42" s="1"/>
  <c r="W23" i="39"/>
  <c r="K19" i="42" s="1"/>
  <c r="F11" i="39" a="1"/>
  <c r="F11" i="39" s="1"/>
  <c r="W7" i="39"/>
  <c r="K4" i="42" s="1"/>
  <c r="W10" i="39"/>
  <c r="K7" i="42" s="1"/>
  <c r="P23" i="39"/>
  <c r="J19" i="42"/>
  <c r="P24" i="39"/>
  <c r="J20" i="42"/>
  <c r="P22" i="39"/>
  <c r="J18" i="42"/>
  <c r="P19" i="39"/>
  <c r="J15" i="42"/>
  <c r="C11" i="39"/>
  <c r="I10" i="39"/>
  <c r="W17" i="39"/>
  <c r="K13" i="42" s="1"/>
  <c r="W8" i="39"/>
  <c r="K5" i="42" s="1"/>
  <c r="W14" i="39"/>
  <c r="K11" i="42" s="1"/>
  <c r="C14" i="39"/>
  <c r="P8" i="39"/>
  <c r="J5" i="42"/>
  <c r="P18" i="39"/>
  <c r="J14" i="42"/>
  <c r="P14" i="39"/>
  <c r="J11" i="42"/>
  <c r="W12" i="39"/>
  <c r="K9" i="42" s="1"/>
  <c r="P6" i="39"/>
  <c r="J3" i="42"/>
  <c r="W9" i="39"/>
  <c r="K6" i="42" s="1"/>
  <c r="P12" i="39"/>
  <c r="J9" i="42"/>
  <c r="W5" i="39"/>
  <c r="K2" i="42" s="1"/>
  <c r="C24" i="39"/>
  <c r="P13" i="39"/>
  <c r="J10" i="42"/>
  <c r="W19" i="39"/>
  <c r="K15" i="42" s="1"/>
  <c r="W24" i="39"/>
  <c r="K20" i="42" s="1"/>
  <c r="N15" i="42" l="1"/>
  <c r="O15" i="42"/>
  <c r="L15" i="42"/>
  <c r="M15" i="42"/>
  <c r="M9" i="42"/>
  <c r="N9" i="42"/>
  <c r="L9" i="42"/>
  <c r="O9" i="42"/>
  <c r="V14" i="39"/>
  <c r="F14" i="39" a="1"/>
  <c r="F14" i="39" s="1"/>
  <c r="I14" i="39" s="1"/>
  <c r="V8" i="39"/>
  <c r="F8" i="39" a="1"/>
  <c r="F8" i="39" s="1"/>
  <c r="I8" i="39" s="1"/>
  <c r="V19" i="39"/>
  <c r="F19" i="39" a="1"/>
  <c r="F19" i="39" s="1"/>
  <c r="I19" i="39" s="1"/>
  <c r="V24" i="39"/>
  <c r="F24" i="39" a="1"/>
  <c r="F24" i="39" s="1"/>
  <c r="I24" i="39" s="1"/>
  <c r="L7" i="42"/>
  <c r="O7" i="42"/>
  <c r="M7" i="42"/>
  <c r="N7" i="42"/>
  <c r="O14" i="42"/>
  <c r="L16" i="42"/>
  <c r="M16" i="42"/>
  <c r="O16" i="42"/>
  <c r="N16" i="42"/>
  <c r="N8" i="42"/>
  <c r="M8" i="42"/>
  <c r="O8" i="42"/>
  <c r="L8" i="42"/>
  <c r="L3" i="42"/>
  <c r="O3" i="42"/>
  <c r="M3" i="42"/>
  <c r="N3" i="42"/>
  <c r="L37" i="42"/>
  <c r="M34" i="42"/>
  <c r="L33" i="42"/>
  <c r="M30" i="42"/>
  <c r="L29" i="42"/>
  <c r="M26" i="42"/>
  <c r="L25" i="42"/>
  <c r="M22" i="42"/>
  <c r="L21" i="42"/>
  <c r="M39" i="42"/>
  <c r="O33" i="42"/>
  <c r="N30" i="42"/>
  <c r="O25" i="42"/>
  <c r="N22" i="42"/>
  <c r="N2" i="42"/>
  <c r="L39" i="42"/>
  <c r="O34" i="42"/>
  <c r="M33" i="42"/>
  <c r="O26" i="42"/>
  <c r="M25" i="42"/>
  <c r="M2" i="42"/>
  <c r="N34" i="42"/>
  <c r="M32" i="42"/>
  <c r="L31" i="42"/>
  <c r="O29" i="42"/>
  <c r="M29" i="42"/>
  <c r="O22" i="42"/>
  <c r="N26" i="42"/>
  <c r="M21" i="42"/>
  <c r="O2" i="42"/>
  <c r="O37" i="42"/>
  <c r="L2" i="42"/>
  <c r="M37" i="42"/>
  <c r="O21" i="42"/>
  <c r="O30" i="42"/>
  <c r="N38" i="42"/>
  <c r="M24" i="42"/>
  <c r="O23" i="42"/>
  <c r="L36" i="42"/>
  <c r="M36" i="42"/>
  <c r="O28" i="42"/>
  <c r="N31" i="42"/>
  <c r="O32" i="42"/>
  <c r="L35" i="42"/>
  <c r="N28" i="42"/>
  <c r="O31" i="42"/>
  <c r="L24" i="42"/>
  <c r="N32" i="42"/>
  <c r="N21" i="42"/>
  <c r="N25" i="42"/>
  <c r="N33" i="42"/>
  <c r="N37" i="42"/>
  <c r="O39" i="42"/>
  <c r="N23" i="42"/>
  <c r="L23" i="42"/>
  <c r="M23" i="42"/>
  <c r="O36" i="42"/>
  <c r="M38" i="42"/>
  <c r="N27" i="42"/>
  <c r="N35" i="42"/>
  <c r="N29" i="42"/>
  <c r="L28" i="42"/>
  <c r="O38" i="42"/>
  <c r="M27" i="42"/>
  <c r="L32" i="42"/>
  <c r="N36" i="42"/>
  <c r="M31" i="42"/>
  <c r="L38" i="42"/>
  <c r="O27" i="42"/>
  <c r="O35" i="42"/>
  <c r="O24" i="42"/>
  <c r="L27" i="42"/>
  <c r="L22" i="42"/>
  <c r="L26" i="42"/>
  <c r="L30" i="42"/>
  <c r="L34" i="42"/>
  <c r="N39" i="42"/>
  <c r="M28" i="42"/>
  <c r="M35" i="42"/>
  <c r="N24" i="42"/>
  <c r="V12" i="39"/>
  <c r="F12" i="39"/>
  <c r="I12" i="39" s="1"/>
  <c r="N6" i="42"/>
  <c r="M6" i="42"/>
  <c r="O6" i="42"/>
  <c r="L6" i="42"/>
  <c r="L5" i="42"/>
  <c r="O5" i="42"/>
  <c r="N5" i="42"/>
  <c r="M5" i="42"/>
  <c r="M14" i="42"/>
  <c r="N19" i="42"/>
  <c r="M19" i="42"/>
  <c r="L19" i="42"/>
  <c r="O19" i="42"/>
  <c r="N17" i="42"/>
  <c r="O17" i="42"/>
  <c r="M17" i="42"/>
  <c r="L17" i="42"/>
  <c r="L18" i="42"/>
  <c r="O18" i="42"/>
  <c r="M18" i="42"/>
  <c r="N18" i="42"/>
  <c r="F7" i="39" a="1"/>
  <c r="F7" i="39" s="1"/>
  <c r="I7" i="39" s="1"/>
  <c r="V7" i="39"/>
  <c r="V17" i="39"/>
  <c r="F17" i="39" a="1"/>
  <c r="F17" i="39" s="1"/>
  <c r="I17" i="39" s="1"/>
  <c r="F9" i="39"/>
  <c r="I9" i="39" s="1"/>
  <c r="V9" i="39"/>
  <c r="V13" i="39"/>
  <c r="F13" i="39" a="1"/>
  <c r="F13" i="39" s="1"/>
  <c r="I13" i="39" s="1"/>
  <c r="V18" i="39"/>
  <c r="F18" i="39" a="1"/>
  <c r="F18" i="39" s="1"/>
  <c r="I18" i="39" s="1"/>
  <c r="N13" i="42"/>
  <c r="L13" i="42"/>
  <c r="O13" i="42"/>
  <c r="M13" i="42"/>
  <c r="I11" i="39"/>
  <c r="V22" i="39"/>
  <c r="F22" i="39" a="1"/>
  <c r="F22" i="39" s="1"/>
  <c r="I22" i="39" s="1"/>
  <c r="V23" i="39"/>
  <c r="F23" i="39" a="1"/>
  <c r="F23" i="39" s="1"/>
  <c r="I23" i="39" s="1"/>
  <c r="N14" i="42"/>
  <c r="L20" i="42"/>
  <c r="O20" i="42"/>
  <c r="N20" i="42"/>
  <c r="M20" i="42"/>
  <c r="V6" i="39"/>
  <c r="F6" i="39" a="1"/>
  <c r="F6" i="39" s="1"/>
  <c r="I6" i="39" s="1"/>
  <c r="M11" i="42"/>
  <c r="L11" i="42"/>
  <c r="N11" i="42"/>
  <c r="O11" i="42"/>
  <c r="N4" i="42"/>
  <c r="M4" i="42"/>
  <c r="O4" i="42"/>
  <c r="L4" i="42"/>
  <c r="L14" i="42"/>
  <c r="V5" i="39"/>
  <c r="F5" i="39" a="1"/>
  <c r="F5" i="39" s="1"/>
  <c r="I5" i="39" s="1"/>
  <c r="O10" i="42"/>
  <c r="N10" i="42"/>
  <c r="M10" i="42"/>
  <c r="L10" i="42"/>
  <c r="L12" i="42"/>
  <c r="O12" i="42"/>
  <c r="M12" i="42"/>
  <c r="N12" i="42"/>
  <c r="P30" i="42" l="1"/>
  <c r="Q30" i="42" s="1"/>
  <c r="Q12" i="39"/>
  <c r="P17" i="42"/>
  <c r="R21" i="39" s="1"/>
  <c r="X21" i="39" s="1"/>
  <c r="P13" i="42"/>
  <c r="R17" i="39" s="1"/>
  <c r="X17" i="39" s="1"/>
  <c r="P6" i="42"/>
  <c r="R9" i="39" s="1"/>
  <c r="X9" i="39" s="1"/>
  <c r="P12" i="42"/>
  <c r="P21" i="42"/>
  <c r="Q21" i="42" s="1"/>
  <c r="P29" i="42"/>
  <c r="Q29" i="42" s="1"/>
  <c r="P34" i="42"/>
  <c r="Q34" i="42" s="1"/>
  <c r="P27" i="42"/>
  <c r="Q27" i="42" s="1"/>
  <c r="P38" i="42"/>
  <c r="Q38" i="42" s="1"/>
  <c r="P2" i="42"/>
  <c r="R5" i="39" s="1"/>
  <c r="G5" i="39" s="1" a="1"/>
  <c r="G5" i="39" s="1"/>
  <c r="P31" i="42"/>
  <c r="Q31" i="42" s="1"/>
  <c r="P39" i="42"/>
  <c r="Q39" i="42" s="1"/>
  <c r="P20" i="42"/>
  <c r="Q23" i="39"/>
  <c r="P37" i="42"/>
  <c r="Q37" i="42" s="1"/>
  <c r="Q24" i="39"/>
  <c r="P10" i="42"/>
  <c r="P14" i="42"/>
  <c r="P11" i="42"/>
  <c r="Q6" i="39"/>
  <c r="Q9" i="39"/>
  <c r="Q17" i="39"/>
  <c r="P19" i="42"/>
  <c r="P23" i="42"/>
  <c r="Q23" i="42" s="1"/>
  <c r="P24" i="42"/>
  <c r="Q24" i="42" s="1"/>
  <c r="P36" i="42"/>
  <c r="Q36" i="42" s="1"/>
  <c r="P3" i="42"/>
  <c r="P7" i="42"/>
  <c r="Q8" i="39"/>
  <c r="P15" i="42"/>
  <c r="Q14" i="39"/>
  <c r="P4" i="42"/>
  <c r="Q22" i="39"/>
  <c r="P18" i="42"/>
  <c r="P5" i="42"/>
  <c r="P26" i="42"/>
  <c r="Q26" i="42" s="1"/>
  <c r="P28" i="42"/>
  <c r="Q28" i="42" s="1"/>
  <c r="P25" i="42"/>
  <c r="Q25" i="42" s="1"/>
  <c r="P33" i="42"/>
  <c r="Q33" i="42" s="1"/>
  <c r="P8" i="42"/>
  <c r="Q11" i="39"/>
  <c r="Q20" i="39"/>
  <c r="Q10" i="39"/>
  <c r="Q16" i="39"/>
  <c r="Q21" i="39"/>
  <c r="Q18" i="39"/>
  <c r="P35" i="42"/>
  <c r="Q35" i="42" s="1"/>
  <c r="Q5" i="39"/>
  <c r="Q13" i="39"/>
  <c r="Q7" i="39"/>
  <c r="P22" i="42"/>
  <c r="Q22" i="42" s="1"/>
  <c r="P32" i="42"/>
  <c r="Q32" i="42" s="1"/>
  <c r="P16" i="42"/>
  <c r="Q19" i="39"/>
  <c r="P9" i="42"/>
  <c r="F20" i="39" a="1"/>
  <c r="Q17" i="42" l="1"/>
  <c r="Q13" i="42"/>
  <c r="Q6" i="42"/>
  <c r="Q2" i="42"/>
  <c r="X5" i="39"/>
  <c r="R16" i="39"/>
  <c r="Q12" i="42"/>
  <c r="F20" i="39"/>
  <c r="I20" i="39" s="1"/>
  <c r="R22" i="39"/>
  <c r="Q18" i="42"/>
  <c r="R19" i="39"/>
  <c r="Q15" i="42"/>
  <c r="R14" i="39"/>
  <c r="Q11" i="42"/>
  <c r="R8" i="39"/>
  <c r="Q5" i="42"/>
  <c r="R6" i="39"/>
  <c r="Q3" i="42"/>
  <c r="R23" i="39"/>
  <c r="Q19" i="42"/>
  <c r="R12" i="39"/>
  <c r="Q9" i="42"/>
  <c r="R18" i="39"/>
  <c r="Q14" i="42"/>
  <c r="R20" i="39"/>
  <c r="Q16" i="42"/>
  <c r="H5" i="39"/>
  <c r="J5" i="39"/>
  <c r="K5" i="39" s="1"/>
  <c r="R11" i="39"/>
  <c r="Q8" i="42"/>
  <c r="R7" i="39"/>
  <c r="Q4" i="42"/>
  <c r="R10" i="39"/>
  <c r="Q7" i="42"/>
  <c r="R13" i="39"/>
  <c r="Q10" i="42"/>
  <c r="R24" i="39"/>
  <c r="Q20" i="42"/>
  <c r="X16" i="39" l="1"/>
  <c r="X24" i="39"/>
  <c r="X10" i="39"/>
  <c r="X11" i="39"/>
  <c r="X12" i="39"/>
  <c r="X6" i="39"/>
  <c r="S22" i="39" s="1"/>
  <c r="X14" i="39"/>
  <c r="X22" i="39"/>
  <c r="X20" i="39"/>
  <c r="X18" i="39"/>
  <c r="X13" i="39"/>
  <c r="X7" i="39"/>
  <c r="X23" i="39"/>
  <c r="X8" i="39"/>
  <c r="X19" i="39"/>
  <c r="S11" i="39" l="1"/>
  <c r="S24" i="39"/>
  <c r="S23" i="39"/>
  <c r="S18" i="39"/>
  <c r="S12" i="39"/>
  <c r="S20" i="39"/>
  <c r="S6" i="39"/>
  <c r="S19" i="39"/>
  <c r="S8" i="39"/>
  <c r="S13" i="39"/>
  <c r="S14" i="39"/>
  <c r="S16" i="39"/>
  <c r="S21" i="39"/>
  <c r="S9" i="39"/>
  <c r="S5" i="39"/>
  <c r="S17" i="39"/>
  <c r="S10" i="39"/>
  <c r="S7" i="39"/>
  <c r="G12" i="39" a="1"/>
  <c r="G10" i="39" a="1"/>
  <c r="G19" i="39" a="1"/>
  <c r="G11" i="39" a="1"/>
  <c r="G18" i="39" a="1"/>
  <c r="G7" i="39" a="1"/>
  <c r="G22" i="39" a="1"/>
  <c r="G23" i="39" a="1"/>
  <c r="G6" i="39" a="1"/>
  <c r="G8" i="39" a="1"/>
  <c r="G13" i="39" a="1"/>
  <c r="G16" i="39" a="1"/>
  <c r="G9" i="39"/>
  <c r="G21" i="39" a="1"/>
  <c r="G17" i="39" a="1"/>
  <c r="G23" i="39" l="1"/>
  <c r="J9" i="39"/>
  <c r="K9" i="39" s="1"/>
  <c r="H9" i="39"/>
  <c r="G19" i="39"/>
  <c r="G8" i="39"/>
  <c r="G10" i="39"/>
  <c r="G6" i="39"/>
  <c r="G11" i="39"/>
  <c r="G7" i="39"/>
  <c r="G17" i="39"/>
  <c r="G16" i="39"/>
  <c r="G18" i="39"/>
  <c r="G22" i="39"/>
  <c r="G21" i="39"/>
  <c r="G13" i="39"/>
  <c r="G12" i="39"/>
  <c r="H16" i="39" l="1"/>
  <c r="J16" i="39"/>
  <c r="K16" i="39" s="1"/>
  <c r="J6" i="39"/>
  <c r="K6" i="39" s="1"/>
  <c r="H6" i="39"/>
  <c r="H17" i="39"/>
  <c r="J17" i="39"/>
  <c r="K17" i="39" s="1"/>
  <c r="J10" i="39"/>
  <c r="K10" i="39" s="1"/>
  <c r="H10" i="39"/>
  <c r="H11" i="39"/>
  <c r="J11" i="39"/>
  <c r="K11" i="39" s="1"/>
  <c r="H19" i="39"/>
  <c r="J19" i="39"/>
  <c r="K19" i="39" s="1"/>
  <c r="H7" i="39"/>
  <c r="J7" i="39"/>
  <c r="K7" i="39" s="1"/>
  <c r="H8" i="39"/>
  <c r="J8" i="39"/>
  <c r="K8" i="39" s="1"/>
  <c r="J23" i="39"/>
  <c r="K23" i="39" s="1"/>
  <c r="H23" i="39"/>
  <c r="H13" i="39"/>
  <c r="J13" i="39"/>
  <c r="K13" i="39" s="1"/>
  <c r="J21" i="39"/>
  <c r="K21" i="39" s="1"/>
  <c r="H21" i="39"/>
  <c r="J22" i="39"/>
  <c r="K22" i="39" s="1"/>
  <c r="H22" i="39"/>
  <c r="J12" i="39"/>
  <c r="H12" i="39"/>
  <c r="H18" i="39"/>
  <c r="J18" i="39"/>
  <c r="G20" i="39"/>
  <c r="G14" i="39"/>
  <c r="H14" i="39" l="1"/>
  <c r="J14" i="39"/>
  <c r="K14" i="39" s="1"/>
  <c r="J20" i="39"/>
  <c r="H20" i="39"/>
  <c r="K12" i="39"/>
  <c r="K18" i="39"/>
  <c r="G24" i="39" a="1"/>
  <c r="G24" i="39" l="1"/>
  <c r="K20" i="39"/>
  <c r="H24" i="39" l="1"/>
  <c r="J24" i="39"/>
  <c r="K24"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tc={4E1BA589-B5E1-4701-9133-33EF58DBF0E0}</author>
    <author>tc={CA2AD8A4-0060-4B66-A737-AD82AFBED21E}</author>
    <author>tc={0955E770-0601-4BF5-8B98-7B23A128A0CC}</author>
    <author>Administrator</author>
    <author>C130002</author>
  </authors>
  <commentList>
    <comment ref="F1" authorId="0" shapeId="0" xr:uid="{00000000-0006-0000-0000-000001000000}">
      <text>
        <r>
          <rPr>
            <sz val="12"/>
            <color theme="1"/>
            <rFont val="新細明體"/>
            <family val="2"/>
            <charset val="136"/>
            <scheme val="minor"/>
          </rPr>
          <t>[對話串註解]
您的 Excel 版本可讓您讀取此對話串註解; 但若以較新的 Excel 版本開啟此檔案，將會移除對它進行的所有編輯。深入了解: https://go.microsoft.com/fwlink/?linkid=870924。
註解:
    填HW+停電月+停電日+編號</t>
        </r>
      </text>
    </comment>
    <comment ref="H1" authorId="1" shapeId="0" xr:uid="{00000000-0006-0000-0000-000002000000}">
      <text>
        <r>
          <rPr>
            <sz val="12"/>
            <color theme="1"/>
            <rFont val="新細明體"/>
            <family val="2"/>
            <charset val="136"/>
            <scheme val="minor"/>
          </rPr>
          <t>[對話串註解]
您的 Excel 版本可讓您讀取此對話串註解; 但若以較新的 Excel 版本開啟此檔案，將會移除對它進行的所有編輯。深入了解: https://go.microsoft.com/fwlink/?linkid=870924。
註解:
    請填停電當日日期，第二件請標02</t>
        </r>
      </text>
    </comment>
    <comment ref="G7" authorId="2" shapeId="0" xr:uid="{00000000-0006-0000-0000-000003000000}">
      <text>
        <r>
          <rPr>
            <sz val="12"/>
            <color theme="1"/>
            <rFont val="新細明體"/>
            <family val="2"/>
            <charset val="136"/>
            <scheme val="minor"/>
          </rPr>
          <t>[對話串註解]
您的 Excel 版本可讓您讀取此對話串註解; 但若以較新的 Excel 版本開啟此檔案，將會移除對它進行的所有編輯。深入了解: https://go.microsoft.com/fwlink/?linkid=870924。
註解:
    請確認出口電桿是否正確，若為地下開關，請至T:\線路課\出口電桿.XLSX 增加開關編號如G3329GD2835-S21 (-S21) ，更新後再執行2.填出口電桿</t>
        </r>
      </text>
    </comment>
    <comment ref="I49" authorId="3" shapeId="0" xr:uid="{00000000-0006-0000-0000-000004000000}">
      <text>
        <r>
          <rPr>
            <b/>
            <sz val="9"/>
            <color indexed="81"/>
            <rFont val="Tahoma"/>
            <family val="2"/>
          </rPr>
          <t>Administrator:</t>
        </r>
        <r>
          <rPr>
            <sz val="9"/>
            <color indexed="81"/>
            <rFont val="Tahoma"/>
            <family val="2"/>
          </rPr>
          <t xml:space="preserve">
</t>
        </r>
        <r>
          <rPr>
            <sz val="9"/>
            <color indexed="81"/>
            <rFont val="細明體"/>
            <family val="3"/>
            <charset val="136"/>
          </rPr>
          <t>本表格參考</t>
        </r>
        <r>
          <rPr>
            <sz val="9"/>
            <color indexed="81"/>
            <rFont val="Tahoma"/>
            <family val="2"/>
          </rPr>
          <t xml:space="preserve">110.6.30 FDIR
</t>
        </r>
        <r>
          <rPr>
            <sz val="9"/>
            <color indexed="81"/>
            <rFont val="細明體"/>
            <family val="3"/>
            <charset val="136"/>
          </rPr>
          <t>若有更新請修正</t>
        </r>
      </text>
    </comment>
    <comment ref="E57" authorId="3" shapeId="0" xr:uid="{00000000-0006-0000-0000-000005000000}">
      <text>
        <r>
          <rPr>
            <b/>
            <sz val="9"/>
            <color indexed="81"/>
            <rFont val="Tahoma"/>
            <family val="2"/>
          </rPr>
          <t>Administrator:</t>
        </r>
        <r>
          <rPr>
            <sz val="9"/>
            <color indexed="81"/>
            <rFont val="Tahoma"/>
            <family val="2"/>
          </rPr>
          <t xml:space="preserve">
</t>
        </r>
        <r>
          <rPr>
            <sz val="11"/>
            <color indexed="81"/>
            <rFont val="細明體"/>
            <family val="3"/>
            <charset val="136"/>
          </rPr>
          <t>停電一天電流不可超過</t>
        </r>
        <r>
          <rPr>
            <sz val="11"/>
            <color indexed="81"/>
            <rFont val="Tahoma"/>
            <family val="2"/>
          </rPr>
          <t xml:space="preserve">400A </t>
        </r>
        <r>
          <rPr>
            <sz val="11"/>
            <color indexed="81"/>
            <rFont val="細明體"/>
            <family val="3"/>
            <charset val="136"/>
          </rPr>
          <t>，二天以上不可超過</t>
        </r>
        <r>
          <rPr>
            <sz val="11"/>
            <color indexed="81"/>
            <rFont val="Tahoma"/>
            <family val="2"/>
          </rPr>
          <t xml:space="preserve">350A
</t>
        </r>
      </text>
    </comment>
    <comment ref="H57" authorId="3" shapeId="0" xr:uid="{00000000-0006-0000-0000-000006000000}">
      <text>
        <r>
          <rPr>
            <b/>
            <sz val="9"/>
            <color indexed="81"/>
            <rFont val="Tahoma"/>
            <family val="2"/>
          </rPr>
          <t>Administrator:</t>
        </r>
        <r>
          <rPr>
            <sz val="9"/>
            <color indexed="81"/>
            <rFont val="Tahoma"/>
            <family val="2"/>
          </rPr>
          <t xml:space="preserve">
</t>
        </r>
        <r>
          <rPr>
            <sz val="11"/>
            <color indexed="81"/>
            <rFont val="細明體"/>
            <family val="3"/>
            <charset val="136"/>
          </rPr>
          <t>二次主變壓器轉供電流不可超過</t>
        </r>
        <r>
          <rPr>
            <sz val="11"/>
            <color indexed="81"/>
            <rFont val="Tahoma"/>
            <family val="2"/>
          </rPr>
          <t xml:space="preserve">1125A
</t>
        </r>
        <r>
          <rPr>
            <sz val="11"/>
            <color indexed="81"/>
            <rFont val="細明體"/>
            <family val="3"/>
            <charset val="136"/>
          </rPr>
          <t>一次主變壓器轉供電流
不可超過</t>
        </r>
        <r>
          <rPr>
            <sz val="11"/>
            <color indexed="81"/>
            <rFont val="Tahoma"/>
            <family val="2"/>
          </rPr>
          <t>1350A</t>
        </r>
      </text>
    </comment>
    <comment ref="B58" authorId="4" shapeId="0" xr:uid="{EE7B8939-E387-49BC-813F-06A7A649820E}">
      <text>
        <r>
          <rPr>
            <sz val="9"/>
            <color indexed="81"/>
            <rFont val="Tahoma"/>
            <family val="2"/>
          </rPr>
          <t>原電流:81</t>
        </r>
      </text>
    </comment>
    <comment ref="D58" authorId="4" shapeId="0" xr:uid="{BEF00A51-B5CD-4162-B15B-4A09AEA77958}">
      <text>
        <r>
          <rPr>
            <sz val="9"/>
            <color indexed="81"/>
            <rFont val="Tahoma"/>
            <family val="2"/>
          </rPr>
          <t>原電流:112</t>
        </r>
      </text>
    </comment>
    <comment ref="G58" authorId="4" shapeId="0" xr:uid="{669C9837-2E98-43DA-AD25-D355D246B528}">
      <text>
        <r>
          <rPr>
            <sz val="9"/>
            <color indexed="81"/>
            <rFont val="Tahoma"/>
            <family val="2"/>
          </rPr>
          <t>原電流:571</t>
        </r>
      </text>
    </comment>
    <comment ref="B59" authorId="4" shapeId="0" xr:uid="{EB13CFEA-E9B6-4F74-91EF-71D431F69268}">
      <text>
        <r>
          <rPr>
            <sz val="9"/>
            <color indexed="81"/>
            <rFont val="Tahoma"/>
            <family val="2"/>
          </rPr>
          <t>原電流:156</t>
        </r>
      </text>
    </comment>
    <comment ref="D59" authorId="4" shapeId="0" xr:uid="{E23DD1EE-E522-404E-BF64-6B23393DA824}">
      <text>
        <r>
          <rPr>
            <sz val="9"/>
            <color indexed="81"/>
            <rFont val="Tahoma"/>
            <family val="2"/>
          </rPr>
          <t>原電流:264</t>
        </r>
      </text>
    </comment>
    <comment ref="G59" authorId="4" shapeId="0" xr:uid="{270B1CCB-981B-4B11-8738-F0FEA775D89D}">
      <text>
        <r>
          <rPr>
            <sz val="9"/>
            <color indexed="81"/>
            <rFont val="Tahoma"/>
            <family val="2"/>
          </rPr>
          <t>原電流:631</t>
        </r>
      </text>
    </comment>
    <comment ref="B60" authorId="4" shapeId="0" xr:uid="{92193505-A810-413C-A5E7-19CF4862817B}">
      <text>
        <r>
          <rPr>
            <sz val="9"/>
            <color indexed="81"/>
            <rFont val="Tahoma"/>
            <family val="2"/>
          </rPr>
          <t>原電流:156</t>
        </r>
      </text>
    </comment>
    <comment ref="D60" authorId="4" shapeId="0" xr:uid="{59F21B8C-4561-4509-BBEE-9AB57B1D47D2}">
      <text>
        <r>
          <rPr>
            <sz val="9"/>
            <color indexed="81"/>
            <rFont val="Tahoma"/>
            <family val="2"/>
          </rPr>
          <t>原電流:112</t>
        </r>
      </text>
    </comment>
    <comment ref="G60" authorId="4" shapeId="0" xr:uid="{1E096A92-BCB3-40C7-A7DA-26F92305EF75}">
      <text>
        <r>
          <rPr>
            <sz val="9"/>
            <color indexed="81"/>
            <rFont val="Tahoma"/>
            <family val="2"/>
          </rPr>
          <t>原電流:571</t>
        </r>
      </text>
    </comment>
    <comment ref="B61" authorId="4" shapeId="0" xr:uid="{06E35666-CFF9-409C-A2B9-7114705508C3}">
      <text>
        <r>
          <rPr>
            <sz val="9"/>
            <color indexed="81"/>
            <rFont val="Tahoma"/>
            <family val="2"/>
          </rPr>
          <t>原電流:86</t>
        </r>
      </text>
    </comment>
    <comment ref="D61" authorId="4" shapeId="0" xr:uid="{BF075675-2F26-4F65-9C49-AFB83E47AC16}">
      <text>
        <r>
          <rPr>
            <sz val="9"/>
            <color indexed="81"/>
            <rFont val="Tahoma"/>
            <family val="2"/>
          </rPr>
          <t>原電流:132</t>
        </r>
      </text>
    </comment>
    <comment ref="G61" authorId="4" shapeId="0" xr:uid="{AF99084D-8AF1-42D4-BEC1-F6F6A9F393CA}">
      <text>
        <r>
          <rPr>
            <sz val="9"/>
            <color indexed="81"/>
            <rFont val="Tahoma"/>
            <family val="2"/>
          </rPr>
          <t>原電流:484</t>
        </r>
      </text>
    </comment>
    <comment ref="B62" authorId="4" shapeId="0" xr:uid="{2964E8C6-8B2F-4FFC-97C6-F3EECC9E68E3}">
      <text>
        <r>
          <rPr>
            <sz val="9"/>
            <color indexed="81"/>
            <rFont val="Tahoma"/>
            <family val="2"/>
          </rPr>
          <t>原電流:145</t>
        </r>
      </text>
    </comment>
    <comment ref="D62" authorId="4" shapeId="0" xr:uid="{B27A5260-DBEF-4B0A-A03E-06A4223A25A1}">
      <text>
        <r>
          <rPr>
            <sz val="9"/>
            <color indexed="81"/>
            <rFont val="Tahoma"/>
            <family val="2"/>
          </rPr>
          <t>原電流:144</t>
        </r>
      </text>
    </comment>
    <comment ref="G62" authorId="4" shapeId="0" xr:uid="{EAD80F01-F4D2-417E-B3D0-D1A17A8F838C}">
      <text>
        <r>
          <rPr>
            <sz val="9"/>
            <color indexed="81"/>
            <rFont val="Tahoma"/>
            <family val="2"/>
          </rPr>
          <t>原電流:405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min</author>
  </authors>
  <commentList>
    <comment ref="D41" authorId="0" shapeId="0" xr:uid="{00000000-0006-0000-0300-000001000000}">
      <text>
        <r>
          <rPr>
            <b/>
            <sz val="9"/>
            <color indexed="81"/>
            <rFont val="Tahoma"/>
            <family val="2"/>
          </rPr>
          <t>min:</t>
        </r>
        <r>
          <rPr>
            <sz val="9"/>
            <color indexed="81"/>
            <rFont val="Tahoma"/>
            <family val="2"/>
          </rPr>
          <t xml:space="preserve">
</t>
        </r>
        <r>
          <rPr>
            <sz val="9"/>
            <color indexed="81"/>
            <rFont val="細明體"/>
            <family val="3"/>
            <charset val="136"/>
          </rPr>
          <t>電流</t>
        </r>
        <r>
          <rPr>
            <sz val="9"/>
            <color indexed="81"/>
            <rFont val="Tahoma"/>
            <family val="2"/>
          </rPr>
          <t>X20/1000</t>
        </r>
      </text>
    </comment>
    <comment ref="I41" authorId="0" shapeId="0" xr:uid="{00000000-0006-0000-0300-000002000000}">
      <text>
        <r>
          <rPr>
            <b/>
            <sz val="9"/>
            <color indexed="81"/>
            <rFont val="Tahoma"/>
            <family val="2"/>
          </rPr>
          <t>min:</t>
        </r>
        <r>
          <rPr>
            <sz val="9"/>
            <color indexed="81"/>
            <rFont val="Tahoma"/>
            <family val="2"/>
          </rPr>
          <t xml:space="preserve">
11.4KV
</t>
        </r>
        <r>
          <rPr>
            <sz val="9"/>
            <color indexed="81"/>
            <rFont val="細明體"/>
            <family val="3"/>
            <charset val="136"/>
          </rPr>
          <t>電流</t>
        </r>
        <r>
          <rPr>
            <sz val="9"/>
            <color indexed="81"/>
            <rFont val="Tahoma"/>
            <family val="2"/>
          </rPr>
          <t xml:space="preserve">X20
22.8KV
</t>
        </r>
        <r>
          <rPr>
            <sz val="9"/>
            <color indexed="81"/>
            <rFont val="細明體"/>
            <family val="3"/>
            <charset val="136"/>
          </rPr>
          <t>電流Ｘ</t>
        </r>
        <r>
          <rPr>
            <sz val="9"/>
            <color indexed="81"/>
            <rFont val="Tahoma"/>
            <family val="2"/>
          </rPr>
          <t>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C036032</author>
  </authors>
  <commentList>
    <comment ref="Q25" authorId="0" shapeId="0" xr:uid="{00000000-0006-0000-0C00-000001000000}">
      <text>
        <r>
          <rPr>
            <b/>
            <sz val="9"/>
            <color indexed="81"/>
            <rFont val="Tahoma"/>
            <family val="2"/>
          </rPr>
          <t>C036032:</t>
        </r>
        <r>
          <rPr>
            <sz val="9"/>
            <color indexed="81"/>
            <rFont val="Tahoma"/>
            <family val="2"/>
          </rPr>
          <t xml:space="preserve">
</t>
        </r>
        <r>
          <rPr>
            <sz val="9"/>
            <color indexed="81"/>
            <rFont val="細明體"/>
            <family val="3"/>
            <charset val="136"/>
          </rPr>
          <t>手動</t>
        </r>
      </text>
    </comment>
  </commentList>
</comments>
</file>

<file path=xl/sharedStrings.xml><?xml version="1.0" encoding="utf-8"?>
<sst xmlns="http://schemas.openxmlformats.org/spreadsheetml/2006/main" count="42769" uniqueCount="10340">
  <si>
    <t>%BDu%A6%E8DS_9B</t>
    <phoneticPr fontId="1" type="noConversion"/>
  </si>
  <si>
    <t>%B9%FC%C0%D8ES_9A</t>
    <phoneticPr fontId="1" type="noConversion"/>
  </si>
  <si>
    <t>%AD%FB%AALDS_9C</t>
    <phoneticPr fontId="1" type="noConversion"/>
  </si>
  <si>
    <t>查詢日期</t>
    <phoneticPr fontId="1" type="noConversion"/>
  </si>
  <si>
    <t>彰濱ES_9A</t>
    <phoneticPr fontId="1" type="noConversion"/>
  </si>
  <si>
    <t>線西DS_9B</t>
    <phoneticPr fontId="1" type="noConversion"/>
  </si>
  <si>
    <t>員林DS_9C</t>
    <phoneticPr fontId="1" type="noConversion"/>
  </si>
  <si>
    <t>%B3%C0%A6%E8DS_9F</t>
    <phoneticPr fontId="1" type="noConversion"/>
  </si>
  <si>
    <t>鹿西DS_9F</t>
    <phoneticPr fontId="1" type="noConversion"/>
  </si>
  <si>
    <t>%BA%7E%C4_DS_9G</t>
    <phoneticPr fontId="1" type="noConversion"/>
  </si>
  <si>
    <t>漢寶DS_9G</t>
    <phoneticPr fontId="1" type="noConversion"/>
  </si>
  <si>
    <t>%AF%F3%B4%E4DS_9H</t>
    <phoneticPr fontId="1" type="noConversion"/>
  </si>
  <si>
    <t>%BA%D6%BF%B3DS_9I</t>
    <phoneticPr fontId="1" type="noConversion"/>
  </si>
  <si>
    <t>%AEH%C6QSS_9J</t>
    <phoneticPr fontId="1" type="noConversion"/>
  </si>
  <si>
    <t>%A4j%C1%F8DS_9K</t>
    <phoneticPr fontId="1" type="noConversion"/>
  </si>
  <si>
    <t>大霞DS_9K</t>
    <phoneticPr fontId="1" type="noConversion"/>
  </si>
  <si>
    <t>埔塩SS_9J</t>
    <phoneticPr fontId="1" type="noConversion"/>
  </si>
  <si>
    <t>福興DS_9I</t>
    <phoneticPr fontId="1" type="noConversion"/>
  </si>
  <si>
    <t>草港DS_9H</t>
    <phoneticPr fontId="1" type="noConversion"/>
  </si>
  <si>
    <t>%A4j%AB%B0DS_9L</t>
    <phoneticPr fontId="1" type="noConversion"/>
  </si>
  <si>
    <t>大城DS_9L</t>
    <phoneticPr fontId="1" type="noConversion"/>
  </si>
  <si>
    <t>%B9%FC%AALES_9M</t>
    <phoneticPr fontId="1" type="noConversion"/>
  </si>
  <si>
    <t>%B9%FC%A6%CBDS_9N</t>
    <phoneticPr fontId="1" type="noConversion"/>
  </si>
  <si>
    <t>%AA%E1%BE%C2DS_9P</t>
    <phoneticPr fontId="1" type="noConversion"/>
  </si>
  <si>
    <t>%B9%FC%B7sDS_IA</t>
    <phoneticPr fontId="1" type="noConversion"/>
  </si>
  <si>
    <t>%B3%C0%B4%E4SS_IB</t>
    <phoneticPr fontId="1" type="noConversion"/>
  </si>
  <si>
    <t>%AD%FB%AALSS_IC</t>
    <phoneticPr fontId="1" type="noConversion"/>
  </si>
  <si>
    <t>%B7%CB%B4%F2SS_ID</t>
    <phoneticPr fontId="1" type="noConversion"/>
  </si>
  <si>
    <t>%A4G%AALSS_IE</t>
    <phoneticPr fontId="1" type="noConversion"/>
  </si>
  <si>
    <t>%B7%CB%A6%7BSS_IF</t>
    <phoneticPr fontId="1" type="noConversion"/>
  </si>
  <si>
    <t>%A5%D0%A4%A4DS_IG</t>
    <phoneticPr fontId="1" type="noConversion"/>
  </si>
  <si>
    <t>%B9%FC%A6%E8SS_IH</t>
    <phoneticPr fontId="1" type="noConversion"/>
  </si>
  <si>
    <t>%B9%FC%ABnSS_II</t>
    <phoneticPr fontId="1" type="noConversion"/>
  </si>
  <si>
    <t>%A9M%AC%FCSS_IJ</t>
    <phoneticPr fontId="1" type="noConversion"/>
  </si>
  <si>
    <t>%B9%FC%A4%C6DS_IK</t>
    <phoneticPr fontId="1" type="noConversion"/>
  </si>
  <si>
    <t>%B9%FC%A4%C6PS_IK</t>
    <phoneticPr fontId="1" type="noConversion"/>
  </si>
  <si>
    <t>%AD%FB%ABnSS_IL</t>
    <phoneticPr fontId="1" type="noConversion"/>
  </si>
  <si>
    <t>%A4j%A6%CBSS_IM</t>
    <phoneticPr fontId="1" type="noConversion"/>
  </si>
  <si>
    <t>%A4j%A7%F8SS_IN</t>
    <phoneticPr fontId="1" type="noConversion"/>
  </si>
  <si>
    <t>%B3%C0%AAFDS_IO</t>
    <phoneticPr fontId="1" type="noConversion"/>
  </si>
  <si>
    <t>彰林ES_9M</t>
    <phoneticPr fontId="1" type="noConversion"/>
  </si>
  <si>
    <t>彰竹DS_9N</t>
    <phoneticPr fontId="1" type="noConversion"/>
  </si>
  <si>
    <t>花壇DS_9P</t>
    <phoneticPr fontId="1" type="noConversion"/>
  </si>
  <si>
    <t>彰新DS_IA</t>
    <phoneticPr fontId="1" type="noConversion"/>
  </si>
  <si>
    <t>鹿港SS_IB</t>
    <phoneticPr fontId="1" type="noConversion"/>
  </si>
  <si>
    <t>員林SS_IC</t>
    <phoneticPr fontId="1" type="noConversion"/>
  </si>
  <si>
    <t>溪湖SS_ID</t>
    <phoneticPr fontId="1" type="noConversion"/>
  </si>
  <si>
    <t>二林SS_IE</t>
    <phoneticPr fontId="1" type="noConversion"/>
  </si>
  <si>
    <t>溪州SS_IF</t>
    <phoneticPr fontId="1" type="noConversion"/>
  </si>
  <si>
    <t>田中DS_IG</t>
    <phoneticPr fontId="1" type="noConversion"/>
  </si>
  <si>
    <t>彰西SS_IH</t>
    <phoneticPr fontId="1" type="noConversion"/>
  </si>
  <si>
    <t>彰南SS_II</t>
    <phoneticPr fontId="1" type="noConversion"/>
  </si>
  <si>
    <t>和美SS_IJ</t>
    <phoneticPr fontId="1" type="noConversion"/>
  </si>
  <si>
    <t>彰化DS_IK</t>
    <phoneticPr fontId="1" type="noConversion"/>
  </si>
  <si>
    <t>彰化PS_IK</t>
    <phoneticPr fontId="1" type="noConversion"/>
  </si>
  <si>
    <t>員南SS_IL</t>
    <phoneticPr fontId="1" type="noConversion"/>
  </si>
  <si>
    <t>大竹SS_IM</t>
    <phoneticPr fontId="1" type="noConversion"/>
  </si>
  <si>
    <t>大村SS_IN</t>
    <phoneticPr fontId="1" type="noConversion"/>
  </si>
  <si>
    <t>鹿東DS_IO</t>
    <phoneticPr fontId="1" type="noConversion"/>
  </si>
  <si>
    <t>%BA%D6%A4uSS_IP</t>
    <phoneticPr fontId="1" type="noConversion"/>
  </si>
  <si>
    <t>%B9%FC%AAFSS_IQ</t>
    <phoneticPr fontId="1" type="noConversion"/>
  </si>
  <si>
    <t>%AA%C0%C0YSS_IR</t>
    <phoneticPr fontId="1" type="noConversion"/>
  </si>
  <si>
    <t>%AF%F3%B4%F2SS_IS</t>
    <phoneticPr fontId="1" type="noConversion"/>
  </si>
  <si>
    <t>溝墘SS_IT</t>
    <phoneticPr fontId="1" type="noConversion"/>
  </si>
  <si>
    <t>%B7%BE%E1YSS_IT</t>
    <phoneticPr fontId="1" type="noConversion"/>
  </si>
  <si>
    <t>草湖SS_IS</t>
    <phoneticPr fontId="1" type="noConversion"/>
  </si>
  <si>
    <t>社頭SS_IR</t>
    <phoneticPr fontId="1" type="noConversion"/>
  </si>
  <si>
    <t>彰東SS_IQ</t>
    <phoneticPr fontId="1" type="noConversion"/>
  </si>
  <si>
    <t>福工SS_IP</t>
    <phoneticPr fontId="1" type="noConversion"/>
  </si>
  <si>
    <t>%AD%FB%AAFDS_IU</t>
    <phoneticPr fontId="1" type="noConversion"/>
  </si>
  <si>
    <t>員東DS_IU</t>
    <phoneticPr fontId="1" type="noConversion"/>
  </si>
  <si>
    <t>%A6%F9%B4%E4SS_IV</t>
    <phoneticPr fontId="1" type="noConversion"/>
  </si>
  <si>
    <t>伸港SS_IV</t>
    <phoneticPr fontId="1" type="noConversion"/>
  </si>
  <si>
    <t>%A4G%A4%F4SS_IW</t>
    <phoneticPr fontId="1" type="noConversion"/>
  </si>
  <si>
    <t>二水SS_IW</t>
    <phoneticPr fontId="1" type="noConversion"/>
  </si>
  <si>
    <t>北斗SS_IX</t>
    <phoneticPr fontId="1" type="noConversion"/>
  </si>
  <si>
    <t>%A5_%A4%E6SS_IX</t>
    <phoneticPr fontId="1" type="noConversion"/>
  </si>
  <si>
    <t>芳苑SS_IY</t>
    <phoneticPr fontId="1" type="noConversion"/>
  </si>
  <si>
    <t>%AA%DA%ADbSS_IY</t>
    <phoneticPr fontId="1" type="noConversion"/>
  </si>
  <si>
    <t>全興ES_IZ</t>
    <phoneticPr fontId="1" type="noConversion"/>
  </si>
  <si>
    <t>%A5%FE%BF%B3ES_IZ</t>
    <phoneticPr fontId="1" type="noConversion"/>
  </si>
  <si>
    <t>最大電流</t>
  </si>
  <si>
    <t>N</t>
  </si>
  <si>
    <t>電流</t>
  </si>
  <si>
    <t>發生時間</t>
  </si>
  <si>
    <t xml:space="preserve"> </t>
  </si>
  <si>
    <t>饋線名稱</t>
  </si>
  <si>
    <t>彰濱ES_9A</t>
  </si>
  <si>
    <t>9J34</t>
    <phoneticPr fontId="1" type="noConversion"/>
  </si>
  <si>
    <t>9M29</t>
    <phoneticPr fontId="1" type="noConversion"/>
  </si>
  <si>
    <t>9G24</t>
    <phoneticPr fontId="1" type="noConversion"/>
  </si>
  <si>
    <t>9G22</t>
    <phoneticPr fontId="1" type="noConversion"/>
  </si>
  <si>
    <t>IS25</t>
    <phoneticPr fontId="1" type="noConversion"/>
  </si>
  <si>
    <t>9A71(9A71)</t>
  </si>
  <si>
    <t>9A72(9A72)</t>
  </si>
  <si>
    <t>9A73(9A73)</t>
  </si>
  <si>
    <t>9A74(9A74)</t>
  </si>
  <si>
    <r>
      <t>彰化</t>
    </r>
    <r>
      <rPr>
        <b/>
        <sz val="20"/>
        <color indexed="8"/>
        <rFont val="Arial"/>
        <family val="2"/>
      </rPr>
      <t xml:space="preserve"> </t>
    </r>
    <r>
      <rPr>
        <b/>
        <sz val="20"/>
        <color indexed="8"/>
        <rFont val="新細明體"/>
        <family val="1"/>
        <charset val="136"/>
      </rPr>
      <t>區處</t>
    </r>
    <r>
      <rPr>
        <b/>
        <sz val="20"/>
        <color indexed="8"/>
        <rFont val="Arial"/>
        <family val="2"/>
      </rPr>
      <t xml:space="preserve"> </t>
    </r>
  </si>
  <si>
    <t>大霞</t>
    <phoneticPr fontId="11" type="noConversion"/>
  </si>
  <si>
    <r>
      <t>變電所</t>
    </r>
    <r>
      <rPr>
        <b/>
        <sz val="20"/>
        <color indexed="8"/>
        <rFont val="Arial"/>
        <family val="2"/>
      </rPr>
      <t xml:space="preserve"> </t>
    </r>
    <r>
      <rPr>
        <b/>
        <sz val="20"/>
        <color indexed="8"/>
        <rFont val="新細明體"/>
        <family val="1"/>
        <charset val="136"/>
      </rPr>
      <t>主變全停電尖載轉供計畫工程檢討表</t>
    </r>
    <phoneticPr fontId="11" type="noConversion"/>
  </si>
  <si>
    <r>
      <t>(</t>
    </r>
    <r>
      <rPr>
        <sz val="20"/>
        <color indexed="8"/>
        <rFont val="新細明體"/>
        <family val="1"/>
        <charset val="136"/>
      </rPr>
      <t>本案實施前請確認停電主變</t>
    </r>
    <r>
      <rPr>
        <sz val="20"/>
        <color indexed="8"/>
        <rFont val="Arial"/>
        <family val="2"/>
      </rPr>
      <t>CB</t>
    </r>
    <r>
      <rPr>
        <sz val="20"/>
        <color indexed="8"/>
        <rFont val="新細明體"/>
        <family val="1"/>
        <charset val="136"/>
      </rPr>
      <t>及其所供電之饋線</t>
    </r>
    <r>
      <rPr>
        <sz val="20"/>
        <color indexed="8"/>
        <rFont val="Arial"/>
        <family val="2"/>
      </rPr>
      <t>CB</t>
    </r>
    <r>
      <rPr>
        <sz val="20"/>
        <color indexed="8"/>
        <rFont val="新細明體"/>
        <family val="1"/>
        <charset val="136"/>
      </rPr>
      <t>全部切開</t>
    </r>
    <r>
      <rPr>
        <sz val="20"/>
        <color indexed="8"/>
        <rFont val="Arial"/>
        <family val="2"/>
      </rPr>
      <t>)</t>
    </r>
  </si>
  <si>
    <t>主變編號     全停時負載    (MW)            (電壓等級)</t>
    <phoneticPr fontId="11" type="noConversion"/>
  </si>
  <si>
    <t>饋線名稱或代號</t>
    <phoneticPr fontId="11" type="noConversion"/>
  </si>
  <si>
    <r>
      <t>支援轉供變電所</t>
    </r>
    <r>
      <rPr>
        <sz val="11"/>
        <color indexed="8"/>
        <rFont val="Arial"/>
        <family val="2"/>
      </rPr>
      <t xml:space="preserve">  </t>
    </r>
    <phoneticPr fontId="11" type="noConversion"/>
  </si>
  <si>
    <t>轉供前</t>
    <phoneticPr fontId="11" type="noConversion"/>
  </si>
  <si>
    <t>轉供後</t>
    <phoneticPr fontId="11" type="noConversion"/>
  </si>
  <si>
    <t>開關操作位置</t>
    <phoneticPr fontId="11" type="noConversion"/>
  </si>
  <si>
    <r>
      <t>備註</t>
    </r>
    <r>
      <rPr>
        <sz val="11"/>
        <color indexed="8"/>
        <rFont val="Arial"/>
        <family val="2"/>
      </rPr>
      <t xml:space="preserve">                                                (</t>
    </r>
    <r>
      <rPr>
        <sz val="11"/>
        <color indexed="8"/>
        <rFont val="新細明體"/>
        <family val="1"/>
        <charset val="136"/>
      </rPr>
      <t>註</t>
    </r>
    <r>
      <rPr>
        <sz val="11"/>
        <color indexed="8"/>
        <rFont val="Arial"/>
        <family val="2"/>
      </rPr>
      <t>3)</t>
    </r>
    <phoneticPr fontId="11" type="noConversion"/>
  </si>
  <si>
    <t>轉供順序</t>
    <phoneticPr fontId="11" type="noConversion"/>
  </si>
  <si>
    <t>可否轉供</t>
    <phoneticPr fontId="11" type="noConversion"/>
  </si>
  <si>
    <t>(MW)</t>
    <phoneticPr fontId="11" type="noConversion"/>
  </si>
  <si>
    <t>轉供饋線</t>
    <phoneticPr fontId="11" type="noConversion"/>
  </si>
  <si>
    <t>轉供變電所及主變名稱</t>
    <phoneticPr fontId="11" type="noConversion"/>
  </si>
  <si>
    <r>
      <t>饋線</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1" type="noConversion"/>
  </si>
  <si>
    <r>
      <t>主變</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1" type="noConversion"/>
  </si>
  <si>
    <r>
      <t>主變
利用率</t>
    </r>
    <r>
      <rPr>
        <sz val="11"/>
        <color indexed="8"/>
        <rFont val="Arial"/>
        <family val="2"/>
      </rPr>
      <t>(%)</t>
    </r>
    <phoneticPr fontId="11" type="noConversion"/>
  </si>
  <si>
    <r>
      <t>饋線</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1" type="noConversion"/>
  </si>
  <si>
    <r>
      <t>主變</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1" type="noConversion"/>
  </si>
  <si>
    <t>重複第幾次(饋線)</t>
    <phoneticPr fontId="11" type="noConversion"/>
  </si>
  <si>
    <t>重複位置(饋線)</t>
    <phoneticPr fontId="11" type="noConversion"/>
  </si>
  <si>
    <t>重複第幾次(主變)</t>
    <phoneticPr fontId="11" type="noConversion"/>
  </si>
  <si>
    <t>重複位置(主變)</t>
    <phoneticPr fontId="11" type="noConversion"/>
  </si>
  <si>
    <t>查找用</t>
    <phoneticPr fontId="11" type="noConversion"/>
  </si>
  <si>
    <t>查找用</t>
    <phoneticPr fontId="11" type="noConversion"/>
  </si>
  <si>
    <t>9K34</t>
  </si>
  <si>
    <t>IJ29</t>
    <phoneticPr fontId="11" type="noConversion"/>
  </si>
  <si>
    <t>霞田#31(G3435HC32) 自動化開關切改入
出口：霞田幹56-1號(G3533FE33)</t>
    <phoneticPr fontId="11" type="noConversion"/>
  </si>
  <si>
    <t>可</t>
    <phoneticPr fontId="11" type="noConversion"/>
  </si>
  <si>
    <t>9K32</t>
  </si>
  <si>
    <t>IA30</t>
  </si>
  <si>
    <t>G3830 GE02-O 自動化開關 S21 切改入
出口：水源幹1號(G3830FE1658)</t>
    <phoneticPr fontId="11" type="noConversion"/>
  </si>
  <si>
    <t>9K31</t>
  </si>
  <si>
    <t>9K26</t>
    <phoneticPr fontId="11" type="noConversion"/>
  </si>
  <si>
    <t>和東#103(G3733CC66)自動化開關切改入
出口：頂湳幹47-1號(G3732BB3989)</t>
    <phoneticPr fontId="11" type="noConversion"/>
  </si>
  <si>
    <t>IH27</t>
    <phoneticPr fontId="11" type="noConversion"/>
  </si>
  <si>
    <t>IH20</t>
    <phoneticPr fontId="11" type="noConversion"/>
  </si>
  <si>
    <t>水尾#30(G3627CB78)自動化開關切改入
鎮平#80-1(G3628AD52)自動化開關入改切</t>
    <phoneticPr fontId="11" type="noConversion"/>
  </si>
  <si>
    <t>降低IH27負載</t>
    <phoneticPr fontId="11" type="noConversion"/>
  </si>
  <si>
    <t>9K23</t>
    <phoneticPr fontId="11" type="noConversion"/>
  </si>
  <si>
    <t>嘉佃#1(G3528BD46) 自動化開關切改入
嘉佃#26-1(G3530FC94) 自動化開關入改切</t>
    <phoneticPr fontId="11" type="noConversion"/>
  </si>
  <si>
    <t>降低9K23負載</t>
    <phoneticPr fontId="11" type="noConversion"/>
  </si>
  <si>
    <t>9K35</t>
  </si>
  <si>
    <t>IT20</t>
    <phoneticPr fontId="11" type="noConversion"/>
  </si>
  <si>
    <t>鎮平27X#1(G3328HE74) 自動化開關切改入
南雅高分23Y#1(G3430FD66) 自動化開關入改切</t>
    <phoneticPr fontId="11" type="noConversion"/>
  </si>
  <si>
    <t>9K23</t>
    <phoneticPr fontId="11" type="noConversion"/>
  </si>
  <si>
    <t>大霞12X#15(G3631DC06)LBS開關切改入
出口：大霞幹1號(G3632AE04)</t>
    <phoneticPr fontId="11" type="noConversion"/>
  </si>
  <si>
    <t>IH24</t>
    <phoneticPr fontId="11" type="noConversion"/>
  </si>
  <si>
    <t>9K22</t>
    <phoneticPr fontId="11" type="noConversion"/>
  </si>
  <si>
    <t>頂湳#18(G3731EA32) 自動化開關切改入
頂湳#2(G3729BE33) 自動化開關入改切</t>
    <phoneticPr fontId="11" type="noConversion"/>
  </si>
  <si>
    <t>降低IH24負載</t>
    <phoneticPr fontId="11" type="noConversion"/>
  </si>
  <si>
    <t>9K33</t>
    <phoneticPr fontId="11" type="noConversion"/>
  </si>
  <si>
    <t>IH24</t>
    <phoneticPr fontId="11" type="noConversion"/>
  </si>
  <si>
    <t>下湳#40(G3631HA8146) 自動化開關切改入
霞田#94(G3631HE95) 自動化開關入改切</t>
    <phoneticPr fontId="11" type="noConversion"/>
  </si>
  <si>
    <t>9K24</t>
    <phoneticPr fontId="11" type="noConversion"/>
  </si>
  <si>
    <t>霞田#80(G3632DC56)自動化開關切改入
出口：霞田高幹82-1號(G3632EC21)</t>
    <phoneticPr fontId="11" type="noConversion"/>
  </si>
  <si>
    <t>9K36</t>
  </si>
  <si>
    <t>IA25</t>
    <phoneticPr fontId="11" type="noConversion"/>
  </si>
  <si>
    <t>彰美#50(G3832DD7499) 自動化開關切改入
出口：	彰美幹75號(G3733EC7192)</t>
    <phoneticPr fontId="11" type="noConversion"/>
  </si>
  <si>
    <t>9K37</t>
  </si>
  <si>
    <t>IJ23</t>
    <phoneticPr fontId="11" type="noConversion"/>
  </si>
  <si>
    <t>彰美#35(G3537HA26) 自動化開關切改入
地政#28(G3535FE09) 自動化開關入改切</t>
    <phoneticPr fontId="11" type="noConversion"/>
  </si>
  <si>
    <t>9K30</t>
    <phoneticPr fontId="11" type="noConversion"/>
  </si>
  <si>
    <t>地政#44(G3534EE52) 自動化開關切改入
出口：美寮幹13號(G3535FD73)</t>
    <phoneticPr fontId="11" type="noConversion"/>
  </si>
  <si>
    <t>9K29</t>
    <phoneticPr fontId="11" type="noConversion"/>
  </si>
  <si>
    <t>IA33</t>
    <phoneticPr fontId="11" type="noConversion"/>
  </si>
  <si>
    <t>東平#1(G3933BC27)自動化開關切改入</t>
    <phoneticPr fontId="11" type="noConversion"/>
  </si>
  <si>
    <t>降低9K#1B負載</t>
    <phoneticPr fontId="11" type="noConversion"/>
  </si>
  <si>
    <t>可</t>
    <phoneticPr fontId="11" type="noConversion"/>
  </si>
  <si>
    <t>9K38</t>
  </si>
  <si>
    <t>9K26</t>
    <phoneticPr fontId="11" type="noConversion"/>
  </si>
  <si>
    <t>柑竹南#28(G3733DC66) 自動化開關切改入
出口：柑竹南幹22號(G3733DE48)</t>
    <phoneticPr fontId="11" type="noConversion"/>
  </si>
  <si>
    <t>9K39</t>
  </si>
  <si>
    <t>IA20</t>
    <phoneticPr fontId="11" type="noConversion"/>
  </si>
  <si>
    <t>中寮#64(G3935AE52) 自動化開關切改入
出口：柑竹北幹1-1號(G3735EC7711)</t>
    <phoneticPr fontId="11" type="noConversion"/>
  </si>
  <si>
    <t>9K40</t>
  </si>
  <si>
    <t>IA35</t>
    <phoneticPr fontId="11" type="noConversion"/>
  </si>
  <si>
    <t>中圍#1(G3935FA81) 自動化開關切改入
前庄#53(G3839DD50) 自動化開關入改切</t>
    <phoneticPr fontId="11" type="noConversion"/>
  </si>
  <si>
    <t>IZ24</t>
    <phoneticPr fontId="11" type="noConversion"/>
  </si>
  <si>
    <t>嘉寶#32(G3739AA28) 自動化開關切改入
嘉寶#52(G3738GA01) LBS開關入改切</t>
    <phoneticPr fontId="11" type="noConversion"/>
  </si>
  <si>
    <t>9K28</t>
    <phoneticPr fontId="11" type="noConversion"/>
  </si>
  <si>
    <t>嘉寶#60(G3837BC06) 自動化開關切改入
出口：美寮幹42X0-1號(G3735BE22)</t>
    <phoneticPr fontId="11" type="noConversion"/>
  </si>
  <si>
    <t>I16</t>
    <phoneticPr fontId="11" type="noConversion"/>
  </si>
  <si>
    <r>
      <t>註：</t>
    </r>
    <r>
      <rPr>
        <sz val="12"/>
        <color indexed="8"/>
        <rFont val="新細明體"/>
        <family val="1"/>
        <charset val="136"/>
      </rPr>
      <t>1.</t>
    </r>
    <r>
      <rPr>
        <sz val="12"/>
        <color indexed="8"/>
        <rFont val="新細明體"/>
        <family val="1"/>
        <charset val="136"/>
      </rPr>
      <t>本轉供計畫工程檢討表負載資料係參考</t>
    </r>
    <r>
      <rPr>
        <sz val="12"/>
        <color indexed="8"/>
        <rFont val="新細明體"/>
        <family val="1"/>
        <charset val="136"/>
      </rPr>
      <t>110.6.16</t>
    </r>
    <r>
      <rPr>
        <sz val="12"/>
        <color indexed="8"/>
        <rFont val="新細明體"/>
        <family val="1"/>
        <charset val="136"/>
      </rPr>
      <t>系統尖峰日負載，使用時請自行參酌當時負載情形做調整。</t>
    </r>
    <phoneticPr fontId="11" type="noConversion"/>
  </si>
  <si>
    <r>
      <t xml:space="preserve">        2.</t>
    </r>
    <r>
      <rPr>
        <sz val="12"/>
        <color indexed="8"/>
        <rFont val="新細明體"/>
        <family val="1"/>
        <charset val="136"/>
      </rPr>
      <t>支援轉供變電所主變若有重覆者應累計於下欄轉供前之主變負載量。</t>
    </r>
    <phoneticPr fontId="11" type="noConversion"/>
  </si>
  <si>
    <r>
      <t xml:space="preserve">        3.</t>
    </r>
    <r>
      <rPr>
        <sz val="12"/>
        <color indexed="8"/>
        <rFont val="新細明體"/>
        <family val="1"/>
        <charset val="136"/>
      </rPr>
      <t>支援轉供主變或饋線負載過重需由其他分歧線轉供或負載及時調整因應者，請列調整方案及可轉供容量，若需辦理連絡線及其它改善工程因應</t>
    </r>
    <phoneticPr fontId="11" type="noConversion"/>
  </si>
  <si>
    <r>
      <t xml:space="preserve">           </t>
    </r>
    <r>
      <rPr>
        <sz val="12"/>
        <color indexed="8"/>
        <rFont val="新細明體"/>
        <family val="1"/>
        <charset val="136"/>
      </rPr>
      <t>者，請列工程名稱及預定完成日期，該工程進度將納入定期追蹤。</t>
    </r>
    <phoneticPr fontId="11" type="noConversion"/>
  </si>
  <si>
    <t>經辦:</t>
    <phoneticPr fontId="11" type="noConversion"/>
  </si>
  <si>
    <t>課長:</t>
    <phoneticPr fontId="11" type="noConversion"/>
  </si>
  <si>
    <t>經理:</t>
    <phoneticPr fontId="11" type="noConversion"/>
  </si>
  <si>
    <r>
      <t>彰化</t>
    </r>
    <r>
      <rPr>
        <b/>
        <sz val="20"/>
        <rFont val="Arial"/>
        <family val="2"/>
      </rPr>
      <t xml:space="preserve"> </t>
    </r>
    <r>
      <rPr>
        <b/>
        <sz val="20"/>
        <rFont val="新細明體"/>
        <family val="1"/>
        <charset val="136"/>
      </rPr>
      <t>區處</t>
    </r>
    <r>
      <rPr>
        <b/>
        <sz val="20"/>
        <rFont val="Arial"/>
        <family val="2"/>
      </rPr>
      <t xml:space="preserve"> </t>
    </r>
  </si>
  <si>
    <t>鹿港</t>
    <phoneticPr fontId="11"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</si>
  <si>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11" type="noConversion"/>
  </si>
  <si>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</si>
  <si>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r>
      <t xml:space="preserve">主變編號     全停時負載    (MW)    </t>
    </r>
    <r>
      <rPr>
        <sz val="12"/>
        <color theme="1"/>
        <rFont val="新細明體"/>
        <family val="2"/>
        <charset val="136"/>
        <scheme val="minor"/>
      </rPr>
      <t xml:space="preserve">    </t>
    </r>
    <r>
      <rPr>
        <sz val="12"/>
        <rFont val="新細明體"/>
        <family val="1"/>
        <charset val="136"/>
      </rPr>
      <t xml:space="preserve">    (電壓等級)</t>
    </r>
    <phoneticPr fontId="11" type="noConversion"/>
  </si>
  <si>
    <t>饋線名稱或代號</t>
    <phoneticPr fontId="11" type="noConversion"/>
  </si>
  <si>
    <r>
      <t>支援轉供變電所</t>
    </r>
    <r>
      <rPr>
        <sz val="11"/>
        <rFont val="Arial"/>
        <family val="2"/>
      </rPr>
      <t xml:space="preserve">  </t>
    </r>
    <phoneticPr fontId="11" type="noConversion"/>
  </si>
  <si>
    <t>轉供前</t>
    <phoneticPr fontId="11" type="noConversion"/>
  </si>
  <si>
    <t>轉供後</t>
    <phoneticPr fontId="11" type="noConversion"/>
  </si>
  <si>
    <t>開關操作位置</t>
    <phoneticPr fontId="11" type="noConversion"/>
  </si>
  <si>
    <r>
      <t>備註</t>
    </r>
    <r>
      <rPr>
        <sz val="11"/>
        <rFont val="Arial"/>
        <family val="2"/>
      </rPr>
      <t xml:space="preserve">                                                (</t>
    </r>
    <r>
      <rPr>
        <sz val="11"/>
        <rFont val="新細明體"/>
        <family val="1"/>
        <charset val="136"/>
      </rPr>
      <t>註</t>
    </r>
    <r>
      <rPr>
        <sz val="11"/>
        <rFont val="Arial"/>
        <family val="2"/>
      </rPr>
      <t>3)</t>
    </r>
    <phoneticPr fontId="11" type="noConversion"/>
  </si>
  <si>
    <t>轉供順序</t>
    <phoneticPr fontId="11" type="noConversion"/>
  </si>
  <si>
    <t>可否轉供</t>
    <phoneticPr fontId="11" type="noConversion"/>
  </si>
  <si>
    <t>(MW)</t>
    <phoneticPr fontId="11" type="noConversion"/>
  </si>
  <si>
    <t>轉供饋線</t>
    <phoneticPr fontId="11" type="noConversion"/>
  </si>
  <si>
    <t>轉供變電所及主變名稱</t>
    <phoneticPr fontId="11" type="noConversion"/>
  </si>
  <si>
    <r>
      <t>饋線</t>
    </r>
    <r>
      <rPr>
        <sz val="11"/>
        <rFont val="Arial"/>
        <family val="2"/>
      </rPr>
      <t xml:space="preserve">  </t>
    </r>
    <r>
      <rPr>
        <sz val="11"/>
        <rFont val="新細明體"/>
        <family val="1"/>
        <charset val="136"/>
      </rPr>
      <t xml:space="preserve">負載
</t>
    </r>
    <r>
      <rPr>
        <sz val="11"/>
        <rFont val="Arial"/>
        <family val="2"/>
      </rPr>
      <t>(MW)</t>
    </r>
    <phoneticPr fontId="11" type="noConversion"/>
  </si>
  <si>
    <r>
      <t>主變</t>
    </r>
    <r>
      <rPr>
        <sz val="11"/>
        <rFont val="Arial"/>
        <family val="2"/>
      </rPr>
      <t xml:space="preserve">  </t>
    </r>
    <r>
      <rPr>
        <sz val="11"/>
        <rFont val="新細明體"/>
        <family val="1"/>
        <charset val="136"/>
      </rPr>
      <t xml:space="preserve">負載
</t>
    </r>
    <r>
      <rPr>
        <sz val="11"/>
        <rFont val="Arial"/>
        <family val="2"/>
      </rPr>
      <t>(MW)</t>
    </r>
    <phoneticPr fontId="11" type="noConversion"/>
  </si>
  <si>
    <r>
      <t>主變
利用率</t>
    </r>
    <r>
      <rPr>
        <sz val="11"/>
        <rFont val="Arial"/>
        <family val="2"/>
      </rPr>
      <t>(%)</t>
    </r>
    <phoneticPr fontId="11" type="noConversion"/>
  </si>
  <si>
    <r>
      <t>主變</t>
    </r>
    <r>
      <rPr>
        <sz val="11"/>
        <rFont val="Arial"/>
        <family val="2"/>
      </rPr>
      <t xml:space="preserve">  </t>
    </r>
    <r>
      <rPr>
        <sz val="11"/>
        <rFont val="新細明體"/>
        <family val="1"/>
        <charset val="136"/>
      </rPr>
      <t xml:space="preserve">負載
</t>
    </r>
    <r>
      <rPr>
        <sz val="11"/>
        <rFont val="Arial"/>
        <family val="2"/>
      </rPr>
      <t>(MW)</t>
    </r>
    <phoneticPr fontId="11" type="noConversion"/>
  </si>
  <si>
    <t>IB20</t>
    <phoneticPr fontId="11" type="noConversion"/>
  </si>
  <si>
    <t>9G37</t>
    <phoneticPr fontId="11" type="noConversion"/>
  </si>
  <si>
    <t>G2420CA20-O，S11切改入</t>
    <phoneticPr fontId="11" type="noConversion"/>
  </si>
  <si>
    <t>IB21</t>
    <phoneticPr fontId="11" type="noConversion"/>
  </si>
  <si>
    <t>IB22</t>
    <phoneticPr fontId="11" type="noConversion"/>
  </si>
  <si>
    <r>
      <rPr>
        <sz val="12"/>
        <rFont val="微軟正黑體"/>
        <family val="2"/>
        <charset val="136"/>
      </rPr>
      <t>所內轉供</t>
    </r>
    <r>
      <rPr>
        <sz val="12"/>
        <rFont val="Arial"/>
        <family val="2"/>
      </rPr>
      <t>IB#2</t>
    </r>
    <phoneticPr fontId="11" type="noConversion"/>
  </si>
  <si>
    <t>NO.1 TIE 切改入</t>
    <phoneticPr fontId="11" type="noConversion"/>
  </si>
  <si>
    <t>IB30</t>
    <phoneticPr fontId="11" type="noConversion"/>
  </si>
  <si>
    <t>IB31</t>
    <phoneticPr fontId="11" type="noConversion"/>
  </si>
  <si>
    <t>IB24</t>
    <phoneticPr fontId="11" type="noConversion"/>
  </si>
  <si>
    <r>
      <rPr>
        <sz val="12"/>
        <rFont val="微軟正黑體"/>
        <family val="2"/>
        <charset val="136"/>
      </rPr>
      <t>所內轉供</t>
    </r>
    <r>
      <rPr>
        <sz val="12"/>
        <rFont val="Arial"/>
        <family val="2"/>
      </rPr>
      <t>IB#1</t>
    </r>
    <phoneticPr fontId="11" type="noConversion"/>
  </si>
  <si>
    <r>
      <t xml:space="preserve">NO.1 TIE </t>
    </r>
    <r>
      <rPr>
        <sz val="12"/>
        <rFont val="微軟正黑體"/>
        <family val="2"/>
        <charset val="136"/>
      </rPr>
      <t>切改入</t>
    </r>
    <phoneticPr fontId="11" type="noConversion"/>
  </si>
  <si>
    <t>IB27</t>
    <phoneticPr fontId="11" type="noConversion"/>
  </si>
  <si>
    <t>IB25</t>
    <phoneticPr fontId="11" type="noConversion"/>
  </si>
  <si>
    <t>IB28</t>
    <phoneticPr fontId="11" type="noConversion"/>
  </si>
  <si>
    <r>
      <rPr>
        <sz val="12"/>
        <rFont val="微軟正黑體"/>
        <family val="2"/>
        <charset val="136"/>
      </rPr>
      <t>所內轉供</t>
    </r>
    <r>
      <rPr>
        <sz val="12"/>
        <rFont val="Arial"/>
        <family val="2"/>
      </rPr>
      <t>IB#3</t>
    </r>
    <phoneticPr fontId="11" type="noConversion"/>
  </si>
  <si>
    <r>
      <t xml:space="preserve">NO.2 TIE </t>
    </r>
    <r>
      <rPr>
        <sz val="12"/>
        <rFont val="微軟正黑體"/>
        <family val="2"/>
        <charset val="136"/>
      </rPr>
      <t>切改入</t>
    </r>
    <phoneticPr fontId="11" type="noConversion"/>
  </si>
  <si>
    <t>IB33</t>
    <phoneticPr fontId="11" type="noConversion"/>
  </si>
  <si>
    <t>IB23</t>
    <phoneticPr fontId="11" type="noConversion"/>
  </si>
  <si>
    <r>
      <rPr>
        <sz val="12"/>
        <rFont val="微軟正黑體"/>
        <family val="2"/>
        <charset val="136"/>
      </rPr>
      <t>所內轉供</t>
    </r>
    <r>
      <rPr>
        <sz val="12"/>
        <rFont val="Arial"/>
        <family val="2"/>
      </rPr>
      <t>IB#2</t>
    </r>
    <phoneticPr fontId="11" type="noConversion"/>
  </si>
  <si>
    <r>
      <t xml:space="preserve">NO.2 TIE </t>
    </r>
    <r>
      <rPr>
        <sz val="12"/>
        <rFont val="微軟正黑體"/>
        <family val="2"/>
        <charset val="136"/>
      </rPr>
      <t>切改入</t>
    </r>
    <phoneticPr fontId="11" type="noConversion"/>
  </si>
  <si>
    <t>IB26</t>
    <phoneticPr fontId="11" type="noConversion"/>
  </si>
  <si>
    <t>IB29</t>
    <phoneticPr fontId="11" type="noConversion"/>
  </si>
  <si>
    <t>IB32</t>
    <phoneticPr fontId="11" type="noConversion"/>
  </si>
  <si>
    <t>IB34</t>
    <phoneticPr fontId="11" type="noConversion"/>
  </si>
  <si>
    <t>可</t>
    <phoneticPr fontId="11"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</si>
  <si>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11" type="noConversion"/>
  </si>
  <si>
    <r>
      <t xml:space="preserve">        2.</t>
    </r>
    <r>
      <rPr>
        <sz val="12"/>
        <rFont val="新細明體"/>
        <family val="1"/>
        <charset val="136"/>
      </rPr>
      <t>支援轉供變電所主變若有重覆者應累計於下欄轉供前之主變負載量。</t>
    </r>
    <phoneticPr fontId="11"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</si>
  <si>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11" type="noConversion"/>
  </si>
  <si>
    <r>
      <t xml:space="preserve">           </t>
    </r>
    <r>
      <rPr>
        <sz val="12"/>
        <rFont val="新細明體"/>
        <family val="1"/>
        <charset val="136"/>
      </rPr>
      <t>者，請列工程名稱及預定完成日期，該工程進度將納入定期追蹤。</t>
    </r>
    <phoneticPr fontId="11" type="noConversion"/>
  </si>
  <si>
    <t>經理:</t>
    <phoneticPr fontId="11" type="noConversion"/>
  </si>
  <si>
    <t>整理</t>
    <phoneticPr fontId="11" type="noConversion"/>
  </si>
  <si>
    <t>0</t>
  </si>
  <si>
    <t/>
  </si>
  <si>
    <t>重復</t>
    <phoneticPr fontId="11" type="noConversion"/>
  </si>
  <si>
    <t>要求書：</t>
  </si>
  <si>
    <t>操作日期：</t>
  </si>
  <si>
    <t>VHF</t>
  </si>
  <si>
    <t>順</t>
  </si>
  <si>
    <t>序</t>
  </si>
  <si>
    <t>高壓配電線路</t>
    <phoneticPr fontId="11" type="noConversion"/>
  </si>
  <si>
    <t>施工要求書</t>
  </si>
  <si>
    <t>一、工作概略內容：</t>
    <phoneticPr fontId="11" type="noConversion"/>
  </si>
  <si>
    <t>工作內容概要：</t>
    <phoneticPr fontId="11" type="noConversion"/>
  </si>
  <si>
    <t>二、</t>
    <phoneticPr fontId="11" type="noConversion"/>
  </si>
  <si>
    <t>請求號數</t>
    <phoneticPr fontId="11" type="noConversion"/>
  </si>
  <si>
    <t>施工號碼</t>
    <phoneticPr fontId="11" type="noConversion"/>
  </si>
  <si>
    <t>DCIS號碼</t>
    <phoneticPr fontId="11" type="noConversion"/>
  </si>
  <si>
    <t>饋線代號</t>
    <phoneticPr fontId="11" type="noConversion"/>
  </si>
  <si>
    <t>施工日期</t>
    <phoneticPr fontId="11" type="noConversion"/>
  </si>
  <si>
    <t>要求書提出部門</t>
    <phoneticPr fontId="11" type="noConversion"/>
  </si>
  <si>
    <t>施工單位(承攬商)</t>
    <phoneticPr fontId="11" type="noConversion"/>
  </si>
  <si>
    <t>線路課</t>
  </si>
  <si>
    <t>無</t>
  </si>
  <si>
    <t>工作停電</t>
  </si>
  <si>
    <t>工作停電範圍</t>
    <phoneticPr fontId="11" type="noConversion"/>
  </si>
  <si>
    <t>停電作業類別</t>
    <phoneticPr fontId="11" type="noConversion"/>
  </si>
  <si>
    <t>停電用戶數</t>
    <phoneticPr fontId="11" type="noConversion"/>
  </si>
  <si>
    <t>停電電量</t>
    <phoneticPr fontId="11" type="noConversion"/>
  </si>
  <si>
    <t>工程類別</t>
    <phoneticPr fontId="11" type="noConversion"/>
  </si>
  <si>
    <t>工業區別</t>
    <phoneticPr fontId="11" type="noConversion"/>
  </si>
  <si>
    <t>一般高壓線</t>
  </si>
  <si>
    <t>日間作業</t>
  </si>
  <si>
    <t>0KWH</t>
  </si>
  <si>
    <t>維護工程</t>
  </si>
  <si>
    <t xml:space="preserve">無 停 電                    施      工      </t>
    <phoneticPr fontId="11" type="noConversion"/>
  </si>
  <si>
    <t>無停電施工作業類別</t>
    <phoneticPr fontId="11" type="noConversion"/>
  </si>
  <si>
    <t>受益用戶數</t>
    <phoneticPr fontId="11" type="noConversion"/>
  </si>
  <si>
    <t>減少停電電量</t>
    <phoneticPr fontId="11" type="noConversion"/>
  </si>
  <si>
    <t>併案工程件數</t>
    <phoneticPr fontId="11" type="noConversion"/>
  </si>
  <si>
    <t>配合施工部門</t>
    <phoneticPr fontId="11" type="noConversion"/>
  </si>
  <si>
    <t>三、工作停電資料：</t>
    <phoneticPr fontId="11" type="noConversion"/>
  </si>
  <si>
    <t>■風雨無阻</t>
    <phoneticPr fontId="11" type="noConversion"/>
  </si>
  <si>
    <t>□雨天取消(日期另訂)</t>
    <phoneticPr fontId="11" type="noConversion"/>
  </si>
  <si>
    <t>起  迄  桿  號  或  地  點</t>
  </si>
  <si>
    <t>工作內容</t>
  </si>
  <si>
    <t>停電時間</t>
  </si>
  <si>
    <t>停電數據</t>
  </si>
  <si>
    <t>變電所</t>
  </si>
  <si>
    <t>無停電轉供</t>
  </si>
  <si>
    <t>饋  線</t>
  </si>
  <si>
    <t>實績       時       分至       時       分</t>
  </si>
  <si>
    <t>預計      分 實際    分</t>
    <phoneticPr fontId="11" type="noConversion"/>
  </si>
  <si>
    <t xml:space="preserve"> 戶    KWH</t>
    <phoneticPr fontId="11" type="noConversion"/>
  </si>
  <si>
    <t xml:space="preserve">預定       至 </t>
    <phoneticPr fontId="11" type="noConversion"/>
  </si>
  <si>
    <t>現場工作負責人</t>
  </si>
  <si>
    <t>與配電調度中心連絡員</t>
  </si>
  <si>
    <t>現場停送電連絡員</t>
  </si>
  <si>
    <t>姓</t>
  </si>
  <si>
    <t>電</t>
  </si>
  <si>
    <t>名</t>
  </si>
  <si>
    <t>話</t>
  </si>
  <si>
    <t>四、</t>
  </si>
  <si>
    <t>1.操作順序及系統圖如附件。</t>
  </si>
  <si>
    <t>2.停電通知部門及方法:</t>
  </si>
  <si>
    <t>無</t>
    <phoneticPr fontId="11" type="noConversion"/>
  </si>
  <si>
    <t>3.相關服務所:</t>
  </si>
  <si>
    <t>4.應連絡重點用戶名稱:無</t>
  </si>
  <si>
    <t>5.電驛應如何改變:</t>
  </si>
  <si>
    <t xml:space="preserve">  應連絡用戶地址:無</t>
  </si>
  <si>
    <t>接頭及標置如下表:</t>
  </si>
  <si>
    <t>主變(MVA)</t>
    <phoneticPr fontId="11" type="noConversion"/>
  </si>
  <si>
    <t>饋線(KVA)</t>
    <phoneticPr fontId="11" type="noConversion"/>
  </si>
  <si>
    <t>C.T.比</t>
  </si>
  <si>
    <t>C.O.T/L</t>
  </si>
  <si>
    <t>L.C.O.T/L</t>
  </si>
  <si>
    <t>變更後</t>
  </si>
  <si>
    <t>變更前</t>
    <phoneticPr fontId="11" type="noConversion"/>
  </si>
  <si>
    <t>變更後</t>
    <phoneticPr fontId="11" type="noConversion"/>
  </si>
  <si>
    <t>變更前</t>
  </si>
  <si>
    <t>6.配合施工情況如下表:</t>
  </si>
  <si>
    <t>有無配合</t>
    <phoneticPr fontId="11" type="noConversion"/>
  </si>
  <si>
    <t>停送電連絡員</t>
  </si>
  <si>
    <t>□須變電課派員檢電掛接地</t>
    <phoneticPr fontId="11" type="noConversion"/>
  </si>
  <si>
    <t>轉供變電所</t>
  </si>
  <si>
    <t>容許負載</t>
  </si>
  <si>
    <t>轉供後負載</t>
  </si>
  <si>
    <t>及饋線名稱</t>
  </si>
  <si>
    <t>主變</t>
  </si>
  <si>
    <t>饋線</t>
  </si>
  <si>
    <t>規劃部門</t>
    <phoneticPr fontId="11" type="noConversion"/>
  </si>
  <si>
    <t>會核</t>
  </si>
  <si>
    <t>核定</t>
  </si>
  <si>
    <t>課長</t>
  </si>
  <si>
    <t>經理</t>
  </si>
  <si>
    <t>管登</t>
  </si>
  <si>
    <t>經辦員</t>
  </si>
  <si>
    <t>規劃課長</t>
  </si>
  <si>
    <t>設計經理</t>
  </si>
  <si>
    <t>工安經理</t>
  </si>
  <si>
    <t>副處長</t>
  </si>
  <si>
    <t>處長</t>
  </si>
  <si>
    <t>授權</t>
    <phoneticPr fontId="11" type="noConversion"/>
  </si>
  <si>
    <t>註:</t>
  </si>
  <si>
    <t>1.要求書提出部門：(1)線路課 (2)工一課 (3)工二課 (4)檢驗課 (5)變電課 (6)巡修課 (7)區域巡修課 (8)服務所 (依據部門代碼請參照DCIS系統) 。</t>
  </si>
  <si>
    <t>2.工作停電範圍：(1)高壓饋線 (2)一般高壓線 (3)低壓線 (4)S/S自辦 (5)S/S他辦 (6)特高用戶 (7)高壓用戶。停電範圍為(5)、(6)項時不列入停電時間統計。</t>
  </si>
  <si>
    <t>3.作業類別：(1)日間作業 (2)夜間作業 (3)瞬間操作(日) (4)瞬間操作(夜) (5)併聯轉供或併聯饋線負載調整 (6)活線作業施工 (7) 利用其他設備施工</t>
  </si>
  <si>
    <t xml:space="preserve">  (8)臨時變壓器供電施工法 (9)低壓旁路施工 (A)高壓旁路施工 (B)發電機轉供施工。</t>
  </si>
  <si>
    <t>4.工程類別：(1)新增設工程 (2)線路遷移工程 (3)零資工程 (4)大項工程 (5)維護工程 (6)其他</t>
  </si>
  <si>
    <t>5.本工程如僅係活線作業施工，免填本要求書，惟應另填製活線作業要求書陳核。</t>
  </si>
  <si>
    <t>11</t>
    <phoneticPr fontId="1" type="noConversion"/>
  </si>
  <si>
    <t>變電所別</t>
    <phoneticPr fontId="1" type="noConversion"/>
  </si>
  <si>
    <t>變壓器或_x000D_
饋線名稱</t>
    <phoneticPr fontId="1" type="noConversion"/>
  </si>
  <si>
    <t>R</t>
    <phoneticPr fontId="1" type="noConversion"/>
  </si>
  <si>
    <t>T</t>
    <phoneticPr fontId="1" type="noConversion"/>
  </si>
  <si>
    <t>N</t>
    <phoneticPr fontId="1" type="noConversion"/>
  </si>
  <si>
    <t>發生時間</t>
    <phoneticPr fontId="1" type="noConversion"/>
  </si>
  <si>
    <t>電流</t>
    <phoneticPr fontId="1" type="noConversion"/>
  </si>
  <si>
    <t>#2DTR</t>
    <phoneticPr fontId="1" type="noConversion"/>
  </si>
  <si>
    <t xml:space="preserve"> </t>
    <phoneticPr fontId="1" type="noConversion"/>
  </si>
  <si>
    <t>9A70(9A70)</t>
    <phoneticPr fontId="1" type="noConversion"/>
  </si>
  <si>
    <t>9A71(9A71)</t>
    <phoneticPr fontId="1" type="noConversion"/>
  </si>
  <si>
    <t>9A72(9A72)</t>
    <phoneticPr fontId="1" type="noConversion"/>
  </si>
  <si>
    <t>9A73(9A73)</t>
    <phoneticPr fontId="1" type="noConversion"/>
  </si>
  <si>
    <t>9A74(9A74)</t>
    <phoneticPr fontId="1" type="noConversion"/>
  </si>
  <si>
    <t>9A75(9A75)</t>
    <phoneticPr fontId="1" type="noConversion"/>
  </si>
  <si>
    <t>9A76(9A76)</t>
    <phoneticPr fontId="1" type="noConversion"/>
  </si>
  <si>
    <t>#3DTR</t>
    <phoneticPr fontId="1" type="noConversion"/>
  </si>
  <si>
    <t>9A61(9A61)</t>
    <phoneticPr fontId="1" type="noConversion"/>
  </si>
  <si>
    <t>9A62(9A62)</t>
    <phoneticPr fontId="1" type="noConversion"/>
  </si>
  <si>
    <t>9A63(9A63)</t>
    <phoneticPr fontId="1" type="noConversion"/>
  </si>
  <si>
    <t>9A64(9A64)</t>
    <phoneticPr fontId="1" type="noConversion"/>
  </si>
  <si>
    <t>9A65(9A65)</t>
    <phoneticPr fontId="1" type="noConversion"/>
  </si>
  <si>
    <t>頂晶(9APV1)</t>
    <phoneticPr fontId="1" type="noConversion"/>
  </si>
  <si>
    <t>#4ADTR</t>
    <phoneticPr fontId="1" type="noConversion"/>
  </si>
  <si>
    <t>9A51(9A51)</t>
    <phoneticPr fontId="1" type="noConversion"/>
  </si>
  <si>
    <t>9A53(9A53)</t>
    <phoneticPr fontId="1" type="noConversion"/>
  </si>
  <si>
    <t>9A54(9A54)</t>
    <phoneticPr fontId="1" type="noConversion"/>
  </si>
  <si>
    <t>#4BDTR</t>
    <phoneticPr fontId="1" type="noConversion"/>
  </si>
  <si>
    <t>9A68(9A68)</t>
    <phoneticPr fontId="1" type="noConversion"/>
  </si>
  <si>
    <t>9A59(9A59)</t>
    <phoneticPr fontId="1" type="noConversion"/>
  </si>
  <si>
    <t>9A58(9A58)</t>
    <phoneticPr fontId="1" type="noConversion"/>
  </si>
  <si>
    <t>9A57(9A57)</t>
    <phoneticPr fontId="1" type="noConversion"/>
  </si>
  <si>
    <t>#1DTR</t>
    <phoneticPr fontId="1" type="noConversion"/>
  </si>
  <si>
    <t>9B55(9B55)</t>
    <phoneticPr fontId="1" type="noConversion"/>
  </si>
  <si>
    <t>9B57(9B57)</t>
    <phoneticPr fontId="1" type="noConversion"/>
  </si>
  <si>
    <t>9B58(9B58)</t>
    <phoneticPr fontId="1" type="noConversion"/>
  </si>
  <si>
    <t>#2ADTR</t>
    <phoneticPr fontId="1" type="noConversion"/>
  </si>
  <si>
    <t>新威(9BPV1)</t>
    <phoneticPr fontId="1" type="noConversion"/>
  </si>
  <si>
    <t>#2BDTR</t>
    <phoneticPr fontId="1" type="noConversion"/>
  </si>
  <si>
    <t>9B66(9B66)</t>
    <phoneticPr fontId="1" type="noConversion"/>
  </si>
  <si>
    <t>9B67(9B67)</t>
    <phoneticPr fontId="1" type="noConversion"/>
  </si>
  <si>
    <t>#1ADTR</t>
    <phoneticPr fontId="1" type="noConversion"/>
  </si>
  <si>
    <t>#1BDTR</t>
    <phoneticPr fontId="1" type="noConversion"/>
  </si>
  <si>
    <t>9C27(9C27)</t>
    <phoneticPr fontId="1" type="noConversion"/>
  </si>
  <si>
    <t>#2A1DTR</t>
    <phoneticPr fontId="1" type="noConversion"/>
  </si>
  <si>
    <t>#2A2DTR</t>
    <phoneticPr fontId="1" type="noConversion"/>
  </si>
  <si>
    <t>#2B1DTR</t>
    <phoneticPr fontId="1" type="noConversion"/>
  </si>
  <si>
    <t>9C36(9C36)</t>
    <phoneticPr fontId="1" type="noConversion"/>
  </si>
  <si>
    <t>#2B2DTR</t>
    <phoneticPr fontId="1" type="noConversion"/>
  </si>
  <si>
    <t>#3ADTR</t>
    <phoneticPr fontId="1" type="noConversion"/>
  </si>
  <si>
    <t>9C43(9C43)</t>
    <phoneticPr fontId="1" type="noConversion"/>
  </si>
  <si>
    <t>#3BDTR</t>
    <phoneticPr fontId="1" type="noConversion"/>
  </si>
  <si>
    <t>9C47(9C47)</t>
    <phoneticPr fontId="1" type="noConversion"/>
  </si>
  <si>
    <t>9F62(9F62)</t>
    <phoneticPr fontId="1" type="noConversion"/>
  </si>
  <si>
    <t>9F68(9F68)</t>
    <phoneticPr fontId="1" type="noConversion"/>
  </si>
  <si>
    <t>9G25(9G25)</t>
    <phoneticPr fontId="1" type="noConversion"/>
  </si>
  <si>
    <t>立風1(9GE8)</t>
    <phoneticPr fontId="1" type="noConversion"/>
  </si>
  <si>
    <t>9GE2(9GE2)</t>
    <phoneticPr fontId="1" type="noConversion"/>
  </si>
  <si>
    <t>9GE6(9GE6)</t>
    <phoneticPr fontId="1" type="noConversion"/>
  </si>
  <si>
    <t>彰苑(9GE4)</t>
    <phoneticPr fontId="1" type="noConversion"/>
  </si>
  <si>
    <t>草塭線(9H22)</t>
    <phoneticPr fontId="1" type="noConversion"/>
  </si>
  <si>
    <t>崙草線(9H24)</t>
    <phoneticPr fontId="1" type="noConversion"/>
  </si>
  <si>
    <t>草洋線(9H26)</t>
    <phoneticPr fontId="1" type="noConversion"/>
  </si>
  <si>
    <t>草莊線(9H28)</t>
    <phoneticPr fontId="1" type="noConversion"/>
  </si>
  <si>
    <t>草鹿線(9H33)</t>
    <phoneticPr fontId="1" type="noConversion"/>
  </si>
  <si>
    <t>頂山線(9H34)</t>
    <phoneticPr fontId="1" type="noConversion"/>
  </si>
  <si>
    <t>9I20(9I20)</t>
    <phoneticPr fontId="1" type="noConversion"/>
  </si>
  <si>
    <t>9I24(9I24)</t>
    <phoneticPr fontId="1" type="noConversion"/>
  </si>
  <si>
    <t>9I39(9I39)</t>
    <phoneticPr fontId="1" type="noConversion"/>
  </si>
  <si>
    <t>9I26(9I26)</t>
    <phoneticPr fontId="1" type="noConversion"/>
  </si>
  <si>
    <t>9I35(9I35)</t>
    <phoneticPr fontId="1" type="noConversion"/>
  </si>
  <si>
    <t>9I33(9I33)</t>
    <phoneticPr fontId="1" type="noConversion"/>
  </si>
  <si>
    <t>9I32(9I32)</t>
    <phoneticPr fontId="1" type="noConversion"/>
  </si>
  <si>
    <t>9I30(9I30)</t>
    <phoneticPr fontId="1" type="noConversion"/>
  </si>
  <si>
    <t>埔鹽SS_9J</t>
    <phoneticPr fontId="1" type="noConversion"/>
  </si>
  <si>
    <t>#1MTR</t>
    <phoneticPr fontId="1" type="noConversion"/>
  </si>
  <si>
    <t>9J11(9J11)</t>
    <phoneticPr fontId="1" type="noConversion"/>
  </si>
  <si>
    <t>#2MTR</t>
    <phoneticPr fontId="1" type="noConversion"/>
  </si>
  <si>
    <t>9J23(9J23)</t>
    <phoneticPr fontId="1" type="noConversion"/>
  </si>
  <si>
    <t>9J24(9J24)</t>
    <phoneticPr fontId="1" type="noConversion"/>
  </si>
  <si>
    <t>#3MTR</t>
    <phoneticPr fontId="1" type="noConversion"/>
  </si>
  <si>
    <t>9J32(9J32)</t>
    <phoneticPr fontId="1" type="noConversion"/>
  </si>
  <si>
    <t>9J33(9J33)</t>
    <phoneticPr fontId="1" type="noConversion"/>
  </si>
  <si>
    <t>9K26(9K26)</t>
    <phoneticPr fontId="1" type="noConversion"/>
  </si>
  <si>
    <t>9K36(9K36)</t>
    <phoneticPr fontId="1" type="noConversion"/>
  </si>
  <si>
    <t>9L22(9L22)</t>
    <phoneticPr fontId="1" type="noConversion"/>
  </si>
  <si>
    <t>9L23(9L23)</t>
    <phoneticPr fontId="1" type="noConversion"/>
  </si>
  <si>
    <t>9L34(9L34)</t>
    <phoneticPr fontId="1" type="noConversion"/>
  </si>
  <si>
    <t>9L36(9L36)</t>
    <phoneticPr fontId="1" type="noConversion"/>
  </si>
  <si>
    <t>9L37(9L37)</t>
    <phoneticPr fontId="1" type="noConversion"/>
  </si>
  <si>
    <t>9L38(9L38)</t>
    <phoneticPr fontId="1" type="noConversion"/>
  </si>
  <si>
    <t>9M20(9M20)</t>
    <phoneticPr fontId="1" type="noConversion"/>
  </si>
  <si>
    <t>9M21(9M21)</t>
    <phoneticPr fontId="1" type="noConversion"/>
  </si>
  <si>
    <t>9M23(9M23)</t>
    <phoneticPr fontId="1" type="noConversion"/>
  </si>
  <si>
    <t>9M26(9M26)</t>
    <phoneticPr fontId="1" type="noConversion"/>
  </si>
  <si>
    <t>9M27(9M27)</t>
    <phoneticPr fontId="1" type="noConversion"/>
  </si>
  <si>
    <t>9M30(9M30)</t>
    <phoneticPr fontId="1" type="noConversion"/>
  </si>
  <si>
    <t>9M31(9M31)</t>
    <phoneticPr fontId="1" type="noConversion"/>
  </si>
  <si>
    <t>9M34(9M34)</t>
    <phoneticPr fontId="1" type="noConversion"/>
  </si>
  <si>
    <t>9M35(9M35)</t>
    <phoneticPr fontId="1" type="noConversion"/>
  </si>
  <si>
    <t>9M37(9M37)</t>
    <phoneticPr fontId="1" type="noConversion"/>
  </si>
  <si>
    <t>9N20(9N20)</t>
    <phoneticPr fontId="1" type="noConversion"/>
  </si>
  <si>
    <t>9N21(9N21)</t>
    <phoneticPr fontId="1" type="noConversion"/>
  </si>
  <si>
    <t>9N22(9N22)</t>
    <phoneticPr fontId="1" type="noConversion"/>
  </si>
  <si>
    <t>9N24(9N24)</t>
    <phoneticPr fontId="1" type="noConversion"/>
  </si>
  <si>
    <t>9N25(9N25)</t>
    <phoneticPr fontId="1" type="noConversion"/>
  </si>
  <si>
    <t>9N29(9N29)</t>
    <phoneticPr fontId="1" type="noConversion"/>
  </si>
  <si>
    <t>9P11(9P11)</t>
    <phoneticPr fontId="1" type="noConversion"/>
  </si>
  <si>
    <t>9P12(9P12)</t>
    <phoneticPr fontId="1" type="noConversion"/>
  </si>
  <si>
    <t>9P14(9P14)</t>
    <phoneticPr fontId="1" type="noConversion"/>
  </si>
  <si>
    <t>9P15(9P15)</t>
    <phoneticPr fontId="1" type="noConversion"/>
  </si>
  <si>
    <t>9P17(9P17)</t>
    <phoneticPr fontId="1" type="noConversion"/>
  </si>
  <si>
    <t>9P19(9P19)</t>
    <phoneticPr fontId="1" type="noConversion"/>
  </si>
  <si>
    <t>9P20(9P20)</t>
    <phoneticPr fontId="1" type="noConversion"/>
  </si>
  <si>
    <t>9P21(9P21)</t>
    <phoneticPr fontId="1" type="noConversion"/>
  </si>
  <si>
    <t>9P23(9P23)</t>
    <phoneticPr fontId="1" type="noConversion"/>
  </si>
  <si>
    <t>9P24(9P24)</t>
    <phoneticPr fontId="1" type="noConversion"/>
  </si>
  <si>
    <t>9P25(9P25)</t>
    <phoneticPr fontId="1" type="noConversion"/>
  </si>
  <si>
    <t>9P27(9P27)</t>
    <phoneticPr fontId="1" type="noConversion"/>
  </si>
  <si>
    <t>9P28(9P28)</t>
    <phoneticPr fontId="1" type="noConversion"/>
  </si>
  <si>
    <t>9P29(9P29)</t>
    <phoneticPr fontId="1" type="noConversion"/>
  </si>
  <si>
    <t>民生線(IA28)</t>
    <phoneticPr fontId="1" type="noConversion"/>
  </si>
  <si>
    <t>北部線(IA37)</t>
    <phoneticPr fontId="1" type="noConversion"/>
  </si>
  <si>
    <t>磚瑤線(IA30)</t>
    <phoneticPr fontId="1" type="noConversion"/>
  </si>
  <si>
    <t>鐵山線(IA32)</t>
    <phoneticPr fontId="1" type="noConversion"/>
  </si>
  <si>
    <t>北安線(IA39)</t>
    <phoneticPr fontId="1" type="noConversion"/>
  </si>
  <si>
    <t>新庄線(IA29)</t>
    <phoneticPr fontId="1" type="noConversion"/>
  </si>
  <si>
    <t>犁盛線(IA33)</t>
    <phoneticPr fontId="1" type="noConversion"/>
  </si>
  <si>
    <t>成功線(IA36)</t>
    <phoneticPr fontId="1" type="noConversion"/>
  </si>
  <si>
    <t>辭修線(IA27)</t>
    <phoneticPr fontId="1" type="noConversion"/>
  </si>
  <si>
    <t>車站線(IA34)</t>
    <phoneticPr fontId="1" type="noConversion"/>
  </si>
  <si>
    <t>中山線(IA23)</t>
    <phoneticPr fontId="1" type="noConversion"/>
  </si>
  <si>
    <t>泰和線(IA26)</t>
    <phoneticPr fontId="1" type="noConversion"/>
  </si>
  <si>
    <t>北新線(IA31)</t>
    <phoneticPr fontId="1" type="noConversion"/>
  </si>
  <si>
    <t>中圍線(IA20)</t>
    <phoneticPr fontId="1" type="noConversion"/>
  </si>
  <si>
    <t>國聖線(IA40)</t>
    <phoneticPr fontId="1" type="noConversion"/>
  </si>
  <si>
    <t>忠孝線(IA41)</t>
    <phoneticPr fontId="1" type="noConversion"/>
  </si>
  <si>
    <t>建國線(IA42)</t>
    <phoneticPr fontId="1" type="noConversion"/>
  </si>
  <si>
    <t>公園線(IA43)</t>
    <phoneticPr fontId="1" type="noConversion"/>
  </si>
  <si>
    <t>牛稠線(IA45)</t>
    <phoneticPr fontId="1" type="noConversion"/>
  </si>
  <si>
    <t>茄苳線(IA46)</t>
    <phoneticPr fontId="1" type="noConversion"/>
  </si>
  <si>
    <t>卦山線(IA47)</t>
    <phoneticPr fontId="1" type="noConversion"/>
  </si>
  <si>
    <t>保警線(IA48)</t>
    <phoneticPr fontId="1" type="noConversion"/>
  </si>
  <si>
    <t>西勢線(IA49)</t>
    <phoneticPr fontId="1" type="noConversion"/>
  </si>
  <si>
    <t>二港線(IB20)</t>
    <phoneticPr fontId="1" type="noConversion"/>
  </si>
  <si>
    <t>海埔線(IB22)</t>
    <phoneticPr fontId="1" type="noConversion"/>
  </si>
  <si>
    <t>下庄線(IB30)</t>
    <phoneticPr fontId="1" type="noConversion"/>
  </si>
  <si>
    <t>鹿一線(IB31)</t>
    <phoneticPr fontId="1" type="noConversion"/>
  </si>
  <si>
    <t>橋頭線(IB21)</t>
    <phoneticPr fontId="1" type="noConversion"/>
  </si>
  <si>
    <t>龍山線(IB28)</t>
    <phoneticPr fontId="1" type="noConversion"/>
  </si>
  <si>
    <t>鹿二線(IB32)</t>
    <phoneticPr fontId="1" type="noConversion"/>
  </si>
  <si>
    <t>頂厝線(IB26)</t>
    <phoneticPr fontId="1" type="noConversion"/>
  </si>
  <si>
    <t>鹿中線(IB23)</t>
    <phoneticPr fontId="1" type="noConversion"/>
  </si>
  <si>
    <t>溪湖線(ID28)</t>
    <phoneticPr fontId="1" type="noConversion"/>
  </si>
  <si>
    <t>湳底線(ID26)</t>
    <phoneticPr fontId="1" type="noConversion"/>
  </si>
  <si>
    <t>二重線(ID21)</t>
    <phoneticPr fontId="1" type="noConversion"/>
  </si>
  <si>
    <t>南新線(ID29)</t>
    <phoneticPr fontId="1" type="noConversion"/>
  </si>
  <si>
    <t>東寮線(ID25)</t>
    <phoneticPr fontId="1" type="noConversion"/>
  </si>
  <si>
    <t>巫厝線(ID27)</t>
    <phoneticPr fontId="1" type="noConversion"/>
  </si>
  <si>
    <t>番婆線(ID32)</t>
    <phoneticPr fontId="1" type="noConversion"/>
  </si>
  <si>
    <t>湖西線(ID22)</t>
    <phoneticPr fontId="1" type="noConversion"/>
  </si>
  <si>
    <t>F14(F14)</t>
    <phoneticPr fontId="1" type="noConversion"/>
  </si>
  <si>
    <t>F15(F15)</t>
    <phoneticPr fontId="1" type="noConversion"/>
  </si>
  <si>
    <t>永安線(IE25)</t>
    <phoneticPr fontId="1" type="noConversion"/>
  </si>
  <si>
    <t>溝頭線(IE24)</t>
    <phoneticPr fontId="1" type="noConversion"/>
  </si>
  <si>
    <t>中西線(IE21)</t>
    <phoneticPr fontId="1" type="noConversion"/>
  </si>
  <si>
    <t>北平線(IE23)</t>
    <phoneticPr fontId="1" type="noConversion"/>
  </si>
  <si>
    <t>三合線(IE20)</t>
    <phoneticPr fontId="1" type="noConversion"/>
  </si>
  <si>
    <t>舊社線(IE26)</t>
    <phoneticPr fontId="1" type="noConversion"/>
  </si>
  <si>
    <t>東興線(IE29)</t>
    <phoneticPr fontId="1" type="noConversion"/>
  </si>
  <si>
    <t>埤頭線(IF21)</t>
    <phoneticPr fontId="1" type="noConversion"/>
  </si>
  <si>
    <t>下霸線(IF25)</t>
    <phoneticPr fontId="1" type="noConversion"/>
  </si>
  <si>
    <t>田頭線(IF30)</t>
    <phoneticPr fontId="1" type="noConversion"/>
  </si>
  <si>
    <t>潮洋線(IF22)</t>
    <phoneticPr fontId="1" type="noConversion"/>
  </si>
  <si>
    <t>路口線(IF23)</t>
    <phoneticPr fontId="1" type="noConversion"/>
  </si>
  <si>
    <t>溪竹線(IF31)</t>
    <phoneticPr fontId="1" type="noConversion"/>
  </si>
  <si>
    <t>IF35(IF35)</t>
    <phoneticPr fontId="1" type="noConversion"/>
  </si>
  <si>
    <t>IF39(IF39)</t>
    <phoneticPr fontId="1" type="noConversion"/>
  </si>
  <si>
    <t>IF37(IF37)</t>
    <phoneticPr fontId="1" type="noConversion"/>
  </si>
  <si>
    <t>IF38(IF38)</t>
    <phoneticPr fontId="1" type="noConversion"/>
  </si>
  <si>
    <t>IF36(IF36)</t>
    <phoneticPr fontId="1" type="noConversion"/>
  </si>
  <si>
    <t>#4MTR</t>
    <phoneticPr fontId="1" type="noConversion"/>
  </si>
  <si>
    <t>元埔線(IF27)</t>
    <phoneticPr fontId="1" type="noConversion"/>
  </si>
  <si>
    <t>溪斗線(IF20)</t>
    <phoneticPr fontId="1" type="noConversion"/>
  </si>
  <si>
    <t>南州線(IF28)</t>
    <phoneticPr fontId="1" type="noConversion"/>
  </si>
  <si>
    <t>溪林線(IF32)</t>
    <phoneticPr fontId="1" type="noConversion"/>
  </si>
  <si>
    <t>合興線(IF29)</t>
    <phoneticPr fontId="1" type="noConversion"/>
  </si>
  <si>
    <t>IG30(IG30)</t>
    <phoneticPr fontId="1" type="noConversion"/>
  </si>
  <si>
    <t>IG31(IG31)</t>
    <phoneticPr fontId="1" type="noConversion"/>
  </si>
  <si>
    <t>IG35(IG35)</t>
    <phoneticPr fontId="1" type="noConversion"/>
  </si>
  <si>
    <t>IG37(IG37)</t>
    <phoneticPr fontId="1" type="noConversion"/>
  </si>
  <si>
    <t>IG38(IG38)</t>
    <phoneticPr fontId="1" type="noConversion"/>
  </si>
  <si>
    <t>IG40(IG40)</t>
    <phoneticPr fontId="1" type="noConversion"/>
  </si>
  <si>
    <t>IG41(IG41)</t>
    <phoneticPr fontId="1" type="noConversion"/>
  </si>
  <si>
    <t>IG42(IG42)</t>
    <phoneticPr fontId="1" type="noConversion"/>
  </si>
  <si>
    <t>IG43(IG43)</t>
    <phoneticPr fontId="1" type="noConversion"/>
  </si>
  <si>
    <t>IG45(IG45)</t>
    <phoneticPr fontId="1" type="noConversion"/>
  </si>
  <si>
    <t>IG46(IG46)</t>
    <phoneticPr fontId="1" type="noConversion"/>
  </si>
  <si>
    <t>IG47(IG47)</t>
    <phoneticPr fontId="1" type="noConversion"/>
  </si>
  <si>
    <t>IG48(IG48)</t>
    <phoneticPr fontId="1" type="noConversion"/>
  </si>
  <si>
    <t>西安線(IH25)</t>
    <phoneticPr fontId="1" type="noConversion"/>
  </si>
  <si>
    <t>西溝線(IH28)</t>
    <phoneticPr fontId="1" type="noConversion"/>
  </si>
  <si>
    <t>建和線(IH33)</t>
    <phoneticPr fontId="1" type="noConversion"/>
  </si>
  <si>
    <t>林森線(IH31)</t>
    <phoneticPr fontId="1" type="noConversion"/>
  </si>
  <si>
    <t>平和線(IH34)</t>
    <phoneticPr fontId="1" type="noConversion"/>
  </si>
  <si>
    <t>崙平線(IH35)</t>
    <phoneticPr fontId="1" type="noConversion"/>
  </si>
  <si>
    <t>西南線(IH29)</t>
    <phoneticPr fontId="1" type="noConversion"/>
  </si>
  <si>
    <t>頂湳線(IH23)</t>
    <phoneticPr fontId="1" type="noConversion"/>
  </si>
  <si>
    <t>源埤線(IH22)</t>
    <phoneticPr fontId="1" type="noConversion"/>
  </si>
  <si>
    <t>西華線(IH26)</t>
    <phoneticPr fontId="1" type="noConversion"/>
  </si>
  <si>
    <t>縣府線(II22)</t>
    <phoneticPr fontId="1" type="noConversion"/>
  </si>
  <si>
    <t>西門線(II25)</t>
    <phoneticPr fontId="1" type="noConversion"/>
  </si>
  <si>
    <t>南和線(II27)</t>
    <phoneticPr fontId="1" type="noConversion"/>
  </si>
  <si>
    <t>南郭線(II32)</t>
    <phoneticPr fontId="1" type="noConversion"/>
  </si>
  <si>
    <t>民權線(II34)</t>
    <phoneticPr fontId="1" type="noConversion"/>
  </si>
  <si>
    <t>虎山線(II30)</t>
    <phoneticPr fontId="1" type="noConversion"/>
  </si>
  <si>
    <t>民族線(II31)</t>
    <phoneticPr fontId="1" type="noConversion"/>
  </si>
  <si>
    <t>大埔線(II28)</t>
    <phoneticPr fontId="1" type="noConversion"/>
  </si>
  <si>
    <t>建寶線(II24)</t>
    <phoneticPr fontId="1" type="noConversion"/>
  </si>
  <si>
    <t>天祥線(II33)</t>
    <phoneticPr fontId="1" type="noConversion"/>
  </si>
  <si>
    <t>南瑤線(II21)</t>
    <phoneticPr fontId="1" type="noConversion"/>
  </si>
  <si>
    <t>口庄線(II29)</t>
    <phoneticPr fontId="1" type="noConversion"/>
  </si>
  <si>
    <t>田寮線(II23)</t>
    <phoneticPr fontId="1" type="noConversion"/>
  </si>
  <si>
    <t>和美線(IJ23)</t>
    <phoneticPr fontId="1" type="noConversion"/>
  </si>
  <si>
    <t>汴頭線(IJ30)</t>
    <phoneticPr fontId="1" type="noConversion"/>
  </si>
  <si>
    <t>和西線(IJ22)</t>
    <phoneticPr fontId="1" type="noConversion"/>
  </si>
  <si>
    <t>和張線(IJ34)</t>
    <phoneticPr fontId="1" type="noConversion"/>
  </si>
  <si>
    <t>和發線(IJ26)</t>
    <phoneticPr fontId="1" type="noConversion"/>
  </si>
  <si>
    <t>和伸線(IJ20)</t>
    <phoneticPr fontId="1" type="noConversion"/>
  </si>
  <si>
    <t>和東線(IJ29)</t>
    <phoneticPr fontId="1" type="noConversion"/>
  </si>
  <si>
    <t>和雅線(IJ32)</t>
    <phoneticPr fontId="1" type="noConversion"/>
  </si>
  <si>
    <t>地政線(IJ31)</t>
    <phoneticPr fontId="1" type="noConversion"/>
  </si>
  <si>
    <t>溪底線(IJ24)</t>
    <phoneticPr fontId="1" type="noConversion"/>
  </si>
  <si>
    <t>下犁線(IJ25)</t>
    <phoneticPr fontId="1" type="noConversion"/>
  </si>
  <si>
    <t>頂犁線(IJ21)</t>
    <phoneticPr fontId="1" type="noConversion"/>
  </si>
  <si>
    <t>IK30(IK30)</t>
    <phoneticPr fontId="1" type="noConversion"/>
  </si>
  <si>
    <t>IK31(IK31)</t>
    <phoneticPr fontId="1" type="noConversion"/>
  </si>
  <si>
    <t>IK32(IK32)</t>
    <phoneticPr fontId="1" type="noConversion"/>
  </si>
  <si>
    <t>IK34(IK34)</t>
    <phoneticPr fontId="1" type="noConversion"/>
  </si>
  <si>
    <t>IK35(IK35)</t>
    <phoneticPr fontId="1" type="noConversion"/>
  </si>
  <si>
    <t>IK47(IK47)</t>
    <phoneticPr fontId="1" type="noConversion"/>
  </si>
  <si>
    <t>IK46(IK46)</t>
    <phoneticPr fontId="1" type="noConversion"/>
  </si>
  <si>
    <t>IK36(IK36)</t>
    <phoneticPr fontId="1" type="noConversion"/>
  </si>
  <si>
    <t>IK37(IK37)</t>
    <phoneticPr fontId="1" type="noConversion"/>
  </si>
  <si>
    <t>IK39(IK39)</t>
    <phoneticPr fontId="1" type="noConversion"/>
  </si>
  <si>
    <t>IK45(IK45)</t>
    <phoneticPr fontId="1" type="noConversion"/>
  </si>
  <si>
    <t>IK43(IK43)</t>
    <phoneticPr fontId="1" type="noConversion"/>
  </si>
  <si>
    <t>IK42(IK42)</t>
    <phoneticPr fontId="1" type="noConversion"/>
  </si>
  <si>
    <t>IK41(IK41)</t>
    <phoneticPr fontId="1" type="noConversion"/>
  </si>
  <si>
    <t>IK40(IK40)</t>
    <phoneticPr fontId="1" type="noConversion"/>
  </si>
  <si>
    <t>萬年線(IL27)</t>
    <phoneticPr fontId="1" type="noConversion"/>
  </si>
  <si>
    <t>經口線(IL21)</t>
    <phoneticPr fontId="1" type="noConversion"/>
  </si>
  <si>
    <t>百果線(IL20)</t>
    <phoneticPr fontId="1" type="noConversion"/>
  </si>
  <si>
    <t>大饒線(IL26)</t>
    <phoneticPr fontId="1" type="noConversion"/>
  </si>
  <si>
    <t>五汴線(IL28)</t>
    <phoneticPr fontId="1" type="noConversion"/>
  </si>
  <si>
    <t>莒光線(IL31)</t>
    <phoneticPr fontId="1" type="noConversion"/>
  </si>
  <si>
    <t>牛埔線(IM26)</t>
    <phoneticPr fontId="1" type="noConversion"/>
  </si>
  <si>
    <t>大竹線(IM22)</t>
    <phoneticPr fontId="1" type="noConversion"/>
  </si>
  <si>
    <t>渡橋線(IM28)</t>
    <phoneticPr fontId="1" type="noConversion"/>
  </si>
  <si>
    <t>香山線(IM27)</t>
    <phoneticPr fontId="1" type="noConversion"/>
  </si>
  <si>
    <t>中莊線(IM24)</t>
    <phoneticPr fontId="1" type="noConversion"/>
  </si>
  <si>
    <t>快官線(IM23)</t>
    <phoneticPr fontId="1" type="noConversion"/>
  </si>
  <si>
    <t>大東線(IM21)</t>
    <phoneticPr fontId="1" type="noConversion"/>
  </si>
  <si>
    <t>黃厝線(IN28)</t>
    <phoneticPr fontId="1" type="noConversion"/>
  </si>
  <si>
    <t>中興線(IN24)</t>
    <phoneticPr fontId="1" type="noConversion"/>
  </si>
  <si>
    <t>三芬線(IN31)</t>
    <phoneticPr fontId="1" type="noConversion"/>
  </si>
  <si>
    <t>村上線(IN29)</t>
    <phoneticPr fontId="1" type="noConversion"/>
  </si>
  <si>
    <t>大橋線(IN22)</t>
    <phoneticPr fontId="1" type="noConversion"/>
  </si>
  <si>
    <t>大村線(IN23)</t>
    <phoneticPr fontId="1" type="noConversion"/>
  </si>
  <si>
    <t>金墩線(IN26)</t>
    <phoneticPr fontId="1" type="noConversion"/>
  </si>
  <si>
    <t>南寮線(IN34)</t>
    <phoneticPr fontId="1" type="noConversion"/>
  </si>
  <si>
    <t>上莊線(IN33)</t>
    <phoneticPr fontId="1" type="noConversion"/>
  </si>
  <si>
    <t>三春線(IN21)</t>
    <phoneticPr fontId="1" type="noConversion"/>
  </si>
  <si>
    <t>村北線(IN25)</t>
    <phoneticPr fontId="1" type="noConversion"/>
  </si>
  <si>
    <t>村宜線(IN30)</t>
    <phoneticPr fontId="1" type="noConversion"/>
  </si>
  <si>
    <t>IO26(IO26)</t>
    <phoneticPr fontId="1" type="noConversion"/>
  </si>
  <si>
    <t>IO24(IO24)</t>
    <phoneticPr fontId="1" type="noConversion"/>
  </si>
  <si>
    <t>IO23(IO23)</t>
    <phoneticPr fontId="1" type="noConversion"/>
  </si>
  <si>
    <t>IO21(IO21)</t>
    <phoneticPr fontId="1" type="noConversion"/>
  </si>
  <si>
    <t>IO51(IO51)</t>
    <phoneticPr fontId="1" type="noConversion"/>
  </si>
  <si>
    <t>IO52(IO52)</t>
    <phoneticPr fontId="1" type="noConversion"/>
  </si>
  <si>
    <t>IO53(IO53)</t>
    <phoneticPr fontId="1" type="noConversion"/>
  </si>
  <si>
    <t>IO54(IO54)</t>
    <phoneticPr fontId="1" type="noConversion"/>
  </si>
  <si>
    <t>IO56(IO56)</t>
    <phoneticPr fontId="1" type="noConversion"/>
  </si>
  <si>
    <t>IO61(IO61)</t>
    <phoneticPr fontId="1" type="noConversion"/>
  </si>
  <si>
    <t>IO62(IO62)</t>
    <phoneticPr fontId="1" type="noConversion"/>
  </si>
  <si>
    <t>IO63(IO63)</t>
    <phoneticPr fontId="1" type="noConversion"/>
  </si>
  <si>
    <t>IO64(IO64)</t>
    <phoneticPr fontId="1" type="noConversion"/>
  </si>
  <si>
    <t>IO66(IO66)</t>
    <phoneticPr fontId="1" type="noConversion"/>
  </si>
  <si>
    <t>IO76(IO76)</t>
    <phoneticPr fontId="1" type="noConversion"/>
  </si>
  <si>
    <t>IO75(IO75)</t>
    <phoneticPr fontId="1" type="noConversion"/>
  </si>
  <si>
    <t>IO74(IO74)</t>
    <phoneticPr fontId="1" type="noConversion"/>
  </si>
  <si>
    <t>IO73(IO73)</t>
    <phoneticPr fontId="1" type="noConversion"/>
  </si>
  <si>
    <t>IO72(IO72)</t>
    <phoneticPr fontId="1" type="noConversion"/>
  </si>
  <si>
    <t>星能(IOPV1)</t>
    <phoneticPr fontId="1" type="noConversion"/>
  </si>
  <si>
    <t>廓仔線(IP22)</t>
    <phoneticPr fontId="1" type="noConversion"/>
  </si>
  <si>
    <t>番社線(IP20)</t>
    <phoneticPr fontId="1" type="noConversion"/>
  </si>
  <si>
    <t>福東線(IP31)</t>
    <phoneticPr fontId="1" type="noConversion"/>
  </si>
  <si>
    <t>福南線(IP30)</t>
    <phoneticPr fontId="1" type="noConversion"/>
  </si>
  <si>
    <t>三汴線(IP25)</t>
    <phoneticPr fontId="1" type="noConversion"/>
  </si>
  <si>
    <t>福村線(IP32)</t>
    <phoneticPr fontId="1" type="noConversion"/>
  </si>
  <si>
    <t>福溪線(IP34)</t>
    <phoneticPr fontId="1" type="noConversion"/>
  </si>
  <si>
    <t>IQ21(IQ21)</t>
    <phoneticPr fontId="1" type="noConversion"/>
  </si>
  <si>
    <t>IQ23(IQ23)</t>
    <phoneticPr fontId="1" type="noConversion"/>
  </si>
  <si>
    <t>IQ24(IQ24)</t>
    <phoneticPr fontId="1" type="noConversion"/>
  </si>
  <si>
    <t>IQ26(IQ26)</t>
    <phoneticPr fontId="1" type="noConversion"/>
  </si>
  <si>
    <t>IQ27(IQ27)</t>
    <phoneticPr fontId="1" type="noConversion"/>
  </si>
  <si>
    <t>IQ28(IQ28)</t>
    <phoneticPr fontId="1" type="noConversion"/>
  </si>
  <si>
    <t>IQ29(IQ29)</t>
    <phoneticPr fontId="1" type="noConversion"/>
  </si>
  <si>
    <t>IQ30(IQ30)</t>
    <phoneticPr fontId="1" type="noConversion"/>
  </si>
  <si>
    <t>IQ31(IQ31)</t>
    <phoneticPr fontId="1" type="noConversion"/>
  </si>
  <si>
    <t>IQ35(IQ35)</t>
    <phoneticPr fontId="1" type="noConversion"/>
  </si>
  <si>
    <t>社東線(IR21)</t>
    <phoneticPr fontId="1" type="noConversion"/>
  </si>
  <si>
    <t>崙厝線(IR31)</t>
    <phoneticPr fontId="1" type="noConversion"/>
  </si>
  <si>
    <t>雅果線(IR32)</t>
    <phoneticPr fontId="1" type="noConversion"/>
  </si>
  <si>
    <t>清水線(IR33)</t>
    <phoneticPr fontId="1" type="noConversion"/>
  </si>
  <si>
    <t>美雅線(IR34)</t>
    <phoneticPr fontId="1" type="noConversion"/>
  </si>
  <si>
    <t>八堡線(IR35)</t>
    <phoneticPr fontId="1" type="noConversion"/>
  </si>
  <si>
    <t>新雅線(IR20)</t>
    <phoneticPr fontId="1" type="noConversion"/>
  </si>
  <si>
    <t>崙雅線(IR25)</t>
    <phoneticPr fontId="1" type="noConversion"/>
  </si>
  <si>
    <t>朝興線(IR26)</t>
    <phoneticPr fontId="1" type="noConversion"/>
  </si>
  <si>
    <t>IR40(IR40)</t>
    <phoneticPr fontId="1" type="noConversion"/>
  </si>
  <si>
    <t>社西線(IR22)</t>
    <phoneticPr fontId="1" type="noConversion"/>
  </si>
  <si>
    <t>草北線(IS20)</t>
    <phoneticPr fontId="1" type="noConversion"/>
  </si>
  <si>
    <t>竹寮線(IS21)</t>
    <phoneticPr fontId="1" type="noConversion"/>
  </si>
  <si>
    <t>胡厝線(IS29)</t>
    <phoneticPr fontId="1" type="noConversion"/>
  </si>
  <si>
    <t>八甲線(IS26)</t>
    <phoneticPr fontId="1" type="noConversion"/>
  </si>
  <si>
    <t>川邊線(IS25)</t>
    <phoneticPr fontId="1" type="noConversion"/>
  </si>
  <si>
    <t>草苑線(IS23)</t>
    <phoneticPr fontId="1" type="noConversion"/>
  </si>
  <si>
    <t>崙腳線(IS24)</t>
    <phoneticPr fontId="1" type="noConversion"/>
  </si>
  <si>
    <t>興海線(IS28)</t>
    <phoneticPr fontId="1" type="noConversion"/>
  </si>
  <si>
    <t>馬興線(IT23)</t>
    <phoneticPr fontId="1" type="noConversion"/>
  </si>
  <si>
    <t>溝東線(IT33)</t>
    <phoneticPr fontId="1" type="noConversion"/>
  </si>
  <si>
    <t>南海線(IT27)</t>
    <phoneticPr fontId="1" type="noConversion"/>
  </si>
  <si>
    <t>溝中線(IT32)</t>
    <phoneticPr fontId="1" type="noConversion"/>
  </si>
  <si>
    <t>溝圳線(IT30)</t>
    <phoneticPr fontId="1" type="noConversion"/>
  </si>
  <si>
    <t>溝北線(IT26)</t>
    <phoneticPr fontId="1" type="noConversion"/>
  </si>
  <si>
    <t>三永線(IT28)</t>
    <phoneticPr fontId="1" type="noConversion"/>
  </si>
  <si>
    <t>IU21(IU21)</t>
    <phoneticPr fontId="1" type="noConversion"/>
  </si>
  <si>
    <t>宏進線(IU22)</t>
    <phoneticPr fontId="1" type="noConversion"/>
  </si>
  <si>
    <t>中崙線(IU23)</t>
    <phoneticPr fontId="1" type="noConversion"/>
  </si>
  <si>
    <t>東山線(IU24)</t>
    <phoneticPr fontId="1" type="noConversion"/>
  </si>
  <si>
    <t>湖水線(IU25)</t>
    <phoneticPr fontId="1" type="noConversion"/>
  </si>
  <si>
    <t>東新線(IU31)</t>
    <phoneticPr fontId="1" type="noConversion"/>
  </si>
  <si>
    <t>西東線(IU32)</t>
    <phoneticPr fontId="1" type="noConversion"/>
  </si>
  <si>
    <t>三民線(IU33)</t>
    <phoneticPr fontId="1" type="noConversion"/>
  </si>
  <si>
    <t>IU34(IU34)</t>
    <phoneticPr fontId="1" type="noConversion"/>
  </si>
  <si>
    <t>東北線(IU28)</t>
    <phoneticPr fontId="1" type="noConversion"/>
  </si>
  <si>
    <t>東水線(IU29)</t>
    <phoneticPr fontId="1" type="noConversion"/>
  </si>
  <si>
    <t>山腳線(IU35)</t>
    <phoneticPr fontId="1" type="noConversion"/>
  </si>
  <si>
    <t>東門線(IU37)</t>
    <phoneticPr fontId="1" type="noConversion"/>
  </si>
  <si>
    <t>金安線(IU38)</t>
    <phoneticPr fontId="1" type="noConversion"/>
  </si>
  <si>
    <t>IU39(IU39)</t>
    <phoneticPr fontId="1" type="noConversion"/>
  </si>
  <si>
    <t>IV51(IV51)</t>
    <phoneticPr fontId="1" type="noConversion"/>
  </si>
  <si>
    <t>IV53(IV53)</t>
    <phoneticPr fontId="1" type="noConversion"/>
  </si>
  <si>
    <t>IV55(IV55)</t>
    <phoneticPr fontId="1" type="noConversion"/>
  </si>
  <si>
    <t>伸湖線(IV32)</t>
    <phoneticPr fontId="1" type="noConversion"/>
  </si>
  <si>
    <t>伸隆線(IV34)</t>
    <phoneticPr fontId="1" type="noConversion"/>
  </si>
  <si>
    <t>伸松線(IV35)</t>
    <phoneticPr fontId="1" type="noConversion"/>
  </si>
  <si>
    <t>伸尾線(IV33)</t>
    <phoneticPr fontId="1" type="noConversion"/>
  </si>
  <si>
    <t>伸工線(IV31)</t>
    <phoneticPr fontId="1" type="noConversion"/>
  </si>
  <si>
    <t>伸海線(IV25)</t>
    <phoneticPr fontId="1" type="noConversion"/>
  </si>
  <si>
    <t>草埔線(IV21)</t>
    <phoneticPr fontId="1" type="noConversion"/>
  </si>
  <si>
    <t>榮光線(IW25)</t>
    <phoneticPr fontId="1" type="noConversion"/>
  </si>
  <si>
    <t>大崙線(IW24)</t>
    <phoneticPr fontId="1" type="noConversion"/>
  </si>
  <si>
    <t>華成線(IW29)</t>
    <phoneticPr fontId="1" type="noConversion"/>
  </si>
  <si>
    <t>大安線(IW31)</t>
    <phoneticPr fontId="1" type="noConversion"/>
  </si>
  <si>
    <t>坑內線(IW32)</t>
    <phoneticPr fontId="1" type="noConversion"/>
  </si>
  <si>
    <t>柑園線(IW34)</t>
    <phoneticPr fontId="1" type="noConversion"/>
  </si>
  <si>
    <t>羽台線(IW33)</t>
    <phoneticPr fontId="1" type="noConversion"/>
  </si>
  <si>
    <t>南通線(IW21)</t>
    <phoneticPr fontId="1" type="noConversion"/>
  </si>
  <si>
    <t>源泉線(IW20)</t>
    <phoneticPr fontId="1" type="noConversion"/>
  </si>
  <si>
    <t>大同線(IW23)</t>
    <phoneticPr fontId="1" type="noConversion"/>
  </si>
  <si>
    <t>大田線(IW28)</t>
    <phoneticPr fontId="1" type="noConversion"/>
  </si>
  <si>
    <t>斗裕線(IX25)</t>
    <phoneticPr fontId="1" type="noConversion"/>
  </si>
  <si>
    <t>斗永線(IX23)</t>
    <phoneticPr fontId="1" type="noConversion"/>
  </si>
  <si>
    <t>斗州線(IX26)</t>
    <phoneticPr fontId="1" type="noConversion"/>
  </si>
  <si>
    <t>斗湖線(IX30)</t>
    <phoneticPr fontId="1" type="noConversion"/>
  </si>
  <si>
    <t>斗建線(IX28)</t>
    <phoneticPr fontId="1" type="noConversion"/>
  </si>
  <si>
    <t>斗圳線(IX31)</t>
    <phoneticPr fontId="1" type="noConversion"/>
  </si>
  <si>
    <t>斗興線(IX32)</t>
    <phoneticPr fontId="1" type="noConversion"/>
  </si>
  <si>
    <t>斗溪線(IX33)</t>
    <phoneticPr fontId="1" type="noConversion"/>
  </si>
  <si>
    <t>斗海線(IX22)</t>
    <phoneticPr fontId="1" type="noConversion"/>
  </si>
  <si>
    <t>斗苑線(IX20)</t>
    <phoneticPr fontId="1" type="noConversion"/>
  </si>
  <si>
    <t>斗中線(IX21)</t>
    <phoneticPr fontId="1" type="noConversion"/>
  </si>
  <si>
    <t>斗工線(IX29)</t>
    <phoneticPr fontId="1" type="noConversion"/>
  </si>
  <si>
    <t>斗民線(IX27)</t>
    <phoneticPr fontId="1" type="noConversion"/>
  </si>
  <si>
    <t>芳森線(IY31)</t>
    <phoneticPr fontId="1" type="noConversion"/>
  </si>
  <si>
    <t>芳苑線(IY21)</t>
    <phoneticPr fontId="1" type="noConversion"/>
  </si>
  <si>
    <t>芳中線(IY32)</t>
    <phoneticPr fontId="1" type="noConversion"/>
  </si>
  <si>
    <t>芳隆線(IY28)</t>
    <phoneticPr fontId="1" type="noConversion"/>
  </si>
  <si>
    <t>芳六線(IY29)</t>
    <phoneticPr fontId="1" type="noConversion"/>
  </si>
  <si>
    <t>芳街線(IY35)</t>
    <phoneticPr fontId="1" type="noConversion"/>
  </si>
  <si>
    <t>新街線(IY20)</t>
    <phoneticPr fontId="1" type="noConversion"/>
  </si>
  <si>
    <t>永興線(IY24)</t>
    <phoneticPr fontId="1" type="noConversion"/>
  </si>
  <si>
    <t>芳鵬線(IY27)</t>
    <phoneticPr fontId="1" type="noConversion"/>
  </si>
  <si>
    <t>芳聚線(IY26)</t>
    <phoneticPr fontId="1" type="noConversion"/>
  </si>
  <si>
    <t>芳南線(IY22)</t>
    <phoneticPr fontId="1" type="noConversion"/>
  </si>
  <si>
    <t>芳北線(IY23)</t>
    <phoneticPr fontId="1" type="noConversion"/>
  </si>
  <si>
    <t>芳麗線(IY25)</t>
    <phoneticPr fontId="1" type="noConversion"/>
  </si>
  <si>
    <t>IZ24(IZ24)</t>
    <phoneticPr fontId="1" type="noConversion"/>
  </si>
  <si>
    <t>IZ55(IZ55)</t>
    <phoneticPr fontId="1" type="noConversion"/>
  </si>
  <si>
    <t>IZ63(IZ63)</t>
    <phoneticPr fontId="1" type="noConversion"/>
  </si>
  <si>
    <t>9G25</t>
    <phoneticPr fontId="1" type="noConversion"/>
  </si>
  <si>
    <t>併聯轉供或並聯饋線負載調整</t>
    <phoneticPr fontId="11" type="noConversion"/>
  </si>
  <si>
    <t>部份饋線活電轉供(詳如系統圖)</t>
    <phoneticPr fontId="11" type="noConversion"/>
  </si>
  <si>
    <t>□調整</t>
    <phoneticPr fontId="11" type="noConversion"/>
  </si>
  <si>
    <t>9G26</t>
  </si>
  <si>
    <t>9G27</t>
  </si>
  <si>
    <t>9G28</t>
  </si>
  <si>
    <t>9G29</t>
  </si>
  <si>
    <t>桿號</t>
    <phoneticPr fontId="1" type="noConversion"/>
  </si>
  <si>
    <t>饋線代號</t>
    <phoneticPr fontId="1" type="noConversion"/>
  </si>
  <si>
    <t>變電所名稱</t>
    <phoneticPr fontId="1" type="noConversion"/>
  </si>
  <si>
    <t>KWH</t>
  </si>
  <si>
    <t>總計</t>
  </si>
  <si>
    <t>平均值</t>
  </si>
  <si>
    <t>最大值</t>
  </si>
  <si>
    <t>最大值時間</t>
  </si>
  <si>
    <t>最小值</t>
  </si>
  <si>
    <t>最小值時間</t>
  </si>
  <si>
    <t>小時</t>
    <phoneticPr fontId="1" type="noConversion"/>
  </si>
  <si>
    <t>A(R)</t>
    <phoneticPr fontId="1" type="noConversion"/>
  </si>
  <si>
    <t>A(S)</t>
    <phoneticPr fontId="1" type="noConversion"/>
  </si>
  <si>
    <t>A(T)</t>
    <phoneticPr fontId="1" type="noConversion"/>
  </si>
  <si>
    <t>A(N)</t>
    <phoneticPr fontId="1" type="noConversion"/>
  </si>
  <si>
    <t>KWH</t>
    <phoneticPr fontId="1" type="noConversion"/>
  </si>
  <si>
    <t>總計</t>
    <phoneticPr fontId="1" type="noConversion"/>
  </si>
  <si>
    <t>平均值</t>
    <phoneticPr fontId="1" type="noConversion"/>
  </si>
  <si>
    <t>最大值</t>
    <phoneticPr fontId="1" type="noConversion"/>
  </si>
  <si>
    <t>最大值時間</t>
    <phoneticPr fontId="1" type="noConversion"/>
  </si>
  <si>
    <t>最小值</t>
    <phoneticPr fontId="1" type="noConversion"/>
  </si>
  <si>
    <t>最小值時間</t>
    <phoneticPr fontId="1" type="noConversion"/>
  </si>
  <si>
    <t>15:00:00</t>
    <phoneticPr fontId="1" type="noConversion"/>
  </si>
  <si>
    <t>00:00:00</t>
    <phoneticPr fontId="1" type="noConversion"/>
  </si>
  <si>
    <t>50</t>
    <phoneticPr fontId="1" type="noConversion"/>
  </si>
  <si>
    <t>02:00:00</t>
    <phoneticPr fontId="1" type="noConversion"/>
  </si>
  <si>
    <t>177</t>
    <phoneticPr fontId="1" type="noConversion"/>
  </si>
  <si>
    <t>151</t>
    <phoneticPr fontId="1" type="noConversion"/>
  </si>
  <si>
    <t>23:00:00</t>
    <phoneticPr fontId="1" type="noConversion"/>
  </si>
  <si>
    <t>04:00:00</t>
    <phoneticPr fontId="1" type="noConversion"/>
  </si>
  <si>
    <t>102</t>
    <phoneticPr fontId="1" type="noConversion"/>
  </si>
  <si>
    <t>187</t>
    <phoneticPr fontId="1" type="noConversion"/>
  </si>
  <si>
    <t>37</t>
    <phoneticPr fontId="1" type="noConversion"/>
  </si>
  <si>
    <t>34</t>
    <phoneticPr fontId="1" type="noConversion"/>
  </si>
  <si>
    <t>69</t>
    <phoneticPr fontId="1" type="noConversion"/>
  </si>
  <si>
    <t>36</t>
    <phoneticPr fontId="1" type="noConversion"/>
  </si>
  <si>
    <t>18:00:00</t>
    <phoneticPr fontId="1" type="noConversion"/>
  </si>
  <si>
    <t>146</t>
    <phoneticPr fontId="1" type="noConversion"/>
  </si>
  <si>
    <t>43</t>
    <phoneticPr fontId="1" type="noConversion"/>
  </si>
  <si>
    <t>33</t>
    <phoneticPr fontId="1" type="noConversion"/>
  </si>
  <si>
    <t>141</t>
    <phoneticPr fontId="1" type="noConversion"/>
  </si>
  <si>
    <t>67</t>
    <phoneticPr fontId="1" type="noConversion"/>
  </si>
  <si>
    <t>65</t>
    <phoneticPr fontId="1" type="noConversion"/>
  </si>
  <si>
    <t>13:00:00</t>
    <phoneticPr fontId="1" type="noConversion"/>
  </si>
  <si>
    <t>18</t>
    <phoneticPr fontId="1" type="noConversion"/>
  </si>
  <si>
    <t>16</t>
    <phoneticPr fontId="1" type="noConversion"/>
  </si>
  <si>
    <t>104</t>
    <phoneticPr fontId="1" type="noConversion"/>
  </si>
  <si>
    <t>107</t>
    <phoneticPr fontId="1" type="noConversion"/>
  </si>
  <si>
    <t>106</t>
    <phoneticPr fontId="1" type="noConversion"/>
  </si>
  <si>
    <t>125</t>
    <phoneticPr fontId="1" type="noConversion"/>
  </si>
  <si>
    <t>05:00:00</t>
    <phoneticPr fontId="1" type="noConversion"/>
  </si>
  <si>
    <t>121</t>
    <phoneticPr fontId="1" type="noConversion"/>
  </si>
  <si>
    <t>185</t>
    <phoneticPr fontId="1" type="noConversion"/>
  </si>
  <si>
    <t>3</t>
    <phoneticPr fontId="1" type="noConversion"/>
  </si>
  <si>
    <t>251</t>
    <phoneticPr fontId="1" type="noConversion"/>
  </si>
  <si>
    <t>249</t>
    <phoneticPr fontId="1" type="noConversion"/>
  </si>
  <si>
    <t>250</t>
    <phoneticPr fontId="1" type="noConversion"/>
  </si>
  <si>
    <t>105</t>
    <phoneticPr fontId="1" type="noConversion"/>
  </si>
  <si>
    <t>139</t>
    <phoneticPr fontId="1" type="noConversion"/>
  </si>
  <si>
    <t>144</t>
    <phoneticPr fontId="1" type="noConversion"/>
  </si>
  <si>
    <t>166</t>
    <phoneticPr fontId="1" type="noConversion"/>
  </si>
  <si>
    <t>148</t>
    <phoneticPr fontId="1" type="noConversion"/>
  </si>
  <si>
    <t>241</t>
    <phoneticPr fontId="1" type="noConversion"/>
  </si>
  <si>
    <t>242</t>
    <phoneticPr fontId="1" type="noConversion"/>
  </si>
  <si>
    <t>89</t>
    <phoneticPr fontId="1" type="noConversion"/>
  </si>
  <si>
    <t>92</t>
    <phoneticPr fontId="1" type="noConversion"/>
  </si>
  <si>
    <t>159</t>
    <phoneticPr fontId="1" type="noConversion"/>
  </si>
  <si>
    <t>111</t>
    <phoneticPr fontId="1" type="noConversion"/>
  </si>
  <si>
    <t>115</t>
    <phoneticPr fontId="1" type="noConversion"/>
  </si>
  <si>
    <t>112</t>
    <phoneticPr fontId="1" type="noConversion"/>
  </si>
  <si>
    <t>73</t>
    <phoneticPr fontId="1" type="noConversion"/>
  </si>
  <si>
    <t>14:00:00</t>
    <phoneticPr fontId="1" type="noConversion"/>
  </si>
  <si>
    <t>109</t>
    <phoneticPr fontId="1" type="noConversion"/>
  </si>
  <si>
    <t>99</t>
    <phoneticPr fontId="1" type="noConversion"/>
  </si>
  <si>
    <t>17:00:00</t>
    <phoneticPr fontId="1" type="noConversion"/>
  </si>
  <si>
    <t>40</t>
    <phoneticPr fontId="1" type="noConversion"/>
  </si>
  <si>
    <t>143</t>
    <phoneticPr fontId="1" type="noConversion"/>
  </si>
  <si>
    <t>126</t>
    <phoneticPr fontId="1" type="noConversion"/>
  </si>
  <si>
    <t>11:00:00</t>
    <phoneticPr fontId="1" type="noConversion"/>
  </si>
  <si>
    <t>129</t>
    <phoneticPr fontId="1" type="noConversion"/>
  </si>
  <si>
    <t>29</t>
    <phoneticPr fontId="1" type="noConversion"/>
  </si>
  <si>
    <t>47</t>
    <phoneticPr fontId="1" type="noConversion"/>
  </si>
  <si>
    <t>57</t>
    <phoneticPr fontId="1" type="noConversion"/>
  </si>
  <si>
    <t>51</t>
    <phoneticPr fontId="1" type="noConversion"/>
  </si>
  <si>
    <t>21:00:00</t>
    <phoneticPr fontId="1" type="noConversion"/>
  </si>
  <si>
    <t>19:00:00</t>
    <phoneticPr fontId="1" type="noConversion"/>
  </si>
  <si>
    <t>192</t>
    <phoneticPr fontId="1" type="noConversion"/>
  </si>
  <si>
    <t>60</t>
    <phoneticPr fontId="1" type="noConversion"/>
  </si>
  <si>
    <t>14</t>
    <phoneticPr fontId="1" type="noConversion"/>
  </si>
  <si>
    <t>20:00:00</t>
    <phoneticPr fontId="1" type="noConversion"/>
  </si>
  <si>
    <t>7</t>
    <phoneticPr fontId="1" type="noConversion"/>
  </si>
  <si>
    <t>13</t>
    <phoneticPr fontId="1" type="noConversion"/>
  </si>
  <si>
    <t>173</t>
    <phoneticPr fontId="1" type="noConversion"/>
  </si>
  <si>
    <t>217</t>
    <phoneticPr fontId="1" type="noConversion"/>
  </si>
  <si>
    <t>202</t>
    <phoneticPr fontId="1" type="noConversion"/>
  </si>
  <si>
    <t>244</t>
    <phoneticPr fontId="1" type="noConversion"/>
  </si>
  <si>
    <t>82</t>
    <phoneticPr fontId="1" type="noConversion"/>
  </si>
  <si>
    <t>150</t>
    <phoneticPr fontId="1" type="noConversion"/>
  </si>
  <si>
    <t>09:00:00</t>
    <phoneticPr fontId="1" type="noConversion"/>
  </si>
  <si>
    <t>255</t>
    <phoneticPr fontId="1" type="noConversion"/>
  </si>
  <si>
    <t>240</t>
    <phoneticPr fontId="1" type="noConversion"/>
  </si>
  <si>
    <t>199</t>
    <phoneticPr fontId="1" type="noConversion"/>
  </si>
  <si>
    <t>230</t>
    <phoneticPr fontId="1" type="noConversion"/>
  </si>
  <si>
    <t>183</t>
    <phoneticPr fontId="1" type="noConversion"/>
  </si>
  <si>
    <t>81</t>
    <phoneticPr fontId="1" type="noConversion"/>
  </si>
  <si>
    <t>80</t>
    <phoneticPr fontId="1" type="noConversion"/>
  </si>
  <si>
    <t>58</t>
    <phoneticPr fontId="1" type="noConversion"/>
  </si>
  <si>
    <t>45</t>
    <phoneticPr fontId="1" type="noConversion"/>
  </si>
  <si>
    <t>124</t>
    <phoneticPr fontId="1" type="noConversion"/>
  </si>
  <si>
    <t>123</t>
    <phoneticPr fontId="1" type="noConversion"/>
  </si>
  <si>
    <t>114</t>
    <phoneticPr fontId="1" type="noConversion"/>
  </si>
  <si>
    <t>62</t>
    <phoneticPr fontId="1" type="noConversion"/>
  </si>
  <si>
    <t>35</t>
    <phoneticPr fontId="1" type="noConversion"/>
  </si>
  <si>
    <t>231</t>
    <phoneticPr fontId="1" type="noConversion"/>
  </si>
  <si>
    <t>227</t>
    <phoneticPr fontId="1" type="noConversion"/>
  </si>
  <si>
    <t>237</t>
    <phoneticPr fontId="1" type="noConversion"/>
  </si>
  <si>
    <t>98</t>
    <phoneticPr fontId="1" type="noConversion"/>
  </si>
  <si>
    <t>53</t>
    <phoneticPr fontId="1" type="noConversion"/>
  </si>
  <si>
    <t>64</t>
    <phoneticPr fontId="1" type="noConversion"/>
  </si>
  <si>
    <t>119</t>
    <phoneticPr fontId="1" type="noConversion"/>
  </si>
  <si>
    <t>52</t>
    <phoneticPr fontId="1" type="noConversion"/>
  </si>
  <si>
    <t>318</t>
    <phoneticPr fontId="1" type="noConversion"/>
  </si>
  <si>
    <t>165</t>
    <phoneticPr fontId="1" type="noConversion"/>
  </si>
  <si>
    <t>41</t>
    <phoneticPr fontId="1" type="noConversion"/>
  </si>
  <si>
    <t>248</t>
    <phoneticPr fontId="1" type="noConversion"/>
  </si>
  <si>
    <t>269</t>
    <phoneticPr fontId="1" type="noConversion"/>
  </si>
  <si>
    <t>78</t>
    <phoneticPr fontId="1" type="noConversion"/>
  </si>
  <si>
    <t>101</t>
    <phoneticPr fontId="1" type="noConversion"/>
  </si>
  <si>
    <t>46</t>
    <phoneticPr fontId="1" type="noConversion"/>
  </si>
  <si>
    <t>21</t>
    <phoneticPr fontId="1" type="noConversion"/>
  </si>
  <si>
    <t>276</t>
    <phoneticPr fontId="1" type="noConversion"/>
  </si>
  <si>
    <t>268</t>
    <phoneticPr fontId="1" type="noConversion"/>
  </si>
  <si>
    <t>157</t>
    <phoneticPr fontId="1" type="noConversion"/>
  </si>
  <si>
    <t>194</t>
    <phoneticPr fontId="1" type="noConversion"/>
  </si>
  <si>
    <t>184</t>
    <phoneticPr fontId="1" type="noConversion"/>
  </si>
  <si>
    <t>162</t>
    <phoneticPr fontId="1" type="noConversion"/>
  </si>
  <si>
    <t>56</t>
    <phoneticPr fontId="1" type="noConversion"/>
  </si>
  <si>
    <t>195</t>
    <phoneticPr fontId="1" type="noConversion"/>
  </si>
  <si>
    <t>191</t>
    <phoneticPr fontId="1" type="noConversion"/>
  </si>
  <si>
    <t>27</t>
    <phoneticPr fontId="1" type="noConversion"/>
  </si>
  <si>
    <t>07:00:00</t>
    <phoneticPr fontId="1" type="noConversion"/>
  </si>
  <si>
    <t>228</t>
    <phoneticPr fontId="1" type="noConversion"/>
  </si>
  <si>
    <t>243</t>
    <phoneticPr fontId="1" type="noConversion"/>
  </si>
  <si>
    <t>145</t>
    <phoneticPr fontId="1" type="noConversion"/>
  </si>
  <si>
    <t>131</t>
    <phoneticPr fontId="1" type="noConversion"/>
  </si>
  <si>
    <t>79</t>
    <phoneticPr fontId="1" type="noConversion"/>
  </si>
  <si>
    <t>138</t>
    <phoneticPr fontId="1" type="noConversion"/>
  </si>
  <si>
    <t>97</t>
    <phoneticPr fontId="1" type="noConversion"/>
  </si>
  <si>
    <t>96</t>
    <phoneticPr fontId="1" type="noConversion"/>
  </si>
  <si>
    <t>66</t>
    <phoneticPr fontId="1" type="noConversion"/>
  </si>
  <si>
    <t>137</t>
    <phoneticPr fontId="1" type="noConversion"/>
  </si>
  <si>
    <t>264</t>
    <phoneticPr fontId="1" type="noConversion"/>
  </si>
  <si>
    <t>219</t>
    <phoneticPr fontId="1" type="noConversion"/>
  </si>
  <si>
    <t>221</t>
    <phoneticPr fontId="1" type="noConversion"/>
  </si>
  <si>
    <t>203</t>
    <phoneticPr fontId="1" type="noConversion"/>
  </si>
  <si>
    <t>200</t>
    <phoneticPr fontId="1" type="noConversion"/>
  </si>
  <si>
    <t>61</t>
    <phoneticPr fontId="1" type="noConversion"/>
  </si>
  <si>
    <t>113</t>
    <phoneticPr fontId="1" type="noConversion"/>
  </si>
  <si>
    <t>103</t>
    <phoneticPr fontId="1" type="noConversion"/>
  </si>
  <si>
    <t>63</t>
    <phoneticPr fontId="1" type="noConversion"/>
  </si>
  <si>
    <t>236</t>
    <phoneticPr fontId="1" type="noConversion"/>
  </si>
  <si>
    <t>76</t>
    <phoneticPr fontId="1" type="noConversion"/>
  </si>
  <si>
    <t>48</t>
    <phoneticPr fontId="1" type="noConversion"/>
  </si>
  <si>
    <t>122</t>
    <phoneticPr fontId="1" type="noConversion"/>
  </si>
  <si>
    <t>17</t>
    <phoneticPr fontId="1" type="noConversion"/>
  </si>
  <si>
    <t>74</t>
    <phoneticPr fontId="1" type="noConversion"/>
  </si>
  <si>
    <t>100</t>
    <phoneticPr fontId="1" type="noConversion"/>
  </si>
  <si>
    <t>154</t>
    <phoneticPr fontId="1" type="noConversion"/>
  </si>
  <si>
    <t>156</t>
    <phoneticPr fontId="1" type="noConversion"/>
  </si>
  <si>
    <t>24</t>
    <phoneticPr fontId="1" type="noConversion"/>
  </si>
  <si>
    <t>23</t>
    <phoneticPr fontId="1" type="noConversion"/>
  </si>
  <si>
    <t>31</t>
    <phoneticPr fontId="1" type="noConversion"/>
  </si>
  <si>
    <t>133</t>
    <phoneticPr fontId="1" type="noConversion"/>
  </si>
  <si>
    <t>77</t>
    <phoneticPr fontId="1" type="noConversion"/>
  </si>
  <si>
    <t>85</t>
    <phoneticPr fontId="1" type="noConversion"/>
  </si>
  <si>
    <t>4</t>
    <phoneticPr fontId="1" type="noConversion"/>
  </si>
  <si>
    <t>54</t>
    <phoneticPr fontId="1" type="noConversion"/>
  </si>
  <si>
    <t>88</t>
    <phoneticPr fontId="1" type="noConversion"/>
  </si>
  <si>
    <t>116</t>
    <phoneticPr fontId="1" type="noConversion"/>
  </si>
  <si>
    <t>95</t>
    <phoneticPr fontId="1" type="noConversion"/>
  </si>
  <si>
    <t>49</t>
    <phoneticPr fontId="1" type="noConversion"/>
  </si>
  <si>
    <t>30</t>
    <phoneticPr fontId="1" type="noConversion"/>
  </si>
  <si>
    <t>94</t>
    <phoneticPr fontId="1" type="noConversion"/>
  </si>
  <si>
    <t>91</t>
    <phoneticPr fontId="1" type="noConversion"/>
  </si>
  <si>
    <t>20</t>
    <phoneticPr fontId="1" type="noConversion"/>
  </si>
  <si>
    <t>193</t>
    <phoneticPr fontId="1" type="noConversion"/>
  </si>
  <si>
    <t>197</t>
    <phoneticPr fontId="1" type="noConversion"/>
  </si>
  <si>
    <t>135</t>
    <phoneticPr fontId="1" type="noConversion"/>
  </si>
  <si>
    <t>234</t>
    <phoneticPr fontId="1" type="noConversion"/>
  </si>
  <si>
    <t>245</t>
    <phoneticPr fontId="1" type="noConversion"/>
  </si>
  <si>
    <t>278</t>
    <phoneticPr fontId="1" type="noConversion"/>
  </si>
  <si>
    <t>258</t>
    <phoneticPr fontId="1" type="noConversion"/>
  </si>
  <si>
    <t>259</t>
    <phoneticPr fontId="1" type="noConversion"/>
  </si>
  <si>
    <t>03:00:00</t>
    <phoneticPr fontId="1" type="noConversion"/>
  </si>
  <si>
    <t>42</t>
    <phoneticPr fontId="1" type="noConversion"/>
  </si>
  <si>
    <t>140</t>
    <phoneticPr fontId="1" type="noConversion"/>
  </si>
  <si>
    <t>93</t>
    <phoneticPr fontId="1" type="noConversion"/>
  </si>
  <si>
    <t>226</t>
    <phoneticPr fontId="1" type="noConversion"/>
  </si>
  <si>
    <t>170</t>
    <phoneticPr fontId="1" type="noConversion"/>
  </si>
  <si>
    <t>84</t>
    <phoneticPr fontId="1" type="noConversion"/>
  </si>
  <si>
    <t>196</t>
    <phoneticPr fontId="1" type="noConversion"/>
  </si>
  <si>
    <t>209</t>
    <phoneticPr fontId="1" type="noConversion"/>
  </si>
  <si>
    <t>201</t>
    <phoneticPr fontId="1" type="noConversion"/>
  </si>
  <si>
    <t>212</t>
    <phoneticPr fontId="1" type="noConversion"/>
  </si>
  <si>
    <t>204</t>
    <phoneticPr fontId="1" type="noConversion"/>
  </si>
  <si>
    <t>110</t>
    <phoneticPr fontId="1" type="noConversion"/>
  </si>
  <si>
    <t>68</t>
    <phoneticPr fontId="1" type="noConversion"/>
  </si>
  <si>
    <t>205</t>
    <phoneticPr fontId="1" type="noConversion"/>
  </si>
  <si>
    <t>169</t>
    <phoneticPr fontId="1" type="noConversion"/>
  </si>
  <si>
    <t>190</t>
    <phoneticPr fontId="1" type="noConversion"/>
  </si>
  <si>
    <t>120</t>
    <phoneticPr fontId="1" type="noConversion"/>
  </si>
  <si>
    <t>55</t>
    <phoneticPr fontId="1" type="noConversion"/>
  </si>
  <si>
    <t>335</t>
    <phoneticPr fontId="1" type="noConversion"/>
  </si>
  <si>
    <t>213</t>
    <phoneticPr fontId="1" type="noConversion"/>
  </si>
  <si>
    <t>117</t>
    <phoneticPr fontId="1" type="noConversion"/>
  </si>
  <si>
    <t>118</t>
    <phoneticPr fontId="1" type="noConversion"/>
  </si>
  <si>
    <t>158</t>
    <phoneticPr fontId="1" type="noConversion"/>
  </si>
  <si>
    <t>136</t>
    <phoneticPr fontId="1" type="noConversion"/>
  </si>
  <si>
    <t>149</t>
    <phoneticPr fontId="1" type="noConversion"/>
  </si>
  <si>
    <t>130</t>
    <phoneticPr fontId="1" type="noConversion"/>
  </si>
  <si>
    <t>233</t>
    <phoneticPr fontId="1" type="noConversion"/>
  </si>
  <si>
    <t>262</t>
    <phoneticPr fontId="1" type="noConversion"/>
  </si>
  <si>
    <t>239</t>
    <phoneticPr fontId="1" type="noConversion"/>
  </si>
  <si>
    <t>216</t>
    <phoneticPr fontId="1" type="noConversion"/>
  </si>
  <si>
    <t>215</t>
    <phoneticPr fontId="1" type="noConversion"/>
  </si>
  <si>
    <t>229</t>
    <phoneticPr fontId="1" type="noConversion"/>
  </si>
  <si>
    <t>210</t>
    <phoneticPr fontId="1" type="noConversion"/>
  </si>
  <si>
    <t>164</t>
    <phoneticPr fontId="1" type="noConversion"/>
  </si>
  <si>
    <t>172</t>
    <phoneticPr fontId="1" type="noConversion"/>
  </si>
  <si>
    <t>72</t>
    <phoneticPr fontId="1" type="noConversion"/>
  </si>
  <si>
    <t>127</t>
    <phoneticPr fontId="1" type="noConversion"/>
  </si>
  <si>
    <t>211</t>
    <phoneticPr fontId="1" type="noConversion"/>
  </si>
  <si>
    <t>22</t>
    <phoneticPr fontId="1" type="noConversion"/>
  </si>
  <si>
    <t>15</t>
    <phoneticPr fontId="1" type="noConversion"/>
  </si>
  <si>
    <t>132</t>
    <phoneticPr fontId="1" type="noConversion"/>
  </si>
  <si>
    <t>252</t>
    <phoneticPr fontId="1" type="noConversion"/>
  </si>
  <si>
    <t>273</t>
    <phoneticPr fontId="1" type="noConversion"/>
  </si>
  <si>
    <t>235</t>
    <phoneticPr fontId="1" type="noConversion"/>
  </si>
  <si>
    <t>283</t>
    <phoneticPr fontId="1" type="noConversion"/>
  </si>
  <si>
    <t>134</t>
    <phoneticPr fontId="1" type="noConversion"/>
  </si>
  <si>
    <t>108</t>
    <phoneticPr fontId="1" type="noConversion"/>
  </si>
  <si>
    <t>182</t>
    <phoneticPr fontId="1" type="noConversion"/>
  </si>
  <si>
    <t>207</t>
    <phoneticPr fontId="1" type="noConversion"/>
  </si>
  <si>
    <t>206</t>
    <phoneticPr fontId="1" type="noConversion"/>
  </si>
  <si>
    <t>208</t>
    <phoneticPr fontId="1" type="noConversion"/>
  </si>
  <si>
    <t>218</t>
    <phoneticPr fontId="1" type="noConversion"/>
  </si>
  <si>
    <t>256</t>
    <phoneticPr fontId="1" type="noConversion"/>
  </si>
  <si>
    <t>274</t>
    <phoneticPr fontId="1" type="noConversion"/>
  </si>
  <si>
    <t>59</t>
    <phoneticPr fontId="1" type="noConversion"/>
  </si>
  <si>
    <t>306</t>
    <phoneticPr fontId="1" type="noConversion"/>
  </si>
  <si>
    <t>297</t>
    <phoneticPr fontId="1" type="noConversion"/>
  </si>
  <si>
    <t>25</t>
    <phoneticPr fontId="1" type="noConversion"/>
  </si>
  <si>
    <t>175</t>
    <phoneticPr fontId="1" type="noConversion"/>
  </si>
  <si>
    <t>90</t>
    <phoneticPr fontId="1" type="noConversion"/>
  </si>
  <si>
    <t>86</t>
    <phoneticPr fontId="1" type="noConversion"/>
  </si>
  <si>
    <t>83</t>
    <phoneticPr fontId="1" type="noConversion"/>
  </si>
  <si>
    <t>223</t>
    <phoneticPr fontId="1" type="noConversion"/>
  </si>
  <si>
    <t>285</t>
    <phoneticPr fontId="1" type="noConversion"/>
  </si>
  <si>
    <t>302</t>
    <phoneticPr fontId="1" type="noConversion"/>
  </si>
  <si>
    <t>75</t>
    <phoneticPr fontId="1" type="noConversion"/>
  </si>
  <si>
    <t>174</t>
    <phoneticPr fontId="1" type="noConversion"/>
  </si>
  <si>
    <t>8</t>
    <phoneticPr fontId="1" type="noConversion"/>
  </si>
  <si>
    <t>12</t>
    <phoneticPr fontId="1" type="noConversion"/>
  </si>
  <si>
    <t>19</t>
    <phoneticPr fontId="1" type="noConversion"/>
  </si>
  <si>
    <t>180</t>
    <phoneticPr fontId="1" type="noConversion"/>
  </si>
  <si>
    <t>214</t>
    <phoneticPr fontId="1" type="noConversion"/>
  </si>
  <si>
    <t>128</t>
    <phoneticPr fontId="1" type="noConversion"/>
  </si>
  <si>
    <t>225</t>
    <phoneticPr fontId="1" type="noConversion"/>
  </si>
  <si>
    <t>254</t>
    <phoneticPr fontId="1" type="noConversion"/>
  </si>
  <si>
    <t>266</t>
    <phoneticPr fontId="1" type="noConversion"/>
  </si>
  <si>
    <t>198</t>
    <phoneticPr fontId="1" type="noConversion"/>
  </si>
  <si>
    <t>5</t>
    <phoneticPr fontId="1" type="noConversion"/>
  </si>
  <si>
    <t>253</t>
    <phoneticPr fontId="1" type="noConversion"/>
  </si>
  <si>
    <t>732</t>
    <phoneticPr fontId="1" type="noConversion"/>
  </si>
  <si>
    <t>284</t>
    <phoneticPr fontId="1" type="noConversion"/>
  </si>
  <si>
    <t>282</t>
    <phoneticPr fontId="1" type="noConversion"/>
  </si>
  <si>
    <t>224</t>
    <phoneticPr fontId="1" type="noConversion"/>
  </si>
  <si>
    <t>10</t>
    <phoneticPr fontId="1" type="noConversion"/>
  </si>
  <si>
    <t>275</t>
    <phoneticPr fontId="1" type="noConversion"/>
  </si>
  <si>
    <t>153</t>
    <phoneticPr fontId="1" type="noConversion"/>
  </si>
  <si>
    <t>247</t>
    <phoneticPr fontId="1" type="noConversion"/>
  </si>
  <si>
    <t>639</t>
    <phoneticPr fontId="1" type="noConversion"/>
  </si>
  <si>
    <t>280</t>
    <phoneticPr fontId="1" type="noConversion"/>
  </si>
  <si>
    <t>270</t>
    <phoneticPr fontId="1" type="noConversion"/>
  </si>
  <si>
    <t>246</t>
    <phoneticPr fontId="1" type="noConversion"/>
  </si>
  <si>
    <t>220</t>
    <phoneticPr fontId="1" type="noConversion"/>
  </si>
  <si>
    <t>261</t>
    <phoneticPr fontId="1" type="noConversion"/>
  </si>
  <si>
    <t>314</t>
    <phoneticPr fontId="1" type="noConversion"/>
  </si>
  <si>
    <t>171</t>
    <phoneticPr fontId="1" type="noConversion"/>
  </si>
  <si>
    <t>181</t>
    <phoneticPr fontId="1" type="noConversion"/>
  </si>
  <si>
    <t>167</t>
    <phoneticPr fontId="1" type="noConversion"/>
  </si>
  <si>
    <t>296</t>
    <phoneticPr fontId="1" type="noConversion"/>
  </si>
  <si>
    <t>332</t>
    <phoneticPr fontId="1" type="noConversion"/>
  </si>
  <si>
    <t>317</t>
    <phoneticPr fontId="1" type="noConversion"/>
  </si>
  <si>
    <t>6</t>
    <phoneticPr fontId="1" type="noConversion"/>
  </si>
  <si>
    <t>265</t>
    <phoneticPr fontId="1" type="noConversion"/>
  </si>
  <si>
    <t>299</t>
    <phoneticPr fontId="1" type="noConversion"/>
  </si>
  <si>
    <t>305</t>
    <phoneticPr fontId="1" type="noConversion"/>
  </si>
  <si>
    <t>396</t>
    <phoneticPr fontId="1" type="noConversion"/>
  </si>
  <si>
    <t>834</t>
    <phoneticPr fontId="1" type="noConversion"/>
  </si>
  <si>
    <t>811</t>
    <phoneticPr fontId="1" type="noConversion"/>
  </si>
  <si>
    <t>569</t>
    <phoneticPr fontId="1" type="noConversion"/>
  </si>
  <si>
    <t>272</t>
    <phoneticPr fontId="1" type="noConversion"/>
  </si>
  <si>
    <t>川邊高幹#4</t>
    <phoneticPr fontId="1" type="noConversion"/>
  </si>
  <si>
    <t>彰化區處饋線FDIR啟動總表</t>
    <phoneticPr fontId="11" type="noConversion"/>
  </si>
  <si>
    <t xml:space="preserve">           </t>
    <phoneticPr fontId="11" type="noConversion"/>
  </si>
  <si>
    <r>
      <rPr>
        <sz val="12"/>
        <rFont val="細明體"/>
        <family val="3"/>
        <charset val="136"/>
      </rPr>
      <t>修訂日期</t>
    </r>
    <r>
      <rPr>
        <sz val="12"/>
        <rFont val="Times New Roman"/>
        <family val="1"/>
      </rPr>
      <t>110</t>
    </r>
    <r>
      <rPr>
        <sz val="12"/>
        <rFont val="細明體"/>
        <family val="3"/>
        <charset val="136"/>
      </rPr>
      <t>年6月</t>
    </r>
    <r>
      <rPr>
        <sz val="12"/>
        <rFont val="Times New Roman"/>
        <family val="1"/>
      </rPr>
      <t>23</t>
    </r>
    <r>
      <rPr>
        <sz val="12"/>
        <rFont val="Times New Roman"/>
        <family val="1"/>
      </rPr>
      <t xml:space="preserve"> </t>
    </r>
    <r>
      <rPr>
        <sz val="12"/>
        <rFont val="細明體"/>
        <family val="3"/>
        <charset val="136"/>
      </rPr>
      <t>日</t>
    </r>
    <phoneticPr fontId="11" type="noConversion"/>
  </si>
  <si>
    <r>
      <t xml:space="preserve"> </t>
    </r>
    <r>
      <rPr>
        <b/>
        <sz val="12"/>
        <rFont val="標楷體"/>
        <family val="4"/>
        <charset val="136"/>
      </rPr>
      <t>彰</t>
    </r>
    <r>
      <rPr>
        <b/>
        <sz val="12"/>
        <rFont val="Times New Roman"/>
        <family val="1"/>
      </rPr>
      <t xml:space="preserve"> </t>
    </r>
    <r>
      <rPr>
        <b/>
        <sz val="12"/>
        <rFont val="標楷體"/>
        <family val="4"/>
        <charset val="136"/>
      </rPr>
      <t>新</t>
    </r>
    <r>
      <rPr>
        <b/>
        <sz val="12"/>
        <rFont val="Times New Roman"/>
        <family val="1"/>
      </rPr>
      <t xml:space="preserve">                                    IA                                (D/S)</t>
    </r>
    <phoneticPr fontId="11" type="noConversion"/>
  </si>
  <si>
    <r>
      <t xml:space="preserve"> </t>
    </r>
    <r>
      <rPr>
        <b/>
        <sz val="12"/>
        <rFont val="標楷體"/>
        <family val="4"/>
        <charset val="136"/>
      </rPr>
      <t>鹿</t>
    </r>
    <r>
      <rPr>
        <b/>
        <sz val="12"/>
        <rFont val="Times New Roman"/>
        <family val="1"/>
      </rPr>
      <t xml:space="preserve"> </t>
    </r>
    <r>
      <rPr>
        <b/>
        <sz val="12"/>
        <rFont val="標楷體"/>
        <family val="4"/>
        <charset val="136"/>
      </rPr>
      <t>港</t>
    </r>
  </si>
  <si>
    <r>
      <t xml:space="preserve"> </t>
    </r>
    <r>
      <rPr>
        <b/>
        <sz val="12"/>
        <rFont val="標楷體"/>
        <family val="4"/>
        <charset val="136"/>
      </rPr>
      <t>溪</t>
    </r>
    <r>
      <rPr>
        <b/>
        <sz val="12"/>
        <rFont val="Times New Roman"/>
        <family val="1"/>
      </rPr>
      <t xml:space="preserve"> </t>
    </r>
    <r>
      <rPr>
        <b/>
        <sz val="12"/>
        <rFont val="標楷體"/>
        <family val="4"/>
        <charset val="136"/>
      </rPr>
      <t>湖</t>
    </r>
  </si>
  <si>
    <r>
      <t xml:space="preserve"> </t>
    </r>
    <r>
      <rPr>
        <b/>
        <sz val="12"/>
        <rFont val="標楷體"/>
        <family val="4"/>
        <charset val="136"/>
      </rPr>
      <t>二</t>
    </r>
    <r>
      <rPr>
        <b/>
        <sz val="12"/>
        <rFont val="Times New Roman"/>
        <family val="1"/>
      </rPr>
      <t xml:space="preserve"> </t>
    </r>
    <r>
      <rPr>
        <b/>
        <sz val="12"/>
        <rFont val="標楷體"/>
        <family val="4"/>
        <charset val="136"/>
      </rPr>
      <t>林</t>
    </r>
  </si>
  <si>
    <r>
      <t xml:space="preserve"> </t>
    </r>
    <r>
      <rPr>
        <b/>
        <sz val="12"/>
        <rFont val="標楷體"/>
        <family val="4"/>
        <charset val="136"/>
      </rPr>
      <t>溪</t>
    </r>
    <r>
      <rPr>
        <b/>
        <sz val="12"/>
        <rFont val="Times New Roman"/>
        <family val="1"/>
      </rPr>
      <t xml:space="preserve"> </t>
    </r>
    <r>
      <rPr>
        <b/>
        <sz val="12"/>
        <rFont val="標楷體"/>
        <family val="4"/>
        <charset val="136"/>
      </rPr>
      <t>州</t>
    </r>
  </si>
  <si>
    <r>
      <rPr>
        <b/>
        <sz val="12"/>
        <rFont val="標楷體"/>
        <family val="4"/>
        <charset val="136"/>
      </rPr>
      <t>田中</t>
    </r>
    <phoneticPr fontId="11" type="noConversion"/>
  </si>
  <si>
    <r>
      <t xml:space="preserve"> </t>
    </r>
    <r>
      <rPr>
        <b/>
        <sz val="12"/>
        <rFont val="標楷體"/>
        <family val="4"/>
        <charset val="136"/>
      </rPr>
      <t>彰</t>
    </r>
    <r>
      <rPr>
        <b/>
        <sz val="12"/>
        <rFont val="Times New Roman"/>
        <family val="1"/>
      </rPr>
      <t xml:space="preserve"> </t>
    </r>
    <r>
      <rPr>
        <b/>
        <sz val="12"/>
        <rFont val="標楷體"/>
        <family val="4"/>
        <charset val="136"/>
      </rPr>
      <t>西</t>
    </r>
  </si>
  <si>
    <r>
      <t xml:space="preserve"> </t>
    </r>
    <r>
      <rPr>
        <b/>
        <sz val="12"/>
        <rFont val="標楷體"/>
        <family val="4"/>
        <charset val="136"/>
      </rPr>
      <t>彰</t>
    </r>
    <r>
      <rPr>
        <b/>
        <sz val="12"/>
        <rFont val="Times New Roman"/>
        <family val="1"/>
      </rPr>
      <t xml:space="preserve"> </t>
    </r>
    <r>
      <rPr>
        <b/>
        <sz val="12"/>
        <rFont val="標楷體"/>
        <family val="4"/>
        <charset val="136"/>
      </rPr>
      <t>南</t>
    </r>
  </si>
  <si>
    <r>
      <t xml:space="preserve"> </t>
    </r>
    <r>
      <rPr>
        <b/>
        <sz val="12"/>
        <rFont val="標楷體"/>
        <family val="4"/>
        <charset val="136"/>
      </rPr>
      <t>和</t>
    </r>
    <r>
      <rPr>
        <b/>
        <sz val="12"/>
        <rFont val="Times New Roman"/>
        <family val="1"/>
      </rPr>
      <t xml:space="preserve"> </t>
    </r>
    <r>
      <rPr>
        <b/>
        <sz val="12"/>
        <rFont val="標楷體"/>
        <family val="4"/>
        <charset val="136"/>
      </rPr>
      <t>美</t>
    </r>
  </si>
  <si>
    <r>
      <t xml:space="preserve"> </t>
    </r>
    <r>
      <rPr>
        <b/>
        <sz val="12"/>
        <rFont val="標楷體"/>
        <family val="4"/>
        <charset val="136"/>
      </rPr>
      <t>彰</t>
    </r>
    <r>
      <rPr>
        <b/>
        <sz val="12"/>
        <rFont val="Times New Roman"/>
        <family val="1"/>
      </rPr>
      <t xml:space="preserve"> </t>
    </r>
    <r>
      <rPr>
        <b/>
        <sz val="12"/>
        <rFont val="標楷體"/>
        <family val="4"/>
        <charset val="136"/>
      </rPr>
      <t>化</t>
    </r>
  </si>
  <si>
    <r>
      <t xml:space="preserve"> </t>
    </r>
    <r>
      <rPr>
        <b/>
        <sz val="12"/>
        <rFont val="標楷體"/>
        <family val="4"/>
        <charset val="136"/>
      </rPr>
      <t>員</t>
    </r>
    <r>
      <rPr>
        <b/>
        <sz val="12"/>
        <rFont val="Times New Roman"/>
        <family val="1"/>
      </rPr>
      <t xml:space="preserve"> </t>
    </r>
    <r>
      <rPr>
        <b/>
        <sz val="12"/>
        <rFont val="標楷體"/>
        <family val="4"/>
        <charset val="136"/>
      </rPr>
      <t>南</t>
    </r>
  </si>
  <si>
    <r>
      <t xml:space="preserve"> </t>
    </r>
    <r>
      <rPr>
        <b/>
        <sz val="12"/>
        <rFont val="標楷體"/>
        <family val="4"/>
        <charset val="136"/>
      </rPr>
      <t>大</t>
    </r>
    <r>
      <rPr>
        <b/>
        <sz val="12"/>
        <rFont val="Times New Roman"/>
        <family val="1"/>
      </rPr>
      <t xml:space="preserve"> </t>
    </r>
    <r>
      <rPr>
        <b/>
        <sz val="12"/>
        <rFont val="標楷體"/>
        <family val="4"/>
        <charset val="136"/>
      </rPr>
      <t>竹</t>
    </r>
  </si>
  <si>
    <r>
      <t xml:space="preserve"> </t>
    </r>
    <r>
      <rPr>
        <b/>
        <sz val="12"/>
        <rFont val="標楷體"/>
        <family val="4"/>
        <charset val="136"/>
      </rPr>
      <t>大</t>
    </r>
    <r>
      <rPr>
        <b/>
        <sz val="12"/>
        <rFont val="Times New Roman"/>
        <family val="1"/>
      </rPr>
      <t xml:space="preserve"> </t>
    </r>
    <r>
      <rPr>
        <b/>
        <sz val="12"/>
        <rFont val="標楷體"/>
        <family val="4"/>
        <charset val="136"/>
      </rPr>
      <t>村</t>
    </r>
  </si>
  <si>
    <r>
      <t xml:space="preserve"> </t>
    </r>
    <r>
      <rPr>
        <b/>
        <sz val="12"/>
        <rFont val="標楷體"/>
        <family val="4"/>
        <charset val="136"/>
      </rPr>
      <t>鹿</t>
    </r>
    <r>
      <rPr>
        <b/>
        <sz val="12"/>
        <rFont val="Times New Roman"/>
        <family val="1"/>
      </rPr>
      <t xml:space="preserve"> </t>
    </r>
    <r>
      <rPr>
        <b/>
        <sz val="12"/>
        <rFont val="標楷體"/>
        <family val="4"/>
        <charset val="136"/>
      </rPr>
      <t>東</t>
    </r>
  </si>
  <si>
    <r>
      <t xml:space="preserve"> </t>
    </r>
    <r>
      <rPr>
        <b/>
        <sz val="12"/>
        <rFont val="標楷體"/>
        <family val="4"/>
        <charset val="136"/>
      </rPr>
      <t>福</t>
    </r>
    <r>
      <rPr>
        <b/>
        <sz val="12"/>
        <rFont val="Times New Roman"/>
        <family val="1"/>
      </rPr>
      <t xml:space="preserve"> </t>
    </r>
    <r>
      <rPr>
        <b/>
        <sz val="12"/>
        <rFont val="標楷體"/>
        <family val="4"/>
        <charset val="136"/>
      </rPr>
      <t>工</t>
    </r>
  </si>
  <si>
    <r>
      <t xml:space="preserve"> </t>
    </r>
    <r>
      <rPr>
        <b/>
        <sz val="12"/>
        <rFont val="標楷體"/>
        <family val="4"/>
        <charset val="136"/>
      </rPr>
      <t>彰</t>
    </r>
    <r>
      <rPr>
        <b/>
        <sz val="12"/>
        <rFont val="Times New Roman"/>
        <family val="1"/>
      </rPr>
      <t xml:space="preserve"> </t>
    </r>
    <r>
      <rPr>
        <b/>
        <sz val="12"/>
        <rFont val="標楷體"/>
        <family val="4"/>
        <charset val="136"/>
      </rPr>
      <t>東</t>
    </r>
    <phoneticPr fontId="11" type="noConversion"/>
  </si>
  <si>
    <r>
      <t xml:space="preserve"> </t>
    </r>
    <r>
      <rPr>
        <b/>
        <sz val="12"/>
        <rFont val="標楷體"/>
        <family val="4"/>
        <charset val="136"/>
      </rPr>
      <t>社</t>
    </r>
    <r>
      <rPr>
        <b/>
        <sz val="12"/>
        <rFont val="Times New Roman"/>
        <family val="1"/>
      </rPr>
      <t xml:space="preserve"> </t>
    </r>
    <r>
      <rPr>
        <b/>
        <sz val="12"/>
        <rFont val="標楷體"/>
        <family val="4"/>
        <charset val="136"/>
      </rPr>
      <t>頭</t>
    </r>
  </si>
  <si>
    <r>
      <t xml:space="preserve"> </t>
    </r>
    <r>
      <rPr>
        <b/>
        <sz val="12"/>
        <rFont val="標楷體"/>
        <family val="4"/>
        <charset val="136"/>
      </rPr>
      <t>草</t>
    </r>
    <r>
      <rPr>
        <b/>
        <sz val="12"/>
        <rFont val="Times New Roman"/>
        <family val="1"/>
      </rPr>
      <t xml:space="preserve"> </t>
    </r>
    <r>
      <rPr>
        <b/>
        <sz val="12"/>
        <rFont val="標楷體"/>
        <family val="4"/>
        <charset val="136"/>
      </rPr>
      <t>湖</t>
    </r>
  </si>
  <si>
    <r>
      <t xml:space="preserve"> </t>
    </r>
    <r>
      <rPr>
        <b/>
        <sz val="12"/>
        <rFont val="標楷體"/>
        <family val="4"/>
        <charset val="136"/>
      </rPr>
      <t>溝</t>
    </r>
    <r>
      <rPr>
        <b/>
        <sz val="12"/>
        <rFont val="Times New Roman"/>
        <family val="1"/>
      </rPr>
      <t xml:space="preserve"> </t>
    </r>
    <r>
      <rPr>
        <b/>
        <sz val="12"/>
        <rFont val="標楷體"/>
        <family val="4"/>
        <charset val="136"/>
      </rPr>
      <t>墘</t>
    </r>
  </si>
  <si>
    <r>
      <t xml:space="preserve"> </t>
    </r>
    <r>
      <rPr>
        <b/>
        <sz val="12"/>
        <rFont val="標楷體"/>
        <family val="4"/>
        <charset val="136"/>
      </rPr>
      <t>員東</t>
    </r>
    <phoneticPr fontId="11" type="noConversion"/>
  </si>
  <si>
    <r>
      <t xml:space="preserve"> </t>
    </r>
    <r>
      <rPr>
        <b/>
        <sz val="12"/>
        <rFont val="標楷體"/>
        <family val="4"/>
        <charset val="136"/>
      </rPr>
      <t>伸</t>
    </r>
    <r>
      <rPr>
        <b/>
        <sz val="12"/>
        <rFont val="Times New Roman"/>
        <family val="1"/>
      </rPr>
      <t xml:space="preserve"> </t>
    </r>
    <r>
      <rPr>
        <b/>
        <sz val="12"/>
        <rFont val="標楷體"/>
        <family val="4"/>
        <charset val="136"/>
      </rPr>
      <t>港</t>
    </r>
  </si>
  <si>
    <r>
      <t xml:space="preserve"> </t>
    </r>
    <r>
      <rPr>
        <b/>
        <sz val="12"/>
        <rFont val="標楷體"/>
        <family val="4"/>
        <charset val="136"/>
      </rPr>
      <t>二</t>
    </r>
    <r>
      <rPr>
        <b/>
        <sz val="12"/>
        <rFont val="Times New Roman"/>
        <family val="1"/>
      </rPr>
      <t xml:space="preserve"> </t>
    </r>
    <r>
      <rPr>
        <b/>
        <sz val="12"/>
        <rFont val="標楷體"/>
        <family val="4"/>
        <charset val="136"/>
      </rPr>
      <t>水</t>
    </r>
  </si>
  <si>
    <r>
      <t xml:space="preserve"> </t>
    </r>
    <r>
      <rPr>
        <b/>
        <sz val="12"/>
        <rFont val="標楷體"/>
        <family val="4"/>
        <charset val="136"/>
      </rPr>
      <t>北</t>
    </r>
    <r>
      <rPr>
        <b/>
        <sz val="12"/>
        <rFont val="Times New Roman"/>
        <family val="1"/>
      </rPr>
      <t xml:space="preserve"> </t>
    </r>
    <r>
      <rPr>
        <b/>
        <sz val="12"/>
        <rFont val="標楷體"/>
        <family val="4"/>
        <charset val="136"/>
      </rPr>
      <t>斗</t>
    </r>
  </si>
  <si>
    <r>
      <t xml:space="preserve"> </t>
    </r>
    <r>
      <rPr>
        <b/>
        <sz val="12"/>
        <rFont val="標楷體"/>
        <family val="4"/>
        <charset val="136"/>
      </rPr>
      <t>芳</t>
    </r>
    <r>
      <rPr>
        <b/>
        <sz val="12"/>
        <rFont val="Times New Roman"/>
        <family val="1"/>
      </rPr>
      <t xml:space="preserve"> </t>
    </r>
    <r>
      <rPr>
        <b/>
        <sz val="12"/>
        <rFont val="標楷體"/>
        <family val="4"/>
        <charset val="136"/>
      </rPr>
      <t>苑</t>
    </r>
  </si>
  <si>
    <r>
      <rPr>
        <b/>
        <sz val="12"/>
        <rFont val="標楷體"/>
        <family val="4"/>
        <charset val="136"/>
      </rPr>
      <t>全</t>
    </r>
    <r>
      <rPr>
        <b/>
        <sz val="12"/>
        <rFont val="Times New Roman"/>
        <family val="1"/>
      </rPr>
      <t xml:space="preserve"> </t>
    </r>
    <r>
      <rPr>
        <b/>
        <sz val="12"/>
        <rFont val="標楷體"/>
        <family val="4"/>
        <charset val="136"/>
      </rPr>
      <t>興</t>
    </r>
    <phoneticPr fontId="11" type="noConversion"/>
  </si>
  <si>
    <r>
      <t xml:space="preserve"> </t>
    </r>
    <r>
      <rPr>
        <b/>
        <sz val="12"/>
        <rFont val="標楷體"/>
        <family val="4"/>
        <charset val="136"/>
      </rPr>
      <t>彰</t>
    </r>
    <r>
      <rPr>
        <b/>
        <sz val="12"/>
        <rFont val="Times New Roman"/>
        <family val="1"/>
      </rPr>
      <t xml:space="preserve"> </t>
    </r>
    <r>
      <rPr>
        <b/>
        <sz val="12"/>
        <rFont val="標楷體"/>
        <family val="4"/>
        <charset val="136"/>
      </rPr>
      <t>濱</t>
    </r>
    <phoneticPr fontId="11" type="noConversion"/>
  </si>
  <si>
    <r>
      <rPr>
        <b/>
        <sz val="12"/>
        <rFont val="標楷體"/>
        <family val="4"/>
        <charset val="136"/>
      </rPr>
      <t>線西</t>
    </r>
    <phoneticPr fontId="11" type="noConversion"/>
  </si>
  <si>
    <r>
      <t xml:space="preserve"> </t>
    </r>
    <r>
      <rPr>
        <b/>
        <sz val="12"/>
        <rFont val="標楷體"/>
        <family val="4"/>
        <charset val="136"/>
      </rPr>
      <t>員</t>
    </r>
    <r>
      <rPr>
        <b/>
        <sz val="12"/>
        <rFont val="Times New Roman"/>
        <family val="1"/>
      </rPr>
      <t xml:space="preserve"> </t>
    </r>
    <r>
      <rPr>
        <b/>
        <sz val="12"/>
        <rFont val="標楷體"/>
        <family val="4"/>
        <charset val="136"/>
      </rPr>
      <t>林</t>
    </r>
  </si>
  <si>
    <r>
      <rPr>
        <b/>
        <sz val="12"/>
        <rFont val="標楷體"/>
        <family val="4"/>
        <charset val="136"/>
      </rPr>
      <t>鹿西</t>
    </r>
    <phoneticPr fontId="11" type="noConversion"/>
  </si>
  <si>
    <r>
      <t xml:space="preserve"> </t>
    </r>
    <r>
      <rPr>
        <b/>
        <sz val="12"/>
        <rFont val="標楷體"/>
        <family val="4"/>
        <charset val="136"/>
      </rPr>
      <t>漢</t>
    </r>
    <r>
      <rPr>
        <b/>
        <sz val="12"/>
        <rFont val="Times New Roman"/>
        <family val="1"/>
      </rPr>
      <t xml:space="preserve"> </t>
    </r>
    <r>
      <rPr>
        <b/>
        <sz val="12"/>
        <rFont val="標楷體"/>
        <family val="4"/>
        <charset val="136"/>
      </rPr>
      <t>寶</t>
    </r>
    <phoneticPr fontId="11" type="noConversion"/>
  </si>
  <si>
    <r>
      <t xml:space="preserve"> </t>
    </r>
    <r>
      <rPr>
        <b/>
        <sz val="12"/>
        <rFont val="標楷體"/>
        <family val="4"/>
        <charset val="136"/>
      </rPr>
      <t>草</t>
    </r>
    <r>
      <rPr>
        <b/>
        <sz val="12"/>
        <rFont val="Times New Roman"/>
        <family val="1"/>
      </rPr>
      <t xml:space="preserve"> </t>
    </r>
    <r>
      <rPr>
        <b/>
        <sz val="12"/>
        <rFont val="標楷體"/>
        <family val="4"/>
        <charset val="136"/>
      </rPr>
      <t>港</t>
    </r>
    <phoneticPr fontId="11" type="noConversion"/>
  </si>
  <si>
    <r>
      <t xml:space="preserve"> </t>
    </r>
    <r>
      <rPr>
        <b/>
        <sz val="12"/>
        <rFont val="標楷體"/>
        <family val="4"/>
        <charset val="136"/>
      </rPr>
      <t>福</t>
    </r>
    <r>
      <rPr>
        <b/>
        <sz val="12"/>
        <rFont val="Times New Roman"/>
        <family val="1"/>
      </rPr>
      <t xml:space="preserve"> </t>
    </r>
    <r>
      <rPr>
        <b/>
        <sz val="12"/>
        <rFont val="標楷體"/>
        <family val="4"/>
        <charset val="136"/>
      </rPr>
      <t>興</t>
    </r>
    <phoneticPr fontId="11" type="noConversion"/>
  </si>
  <si>
    <r>
      <t xml:space="preserve"> </t>
    </r>
    <r>
      <rPr>
        <b/>
        <sz val="12"/>
        <rFont val="標楷體"/>
        <family val="4"/>
        <charset val="136"/>
      </rPr>
      <t>埔</t>
    </r>
    <r>
      <rPr>
        <b/>
        <sz val="12"/>
        <rFont val="Times New Roman"/>
        <family val="1"/>
      </rPr>
      <t xml:space="preserve"> </t>
    </r>
    <r>
      <rPr>
        <b/>
        <sz val="12"/>
        <rFont val="標楷體"/>
        <family val="4"/>
        <charset val="136"/>
      </rPr>
      <t>鹽</t>
    </r>
    <phoneticPr fontId="11" type="noConversion"/>
  </si>
  <si>
    <r>
      <rPr>
        <b/>
        <sz val="12"/>
        <rFont val="標楷體"/>
        <family val="4"/>
        <charset val="136"/>
      </rPr>
      <t>大霞</t>
    </r>
    <phoneticPr fontId="11" type="noConversion"/>
  </si>
  <si>
    <r>
      <rPr>
        <b/>
        <sz val="12"/>
        <rFont val="標楷體"/>
        <family val="4"/>
        <charset val="136"/>
      </rPr>
      <t>大城</t>
    </r>
    <phoneticPr fontId="11" type="noConversion"/>
  </si>
  <si>
    <r>
      <rPr>
        <b/>
        <sz val="12"/>
        <rFont val="標楷體"/>
        <family val="4"/>
        <charset val="136"/>
      </rPr>
      <t>彰林</t>
    </r>
    <phoneticPr fontId="11" type="noConversion"/>
  </si>
  <si>
    <r>
      <rPr>
        <b/>
        <sz val="12"/>
        <rFont val="標楷體"/>
        <family val="4"/>
        <charset val="136"/>
      </rPr>
      <t>彰竹</t>
    </r>
    <phoneticPr fontId="11" type="noConversion"/>
  </si>
  <si>
    <r>
      <rPr>
        <b/>
        <sz val="12"/>
        <rFont val="標楷體"/>
        <family val="4"/>
        <charset val="136"/>
      </rPr>
      <t>花壇</t>
    </r>
    <phoneticPr fontId="11" type="noConversion"/>
  </si>
  <si>
    <r>
      <t xml:space="preserve"> </t>
    </r>
    <r>
      <rPr>
        <b/>
        <sz val="12"/>
        <rFont val="標楷體"/>
        <family val="4"/>
        <charset val="136"/>
      </rPr>
      <t>Ｉ</t>
    </r>
    <r>
      <rPr>
        <b/>
        <sz val="12"/>
        <rFont val="Times New Roman"/>
        <family val="1"/>
      </rPr>
      <t xml:space="preserve"> </t>
    </r>
    <r>
      <rPr>
        <b/>
        <sz val="12"/>
        <rFont val="標楷體"/>
        <family val="4"/>
        <charset val="136"/>
      </rPr>
      <t>Ｂ</t>
    </r>
  </si>
  <si>
    <r>
      <t xml:space="preserve"> </t>
    </r>
    <r>
      <rPr>
        <b/>
        <sz val="12"/>
        <rFont val="標楷體"/>
        <family val="4"/>
        <charset val="136"/>
      </rPr>
      <t>Ｉ</t>
    </r>
    <r>
      <rPr>
        <b/>
        <sz val="12"/>
        <rFont val="Times New Roman"/>
        <family val="1"/>
      </rPr>
      <t xml:space="preserve"> </t>
    </r>
    <r>
      <rPr>
        <b/>
        <sz val="12"/>
        <rFont val="標楷體"/>
        <family val="4"/>
        <charset val="136"/>
      </rPr>
      <t>Ｄ</t>
    </r>
  </si>
  <si>
    <r>
      <t xml:space="preserve"> </t>
    </r>
    <r>
      <rPr>
        <b/>
        <sz val="12"/>
        <rFont val="標楷體"/>
        <family val="4"/>
        <charset val="136"/>
      </rPr>
      <t>Ｉ</t>
    </r>
    <r>
      <rPr>
        <b/>
        <sz val="12"/>
        <rFont val="Times New Roman"/>
        <family val="1"/>
      </rPr>
      <t xml:space="preserve"> </t>
    </r>
    <r>
      <rPr>
        <b/>
        <sz val="12"/>
        <rFont val="標楷體"/>
        <family val="4"/>
        <charset val="136"/>
      </rPr>
      <t>Ｅ</t>
    </r>
  </si>
  <si>
    <r>
      <t xml:space="preserve"> </t>
    </r>
    <r>
      <rPr>
        <b/>
        <sz val="12"/>
        <rFont val="標楷體"/>
        <family val="4"/>
        <charset val="136"/>
      </rPr>
      <t>Ｉ</t>
    </r>
    <r>
      <rPr>
        <b/>
        <sz val="12"/>
        <rFont val="Times New Roman"/>
        <family val="1"/>
      </rPr>
      <t xml:space="preserve"> </t>
    </r>
    <r>
      <rPr>
        <b/>
        <sz val="12"/>
        <rFont val="標楷體"/>
        <family val="4"/>
        <charset val="136"/>
      </rPr>
      <t>Ｆ</t>
    </r>
  </si>
  <si>
    <t>IG</t>
    <phoneticPr fontId="11" type="noConversion"/>
  </si>
  <si>
    <r>
      <t xml:space="preserve"> </t>
    </r>
    <r>
      <rPr>
        <b/>
        <sz val="12"/>
        <rFont val="標楷體"/>
        <family val="4"/>
        <charset val="136"/>
      </rPr>
      <t>Ｉ</t>
    </r>
    <r>
      <rPr>
        <b/>
        <sz val="12"/>
        <rFont val="Times New Roman"/>
        <family val="1"/>
      </rPr>
      <t xml:space="preserve"> </t>
    </r>
    <r>
      <rPr>
        <b/>
        <sz val="12"/>
        <rFont val="標楷體"/>
        <family val="4"/>
        <charset val="136"/>
      </rPr>
      <t>Ｈ</t>
    </r>
  </si>
  <si>
    <r>
      <t xml:space="preserve"> </t>
    </r>
    <r>
      <rPr>
        <b/>
        <sz val="12"/>
        <rFont val="標楷體"/>
        <family val="4"/>
        <charset val="136"/>
      </rPr>
      <t>Ｉ</t>
    </r>
    <r>
      <rPr>
        <b/>
        <sz val="12"/>
        <rFont val="Times New Roman"/>
        <family val="1"/>
      </rPr>
      <t xml:space="preserve"> </t>
    </r>
    <r>
      <rPr>
        <b/>
        <sz val="12"/>
        <rFont val="標楷體"/>
        <family val="4"/>
        <charset val="136"/>
      </rPr>
      <t>Ｉ</t>
    </r>
  </si>
  <si>
    <r>
      <t xml:space="preserve"> </t>
    </r>
    <r>
      <rPr>
        <b/>
        <sz val="12"/>
        <rFont val="標楷體"/>
        <family val="4"/>
        <charset val="136"/>
      </rPr>
      <t>Ｉ</t>
    </r>
    <r>
      <rPr>
        <b/>
        <sz val="12"/>
        <rFont val="Times New Roman"/>
        <family val="1"/>
      </rPr>
      <t xml:space="preserve"> </t>
    </r>
    <r>
      <rPr>
        <b/>
        <sz val="12"/>
        <rFont val="標楷體"/>
        <family val="4"/>
        <charset val="136"/>
      </rPr>
      <t>Ｊ</t>
    </r>
  </si>
  <si>
    <r>
      <t xml:space="preserve"> </t>
    </r>
    <r>
      <rPr>
        <b/>
        <sz val="12"/>
        <rFont val="標楷體"/>
        <family val="4"/>
        <charset val="136"/>
      </rPr>
      <t>Ｉ</t>
    </r>
    <r>
      <rPr>
        <b/>
        <sz val="12"/>
        <rFont val="Times New Roman"/>
        <family val="1"/>
      </rPr>
      <t xml:space="preserve"> </t>
    </r>
    <r>
      <rPr>
        <b/>
        <sz val="12"/>
        <rFont val="標楷體"/>
        <family val="4"/>
        <charset val="136"/>
      </rPr>
      <t>Ｋ</t>
    </r>
  </si>
  <si>
    <r>
      <t xml:space="preserve"> </t>
    </r>
    <r>
      <rPr>
        <b/>
        <sz val="12"/>
        <rFont val="標楷體"/>
        <family val="4"/>
        <charset val="136"/>
      </rPr>
      <t>Ｉ</t>
    </r>
    <r>
      <rPr>
        <b/>
        <sz val="12"/>
        <rFont val="Times New Roman"/>
        <family val="1"/>
      </rPr>
      <t xml:space="preserve"> </t>
    </r>
    <r>
      <rPr>
        <b/>
        <sz val="12"/>
        <rFont val="標楷體"/>
        <family val="4"/>
        <charset val="136"/>
      </rPr>
      <t>Ｌ</t>
    </r>
  </si>
  <si>
    <r>
      <t xml:space="preserve"> </t>
    </r>
    <r>
      <rPr>
        <b/>
        <sz val="12"/>
        <rFont val="標楷體"/>
        <family val="4"/>
        <charset val="136"/>
      </rPr>
      <t>Ｉ</t>
    </r>
    <r>
      <rPr>
        <b/>
        <sz val="12"/>
        <rFont val="Times New Roman"/>
        <family val="1"/>
      </rPr>
      <t xml:space="preserve"> </t>
    </r>
    <r>
      <rPr>
        <b/>
        <sz val="12"/>
        <rFont val="標楷體"/>
        <family val="4"/>
        <charset val="136"/>
      </rPr>
      <t>Ｍ</t>
    </r>
  </si>
  <si>
    <r>
      <t xml:space="preserve"> </t>
    </r>
    <r>
      <rPr>
        <b/>
        <sz val="12"/>
        <rFont val="標楷體"/>
        <family val="4"/>
        <charset val="136"/>
      </rPr>
      <t>Ｉ</t>
    </r>
    <r>
      <rPr>
        <b/>
        <sz val="12"/>
        <rFont val="Times New Roman"/>
        <family val="1"/>
      </rPr>
      <t xml:space="preserve"> </t>
    </r>
    <r>
      <rPr>
        <b/>
        <sz val="12"/>
        <rFont val="標楷體"/>
        <family val="4"/>
        <charset val="136"/>
      </rPr>
      <t>Ｎ</t>
    </r>
  </si>
  <si>
    <r>
      <t xml:space="preserve"> </t>
    </r>
    <r>
      <rPr>
        <b/>
        <sz val="12"/>
        <rFont val="標楷體"/>
        <family val="4"/>
        <charset val="136"/>
      </rPr>
      <t>Ｉ</t>
    </r>
    <r>
      <rPr>
        <b/>
        <sz val="12"/>
        <rFont val="Times New Roman"/>
        <family val="1"/>
      </rPr>
      <t xml:space="preserve"> O</t>
    </r>
  </si>
  <si>
    <r>
      <t xml:space="preserve"> </t>
    </r>
    <r>
      <rPr>
        <b/>
        <sz val="12"/>
        <rFont val="標楷體"/>
        <family val="4"/>
        <charset val="136"/>
      </rPr>
      <t>Ｉ</t>
    </r>
    <r>
      <rPr>
        <b/>
        <sz val="12"/>
        <rFont val="Times New Roman"/>
        <family val="1"/>
      </rPr>
      <t xml:space="preserve"> </t>
    </r>
    <r>
      <rPr>
        <b/>
        <sz val="12"/>
        <rFont val="標楷體"/>
        <family val="4"/>
        <charset val="136"/>
      </rPr>
      <t>Ｐ</t>
    </r>
  </si>
  <si>
    <r>
      <t xml:space="preserve"> </t>
    </r>
    <r>
      <rPr>
        <b/>
        <sz val="12"/>
        <rFont val="標楷體"/>
        <family val="4"/>
        <charset val="136"/>
      </rPr>
      <t>Ｉ</t>
    </r>
    <r>
      <rPr>
        <b/>
        <sz val="12"/>
        <rFont val="Times New Roman"/>
        <family val="1"/>
      </rPr>
      <t xml:space="preserve"> Q</t>
    </r>
    <phoneticPr fontId="11" type="noConversion"/>
  </si>
  <si>
    <r>
      <t xml:space="preserve"> </t>
    </r>
    <r>
      <rPr>
        <b/>
        <sz val="12"/>
        <rFont val="標楷體"/>
        <family val="4"/>
        <charset val="136"/>
      </rPr>
      <t>Ｉ</t>
    </r>
    <r>
      <rPr>
        <b/>
        <sz val="12"/>
        <rFont val="Times New Roman"/>
        <family val="1"/>
      </rPr>
      <t xml:space="preserve"> </t>
    </r>
    <r>
      <rPr>
        <b/>
        <sz val="12"/>
        <rFont val="標楷體"/>
        <family val="4"/>
        <charset val="136"/>
      </rPr>
      <t>Ｒ</t>
    </r>
  </si>
  <si>
    <r>
      <t xml:space="preserve"> </t>
    </r>
    <r>
      <rPr>
        <b/>
        <sz val="12"/>
        <rFont val="標楷體"/>
        <family val="4"/>
        <charset val="136"/>
      </rPr>
      <t>Ｉ</t>
    </r>
    <r>
      <rPr>
        <b/>
        <sz val="12"/>
        <rFont val="Times New Roman"/>
        <family val="1"/>
      </rPr>
      <t xml:space="preserve"> </t>
    </r>
    <r>
      <rPr>
        <b/>
        <sz val="12"/>
        <rFont val="標楷體"/>
        <family val="4"/>
        <charset val="136"/>
      </rPr>
      <t>Ｓ</t>
    </r>
  </si>
  <si>
    <r>
      <t xml:space="preserve"> </t>
    </r>
    <r>
      <rPr>
        <b/>
        <sz val="12"/>
        <rFont val="標楷體"/>
        <family val="4"/>
        <charset val="136"/>
      </rPr>
      <t>Ｉ</t>
    </r>
    <r>
      <rPr>
        <b/>
        <sz val="12"/>
        <rFont val="Times New Roman"/>
        <family val="1"/>
      </rPr>
      <t xml:space="preserve"> </t>
    </r>
    <r>
      <rPr>
        <b/>
        <sz val="12"/>
        <rFont val="標楷體"/>
        <family val="4"/>
        <charset val="136"/>
      </rPr>
      <t>Ｔ</t>
    </r>
  </si>
  <si>
    <r>
      <t xml:space="preserve"> </t>
    </r>
    <r>
      <rPr>
        <b/>
        <sz val="12"/>
        <rFont val="標楷體"/>
        <family val="4"/>
        <charset val="136"/>
      </rPr>
      <t>Ｉ</t>
    </r>
    <r>
      <rPr>
        <b/>
        <sz val="12"/>
        <rFont val="Times New Roman"/>
        <family val="1"/>
      </rPr>
      <t xml:space="preserve"> U</t>
    </r>
    <phoneticPr fontId="11" type="noConversion"/>
  </si>
  <si>
    <r>
      <t xml:space="preserve"> </t>
    </r>
    <r>
      <rPr>
        <b/>
        <sz val="12"/>
        <rFont val="標楷體"/>
        <family val="4"/>
        <charset val="136"/>
      </rPr>
      <t>Ｉ</t>
    </r>
    <r>
      <rPr>
        <b/>
        <sz val="12"/>
        <rFont val="Times New Roman"/>
        <family val="1"/>
      </rPr>
      <t xml:space="preserve"> </t>
    </r>
    <r>
      <rPr>
        <b/>
        <sz val="12"/>
        <rFont val="標楷體"/>
        <family val="4"/>
        <charset val="136"/>
      </rPr>
      <t>Ｖ</t>
    </r>
    <phoneticPr fontId="11" type="noConversion"/>
  </si>
  <si>
    <r>
      <t xml:space="preserve"> </t>
    </r>
    <r>
      <rPr>
        <b/>
        <sz val="12"/>
        <rFont val="標楷體"/>
        <family val="4"/>
        <charset val="136"/>
      </rPr>
      <t>Ｉ</t>
    </r>
    <r>
      <rPr>
        <b/>
        <sz val="12"/>
        <rFont val="Times New Roman"/>
        <family val="1"/>
      </rPr>
      <t xml:space="preserve"> </t>
    </r>
    <r>
      <rPr>
        <b/>
        <sz val="12"/>
        <rFont val="標楷體"/>
        <family val="4"/>
        <charset val="136"/>
      </rPr>
      <t>Ｗ</t>
    </r>
  </si>
  <si>
    <r>
      <t xml:space="preserve"> </t>
    </r>
    <r>
      <rPr>
        <b/>
        <sz val="12"/>
        <rFont val="標楷體"/>
        <family val="4"/>
        <charset val="136"/>
      </rPr>
      <t>Ｉ</t>
    </r>
    <r>
      <rPr>
        <b/>
        <sz val="12"/>
        <rFont val="Times New Roman"/>
        <family val="1"/>
      </rPr>
      <t xml:space="preserve"> </t>
    </r>
    <r>
      <rPr>
        <b/>
        <sz val="12"/>
        <rFont val="標楷體"/>
        <family val="4"/>
        <charset val="136"/>
      </rPr>
      <t>Ｘ</t>
    </r>
  </si>
  <si>
    <r>
      <t xml:space="preserve"> </t>
    </r>
    <r>
      <rPr>
        <b/>
        <sz val="12"/>
        <rFont val="標楷體"/>
        <family val="4"/>
        <charset val="136"/>
      </rPr>
      <t>Ｉ</t>
    </r>
    <r>
      <rPr>
        <b/>
        <sz val="12"/>
        <rFont val="Times New Roman"/>
        <family val="1"/>
      </rPr>
      <t xml:space="preserve"> </t>
    </r>
    <r>
      <rPr>
        <b/>
        <sz val="12"/>
        <rFont val="標楷體"/>
        <family val="4"/>
        <charset val="136"/>
      </rPr>
      <t>Ｙ</t>
    </r>
  </si>
  <si>
    <r>
      <rPr>
        <b/>
        <sz val="12"/>
        <rFont val="標楷體"/>
        <family val="4"/>
        <charset val="136"/>
      </rPr>
      <t>Ｉ</t>
    </r>
    <r>
      <rPr>
        <b/>
        <sz val="12"/>
        <rFont val="Times New Roman"/>
        <family val="1"/>
      </rPr>
      <t xml:space="preserve"> </t>
    </r>
    <r>
      <rPr>
        <b/>
        <sz val="12"/>
        <rFont val="標楷體"/>
        <family val="4"/>
        <charset val="136"/>
      </rPr>
      <t>Ｚ</t>
    </r>
    <phoneticPr fontId="11" type="noConversion"/>
  </si>
  <si>
    <t xml:space="preserve"> 9  A</t>
    <phoneticPr fontId="11" type="noConversion"/>
  </si>
  <si>
    <t>9B</t>
    <phoneticPr fontId="11" type="noConversion"/>
  </si>
  <si>
    <r>
      <t xml:space="preserve"> 9 </t>
    </r>
    <r>
      <rPr>
        <b/>
        <sz val="12"/>
        <rFont val="標楷體"/>
        <family val="4"/>
        <charset val="136"/>
      </rPr>
      <t>Ｃ</t>
    </r>
    <phoneticPr fontId="11" type="noConversion"/>
  </si>
  <si>
    <t>9F</t>
    <phoneticPr fontId="11" type="noConversion"/>
  </si>
  <si>
    <t xml:space="preserve"> 9 G</t>
    <phoneticPr fontId="11" type="noConversion"/>
  </si>
  <si>
    <t xml:space="preserve"> 9  H</t>
    <phoneticPr fontId="11" type="noConversion"/>
  </si>
  <si>
    <t xml:space="preserve"> 9  I</t>
    <phoneticPr fontId="11" type="noConversion"/>
  </si>
  <si>
    <t xml:space="preserve"> 9  J</t>
    <phoneticPr fontId="11" type="noConversion"/>
  </si>
  <si>
    <t>9K</t>
    <phoneticPr fontId="11" type="noConversion"/>
  </si>
  <si>
    <t>9L</t>
    <phoneticPr fontId="11" type="noConversion"/>
  </si>
  <si>
    <t>9M</t>
    <phoneticPr fontId="11" type="noConversion"/>
  </si>
  <si>
    <t>9N</t>
    <phoneticPr fontId="11" type="noConversion"/>
  </si>
  <si>
    <t>9P</t>
    <phoneticPr fontId="11" type="noConversion"/>
  </si>
  <si>
    <t>(D/S)</t>
    <phoneticPr fontId="11" type="noConversion"/>
  </si>
  <si>
    <t xml:space="preserve"> (P/S)</t>
    <phoneticPr fontId="11" type="noConversion"/>
  </si>
  <si>
    <t xml:space="preserve"> (D/S)</t>
    <phoneticPr fontId="11" type="noConversion"/>
  </si>
  <si>
    <t>(E/S)</t>
    <phoneticPr fontId="11" type="noConversion"/>
  </si>
  <si>
    <t xml:space="preserve">  (S/S)</t>
    <phoneticPr fontId="11" type="noConversion"/>
  </si>
  <si>
    <r>
      <t>#1 A</t>
    </r>
    <r>
      <rPr>
        <b/>
        <sz val="12"/>
        <rFont val="標楷體"/>
        <family val="4"/>
        <charset val="136"/>
      </rPr>
      <t>圈</t>
    </r>
    <phoneticPr fontId="11" type="noConversion"/>
  </si>
  <si>
    <r>
      <t>#2 B</t>
    </r>
    <r>
      <rPr>
        <b/>
        <sz val="12"/>
        <rFont val="標楷體"/>
        <family val="4"/>
        <charset val="136"/>
      </rPr>
      <t>圈</t>
    </r>
  </si>
  <si>
    <t xml:space="preserve"> #1 </t>
    <phoneticPr fontId="11" type="noConversion"/>
  </si>
  <si>
    <t>#M1A</t>
    <phoneticPr fontId="11" type="noConversion"/>
  </si>
  <si>
    <r>
      <t>D/S</t>
    </r>
    <r>
      <rPr>
        <sz val="10"/>
        <rFont val="Times New Roman"/>
        <family val="1"/>
      </rPr>
      <t>60MVA</t>
    </r>
    <phoneticPr fontId="11" type="noConversion"/>
  </si>
  <si>
    <t xml:space="preserve"> # 1</t>
    <phoneticPr fontId="11" type="noConversion"/>
  </si>
  <si>
    <t xml:space="preserve"> 60MVA</t>
  </si>
  <si>
    <t xml:space="preserve">  60MVA </t>
    <phoneticPr fontId="11" type="noConversion"/>
  </si>
  <si>
    <t>#1</t>
    <phoneticPr fontId="11" type="noConversion"/>
  </si>
  <si>
    <t>60MVA</t>
    <phoneticPr fontId="11" type="noConversion"/>
  </si>
  <si>
    <t>30MVA</t>
    <phoneticPr fontId="11" type="noConversion"/>
  </si>
  <si>
    <t xml:space="preserve"> 25MVA</t>
    <phoneticPr fontId="11" type="noConversion"/>
  </si>
  <si>
    <t xml:space="preserve">  25MVA</t>
    <phoneticPr fontId="11" type="noConversion"/>
  </si>
  <si>
    <r>
      <t>#1 A</t>
    </r>
    <r>
      <rPr>
        <b/>
        <sz val="12"/>
        <rFont val="標楷體"/>
        <family val="4"/>
        <charset val="136"/>
      </rPr>
      <t>圈</t>
    </r>
  </si>
  <si>
    <r>
      <t>#3 A</t>
    </r>
    <r>
      <rPr>
        <b/>
        <sz val="12"/>
        <rFont val="細明體"/>
        <family val="3"/>
        <charset val="136"/>
      </rPr>
      <t>圈</t>
    </r>
    <phoneticPr fontId="11" type="noConversion"/>
  </si>
  <si>
    <r>
      <t>#1 A</t>
    </r>
    <r>
      <rPr>
        <sz val="12"/>
        <rFont val="標楷體"/>
        <family val="4"/>
        <charset val="136"/>
      </rPr>
      <t>圈</t>
    </r>
  </si>
  <si>
    <r>
      <t>#2 A</t>
    </r>
    <r>
      <rPr>
        <b/>
        <sz val="12"/>
        <rFont val="標楷體"/>
        <family val="4"/>
        <charset val="136"/>
      </rPr>
      <t>圈</t>
    </r>
    <phoneticPr fontId="11" type="noConversion"/>
  </si>
  <si>
    <t>#1A</t>
    <phoneticPr fontId="11" type="noConversion"/>
  </si>
  <si>
    <t>#2A</t>
    <phoneticPr fontId="11" type="noConversion"/>
  </si>
  <si>
    <r>
      <t xml:space="preserve">28 </t>
    </r>
    <r>
      <rPr>
        <sz val="12"/>
        <rFont val="標楷體"/>
        <family val="4"/>
        <charset val="136"/>
      </rPr>
      <t>民生</t>
    </r>
    <phoneticPr fontId="11" type="noConversion"/>
  </si>
  <si>
    <r>
      <t xml:space="preserve">20 </t>
    </r>
    <r>
      <rPr>
        <sz val="12"/>
        <rFont val="標楷體"/>
        <family val="4"/>
        <charset val="136"/>
      </rPr>
      <t>中圍</t>
    </r>
    <phoneticPr fontId="11" type="noConversion"/>
  </si>
  <si>
    <r>
      <t xml:space="preserve">20 </t>
    </r>
    <r>
      <rPr>
        <sz val="12"/>
        <rFont val="標楷體"/>
        <family val="4"/>
        <charset val="136"/>
      </rPr>
      <t>二港</t>
    </r>
  </si>
  <si>
    <r>
      <t xml:space="preserve">20 </t>
    </r>
    <r>
      <rPr>
        <sz val="12"/>
        <rFont val="標楷體"/>
        <family val="4"/>
        <charset val="136"/>
      </rPr>
      <t>西寮</t>
    </r>
  </si>
  <si>
    <r>
      <t xml:space="preserve">21 </t>
    </r>
    <r>
      <rPr>
        <sz val="12"/>
        <rFont val="標楷體"/>
        <family val="4"/>
        <charset val="136"/>
      </rPr>
      <t>中西</t>
    </r>
  </si>
  <si>
    <r>
      <t xml:space="preserve">21 </t>
    </r>
    <r>
      <rPr>
        <sz val="12"/>
        <rFont val="標楷體"/>
        <family val="4"/>
        <charset val="136"/>
      </rPr>
      <t>埤頭</t>
    </r>
  </si>
  <si>
    <t>IG30</t>
    <phoneticPr fontId="11" type="noConversion"/>
  </si>
  <si>
    <r>
      <t xml:space="preserve">21 </t>
    </r>
    <r>
      <rPr>
        <sz val="12"/>
        <rFont val="標楷體"/>
        <family val="4"/>
        <charset val="136"/>
      </rPr>
      <t>西美</t>
    </r>
  </si>
  <si>
    <r>
      <t xml:space="preserve">20 </t>
    </r>
    <r>
      <rPr>
        <sz val="12"/>
        <rFont val="標楷體"/>
        <family val="4"/>
        <charset val="136"/>
      </rPr>
      <t>新生</t>
    </r>
  </si>
  <si>
    <r>
      <t xml:space="preserve">22 </t>
    </r>
    <r>
      <rPr>
        <sz val="12"/>
        <rFont val="標楷體"/>
        <family val="4"/>
        <charset val="136"/>
      </rPr>
      <t>和西</t>
    </r>
  </si>
  <si>
    <r>
      <rPr>
        <sz val="12"/>
        <rFont val="標楷體"/>
        <family val="4"/>
        <charset val="136"/>
      </rPr>
      <t>彰化</t>
    </r>
    <r>
      <rPr>
        <sz val="12"/>
        <rFont val="Times New Roman"/>
        <family val="1"/>
      </rPr>
      <t>30</t>
    </r>
    <phoneticPr fontId="11" type="noConversion"/>
  </si>
  <si>
    <r>
      <t xml:space="preserve">21 </t>
    </r>
    <r>
      <rPr>
        <sz val="12"/>
        <rFont val="標楷體"/>
        <family val="4"/>
        <charset val="136"/>
      </rPr>
      <t>經口</t>
    </r>
  </si>
  <si>
    <r>
      <t xml:space="preserve">20 </t>
    </r>
    <r>
      <rPr>
        <sz val="12"/>
        <rFont val="標楷體"/>
        <family val="4"/>
        <charset val="136"/>
      </rPr>
      <t>渡船</t>
    </r>
  </si>
  <si>
    <r>
      <t xml:space="preserve">20 </t>
    </r>
    <r>
      <rPr>
        <sz val="12"/>
        <rFont val="標楷體"/>
        <family val="4"/>
        <charset val="136"/>
      </rPr>
      <t>內庄</t>
    </r>
  </si>
  <si>
    <r>
      <t xml:space="preserve"> </t>
    </r>
    <r>
      <rPr>
        <sz val="12"/>
        <rFont val="標楷體"/>
        <family val="4"/>
        <charset val="136"/>
      </rPr>
      <t>鹿東</t>
    </r>
    <r>
      <rPr>
        <sz val="12"/>
        <rFont val="Times New Roman"/>
        <family val="1"/>
      </rPr>
      <t>51</t>
    </r>
    <phoneticPr fontId="11" type="noConversion"/>
  </si>
  <si>
    <r>
      <t xml:space="preserve">20 </t>
    </r>
    <r>
      <rPr>
        <sz val="12"/>
        <rFont val="標楷體"/>
        <family val="4"/>
        <charset val="136"/>
      </rPr>
      <t>番社</t>
    </r>
  </si>
  <si>
    <r>
      <rPr>
        <sz val="12"/>
        <rFont val="標楷體"/>
        <family val="4"/>
        <charset val="136"/>
      </rPr>
      <t>彰東</t>
    </r>
    <r>
      <rPr>
        <sz val="12"/>
        <rFont val="Times New Roman"/>
        <family val="1"/>
      </rPr>
      <t>21</t>
    </r>
    <phoneticPr fontId="11" type="noConversion"/>
  </si>
  <si>
    <r>
      <t xml:space="preserve">21 </t>
    </r>
    <r>
      <rPr>
        <sz val="12"/>
        <rFont val="標楷體"/>
        <family val="4"/>
        <charset val="136"/>
      </rPr>
      <t>社東</t>
    </r>
  </si>
  <si>
    <r>
      <t xml:space="preserve">20 </t>
    </r>
    <r>
      <rPr>
        <sz val="12"/>
        <rFont val="標楷體"/>
        <family val="4"/>
        <charset val="136"/>
      </rPr>
      <t>草北</t>
    </r>
  </si>
  <si>
    <r>
      <t xml:space="preserve">22 </t>
    </r>
    <r>
      <rPr>
        <sz val="12"/>
        <rFont val="標楷體"/>
        <family val="4"/>
        <charset val="136"/>
      </rPr>
      <t>頭崙</t>
    </r>
  </si>
  <si>
    <t>IV51</t>
    <phoneticPr fontId="11" type="noConversion"/>
  </si>
  <si>
    <r>
      <t xml:space="preserve">22 </t>
    </r>
    <r>
      <rPr>
        <sz val="12"/>
        <rFont val="標楷體"/>
        <family val="4"/>
        <charset val="136"/>
      </rPr>
      <t>大莊</t>
    </r>
  </si>
  <si>
    <r>
      <t xml:space="preserve">23 </t>
    </r>
    <r>
      <rPr>
        <sz val="12"/>
        <rFont val="標楷體"/>
        <family val="4"/>
        <charset val="136"/>
      </rPr>
      <t>斗永</t>
    </r>
  </si>
  <si>
    <r>
      <t xml:space="preserve">21 </t>
    </r>
    <r>
      <rPr>
        <sz val="12"/>
        <rFont val="標楷體"/>
        <family val="4"/>
        <charset val="136"/>
      </rPr>
      <t>芳苑</t>
    </r>
  </si>
  <si>
    <r>
      <rPr>
        <sz val="12"/>
        <rFont val="標楷體"/>
        <family val="4"/>
        <charset val="136"/>
      </rPr>
      <t>全興</t>
    </r>
    <r>
      <rPr>
        <sz val="12"/>
        <rFont val="Times New Roman"/>
        <family val="1"/>
      </rPr>
      <t>51</t>
    </r>
    <phoneticPr fontId="11" type="noConversion"/>
  </si>
  <si>
    <r>
      <rPr>
        <sz val="12"/>
        <color indexed="8"/>
        <rFont val="標楷體"/>
        <family val="4"/>
        <charset val="136"/>
      </rPr>
      <t>彰濱</t>
    </r>
    <r>
      <rPr>
        <sz val="12"/>
        <color indexed="8"/>
        <rFont val="Times New Roman"/>
        <family val="1"/>
      </rPr>
      <t>61</t>
    </r>
    <phoneticPr fontId="11" type="noConversion"/>
  </si>
  <si>
    <t>9B51</t>
    <phoneticPr fontId="11" type="noConversion"/>
  </si>
  <si>
    <t>9C20</t>
    <phoneticPr fontId="11" type="noConversion"/>
  </si>
  <si>
    <t>9F51</t>
    <phoneticPr fontId="11" type="noConversion"/>
  </si>
  <si>
    <t>9G20</t>
    <phoneticPr fontId="11" type="noConversion"/>
  </si>
  <si>
    <r>
      <t xml:space="preserve">21 </t>
    </r>
    <r>
      <rPr>
        <sz val="12"/>
        <rFont val="標楷體"/>
        <family val="4"/>
        <charset val="136"/>
      </rPr>
      <t>下港</t>
    </r>
    <phoneticPr fontId="11" type="noConversion"/>
  </si>
  <si>
    <t>9I20</t>
    <phoneticPr fontId="11" type="noConversion"/>
  </si>
  <si>
    <r>
      <t xml:space="preserve"> </t>
    </r>
    <r>
      <rPr>
        <sz val="12"/>
        <rFont val="標楷體"/>
        <family val="4"/>
        <charset val="136"/>
      </rPr>
      <t>埔鹽</t>
    </r>
    <r>
      <rPr>
        <sz val="12"/>
        <rFont val="Times New Roman"/>
        <family val="1"/>
      </rPr>
      <t>11</t>
    </r>
    <phoneticPr fontId="11" type="noConversion"/>
  </si>
  <si>
    <t>9K21</t>
    <phoneticPr fontId="11" type="noConversion"/>
  </si>
  <si>
    <t>9L21</t>
    <phoneticPr fontId="11" type="noConversion"/>
  </si>
  <si>
    <t>9M20</t>
    <phoneticPr fontId="11" type="noConversion"/>
  </si>
  <si>
    <t>9N20</t>
    <phoneticPr fontId="11" type="noConversion"/>
  </si>
  <si>
    <t>9P10</t>
    <phoneticPr fontId="11" type="noConversion"/>
  </si>
  <si>
    <t>IG31</t>
  </si>
  <si>
    <r>
      <t xml:space="preserve"> </t>
    </r>
    <r>
      <rPr>
        <sz val="12"/>
        <rFont val="標楷體"/>
        <family val="4"/>
        <charset val="136"/>
      </rPr>
      <t>鹿東</t>
    </r>
    <r>
      <rPr>
        <sz val="12"/>
        <rFont val="Times New Roman"/>
        <family val="1"/>
      </rPr>
      <t>52</t>
    </r>
  </si>
  <si>
    <r>
      <t xml:space="preserve">22 </t>
    </r>
    <r>
      <rPr>
        <sz val="12"/>
        <rFont val="標楷體"/>
        <family val="4"/>
        <charset val="136"/>
      </rPr>
      <t>宏進</t>
    </r>
    <phoneticPr fontId="11" type="noConversion"/>
  </si>
  <si>
    <t>IV52</t>
  </si>
  <si>
    <r>
      <rPr>
        <sz val="12"/>
        <rFont val="標楷體"/>
        <family val="4"/>
        <charset val="136"/>
      </rPr>
      <t>彰濱</t>
    </r>
    <r>
      <rPr>
        <sz val="12"/>
        <rFont val="Times New Roman"/>
        <family val="1"/>
      </rPr>
      <t>62</t>
    </r>
    <phoneticPr fontId="11" type="noConversion"/>
  </si>
  <si>
    <t>9B52</t>
  </si>
  <si>
    <t>9C21</t>
    <phoneticPr fontId="11" type="noConversion"/>
  </si>
  <si>
    <t>9F52</t>
  </si>
  <si>
    <t>9G21</t>
  </si>
  <si>
    <t>9I21</t>
  </si>
  <si>
    <t>9K22</t>
  </si>
  <si>
    <t>9L22</t>
    <phoneticPr fontId="11" type="noConversion"/>
  </si>
  <si>
    <t>9M21</t>
  </si>
  <si>
    <t>9N21</t>
    <phoneticPr fontId="11" type="noConversion"/>
  </si>
  <si>
    <t>9P11</t>
    <phoneticPr fontId="11" type="noConversion"/>
  </si>
  <si>
    <t>IG32</t>
  </si>
  <si>
    <r>
      <rPr>
        <sz val="12"/>
        <rFont val="標楷體"/>
        <family val="4"/>
        <charset val="136"/>
      </rPr>
      <t>彰化</t>
    </r>
    <r>
      <rPr>
        <sz val="12"/>
        <rFont val="Times New Roman"/>
        <family val="1"/>
      </rPr>
      <t>31</t>
    </r>
    <phoneticPr fontId="11" type="noConversion"/>
  </si>
  <si>
    <r>
      <t xml:space="preserve"> </t>
    </r>
    <r>
      <rPr>
        <sz val="12"/>
        <rFont val="標楷體"/>
        <family val="4"/>
        <charset val="136"/>
      </rPr>
      <t>鹿東</t>
    </r>
    <r>
      <rPr>
        <sz val="12"/>
        <rFont val="Times New Roman"/>
        <family val="1"/>
      </rPr>
      <t>53</t>
    </r>
  </si>
  <si>
    <r>
      <t xml:space="preserve">23 </t>
    </r>
    <r>
      <rPr>
        <sz val="12"/>
        <rFont val="標楷體"/>
        <family val="4"/>
        <charset val="136"/>
      </rPr>
      <t>中崙</t>
    </r>
    <phoneticPr fontId="11" type="noConversion"/>
  </si>
  <si>
    <t>IV53</t>
  </si>
  <si>
    <r>
      <rPr>
        <sz val="12"/>
        <rFont val="標楷體"/>
        <family val="4"/>
        <charset val="136"/>
      </rPr>
      <t>全興</t>
    </r>
    <r>
      <rPr>
        <sz val="12"/>
        <rFont val="Times New Roman"/>
        <family val="1"/>
      </rPr>
      <t>52</t>
    </r>
    <phoneticPr fontId="11" type="noConversion"/>
  </si>
  <si>
    <r>
      <rPr>
        <sz val="12"/>
        <rFont val="標楷體"/>
        <family val="4"/>
        <charset val="136"/>
      </rPr>
      <t>彰濱</t>
    </r>
    <r>
      <rPr>
        <sz val="12"/>
        <rFont val="Times New Roman"/>
        <family val="1"/>
      </rPr>
      <t>63</t>
    </r>
    <phoneticPr fontId="11" type="noConversion"/>
  </si>
  <si>
    <t>9B53</t>
  </si>
  <si>
    <t>9C22</t>
    <phoneticPr fontId="11" type="noConversion"/>
  </si>
  <si>
    <t>9F53</t>
    <phoneticPr fontId="11" type="noConversion"/>
  </si>
  <si>
    <t>9G22</t>
  </si>
  <si>
    <r>
      <t xml:space="preserve">22 </t>
    </r>
    <r>
      <rPr>
        <sz val="12"/>
        <rFont val="標楷體"/>
        <family val="4"/>
        <charset val="136"/>
      </rPr>
      <t>草塭</t>
    </r>
    <phoneticPr fontId="11" type="noConversion"/>
  </si>
  <si>
    <t>9I22</t>
  </si>
  <si>
    <t>9K23</t>
  </si>
  <si>
    <t>9L23</t>
    <phoneticPr fontId="11" type="noConversion"/>
  </si>
  <si>
    <t>9M22</t>
  </si>
  <si>
    <t>9N22</t>
    <phoneticPr fontId="11" type="noConversion"/>
  </si>
  <si>
    <t>9P12</t>
    <phoneticPr fontId="11" type="noConversion"/>
  </si>
  <si>
    <r>
      <t xml:space="preserve">30 </t>
    </r>
    <r>
      <rPr>
        <sz val="12"/>
        <rFont val="標楷體"/>
        <family val="4"/>
        <charset val="136"/>
      </rPr>
      <t>磚瑤</t>
    </r>
    <phoneticPr fontId="11" type="noConversion"/>
  </si>
  <si>
    <r>
      <t xml:space="preserve">21 </t>
    </r>
    <r>
      <rPr>
        <sz val="12"/>
        <rFont val="標楷體"/>
        <family val="4"/>
        <charset val="136"/>
      </rPr>
      <t>北廠</t>
    </r>
    <phoneticPr fontId="11" type="noConversion"/>
  </si>
  <si>
    <r>
      <t xml:space="preserve">21 </t>
    </r>
    <r>
      <rPr>
        <sz val="12"/>
        <rFont val="標楷體"/>
        <family val="4"/>
        <charset val="136"/>
      </rPr>
      <t>橋頭</t>
    </r>
  </si>
  <si>
    <r>
      <t xml:space="preserve">23 </t>
    </r>
    <r>
      <rPr>
        <sz val="12"/>
        <rFont val="標楷體"/>
        <family val="4"/>
        <charset val="136"/>
      </rPr>
      <t>湖南</t>
    </r>
  </si>
  <si>
    <r>
      <t xml:space="preserve">22 </t>
    </r>
    <r>
      <rPr>
        <sz val="12"/>
        <rFont val="標楷體"/>
        <family val="4"/>
        <charset val="136"/>
      </rPr>
      <t>西斗</t>
    </r>
  </si>
  <si>
    <r>
      <t xml:space="preserve">25 </t>
    </r>
    <r>
      <rPr>
        <sz val="12"/>
        <rFont val="標楷體"/>
        <family val="4"/>
        <charset val="136"/>
      </rPr>
      <t>下霸</t>
    </r>
  </si>
  <si>
    <t>IG33</t>
  </si>
  <si>
    <r>
      <t xml:space="preserve">24 </t>
    </r>
    <r>
      <rPr>
        <sz val="12"/>
        <rFont val="標楷體"/>
        <family val="4"/>
        <charset val="136"/>
      </rPr>
      <t>下湳</t>
    </r>
  </si>
  <si>
    <r>
      <t xml:space="preserve">22 </t>
    </r>
    <r>
      <rPr>
        <sz val="12"/>
        <rFont val="標楷體"/>
        <family val="4"/>
        <charset val="136"/>
      </rPr>
      <t>縣府</t>
    </r>
  </si>
  <si>
    <r>
      <t xml:space="preserve">23 </t>
    </r>
    <r>
      <rPr>
        <sz val="12"/>
        <rFont val="標楷體"/>
        <family val="4"/>
        <charset val="136"/>
      </rPr>
      <t>和美</t>
    </r>
  </si>
  <si>
    <r>
      <rPr>
        <sz val="12"/>
        <rFont val="標楷體"/>
        <family val="4"/>
        <charset val="136"/>
      </rPr>
      <t>彰化</t>
    </r>
    <r>
      <rPr>
        <sz val="12"/>
        <rFont val="Times New Roman"/>
        <family val="1"/>
      </rPr>
      <t>32</t>
    </r>
    <phoneticPr fontId="11" type="noConversion"/>
  </si>
  <si>
    <r>
      <t xml:space="preserve">22 </t>
    </r>
    <r>
      <rPr>
        <sz val="12"/>
        <rFont val="標楷體"/>
        <family val="4"/>
        <charset val="136"/>
      </rPr>
      <t>南靖</t>
    </r>
  </si>
  <si>
    <r>
      <t xml:space="preserve">22 </t>
    </r>
    <r>
      <rPr>
        <sz val="12"/>
        <rFont val="標楷體"/>
        <family val="4"/>
        <charset val="136"/>
      </rPr>
      <t>大竹</t>
    </r>
    <phoneticPr fontId="11" type="noConversion"/>
  </si>
  <si>
    <r>
      <t xml:space="preserve">24 </t>
    </r>
    <r>
      <rPr>
        <sz val="12"/>
        <rFont val="標楷體"/>
        <family val="4"/>
        <charset val="136"/>
      </rPr>
      <t>中興</t>
    </r>
  </si>
  <si>
    <r>
      <t xml:space="preserve"> </t>
    </r>
    <r>
      <rPr>
        <sz val="12"/>
        <rFont val="標楷體"/>
        <family val="4"/>
        <charset val="136"/>
      </rPr>
      <t>鹿東</t>
    </r>
    <r>
      <rPr>
        <sz val="12"/>
        <rFont val="Times New Roman"/>
        <family val="1"/>
      </rPr>
      <t>54</t>
    </r>
  </si>
  <si>
    <r>
      <t xml:space="preserve">21 </t>
    </r>
    <r>
      <rPr>
        <sz val="12"/>
        <rFont val="標楷體"/>
        <family val="4"/>
        <charset val="136"/>
      </rPr>
      <t>金興</t>
    </r>
  </si>
  <si>
    <r>
      <rPr>
        <sz val="12"/>
        <rFont val="標楷體"/>
        <family val="4"/>
        <charset val="136"/>
      </rPr>
      <t>彰東</t>
    </r>
    <r>
      <rPr>
        <sz val="12"/>
        <rFont val="Times New Roman"/>
        <family val="1"/>
      </rPr>
      <t>22</t>
    </r>
    <phoneticPr fontId="11" type="noConversion"/>
  </si>
  <si>
    <r>
      <t xml:space="preserve">31 </t>
    </r>
    <r>
      <rPr>
        <sz val="12"/>
        <rFont val="標楷體"/>
        <family val="4"/>
        <charset val="136"/>
      </rPr>
      <t>崙厝</t>
    </r>
  </si>
  <si>
    <r>
      <t xml:space="preserve">21 </t>
    </r>
    <r>
      <rPr>
        <sz val="12"/>
        <rFont val="標楷體"/>
        <family val="4"/>
        <charset val="136"/>
      </rPr>
      <t>竹寮</t>
    </r>
  </si>
  <si>
    <r>
      <t xml:space="preserve">23 </t>
    </r>
    <r>
      <rPr>
        <sz val="12"/>
        <rFont val="標楷體"/>
        <family val="4"/>
        <charset val="136"/>
      </rPr>
      <t>馬興</t>
    </r>
  </si>
  <si>
    <r>
      <t xml:space="preserve">24 </t>
    </r>
    <r>
      <rPr>
        <sz val="12"/>
        <rFont val="標楷體"/>
        <family val="4"/>
        <charset val="136"/>
      </rPr>
      <t>東山</t>
    </r>
    <phoneticPr fontId="11" type="noConversion"/>
  </si>
  <si>
    <t>IV54</t>
  </si>
  <si>
    <r>
      <t xml:space="preserve">24 </t>
    </r>
    <r>
      <rPr>
        <sz val="12"/>
        <rFont val="標楷體"/>
        <family val="4"/>
        <charset val="136"/>
      </rPr>
      <t>大崙</t>
    </r>
  </si>
  <si>
    <r>
      <t xml:space="preserve">24 </t>
    </r>
    <r>
      <rPr>
        <sz val="12"/>
        <rFont val="標楷體"/>
        <family val="4"/>
        <charset val="136"/>
      </rPr>
      <t>文宗</t>
    </r>
  </si>
  <si>
    <r>
      <t xml:space="preserve">28 </t>
    </r>
    <r>
      <rPr>
        <sz val="12"/>
        <rFont val="標楷體"/>
        <family val="4"/>
        <charset val="136"/>
      </rPr>
      <t>芳隆</t>
    </r>
  </si>
  <si>
    <r>
      <rPr>
        <sz val="12"/>
        <rFont val="標楷體"/>
        <family val="4"/>
        <charset val="136"/>
      </rPr>
      <t>全興</t>
    </r>
    <r>
      <rPr>
        <sz val="12"/>
        <rFont val="Times New Roman"/>
        <family val="1"/>
      </rPr>
      <t>53</t>
    </r>
    <phoneticPr fontId="11" type="noConversion"/>
  </si>
  <si>
    <t>9B54</t>
  </si>
  <si>
    <t>9C23</t>
  </si>
  <si>
    <t>9F54</t>
    <phoneticPr fontId="11" type="noConversion"/>
  </si>
  <si>
    <t>9G23</t>
  </si>
  <si>
    <r>
      <t xml:space="preserve">23 </t>
    </r>
    <r>
      <rPr>
        <sz val="12"/>
        <rFont val="標楷體"/>
        <family val="4"/>
        <charset val="136"/>
      </rPr>
      <t>崙尾</t>
    </r>
    <phoneticPr fontId="11" type="noConversion"/>
  </si>
  <si>
    <t>9I23</t>
  </si>
  <si>
    <r>
      <t xml:space="preserve"> </t>
    </r>
    <r>
      <rPr>
        <sz val="12"/>
        <rFont val="標楷體"/>
        <family val="4"/>
        <charset val="136"/>
      </rPr>
      <t>埔鹽</t>
    </r>
    <r>
      <rPr>
        <sz val="12"/>
        <rFont val="Times New Roman"/>
        <family val="1"/>
      </rPr>
      <t>12</t>
    </r>
    <phoneticPr fontId="11" type="noConversion"/>
  </si>
  <si>
    <t>9K24</t>
  </si>
  <si>
    <t>9L24</t>
    <phoneticPr fontId="11" type="noConversion"/>
  </si>
  <si>
    <t>9M23</t>
  </si>
  <si>
    <t>9N23</t>
    <phoneticPr fontId="11" type="noConversion"/>
  </si>
  <si>
    <t>9P13</t>
    <phoneticPr fontId="11" type="noConversion"/>
  </si>
  <si>
    <t>IG34</t>
  </si>
  <si>
    <r>
      <rPr>
        <sz val="12"/>
        <rFont val="標楷體"/>
        <family val="4"/>
        <charset val="136"/>
      </rPr>
      <t>彰化</t>
    </r>
    <r>
      <rPr>
        <sz val="12"/>
        <rFont val="Times New Roman"/>
        <family val="1"/>
      </rPr>
      <t>33</t>
    </r>
    <phoneticPr fontId="11" type="noConversion"/>
  </si>
  <si>
    <r>
      <t xml:space="preserve"> </t>
    </r>
    <r>
      <rPr>
        <sz val="12"/>
        <rFont val="標楷體"/>
        <family val="4"/>
        <charset val="136"/>
      </rPr>
      <t>鹿東</t>
    </r>
    <r>
      <rPr>
        <sz val="12"/>
        <rFont val="Times New Roman"/>
        <family val="1"/>
      </rPr>
      <t>55</t>
    </r>
  </si>
  <si>
    <r>
      <t xml:space="preserve">25 </t>
    </r>
    <r>
      <rPr>
        <sz val="12"/>
        <rFont val="標楷體"/>
        <family val="4"/>
        <charset val="136"/>
      </rPr>
      <t>湖水</t>
    </r>
    <phoneticPr fontId="11" type="noConversion"/>
  </si>
  <si>
    <t>IV55</t>
  </si>
  <si>
    <r>
      <rPr>
        <sz val="12"/>
        <rFont val="標楷體"/>
        <family val="4"/>
        <charset val="136"/>
      </rPr>
      <t>全興</t>
    </r>
    <r>
      <rPr>
        <sz val="12"/>
        <rFont val="Times New Roman"/>
        <family val="1"/>
      </rPr>
      <t>54</t>
    </r>
    <phoneticPr fontId="11" type="noConversion"/>
  </si>
  <si>
    <r>
      <t>#3 B</t>
    </r>
    <r>
      <rPr>
        <b/>
        <sz val="12"/>
        <rFont val="Arial"/>
        <family val="2"/>
      </rPr>
      <t>圈</t>
    </r>
    <phoneticPr fontId="11" type="noConversion"/>
  </si>
  <si>
    <t>9B55</t>
  </si>
  <si>
    <t>9C24</t>
  </si>
  <si>
    <t>9F55</t>
    <phoneticPr fontId="11" type="noConversion"/>
  </si>
  <si>
    <t>9G24</t>
  </si>
  <si>
    <r>
      <t xml:space="preserve">24 </t>
    </r>
    <r>
      <rPr>
        <sz val="12"/>
        <rFont val="標楷體"/>
        <family val="4"/>
        <charset val="136"/>
      </rPr>
      <t>崙草</t>
    </r>
    <phoneticPr fontId="11" type="noConversion"/>
  </si>
  <si>
    <t>9I24</t>
  </si>
  <si>
    <t>9K25</t>
  </si>
  <si>
    <t>9L25</t>
    <phoneticPr fontId="11" type="noConversion"/>
  </si>
  <si>
    <t>9M24</t>
  </si>
  <si>
    <t>9N24</t>
    <phoneticPr fontId="11" type="noConversion"/>
  </si>
  <si>
    <t>9P14</t>
    <phoneticPr fontId="11" type="noConversion"/>
  </si>
  <si>
    <r>
      <t xml:space="preserve">32 </t>
    </r>
    <r>
      <rPr>
        <sz val="12"/>
        <rFont val="標楷體"/>
        <family val="4"/>
        <charset val="136"/>
      </rPr>
      <t>鐵山</t>
    </r>
    <phoneticPr fontId="11" type="noConversion"/>
  </si>
  <si>
    <r>
      <t xml:space="preserve">25 </t>
    </r>
    <r>
      <rPr>
        <sz val="12"/>
        <rFont val="標楷體"/>
        <family val="4"/>
        <charset val="136"/>
      </rPr>
      <t>北美</t>
    </r>
    <phoneticPr fontId="11" type="noConversion"/>
  </si>
  <si>
    <r>
      <t xml:space="preserve">22 </t>
    </r>
    <r>
      <rPr>
        <sz val="12"/>
        <rFont val="標楷體"/>
        <family val="4"/>
        <charset val="136"/>
      </rPr>
      <t>海埔</t>
    </r>
  </si>
  <si>
    <r>
      <t xml:space="preserve">26 </t>
    </r>
    <r>
      <rPr>
        <sz val="12"/>
        <rFont val="標楷體"/>
        <family val="4"/>
        <charset val="136"/>
      </rPr>
      <t>湳底</t>
    </r>
  </si>
  <si>
    <r>
      <t xml:space="preserve">24 </t>
    </r>
    <r>
      <rPr>
        <sz val="12"/>
        <rFont val="標楷體"/>
        <family val="4"/>
        <charset val="136"/>
      </rPr>
      <t>溝頭</t>
    </r>
  </si>
  <si>
    <r>
      <t xml:space="preserve">30 </t>
    </r>
    <r>
      <rPr>
        <sz val="12"/>
        <rFont val="標楷體"/>
        <family val="4"/>
        <charset val="136"/>
      </rPr>
      <t>田頭</t>
    </r>
    <phoneticPr fontId="11" type="noConversion"/>
  </si>
  <si>
    <t>#M1B</t>
    <phoneticPr fontId="11" type="noConversion"/>
  </si>
  <si>
    <r>
      <t xml:space="preserve">25 </t>
    </r>
    <r>
      <rPr>
        <sz val="12"/>
        <rFont val="標楷體"/>
        <family val="4"/>
        <charset val="136"/>
      </rPr>
      <t>西安</t>
    </r>
  </si>
  <si>
    <r>
      <t xml:space="preserve">25 </t>
    </r>
    <r>
      <rPr>
        <sz val="12"/>
        <rFont val="標楷體"/>
        <family val="4"/>
        <charset val="136"/>
      </rPr>
      <t>西門</t>
    </r>
  </si>
  <si>
    <r>
      <t xml:space="preserve">30 </t>
    </r>
    <r>
      <rPr>
        <sz val="12"/>
        <rFont val="標楷體"/>
        <family val="4"/>
        <charset val="136"/>
      </rPr>
      <t>汴頭</t>
    </r>
  </si>
  <si>
    <r>
      <rPr>
        <sz val="12"/>
        <rFont val="標楷體"/>
        <family val="4"/>
        <charset val="136"/>
      </rPr>
      <t>彰化</t>
    </r>
    <r>
      <rPr>
        <sz val="12"/>
        <rFont val="Times New Roman"/>
        <family val="1"/>
      </rPr>
      <t>34</t>
    </r>
    <phoneticPr fontId="11" type="noConversion"/>
  </si>
  <si>
    <r>
      <t xml:space="preserve">23 </t>
    </r>
    <r>
      <rPr>
        <sz val="12"/>
        <rFont val="標楷體"/>
        <family val="4"/>
        <charset val="136"/>
      </rPr>
      <t>太平</t>
    </r>
  </si>
  <si>
    <r>
      <t xml:space="preserve">26 </t>
    </r>
    <r>
      <rPr>
        <sz val="12"/>
        <rFont val="標楷體"/>
        <family val="4"/>
        <charset val="136"/>
      </rPr>
      <t>牛埔</t>
    </r>
  </si>
  <si>
    <r>
      <t xml:space="preserve">28 </t>
    </r>
    <r>
      <rPr>
        <sz val="12"/>
        <rFont val="標楷體"/>
        <family val="4"/>
        <charset val="136"/>
      </rPr>
      <t>黃厝</t>
    </r>
  </si>
  <si>
    <r>
      <t xml:space="preserve"> </t>
    </r>
    <r>
      <rPr>
        <sz val="12"/>
        <rFont val="標楷體"/>
        <family val="4"/>
        <charset val="136"/>
      </rPr>
      <t>鹿東</t>
    </r>
    <r>
      <rPr>
        <sz val="12"/>
        <rFont val="Times New Roman"/>
        <family val="1"/>
      </rPr>
      <t>56</t>
    </r>
    <phoneticPr fontId="11" type="noConversion"/>
  </si>
  <si>
    <r>
      <t>22 </t>
    </r>
    <r>
      <rPr>
        <sz val="12"/>
        <rFont val="標楷體"/>
        <family val="4"/>
        <charset val="136"/>
      </rPr>
      <t>仔</t>
    </r>
    <phoneticPr fontId="11" type="noConversion"/>
  </si>
  <si>
    <r>
      <rPr>
        <sz val="12"/>
        <rFont val="標楷體"/>
        <family val="4"/>
        <charset val="136"/>
      </rPr>
      <t>彰東</t>
    </r>
    <r>
      <rPr>
        <sz val="12"/>
        <rFont val="Times New Roman"/>
        <family val="1"/>
      </rPr>
      <t>23</t>
    </r>
    <phoneticPr fontId="11" type="noConversion"/>
  </si>
  <si>
    <r>
      <t xml:space="preserve">32 </t>
    </r>
    <r>
      <rPr>
        <sz val="12"/>
        <rFont val="標楷體"/>
        <family val="4"/>
        <charset val="136"/>
      </rPr>
      <t>雅果</t>
    </r>
  </si>
  <si>
    <r>
      <t xml:space="preserve">22 </t>
    </r>
    <r>
      <rPr>
        <sz val="12"/>
        <rFont val="標楷體"/>
        <family val="4"/>
        <charset val="136"/>
      </rPr>
      <t>趙甲</t>
    </r>
  </si>
  <si>
    <r>
      <t xml:space="preserve">25 </t>
    </r>
    <r>
      <rPr>
        <sz val="12"/>
        <rFont val="標楷體"/>
        <family val="4"/>
        <charset val="136"/>
      </rPr>
      <t>葉厝</t>
    </r>
  </si>
  <si>
    <r>
      <t xml:space="preserve">25 </t>
    </r>
    <r>
      <rPr>
        <sz val="12"/>
        <rFont val="標楷體"/>
        <family val="4"/>
        <charset val="136"/>
      </rPr>
      <t>榮光</t>
    </r>
  </si>
  <si>
    <r>
      <t xml:space="preserve">25 </t>
    </r>
    <r>
      <rPr>
        <sz val="12"/>
        <rFont val="標楷體"/>
        <family val="4"/>
        <charset val="136"/>
      </rPr>
      <t>斗裕</t>
    </r>
  </si>
  <si>
    <r>
      <t xml:space="preserve">29 </t>
    </r>
    <r>
      <rPr>
        <sz val="12"/>
        <rFont val="標楷體"/>
        <family val="4"/>
        <charset val="136"/>
      </rPr>
      <t>芳六</t>
    </r>
    <phoneticPr fontId="11" type="noConversion"/>
  </si>
  <si>
    <r>
      <rPr>
        <sz val="12"/>
        <rFont val="標楷體"/>
        <family val="4"/>
        <charset val="136"/>
      </rPr>
      <t>全興</t>
    </r>
    <r>
      <rPr>
        <sz val="12"/>
        <rFont val="Times New Roman"/>
        <family val="1"/>
      </rPr>
      <t>55</t>
    </r>
    <phoneticPr fontId="11" type="noConversion"/>
  </si>
  <si>
    <r>
      <rPr>
        <sz val="12"/>
        <rFont val="標楷體"/>
        <family val="4"/>
        <charset val="136"/>
      </rPr>
      <t>彰濱</t>
    </r>
    <r>
      <rPr>
        <sz val="12"/>
        <rFont val="Times New Roman"/>
        <family val="1"/>
      </rPr>
      <t>64</t>
    </r>
    <phoneticPr fontId="11" type="noConversion"/>
  </si>
  <si>
    <t>9B56</t>
    <phoneticPr fontId="11" type="noConversion"/>
  </si>
  <si>
    <t>9F56</t>
  </si>
  <si>
    <r>
      <t>#1 B</t>
    </r>
    <r>
      <rPr>
        <b/>
        <sz val="12"/>
        <rFont val="標楷體"/>
        <family val="4"/>
        <charset val="136"/>
      </rPr>
      <t>圈</t>
    </r>
    <phoneticPr fontId="11" type="noConversion"/>
  </si>
  <si>
    <r>
      <t xml:space="preserve">25 </t>
    </r>
    <r>
      <rPr>
        <sz val="12"/>
        <rFont val="標楷體"/>
        <family val="4"/>
        <charset val="136"/>
      </rPr>
      <t>南勢</t>
    </r>
    <phoneticPr fontId="11" type="noConversion"/>
  </si>
  <si>
    <t>9I25</t>
  </si>
  <si>
    <r>
      <t xml:space="preserve"> </t>
    </r>
    <r>
      <rPr>
        <sz val="12"/>
        <rFont val="標楷體"/>
        <family val="4"/>
        <charset val="136"/>
      </rPr>
      <t>埔鹽</t>
    </r>
    <r>
      <rPr>
        <sz val="12"/>
        <rFont val="Times New Roman"/>
        <family val="1"/>
      </rPr>
      <t>13</t>
    </r>
    <phoneticPr fontId="11" type="noConversion"/>
  </si>
  <si>
    <t>#1B</t>
    <phoneticPr fontId="11" type="noConversion"/>
  </si>
  <si>
    <t>#2B</t>
    <phoneticPr fontId="11" type="noConversion"/>
  </si>
  <si>
    <t>IG35</t>
    <phoneticPr fontId="11" type="noConversion"/>
  </si>
  <si>
    <r>
      <t>#1 B</t>
    </r>
    <r>
      <rPr>
        <b/>
        <sz val="12"/>
        <rFont val="標楷體"/>
        <family val="4"/>
        <charset val="136"/>
      </rPr>
      <t>圈</t>
    </r>
  </si>
  <si>
    <r>
      <rPr>
        <sz val="12"/>
        <rFont val="標楷體"/>
        <family val="4"/>
        <charset val="136"/>
      </rPr>
      <t>全興</t>
    </r>
    <r>
      <rPr>
        <sz val="12"/>
        <rFont val="Times New Roman"/>
        <family val="1"/>
      </rPr>
      <t>56</t>
    </r>
    <phoneticPr fontId="11" type="noConversion"/>
  </si>
  <si>
    <r>
      <rPr>
        <sz val="12"/>
        <rFont val="標楷體"/>
        <family val="4"/>
        <charset val="136"/>
      </rPr>
      <t>彰濱</t>
    </r>
    <r>
      <rPr>
        <sz val="12"/>
        <rFont val="Times New Roman"/>
        <family val="1"/>
      </rPr>
      <t>65</t>
    </r>
    <phoneticPr fontId="11" type="noConversion"/>
  </si>
  <si>
    <t>9B57</t>
  </si>
  <si>
    <t>9C25</t>
    <phoneticPr fontId="11" type="noConversion"/>
  </si>
  <si>
    <t>9F57</t>
    <phoneticPr fontId="11" type="noConversion"/>
  </si>
  <si>
    <t>9G25</t>
  </si>
  <si>
    <r>
      <t>#2 B</t>
    </r>
    <r>
      <rPr>
        <b/>
        <sz val="12"/>
        <rFont val="標楷體"/>
        <family val="4"/>
        <charset val="136"/>
      </rPr>
      <t>圈</t>
    </r>
    <phoneticPr fontId="11" type="noConversion"/>
  </si>
  <si>
    <t>9L26</t>
    <phoneticPr fontId="11" type="noConversion"/>
  </si>
  <si>
    <t>9M25</t>
    <phoneticPr fontId="11" type="noConversion"/>
  </si>
  <si>
    <t>9N25</t>
    <phoneticPr fontId="11" type="noConversion"/>
  </si>
  <si>
    <t>9P15</t>
    <phoneticPr fontId="11" type="noConversion"/>
  </si>
  <si>
    <r>
      <t xml:space="preserve">35 </t>
    </r>
    <r>
      <rPr>
        <sz val="12"/>
        <rFont val="標楷體"/>
        <family val="4"/>
        <charset val="136"/>
      </rPr>
      <t>彰茂</t>
    </r>
    <phoneticPr fontId="11" type="noConversion"/>
  </si>
  <si>
    <r>
      <t xml:space="preserve">31 </t>
    </r>
    <r>
      <rPr>
        <sz val="12"/>
        <rFont val="標楷體"/>
        <family val="4"/>
        <charset val="136"/>
      </rPr>
      <t>北新</t>
    </r>
    <phoneticPr fontId="11" type="noConversion"/>
  </si>
  <si>
    <r>
      <t xml:space="preserve">30 </t>
    </r>
    <r>
      <rPr>
        <sz val="12"/>
        <rFont val="標楷體"/>
        <family val="4"/>
        <charset val="136"/>
      </rPr>
      <t>下庄</t>
    </r>
  </si>
  <si>
    <r>
      <t xml:space="preserve">28 </t>
    </r>
    <r>
      <rPr>
        <sz val="12"/>
        <rFont val="標楷體"/>
        <family val="4"/>
        <charset val="136"/>
      </rPr>
      <t>溪湖</t>
    </r>
  </si>
  <si>
    <r>
      <t xml:space="preserve">25 </t>
    </r>
    <r>
      <rPr>
        <sz val="12"/>
        <rFont val="標楷體"/>
        <family val="4"/>
        <charset val="136"/>
      </rPr>
      <t>永安</t>
    </r>
  </si>
  <si>
    <r>
      <t xml:space="preserve">33 </t>
    </r>
    <r>
      <rPr>
        <sz val="12"/>
        <rFont val="標楷體"/>
        <family val="4"/>
        <charset val="136"/>
      </rPr>
      <t>溪工</t>
    </r>
    <phoneticPr fontId="11" type="noConversion"/>
  </si>
  <si>
    <t>IG36</t>
  </si>
  <si>
    <r>
      <t xml:space="preserve">27 </t>
    </r>
    <r>
      <rPr>
        <sz val="12"/>
        <rFont val="標楷體"/>
        <family val="4"/>
        <charset val="136"/>
      </rPr>
      <t>西鎮</t>
    </r>
  </si>
  <si>
    <r>
      <t xml:space="preserve">26 </t>
    </r>
    <r>
      <rPr>
        <sz val="12"/>
        <rFont val="標楷體"/>
        <family val="4"/>
        <charset val="136"/>
      </rPr>
      <t>南興</t>
    </r>
  </si>
  <si>
    <r>
      <t xml:space="preserve">33 </t>
    </r>
    <r>
      <rPr>
        <sz val="12"/>
        <rFont val="標楷體"/>
        <family val="4"/>
        <charset val="136"/>
      </rPr>
      <t>和崁</t>
    </r>
  </si>
  <si>
    <r>
      <rPr>
        <sz val="12"/>
        <rFont val="標楷體"/>
        <family val="4"/>
        <charset val="136"/>
      </rPr>
      <t>彰化</t>
    </r>
    <r>
      <rPr>
        <sz val="12"/>
        <rFont val="Times New Roman"/>
        <family val="1"/>
      </rPr>
      <t>46</t>
    </r>
    <phoneticPr fontId="11" type="noConversion"/>
  </si>
  <si>
    <r>
      <t xml:space="preserve">24 </t>
    </r>
    <r>
      <rPr>
        <sz val="12"/>
        <rFont val="標楷體"/>
        <family val="4"/>
        <charset val="136"/>
      </rPr>
      <t>中央</t>
    </r>
  </si>
  <si>
    <r>
      <t xml:space="preserve">29 </t>
    </r>
    <r>
      <rPr>
        <sz val="12"/>
        <rFont val="標楷體"/>
        <family val="4"/>
        <charset val="136"/>
      </rPr>
      <t>山坑</t>
    </r>
  </si>
  <si>
    <r>
      <t xml:space="preserve">29 </t>
    </r>
    <r>
      <rPr>
        <sz val="12"/>
        <rFont val="標楷體"/>
        <family val="4"/>
        <charset val="136"/>
      </rPr>
      <t>村上</t>
    </r>
  </si>
  <si>
    <r>
      <t xml:space="preserve">24 </t>
    </r>
    <r>
      <rPr>
        <sz val="12"/>
        <rFont val="標楷體"/>
        <family val="4"/>
        <charset val="136"/>
      </rPr>
      <t>福工</t>
    </r>
  </si>
  <si>
    <r>
      <rPr>
        <sz val="12"/>
        <rFont val="標楷體"/>
        <family val="4"/>
        <charset val="136"/>
      </rPr>
      <t>彰東</t>
    </r>
    <r>
      <rPr>
        <sz val="12"/>
        <rFont val="Times New Roman"/>
        <family val="1"/>
      </rPr>
      <t>24</t>
    </r>
    <phoneticPr fontId="11" type="noConversion"/>
  </si>
  <si>
    <r>
      <t xml:space="preserve">33 </t>
    </r>
    <r>
      <rPr>
        <sz val="12"/>
        <rFont val="標楷體"/>
        <family val="4"/>
        <charset val="136"/>
      </rPr>
      <t>清水</t>
    </r>
  </si>
  <si>
    <r>
      <t xml:space="preserve">27 </t>
    </r>
    <r>
      <rPr>
        <sz val="12"/>
        <rFont val="標楷體"/>
        <family val="4"/>
        <charset val="136"/>
      </rPr>
      <t>建平</t>
    </r>
    <phoneticPr fontId="11" type="noConversion"/>
  </si>
  <si>
    <r>
      <t xml:space="preserve">29 </t>
    </r>
    <r>
      <rPr>
        <sz val="12"/>
        <rFont val="標楷體"/>
        <family val="4"/>
        <charset val="136"/>
      </rPr>
      <t>嘉佃</t>
    </r>
  </si>
  <si>
    <r>
      <t xml:space="preserve">31 </t>
    </r>
    <r>
      <rPr>
        <sz val="12"/>
        <rFont val="標楷體"/>
        <family val="4"/>
        <charset val="136"/>
      </rPr>
      <t>東新</t>
    </r>
    <phoneticPr fontId="11" type="noConversion"/>
  </si>
  <si>
    <r>
      <t xml:space="preserve">26 </t>
    </r>
    <r>
      <rPr>
        <sz val="12"/>
        <rFont val="標楷體"/>
        <family val="4"/>
        <charset val="136"/>
      </rPr>
      <t>惠民</t>
    </r>
  </si>
  <si>
    <r>
      <t xml:space="preserve">26 </t>
    </r>
    <r>
      <rPr>
        <sz val="12"/>
        <rFont val="標楷體"/>
        <family val="4"/>
        <charset val="136"/>
      </rPr>
      <t>斗洲</t>
    </r>
  </si>
  <si>
    <r>
      <t xml:space="preserve">31 </t>
    </r>
    <r>
      <rPr>
        <sz val="12"/>
        <rFont val="標楷體"/>
        <family val="4"/>
        <charset val="136"/>
      </rPr>
      <t>芳森</t>
    </r>
    <phoneticPr fontId="11" type="noConversion"/>
  </si>
  <si>
    <t>9B58</t>
    <phoneticPr fontId="11" type="noConversion"/>
  </si>
  <si>
    <t>9C26</t>
    <phoneticPr fontId="11" type="noConversion"/>
  </si>
  <si>
    <t>9F58</t>
    <phoneticPr fontId="11" type="noConversion"/>
  </si>
  <si>
    <r>
      <t xml:space="preserve">26 </t>
    </r>
    <r>
      <rPr>
        <sz val="12"/>
        <rFont val="標楷體"/>
        <family val="4"/>
        <charset val="136"/>
      </rPr>
      <t>草洋</t>
    </r>
    <phoneticPr fontId="11" type="noConversion"/>
  </si>
  <si>
    <t>9I36</t>
  </si>
  <si>
    <r>
      <t xml:space="preserve"> </t>
    </r>
    <r>
      <rPr>
        <sz val="12"/>
        <rFont val="標楷體"/>
        <family val="4"/>
        <charset val="136"/>
      </rPr>
      <t>埔鹽</t>
    </r>
    <r>
      <rPr>
        <sz val="12"/>
        <rFont val="Times New Roman"/>
        <family val="1"/>
      </rPr>
      <t>14</t>
    </r>
    <phoneticPr fontId="11" type="noConversion"/>
  </si>
  <si>
    <t>9K27</t>
  </si>
  <si>
    <t>9L27</t>
    <phoneticPr fontId="11" type="noConversion"/>
  </si>
  <si>
    <t>9M26</t>
  </si>
  <si>
    <t>9N26</t>
    <phoneticPr fontId="11" type="noConversion"/>
  </si>
  <si>
    <t>9P16</t>
    <phoneticPr fontId="11" type="noConversion"/>
  </si>
  <si>
    <t>IG37</t>
  </si>
  <si>
    <r>
      <rPr>
        <sz val="12"/>
        <rFont val="標楷體"/>
        <family val="4"/>
        <charset val="136"/>
      </rPr>
      <t>彰化</t>
    </r>
    <r>
      <rPr>
        <sz val="12"/>
        <rFont val="Times New Roman"/>
        <family val="1"/>
      </rPr>
      <t>47</t>
    </r>
    <phoneticPr fontId="11" type="noConversion"/>
  </si>
  <si>
    <r>
      <t xml:space="preserve">32 </t>
    </r>
    <r>
      <rPr>
        <sz val="12"/>
        <rFont val="標楷體"/>
        <family val="4"/>
        <charset val="136"/>
      </rPr>
      <t>西東</t>
    </r>
    <phoneticPr fontId="11" type="noConversion"/>
  </si>
  <si>
    <t>9C27</t>
    <phoneticPr fontId="11" type="noConversion"/>
  </si>
  <si>
    <r>
      <t xml:space="preserve">27 </t>
    </r>
    <r>
      <rPr>
        <sz val="12"/>
        <rFont val="標楷體"/>
        <family val="4"/>
        <charset val="136"/>
      </rPr>
      <t>草港</t>
    </r>
    <phoneticPr fontId="11" type="noConversion"/>
  </si>
  <si>
    <t>9I37</t>
  </si>
  <si>
    <t>9K28</t>
  </si>
  <si>
    <t>9L28</t>
    <phoneticPr fontId="11" type="noConversion"/>
  </si>
  <si>
    <t>9M27</t>
  </si>
  <si>
    <t>9N27</t>
  </si>
  <si>
    <t>9P17</t>
    <phoneticPr fontId="11" type="noConversion"/>
  </si>
  <si>
    <r>
      <t xml:space="preserve">37 </t>
    </r>
    <r>
      <rPr>
        <sz val="12"/>
        <rFont val="標楷體"/>
        <family val="4"/>
        <charset val="136"/>
      </rPr>
      <t>北</t>
    </r>
    <r>
      <rPr>
        <sz val="12"/>
        <rFont val="Times New Roman"/>
        <family val="1"/>
      </rPr>
      <t></t>
    </r>
    <phoneticPr fontId="11" type="noConversion"/>
  </si>
  <si>
    <r>
      <t xml:space="preserve">38 </t>
    </r>
    <r>
      <rPr>
        <sz val="12"/>
        <rFont val="標楷體"/>
        <family val="4"/>
        <charset val="136"/>
      </rPr>
      <t>北建</t>
    </r>
    <phoneticPr fontId="11" type="noConversion"/>
  </si>
  <si>
    <r>
      <t xml:space="preserve">31 </t>
    </r>
    <r>
      <rPr>
        <sz val="12"/>
        <rFont val="標楷體"/>
        <family val="4"/>
        <charset val="136"/>
      </rPr>
      <t>鹿一</t>
    </r>
  </si>
  <si>
    <r>
      <t xml:space="preserve">31 </t>
    </r>
    <r>
      <rPr>
        <sz val="12"/>
        <rFont val="標楷體"/>
        <family val="4"/>
        <charset val="136"/>
      </rPr>
      <t>湖北</t>
    </r>
  </si>
  <si>
    <r>
      <t xml:space="preserve">27 </t>
    </r>
    <r>
      <rPr>
        <sz val="12"/>
        <rFont val="標楷體"/>
        <family val="4"/>
        <charset val="136"/>
      </rPr>
      <t>埤北</t>
    </r>
  </si>
  <si>
    <r>
      <t xml:space="preserve">34 </t>
    </r>
    <r>
      <rPr>
        <sz val="12"/>
        <rFont val="標楷體"/>
        <family val="4"/>
        <charset val="136"/>
      </rPr>
      <t>農場</t>
    </r>
    <phoneticPr fontId="11" type="noConversion"/>
  </si>
  <si>
    <t>IG38</t>
  </si>
  <si>
    <r>
      <t xml:space="preserve">28 </t>
    </r>
    <r>
      <rPr>
        <sz val="12"/>
        <rFont val="標楷體"/>
        <family val="4"/>
        <charset val="136"/>
      </rPr>
      <t>西溝</t>
    </r>
  </si>
  <si>
    <r>
      <t xml:space="preserve">27 </t>
    </r>
    <r>
      <rPr>
        <sz val="12"/>
        <rFont val="標楷體"/>
        <family val="4"/>
        <charset val="136"/>
      </rPr>
      <t>南和</t>
    </r>
  </si>
  <si>
    <r>
      <t xml:space="preserve">34 </t>
    </r>
    <r>
      <rPr>
        <sz val="12"/>
        <rFont val="標楷體"/>
        <family val="4"/>
        <charset val="136"/>
      </rPr>
      <t>和張</t>
    </r>
  </si>
  <si>
    <r>
      <rPr>
        <sz val="12"/>
        <rFont val="標楷體"/>
        <family val="4"/>
        <charset val="136"/>
      </rPr>
      <t>彰化</t>
    </r>
    <r>
      <rPr>
        <sz val="12"/>
        <rFont val="Times New Roman"/>
        <family val="1"/>
      </rPr>
      <t>48</t>
    </r>
    <phoneticPr fontId="11" type="noConversion"/>
  </si>
  <si>
    <r>
      <t xml:space="preserve">27 </t>
    </r>
    <r>
      <rPr>
        <sz val="12"/>
        <rFont val="標楷體"/>
        <family val="4"/>
        <charset val="136"/>
      </rPr>
      <t>萬年</t>
    </r>
  </si>
  <si>
    <r>
      <t xml:space="preserve">30 </t>
    </r>
    <r>
      <rPr>
        <sz val="12"/>
        <rFont val="標楷體"/>
        <family val="4"/>
        <charset val="136"/>
      </rPr>
      <t>竹彰</t>
    </r>
  </si>
  <si>
    <r>
      <t xml:space="preserve">31 </t>
    </r>
    <r>
      <rPr>
        <sz val="12"/>
        <rFont val="標楷體"/>
        <family val="4"/>
        <charset val="136"/>
      </rPr>
      <t>三芬</t>
    </r>
  </si>
  <si>
    <r>
      <t xml:space="preserve"> </t>
    </r>
    <r>
      <rPr>
        <sz val="12"/>
        <rFont val="標楷體"/>
        <family val="4"/>
        <charset val="136"/>
      </rPr>
      <t>鹿東</t>
    </r>
    <r>
      <rPr>
        <sz val="12"/>
        <rFont val="Times New Roman"/>
        <family val="1"/>
      </rPr>
      <t>21</t>
    </r>
  </si>
  <si>
    <r>
      <t xml:space="preserve">29 </t>
    </r>
    <r>
      <rPr>
        <sz val="12"/>
        <rFont val="標楷體"/>
        <family val="4"/>
        <charset val="136"/>
      </rPr>
      <t>金崙</t>
    </r>
  </si>
  <si>
    <r>
      <rPr>
        <sz val="12"/>
        <rFont val="標楷體"/>
        <family val="4"/>
        <charset val="136"/>
      </rPr>
      <t>彰東</t>
    </r>
    <r>
      <rPr>
        <sz val="12"/>
        <rFont val="Times New Roman"/>
        <family val="1"/>
      </rPr>
      <t>25</t>
    </r>
    <phoneticPr fontId="11" type="noConversion"/>
  </si>
  <si>
    <r>
      <t xml:space="preserve">34 </t>
    </r>
    <r>
      <rPr>
        <sz val="12"/>
        <rFont val="標楷體"/>
        <family val="4"/>
        <charset val="136"/>
      </rPr>
      <t>美雅</t>
    </r>
  </si>
  <si>
    <r>
      <t xml:space="preserve">29 </t>
    </r>
    <r>
      <rPr>
        <sz val="12"/>
        <rFont val="標楷體"/>
        <family val="4"/>
        <charset val="136"/>
      </rPr>
      <t>胡厝</t>
    </r>
  </si>
  <si>
    <r>
      <t xml:space="preserve">34 </t>
    </r>
    <r>
      <rPr>
        <sz val="12"/>
        <rFont val="標楷體"/>
        <family val="4"/>
        <charset val="136"/>
      </rPr>
      <t>溝南</t>
    </r>
  </si>
  <si>
    <r>
      <t xml:space="preserve">33 </t>
    </r>
    <r>
      <rPr>
        <sz val="12"/>
        <rFont val="標楷體"/>
        <family val="4"/>
        <charset val="136"/>
      </rPr>
      <t>三民</t>
    </r>
    <phoneticPr fontId="11" type="noConversion"/>
  </si>
  <si>
    <r>
      <t xml:space="preserve">29 </t>
    </r>
    <r>
      <rPr>
        <sz val="12"/>
        <rFont val="標楷體"/>
        <family val="4"/>
        <charset val="136"/>
      </rPr>
      <t>華成</t>
    </r>
  </si>
  <si>
    <r>
      <t xml:space="preserve">30 </t>
    </r>
    <r>
      <rPr>
        <sz val="12"/>
        <rFont val="標楷體"/>
        <family val="4"/>
        <charset val="136"/>
      </rPr>
      <t>斗湖</t>
    </r>
  </si>
  <si>
    <r>
      <t xml:space="preserve">32 </t>
    </r>
    <r>
      <rPr>
        <sz val="12"/>
        <rFont val="標楷體"/>
        <family val="4"/>
        <charset val="136"/>
      </rPr>
      <t>芳中</t>
    </r>
    <phoneticPr fontId="11" type="noConversion"/>
  </si>
  <si>
    <t>9C28</t>
    <phoneticPr fontId="11" type="noConversion"/>
  </si>
  <si>
    <r>
      <t xml:space="preserve">28 </t>
    </r>
    <r>
      <rPr>
        <sz val="12"/>
        <rFont val="標楷體"/>
        <family val="4"/>
        <charset val="136"/>
      </rPr>
      <t>草莊</t>
    </r>
    <phoneticPr fontId="11" type="noConversion"/>
  </si>
  <si>
    <t>9I38</t>
  </si>
  <si>
    <r>
      <t xml:space="preserve"> </t>
    </r>
    <r>
      <rPr>
        <sz val="12"/>
        <rFont val="標楷體"/>
        <family val="4"/>
        <charset val="136"/>
      </rPr>
      <t>埔鹽</t>
    </r>
    <r>
      <rPr>
        <sz val="12"/>
        <rFont val="Times New Roman"/>
        <family val="1"/>
      </rPr>
      <t>15</t>
    </r>
    <phoneticPr fontId="11" type="noConversion"/>
  </si>
  <si>
    <t>9K29</t>
  </si>
  <si>
    <t>9L29</t>
    <phoneticPr fontId="11" type="noConversion"/>
  </si>
  <si>
    <t>9M28</t>
  </si>
  <si>
    <t>9N28</t>
  </si>
  <si>
    <t>9P18</t>
    <phoneticPr fontId="11" type="noConversion"/>
  </si>
  <si>
    <t>IG39</t>
  </si>
  <si>
    <r>
      <rPr>
        <sz val="12"/>
        <rFont val="標楷體"/>
        <family val="4"/>
        <charset val="136"/>
      </rPr>
      <t>彰化</t>
    </r>
    <r>
      <rPr>
        <sz val="12"/>
        <rFont val="Times New Roman"/>
        <family val="1"/>
      </rPr>
      <t>49</t>
    </r>
    <phoneticPr fontId="11" type="noConversion"/>
  </si>
  <si>
    <r>
      <t xml:space="preserve"> </t>
    </r>
    <r>
      <rPr>
        <sz val="12"/>
        <rFont val="標楷體"/>
        <family val="4"/>
        <charset val="136"/>
      </rPr>
      <t>鹿東</t>
    </r>
    <r>
      <rPr>
        <sz val="12"/>
        <rFont val="Times New Roman"/>
        <family val="1"/>
      </rPr>
      <t>22</t>
    </r>
  </si>
  <si>
    <t>9C29</t>
    <phoneticPr fontId="11" type="noConversion"/>
  </si>
  <si>
    <r>
      <t xml:space="preserve">29 </t>
    </r>
    <r>
      <rPr>
        <sz val="12"/>
        <rFont val="標楷體"/>
        <family val="4"/>
        <charset val="136"/>
      </rPr>
      <t>草東</t>
    </r>
    <phoneticPr fontId="11" type="noConversion"/>
  </si>
  <si>
    <t>9I39</t>
  </si>
  <si>
    <t>9K30</t>
  </si>
  <si>
    <t>9L30</t>
    <phoneticPr fontId="11" type="noConversion"/>
  </si>
  <si>
    <t>9M29</t>
  </si>
  <si>
    <t>9N29</t>
  </si>
  <si>
    <t>9P19</t>
    <phoneticPr fontId="11" type="noConversion"/>
  </si>
  <si>
    <r>
      <t>#3 A</t>
    </r>
    <r>
      <rPr>
        <b/>
        <sz val="12"/>
        <rFont val="標楷體"/>
        <family val="4"/>
        <charset val="136"/>
      </rPr>
      <t>圈</t>
    </r>
    <phoneticPr fontId="11" type="noConversion"/>
  </si>
  <si>
    <t xml:space="preserve"> #2 </t>
  </si>
  <si>
    <t>#M2A1</t>
    <phoneticPr fontId="11" type="noConversion"/>
  </si>
  <si>
    <t xml:space="preserve">#2 </t>
    <phoneticPr fontId="11" type="noConversion"/>
  </si>
  <si>
    <r>
      <t xml:space="preserve"> </t>
    </r>
    <r>
      <rPr>
        <sz val="12"/>
        <rFont val="標楷體"/>
        <family val="4"/>
        <charset val="136"/>
      </rPr>
      <t>鹿東</t>
    </r>
    <r>
      <rPr>
        <sz val="12"/>
        <rFont val="Times New Roman"/>
        <family val="1"/>
      </rPr>
      <t>23</t>
    </r>
  </si>
  <si>
    <r>
      <t>#4 A</t>
    </r>
    <r>
      <rPr>
        <b/>
        <sz val="12"/>
        <rFont val="標楷體"/>
        <family val="4"/>
        <charset val="136"/>
      </rPr>
      <t>圈</t>
    </r>
    <r>
      <rPr>
        <b/>
        <sz val="12"/>
        <rFont val="Times New Roman"/>
        <family val="1"/>
      </rPr>
      <t xml:space="preserve"> </t>
    </r>
  </si>
  <si>
    <t>#M2A</t>
    <phoneticPr fontId="11" type="noConversion"/>
  </si>
  <si>
    <t>#2MTR</t>
    <phoneticPr fontId="11" type="noConversion"/>
  </si>
  <si>
    <t xml:space="preserve"> 25MVA</t>
  </si>
  <si>
    <t>IG40</t>
    <phoneticPr fontId="11" type="noConversion"/>
  </si>
  <si>
    <r>
      <t xml:space="preserve"> </t>
    </r>
    <r>
      <rPr>
        <sz val="12"/>
        <rFont val="標楷體"/>
        <family val="4"/>
        <charset val="136"/>
      </rPr>
      <t>鹿東</t>
    </r>
    <r>
      <rPr>
        <sz val="12"/>
        <rFont val="Times New Roman"/>
        <family val="1"/>
      </rPr>
      <t>24</t>
    </r>
    <r>
      <rPr>
        <b/>
        <sz val="12"/>
        <rFont val="Times New Roman"/>
        <family val="1"/>
      </rPr>
      <t/>
    </r>
  </si>
  <si>
    <t xml:space="preserve"> 30MVA</t>
  </si>
  <si>
    <t>9B61</t>
    <phoneticPr fontId="11" type="noConversion"/>
  </si>
  <si>
    <t>9C30</t>
  </si>
  <si>
    <t>9F61</t>
    <phoneticPr fontId="11" type="noConversion"/>
  </si>
  <si>
    <t>9K31</t>
    <phoneticPr fontId="11" type="noConversion"/>
  </si>
  <si>
    <t>#3A</t>
    <phoneticPr fontId="11" type="noConversion"/>
  </si>
  <si>
    <t>IG41</t>
  </si>
  <si>
    <r>
      <t xml:space="preserve"> </t>
    </r>
    <r>
      <rPr>
        <sz val="12"/>
        <rFont val="標楷體"/>
        <family val="4"/>
        <charset val="136"/>
      </rPr>
      <t>鹿東</t>
    </r>
    <r>
      <rPr>
        <sz val="12"/>
        <rFont val="Times New Roman"/>
        <family val="1"/>
      </rPr>
      <t>25</t>
    </r>
    <phoneticPr fontId="11" type="noConversion"/>
  </si>
  <si>
    <r>
      <t xml:space="preserve">27 </t>
    </r>
    <r>
      <rPr>
        <sz val="12"/>
        <rFont val="標楷體"/>
        <family val="4"/>
        <charset val="136"/>
      </rPr>
      <t>東羽</t>
    </r>
    <phoneticPr fontId="11" type="noConversion"/>
  </si>
  <si>
    <r>
      <rPr>
        <sz val="12"/>
        <rFont val="標楷體"/>
        <family val="4"/>
        <charset val="136"/>
      </rPr>
      <t>全興</t>
    </r>
    <r>
      <rPr>
        <sz val="12"/>
        <rFont val="Times New Roman"/>
        <family val="1"/>
      </rPr>
      <t>61</t>
    </r>
    <phoneticPr fontId="11" type="noConversion"/>
  </si>
  <si>
    <r>
      <rPr>
        <sz val="12"/>
        <rFont val="標楷體"/>
        <family val="4"/>
        <charset val="136"/>
      </rPr>
      <t>彰濱</t>
    </r>
    <r>
      <rPr>
        <sz val="12"/>
        <rFont val="Times New Roman"/>
        <family val="1"/>
      </rPr>
      <t>51</t>
    </r>
    <phoneticPr fontId="11" type="noConversion"/>
  </si>
  <si>
    <t>9B62</t>
  </si>
  <si>
    <t>9C31</t>
  </si>
  <si>
    <t>9F62</t>
  </si>
  <si>
    <t>9G30</t>
  </si>
  <si>
    <r>
      <t xml:space="preserve">31 </t>
    </r>
    <r>
      <rPr>
        <sz val="12"/>
        <rFont val="標楷體"/>
        <family val="4"/>
        <charset val="136"/>
      </rPr>
      <t>西崙</t>
    </r>
    <phoneticPr fontId="11" type="noConversion"/>
  </si>
  <si>
    <t>9I26</t>
  </si>
  <si>
    <t>9k32</t>
    <phoneticPr fontId="11" type="noConversion"/>
  </si>
  <si>
    <t>9L31</t>
    <phoneticPr fontId="11" type="noConversion"/>
  </si>
  <si>
    <t>9M30</t>
    <phoneticPr fontId="11" type="noConversion"/>
  </si>
  <si>
    <t>9P20</t>
    <phoneticPr fontId="11" type="noConversion"/>
  </si>
  <si>
    <r>
      <t xml:space="preserve">24 </t>
    </r>
    <r>
      <rPr>
        <sz val="12"/>
        <rFont val="標楷體"/>
        <family val="4"/>
        <charset val="136"/>
      </rPr>
      <t>阿夷</t>
    </r>
    <phoneticPr fontId="11" type="noConversion"/>
  </si>
  <si>
    <r>
      <t xml:space="preserve">40 </t>
    </r>
    <r>
      <rPr>
        <sz val="12"/>
        <rFont val="標楷體"/>
        <family val="4"/>
        <charset val="136"/>
      </rPr>
      <t>國聖</t>
    </r>
    <phoneticPr fontId="11" type="noConversion"/>
  </si>
  <si>
    <r>
      <t xml:space="preserve">24 </t>
    </r>
    <r>
      <rPr>
        <sz val="12"/>
        <rFont val="標楷體"/>
        <family val="4"/>
        <charset val="136"/>
      </rPr>
      <t>鹿溪</t>
    </r>
  </si>
  <si>
    <r>
      <t xml:space="preserve">21 </t>
    </r>
    <r>
      <rPr>
        <sz val="12"/>
        <rFont val="標楷體"/>
        <family val="4"/>
        <charset val="136"/>
      </rPr>
      <t>二重</t>
    </r>
  </si>
  <si>
    <r>
      <t xml:space="preserve">20 </t>
    </r>
    <r>
      <rPr>
        <sz val="12"/>
        <rFont val="標楷體"/>
        <family val="4"/>
        <charset val="136"/>
      </rPr>
      <t>三合</t>
    </r>
  </si>
  <si>
    <r>
      <t xml:space="preserve">22 </t>
    </r>
    <r>
      <rPr>
        <sz val="12"/>
        <rFont val="標楷體"/>
        <family val="4"/>
        <charset val="136"/>
      </rPr>
      <t>潮洋</t>
    </r>
    <phoneticPr fontId="11" type="noConversion"/>
  </si>
  <si>
    <t>IG42</t>
  </si>
  <si>
    <r>
      <t xml:space="preserve">31 </t>
    </r>
    <r>
      <rPr>
        <sz val="12"/>
        <rFont val="標楷體"/>
        <family val="4"/>
        <charset val="136"/>
      </rPr>
      <t>林森</t>
    </r>
  </si>
  <si>
    <r>
      <t xml:space="preserve">28 </t>
    </r>
    <r>
      <rPr>
        <sz val="12"/>
        <rFont val="標楷體"/>
        <family val="4"/>
        <charset val="136"/>
      </rPr>
      <t>大埔</t>
    </r>
  </si>
  <si>
    <r>
      <t xml:space="preserve">20 </t>
    </r>
    <r>
      <rPr>
        <sz val="12"/>
        <rFont val="標楷體"/>
        <family val="4"/>
        <charset val="136"/>
      </rPr>
      <t>和伸</t>
    </r>
  </si>
  <si>
    <r>
      <rPr>
        <sz val="12"/>
        <rFont val="標楷體"/>
        <family val="4"/>
        <charset val="136"/>
      </rPr>
      <t>彰化</t>
    </r>
    <r>
      <rPr>
        <sz val="12"/>
        <rFont val="Times New Roman"/>
        <family val="1"/>
      </rPr>
      <t>36</t>
    </r>
    <phoneticPr fontId="11" type="noConversion"/>
  </si>
  <si>
    <r>
      <t xml:space="preserve">23 </t>
    </r>
    <r>
      <rPr>
        <sz val="12"/>
        <rFont val="標楷體"/>
        <family val="4"/>
        <charset val="136"/>
      </rPr>
      <t>快官</t>
    </r>
  </si>
  <si>
    <r>
      <t xml:space="preserve">22 </t>
    </r>
    <r>
      <rPr>
        <sz val="12"/>
        <rFont val="標楷體"/>
        <family val="4"/>
        <charset val="136"/>
      </rPr>
      <t>大橋</t>
    </r>
  </si>
  <si>
    <r>
      <t xml:space="preserve"> </t>
    </r>
    <r>
      <rPr>
        <sz val="12"/>
        <rFont val="標楷體"/>
        <family val="4"/>
        <charset val="136"/>
      </rPr>
      <t>鹿東</t>
    </r>
    <r>
      <rPr>
        <sz val="12"/>
        <rFont val="Times New Roman"/>
        <family val="1"/>
      </rPr>
      <t>26</t>
    </r>
  </si>
  <si>
    <r>
      <t xml:space="preserve">25 </t>
    </r>
    <r>
      <rPr>
        <sz val="12"/>
        <rFont val="標楷體"/>
        <family val="4"/>
        <charset val="136"/>
      </rPr>
      <t>三汴</t>
    </r>
  </si>
  <si>
    <r>
      <rPr>
        <sz val="12"/>
        <rFont val="標楷體"/>
        <family val="4"/>
        <charset val="136"/>
      </rPr>
      <t>彰東</t>
    </r>
    <r>
      <rPr>
        <sz val="12"/>
        <rFont val="Times New Roman"/>
        <family val="1"/>
      </rPr>
      <t>26</t>
    </r>
    <phoneticPr fontId="11" type="noConversion"/>
  </si>
  <si>
    <r>
      <t xml:space="preserve">20 </t>
    </r>
    <r>
      <rPr>
        <sz val="12"/>
        <rFont val="標楷體"/>
        <family val="4"/>
        <charset val="136"/>
      </rPr>
      <t>新雅</t>
    </r>
  </si>
  <si>
    <r>
      <t xml:space="preserve">23 </t>
    </r>
    <r>
      <rPr>
        <sz val="12"/>
        <rFont val="標楷體"/>
        <family val="4"/>
        <charset val="136"/>
      </rPr>
      <t>草苑</t>
    </r>
  </si>
  <si>
    <r>
      <t xml:space="preserve">20 </t>
    </r>
    <r>
      <rPr>
        <sz val="12"/>
        <rFont val="標楷體"/>
        <family val="4"/>
        <charset val="136"/>
      </rPr>
      <t>鎮平</t>
    </r>
  </si>
  <si>
    <r>
      <t xml:space="preserve">28 </t>
    </r>
    <r>
      <rPr>
        <sz val="12"/>
        <rFont val="標楷體"/>
        <family val="4"/>
        <charset val="136"/>
      </rPr>
      <t>東北</t>
    </r>
    <phoneticPr fontId="11" type="noConversion"/>
  </si>
  <si>
    <r>
      <t xml:space="preserve">31 </t>
    </r>
    <r>
      <rPr>
        <sz val="12"/>
        <rFont val="標楷體"/>
        <family val="4"/>
        <charset val="136"/>
      </rPr>
      <t>伸工</t>
    </r>
    <phoneticPr fontId="11" type="noConversion"/>
  </si>
  <si>
    <r>
      <t xml:space="preserve">30 </t>
    </r>
    <r>
      <rPr>
        <sz val="12"/>
        <rFont val="標楷體"/>
        <family val="4"/>
        <charset val="136"/>
      </rPr>
      <t>吉安</t>
    </r>
    <phoneticPr fontId="11" type="noConversion"/>
  </si>
  <si>
    <r>
      <t xml:space="preserve">28 </t>
    </r>
    <r>
      <rPr>
        <sz val="12"/>
        <rFont val="標楷體"/>
        <family val="4"/>
        <charset val="136"/>
      </rPr>
      <t>斗建</t>
    </r>
  </si>
  <si>
    <r>
      <t xml:space="preserve">20 </t>
    </r>
    <r>
      <rPr>
        <sz val="12"/>
        <rFont val="標楷體"/>
        <family val="4"/>
        <charset val="136"/>
      </rPr>
      <t>新街</t>
    </r>
  </si>
  <si>
    <r>
      <rPr>
        <sz val="12"/>
        <rFont val="標楷體"/>
        <family val="4"/>
        <charset val="136"/>
      </rPr>
      <t>全興</t>
    </r>
    <r>
      <rPr>
        <sz val="12"/>
        <rFont val="Times New Roman"/>
        <family val="1"/>
      </rPr>
      <t>62</t>
    </r>
    <phoneticPr fontId="11" type="noConversion"/>
  </si>
  <si>
    <r>
      <rPr>
        <sz val="12"/>
        <rFont val="標楷體"/>
        <family val="4"/>
        <charset val="136"/>
      </rPr>
      <t>彰濱</t>
    </r>
    <r>
      <rPr>
        <sz val="12"/>
        <rFont val="Times New Roman"/>
        <family val="1"/>
      </rPr>
      <t>52</t>
    </r>
    <r>
      <rPr>
        <sz val="12"/>
        <rFont val="新細明體"/>
        <family val="1"/>
        <charset val="136"/>
      </rPr>
      <t/>
    </r>
  </si>
  <si>
    <t>9B63</t>
  </si>
  <si>
    <t>9C32</t>
  </si>
  <si>
    <t>9F63</t>
    <phoneticPr fontId="11" type="noConversion"/>
  </si>
  <si>
    <t>9G31</t>
  </si>
  <si>
    <r>
      <t xml:space="preserve">32 </t>
    </r>
    <r>
      <rPr>
        <sz val="12"/>
        <rFont val="標楷體"/>
        <family val="4"/>
        <charset val="136"/>
      </rPr>
      <t>草一</t>
    </r>
    <phoneticPr fontId="11" type="noConversion"/>
  </si>
  <si>
    <t>9I27</t>
  </si>
  <si>
    <r>
      <t xml:space="preserve"> </t>
    </r>
    <r>
      <rPr>
        <sz val="12"/>
        <rFont val="標楷體"/>
        <family val="4"/>
        <charset val="136"/>
      </rPr>
      <t>埔鹽</t>
    </r>
    <r>
      <rPr>
        <sz val="12"/>
        <rFont val="Times New Roman"/>
        <family val="1"/>
      </rPr>
      <t>21</t>
    </r>
    <phoneticPr fontId="11" type="noConversion"/>
  </si>
  <si>
    <t>9L32</t>
    <phoneticPr fontId="11" type="noConversion"/>
  </si>
  <si>
    <t>9M31</t>
  </si>
  <si>
    <t>9P21</t>
    <phoneticPr fontId="11" type="noConversion"/>
  </si>
  <si>
    <t>#M2A2</t>
    <phoneticPr fontId="11" type="noConversion"/>
  </si>
  <si>
    <r>
      <rPr>
        <sz val="12"/>
        <rFont val="標楷體"/>
        <family val="4"/>
        <charset val="136"/>
      </rPr>
      <t>彰化</t>
    </r>
    <r>
      <rPr>
        <sz val="12"/>
        <rFont val="Times New Roman"/>
        <family val="1"/>
      </rPr>
      <t>37</t>
    </r>
    <phoneticPr fontId="11" type="noConversion"/>
  </si>
  <si>
    <r>
      <t xml:space="preserve">29 </t>
    </r>
    <r>
      <rPr>
        <sz val="12"/>
        <rFont val="標楷體"/>
        <family val="4"/>
        <charset val="136"/>
      </rPr>
      <t>東水</t>
    </r>
    <phoneticPr fontId="11" type="noConversion"/>
  </si>
  <si>
    <r>
      <rPr>
        <sz val="12"/>
        <rFont val="標楷體"/>
        <family val="4"/>
        <charset val="136"/>
      </rPr>
      <t>全興</t>
    </r>
    <r>
      <rPr>
        <sz val="12"/>
        <rFont val="Times New Roman"/>
        <family val="1"/>
      </rPr>
      <t>63</t>
    </r>
    <phoneticPr fontId="11" type="noConversion"/>
  </si>
  <si>
    <r>
      <rPr>
        <sz val="12"/>
        <rFont val="標楷體"/>
        <family val="4"/>
        <charset val="136"/>
      </rPr>
      <t>彰濱</t>
    </r>
    <r>
      <rPr>
        <sz val="12"/>
        <rFont val="Times New Roman"/>
        <family val="1"/>
      </rPr>
      <t>53</t>
    </r>
    <r>
      <rPr>
        <sz val="12"/>
        <rFont val="新細明體"/>
        <family val="1"/>
        <charset val="136"/>
      </rPr>
      <t/>
    </r>
  </si>
  <si>
    <t>9B64</t>
  </si>
  <si>
    <t>9C33</t>
  </si>
  <si>
    <t>9F64</t>
  </si>
  <si>
    <t>9G32</t>
  </si>
  <si>
    <r>
      <t xml:space="preserve">33 </t>
    </r>
    <r>
      <rPr>
        <sz val="12"/>
        <rFont val="標楷體"/>
        <family val="4"/>
        <charset val="136"/>
      </rPr>
      <t>草鹿</t>
    </r>
    <phoneticPr fontId="11" type="noConversion"/>
  </si>
  <si>
    <t>9I28</t>
  </si>
  <si>
    <t>9L33</t>
    <phoneticPr fontId="11" type="noConversion"/>
  </si>
  <si>
    <t>9M32</t>
  </si>
  <si>
    <t>9P22</t>
    <phoneticPr fontId="11" type="noConversion"/>
  </si>
  <si>
    <r>
      <t xml:space="preserve">29 </t>
    </r>
    <r>
      <rPr>
        <sz val="12"/>
        <rFont val="標楷體"/>
        <family val="4"/>
        <charset val="136"/>
      </rPr>
      <t>新庄</t>
    </r>
    <phoneticPr fontId="11" type="noConversion"/>
  </si>
  <si>
    <r>
      <t xml:space="preserve">41 </t>
    </r>
    <r>
      <rPr>
        <sz val="12"/>
        <rFont val="標楷體"/>
        <family val="4"/>
        <charset val="136"/>
      </rPr>
      <t>忠孝</t>
    </r>
    <phoneticPr fontId="11" type="noConversion"/>
  </si>
  <si>
    <r>
      <t xml:space="preserve">25 </t>
    </r>
    <r>
      <rPr>
        <sz val="12"/>
        <rFont val="標楷體"/>
        <family val="4"/>
        <charset val="136"/>
      </rPr>
      <t>鹽場</t>
    </r>
  </si>
  <si>
    <r>
      <t xml:space="preserve">24 </t>
    </r>
    <r>
      <rPr>
        <sz val="12"/>
        <rFont val="標楷體"/>
        <family val="4"/>
        <charset val="136"/>
      </rPr>
      <t>溪東</t>
    </r>
  </si>
  <si>
    <r>
      <t xml:space="preserve">23 </t>
    </r>
    <r>
      <rPr>
        <sz val="12"/>
        <rFont val="標楷體"/>
        <family val="4"/>
        <charset val="136"/>
      </rPr>
      <t>北平</t>
    </r>
  </si>
  <si>
    <r>
      <t xml:space="preserve">23 </t>
    </r>
    <r>
      <rPr>
        <sz val="12"/>
        <rFont val="標楷體"/>
        <family val="4"/>
        <charset val="136"/>
      </rPr>
      <t>路口</t>
    </r>
    <phoneticPr fontId="11" type="noConversion"/>
  </si>
  <si>
    <t>IG43</t>
    <phoneticPr fontId="11" type="noConversion"/>
  </si>
  <si>
    <r>
      <t xml:space="preserve">32 </t>
    </r>
    <r>
      <rPr>
        <sz val="12"/>
        <rFont val="標楷體"/>
        <family val="4"/>
        <charset val="136"/>
      </rPr>
      <t>中華</t>
    </r>
  </si>
  <si>
    <r>
      <t xml:space="preserve">30 </t>
    </r>
    <r>
      <rPr>
        <sz val="12"/>
        <rFont val="標楷體"/>
        <family val="4"/>
        <charset val="136"/>
      </rPr>
      <t>虎山</t>
    </r>
  </si>
  <si>
    <r>
      <t xml:space="preserve">26 </t>
    </r>
    <r>
      <rPr>
        <sz val="12"/>
        <rFont val="標楷體"/>
        <family val="4"/>
        <charset val="136"/>
      </rPr>
      <t>和發</t>
    </r>
  </si>
  <si>
    <r>
      <rPr>
        <sz val="12"/>
        <rFont val="標楷體"/>
        <family val="4"/>
        <charset val="136"/>
      </rPr>
      <t>彰化</t>
    </r>
    <r>
      <rPr>
        <sz val="12"/>
        <rFont val="Times New Roman"/>
        <family val="1"/>
      </rPr>
      <t>38</t>
    </r>
    <phoneticPr fontId="11" type="noConversion"/>
  </si>
  <si>
    <r>
      <t xml:space="preserve">25 </t>
    </r>
    <r>
      <rPr>
        <sz val="12"/>
        <rFont val="標楷體"/>
        <family val="4"/>
        <charset val="136"/>
      </rPr>
      <t>溝皂</t>
    </r>
  </si>
  <si>
    <r>
      <t xml:space="preserve">24 </t>
    </r>
    <r>
      <rPr>
        <sz val="12"/>
        <rFont val="標楷體"/>
        <family val="4"/>
        <charset val="136"/>
      </rPr>
      <t>中莊</t>
    </r>
  </si>
  <si>
    <r>
      <t xml:space="preserve">23 </t>
    </r>
    <r>
      <rPr>
        <sz val="12"/>
        <rFont val="標楷體"/>
        <family val="4"/>
        <charset val="136"/>
      </rPr>
      <t>大村</t>
    </r>
    <phoneticPr fontId="11" type="noConversion"/>
  </si>
  <si>
    <r>
      <t xml:space="preserve">27 </t>
    </r>
    <r>
      <rPr>
        <sz val="12"/>
        <rFont val="標楷體"/>
        <family val="4"/>
        <charset val="136"/>
      </rPr>
      <t>外埔</t>
    </r>
  </si>
  <si>
    <r>
      <rPr>
        <sz val="12"/>
        <rFont val="標楷體"/>
        <family val="4"/>
        <charset val="136"/>
      </rPr>
      <t>彰東</t>
    </r>
    <r>
      <rPr>
        <sz val="12"/>
        <rFont val="Times New Roman"/>
        <family val="1"/>
      </rPr>
      <t>27</t>
    </r>
    <phoneticPr fontId="11" type="noConversion"/>
  </si>
  <si>
    <r>
      <t xml:space="preserve">25 </t>
    </r>
    <r>
      <rPr>
        <sz val="12"/>
        <rFont val="標楷體"/>
        <family val="4"/>
        <charset val="136"/>
      </rPr>
      <t>崙雅</t>
    </r>
  </si>
  <si>
    <r>
      <t xml:space="preserve">24 </t>
    </r>
    <r>
      <rPr>
        <sz val="12"/>
        <rFont val="標楷體"/>
        <family val="4"/>
        <charset val="136"/>
      </rPr>
      <t>崙腳</t>
    </r>
  </si>
  <si>
    <r>
      <t xml:space="preserve">24 </t>
    </r>
    <r>
      <rPr>
        <sz val="12"/>
        <rFont val="標楷體"/>
        <family val="4"/>
        <charset val="136"/>
      </rPr>
      <t>棋盤</t>
    </r>
  </si>
  <si>
    <r>
      <t xml:space="preserve">30 </t>
    </r>
    <r>
      <rPr>
        <sz val="12"/>
        <rFont val="標楷體"/>
        <family val="4"/>
        <charset val="136"/>
      </rPr>
      <t>三條</t>
    </r>
    <phoneticPr fontId="11" type="noConversion"/>
  </si>
  <si>
    <r>
      <t xml:space="preserve">32 </t>
    </r>
    <r>
      <rPr>
        <sz val="12"/>
        <rFont val="標楷體"/>
        <family val="4"/>
        <charset val="136"/>
      </rPr>
      <t>伸湖</t>
    </r>
    <phoneticPr fontId="11" type="noConversion"/>
  </si>
  <si>
    <r>
      <t xml:space="preserve">31 </t>
    </r>
    <r>
      <rPr>
        <sz val="12"/>
        <rFont val="標楷體"/>
        <family val="4"/>
        <charset val="136"/>
      </rPr>
      <t>大安</t>
    </r>
    <phoneticPr fontId="11" type="noConversion"/>
  </si>
  <si>
    <r>
      <t xml:space="preserve">31 </t>
    </r>
    <r>
      <rPr>
        <sz val="12"/>
        <rFont val="標楷體"/>
        <family val="4"/>
        <charset val="136"/>
      </rPr>
      <t>斗圳</t>
    </r>
  </si>
  <si>
    <r>
      <t xml:space="preserve">24 </t>
    </r>
    <r>
      <rPr>
        <sz val="12"/>
        <rFont val="標楷體"/>
        <family val="4"/>
        <charset val="136"/>
      </rPr>
      <t>永興</t>
    </r>
  </si>
  <si>
    <r>
      <rPr>
        <sz val="12"/>
        <rFont val="標楷體"/>
        <family val="4"/>
        <charset val="136"/>
      </rPr>
      <t>全興</t>
    </r>
    <r>
      <rPr>
        <sz val="12"/>
        <rFont val="Times New Roman"/>
        <family val="1"/>
      </rPr>
      <t>64</t>
    </r>
    <phoneticPr fontId="11" type="noConversion"/>
  </si>
  <si>
    <r>
      <rPr>
        <sz val="12"/>
        <rFont val="標楷體"/>
        <family val="4"/>
        <charset val="136"/>
      </rPr>
      <t>彰濱</t>
    </r>
    <r>
      <rPr>
        <sz val="12"/>
        <rFont val="Times New Roman"/>
        <family val="1"/>
      </rPr>
      <t>54</t>
    </r>
    <r>
      <rPr>
        <sz val="12"/>
        <rFont val="新細明體"/>
        <family val="1"/>
        <charset val="136"/>
      </rPr>
      <t/>
    </r>
  </si>
  <si>
    <t>9C34</t>
  </si>
  <si>
    <t>9F65</t>
    <phoneticPr fontId="11" type="noConversion"/>
  </si>
  <si>
    <t>9G33</t>
  </si>
  <si>
    <r>
      <t xml:space="preserve">34 </t>
    </r>
    <r>
      <rPr>
        <sz val="12"/>
        <rFont val="標楷體"/>
        <family val="4"/>
        <charset val="136"/>
      </rPr>
      <t>頂山</t>
    </r>
    <phoneticPr fontId="11" type="noConversion"/>
  </si>
  <si>
    <t>9I29</t>
  </si>
  <si>
    <r>
      <t xml:space="preserve"> </t>
    </r>
    <r>
      <rPr>
        <sz val="12"/>
        <rFont val="標楷體"/>
        <family val="4"/>
        <charset val="136"/>
      </rPr>
      <t>埔鹽</t>
    </r>
    <r>
      <rPr>
        <sz val="12"/>
        <rFont val="Times New Roman"/>
        <family val="1"/>
      </rPr>
      <t>22</t>
    </r>
    <phoneticPr fontId="11" type="noConversion"/>
  </si>
  <si>
    <t>9K34</t>
    <phoneticPr fontId="11" type="noConversion"/>
  </si>
  <si>
    <t>9L34</t>
    <phoneticPr fontId="11" type="noConversion"/>
  </si>
  <si>
    <t>9M33</t>
  </si>
  <si>
    <t>9P23</t>
    <phoneticPr fontId="11" type="noConversion"/>
  </si>
  <si>
    <t>IG44</t>
    <phoneticPr fontId="11" type="noConversion"/>
  </si>
  <si>
    <r>
      <rPr>
        <sz val="12"/>
        <rFont val="標楷體"/>
        <family val="4"/>
        <charset val="136"/>
      </rPr>
      <t>彰化</t>
    </r>
    <r>
      <rPr>
        <sz val="12"/>
        <rFont val="Times New Roman"/>
        <family val="1"/>
      </rPr>
      <t>39</t>
    </r>
    <phoneticPr fontId="11" type="noConversion"/>
  </si>
  <si>
    <r>
      <t xml:space="preserve"> </t>
    </r>
    <r>
      <rPr>
        <sz val="12"/>
        <rFont val="標楷體"/>
        <family val="4"/>
        <charset val="136"/>
      </rPr>
      <t>鹿東</t>
    </r>
    <r>
      <rPr>
        <sz val="12"/>
        <rFont val="Times New Roman"/>
        <family val="1"/>
      </rPr>
      <t>61</t>
    </r>
    <phoneticPr fontId="11" type="noConversion"/>
  </si>
  <si>
    <r>
      <rPr>
        <sz val="12"/>
        <rFont val="標楷體"/>
        <family val="4"/>
        <charset val="136"/>
      </rPr>
      <t>全興</t>
    </r>
    <r>
      <rPr>
        <sz val="12"/>
        <rFont val="Times New Roman"/>
        <family val="1"/>
      </rPr>
      <t>65</t>
    </r>
    <phoneticPr fontId="11" type="noConversion"/>
  </si>
  <si>
    <r>
      <rPr>
        <sz val="12"/>
        <rFont val="標楷體"/>
        <family val="4"/>
        <charset val="136"/>
      </rPr>
      <t>彰濱</t>
    </r>
    <r>
      <rPr>
        <sz val="12"/>
        <rFont val="Times New Roman"/>
        <family val="1"/>
      </rPr>
      <t>55</t>
    </r>
    <r>
      <rPr>
        <sz val="12"/>
        <rFont val="新細明體"/>
        <family val="1"/>
        <charset val="136"/>
      </rPr>
      <t/>
    </r>
  </si>
  <si>
    <t>9F66</t>
  </si>
  <si>
    <t>9G34</t>
  </si>
  <si>
    <r>
      <t xml:space="preserve">35 </t>
    </r>
    <r>
      <rPr>
        <sz val="12"/>
        <rFont val="標楷體"/>
        <family val="4"/>
        <charset val="136"/>
      </rPr>
      <t>草中</t>
    </r>
    <phoneticPr fontId="11" type="noConversion"/>
  </si>
  <si>
    <t>9K35</t>
    <phoneticPr fontId="11" type="noConversion"/>
  </si>
  <si>
    <t>9L35</t>
    <phoneticPr fontId="11" type="noConversion"/>
  </si>
  <si>
    <t>9M34</t>
  </si>
  <si>
    <t>9P24</t>
    <phoneticPr fontId="11" type="noConversion"/>
  </si>
  <si>
    <r>
      <t xml:space="preserve">33 </t>
    </r>
    <r>
      <rPr>
        <sz val="12"/>
        <rFont val="標楷體"/>
        <family val="4"/>
        <charset val="136"/>
      </rPr>
      <t>犁盛</t>
    </r>
    <phoneticPr fontId="11" type="noConversion"/>
  </si>
  <si>
    <r>
      <t xml:space="preserve">42 </t>
    </r>
    <r>
      <rPr>
        <sz val="12"/>
        <rFont val="標楷體"/>
        <family val="4"/>
        <charset val="136"/>
      </rPr>
      <t>建國</t>
    </r>
    <phoneticPr fontId="11" type="noConversion"/>
  </si>
  <si>
    <r>
      <t xml:space="preserve">27 </t>
    </r>
    <r>
      <rPr>
        <sz val="12"/>
        <rFont val="標楷體"/>
        <family val="4"/>
        <charset val="136"/>
      </rPr>
      <t>鹿東</t>
    </r>
  </si>
  <si>
    <r>
      <t xml:space="preserve">25 </t>
    </r>
    <r>
      <rPr>
        <sz val="12"/>
        <rFont val="標楷體"/>
        <family val="4"/>
        <charset val="136"/>
      </rPr>
      <t>東寮</t>
    </r>
  </si>
  <si>
    <r>
      <t xml:space="preserve">26 </t>
    </r>
    <r>
      <rPr>
        <sz val="12"/>
        <rFont val="標楷體"/>
        <family val="4"/>
        <charset val="136"/>
      </rPr>
      <t>舊社</t>
    </r>
  </si>
  <si>
    <r>
      <t xml:space="preserve">24 </t>
    </r>
    <r>
      <rPr>
        <sz val="12"/>
        <rFont val="標楷體"/>
        <family val="4"/>
        <charset val="136"/>
      </rPr>
      <t>埤工</t>
    </r>
    <phoneticPr fontId="11" type="noConversion"/>
  </si>
  <si>
    <t>#M2B1</t>
    <phoneticPr fontId="11" type="noConversion"/>
  </si>
  <si>
    <r>
      <t xml:space="preserve">33 </t>
    </r>
    <r>
      <rPr>
        <sz val="12"/>
        <rFont val="標楷體"/>
        <family val="4"/>
        <charset val="136"/>
      </rPr>
      <t>建和</t>
    </r>
  </si>
  <si>
    <r>
      <t xml:space="preserve">31 </t>
    </r>
    <r>
      <rPr>
        <sz val="12"/>
        <rFont val="標楷體"/>
        <family val="4"/>
        <charset val="136"/>
      </rPr>
      <t>民族</t>
    </r>
  </si>
  <si>
    <r>
      <t xml:space="preserve">28 </t>
    </r>
    <r>
      <rPr>
        <sz val="12"/>
        <rFont val="標楷體"/>
        <family val="4"/>
        <charset val="136"/>
      </rPr>
      <t>和南</t>
    </r>
  </si>
  <si>
    <r>
      <t xml:space="preserve">26 </t>
    </r>
    <r>
      <rPr>
        <sz val="12"/>
        <rFont val="標楷體"/>
        <family val="4"/>
        <charset val="136"/>
      </rPr>
      <t>大饒</t>
    </r>
  </si>
  <si>
    <r>
      <t xml:space="preserve">25 </t>
    </r>
    <r>
      <rPr>
        <sz val="12"/>
        <rFont val="標楷體"/>
        <family val="4"/>
        <charset val="136"/>
      </rPr>
      <t>福山</t>
    </r>
  </si>
  <si>
    <r>
      <t xml:space="preserve">26 </t>
    </r>
    <r>
      <rPr>
        <sz val="12"/>
        <rFont val="標楷體"/>
        <family val="4"/>
        <charset val="136"/>
      </rPr>
      <t>金墩</t>
    </r>
    <phoneticPr fontId="11" type="noConversion"/>
  </si>
  <si>
    <r>
      <t xml:space="preserve"> </t>
    </r>
    <r>
      <rPr>
        <sz val="12"/>
        <rFont val="標楷體"/>
        <family val="4"/>
        <charset val="136"/>
      </rPr>
      <t>鹿東</t>
    </r>
    <r>
      <rPr>
        <sz val="12"/>
        <rFont val="Times New Roman"/>
        <family val="1"/>
      </rPr>
      <t>62</t>
    </r>
    <phoneticPr fontId="11" type="noConversion"/>
  </si>
  <si>
    <r>
      <t xml:space="preserve">28 </t>
    </r>
    <r>
      <rPr>
        <sz val="12"/>
        <rFont val="標楷體"/>
        <family val="4"/>
        <charset val="136"/>
      </rPr>
      <t>南港</t>
    </r>
  </si>
  <si>
    <r>
      <rPr>
        <sz val="12"/>
        <rFont val="標楷體"/>
        <family val="4"/>
        <charset val="136"/>
      </rPr>
      <t>彰東</t>
    </r>
    <r>
      <rPr>
        <sz val="12"/>
        <rFont val="Times New Roman"/>
        <family val="1"/>
      </rPr>
      <t>28</t>
    </r>
    <phoneticPr fontId="11" type="noConversion"/>
  </si>
  <si>
    <r>
      <t xml:space="preserve">26 </t>
    </r>
    <r>
      <rPr>
        <sz val="12"/>
        <rFont val="標楷體"/>
        <family val="4"/>
        <charset val="136"/>
      </rPr>
      <t>朝興</t>
    </r>
  </si>
  <si>
    <r>
      <t xml:space="preserve">25 </t>
    </r>
    <r>
      <rPr>
        <sz val="12"/>
        <rFont val="標楷體"/>
        <family val="4"/>
        <charset val="136"/>
      </rPr>
      <t>川邊</t>
    </r>
  </si>
  <si>
    <r>
      <t xml:space="preserve">27 </t>
    </r>
    <r>
      <rPr>
        <sz val="12"/>
        <rFont val="標楷體"/>
        <family val="4"/>
        <charset val="136"/>
      </rPr>
      <t>南海</t>
    </r>
  </si>
  <si>
    <r>
      <t xml:space="preserve">33 </t>
    </r>
    <r>
      <rPr>
        <sz val="12"/>
        <rFont val="標楷體"/>
        <family val="4"/>
        <charset val="136"/>
      </rPr>
      <t>伸尾</t>
    </r>
    <phoneticPr fontId="11" type="noConversion"/>
  </si>
  <si>
    <r>
      <t xml:space="preserve">32 </t>
    </r>
    <r>
      <rPr>
        <sz val="12"/>
        <rFont val="標楷體"/>
        <family val="4"/>
        <charset val="136"/>
      </rPr>
      <t>坑內</t>
    </r>
    <phoneticPr fontId="11" type="noConversion"/>
  </si>
  <si>
    <r>
      <t xml:space="preserve">32 </t>
    </r>
    <r>
      <rPr>
        <sz val="12"/>
        <rFont val="標楷體"/>
        <family val="4"/>
        <charset val="136"/>
      </rPr>
      <t>斗興</t>
    </r>
  </si>
  <si>
    <r>
      <t xml:space="preserve">33 </t>
    </r>
    <r>
      <rPr>
        <sz val="12"/>
        <rFont val="標楷體"/>
        <family val="4"/>
        <charset val="136"/>
      </rPr>
      <t>芳路</t>
    </r>
    <phoneticPr fontId="11" type="noConversion"/>
  </si>
  <si>
    <r>
      <rPr>
        <sz val="12"/>
        <rFont val="標楷體"/>
        <family val="4"/>
        <charset val="136"/>
      </rPr>
      <t>全興</t>
    </r>
    <r>
      <rPr>
        <sz val="12"/>
        <rFont val="Times New Roman"/>
        <family val="1"/>
      </rPr>
      <t>66</t>
    </r>
    <phoneticPr fontId="11" type="noConversion"/>
  </si>
  <si>
    <r>
      <rPr>
        <sz val="12"/>
        <rFont val="標楷體"/>
        <family val="4"/>
        <charset val="136"/>
      </rPr>
      <t>彰濱</t>
    </r>
    <r>
      <rPr>
        <sz val="12"/>
        <rFont val="Times New Roman"/>
        <family val="1"/>
      </rPr>
      <t>56</t>
    </r>
    <r>
      <rPr>
        <sz val="12"/>
        <rFont val="新細明體"/>
        <family val="1"/>
        <charset val="136"/>
      </rPr>
      <t/>
    </r>
    <phoneticPr fontId="11" type="noConversion"/>
  </si>
  <si>
    <t>#M2B</t>
    <phoneticPr fontId="11" type="noConversion"/>
  </si>
  <si>
    <t>9F67</t>
    <phoneticPr fontId="11" type="noConversion"/>
  </si>
  <si>
    <r>
      <t>#3 B</t>
    </r>
    <r>
      <rPr>
        <b/>
        <sz val="12"/>
        <rFont val="標楷體"/>
        <family val="4"/>
        <charset val="136"/>
      </rPr>
      <t>圈</t>
    </r>
    <phoneticPr fontId="11" type="noConversion"/>
  </si>
  <si>
    <t>9I30</t>
  </si>
  <si>
    <r>
      <t xml:space="preserve"> </t>
    </r>
    <r>
      <rPr>
        <sz val="12"/>
        <rFont val="標楷體"/>
        <family val="4"/>
        <charset val="136"/>
      </rPr>
      <t>埔鹽</t>
    </r>
    <r>
      <rPr>
        <sz val="12"/>
        <rFont val="Times New Roman"/>
        <family val="1"/>
      </rPr>
      <t>23</t>
    </r>
    <phoneticPr fontId="11" type="noConversion"/>
  </si>
  <si>
    <t>#3B</t>
    <phoneticPr fontId="11" type="noConversion"/>
  </si>
  <si>
    <t>IG45</t>
    <phoneticPr fontId="11" type="noConversion"/>
  </si>
  <si>
    <r>
      <rPr>
        <sz val="12"/>
        <rFont val="標楷體"/>
        <family val="4"/>
        <charset val="136"/>
      </rPr>
      <t>彰化</t>
    </r>
    <r>
      <rPr>
        <sz val="12"/>
        <rFont val="Times New Roman"/>
        <family val="1"/>
      </rPr>
      <t>40</t>
    </r>
    <phoneticPr fontId="11" type="noConversion"/>
  </si>
  <si>
    <r>
      <t xml:space="preserve"> </t>
    </r>
    <r>
      <rPr>
        <sz val="12"/>
        <rFont val="標楷體"/>
        <family val="4"/>
        <charset val="136"/>
      </rPr>
      <t>鹿東</t>
    </r>
    <r>
      <rPr>
        <sz val="12"/>
        <rFont val="Times New Roman"/>
        <family val="1"/>
      </rPr>
      <t>63</t>
    </r>
  </si>
  <si>
    <r>
      <t xml:space="preserve">35 </t>
    </r>
    <r>
      <rPr>
        <sz val="12"/>
        <rFont val="標楷體"/>
        <family val="4"/>
        <charset val="136"/>
      </rPr>
      <t>山腳</t>
    </r>
    <phoneticPr fontId="11" type="noConversion"/>
  </si>
  <si>
    <t>9B65</t>
    <phoneticPr fontId="11" type="noConversion"/>
  </si>
  <si>
    <t>9C35</t>
  </si>
  <si>
    <t>9F68</t>
    <phoneticPr fontId="11" type="noConversion"/>
  </si>
  <si>
    <t>9G35</t>
  </si>
  <si>
    <r>
      <t xml:space="preserve">36 </t>
    </r>
    <r>
      <rPr>
        <sz val="12"/>
        <rFont val="標楷體"/>
        <family val="4"/>
        <charset val="136"/>
      </rPr>
      <t>草子</t>
    </r>
    <phoneticPr fontId="11" type="noConversion"/>
  </si>
  <si>
    <t>9I31</t>
  </si>
  <si>
    <t>9K36</t>
    <phoneticPr fontId="11" type="noConversion"/>
  </si>
  <si>
    <t>9L36</t>
    <phoneticPr fontId="11" type="noConversion"/>
  </si>
  <si>
    <t>9M35</t>
    <phoneticPr fontId="11" type="noConversion"/>
  </si>
  <si>
    <t>9P25</t>
    <phoneticPr fontId="11" type="noConversion"/>
  </si>
  <si>
    <r>
      <t xml:space="preserve">36 </t>
    </r>
    <r>
      <rPr>
        <sz val="12"/>
        <rFont val="標楷體"/>
        <family val="4"/>
        <charset val="136"/>
      </rPr>
      <t>成功</t>
    </r>
    <phoneticPr fontId="11" type="noConversion"/>
  </si>
  <si>
    <r>
      <t xml:space="preserve">43 </t>
    </r>
    <r>
      <rPr>
        <sz val="12"/>
        <rFont val="標楷體"/>
        <family val="4"/>
        <charset val="136"/>
      </rPr>
      <t>公園</t>
    </r>
    <phoneticPr fontId="11" type="noConversion"/>
  </si>
  <si>
    <r>
      <t xml:space="preserve">28 </t>
    </r>
    <r>
      <rPr>
        <sz val="12"/>
        <rFont val="標楷體"/>
        <family val="4"/>
        <charset val="136"/>
      </rPr>
      <t>龍山</t>
    </r>
  </si>
  <si>
    <r>
      <t xml:space="preserve">29 </t>
    </r>
    <r>
      <rPr>
        <sz val="12"/>
        <rFont val="標楷體"/>
        <family val="4"/>
        <charset val="136"/>
      </rPr>
      <t>南新</t>
    </r>
  </si>
  <si>
    <r>
      <t xml:space="preserve">28 </t>
    </r>
    <r>
      <rPr>
        <sz val="12"/>
        <rFont val="標楷體"/>
        <family val="4"/>
        <charset val="136"/>
      </rPr>
      <t>廣西</t>
    </r>
  </si>
  <si>
    <r>
      <t xml:space="preserve">26 </t>
    </r>
    <r>
      <rPr>
        <sz val="12"/>
        <rFont val="標楷體"/>
        <family val="4"/>
        <charset val="136"/>
      </rPr>
      <t>埔尾</t>
    </r>
    <phoneticPr fontId="11" type="noConversion"/>
  </si>
  <si>
    <t>IG46</t>
    <phoneticPr fontId="11" type="noConversion"/>
  </si>
  <si>
    <r>
      <t xml:space="preserve">34 </t>
    </r>
    <r>
      <rPr>
        <sz val="12"/>
        <rFont val="標楷體"/>
        <family val="4"/>
        <charset val="136"/>
      </rPr>
      <t>平和</t>
    </r>
    <r>
      <rPr>
        <sz val="12"/>
        <rFont val="Times New Roman"/>
        <family val="1"/>
      </rPr>
      <t xml:space="preserve"> </t>
    </r>
  </si>
  <si>
    <r>
      <t xml:space="preserve">32 </t>
    </r>
    <r>
      <rPr>
        <sz val="12"/>
        <rFont val="標楷體"/>
        <family val="4"/>
        <charset val="136"/>
      </rPr>
      <t>南郭</t>
    </r>
  </si>
  <si>
    <r>
      <t xml:space="preserve">29 </t>
    </r>
    <r>
      <rPr>
        <sz val="12"/>
        <rFont val="標楷體"/>
        <family val="4"/>
        <charset val="136"/>
      </rPr>
      <t>和東</t>
    </r>
  </si>
  <si>
    <r>
      <rPr>
        <sz val="12"/>
        <rFont val="標楷體"/>
        <family val="4"/>
        <charset val="136"/>
      </rPr>
      <t>彰化</t>
    </r>
    <r>
      <rPr>
        <sz val="12"/>
        <rFont val="Times New Roman"/>
        <family val="1"/>
      </rPr>
      <t>41</t>
    </r>
    <phoneticPr fontId="11" type="noConversion"/>
  </si>
  <si>
    <r>
      <t xml:space="preserve">29 </t>
    </r>
    <r>
      <rPr>
        <sz val="12"/>
        <rFont val="標楷體"/>
        <family val="4"/>
        <charset val="136"/>
      </rPr>
      <t>瓦瑤</t>
    </r>
  </si>
  <si>
    <r>
      <t xml:space="preserve">27 </t>
    </r>
    <r>
      <rPr>
        <sz val="12"/>
        <rFont val="標楷體"/>
        <family val="4"/>
        <charset val="136"/>
      </rPr>
      <t>香山</t>
    </r>
  </si>
  <si>
    <r>
      <t xml:space="preserve">27 </t>
    </r>
    <r>
      <rPr>
        <sz val="12"/>
        <rFont val="標楷體"/>
        <family val="4"/>
        <charset val="136"/>
      </rPr>
      <t>灣口</t>
    </r>
  </si>
  <si>
    <r>
      <t xml:space="preserve"> </t>
    </r>
    <r>
      <rPr>
        <sz val="12"/>
        <rFont val="標楷體"/>
        <family val="4"/>
        <charset val="136"/>
      </rPr>
      <t>鹿東</t>
    </r>
    <r>
      <rPr>
        <sz val="12"/>
        <rFont val="Times New Roman"/>
        <family val="1"/>
      </rPr>
      <t>64</t>
    </r>
  </si>
  <si>
    <r>
      <t xml:space="preserve">30 </t>
    </r>
    <r>
      <rPr>
        <sz val="12"/>
        <rFont val="標楷體"/>
        <family val="4"/>
        <charset val="136"/>
      </rPr>
      <t>福南</t>
    </r>
  </si>
  <si>
    <r>
      <rPr>
        <sz val="12"/>
        <rFont val="標楷體"/>
        <family val="4"/>
        <charset val="136"/>
      </rPr>
      <t>彰東</t>
    </r>
    <r>
      <rPr>
        <sz val="12"/>
        <rFont val="Times New Roman"/>
        <family val="1"/>
      </rPr>
      <t>29</t>
    </r>
    <phoneticPr fontId="11" type="noConversion"/>
  </si>
  <si>
    <r>
      <t xml:space="preserve">27 </t>
    </r>
    <r>
      <rPr>
        <sz val="12"/>
        <rFont val="標楷體"/>
        <family val="4"/>
        <charset val="136"/>
      </rPr>
      <t>社永</t>
    </r>
  </si>
  <si>
    <r>
      <t xml:space="preserve">26 </t>
    </r>
    <r>
      <rPr>
        <sz val="12"/>
        <rFont val="標楷體"/>
        <family val="4"/>
        <charset val="136"/>
      </rPr>
      <t>八甲</t>
    </r>
  </si>
  <si>
    <r>
      <t xml:space="preserve">32 </t>
    </r>
    <r>
      <rPr>
        <sz val="12"/>
        <rFont val="標楷體"/>
        <family val="4"/>
        <charset val="136"/>
      </rPr>
      <t>溝中</t>
    </r>
  </si>
  <si>
    <r>
      <t xml:space="preserve">36 </t>
    </r>
    <r>
      <rPr>
        <sz val="12"/>
        <rFont val="標楷體"/>
        <family val="4"/>
        <charset val="136"/>
      </rPr>
      <t>鎮興</t>
    </r>
    <phoneticPr fontId="11" type="noConversion"/>
  </si>
  <si>
    <r>
      <t xml:space="preserve">34 </t>
    </r>
    <r>
      <rPr>
        <sz val="12"/>
        <rFont val="標楷體"/>
        <family val="4"/>
        <charset val="136"/>
      </rPr>
      <t>伸隆</t>
    </r>
    <phoneticPr fontId="11" type="noConversion"/>
  </si>
  <si>
    <r>
      <t xml:space="preserve">33 </t>
    </r>
    <r>
      <rPr>
        <sz val="12"/>
        <rFont val="標楷體"/>
        <family val="4"/>
        <charset val="136"/>
      </rPr>
      <t>羽台</t>
    </r>
    <phoneticPr fontId="11" type="noConversion"/>
  </si>
  <si>
    <r>
      <t xml:space="preserve">33 </t>
    </r>
    <r>
      <rPr>
        <sz val="12"/>
        <rFont val="標楷體"/>
        <family val="4"/>
        <charset val="136"/>
      </rPr>
      <t>斗溪</t>
    </r>
  </si>
  <si>
    <r>
      <t xml:space="preserve">34 </t>
    </r>
    <r>
      <rPr>
        <sz val="12"/>
        <rFont val="標楷體"/>
        <family val="4"/>
        <charset val="136"/>
      </rPr>
      <t>芳林</t>
    </r>
    <phoneticPr fontId="11" type="noConversion"/>
  </si>
  <si>
    <t>9B66</t>
  </si>
  <si>
    <t>9C36</t>
  </si>
  <si>
    <t>9G36</t>
  </si>
  <si>
    <r>
      <t xml:space="preserve">37 </t>
    </r>
    <r>
      <rPr>
        <sz val="12"/>
        <rFont val="標楷體"/>
        <family val="4"/>
        <charset val="136"/>
      </rPr>
      <t>東正</t>
    </r>
    <phoneticPr fontId="11" type="noConversion"/>
  </si>
  <si>
    <t>9I32</t>
  </si>
  <si>
    <r>
      <t xml:space="preserve"> </t>
    </r>
    <r>
      <rPr>
        <sz val="12"/>
        <rFont val="標楷體"/>
        <family val="4"/>
        <charset val="136"/>
      </rPr>
      <t>埔鹽</t>
    </r>
    <r>
      <rPr>
        <sz val="12"/>
        <rFont val="Times New Roman"/>
        <family val="1"/>
      </rPr>
      <t>24</t>
    </r>
    <phoneticPr fontId="11" type="noConversion"/>
  </si>
  <si>
    <t>9K37</t>
    <phoneticPr fontId="11" type="noConversion"/>
  </si>
  <si>
    <t>9L37</t>
    <phoneticPr fontId="11" type="noConversion"/>
  </si>
  <si>
    <t>9M36</t>
  </si>
  <si>
    <t>9P26</t>
    <phoneticPr fontId="11" type="noConversion"/>
  </si>
  <si>
    <t>#M2B2</t>
    <phoneticPr fontId="11" type="noConversion"/>
  </si>
  <si>
    <r>
      <rPr>
        <sz val="12"/>
        <rFont val="標楷體"/>
        <family val="4"/>
        <charset val="136"/>
      </rPr>
      <t>彰化</t>
    </r>
    <r>
      <rPr>
        <sz val="12"/>
        <rFont val="Times New Roman"/>
        <family val="1"/>
      </rPr>
      <t>42</t>
    </r>
    <phoneticPr fontId="11" type="noConversion"/>
  </si>
  <si>
    <r>
      <t xml:space="preserve"> </t>
    </r>
    <r>
      <rPr>
        <sz val="12"/>
        <rFont val="標楷體"/>
        <family val="4"/>
        <charset val="136"/>
      </rPr>
      <t>鹿東</t>
    </r>
    <r>
      <rPr>
        <sz val="12"/>
        <rFont val="Times New Roman"/>
        <family val="1"/>
      </rPr>
      <t>65</t>
    </r>
  </si>
  <si>
    <r>
      <t xml:space="preserve">37 </t>
    </r>
    <r>
      <rPr>
        <sz val="12"/>
        <rFont val="標楷體"/>
        <family val="4"/>
        <charset val="136"/>
      </rPr>
      <t>東門</t>
    </r>
    <phoneticPr fontId="11" type="noConversion"/>
  </si>
  <si>
    <t>9B67</t>
    <phoneticPr fontId="11" type="noConversion"/>
  </si>
  <si>
    <t>9C37</t>
  </si>
  <si>
    <t>9G37</t>
  </si>
  <si>
    <r>
      <t xml:space="preserve">38 </t>
    </r>
    <r>
      <rPr>
        <sz val="12"/>
        <rFont val="標楷體"/>
        <family val="4"/>
        <charset val="136"/>
      </rPr>
      <t>草嶺</t>
    </r>
    <phoneticPr fontId="11" type="noConversion"/>
  </si>
  <si>
    <t>9I33</t>
  </si>
  <si>
    <t>9L38</t>
    <phoneticPr fontId="11" type="noConversion"/>
  </si>
  <si>
    <t>9M37</t>
  </si>
  <si>
    <t>9P27</t>
    <phoneticPr fontId="11" type="noConversion"/>
  </si>
  <si>
    <r>
      <t xml:space="preserve">39 </t>
    </r>
    <r>
      <rPr>
        <sz val="12"/>
        <rFont val="標楷體"/>
        <family val="4"/>
        <charset val="136"/>
      </rPr>
      <t>北安</t>
    </r>
    <phoneticPr fontId="11" type="noConversion"/>
  </si>
  <si>
    <r>
      <t xml:space="preserve">44 </t>
    </r>
    <r>
      <rPr>
        <sz val="12"/>
        <rFont val="標楷體"/>
        <family val="4"/>
        <charset val="136"/>
      </rPr>
      <t>東頭</t>
    </r>
    <phoneticPr fontId="11" type="noConversion"/>
  </si>
  <si>
    <r>
      <t xml:space="preserve">33 </t>
    </r>
    <r>
      <rPr>
        <sz val="12"/>
        <rFont val="標楷體"/>
        <family val="4"/>
        <charset val="136"/>
      </rPr>
      <t>鹿三</t>
    </r>
  </si>
  <si>
    <r>
      <t xml:space="preserve">30 </t>
    </r>
    <r>
      <rPr>
        <sz val="12"/>
        <rFont val="標楷體"/>
        <family val="4"/>
        <charset val="136"/>
      </rPr>
      <t>湖中</t>
    </r>
  </si>
  <si>
    <r>
      <t xml:space="preserve">29 </t>
    </r>
    <r>
      <rPr>
        <sz val="12"/>
        <rFont val="標楷體"/>
        <family val="4"/>
        <charset val="136"/>
      </rPr>
      <t>東興</t>
    </r>
  </si>
  <si>
    <r>
      <t xml:space="preserve">31 </t>
    </r>
    <r>
      <rPr>
        <sz val="12"/>
        <rFont val="標楷體"/>
        <family val="4"/>
        <charset val="136"/>
      </rPr>
      <t>溪竹</t>
    </r>
    <phoneticPr fontId="11" type="noConversion"/>
  </si>
  <si>
    <t>IG47</t>
    <phoneticPr fontId="11" type="noConversion"/>
  </si>
  <si>
    <r>
      <t xml:space="preserve">35 </t>
    </r>
    <r>
      <rPr>
        <sz val="12"/>
        <rFont val="標楷體"/>
        <family val="4"/>
        <charset val="136"/>
      </rPr>
      <t>崙平</t>
    </r>
  </si>
  <si>
    <r>
      <t xml:space="preserve">34 </t>
    </r>
    <r>
      <rPr>
        <sz val="12"/>
        <rFont val="標楷體"/>
        <family val="4"/>
        <charset val="136"/>
      </rPr>
      <t>民權</t>
    </r>
  </si>
  <si>
    <r>
      <t xml:space="preserve">32 </t>
    </r>
    <r>
      <rPr>
        <sz val="12"/>
        <rFont val="標楷體"/>
        <family val="4"/>
        <charset val="136"/>
      </rPr>
      <t>和雅</t>
    </r>
  </si>
  <si>
    <r>
      <rPr>
        <sz val="12"/>
        <rFont val="標楷體"/>
        <family val="4"/>
        <charset val="136"/>
      </rPr>
      <t>彰化</t>
    </r>
    <r>
      <rPr>
        <sz val="12"/>
        <rFont val="Times New Roman"/>
        <family val="1"/>
      </rPr>
      <t>43</t>
    </r>
    <phoneticPr fontId="11" type="noConversion"/>
  </si>
  <si>
    <r>
      <t xml:space="preserve">32 </t>
    </r>
    <r>
      <rPr>
        <sz val="12"/>
        <rFont val="標楷體"/>
        <family val="4"/>
        <charset val="136"/>
      </rPr>
      <t>大華</t>
    </r>
  </si>
  <si>
    <r>
      <t xml:space="preserve">28 </t>
    </r>
    <r>
      <rPr>
        <sz val="12"/>
        <rFont val="標楷體"/>
        <family val="4"/>
        <charset val="136"/>
      </rPr>
      <t>渡橋</t>
    </r>
  </si>
  <si>
    <r>
      <t xml:space="preserve">32 </t>
    </r>
    <r>
      <rPr>
        <sz val="12"/>
        <rFont val="標楷體"/>
        <family val="4"/>
        <charset val="136"/>
      </rPr>
      <t>長春</t>
    </r>
  </si>
  <si>
    <r>
      <t xml:space="preserve"> </t>
    </r>
    <r>
      <rPr>
        <sz val="12"/>
        <rFont val="標楷體"/>
        <family val="4"/>
        <charset val="136"/>
      </rPr>
      <t>鹿東</t>
    </r>
    <r>
      <rPr>
        <sz val="12"/>
        <rFont val="Times New Roman"/>
        <family val="1"/>
      </rPr>
      <t>66</t>
    </r>
    <phoneticPr fontId="11" type="noConversion"/>
  </si>
  <si>
    <r>
      <t xml:space="preserve">31 </t>
    </r>
    <r>
      <rPr>
        <sz val="12"/>
        <rFont val="標楷體"/>
        <family val="4"/>
        <charset val="136"/>
      </rPr>
      <t>福東</t>
    </r>
  </si>
  <si>
    <r>
      <rPr>
        <sz val="12"/>
        <rFont val="標楷體"/>
        <family val="4"/>
        <charset val="136"/>
      </rPr>
      <t>彰東</t>
    </r>
    <r>
      <rPr>
        <sz val="12"/>
        <rFont val="Times New Roman"/>
        <family val="1"/>
      </rPr>
      <t>30</t>
    </r>
    <phoneticPr fontId="11" type="noConversion"/>
  </si>
  <si>
    <r>
      <t xml:space="preserve">35 </t>
    </r>
    <r>
      <rPr>
        <sz val="12"/>
        <rFont val="標楷體"/>
        <family val="4"/>
        <charset val="136"/>
      </rPr>
      <t>八堡</t>
    </r>
  </si>
  <si>
    <r>
      <t xml:space="preserve">28 </t>
    </r>
    <r>
      <rPr>
        <sz val="12"/>
        <rFont val="標楷體"/>
        <family val="4"/>
        <charset val="136"/>
      </rPr>
      <t>興海</t>
    </r>
  </si>
  <si>
    <r>
      <t xml:space="preserve">33 </t>
    </r>
    <r>
      <rPr>
        <sz val="12"/>
        <rFont val="標楷體"/>
        <family val="4"/>
        <charset val="136"/>
      </rPr>
      <t>溝東</t>
    </r>
  </si>
  <si>
    <r>
      <t xml:space="preserve">38 </t>
    </r>
    <r>
      <rPr>
        <sz val="12"/>
        <rFont val="標楷體"/>
        <family val="4"/>
        <charset val="136"/>
      </rPr>
      <t>金安</t>
    </r>
    <phoneticPr fontId="11" type="noConversion"/>
  </si>
  <si>
    <r>
      <t xml:space="preserve">35 </t>
    </r>
    <r>
      <rPr>
        <sz val="12"/>
        <rFont val="標楷體"/>
        <family val="4"/>
        <charset val="136"/>
      </rPr>
      <t>伸松</t>
    </r>
    <phoneticPr fontId="11" type="noConversion"/>
  </si>
  <si>
    <r>
      <t xml:space="preserve">34 </t>
    </r>
    <r>
      <rPr>
        <sz val="12"/>
        <rFont val="標楷體"/>
        <family val="4"/>
        <charset val="136"/>
      </rPr>
      <t>柑園</t>
    </r>
    <phoneticPr fontId="11" type="noConversion"/>
  </si>
  <si>
    <r>
      <t xml:space="preserve">34 </t>
    </r>
    <r>
      <rPr>
        <sz val="12"/>
        <rFont val="標楷體"/>
        <family val="4"/>
        <charset val="136"/>
      </rPr>
      <t>斗鳳</t>
    </r>
  </si>
  <si>
    <r>
      <t xml:space="preserve">35 </t>
    </r>
    <r>
      <rPr>
        <sz val="12"/>
        <rFont val="標楷體"/>
        <family val="4"/>
        <charset val="136"/>
      </rPr>
      <t>芳街</t>
    </r>
    <phoneticPr fontId="11" type="noConversion"/>
  </si>
  <si>
    <t>9B68</t>
    <phoneticPr fontId="11" type="noConversion"/>
  </si>
  <si>
    <t>9C38</t>
  </si>
  <si>
    <t>9G38</t>
  </si>
  <si>
    <r>
      <t xml:space="preserve">39 </t>
    </r>
    <r>
      <rPr>
        <sz val="12"/>
        <rFont val="標楷體"/>
        <family val="4"/>
        <charset val="136"/>
      </rPr>
      <t>草伸</t>
    </r>
    <phoneticPr fontId="11" type="noConversion"/>
  </si>
  <si>
    <t>9I34</t>
  </si>
  <si>
    <r>
      <t xml:space="preserve"> </t>
    </r>
    <r>
      <rPr>
        <sz val="12"/>
        <rFont val="標楷體"/>
        <family val="4"/>
        <charset val="136"/>
      </rPr>
      <t>埔鹽</t>
    </r>
    <r>
      <rPr>
        <sz val="12"/>
        <rFont val="Times New Roman"/>
        <family val="1"/>
      </rPr>
      <t>25</t>
    </r>
    <phoneticPr fontId="11" type="noConversion"/>
  </si>
  <si>
    <t>9K38</t>
    <phoneticPr fontId="11" type="noConversion"/>
  </si>
  <si>
    <t>9L39</t>
    <phoneticPr fontId="11" type="noConversion"/>
  </si>
  <si>
    <t>9M38</t>
  </si>
  <si>
    <t>9P28</t>
    <phoneticPr fontId="11" type="noConversion"/>
  </si>
  <si>
    <t>IG48</t>
  </si>
  <si>
    <r>
      <rPr>
        <sz val="12"/>
        <rFont val="標楷體"/>
        <family val="4"/>
        <charset val="136"/>
      </rPr>
      <t>彰化</t>
    </r>
    <r>
      <rPr>
        <sz val="12"/>
        <rFont val="Times New Roman"/>
        <family val="1"/>
      </rPr>
      <t>44</t>
    </r>
    <phoneticPr fontId="11" type="noConversion"/>
  </si>
  <si>
    <t>9C39</t>
  </si>
  <si>
    <t>9G39</t>
  </si>
  <si>
    <t>9I35</t>
  </si>
  <si>
    <t>9K39</t>
    <phoneticPr fontId="11" type="noConversion"/>
  </si>
  <si>
    <t>9L40</t>
    <phoneticPr fontId="11" type="noConversion"/>
  </si>
  <si>
    <t>9M39</t>
  </si>
  <si>
    <t>9P29</t>
    <phoneticPr fontId="11" type="noConversion"/>
  </si>
  <si>
    <t>IG49</t>
  </si>
  <si>
    <t>9K40</t>
    <phoneticPr fontId="11" type="noConversion"/>
  </si>
  <si>
    <r>
      <t>#3 B</t>
    </r>
    <r>
      <rPr>
        <b/>
        <sz val="12"/>
        <rFont val="標楷體"/>
        <family val="4"/>
        <charset val="136"/>
      </rPr>
      <t>圈</t>
    </r>
  </si>
  <si>
    <t xml:space="preserve"> #3</t>
  </si>
  <si>
    <t>MOB</t>
  </si>
  <si>
    <t>#3</t>
    <phoneticPr fontId="11" type="noConversion"/>
  </si>
  <si>
    <t xml:space="preserve"> #3 </t>
  </si>
  <si>
    <t xml:space="preserve"> # 3 </t>
    <phoneticPr fontId="11" type="noConversion"/>
  </si>
  <si>
    <t xml:space="preserve"> #3</t>
    <phoneticPr fontId="11" type="noConversion"/>
  </si>
  <si>
    <r>
      <t>#4 B</t>
    </r>
    <r>
      <rPr>
        <b/>
        <sz val="12"/>
        <rFont val="標楷體"/>
        <family val="4"/>
        <charset val="136"/>
      </rPr>
      <t>圈</t>
    </r>
    <r>
      <rPr>
        <b/>
        <sz val="12"/>
        <rFont val="Times New Roman"/>
        <family val="1"/>
      </rPr>
      <t xml:space="preserve"> </t>
    </r>
    <phoneticPr fontId="11" type="noConversion"/>
  </si>
  <si>
    <t>#M3A</t>
    <phoneticPr fontId="11" type="noConversion"/>
  </si>
  <si>
    <t xml:space="preserve">#3 </t>
    <phoneticPr fontId="11" type="noConversion"/>
  </si>
  <si>
    <t xml:space="preserve"> 20MVA</t>
    <phoneticPr fontId="11" type="noConversion"/>
  </si>
  <si>
    <t>25MVA</t>
    <phoneticPr fontId="11" type="noConversion"/>
  </si>
  <si>
    <t>9C40</t>
    <phoneticPr fontId="11" type="noConversion"/>
  </si>
  <si>
    <r>
      <t>IR36</t>
    </r>
    <r>
      <rPr>
        <sz val="12"/>
        <rFont val="標楷體"/>
        <family val="4"/>
        <charset val="136"/>
      </rPr>
      <t>線</t>
    </r>
    <phoneticPr fontId="11" type="noConversion"/>
  </si>
  <si>
    <r>
      <rPr>
        <sz val="12"/>
        <color indexed="8"/>
        <rFont val="標楷體"/>
        <family val="4"/>
        <charset val="136"/>
      </rPr>
      <t>彰濱</t>
    </r>
    <r>
      <rPr>
        <sz val="12"/>
        <color indexed="8"/>
        <rFont val="Times New Roman"/>
        <family val="1"/>
      </rPr>
      <t>57</t>
    </r>
    <phoneticPr fontId="11" type="noConversion"/>
  </si>
  <si>
    <t>9C41</t>
    <phoneticPr fontId="11" type="noConversion"/>
  </si>
  <si>
    <r>
      <t xml:space="preserve">22 </t>
    </r>
    <r>
      <rPr>
        <sz val="12"/>
        <rFont val="標楷體"/>
        <family val="4"/>
        <charset val="136"/>
      </rPr>
      <t>大成</t>
    </r>
    <phoneticPr fontId="11" type="noConversion"/>
  </si>
  <si>
    <r>
      <t xml:space="preserve">45 </t>
    </r>
    <r>
      <rPr>
        <sz val="12"/>
        <rFont val="標楷體"/>
        <family val="4"/>
        <charset val="136"/>
      </rPr>
      <t>牛稠</t>
    </r>
    <phoneticPr fontId="11" type="noConversion"/>
  </si>
  <si>
    <r>
      <t xml:space="preserve">23 </t>
    </r>
    <r>
      <rPr>
        <sz val="12"/>
        <rFont val="標楷體"/>
        <family val="4"/>
        <charset val="136"/>
      </rPr>
      <t>鹿中</t>
    </r>
  </si>
  <si>
    <r>
      <t xml:space="preserve">22 </t>
    </r>
    <r>
      <rPr>
        <sz val="12"/>
        <rFont val="標楷體"/>
        <family val="4"/>
        <charset val="136"/>
      </rPr>
      <t>湖西</t>
    </r>
    <phoneticPr fontId="11" type="noConversion"/>
  </si>
  <si>
    <r>
      <t xml:space="preserve">20 </t>
    </r>
    <r>
      <rPr>
        <sz val="12"/>
        <rFont val="標楷體"/>
        <family val="4"/>
        <charset val="136"/>
      </rPr>
      <t>後港</t>
    </r>
  </si>
  <si>
    <r>
      <t xml:space="preserve">21 </t>
    </r>
    <r>
      <rPr>
        <sz val="12"/>
        <rFont val="標楷體"/>
        <family val="4"/>
        <charset val="136"/>
      </rPr>
      <t>南瑤</t>
    </r>
  </si>
  <si>
    <r>
      <t xml:space="preserve">21 </t>
    </r>
    <r>
      <rPr>
        <sz val="12"/>
        <rFont val="標楷體"/>
        <family val="4"/>
        <charset val="136"/>
      </rPr>
      <t>頂犁</t>
    </r>
  </si>
  <si>
    <r>
      <t xml:space="preserve">28 </t>
    </r>
    <r>
      <rPr>
        <sz val="12"/>
        <rFont val="標楷體"/>
        <family val="4"/>
        <charset val="136"/>
      </rPr>
      <t>五汴</t>
    </r>
  </si>
  <si>
    <r>
      <t xml:space="preserve">21 </t>
    </r>
    <r>
      <rPr>
        <sz val="12"/>
        <rFont val="標楷體"/>
        <family val="4"/>
        <charset val="136"/>
      </rPr>
      <t>大東</t>
    </r>
  </si>
  <si>
    <r>
      <t xml:space="preserve">21 </t>
    </r>
    <r>
      <rPr>
        <sz val="12"/>
        <rFont val="標楷體"/>
        <family val="4"/>
        <charset val="136"/>
      </rPr>
      <t>三春</t>
    </r>
  </si>
  <si>
    <r>
      <t xml:space="preserve"> </t>
    </r>
    <r>
      <rPr>
        <sz val="12"/>
        <rFont val="標楷體"/>
        <family val="4"/>
        <charset val="136"/>
      </rPr>
      <t>鹿東</t>
    </r>
    <r>
      <rPr>
        <sz val="12"/>
        <rFont val="Times New Roman"/>
        <family val="1"/>
      </rPr>
      <t>71</t>
    </r>
    <phoneticPr fontId="11" type="noConversion"/>
  </si>
  <si>
    <r>
      <t xml:space="preserve">23 </t>
    </r>
    <r>
      <rPr>
        <sz val="12"/>
        <rFont val="標楷體"/>
        <family val="4"/>
        <charset val="136"/>
      </rPr>
      <t>埔崙</t>
    </r>
  </si>
  <si>
    <r>
      <rPr>
        <sz val="12"/>
        <rFont val="標楷體"/>
        <family val="4"/>
        <charset val="136"/>
      </rPr>
      <t>彰東</t>
    </r>
    <r>
      <rPr>
        <sz val="12"/>
        <rFont val="Times New Roman"/>
        <family val="1"/>
      </rPr>
      <t>31</t>
    </r>
    <phoneticPr fontId="11" type="noConversion"/>
  </si>
  <si>
    <r>
      <t>IR37</t>
    </r>
    <r>
      <rPr>
        <sz val="12"/>
        <rFont val="標楷體"/>
        <family val="4"/>
        <charset val="136"/>
      </rPr>
      <t>線</t>
    </r>
    <phoneticPr fontId="11" type="noConversion"/>
  </si>
  <si>
    <r>
      <t xml:space="preserve">21 </t>
    </r>
    <r>
      <rPr>
        <sz val="12"/>
        <rFont val="標楷體"/>
        <family val="4"/>
        <charset val="136"/>
      </rPr>
      <t>頂番</t>
    </r>
  </si>
  <si>
    <r>
      <t xml:space="preserve">21 </t>
    </r>
    <r>
      <rPr>
        <sz val="12"/>
        <rFont val="標楷體"/>
        <family val="4"/>
        <charset val="136"/>
      </rPr>
      <t>草埔</t>
    </r>
    <phoneticPr fontId="11" type="noConversion"/>
  </si>
  <si>
    <r>
      <t xml:space="preserve">20 </t>
    </r>
    <r>
      <rPr>
        <sz val="12"/>
        <rFont val="標楷體"/>
        <family val="4"/>
        <charset val="136"/>
      </rPr>
      <t>源泉</t>
    </r>
  </si>
  <si>
    <r>
      <t xml:space="preserve">20 </t>
    </r>
    <r>
      <rPr>
        <sz val="12"/>
        <rFont val="標楷體"/>
        <family val="4"/>
        <charset val="136"/>
      </rPr>
      <t>斗苑</t>
    </r>
  </si>
  <si>
    <r>
      <t xml:space="preserve">23 </t>
    </r>
    <r>
      <rPr>
        <sz val="12"/>
        <rFont val="標楷體"/>
        <family val="4"/>
        <charset val="136"/>
      </rPr>
      <t>芳北</t>
    </r>
  </si>
  <si>
    <r>
      <rPr>
        <sz val="12"/>
        <rFont val="標楷體"/>
        <family val="4"/>
        <charset val="136"/>
      </rPr>
      <t>全興</t>
    </r>
    <r>
      <rPr>
        <sz val="12"/>
        <rFont val="Times New Roman"/>
        <family val="1"/>
      </rPr>
      <t>21</t>
    </r>
    <phoneticPr fontId="11" type="noConversion"/>
  </si>
  <si>
    <r>
      <rPr>
        <sz val="12"/>
        <color indexed="8"/>
        <rFont val="標楷體"/>
        <family val="4"/>
        <charset val="136"/>
      </rPr>
      <t>彰濱</t>
    </r>
    <r>
      <rPr>
        <sz val="12"/>
        <color indexed="8"/>
        <rFont val="Times New Roman"/>
        <family val="1"/>
      </rPr>
      <t>58</t>
    </r>
    <phoneticPr fontId="11" type="noConversion"/>
  </si>
  <si>
    <t>9C42</t>
    <phoneticPr fontId="11" type="noConversion"/>
  </si>
  <si>
    <r>
      <t xml:space="preserve"> </t>
    </r>
    <r>
      <rPr>
        <sz val="12"/>
        <rFont val="標楷體"/>
        <family val="4"/>
        <charset val="136"/>
      </rPr>
      <t>埔鹽</t>
    </r>
    <r>
      <rPr>
        <sz val="12"/>
        <rFont val="Times New Roman"/>
        <family val="1"/>
      </rPr>
      <t>31</t>
    </r>
    <phoneticPr fontId="11" type="noConversion"/>
  </si>
  <si>
    <r>
      <t xml:space="preserve"> </t>
    </r>
    <r>
      <rPr>
        <sz val="12"/>
        <rFont val="標楷體"/>
        <family val="4"/>
        <charset val="136"/>
      </rPr>
      <t>鹿東</t>
    </r>
    <r>
      <rPr>
        <sz val="12"/>
        <rFont val="Times New Roman"/>
        <family val="1"/>
      </rPr>
      <t>72</t>
    </r>
    <phoneticPr fontId="11" type="noConversion"/>
  </si>
  <si>
    <r>
      <t>IR38</t>
    </r>
    <r>
      <rPr>
        <sz val="12"/>
        <rFont val="標楷體"/>
        <family val="4"/>
        <charset val="136"/>
      </rPr>
      <t>線</t>
    </r>
    <phoneticPr fontId="11" type="noConversion"/>
  </si>
  <si>
    <r>
      <rPr>
        <sz val="12"/>
        <rFont val="標楷體"/>
        <family val="4"/>
        <charset val="136"/>
      </rPr>
      <t>全興</t>
    </r>
    <r>
      <rPr>
        <sz val="12"/>
        <rFont val="Times New Roman"/>
        <family val="1"/>
      </rPr>
      <t>22</t>
    </r>
    <phoneticPr fontId="11" type="noConversion"/>
  </si>
  <si>
    <r>
      <rPr>
        <sz val="12"/>
        <rFont val="標楷體"/>
        <family val="4"/>
        <charset val="136"/>
      </rPr>
      <t>彰濱</t>
    </r>
    <r>
      <rPr>
        <sz val="12"/>
        <rFont val="Times New Roman"/>
        <family val="1"/>
      </rPr>
      <t>59</t>
    </r>
    <phoneticPr fontId="11" type="noConversion"/>
  </si>
  <si>
    <t>9C43</t>
    <phoneticPr fontId="11" type="noConversion"/>
  </si>
  <si>
    <r>
      <t xml:space="preserve">23 </t>
    </r>
    <r>
      <rPr>
        <sz val="12"/>
        <rFont val="標楷體"/>
        <family val="4"/>
        <charset val="136"/>
      </rPr>
      <t>中山</t>
    </r>
    <r>
      <rPr>
        <sz val="12"/>
        <rFont val="Times New Roman"/>
        <family val="1"/>
      </rPr>
      <t xml:space="preserve"> </t>
    </r>
    <phoneticPr fontId="11" type="noConversion"/>
  </si>
  <si>
    <r>
      <t xml:space="preserve">46 </t>
    </r>
    <r>
      <rPr>
        <sz val="12"/>
        <rFont val="標楷體"/>
        <family val="4"/>
        <charset val="136"/>
      </rPr>
      <t>茄苳</t>
    </r>
    <phoneticPr fontId="11" type="noConversion"/>
  </si>
  <si>
    <r>
      <t xml:space="preserve">26 </t>
    </r>
    <r>
      <rPr>
        <sz val="12"/>
        <rFont val="標楷體"/>
        <family val="4"/>
        <charset val="136"/>
      </rPr>
      <t>頂厝</t>
    </r>
  </si>
  <si>
    <r>
      <t xml:space="preserve">27 </t>
    </r>
    <r>
      <rPr>
        <sz val="12"/>
        <rFont val="標楷體"/>
        <family val="4"/>
        <charset val="136"/>
      </rPr>
      <t>巫厝</t>
    </r>
  </si>
  <si>
    <r>
      <t xml:space="preserve">22 </t>
    </r>
    <r>
      <rPr>
        <sz val="12"/>
        <rFont val="標楷體"/>
        <family val="4"/>
        <charset val="136"/>
      </rPr>
      <t>源埤</t>
    </r>
  </si>
  <si>
    <r>
      <t xml:space="preserve">23 </t>
    </r>
    <r>
      <rPr>
        <sz val="12"/>
        <rFont val="標楷體"/>
        <family val="4"/>
        <charset val="136"/>
      </rPr>
      <t>田寮</t>
    </r>
  </si>
  <si>
    <r>
      <t xml:space="preserve">24 </t>
    </r>
    <r>
      <rPr>
        <sz val="12"/>
        <rFont val="標楷體"/>
        <family val="4"/>
        <charset val="136"/>
      </rPr>
      <t>溪底</t>
    </r>
  </si>
  <si>
    <r>
      <t xml:space="preserve">30 </t>
    </r>
    <r>
      <rPr>
        <sz val="12"/>
        <rFont val="標楷體"/>
        <family val="4"/>
        <charset val="136"/>
      </rPr>
      <t>南門</t>
    </r>
  </si>
  <si>
    <r>
      <t xml:space="preserve">25 </t>
    </r>
    <r>
      <rPr>
        <sz val="12"/>
        <rFont val="標楷體"/>
        <family val="4"/>
        <charset val="136"/>
      </rPr>
      <t>村北</t>
    </r>
  </si>
  <si>
    <r>
      <t xml:space="preserve"> </t>
    </r>
    <r>
      <rPr>
        <sz val="12"/>
        <rFont val="標楷體"/>
        <family val="4"/>
        <charset val="136"/>
      </rPr>
      <t>鹿東</t>
    </r>
    <r>
      <rPr>
        <sz val="12"/>
        <rFont val="Times New Roman"/>
        <family val="1"/>
      </rPr>
      <t>73</t>
    </r>
    <phoneticPr fontId="11" type="noConversion"/>
  </si>
  <si>
    <r>
      <t xml:space="preserve">26 </t>
    </r>
    <r>
      <rPr>
        <sz val="12"/>
        <rFont val="標楷體"/>
        <family val="4"/>
        <charset val="136"/>
      </rPr>
      <t>福北</t>
    </r>
  </si>
  <si>
    <r>
      <rPr>
        <sz val="12"/>
        <rFont val="標楷體"/>
        <family val="4"/>
        <charset val="136"/>
      </rPr>
      <t>彰東</t>
    </r>
    <r>
      <rPr>
        <sz val="12"/>
        <rFont val="Times New Roman"/>
        <family val="1"/>
      </rPr>
      <t>32</t>
    </r>
    <phoneticPr fontId="11" type="noConversion"/>
  </si>
  <si>
    <r>
      <t>IR39</t>
    </r>
    <r>
      <rPr>
        <sz val="12"/>
        <rFont val="標楷體"/>
        <family val="4"/>
        <charset val="136"/>
      </rPr>
      <t>線</t>
    </r>
    <phoneticPr fontId="11" type="noConversion"/>
  </si>
  <si>
    <r>
      <t xml:space="preserve">26 </t>
    </r>
    <r>
      <rPr>
        <sz val="12"/>
        <rFont val="標楷體"/>
        <family val="4"/>
        <charset val="136"/>
      </rPr>
      <t>溝北</t>
    </r>
  </si>
  <si>
    <r>
      <t xml:space="preserve">22 </t>
    </r>
    <r>
      <rPr>
        <sz val="12"/>
        <rFont val="標楷體"/>
        <family val="4"/>
        <charset val="136"/>
      </rPr>
      <t>水尾</t>
    </r>
  </si>
  <si>
    <r>
      <t xml:space="preserve">21 </t>
    </r>
    <r>
      <rPr>
        <sz val="12"/>
        <rFont val="標楷體"/>
        <family val="4"/>
        <charset val="136"/>
      </rPr>
      <t>南通</t>
    </r>
  </si>
  <si>
    <r>
      <t xml:space="preserve">21 </t>
    </r>
    <r>
      <rPr>
        <sz val="12"/>
        <rFont val="標楷體"/>
        <family val="4"/>
        <charset val="136"/>
      </rPr>
      <t>斗中</t>
    </r>
  </si>
  <si>
    <r>
      <t xml:space="preserve">22 </t>
    </r>
    <r>
      <rPr>
        <sz val="12"/>
        <rFont val="標楷體"/>
        <family val="4"/>
        <charset val="136"/>
      </rPr>
      <t>芳南</t>
    </r>
  </si>
  <si>
    <r>
      <rPr>
        <sz val="12"/>
        <rFont val="標楷體"/>
        <family val="4"/>
        <charset val="136"/>
      </rPr>
      <t>全興</t>
    </r>
    <r>
      <rPr>
        <sz val="12"/>
        <rFont val="Times New Roman"/>
        <family val="1"/>
      </rPr>
      <t>23</t>
    </r>
    <phoneticPr fontId="11" type="noConversion"/>
  </si>
  <si>
    <r>
      <rPr>
        <sz val="12"/>
        <color indexed="8"/>
        <rFont val="標楷體"/>
        <family val="4"/>
        <charset val="136"/>
      </rPr>
      <t>彰濱</t>
    </r>
    <r>
      <rPr>
        <sz val="12"/>
        <color indexed="8"/>
        <rFont val="Times New Roman"/>
        <family val="1"/>
      </rPr>
      <t>67</t>
    </r>
    <phoneticPr fontId="11" type="noConversion"/>
  </si>
  <si>
    <t>9C44</t>
  </si>
  <si>
    <r>
      <t xml:space="preserve"> </t>
    </r>
    <r>
      <rPr>
        <sz val="12"/>
        <rFont val="標楷體"/>
        <family val="4"/>
        <charset val="136"/>
      </rPr>
      <t>埔鹽</t>
    </r>
    <r>
      <rPr>
        <sz val="12"/>
        <rFont val="Times New Roman"/>
        <family val="1"/>
      </rPr>
      <t>32</t>
    </r>
    <phoneticPr fontId="11" type="noConversion"/>
  </si>
  <si>
    <r>
      <t xml:space="preserve"> </t>
    </r>
    <r>
      <rPr>
        <sz val="12"/>
        <rFont val="標楷體"/>
        <family val="4"/>
        <charset val="136"/>
      </rPr>
      <t>鹿東</t>
    </r>
    <r>
      <rPr>
        <sz val="12"/>
        <rFont val="Times New Roman"/>
        <family val="1"/>
      </rPr>
      <t>74</t>
    </r>
    <phoneticPr fontId="11" type="noConversion"/>
  </si>
  <si>
    <r>
      <t>IR40</t>
    </r>
    <r>
      <rPr>
        <sz val="12"/>
        <rFont val="標楷體"/>
        <family val="4"/>
        <charset val="136"/>
      </rPr>
      <t>線</t>
    </r>
    <phoneticPr fontId="11" type="noConversion"/>
  </si>
  <si>
    <r>
      <rPr>
        <sz val="12"/>
        <color indexed="8"/>
        <rFont val="標楷體"/>
        <family val="4"/>
        <charset val="136"/>
      </rPr>
      <t>彰濱</t>
    </r>
    <r>
      <rPr>
        <sz val="12"/>
        <color indexed="8"/>
        <rFont val="Times New Roman"/>
        <family val="1"/>
      </rPr>
      <t>68</t>
    </r>
    <phoneticPr fontId="11" type="noConversion"/>
  </si>
  <si>
    <r>
      <t xml:space="preserve">26 </t>
    </r>
    <r>
      <rPr>
        <sz val="12"/>
        <rFont val="標楷體"/>
        <family val="4"/>
        <charset val="136"/>
      </rPr>
      <t>泰和</t>
    </r>
    <phoneticPr fontId="11" type="noConversion"/>
  </si>
  <si>
    <r>
      <t xml:space="preserve">47 </t>
    </r>
    <r>
      <rPr>
        <sz val="12"/>
        <rFont val="標楷體"/>
        <family val="4"/>
        <charset val="136"/>
      </rPr>
      <t>卦山</t>
    </r>
    <phoneticPr fontId="11" type="noConversion"/>
  </si>
  <si>
    <r>
      <t xml:space="preserve">29 </t>
    </r>
    <r>
      <rPr>
        <sz val="12"/>
        <rFont val="標楷體"/>
        <family val="4"/>
        <charset val="136"/>
      </rPr>
      <t>鹿管</t>
    </r>
    <r>
      <rPr>
        <sz val="12"/>
        <rFont val="Times New Roman"/>
        <family val="1"/>
      </rPr>
      <t xml:space="preserve"> </t>
    </r>
  </si>
  <si>
    <r>
      <t xml:space="preserve">32 </t>
    </r>
    <r>
      <rPr>
        <sz val="12"/>
        <rFont val="標楷體"/>
        <family val="4"/>
        <charset val="136"/>
      </rPr>
      <t>番婆</t>
    </r>
    <phoneticPr fontId="11" type="noConversion"/>
  </si>
  <si>
    <t xml:space="preserve"> #4</t>
    <phoneticPr fontId="11" type="noConversion"/>
  </si>
  <si>
    <r>
      <t xml:space="preserve">23 </t>
    </r>
    <r>
      <rPr>
        <sz val="12"/>
        <rFont val="標楷體"/>
        <family val="4"/>
        <charset val="136"/>
      </rPr>
      <t>頂湳</t>
    </r>
  </si>
  <si>
    <r>
      <t xml:space="preserve">24 </t>
    </r>
    <r>
      <rPr>
        <sz val="12"/>
        <rFont val="標楷體"/>
        <family val="4"/>
        <charset val="136"/>
      </rPr>
      <t>建寶</t>
    </r>
  </si>
  <si>
    <r>
      <t xml:space="preserve">25 </t>
    </r>
    <r>
      <rPr>
        <sz val="12"/>
        <rFont val="標楷體"/>
        <family val="4"/>
        <charset val="136"/>
      </rPr>
      <t>下犁</t>
    </r>
  </si>
  <si>
    <r>
      <t xml:space="preserve">31 </t>
    </r>
    <r>
      <rPr>
        <sz val="12"/>
        <rFont val="標楷體"/>
        <family val="4"/>
        <charset val="136"/>
      </rPr>
      <t>莒光</t>
    </r>
    <phoneticPr fontId="11" type="noConversion"/>
  </si>
  <si>
    <r>
      <t xml:space="preserve">30 </t>
    </r>
    <r>
      <rPr>
        <sz val="12"/>
        <rFont val="標楷體"/>
        <family val="4"/>
        <charset val="136"/>
      </rPr>
      <t>村宜</t>
    </r>
  </si>
  <si>
    <r>
      <t xml:space="preserve"> </t>
    </r>
    <r>
      <rPr>
        <sz val="12"/>
        <rFont val="標楷體"/>
        <family val="4"/>
        <charset val="136"/>
      </rPr>
      <t>鹿東</t>
    </r>
    <r>
      <rPr>
        <sz val="12"/>
        <rFont val="Times New Roman"/>
        <family val="1"/>
      </rPr>
      <t>75</t>
    </r>
    <phoneticPr fontId="11" type="noConversion"/>
  </si>
  <si>
    <r>
      <t xml:space="preserve">32 </t>
    </r>
    <r>
      <rPr>
        <sz val="12"/>
        <rFont val="標楷體"/>
        <family val="4"/>
        <charset val="136"/>
      </rPr>
      <t>福村</t>
    </r>
  </si>
  <si>
    <r>
      <rPr>
        <sz val="12"/>
        <rFont val="標楷體"/>
        <family val="4"/>
        <charset val="136"/>
      </rPr>
      <t>彰東</t>
    </r>
    <r>
      <rPr>
        <sz val="12"/>
        <rFont val="Times New Roman"/>
        <family val="1"/>
      </rPr>
      <t>33</t>
    </r>
    <phoneticPr fontId="11" type="noConversion"/>
  </si>
  <si>
    <r>
      <t xml:space="preserve">28 </t>
    </r>
    <r>
      <rPr>
        <sz val="12"/>
        <rFont val="標楷體"/>
        <family val="4"/>
        <charset val="136"/>
      </rPr>
      <t>三永</t>
    </r>
  </si>
  <si>
    <r>
      <t xml:space="preserve">24 </t>
    </r>
    <r>
      <rPr>
        <sz val="12"/>
        <rFont val="標楷體"/>
        <family val="4"/>
        <charset val="136"/>
      </rPr>
      <t>頂溪</t>
    </r>
  </si>
  <si>
    <r>
      <t xml:space="preserve">23 </t>
    </r>
    <r>
      <rPr>
        <sz val="12"/>
        <rFont val="標楷體"/>
        <family val="4"/>
        <charset val="136"/>
      </rPr>
      <t>大同</t>
    </r>
  </si>
  <si>
    <r>
      <t xml:space="preserve">22 </t>
    </r>
    <r>
      <rPr>
        <sz val="12"/>
        <rFont val="標楷體"/>
        <family val="4"/>
        <charset val="136"/>
      </rPr>
      <t>斗海</t>
    </r>
  </si>
  <si>
    <r>
      <t xml:space="preserve">25 </t>
    </r>
    <r>
      <rPr>
        <sz val="12"/>
        <rFont val="標楷體"/>
        <family val="4"/>
        <charset val="136"/>
      </rPr>
      <t>芳麗</t>
    </r>
  </si>
  <si>
    <t>9AE0</t>
    <phoneticPr fontId="11" type="noConversion"/>
  </si>
  <si>
    <t>#M3B</t>
    <phoneticPr fontId="11" type="noConversion"/>
  </si>
  <si>
    <r>
      <t xml:space="preserve"> </t>
    </r>
    <r>
      <rPr>
        <sz val="12"/>
        <rFont val="標楷體"/>
        <family val="4"/>
        <charset val="136"/>
      </rPr>
      <t>埔鹽</t>
    </r>
    <r>
      <rPr>
        <sz val="12"/>
        <rFont val="Times New Roman"/>
        <family val="1"/>
      </rPr>
      <t>33</t>
    </r>
    <phoneticPr fontId="11" type="noConversion"/>
  </si>
  <si>
    <r>
      <t xml:space="preserve"> </t>
    </r>
    <r>
      <rPr>
        <sz val="12"/>
        <rFont val="標楷體"/>
        <family val="4"/>
        <charset val="136"/>
      </rPr>
      <t>鹿東</t>
    </r>
    <r>
      <rPr>
        <sz val="12"/>
        <rFont val="Times New Roman"/>
        <family val="1"/>
      </rPr>
      <t>76</t>
    </r>
    <phoneticPr fontId="11" type="noConversion"/>
  </si>
  <si>
    <t>9C45</t>
    <phoneticPr fontId="11" type="noConversion"/>
  </si>
  <si>
    <r>
      <t xml:space="preserve">27 </t>
    </r>
    <r>
      <rPr>
        <sz val="12"/>
        <rFont val="標楷體"/>
        <family val="4"/>
        <charset val="136"/>
      </rPr>
      <t>辭修</t>
    </r>
    <phoneticPr fontId="11" type="noConversion"/>
  </si>
  <si>
    <r>
      <t xml:space="preserve">48 </t>
    </r>
    <r>
      <rPr>
        <sz val="12"/>
        <rFont val="標楷體"/>
        <family val="4"/>
        <charset val="136"/>
      </rPr>
      <t>保警</t>
    </r>
    <phoneticPr fontId="11" type="noConversion"/>
  </si>
  <si>
    <r>
      <t xml:space="preserve">32 </t>
    </r>
    <r>
      <rPr>
        <sz val="12"/>
        <rFont val="標楷體"/>
        <family val="4"/>
        <charset val="136"/>
      </rPr>
      <t>鹿二</t>
    </r>
  </si>
  <si>
    <r>
      <t xml:space="preserve">20 </t>
    </r>
    <r>
      <rPr>
        <sz val="12"/>
        <rFont val="標楷體"/>
        <family val="4"/>
        <charset val="136"/>
      </rPr>
      <t>溪斗</t>
    </r>
  </si>
  <si>
    <r>
      <t xml:space="preserve">26 </t>
    </r>
    <r>
      <rPr>
        <sz val="12"/>
        <rFont val="標楷體"/>
        <family val="4"/>
        <charset val="136"/>
      </rPr>
      <t>西華</t>
    </r>
  </si>
  <si>
    <r>
      <t xml:space="preserve">29 </t>
    </r>
    <r>
      <rPr>
        <sz val="12"/>
        <rFont val="標楷體"/>
        <family val="4"/>
        <charset val="136"/>
      </rPr>
      <t>口庄</t>
    </r>
  </si>
  <si>
    <r>
      <t xml:space="preserve">27 </t>
    </r>
    <r>
      <rPr>
        <sz val="12"/>
        <rFont val="標楷體"/>
        <family val="4"/>
        <charset val="136"/>
      </rPr>
      <t>霞田</t>
    </r>
  </si>
  <si>
    <r>
      <t xml:space="preserve">20 </t>
    </r>
    <r>
      <rPr>
        <sz val="12"/>
        <rFont val="標楷體"/>
        <family val="4"/>
        <charset val="136"/>
      </rPr>
      <t>百果</t>
    </r>
  </si>
  <si>
    <r>
      <t xml:space="preserve">33 </t>
    </r>
    <r>
      <rPr>
        <sz val="12"/>
        <rFont val="標楷體"/>
        <family val="4"/>
        <charset val="136"/>
      </rPr>
      <t>上莊</t>
    </r>
    <r>
      <rPr>
        <sz val="6"/>
        <rFont val="Times New Roman"/>
        <family val="1"/>
      </rPr>
      <t/>
    </r>
    <phoneticPr fontId="11" type="noConversion"/>
  </si>
  <si>
    <r>
      <t xml:space="preserve">33 </t>
    </r>
    <r>
      <rPr>
        <sz val="12"/>
        <rFont val="標楷體"/>
        <family val="4"/>
        <charset val="136"/>
      </rPr>
      <t>福旗</t>
    </r>
  </si>
  <si>
    <r>
      <rPr>
        <sz val="12"/>
        <rFont val="標楷體"/>
        <family val="4"/>
        <charset val="136"/>
      </rPr>
      <t>彰東</t>
    </r>
    <r>
      <rPr>
        <sz val="12"/>
        <rFont val="Times New Roman"/>
        <family val="1"/>
      </rPr>
      <t>34</t>
    </r>
    <phoneticPr fontId="11" type="noConversion"/>
  </si>
  <si>
    <r>
      <t xml:space="preserve">30 </t>
    </r>
    <r>
      <rPr>
        <sz val="12"/>
        <rFont val="標楷體"/>
        <family val="4"/>
        <charset val="136"/>
      </rPr>
      <t>溝圳</t>
    </r>
  </si>
  <si>
    <r>
      <t xml:space="preserve">25 </t>
    </r>
    <r>
      <rPr>
        <sz val="12"/>
        <rFont val="標楷體"/>
        <family val="4"/>
        <charset val="136"/>
      </rPr>
      <t>伸海</t>
    </r>
  </si>
  <si>
    <r>
      <t xml:space="preserve">27 </t>
    </r>
    <r>
      <rPr>
        <sz val="12"/>
        <rFont val="標楷體"/>
        <family val="4"/>
        <charset val="136"/>
      </rPr>
      <t>榮民</t>
    </r>
  </si>
  <si>
    <r>
      <t xml:space="preserve">27 </t>
    </r>
    <r>
      <rPr>
        <sz val="12"/>
        <rFont val="標楷體"/>
        <family val="4"/>
        <charset val="136"/>
      </rPr>
      <t>斗民</t>
    </r>
  </si>
  <si>
    <r>
      <t xml:space="preserve">26 </t>
    </r>
    <r>
      <rPr>
        <sz val="12"/>
        <rFont val="標楷體"/>
        <family val="4"/>
        <charset val="136"/>
      </rPr>
      <t>芳聚</t>
    </r>
  </si>
  <si>
    <r>
      <rPr>
        <sz val="12"/>
        <rFont val="標楷體"/>
        <family val="4"/>
        <charset val="136"/>
      </rPr>
      <t>全興</t>
    </r>
    <r>
      <rPr>
        <sz val="12"/>
        <rFont val="Times New Roman"/>
        <family val="1"/>
      </rPr>
      <t>24</t>
    </r>
    <phoneticPr fontId="11" type="noConversion"/>
  </si>
  <si>
    <t>#2</t>
    <phoneticPr fontId="11" type="noConversion"/>
  </si>
  <si>
    <t>9C46</t>
    <phoneticPr fontId="11" type="noConversion"/>
  </si>
  <si>
    <r>
      <t xml:space="preserve"> </t>
    </r>
    <r>
      <rPr>
        <sz val="12"/>
        <rFont val="標楷體"/>
        <family val="4"/>
        <charset val="136"/>
      </rPr>
      <t>埔鹽</t>
    </r>
    <r>
      <rPr>
        <sz val="12"/>
        <rFont val="Times New Roman"/>
        <family val="1"/>
      </rPr>
      <t>34</t>
    </r>
    <phoneticPr fontId="11" type="noConversion"/>
  </si>
  <si>
    <r>
      <t xml:space="preserve">27 </t>
    </r>
    <r>
      <rPr>
        <sz val="12"/>
        <rFont val="標楷體"/>
        <family val="4"/>
        <charset val="136"/>
      </rPr>
      <t>元埔</t>
    </r>
  </si>
  <si>
    <r>
      <t xml:space="preserve">22 </t>
    </r>
    <r>
      <rPr>
        <sz val="12"/>
        <rFont val="標楷體"/>
        <family val="4"/>
        <charset val="136"/>
      </rPr>
      <t>社西</t>
    </r>
  </si>
  <si>
    <r>
      <rPr>
        <sz val="12"/>
        <rFont val="標楷體"/>
        <family val="4"/>
        <charset val="136"/>
      </rPr>
      <t>全興</t>
    </r>
    <r>
      <rPr>
        <sz val="12"/>
        <rFont val="Times New Roman"/>
        <family val="1"/>
      </rPr>
      <t>25</t>
    </r>
    <phoneticPr fontId="11" type="noConversion"/>
  </si>
  <si>
    <r>
      <rPr>
        <sz val="12"/>
        <rFont val="細明體"/>
        <family val="3"/>
        <charset val="136"/>
      </rPr>
      <t>併風機</t>
    </r>
    <phoneticPr fontId="11" type="noConversion"/>
  </si>
  <si>
    <t>9C47</t>
    <phoneticPr fontId="11" type="noConversion"/>
  </si>
  <si>
    <r>
      <t xml:space="preserve">34 </t>
    </r>
    <r>
      <rPr>
        <sz val="12"/>
        <rFont val="標楷體"/>
        <family val="4"/>
        <charset val="136"/>
      </rPr>
      <t>車站</t>
    </r>
    <phoneticPr fontId="11" type="noConversion"/>
  </si>
  <si>
    <r>
      <t xml:space="preserve">49 </t>
    </r>
    <r>
      <rPr>
        <sz val="12"/>
        <rFont val="標楷體"/>
        <family val="4"/>
        <charset val="136"/>
      </rPr>
      <t>西勢</t>
    </r>
    <phoneticPr fontId="11" type="noConversion"/>
  </si>
  <si>
    <r>
      <t xml:space="preserve">34 </t>
    </r>
    <r>
      <rPr>
        <sz val="12"/>
        <rFont val="標楷體"/>
        <family val="4"/>
        <charset val="136"/>
      </rPr>
      <t>永豐</t>
    </r>
  </si>
  <si>
    <r>
      <t xml:space="preserve">28 </t>
    </r>
    <r>
      <rPr>
        <sz val="12"/>
        <rFont val="標楷體"/>
        <family val="4"/>
        <charset val="136"/>
      </rPr>
      <t>南州</t>
    </r>
  </si>
  <si>
    <r>
      <t xml:space="preserve">29 </t>
    </r>
    <r>
      <rPr>
        <sz val="12"/>
        <rFont val="標楷體"/>
        <family val="4"/>
        <charset val="136"/>
      </rPr>
      <t>西南</t>
    </r>
  </si>
  <si>
    <r>
      <t xml:space="preserve">33 </t>
    </r>
    <r>
      <rPr>
        <sz val="12"/>
        <rFont val="標楷體"/>
        <family val="4"/>
        <charset val="136"/>
      </rPr>
      <t>天祥</t>
    </r>
  </si>
  <si>
    <r>
      <t xml:space="preserve">31 </t>
    </r>
    <r>
      <rPr>
        <sz val="12"/>
        <rFont val="標楷體"/>
        <family val="4"/>
        <charset val="136"/>
      </rPr>
      <t>地政</t>
    </r>
  </si>
  <si>
    <r>
      <t xml:space="preserve">34 </t>
    </r>
    <r>
      <rPr>
        <sz val="12"/>
        <rFont val="標楷體"/>
        <family val="4"/>
        <charset val="136"/>
      </rPr>
      <t>南寮</t>
    </r>
    <r>
      <rPr>
        <sz val="6"/>
        <rFont val="Times New Roman"/>
        <family val="1"/>
      </rPr>
      <t/>
    </r>
    <phoneticPr fontId="11" type="noConversion"/>
  </si>
  <si>
    <r>
      <t xml:space="preserve">34 </t>
    </r>
    <r>
      <rPr>
        <sz val="12"/>
        <rFont val="標楷體"/>
        <family val="4"/>
        <charset val="136"/>
      </rPr>
      <t>福溪</t>
    </r>
  </si>
  <si>
    <r>
      <rPr>
        <sz val="12"/>
        <rFont val="標楷體"/>
        <family val="4"/>
        <charset val="136"/>
      </rPr>
      <t>彰東</t>
    </r>
    <r>
      <rPr>
        <sz val="12"/>
        <rFont val="Times New Roman"/>
        <family val="1"/>
      </rPr>
      <t>35</t>
    </r>
    <phoneticPr fontId="11" type="noConversion"/>
  </si>
  <si>
    <r>
      <t xml:space="preserve">23 </t>
    </r>
    <r>
      <rPr>
        <sz val="12"/>
        <rFont val="標楷體"/>
        <family val="4"/>
        <charset val="136"/>
      </rPr>
      <t>社斗</t>
    </r>
  </si>
  <si>
    <r>
      <t xml:space="preserve">31 </t>
    </r>
    <r>
      <rPr>
        <sz val="12"/>
        <rFont val="標楷體"/>
        <family val="4"/>
        <charset val="136"/>
      </rPr>
      <t>溝鹿</t>
    </r>
  </si>
  <si>
    <r>
      <t xml:space="preserve">29 </t>
    </r>
    <r>
      <rPr>
        <sz val="12"/>
        <rFont val="標楷體"/>
        <family val="4"/>
        <charset val="136"/>
      </rPr>
      <t>伸三</t>
    </r>
  </si>
  <si>
    <r>
      <t xml:space="preserve">28 </t>
    </r>
    <r>
      <rPr>
        <sz val="12"/>
        <rFont val="標楷體"/>
        <family val="4"/>
        <charset val="136"/>
      </rPr>
      <t>大田</t>
    </r>
  </si>
  <si>
    <r>
      <t xml:space="preserve">29 </t>
    </r>
    <r>
      <rPr>
        <sz val="12"/>
        <rFont val="標楷體"/>
        <family val="4"/>
        <charset val="136"/>
      </rPr>
      <t>斗工</t>
    </r>
  </si>
  <si>
    <r>
      <t xml:space="preserve">27 </t>
    </r>
    <r>
      <rPr>
        <sz val="12"/>
        <rFont val="標楷體"/>
        <family val="4"/>
        <charset val="136"/>
      </rPr>
      <t>芳鵬</t>
    </r>
  </si>
  <si>
    <r>
      <rPr>
        <sz val="12"/>
        <rFont val="標楷體"/>
        <family val="4"/>
        <charset val="136"/>
      </rPr>
      <t>全興</t>
    </r>
    <r>
      <rPr>
        <sz val="12"/>
        <rFont val="Times New Roman"/>
        <family val="1"/>
      </rPr>
      <t>26</t>
    </r>
    <phoneticPr fontId="11" type="noConversion"/>
  </si>
  <si>
    <t>9C48</t>
    <phoneticPr fontId="11" type="noConversion"/>
  </si>
  <si>
    <r>
      <t xml:space="preserve"> </t>
    </r>
    <r>
      <rPr>
        <sz val="12"/>
        <rFont val="標楷體"/>
        <family val="4"/>
        <charset val="136"/>
      </rPr>
      <t>埔鹽</t>
    </r>
    <r>
      <rPr>
        <sz val="12"/>
        <rFont val="Times New Roman"/>
        <family val="1"/>
      </rPr>
      <t>35</t>
    </r>
    <phoneticPr fontId="11" type="noConversion"/>
  </si>
  <si>
    <r>
      <t xml:space="preserve">29 </t>
    </r>
    <r>
      <rPr>
        <sz val="12"/>
        <rFont val="標楷體"/>
        <family val="4"/>
        <charset val="136"/>
      </rPr>
      <t>合興</t>
    </r>
  </si>
  <si>
    <r>
      <t xml:space="preserve">24 </t>
    </r>
    <r>
      <rPr>
        <sz val="12"/>
        <rFont val="標楷體"/>
        <family val="4"/>
        <charset val="136"/>
      </rPr>
      <t>枋橋</t>
    </r>
  </si>
  <si>
    <t>9C49</t>
    <phoneticPr fontId="11" type="noConversion"/>
  </si>
  <si>
    <r>
      <t xml:space="preserve">32 </t>
    </r>
    <r>
      <rPr>
        <sz val="12"/>
        <rFont val="標楷體"/>
        <family val="4"/>
        <charset val="136"/>
      </rPr>
      <t>溪林</t>
    </r>
    <phoneticPr fontId="11" type="noConversion"/>
  </si>
  <si>
    <r>
      <t xml:space="preserve">28 </t>
    </r>
    <r>
      <rPr>
        <sz val="12"/>
        <rFont val="標楷體"/>
        <family val="4"/>
        <charset val="136"/>
      </rPr>
      <t>光雲</t>
    </r>
  </si>
  <si>
    <r>
      <t xml:space="preserve">29 </t>
    </r>
    <r>
      <rPr>
        <sz val="12"/>
        <rFont val="標楷體"/>
        <family val="4"/>
        <charset val="136"/>
      </rPr>
      <t>圳尾</t>
    </r>
  </si>
  <si>
    <r>
      <rPr>
        <b/>
        <sz val="12"/>
        <rFont val="標楷體"/>
        <family val="4"/>
        <charset val="136"/>
      </rPr>
      <t>特高壓</t>
    </r>
    <r>
      <rPr>
        <b/>
        <sz val="12"/>
        <rFont val="Times New Roman"/>
        <family val="1"/>
      </rPr>
      <t>:</t>
    </r>
    <phoneticPr fontId="11" type="noConversion"/>
  </si>
  <si>
    <r>
      <t>IA83</t>
    </r>
    <r>
      <rPr>
        <sz val="11"/>
        <rFont val="標楷體"/>
        <family val="4"/>
        <charset val="136"/>
      </rPr>
      <t>台化</t>
    </r>
    <phoneticPr fontId="11" type="noConversion"/>
  </si>
  <si>
    <t>161</t>
    <phoneticPr fontId="11" type="noConversion"/>
  </si>
  <si>
    <r>
      <t>IC86</t>
    </r>
    <r>
      <rPr>
        <sz val="11"/>
        <rFont val="標楷體"/>
        <family val="4"/>
        <charset val="136"/>
      </rPr>
      <t>正新</t>
    </r>
    <r>
      <rPr>
        <sz val="11"/>
        <rFont val="Times New Roman"/>
        <family val="1"/>
      </rPr>
      <t>(</t>
    </r>
    <r>
      <rPr>
        <sz val="11"/>
        <rFont val="標楷體"/>
        <family val="4"/>
        <charset val="136"/>
      </rPr>
      <t>羽田</t>
    </r>
    <r>
      <rPr>
        <sz val="11"/>
        <rFont val="Times New Roman"/>
        <family val="1"/>
      </rPr>
      <t>)     69</t>
    </r>
    <phoneticPr fontId="11" type="noConversion"/>
  </si>
  <si>
    <r>
      <t>IF80</t>
    </r>
    <r>
      <rPr>
        <sz val="11"/>
        <rFont val="標楷體"/>
        <family val="4"/>
        <charset val="136"/>
      </rPr>
      <t>正橡</t>
    </r>
    <r>
      <rPr>
        <sz val="11"/>
        <rFont val="Times New Roman"/>
        <family val="1"/>
      </rPr>
      <t>(</t>
    </r>
    <r>
      <rPr>
        <sz val="11"/>
        <rFont val="標楷體"/>
        <family val="4"/>
        <charset val="136"/>
      </rPr>
      <t>溪資</t>
    </r>
    <r>
      <rPr>
        <sz val="11"/>
        <rFont val="Times New Roman"/>
        <family val="1"/>
      </rPr>
      <t>)(69)</t>
    </r>
    <phoneticPr fontId="11" type="noConversion"/>
  </si>
  <si>
    <r>
      <t>IK85</t>
    </r>
    <r>
      <rPr>
        <sz val="11"/>
        <rFont val="標楷體"/>
        <family val="4"/>
        <charset val="136"/>
      </rPr>
      <t>鐵彰﹝紅白線﹞</t>
    </r>
    <r>
      <rPr>
        <sz val="11"/>
        <rFont val="Times New Roman"/>
        <family val="1"/>
      </rPr>
      <t>69</t>
    </r>
    <phoneticPr fontId="11" type="noConversion"/>
  </si>
  <si>
    <r>
      <t xml:space="preserve">      IY89</t>
    </r>
    <r>
      <rPr>
        <sz val="11"/>
        <rFont val="標楷體"/>
        <family val="4"/>
        <charset val="136"/>
      </rPr>
      <t>力麗</t>
    </r>
    <r>
      <rPr>
        <sz val="11"/>
        <rFont val="Times New Roman"/>
        <family val="1"/>
      </rPr>
      <t>(</t>
    </r>
    <r>
      <rPr>
        <sz val="11"/>
        <rFont val="標楷體"/>
        <family val="4"/>
        <charset val="136"/>
      </rPr>
      <t>力麗三廠</t>
    </r>
    <r>
      <rPr>
        <sz val="11"/>
        <rFont val="Times New Roman"/>
        <family val="1"/>
      </rPr>
      <t>.</t>
    </r>
    <r>
      <rPr>
        <sz val="11"/>
        <rFont val="標楷體"/>
        <family val="4"/>
        <charset val="136"/>
      </rPr>
      <t>聚隆</t>
    </r>
    <r>
      <rPr>
        <sz val="11"/>
        <rFont val="Times New Roman"/>
        <family val="1"/>
      </rPr>
      <t>.</t>
    </r>
    <r>
      <rPr>
        <sz val="11"/>
        <rFont val="標楷體"/>
        <family val="4"/>
        <charset val="136"/>
      </rPr>
      <t>首利</t>
    </r>
    <r>
      <rPr>
        <sz val="11"/>
        <rFont val="Times New Roman"/>
        <family val="1"/>
      </rPr>
      <t>.</t>
    </r>
    <r>
      <rPr>
        <sz val="11"/>
        <rFont val="標楷體"/>
        <family val="4"/>
        <charset val="136"/>
      </rPr>
      <t>鵬尼</t>
    </r>
    <r>
      <rPr>
        <sz val="11"/>
        <rFont val="Times New Roman"/>
        <family val="1"/>
      </rPr>
      <t>.</t>
    </r>
    <r>
      <rPr>
        <sz val="11"/>
        <rFont val="標楷體"/>
        <family val="4"/>
        <charset val="136"/>
      </rPr>
      <t>東隆</t>
    </r>
    <r>
      <rPr>
        <sz val="11"/>
        <rFont val="Times New Roman"/>
        <family val="1"/>
      </rPr>
      <t>)</t>
    </r>
    <phoneticPr fontId="11" type="noConversion"/>
  </si>
  <si>
    <r>
      <t>IY80</t>
    </r>
    <r>
      <rPr>
        <sz val="11"/>
        <color indexed="8"/>
        <rFont val="標楷體"/>
        <family val="4"/>
        <charset val="136"/>
      </rPr>
      <t>東隆興業</t>
    </r>
    <phoneticPr fontId="11" type="noConversion"/>
  </si>
  <si>
    <r>
      <t>9B91</t>
    </r>
    <r>
      <rPr>
        <sz val="11"/>
        <rFont val="細明體"/>
        <family val="3"/>
        <charset val="136"/>
      </rPr>
      <t>寶德</t>
    </r>
    <phoneticPr fontId="11" type="noConversion"/>
  </si>
  <si>
    <t>:代表FDIR無啟動</t>
    <phoneticPr fontId="11" type="noConversion"/>
  </si>
  <si>
    <t>饋線啟動FDIR功能係隨時變動，本表僅供參考，詳情請洽FDCC主任。</t>
  </si>
  <si>
    <r>
      <t>IA90</t>
    </r>
    <r>
      <rPr>
        <sz val="11"/>
        <color indexed="8"/>
        <rFont val="標楷體"/>
        <family val="4"/>
        <charset val="136"/>
      </rPr>
      <t>矽品</t>
    </r>
    <phoneticPr fontId="11" type="noConversion"/>
  </si>
  <si>
    <r>
      <t>IO80</t>
    </r>
    <r>
      <rPr>
        <sz val="11"/>
        <rFont val="標楷體"/>
        <family val="4"/>
        <charset val="136"/>
      </rPr>
      <t>台鹿</t>
    </r>
    <r>
      <rPr>
        <sz val="11"/>
        <rFont val="Times New Roman"/>
        <family val="1"/>
      </rPr>
      <t xml:space="preserve">             161</t>
    </r>
    <phoneticPr fontId="11" type="noConversion"/>
  </si>
  <si>
    <r>
      <t xml:space="preserve">9B90 </t>
    </r>
    <r>
      <rPr>
        <sz val="11"/>
        <rFont val="標楷體"/>
        <family val="4"/>
        <charset val="136"/>
      </rPr>
      <t>新能源施工處風力</t>
    </r>
    <phoneticPr fontId="11" type="noConversion"/>
  </si>
  <si>
    <r>
      <t xml:space="preserve">  9A80</t>
    </r>
    <r>
      <rPr>
        <sz val="11"/>
        <rFont val="標楷體"/>
        <family val="4"/>
        <charset val="136"/>
      </rPr>
      <t>彰濱</t>
    </r>
    <r>
      <rPr>
        <sz val="11"/>
        <rFont val="Times New Roman"/>
        <family val="1"/>
      </rPr>
      <t>-</t>
    </r>
    <r>
      <rPr>
        <sz val="11"/>
        <rFont val="標楷體"/>
        <family val="4"/>
        <charset val="136"/>
      </rPr>
      <t>星元</t>
    </r>
    <phoneticPr fontId="11" type="noConversion"/>
  </si>
  <si>
    <r>
      <t>9A90</t>
    </r>
    <r>
      <rPr>
        <sz val="11"/>
        <rFont val="標楷體"/>
        <family val="4"/>
        <charset val="136"/>
      </rPr>
      <t>彰英彰濱</t>
    </r>
    <phoneticPr fontId="11" type="noConversion"/>
  </si>
  <si>
    <r>
      <t>9B80</t>
    </r>
    <r>
      <rPr>
        <sz val="11"/>
        <rFont val="標楷體"/>
        <family val="4"/>
        <charset val="136"/>
      </rPr>
      <t>特許</t>
    </r>
    <phoneticPr fontId="11" type="noConversion"/>
  </si>
  <si>
    <r>
      <t>IL90</t>
    </r>
    <r>
      <rPr>
        <sz val="11"/>
        <rFont val="細明體"/>
        <family val="3"/>
        <charset val="136"/>
      </rPr>
      <t>彰源</t>
    </r>
    <r>
      <rPr>
        <sz val="11"/>
        <rFont val="Times New Roman"/>
        <family val="1"/>
      </rPr>
      <t xml:space="preserve">  69(</t>
    </r>
    <r>
      <rPr>
        <sz val="11"/>
        <rFont val="細明體"/>
        <family val="3"/>
        <charset val="136"/>
      </rPr>
      <t>興建中</t>
    </r>
    <r>
      <rPr>
        <sz val="11"/>
        <rFont val="Times New Roman"/>
        <family val="1"/>
      </rPr>
      <t>)</t>
    </r>
    <phoneticPr fontId="11" type="noConversion"/>
  </si>
  <si>
    <t>:代表於110/6/30啟動FDIR之饋線，計60條</t>
    <phoneticPr fontId="11" type="noConversion"/>
  </si>
  <si>
    <r>
      <t>IE87</t>
    </r>
    <r>
      <rPr>
        <sz val="11"/>
        <rFont val="標楷體"/>
        <family val="4"/>
        <charset val="136"/>
      </rPr>
      <t>榮成</t>
    </r>
  </si>
  <si>
    <t>69</t>
    <phoneticPr fontId="11" type="noConversion"/>
  </si>
  <si>
    <r>
      <t>IO90</t>
    </r>
    <r>
      <rPr>
        <sz val="11"/>
        <rFont val="標楷體"/>
        <family val="4"/>
        <charset val="136"/>
      </rPr>
      <t>鹿英鹿東</t>
    </r>
    <r>
      <rPr>
        <sz val="11"/>
        <rFont val="Times New Roman"/>
        <family val="1"/>
      </rPr>
      <t xml:space="preserve">       161</t>
    </r>
    <phoneticPr fontId="11" type="noConversion"/>
  </si>
  <si>
    <r>
      <t xml:space="preserve">9G90 </t>
    </r>
    <r>
      <rPr>
        <sz val="11"/>
        <rFont val="標楷體"/>
        <family val="4"/>
        <charset val="136"/>
      </rPr>
      <t>新能源施工處風力</t>
    </r>
    <phoneticPr fontId="11" type="noConversion"/>
  </si>
  <si>
    <r>
      <t xml:space="preserve">  9A85</t>
    </r>
    <r>
      <rPr>
        <sz val="11"/>
        <rFont val="標楷體"/>
        <family val="4"/>
        <charset val="136"/>
      </rPr>
      <t>彰濱</t>
    </r>
    <r>
      <rPr>
        <sz val="11"/>
        <rFont val="Times New Roman"/>
        <family val="1"/>
      </rPr>
      <t>-</t>
    </r>
    <r>
      <rPr>
        <sz val="11"/>
        <rFont val="標楷體"/>
        <family val="4"/>
        <charset val="136"/>
      </rPr>
      <t>星能</t>
    </r>
    <phoneticPr fontId="11" type="noConversion"/>
  </si>
  <si>
    <r>
      <t>9A92</t>
    </r>
    <r>
      <rPr>
        <sz val="11"/>
        <rFont val="標楷體"/>
        <family val="4"/>
        <charset val="136"/>
      </rPr>
      <t>修護處風力彰濱</t>
    </r>
    <phoneticPr fontId="11" type="noConversion"/>
  </si>
  <si>
    <r>
      <t>IZ90</t>
    </r>
    <r>
      <rPr>
        <sz val="11"/>
        <rFont val="標楷體"/>
        <family val="4"/>
        <charset val="136"/>
      </rPr>
      <t>慶欣欣</t>
    </r>
    <phoneticPr fontId="11" type="noConversion"/>
  </si>
  <si>
    <r>
      <t>IN91</t>
    </r>
    <r>
      <rPr>
        <sz val="11"/>
        <rFont val="標楷體"/>
        <family val="4"/>
        <charset val="136"/>
      </rPr>
      <t>宜新</t>
    </r>
    <phoneticPr fontId="11" type="noConversion"/>
  </si>
  <si>
    <r>
      <t>IJ92</t>
    </r>
    <r>
      <rPr>
        <sz val="11"/>
        <rFont val="標楷體"/>
        <family val="4"/>
        <charset val="136"/>
      </rPr>
      <t>勝隆</t>
    </r>
    <phoneticPr fontId="11" type="noConversion"/>
  </si>
  <si>
    <r>
      <t>IL80</t>
    </r>
    <r>
      <rPr>
        <sz val="11"/>
        <rFont val="標楷體"/>
        <family val="4"/>
        <charset val="136"/>
      </rPr>
      <t>彰路</t>
    </r>
    <phoneticPr fontId="11" type="noConversion"/>
  </si>
  <si>
    <t>:代表未供電</t>
    <phoneticPr fontId="11" type="noConversion"/>
  </si>
  <si>
    <t>啟動FDIR</t>
    <phoneticPr fontId="1" type="noConversion"/>
  </si>
  <si>
    <t>IA32</t>
  </si>
  <si>
    <t>IA32</t>
    <phoneticPr fontId="1" type="noConversion"/>
  </si>
  <si>
    <t>IA21</t>
  </si>
  <si>
    <t>IA21</t>
    <phoneticPr fontId="1" type="noConversion"/>
  </si>
  <si>
    <t>IB21</t>
  </si>
  <si>
    <t>IB21</t>
    <phoneticPr fontId="1" type="noConversion"/>
  </si>
  <si>
    <t>IG30</t>
  </si>
  <si>
    <t>IG30</t>
    <phoneticPr fontId="1" type="noConversion"/>
  </si>
  <si>
    <t>IG35</t>
  </si>
  <si>
    <t>IG40</t>
  </si>
  <si>
    <t>IG43</t>
  </si>
  <si>
    <t>IG44</t>
  </si>
  <si>
    <t>IG45</t>
  </si>
  <si>
    <t>IG46</t>
  </si>
  <si>
    <t>IG47</t>
  </si>
  <si>
    <t>IN21</t>
  </si>
  <si>
    <t>IN20</t>
  </si>
  <si>
    <t>IN20</t>
    <phoneticPr fontId="1" type="noConversion"/>
  </si>
  <si>
    <t>IP20</t>
  </si>
  <si>
    <t>IP20</t>
    <phoneticPr fontId="1" type="noConversion"/>
  </si>
  <si>
    <t>IP21</t>
  </si>
  <si>
    <t>IU26</t>
  </si>
  <si>
    <t>IU26</t>
    <phoneticPr fontId="1" type="noConversion"/>
  </si>
  <si>
    <t>IU27</t>
  </si>
  <si>
    <t>IU28</t>
  </si>
  <si>
    <t>IU32</t>
  </si>
  <si>
    <t>IU32</t>
    <phoneticPr fontId="1" type="noConversion"/>
  </si>
  <si>
    <t>IU33</t>
  </si>
  <si>
    <t>IU33</t>
    <phoneticPr fontId="1" type="noConversion"/>
  </si>
  <si>
    <t>IU34</t>
  </si>
  <si>
    <t>IV51</t>
  </si>
  <si>
    <t>IV51</t>
    <phoneticPr fontId="1" type="noConversion"/>
  </si>
  <si>
    <t>IV53</t>
    <phoneticPr fontId="1" type="noConversion"/>
  </si>
  <si>
    <t>IV55</t>
    <phoneticPr fontId="1" type="noConversion"/>
  </si>
  <si>
    <t>IY21</t>
  </si>
  <si>
    <t>IY21</t>
    <phoneticPr fontId="1" type="noConversion"/>
  </si>
  <si>
    <t>IY28</t>
  </si>
  <si>
    <t>IY29</t>
  </si>
  <si>
    <t>IY31</t>
  </si>
  <si>
    <t>IY32</t>
  </si>
  <si>
    <t>IZ51</t>
  </si>
  <si>
    <t>IZ51</t>
    <phoneticPr fontId="1" type="noConversion"/>
  </si>
  <si>
    <t>IZ56</t>
  </si>
  <si>
    <t>IZ56</t>
    <phoneticPr fontId="1" type="noConversion"/>
  </si>
  <si>
    <t>9A61</t>
  </si>
  <si>
    <t>9A61</t>
    <phoneticPr fontId="1" type="noConversion"/>
  </si>
  <si>
    <t>9B51</t>
  </si>
  <si>
    <t>9B51</t>
    <phoneticPr fontId="1" type="noConversion"/>
  </si>
  <si>
    <t>9B56</t>
  </si>
  <si>
    <t>9B58</t>
  </si>
  <si>
    <t>9C21</t>
  </si>
  <si>
    <t>9C21</t>
    <phoneticPr fontId="1" type="noConversion"/>
  </si>
  <si>
    <t>9C25</t>
  </si>
  <si>
    <t>9C25</t>
    <phoneticPr fontId="1" type="noConversion"/>
  </si>
  <si>
    <t>9C28</t>
  </si>
  <si>
    <t>9C28</t>
    <phoneticPr fontId="1" type="noConversion"/>
  </si>
  <si>
    <t>9F51</t>
  </si>
  <si>
    <t>9F53</t>
  </si>
  <si>
    <t>9F54</t>
  </si>
  <si>
    <t>9F55</t>
  </si>
  <si>
    <t>9F57</t>
  </si>
  <si>
    <t>9F58</t>
  </si>
  <si>
    <t>9L21</t>
  </si>
  <si>
    <t>9L21</t>
    <phoneticPr fontId="1" type="noConversion"/>
  </si>
  <si>
    <t>9L22</t>
  </si>
  <si>
    <t>9L23</t>
  </si>
  <si>
    <t>9L24</t>
  </si>
  <si>
    <t>9L25</t>
  </si>
  <si>
    <t>9L26</t>
  </si>
  <si>
    <t>9L27</t>
  </si>
  <si>
    <t>9L28</t>
  </si>
  <si>
    <t>9L29</t>
  </si>
  <si>
    <t>9L30</t>
  </si>
  <si>
    <t>9N20</t>
  </si>
  <si>
    <t>9N20</t>
    <phoneticPr fontId="1" type="noConversion"/>
  </si>
  <si>
    <t>9N21</t>
  </si>
  <si>
    <t>9N22</t>
  </si>
  <si>
    <t>9N23</t>
  </si>
  <si>
    <t>9N24</t>
  </si>
  <si>
    <t>9N25</t>
  </si>
  <si>
    <t>9N26</t>
  </si>
  <si>
    <t>IA36</t>
  </si>
  <si>
    <t>IA36</t>
    <phoneticPr fontId="1" type="noConversion"/>
  </si>
  <si>
    <t>IA41</t>
  </si>
  <si>
    <t>IA41</t>
    <phoneticPr fontId="1" type="noConversion"/>
  </si>
  <si>
    <t>IA44</t>
  </si>
  <si>
    <t>IA44</t>
    <phoneticPr fontId="1" type="noConversion"/>
  </si>
  <si>
    <t>ID32</t>
  </si>
  <si>
    <t>ID32</t>
    <phoneticPr fontId="1" type="noConversion"/>
  </si>
  <si>
    <t>IM21</t>
  </si>
  <si>
    <t>IM21</t>
    <phoneticPr fontId="1" type="noConversion"/>
  </si>
  <si>
    <t>IP27</t>
  </si>
  <si>
    <t>IP27</t>
    <phoneticPr fontId="1" type="noConversion"/>
  </si>
  <si>
    <t>IP28</t>
  </si>
  <si>
    <t>IP23</t>
  </si>
  <si>
    <t>IP23</t>
    <phoneticPr fontId="1" type="noConversion"/>
  </si>
  <si>
    <t>IU30</t>
  </si>
  <si>
    <t>IU30</t>
    <phoneticPr fontId="1" type="noConversion"/>
  </si>
  <si>
    <t>IU37</t>
  </si>
  <si>
    <t>IU37</t>
    <phoneticPr fontId="1" type="noConversion"/>
  </si>
  <si>
    <t>IU39</t>
  </si>
  <si>
    <t>IU39</t>
    <phoneticPr fontId="1" type="noConversion"/>
  </si>
  <si>
    <t>IU40</t>
  </si>
  <si>
    <t>IY20</t>
  </si>
  <si>
    <t>IY24</t>
  </si>
  <si>
    <t>IY33</t>
  </si>
  <si>
    <t>IY34</t>
  </si>
  <si>
    <t>IY35</t>
  </si>
  <si>
    <t>IY22</t>
  </si>
  <si>
    <t>IY23</t>
  </si>
  <si>
    <t>IY25</t>
  </si>
  <si>
    <t>IY26</t>
  </si>
  <si>
    <t>IY27</t>
  </si>
  <si>
    <t>IZ24</t>
  </si>
  <si>
    <t>IZ24</t>
    <phoneticPr fontId="1" type="noConversion"/>
  </si>
  <si>
    <t>IZ26</t>
  </si>
  <si>
    <t>IZ26</t>
    <phoneticPr fontId="1" type="noConversion"/>
  </si>
  <si>
    <t>IZ64</t>
  </si>
  <si>
    <t>IZ64</t>
    <phoneticPr fontId="1" type="noConversion"/>
  </si>
  <si>
    <t>9A51</t>
  </si>
  <si>
    <t>9A51</t>
    <phoneticPr fontId="1" type="noConversion"/>
  </si>
  <si>
    <t>9A56</t>
  </si>
  <si>
    <t>9A56</t>
    <phoneticPr fontId="1" type="noConversion"/>
  </si>
  <si>
    <t>9A57</t>
  </si>
  <si>
    <t>9A58</t>
  </si>
  <si>
    <t>9A59</t>
  </si>
  <si>
    <t>9A67</t>
  </si>
  <si>
    <t>9A67</t>
    <phoneticPr fontId="1" type="noConversion"/>
  </si>
  <si>
    <t>9A68</t>
  </si>
  <si>
    <t>9B61</t>
  </si>
  <si>
    <t>9B61</t>
    <phoneticPr fontId="1" type="noConversion"/>
  </si>
  <si>
    <t>9B65</t>
  </si>
  <si>
    <t>9B67</t>
  </si>
  <si>
    <t>9B68</t>
  </si>
  <si>
    <t>9C30</t>
    <phoneticPr fontId="1" type="noConversion"/>
  </si>
  <si>
    <t>9C32</t>
    <phoneticPr fontId="1" type="noConversion"/>
  </si>
  <si>
    <t>9C35</t>
    <phoneticPr fontId="1" type="noConversion"/>
  </si>
  <si>
    <t>9C42</t>
  </si>
  <si>
    <t>9C42</t>
    <phoneticPr fontId="1" type="noConversion"/>
  </si>
  <si>
    <t>9C43</t>
  </si>
  <si>
    <t>9C45</t>
  </si>
  <si>
    <t>9C45</t>
    <phoneticPr fontId="1" type="noConversion"/>
  </si>
  <si>
    <t>9F61</t>
  </si>
  <si>
    <t>9F63</t>
  </si>
  <si>
    <t>9F65</t>
  </si>
  <si>
    <t>9F67</t>
  </si>
  <si>
    <t>9F68</t>
  </si>
  <si>
    <t>9L31</t>
  </si>
  <si>
    <t>9L31</t>
    <phoneticPr fontId="1" type="noConversion"/>
  </si>
  <si>
    <t>9L32</t>
  </si>
  <si>
    <t>9L33</t>
  </si>
  <si>
    <t>9L34</t>
  </si>
  <si>
    <t>9L35</t>
  </si>
  <si>
    <t>9L36</t>
  </si>
  <si>
    <t>9L37</t>
  </si>
  <si>
    <t>9L38</t>
  </si>
  <si>
    <t>9L39</t>
  </si>
  <si>
    <t>9L40</t>
  </si>
  <si>
    <t>9M33</t>
    <phoneticPr fontId="1" type="noConversion"/>
  </si>
  <si>
    <t>9P10</t>
  </si>
  <si>
    <t>9P10</t>
    <phoneticPr fontId="1" type="noConversion"/>
  </si>
  <si>
    <t>9P18</t>
  </si>
  <si>
    <t>9P18</t>
    <phoneticPr fontId="1" type="noConversion"/>
  </si>
  <si>
    <t>9P22</t>
  </si>
  <si>
    <t>9P22</t>
    <phoneticPr fontId="1" type="noConversion"/>
  </si>
  <si>
    <t>9P25</t>
  </si>
  <si>
    <t>9P25</t>
    <phoneticPr fontId="1" type="noConversion"/>
  </si>
  <si>
    <t>無啟動</t>
  </si>
  <si>
    <t>未供電</t>
    <phoneticPr fontId="1" type="noConversion"/>
  </si>
  <si>
    <t>9I31</t>
    <phoneticPr fontId="1" type="noConversion"/>
  </si>
  <si>
    <t>9J34</t>
  </si>
  <si>
    <t>代號</t>
    <phoneticPr fontId="1" type="noConversion"/>
  </si>
  <si>
    <t>種類(一二次變電所)</t>
    <phoneticPr fontId="1" type="noConversion"/>
  </si>
  <si>
    <t>G1709HD5430</t>
    <phoneticPr fontId="1" type="noConversion"/>
  </si>
  <si>
    <t>十戶高幹#1</t>
    <phoneticPr fontId="1" type="noConversion"/>
  </si>
  <si>
    <t>9A#2DTR</t>
  </si>
  <si>
    <t>9A70</t>
  </si>
  <si>
    <t>9A71</t>
  </si>
  <si>
    <t>9A72</t>
  </si>
  <si>
    <t>9A73</t>
  </si>
  <si>
    <t>9A74</t>
  </si>
  <si>
    <t>9A75</t>
  </si>
  <si>
    <t>9A76</t>
  </si>
  <si>
    <t>9A77</t>
  </si>
  <si>
    <t>9A#3DTR</t>
  </si>
  <si>
    <t>9A62</t>
  </si>
  <si>
    <t>9A63</t>
  </si>
  <si>
    <t>9A64</t>
  </si>
  <si>
    <t>9A65</t>
  </si>
  <si>
    <t>9APV</t>
  </si>
  <si>
    <t>9A66</t>
  </si>
  <si>
    <t>9A#4DTR(A)</t>
  </si>
  <si>
    <t>9A52</t>
  </si>
  <si>
    <t>9A53</t>
  </si>
  <si>
    <t>9A54</t>
  </si>
  <si>
    <t>9A55</t>
  </si>
  <si>
    <t>9A#4DTR(B)</t>
  </si>
  <si>
    <t>9AE0</t>
  </si>
  <si>
    <t>9B#1DTR</t>
  </si>
  <si>
    <t>9B#2DTR(A)</t>
  </si>
  <si>
    <t>9BPV</t>
  </si>
  <si>
    <t>9B#2DTR(B)</t>
  </si>
  <si>
    <t>9C#1DTR(A)</t>
  </si>
  <si>
    <t>9C20</t>
  </si>
  <si>
    <t>9C22</t>
  </si>
  <si>
    <t>9C#1DTR(B)</t>
  </si>
  <si>
    <t>9C26</t>
  </si>
  <si>
    <t>9C27</t>
  </si>
  <si>
    <t>9C29</t>
  </si>
  <si>
    <t>9C#2DTR(A)</t>
  </si>
  <si>
    <t>9C#2DTR(B)</t>
  </si>
  <si>
    <t>9C#3DTR(A)</t>
  </si>
  <si>
    <t>9C40</t>
  </si>
  <si>
    <t>9C41</t>
  </si>
  <si>
    <t>9C#3DTR(B)</t>
  </si>
  <si>
    <t>9C46</t>
  </si>
  <si>
    <t>9C47</t>
  </si>
  <si>
    <t>9C48</t>
  </si>
  <si>
    <t>9C49</t>
  </si>
  <si>
    <t>9F#1DTR</t>
  </si>
  <si>
    <t>9F#2DTR(A)</t>
  </si>
  <si>
    <t>9F#2DTR(B)</t>
  </si>
  <si>
    <t>9G#1DTR(A)</t>
  </si>
  <si>
    <t>9G20</t>
  </si>
  <si>
    <t>9G#1DTR(B)</t>
  </si>
  <si>
    <t>9GE8</t>
  </si>
  <si>
    <t>9G#2DTR(A)</t>
  </si>
  <si>
    <t>9G#2DTR(B)</t>
  </si>
  <si>
    <t>9GE9</t>
  </si>
  <si>
    <t>9G#3DTR(A)</t>
  </si>
  <si>
    <t>9GE2</t>
  </si>
  <si>
    <t>9GE3</t>
  </si>
  <si>
    <t>9GE1</t>
  </si>
  <si>
    <t>9GE0</t>
  </si>
  <si>
    <t>9G#3DTR(B)</t>
  </si>
  <si>
    <t>9GE6</t>
  </si>
  <si>
    <t>9GE7</t>
  </si>
  <si>
    <t>9GE5</t>
  </si>
  <si>
    <t>9GE4</t>
  </si>
  <si>
    <t>9H#2DTR(A)</t>
  </si>
  <si>
    <t>9H20</t>
  </si>
  <si>
    <t>9H21</t>
  </si>
  <si>
    <t>9H22</t>
  </si>
  <si>
    <t>9H23</t>
  </si>
  <si>
    <t>9H24</t>
  </si>
  <si>
    <t>9H25</t>
  </si>
  <si>
    <t>9H#2DTR(B)</t>
  </si>
  <si>
    <t>9H26</t>
  </si>
  <si>
    <t>9H27</t>
  </si>
  <si>
    <t>9H28</t>
  </si>
  <si>
    <t>9H29</t>
  </si>
  <si>
    <t>9H#3DTR(A)</t>
  </si>
  <si>
    <t>9H30</t>
  </si>
  <si>
    <t>9H31</t>
  </si>
  <si>
    <t>9H32</t>
  </si>
  <si>
    <t>9H33</t>
  </si>
  <si>
    <t>9H34</t>
  </si>
  <si>
    <t>9H35</t>
  </si>
  <si>
    <t>9H#3DTR(B)</t>
  </si>
  <si>
    <t>9H36</t>
  </si>
  <si>
    <t>9H37</t>
  </si>
  <si>
    <t>9H38</t>
  </si>
  <si>
    <t>9H39</t>
  </si>
  <si>
    <t>9I#1DTR(A)</t>
  </si>
  <si>
    <t>9I20</t>
  </si>
  <si>
    <t>9I#1DTR(B)</t>
  </si>
  <si>
    <t>9I#2DTR(A)</t>
  </si>
  <si>
    <t>9I#2DTR(B)</t>
  </si>
  <si>
    <t>9J#1MTR</t>
  </si>
  <si>
    <t>9J11</t>
  </si>
  <si>
    <t>9J12</t>
  </si>
  <si>
    <t>9J13</t>
  </si>
  <si>
    <t>9J14</t>
  </si>
  <si>
    <t>9J15</t>
  </si>
  <si>
    <t>9J#2MTR</t>
  </si>
  <si>
    <t>9J21</t>
  </si>
  <si>
    <t>9J22</t>
  </si>
  <si>
    <t>9J23</t>
  </si>
  <si>
    <t>9J24</t>
  </si>
  <si>
    <t>9J25</t>
  </si>
  <si>
    <t>9J#3MTR</t>
  </si>
  <si>
    <t>9J31</t>
  </si>
  <si>
    <t>9J32</t>
  </si>
  <si>
    <t>9J33</t>
  </si>
  <si>
    <t>9J35</t>
  </si>
  <si>
    <t>9K#1DTR(A)</t>
  </si>
  <si>
    <t>9K21</t>
  </si>
  <si>
    <t>9K#1DTR(B)</t>
  </si>
  <si>
    <t>9K26</t>
  </si>
  <si>
    <t>9K#2DTR(A)</t>
  </si>
  <si>
    <t>9K33</t>
  </si>
  <si>
    <t>9K#2DTR(B)</t>
  </si>
  <si>
    <t>9L#1DTR(A)</t>
  </si>
  <si>
    <t>9L#1DTR(B)</t>
  </si>
  <si>
    <t>9L#2DTR(A)</t>
  </si>
  <si>
    <t>9L#2DTR(B)</t>
  </si>
  <si>
    <t>9M#2DTR(A)</t>
  </si>
  <si>
    <t>9M20</t>
  </si>
  <si>
    <t>9M#2DTR(B)</t>
  </si>
  <si>
    <t>9M25</t>
  </si>
  <si>
    <t>9M#3DTR(A)</t>
  </si>
  <si>
    <t>9M30</t>
  </si>
  <si>
    <t>9M#3DTR(B)</t>
  </si>
  <si>
    <t>9M35</t>
  </si>
  <si>
    <t>9M#1MTR</t>
  </si>
  <si>
    <t>9M#2MTR</t>
  </si>
  <si>
    <t>9M#3MTR</t>
  </si>
  <si>
    <t>9N#1DTR(A)</t>
  </si>
  <si>
    <t>9N#1DTR(B)</t>
  </si>
  <si>
    <t>9P#1DTR(A)</t>
  </si>
  <si>
    <t>9P11</t>
  </si>
  <si>
    <t>9P12</t>
  </si>
  <si>
    <t>9P13</t>
  </si>
  <si>
    <t>9P14</t>
  </si>
  <si>
    <t>9P#1DTR(B)</t>
  </si>
  <si>
    <t>9P15</t>
  </si>
  <si>
    <t>9P16</t>
  </si>
  <si>
    <t>9P17</t>
  </si>
  <si>
    <t>9P19</t>
  </si>
  <si>
    <t>9P#2DTR(A)</t>
  </si>
  <si>
    <t>9P20</t>
  </si>
  <si>
    <t>9P21</t>
  </si>
  <si>
    <t>9P23</t>
  </si>
  <si>
    <t>9P24</t>
  </si>
  <si>
    <t>9P#2DTR(B)</t>
  </si>
  <si>
    <t>9P26</t>
  </si>
  <si>
    <t>9P27</t>
  </si>
  <si>
    <t>9P28</t>
  </si>
  <si>
    <t>9P29</t>
  </si>
  <si>
    <t>IA#1DTR(A)</t>
  </si>
  <si>
    <t>IA28</t>
  </si>
  <si>
    <t>IA37</t>
  </si>
  <si>
    <t>IA35</t>
  </si>
  <si>
    <t>IA#1DTR(B)</t>
  </si>
  <si>
    <t>IA39</t>
  </si>
  <si>
    <t>IA24</t>
  </si>
  <si>
    <t>IA29</t>
  </si>
  <si>
    <t>IA33</t>
  </si>
  <si>
    <t>IA#2DTR(A)</t>
  </si>
  <si>
    <t>IA27</t>
  </si>
  <si>
    <t>IA34</t>
  </si>
  <si>
    <t>IA23</t>
  </si>
  <si>
    <t>IA26</t>
  </si>
  <si>
    <t>IA22</t>
  </si>
  <si>
    <t>IA#2DTR(B)</t>
  </si>
  <si>
    <t>IA38</t>
  </si>
  <si>
    <t>IA25</t>
  </si>
  <si>
    <t>IA31</t>
  </si>
  <si>
    <t>IA20</t>
  </si>
  <si>
    <t>IA#3DTR(A)</t>
  </si>
  <si>
    <t>IA40</t>
  </si>
  <si>
    <t>IA42</t>
  </si>
  <si>
    <t>IA43</t>
  </si>
  <si>
    <t>IA#3DTR(B)</t>
  </si>
  <si>
    <t>IA45</t>
  </si>
  <si>
    <t>IA46</t>
  </si>
  <si>
    <t>IA47</t>
  </si>
  <si>
    <t>IA48</t>
  </si>
  <si>
    <t>IA49</t>
  </si>
  <si>
    <t>IB#1MTR</t>
  </si>
  <si>
    <t>IB20</t>
  </si>
  <si>
    <t>IB22</t>
  </si>
  <si>
    <t>IB30</t>
  </si>
  <si>
    <t>IB31</t>
  </si>
  <si>
    <t>IB#2MTR</t>
  </si>
  <si>
    <t>IB33</t>
  </si>
  <si>
    <t>IB25</t>
  </si>
  <si>
    <t>IB28</t>
  </si>
  <si>
    <t>IB24</t>
  </si>
  <si>
    <t>IB27</t>
  </si>
  <si>
    <t>IB#3MTR</t>
  </si>
  <si>
    <t>IB34</t>
  </si>
  <si>
    <t>IB29</t>
  </si>
  <si>
    <t>IB32</t>
  </si>
  <si>
    <t>IB26</t>
  </si>
  <si>
    <t>IB23</t>
  </si>
  <si>
    <t>IC#1MTR</t>
  </si>
  <si>
    <t>IC#3MTR</t>
  </si>
  <si>
    <t>ID#1MTR</t>
  </si>
  <si>
    <t>ID20</t>
  </si>
  <si>
    <t>ID23</t>
  </si>
  <si>
    <t>ID28</t>
  </si>
  <si>
    <t>ID26</t>
  </si>
  <si>
    <t>ID31</t>
  </si>
  <si>
    <t>ID#2MTR</t>
  </si>
  <si>
    <t>ID30</t>
  </si>
  <si>
    <t>ID24</t>
  </si>
  <si>
    <t>ID21</t>
  </si>
  <si>
    <t>ID29</t>
  </si>
  <si>
    <t>ID25</t>
  </si>
  <si>
    <t>ID#3MTR</t>
  </si>
  <si>
    <t>ID27</t>
  </si>
  <si>
    <t>ID22</t>
  </si>
  <si>
    <t>F14)</t>
  </si>
  <si>
    <t>F15)</t>
  </si>
  <si>
    <t>IE#1MTR</t>
  </si>
  <si>
    <t>IE25</t>
  </si>
  <si>
    <t>IE24</t>
  </si>
  <si>
    <t>IE21</t>
  </si>
  <si>
    <t>IE27</t>
  </si>
  <si>
    <t>IE22</t>
  </si>
  <si>
    <t>IE#2MTR</t>
  </si>
  <si>
    <t>IE23</t>
  </si>
  <si>
    <t>IE28</t>
  </si>
  <si>
    <t>IE20</t>
  </si>
  <si>
    <t>IE26</t>
  </si>
  <si>
    <t>IE29</t>
  </si>
  <si>
    <t>IF#1MTR</t>
  </si>
  <si>
    <t>IF21</t>
  </si>
  <si>
    <t>IF25</t>
  </si>
  <si>
    <t>IF30</t>
  </si>
  <si>
    <t>IF33</t>
  </si>
  <si>
    <t>IF34</t>
  </si>
  <si>
    <t>IF#2MTR</t>
  </si>
  <si>
    <t>IF22</t>
  </si>
  <si>
    <t>IF23</t>
  </si>
  <si>
    <t>IF31</t>
  </si>
  <si>
    <t>IF24</t>
  </si>
  <si>
    <t>IF26</t>
  </si>
  <si>
    <t>IF#3MTR</t>
  </si>
  <si>
    <t>IF35</t>
  </si>
  <si>
    <t>IF39</t>
  </si>
  <si>
    <t>IF37</t>
  </si>
  <si>
    <t>IF38</t>
  </si>
  <si>
    <t>IF36</t>
  </si>
  <si>
    <t>IF#4MTR</t>
  </si>
  <si>
    <t>IF27</t>
  </si>
  <si>
    <t>IF20</t>
  </si>
  <si>
    <t>IF28</t>
  </si>
  <si>
    <t>IF32</t>
  </si>
  <si>
    <t>IF29</t>
  </si>
  <si>
    <t>IG#1DTR(A)</t>
  </si>
  <si>
    <t>IG#1DTR(B)</t>
  </si>
  <si>
    <t>IG#2DTR(A)</t>
  </si>
  <si>
    <t>IG#2DTR(B)</t>
  </si>
  <si>
    <t>IH#1MTR</t>
  </si>
  <si>
    <t>IH27</t>
  </si>
  <si>
    <t>IH21</t>
  </si>
  <si>
    <t>IH25</t>
  </si>
  <si>
    <t>IH24</t>
  </si>
  <si>
    <t>IH28</t>
  </si>
  <si>
    <t>IH#2MTR</t>
  </si>
  <si>
    <t>IH33</t>
  </si>
  <si>
    <t>IH32</t>
  </si>
  <si>
    <t>IH31</t>
  </si>
  <si>
    <t>IH34</t>
  </si>
  <si>
    <t>IH35</t>
  </si>
  <si>
    <t>IH#3MTR</t>
  </si>
  <si>
    <t>IH29</t>
  </si>
  <si>
    <t>IH23</t>
  </si>
  <si>
    <t>IH22</t>
  </si>
  <si>
    <t>IH26</t>
  </si>
  <si>
    <t>IH20</t>
  </si>
  <si>
    <t>II#1MTR</t>
  </si>
  <si>
    <t>II22</t>
  </si>
  <si>
    <t>II25</t>
  </si>
  <si>
    <t>II20</t>
  </si>
  <si>
    <t>II26</t>
  </si>
  <si>
    <t>II27</t>
  </si>
  <si>
    <t>II#2MTR</t>
  </si>
  <si>
    <t>II32</t>
  </si>
  <si>
    <t>II34</t>
  </si>
  <si>
    <t>II30</t>
  </si>
  <si>
    <t>II31</t>
  </si>
  <si>
    <t>II28</t>
  </si>
  <si>
    <t>II#3MTR</t>
  </si>
  <si>
    <t>II24</t>
  </si>
  <si>
    <t>II33</t>
  </si>
  <si>
    <t>II21</t>
  </si>
  <si>
    <t>II29</t>
  </si>
  <si>
    <t>II23</t>
  </si>
  <si>
    <t>IJ#1MTR</t>
  </si>
  <si>
    <t>IJ23</t>
  </si>
  <si>
    <t>IJ33</t>
  </si>
  <si>
    <t>IJ30</t>
  </si>
  <si>
    <t>IJ22</t>
  </si>
  <si>
    <t>IJ34</t>
  </si>
  <si>
    <t>IJ#2MTR</t>
  </si>
  <si>
    <t>IJ26</t>
  </si>
  <si>
    <t>IJ28</t>
  </si>
  <si>
    <t>IJ20</t>
  </si>
  <si>
    <t>IJ29</t>
  </si>
  <si>
    <t>IJ32</t>
  </si>
  <si>
    <t>IJ#3MTR</t>
  </si>
  <si>
    <t>IJ31</t>
  </si>
  <si>
    <t>IJ24</t>
  </si>
  <si>
    <t>IJ25</t>
  </si>
  <si>
    <t>IJ21</t>
  </si>
  <si>
    <t>IJ27</t>
  </si>
  <si>
    <t>IK#1DTR(A)</t>
  </si>
  <si>
    <t>IK30</t>
  </si>
  <si>
    <t>IK31</t>
  </si>
  <si>
    <t>IK32</t>
  </si>
  <si>
    <t>IK33</t>
  </si>
  <si>
    <t>IK34</t>
  </si>
  <si>
    <t>IK35</t>
  </si>
  <si>
    <t>IK#1DTR(B)</t>
  </si>
  <si>
    <t>IK49</t>
  </si>
  <si>
    <t>IK48</t>
  </si>
  <si>
    <t>IK47</t>
  </si>
  <si>
    <t>IK46</t>
  </si>
  <si>
    <t>IK#2DTR(A)</t>
  </si>
  <si>
    <t>IK36</t>
  </si>
  <si>
    <t>IK37</t>
  </si>
  <si>
    <t>IK38</t>
  </si>
  <si>
    <t>IK39</t>
  </si>
  <si>
    <t>IK#2DTR(B)</t>
  </si>
  <si>
    <t>IK45</t>
  </si>
  <si>
    <t>IK44</t>
  </si>
  <si>
    <t>IK43</t>
  </si>
  <si>
    <t>IK42</t>
  </si>
  <si>
    <t>IK41</t>
  </si>
  <si>
    <t>IK40</t>
  </si>
  <si>
    <t>IK#1MTR</t>
  </si>
  <si>
    <t>IK#2MTR</t>
  </si>
  <si>
    <t>IK#3MTR</t>
  </si>
  <si>
    <t>IK#4MTR</t>
  </si>
  <si>
    <t>IL#1MTR</t>
  </si>
  <si>
    <t>IL27</t>
  </si>
  <si>
    <t>IL22</t>
  </si>
  <si>
    <t>IL21</t>
  </si>
  <si>
    <t>IL23</t>
  </si>
  <si>
    <t>IL24</t>
  </si>
  <si>
    <t>IL#2MTR</t>
  </si>
  <si>
    <t>IL32</t>
  </si>
  <si>
    <t>IL29</t>
  </si>
  <si>
    <t>IL25</t>
  </si>
  <si>
    <t>IL20</t>
  </si>
  <si>
    <t>IL26</t>
  </si>
  <si>
    <t>IL#3MTR</t>
  </si>
  <si>
    <t>IL30</t>
  </si>
  <si>
    <t>IL28</t>
  </si>
  <si>
    <t>IL31</t>
  </si>
  <si>
    <t>IM#1MTR</t>
  </si>
  <si>
    <t>IM30</t>
  </si>
  <si>
    <t>IM29</t>
  </si>
  <si>
    <t>IM26</t>
  </si>
  <si>
    <t>IM22</t>
  </si>
  <si>
    <t>IM20</t>
  </si>
  <si>
    <t>IM#2MTR</t>
  </si>
  <si>
    <t>IM28</t>
  </si>
  <si>
    <t>IM27</t>
  </si>
  <si>
    <t>IM25</t>
  </si>
  <si>
    <t>IM24</t>
  </si>
  <si>
    <t>IM23</t>
  </si>
  <si>
    <t>IM#3MTR</t>
  </si>
  <si>
    <t>IN#1MTR</t>
  </si>
  <si>
    <t>IN28</t>
  </si>
  <si>
    <t>IN24</t>
  </si>
  <si>
    <t>IN31</t>
  </si>
  <si>
    <t>IN29</t>
  </si>
  <si>
    <t>IN#2MTR</t>
  </si>
  <si>
    <t>IN22</t>
  </si>
  <si>
    <t>IN23</t>
  </si>
  <si>
    <t>IN32</t>
  </si>
  <si>
    <t>IN26</t>
  </si>
  <si>
    <t>IN27</t>
  </si>
  <si>
    <t>IN#3MTR</t>
  </si>
  <si>
    <t>IN34</t>
  </si>
  <si>
    <t>IN33</t>
  </si>
  <si>
    <t>IN25</t>
  </si>
  <si>
    <t>IN30</t>
  </si>
  <si>
    <t>IO#1DTR(B)</t>
  </si>
  <si>
    <t>IO26</t>
  </si>
  <si>
    <t>IO25</t>
  </si>
  <si>
    <t>IO24</t>
  </si>
  <si>
    <t>IO23</t>
  </si>
  <si>
    <t>IO22</t>
  </si>
  <si>
    <t>IO21</t>
  </si>
  <si>
    <t>IO#1DTR(A)</t>
  </si>
  <si>
    <t>IO51</t>
  </si>
  <si>
    <t>IO52</t>
  </si>
  <si>
    <t>IO53</t>
  </si>
  <si>
    <t>IO54</t>
  </si>
  <si>
    <t>IO55</t>
  </si>
  <si>
    <t>IO56</t>
  </si>
  <si>
    <t>IO#2DTR</t>
  </si>
  <si>
    <t>IO61</t>
  </si>
  <si>
    <t>IO62</t>
  </si>
  <si>
    <t>IO63</t>
  </si>
  <si>
    <t>IO64</t>
  </si>
  <si>
    <t>IO65</t>
  </si>
  <si>
    <t>IO66</t>
  </si>
  <si>
    <t>IOW1</t>
  </si>
  <si>
    <t>IO#3DTR</t>
  </si>
  <si>
    <t>IO76</t>
  </si>
  <si>
    <t>IO75</t>
  </si>
  <si>
    <t>IO74</t>
  </si>
  <si>
    <t>IO73</t>
  </si>
  <si>
    <t>IO72</t>
  </si>
  <si>
    <t>IO71</t>
  </si>
  <si>
    <t>IOPV</t>
  </si>
  <si>
    <t>IP#1MTR</t>
  </si>
  <si>
    <t>IP29</t>
  </si>
  <si>
    <t>IP24</t>
  </si>
  <si>
    <t>IP22</t>
  </si>
  <si>
    <t>IP#2MTR</t>
  </si>
  <si>
    <t>IP31</t>
  </si>
  <si>
    <t>IP30</t>
  </si>
  <si>
    <t>IP25</t>
  </si>
  <si>
    <t>IP#3MTR</t>
  </si>
  <si>
    <t>IP26</t>
  </si>
  <si>
    <t>IP32</t>
  </si>
  <si>
    <t>IP33</t>
  </si>
  <si>
    <t>IP34</t>
  </si>
  <si>
    <t>IQ#1MTR</t>
  </si>
  <si>
    <t>IQ21</t>
  </si>
  <si>
    <t>IQ22</t>
  </si>
  <si>
    <t>IQ23</t>
  </si>
  <si>
    <t>IQ24</t>
  </si>
  <si>
    <t>IQ25</t>
  </si>
  <si>
    <t>IQ#2MTR</t>
  </si>
  <si>
    <t>IQ26</t>
  </si>
  <si>
    <t>IQ27</t>
  </si>
  <si>
    <t>IQ28</t>
  </si>
  <si>
    <t>IQ29</t>
  </si>
  <si>
    <t>IQ30</t>
  </si>
  <si>
    <t>IQ#3MTR</t>
  </si>
  <si>
    <t>IQ31</t>
  </si>
  <si>
    <t>IQ32</t>
  </si>
  <si>
    <t>IQ33</t>
  </si>
  <si>
    <t>IQ34</t>
  </si>
  <si>
    <t>IQ35</t>
  </si>
  <si>
    <t>IR#1MTR</t>
  </si>
  <si>
    <t>IR21</t>
  </si>
  <si>
    <t>IR31</t>
  </si>
  <si>
    <t>IR32</t>
  </si>
  <si>
    <t>IR33</t>
  </si>
  <si>
    <t>IR34</t>
  </si>
  <si>
    <t>IR#2MTR</t>
  </si>
  <si>
    <t>IR35</t>
  </si>
  <si>
    <t>IR20</t>
  </si>
  <si>
    <t>IR25</t>
  </si>
  <si>
    <t>IR26</t>
  </si>
  <si>
    <t>IR27</t>
  </si>
  <si>
    <t>IR#3MTR</t>
  </si>
  <si>
    <t>IR37</t>
  </si>
  <si>
    <t>IR36</t>
  </si>
  <si>
    <t>IR38</t>
  </si>
  <si>
    <t>IR39</t>
  </si>
  <si>
    <t>IR40</t>
  </si>
  <si>
    <t>IR#4MTR</t>
  </si>
  <si>
    <t>IR23</t>
  </si>
  <si>
    <t>IR28</t>
  </si>
  <si>
    <t>IR22</t>
  </si>
  <si>
    <t>IR29</t>
  </si>
  <si>
    <t>IR24</t>
  </si>
  <si>
    <t>IS#1MTR</t>
  </si>
  <si>
    <t>IS20</t>
  </si>
  <si>
    <t>IS21</t>
  </si>
  <si>
    <t>IS22</t>
  </si>
  <si>
    <t>IS27</t>
  </si>
  <si>
    <t>IS29</t>
  </si>
  <si>
    <t>IS#2MTR</t>
  </si>
  <si>
    <t>IS26</t>
  </si>
  <si>
    <t>IS25</t>
  </si>
  <si>
    <t>IS23</t>
  </si>
  <si>
    <t>IS24</t>
  </si>
  <si>
    <t>IS28</t>
  </si>
  <si>
    <t>IT#1MTR</t>
  </si>
  <si>
    <t>IT29</t>
  </si>
  <si>
    <t>IT22</t>
  </si>
  <si>
    <t>IT34</t>
  </si>
  <si>
    <t>IT23</t>
  </si>
  <si>
    <t>IT25</t>
  </si>
  <si>
    <t>IT#2MTR</t>
  </si>
  <si>
    <t>IT20</t>
  </si>
  <si>
    <t>IT33</t>
  </si>
  <si>
    <t>IT27</t>
  </si>
  <si>
    <t>IT24</t>
  </si>
  <si>
    <t>IT32</t>
  </si>
  <si>
    <t>IT#3MTR</t>
  </si>
  <si>
    <t>IT21</t>
  </si>
  <si>
    <t>IT30</t>
  </si>
  <si>
    <t>IT26</t>
  </si>
  <si>
    <t>IT31</t>
  </si>
  <si>
    <t>IT28</t>
  </si>
  <si>
    <t>IU#1DTR(A)</t>
  </si>
  <si>
    <t>IU21</t>
  </si>
  <si>
    <t>IU22</t>
  </si>
  <si>
    <t>IU23</t>
  </si>
  <si>
    <t>IU24</t>
  </si>
  <si>
    <t>IU25</t>
  </si>
  <si>
    <t>IU#1DTR(B)</t>
  </si>
  <si>
    <t>IU31</t>
  </si>
  <si>
    <t>IU#2DTR(A)</t>
  </si>
  <si>
    <t>IU29</t>
  </si>
  <si>
    <t>IU#2DTR(B)</t>
  </si>
  <si>
    <t>IU35</t>
  </si>
  <si>
    <t>IU36</t>
  </si>
  <si>
    <t>IU38</t>
  </si>
  <si>
    <t>IV#1MTR</t>
  </si>
  <si>
    <t>IV#2MTR</t>
  </si>
  <si>
    <t>IV32</t>
  </si>
  <si>
    <t>IV34</t>
  </si>
  <si>
    <t>IV35</t>
  </si>
  <si>
    <t>IV33</t>
  </si>
  <si>
    <t>IV31</t>
  </si>
  <si>
    <t>IV#3MTR</t>
  </si>
  <si>
    <t>IV24</t>
  </si>
  <si>
    <t>IV25</t>
  </si>
  <si>
    <t>IV22</t>
  </si>
  <si>
    <t>IV21</t>
  </si>
  <si>
    <t>IV29</t>
  </si>
  <si>
    <t>IW#1MTR</t>
  </si>
  <si>
    <t>IW22</t>
  </si>
  <si>
    <t>IW26</t>
  </si>
  <si>
    <t>IW25</t>
  </si>
  <si>
    <t>IW24</t>
  </si>
  <si>
    <t>IW29</t>
  </si>
  <si>
    <t>IW#2MTR</t>
  </si>
  <si>
    <t>IW30</t>
  </si>
  <si>
    <t>IW31</t>
  </si>
  <si>
    <t>IW32</t>
  </si>
  <si>
    <t>IW34</t>
  </si>
  <si>
    <t>IW33</t>
  </si>
  <si>
    <t>IW#3MTR</t>
  </si>
  <si>
    <t>IW21</t>
  </si>
  <si>
    <t>IW20</t>
  </si>
  <si>
    <t>IW27</t>
  </si>
  <si>
    <t>IW23</t>
  </si>
  <si>
    <t>IW28</t>
  </si>
  <si>
    <t>IX#1MTR</t>
  </si>
  <si>
    <t>IX25</t>
  </si>
  <si>
    <t>IX23</t>
  </si>
  <si>
    <t>IX26</t>
  </si>
  <si>
    <t>IX30</t>
  </si>
  <si>
    <t>IX24</t>
  </si>
  <si>
    <t>IX#2MTR</t>
  </si>
  <si>
    <t>IX28</t>
  </si>
  <si>
    <t>IX31</t>
  </si>
  <si>
    <t>IX32</t>
  </si>
  <si>
    <t>IX34</t>
  </si>
  <si>
    <t>IX33</t>
  </si>
  <si>
    <t>IX#3MTR</t>
  </si>
  <si>
    <t>IX22</t>
  </si>
  <si>
    <t>IX20</t>
  </si>
  <si>
    <t>IX21</t>
  </si>
  <si>
    <t>IX29</t>
  </si>
  <si>
    <t>IX27</t>
  </si>
  <si>
    <t>IY#1MTR</t>
  </si>
  <si>
    <t>IY#2MTR</t>
  </si>
  <si>
    <t>IY#3MTR</t>
  </si>
  <si>
    <t>1PVY</t>
  </si>
  <si>
    <t>IZ#3DTR(A)</t>
  </si>
  <si>
    <t>IZ23</t>
  </si>
  <si>
    <t>IZ22</t>
  </si>
  <si>
    <t>IZ21</t>
  </si>
  <si>
    <t>IZ#3DTR(B)</t>
  </si>
  <si>
    <t>IZ25</t>
  </si>
  <si>
    <t>IZ#1DTR</t>
  </si>
  <si>
    <t>IZ52</t>
  </si>
  <si>
    <t>IZ53</t>
  </si>
  <si>
    <t>IZ54</t>
  </si>
  <si>
    <t>IZ55</t>
  </si>
  <si>
    <t>IZ#2DTR</t>
  </si>
  <si>
    <t>IZ61</t>
  </si>
  <si>
    <t>IZ62</t>
  </si>
  <si>
    <t>IZ63</t>
  </si>
  <si>
    <t>IZ65</t>
  </si>
  <si>
    <t>9A#2</t>
    <phoneticPr fontId="1" type="noConversion"/>
  </si>
  <si>
    <t>轉供饋線名稱</t>
    <phoneticPr fontId="1" type="noConversion"/>
  </si>
  <si>
    <t>停電饋線FDIR
有無啟用</t>
    <phoneticPr fontId="1" type="noConversion"/>
  </si>
  <si>
    <t>轉供饋線FDIR
有無啟用</t>
    <phoneticPr fontId="1" type="noConversion"/>
  </si>
  <si>
    <t>埔鹽SS_9J</t>
    <phoneticPr fontId="1" type="noConversion"/>
  </si>
  <si>
    <t>確認轉供及被轉供饋線線路狀況</t>
  </si>
  <si>
    <t>各饋線  Tap  請調整</t>
  </si>
  <si>
    <t>操    作    程    序</t>
  </si>
  <si>
    <t>配合施工單位</t>
    <phoneticPr fontId="1" type="noConversion"/>
  </si>
  <si>
    <t>川邊高幹#5</t>
  </si>
  <si>
    <t>G1708DD32</t>
  </si>
  <si>
    <t>川邊高幹#142</t>
  </si>
  <si>
    <t>川邊高幹#6</t>
  </si>
  <si>
    <t>G1708DD33</t>
  </si>
  <si>
    <t>川邊高幹#143</t>
  </si>
  <si>
    <t>川邊高幹#7</t>
  </si>
  <si>
    <t>G1708DD34</t>
  </si>
  <si>
    <t>川邊高幹#144</t>
  </si>
  <si>
    <t>川邊高幹#8</t>
  </si>
  <si>
    <t>G1708DD35</t>
  </si>
  <si>
    <t>川邊高幹#145</t>
  </si>
  <si>
    <t>川邊高幹#9</t>
  </si>
  <si>
    <t>G1708DD36</t>
  </si>
  <si>
    <t>川邊高幹#146</t>
  </si>
  <si>
    <t>川邊高幹#10</t>
  </si>
  <si>
    <t>G1708DD37</t>
  </si>
  <si>
    <t>川邊高幹#147</t>
  </si>
  <si>
    <t>川邊高幹#11</t>
  </si>
  <si>
    <t>G1708DD38</t>
  </si>
  <si>
    <t>川邊高幹#148</t>
  </si>
  <si>
    <t>川邊高幹#12</t>
  </si>
  <si>
    <t>G1708DD39</t>
  </si>
  <si>
    <t>川邊高幹#149</t>
  </si>
  <si>
    <t>川邊高幹#13</t>
  </si>
  <si>
    <t>G1708DD40</t>
  </si>
  <si>
    <t>川邊高幹#150</t>
  </si>
  <si>
    <t>川邊高幹#14</t>
  </si>
  <si>
    <t>G1708DD41</t>
  </si>
  <si>
    <t>川邊高幹#151</t>
  </si>
  <si>
    <t>川邊高幹#15</t>
  </si>
  <si>
    <t>G1708DD42</t>
  </si>
  <si>
    <t>川邊高幹#152</t>
  </si>
  <si>
    <t>川邊高幹#16</t>
  </si>
  <si>
    <t>G1708DD43</t>
  </si>
  <si>
    <t>川邊高幹#153</t>
  </si>
  <si>
    <t>川邊高幹#17</t>
  </si>
  <si>
    <t>G1708DD44</t>
  </si>
  <si>
    <t>川邊高幹#154</t>
  </si>
  <si>
    <t>川邊高幹#18</t>
  </si>
  <si>
    <t>G1708DD45</t>
  </si>
  <si>
    <t>川邊高幹#155</t>
  </si>
  <si>
    <t>川邊高幹#19</t>
  </si>
  <si>
    <t>G1708DD46</t>
  </si>
  <si>
    <t>川邊高幹#156</t>
  </si>
  <si>
    <t>川邊高幹#20</t>
  </si>
  <si>
    <t>G1708DD47</t>
  </si>
  <si>
    <t>川邊高幹#157</t>
  </si>
  <si>
    <t>川邊高幹#21</t>
  </si>
  <si>
    <t>G1708DD48</t>
  </si>
  <si>
    <t>川邊高幹#158</t>
  </si>
  <si>
    <t>川邊高幹#22</t>
  </si>
  <si>
    <t>G1708DD49</t>
  </si>
  <si>
    <t>川邊高幹#159</t>
  </si>
  <si>
    <t>川邊高幹#23</t>
  </si>
  <si>
    <t>G1708DD50</t>
  </si>
  <si>
    <t>川邊高幹#160</t>
  </si>
  <si>
    <t>川邊高幹#24</t>
  </si>
  <si>
    <t>G1708DD51</t>
  </si>
  <si>
    <t>川邊高幹#161</t>
  </si>
  <si>
    <t>川邊高幹#25</t>
  </si>
  <si>
    <t>G1708DD52</t>
  </si>
  <si>
    <t>川邊高幹#162</t>
  </si>
  <si>
    <t>川邊高幹#26</t>
  </si>
  <si>
    <t>G1708DD53</t>
  </si>
  <si>
    <t>川邊高幹#163</t>
  </si>
  <si>
    <t>川邊高幹#27</t>
  </si>
  <si>
    <t>G1708DD54</t>
  </si>
  <si>
    <t>川邊高幹#164</t>
  </si>
  <si>
    <t>川邊高幹#28</t>
  </si>
  <si>
    <t>G1708DD55</t>
  </si>
  <si>
    <t>川邊高幹#165</t>
  </si>
  <si>
    <t>川邊高幹#29</t>
  </si>
  <si>
    <t>G1708DD56</t>
  </si>
  <si>
    <t>川邊高幹#166</t>
  </si>
  <si>
    <t>川邊高幹#30</t>
  </si>
  <si>
    <t>G1708DD57</t>
  </si>
  <si>
    <t>川邊高幹#167</t>
  </si>
  <si>
    <t>川邊高幹#31</t>
  </si>
  <si>
    <t>G1708DD58</t>
  </si>
  <si>
    <t>川邊高幹#168</t>
  </si>
  <si>
    <t>川邊高幹#32</t>
  </si>
  <si>
    <t>G1708DD59</t>
  </si>
  <si>
    <t>川邊高幹#169</t>
  </si>
  <si>
    <t>川邊高幹#33</t>
  </si>
  <si>
    <t>G1708DD60</t>
  </si>
  <si>
    <t>川邊高幹#170</t>
  </si>
  <si>
    <t>川邊高幹#34</t>
  </si>
  <si>
    <t>G1708DD61</t>
  </si>
  <si>
    <t>川邊高幹#171</t>
  </si>
  <si>
    <t>川邊高幹#35</t>
  </si>
  <si>
    <t>G1708DD62</t>
  </si>
  <si>
    <t>川邊高幹#172</t>
  </si>
  <si>
    <t>川邊高幹#36</t>
  </si>
  <si>
    <t>G1708DD63</t>
  </si>
  <si>
    <t>川邊高幹#173</t>
  </si>
  <si>
    <t>川邊高幹#37</t>
  </si>
  <si>
    <t>G1708DD64</t>
  </si>
  <si>
    <t>川邊高幹#174</t>
  </si>
  <si>
    <t>川邊高幹#38</t>
  </si>
  <si>
    <t>G1708DD65</t>
  </si>
  <si>
    <t>川邊高幹#175</t>
  </si>
  <si>
    <t>川邊高幹#39</t>
  </si>
  <si>
    <t>G1708DD66</t>
  </si>
  <si>
    <t>川邊高幹#176</t>
  </si>
  <si>
    <t>222</t>
    <phoneticPr fontId="1" type="noConversion"/>
  </si>
  <si>
    <t>315</t>
    <phoneticPr fontId="1" type="noConversion"/>
  </si>
  <si>
    <t>456</t>
    <phoneticPr fontId="1" type="noConversion"/>
  </si>
  <si>
    <t>512</t>
    <phoneticPr fontId="1" type="noConversion"/>
  </si>
  <si>
    <t>用戶數</t>
    <phoneticPr fontId="1" type="noConversion"/>
  </si>
  <si>
    <t>減少停
電量</t>
    <phoneticPr fontId="1" type="noConversion"/>
  </si>
  <si>
    <t>9B52</t>
    <phoneticPr fontId="1" type="noConversion"/>
  </si>
  <si>
    <t>9B57</t>
    <phoneticPr fontId="1" type="noConversion"/>
  </si>
  <si>
    <t>9B62</t>
    <phoneticPr fontId="1" type="noConversion"/>
  </si>
  <si>
    <t>9C20</t>
    <phoneticPr fontId="1" type="noConversion"/>
  </si>
  <si>
    <t>9C22</t>
    <phoneticPr fontId="1" type="noConversion"/>
  </si>
  <si>
    <t>9C26</t>
    <phoneticPr fontId="1" type="noConversion"/>
  </si>
  <si>
    <t>9F51</t>
    <phoneticPr fontId="1" type="noConversion"/>
  </si>
  <si>
    <t>9F61</t>
    <phoneticPr fontId="1" type="noConversion"/>
  </si>
  <si>
    <t>9G20</t>
    <phoneticPr fontId="1" type="noConversion"/>
  </si>
  <si>
    <t>9G39</t>
    <phoneticPr fontId="1" type="noConversion"/>
  </si>
  <si>
    <t>9H21</t>
    <phoneticPr fontId="1" type="noConversion"/>
  </si>
  <si>
    <t>9H24</t>
    <phoneticPr fontId="1" type="noConversion"/>
  </si>
  <si>
    <t>9H27</t>
    <phoneticPr fontId="1" type="noConversion"/>
  </si>
  <si>
    <t>9H28</t>
    <phoneticPr fontId="1" type="noConversion"/>
  </si>
  <si>
    <t>9H31</t>
    <phoneticPr fontId="1" type="noConversion"/>
  </si>
  <si>
    <t>9I20</t>
    <phoneticPr fontId="1" type="noConversion"/>
  </si>
  <si>
    <t>9I25</t>
    <phoneticPr fontId="1" type="noConversion"/>
  </si>
  <si>
    <t>9I26</t>
    <phoneticPr fontId="1" type="noConversion"/>
  </si>
  <si>
    <t>9I28</t>
    <phoneticPr fontId="1" type="noConversion"/>
  </si>
  <si>
    <t>9I36</t>
    <phoneticPr fontId="1" type="noConversion"/>
  </si>
  <si>
    <t>9J11</t>
    <phoneticPr fontId="1" type="noConversion"/>
  </si>
  <si>
    <t>9J21</t>
    <phoneticPr fontId="1" type="noConversion"/>
  </si>
  <si>
    <t>9J31</t>
    <phoneticPr fontId="1" type="noConversion"/>
  </si>
  <si>
    <t>9M20</t>
    <phoneticPr fontId="1" type="noConversion"/>
  </si>
  <si>
    <t>9N22</t>
    <phoneticPr fontId="1" type="noConversion"/>
  </si>
  <si>
    <t>9N24</t>
    <phoneticPr fontId="1" type="noConversion"/>
  </si>
  <si>
    <t>9N26</t>
    <phoneticPr fontId="1" type="noConversion"/>
  </si>
  <si>
    <t>9N29</t>
    <phoneticPr fontId="1" type="noConversion"/>
  </si>
  <si>
    <t>IA20</t>
    <phoneticPr fontId="1" type="noConversion"/>
  </si>
  <si>
    <t>IA22</t>
    <phoneticPr fontId="1" type="noConversion"/>
  </si>
  <si>
    <t>IA24</t>
    <phoneticPr fontId="1" type="noConversion"/>
  </si>
  <si>
    <t>IA25</t>
    <phoneticPr fontId="1" type="noConversion"/>
  </si>
  <si>
    <t>IA26</t>
    <phoneticPr fontId="1" type="noConversion"/>
  </si>
  <si>
    <t>IA27</t>
    <phoneticPr fontId="1" type="noConversion"/>
  </si>
  <si>
    <t>IA28</t>
    <phoneticPr fontId="1" type="noConversion"/>
  </si>
  <si>
    <t>IA29</t>
    <phoneticPr fontId="1" type="noConversion"/>
  </si>
  <si>
    <t>IA30</t>
    <phoneticPr fontId="1" type="noConversion"/>
  </si>
  <si>
    <t>IA31</t>
    <phoneticPr fontId="1" type="noConversion"/>
  </si>
  <si>
    <t>IA33</t>
    <phoneticPr fontId="1" type="noConversion"/>
  </si>
  <si>
    <t>IA34</t>
    <phoneticPr fontId="1" type="noConversion"/>
  </si>
  <si>
    <t>IA35</t>
    <phoneticPr fontId="1" type="noConversion"/>
  </si>
  <si>
    <t>IA37</t>
    <phoneticPr fontId="1" type="noConversion"/>
  </si>
  <si>
    <t>IA38</t>
    <phoneticPr fontId="1" type="noConversion"/>
  </si>
  <si>
    <t>IA39</t>
    <phoneticPr fontId="1" type="noConversion"/>
  </si>
  <si>
    <t>IA40</t>
    <phoneticPr fontId="1" type="noConversion"/>
  </si>
  <si>
    <t>IB20</t>
    <phoneticPr fontId="1" type="noConversion"/>
  </si>
  <si>
    <t>IB22</t>
    <phoneticPr fontId="1" type="noConversion"/>
  </si>
  <si>
    <t>IB23</t>
    <phoneticPr fontId="1" type="noConversion"/>
  </si>
  <si>
    <t>IB24</t>
    <phoneticPr fontId="1" type="noConversion"/>
  </si>
  <si>
    <t>IB26</t>
    <phoneticPr fontId="1" type="noConversion"/>
  </si>
  <si>
    <t>IB27</t>
    <phoneticPr fontId="1" type="noConversion"/>
  </si>
  <si>
    <t>IB29</t>
    <phoneticPr fontId="1" type="noConversion"/>
  </si>
  <si>
    <t>IB30</t>
    <phoneticPr fontId="1" type="noConversion"/>
  </si>
  <si>
    <t>IB32</t>
    <phoneticPr fontId="1" type="noConversion"/>
  </si>
  <si>
    <t>IB33</t>
    <phoneticPr fontId="1" type="noConversion"/>
  </si>
  <si>
    <t>IB34</t>
    <phoneticPr fontId="1" type="noConversion"/>
  </si>
  <si>
    <t>ID20</t>
    <phoneticPr fontId="1" type="noConversion"/>
  </si>
  <si>
    <t>ID21</t>
    <phoneticPr fontId="1" type="noConversion"/>
  </si>
  <si>
    <t>ID22</t>
    <phoneticPr fontId="1" type="noConversion"/>
  </si>
  <si>
    <t>ID23</t>
    <phoneticPr fontId="1" type="noConversion"/>
  </si>
  <si>
    <t>ID24</t>
    <phoneticPr fontId="1" type="noConversion"/>
  </si>
  <si>
    <t>ID26</t>
    <phoneticPr fontId="1" type="noConversion"/>
  </si>
  <si>
    <t>ID27</t>
    <phoneticPr fontId="1" type="noConversion"/>
  </si>
  <si>
    <t>ID28</t>
    <phoneticPr fontId="1" type="noConversion"/>
  </si>
  <si>
    <t>ID29</t>
    <phoneticPr fontId="1" type="noConversion"/>
  </si>
  <si>
    <t>ID31</t>
    <phoneticPr fontId="1" type="noConversion"/>
  </si>
  <si>
    <t>IE20</t>
    <phoneticPr fontId="1" type="noConversion"/>
  </si>
  <si>
    <t>IE21</t>
    <phoneticPr fontId="1" type="noConversion"/>
  </si>
  <si>
    <t>IE23</t>
    <phoneticPr fontId="1" type="noConversion"/>
  </si>
  <si>
    <t>IE24</t>
    <phoneticPr fontId="1" type="noConversion"/>
  </si>
  <si>
    <t>IE26</t>
    <phoneticPr fontId="1" type="noConversion"/>
  </si>
  <si>
    <t>IE27</t>
    <phoneticPr fontId="1" type="noConversion"/>
  </si>
  <si>
    <t>IE28</t>
    <phoneticPr fontId="1" type="noConversion"/>
  </si>
  <si>
    <t>IF20</t>
    <phoneticPr fontId="1" type="noConversion"/>
  </si>
  <si>
    <t>IF21</t>
    <phoneticPr fontId="1" type="noConversion"/>
  </si>
  <si>
    <t>IF22</t>
    <phoneticPr fontId="1" type="noConversion"/>
  </si>
  <si>
    <t>IF25</t>
    <phoneticPr fontId="1" type="noConversion"/>
  </si>
  <si>
    <t>IF26</t>
    <phoneticPr fontId="1" type="noConversion"/>
  </si>
  <si>
    <t>IF27</t>
    <phoneticPr fontId="1" type="noConversion"/>
  </si>
  <si>
    <t>IF30</t>
    <phoneticPr fontId="1" type="noConversion"/>
  </si>
  <si>
    <t>IF31</t>
    <phoneticPr fontId="1" type="noConversion"/>
  </si>
  <si>
    <t>IF32</t>
    <phoneticPr fontId="1" type="noConversion"/>
  </si>
  <si>
    <t>IF33</t>
    <phoneticPr fontId="1" type="noConversion"/>
  </si>
  <si>
    <t>IF35</t>
    <phoneticPr fontId="1" type="noConversion"/>
  </si>
  <si>
    <t>IH20</t>
    <phoneticPr fontId="1" type="noConversion"/>
  </si>
  <si>
    <t>IH21</t>
    <phoneticPr fontId="1" type="noConversion"/>
  </si>
  <si>
    <t>IH22</t>
    <phoneticPr fontId="1" type="noConversion"/>
  </si>
  <si>
    <t>IH24</t>
    <phoneticPr fontId="1" type="noConversion"/>
  </si>
  <si>
    <t>IH26</t>
    <phoneticPr fontId="1" type="noConversion"/>
  </si>
  <si>
    <t>IH27</t>
    <phoneticPr fontId="1" type="noConversion"/>
  </si>
  <si>
    <t>IH29</t>
    <phoneticPr fontId="1" type="noConversion"/>
  </si>
  <si>
    <t>IH31</t>
    <phoneticPr fontId="1" type="noConversion"/>
  </si>
  <si>
    <t>II20</t>
    <phoneticPr fontId="1" type="noConversion"/>
  </si>
  <si>
    <t>II21</t>
    <phoneticPr fontId="1" type="noConversion"/>
  </si>
  <si>
    <t>II22</t>
    <phoneticPr fontId="1" type="noConversion"/>
  </si>
  <si>
    <t>II23</t>
    <phoneticPr fontId="1" type="noConversion"/>
  </si>
  <si>
    <t>II25</t>
    <phoneticPr fontId="1" type="noConversion"/>
  </si>
  <si>
    <t>II29</t>
    <phoneticPr fontId="1" type="noConversion"/>
  </si>
  <si>
    <t>II30</t>
    <phoneticPr fontId="1" type="noConversion"/>
  </si>
  <si>
    <t>II34</t>
    <phoneticPr fontId="1" type="noConversion"/>
  </si>
  <si>
    <t>IJ20</t>
    <phoneticPr fontId="1" type="noConversion"/>
  </si>
  <si>
    <t>IJ21</t>
    <phoneticPr fontId="1" type="noConversion"/>
  </si>
  <si>
    <t>IJ22</t>
    <phoneticPr fontId="1" type="noConversion"/>
  </si>
  <si>
    <t>IJ24</t>
    <phoneticPr fontId="1" type="noConversion"/>
  </si>
  <si>
    <t>IJ26</t>
    <phoneticPr fontId="1" type="noConversion"/>
  </si>
  <si>
    <t>IJ27</t>
    <phoneticPr fontId="1" type="noConversion"/>
  </si>
  <si>
    <t>IJ28</t>
    <phoneticPr fontId="1" type="noConversion"/>
  </si>
  <si>
    <t>IJ30</t>
    <phoneticPr fontId="1" type="noConversion"/>
  </si>
  <si>
    <t>IJ31</t>
    <phoneticPr fontId="1" type="noConversion"/>
  </si>
  <si>
    <t>IJ32</t>
    <phoneticPr fontId="1" type="noConversion"/>
  </si>
  <si>
    <t>IJ33</t>
    <phoneticPr fontId="1" type="noConversion"/>
  </si>
  <si>
    <t>IK46</t>
    <phoneticPr fontId="1" type="noConversion"/>
  </si>
  <si>
    <t>IL25</t>
    <phoneticPr fontId="1" type="noConversion"/>
  </si>
  <si>
    <t>IL27</t>
    <phoneticPr fontId="1" type="noConversion"/>
  </si>
  <si>
    <t>IL28</t>
    <phoneticPr fontId="1" type="noConversion"/>
  </si>
  <si>
    <t>IL29</t>
    <phoneticPr fontId="1" type="noConversion"/>
  </si>
  <si>
    <t>IL30</t>
    <phoneticPr fontId="1" type="noConversion"/>
  </si>
  <si>
    <t>IL32</t>
    <phoneticPr fontId="1" type="noConversion"/>
  </si>
  <si>
    <t>IM20</t>
    <phoneticPr fontId="1" type="noConversion"/>
  </si>
  <si>
    <t>IM22</t>
    <phoneticPr fontId="1" type="noConversion"/>
  </si>
  <si>
    <t>IM23</t>
    <phoneticPr fontId="1" type="noConversion"/>
  </si>
  <si>
    <t>IM25</t>
    <phoneticPr fontId="1" type="noConversion"/>
  </si>
  <si>
    <t>IM26</t>
    <phoneticPr fontId="1" type="noConversion"/>
  </si>
  <si>
    <t>IM27</t>
    <phoneticPr fontId="1" type="noConversion"/>
  </si>
  <si>
    <t>IM29</t>
    <phoneticPr fontId="1" type="noConversion"/>
  </si>
  <si>
    <t>IN21</t>
    <phoneticPr fontId="1" type="noConversion"/>
  </si>
  <si>
    <t>IN22</t>
    <phoneticPr fontId="1" type="noConversion"/>
  </si>
  <si>
    <t>IN24</t>
    <phoneticPr fontId="1" type="noConversion"/>
  </si>
  <si>
    <t>IN25</t>
    <phoneticPr fontId="1" type="noConversion"/>
  </si>
  <si>
    <t>IN28</t>
    <phoneticPr fontId="1" type="noConversion"/>
  </si>
  <si>
    <t>IN30</t>
    <phoneticPr fontId="1" type="noConversion"/>
  </si>
  <si>
    <t>IN31</t>
    <phoneticPr fontId="1" type="noConversion"/>
  </si>
  <si>
    <t>IN32</t>
    <phoneticPr fontId="1" type="noConversion"/>
  </si>
  <si>
    <t>IN33</t>
    <phoneticPr fontId="1" type="noConversion"/>
  </si>
  <si>
    <t>IO21</t>
    <phoneticPr fontId="1" type="noConversion"/>
  </si>
  <si>
    <t>IO51</t>
    <phoneticPr fontId="1" type="noConversion"/>
  </si>
  <si>
    <t>IO61</t>
    <phoneticPr fontId="1" type="noConversion"/>
  </si>
  <si>
    <t>IO71</t>
    <phoneticPr fontId="1" type="noConversion"/>
  </si>
  <si>
    <t>IP22</t>
    <phoneticPr fontId="1" type="noConversion"/>
  </si>
  <si>
    <t>IP24</t>
    <phoneticPr fontId="1" type="noConversion"/>
  </si>
  <si>
    <t>IP25</t>
    <phoneticPr fontId="1" type="noConversion"/>
  </si>
  <si>
    <t>IP26</t>
    <phoneticPr fontId="1" type="noConversion"/>
  </si>
  <si>
    <t>IP29</t>
    <phoneticPr fontId="1" type="noConversion"/>
  </si>
  <si>
    <t>IP30</t>
    <phoneticPr fontId="1" type="noConversion"/>
  </si>
  <si>
    <t>IP32</t>
    <phoneticPr fontId="1" type="noConversion"/>
  </si>
  <si>
    <t>IR20</t>
    <phoneticPr fontId="1" type="noConversion"/>
  </si>
  <si>
    <t>IR21</t>
    <phoneticPr fontId="1" type="noConversion"/>
  </si>
  <si>
    <t>IR22</t>
    <phoneticPr fontId="1" type="noConversion"/>
  </si>
  <si>
    <t>IR25</t>
    <phoneticPr fontId="1" type="noConversion"/>
  </si>
  <si>
    <t>IR28</t>
    <phoneticPr fontId="1" type="noConversion"/>
  </si>
  <si>
    <t>IR31</t>
    <phoneticPr fontId="1" type="noConversion"/>
  </si>
  <si>
    <t>IR35</t>
    <phoneticPr fontId="1" type="noConversion"/>
  </si>
  <si>
    <t>IR37</t>
    <phoneticPr fontId="1" type="noConversion"/>
  </si>
  <si>
    <t>IR39</t>
    <phoneticPr fontId="1" type="noConversion"/>
  </si>
  <si>
    <t>IS20</t>
    <phoneticPr fontId="1" type="noConversion"/>
  </si>
  <si>
    <t>IS23</t>
    <phoneticPr fontId="1" type="noConversion"/>
  </si>
  <si>
    <t>IS27</t>
    <phoneticPr fontId="1" type="noConversion"/>
  </si>
  <si>
    <t>IS28</t>
    <phoneticPr fontId="1" type="noConversion"/>
  </si>
  <si>
    <t>IS29</t>
    <phoneticPr fontId="1" type="noConversion"/>
  </si>
  <si>
    <t>IT20</t>
    <phoneticPr fontId="1" type="noConversion"/>
  </si>
  <si>
    <t>IT21</t>
    <phoneticPr fontId="1" type="noConversion"/>
  </si>
  <si>
    <t>IT22</t>
    <phoneticPr fontId="1" type="noConversion"/>
  </si>
  <si>
    <t>IT23</t>
    <phoneticPr fontId="1" type="noConversion"/>
  </si>
  <si>
    <t>IT24</t>
    <phoneticPr fontId="1" type="noConversion"/>
  </si>
  <si>
    <t>IT25</t>
    <phoneticPr fontId="1" type="noConversion"/>
  </si>
  <si>
    <t>IT26</t>
    <phoneticPr fontId="1" type="noConversion"/>
  </si>
  <si>
    <t>IT27</t>
    <phoneticPr fontId="1" type="noConversion"/>
  </si>
  <si>
    <t>IT28</t>
    <phoneticPr fontId="1" type="noConversion"/>
  </si>
  <si>
    <t>IT29</t>
    <phoneticPr fontId="1" type="noConversion"/>
  </si>
  <si>
    <t>IT30</t>
    <phoneticPr fontId="1" type="noConversion"/>
  </si>
  <si>
    <t>IT31</t>
    <phoneticPr fontId="1" type="noConversion"/>
  </si>
  <si>
    <t>IT32</t>
    <phoneticPr fontId="1" type="noConversion"/>
  </si>
  <si>
    <t>IT33</t>
    <phoneticPr fontId="1" type="noConversion"/>
  </si>
  <si>
    <t>IT34</t>
    <phoneticPr fontId="1" type="noConversion"/>
  </si>
  <si>
    <t>IU21</t>
    <phoneticPr fontId="1" type="noConversion"/>
  </si>
  <si>
    <t>IU22</t>
    <phoneticPr fontId="1" type="noConversion"/>
  </si>
  <si>
    <t>IU40</t>
    <phoneticPr fontId="1" type="noConversion"/>
  </si>
  <si>
    <t>IV21</t>
    <phoneticPr fontId="1" type="noConversion"/>
  </si>
  <si>
    <t>IV24</t>
    <phoneticPr fontId="1" type="noConversion"/>
  </si>
  <si>
    <t>IV29</t>
    <phoneticPr fontId="1" type="noConversion"/>
  </si>
  <si>
    <t>IW20</t>
    <phoneticPr fontId="1" type="noConversion"/>
  </si>
  <si>
    <t>IW22</t>
    <phoneticPr fontId="1" type="noConversion"/>
  </si>
  <si>
    <t>IW23</t>
    <phoneticPr fontId="1" type="noConversion"/>
  </si>
  <si>
    <t>IW24</t>
    <phoneticPr fontId="1" type="noConversion"/>
  </si>
  <si>
    <t>IW27</t>
    <phoneticPr fontId="1" type="noConversion"/>
  </si>
  <si>
    <t>IW29</t>
    <phoneticPr fontId="1" type="noConversion"/>
  </si>
  <si>
    <t>IX20</t>
    <phoneticPr fontId="1" type="noConversion"/>
  </si>
  <si>
    <t>IX21</t>
    <phoneticPr fontId="1" type="noConversion"/>
  </si>
  <si>
    <t>IX23</t>
    <phoneticPr fontId="1" type="noConversion"/>
  </si>
  <si>
    <t>IX26</t>
    <phoneticPr fontId="1" type="noConversion"/>
  </si>
  <si>
    <t>IX27</t>
    <phoneticPr fontId="1" type="noConversion"/>
  </si>
  <si>
    <t>IX28</t>
    <phoneticPr fontId="1" type="noConversion"/>
  </si>
  <si>
    <t>IX29</t>
    <phoneticPr fontId="1" type="noConversion"/>
  </si>
  <si>
    <t>IX30</t>
    <phoneticPr fontId="1" type="noConversion"/>
  </si>
  <si>
    <t>IX31</t>
    <phoneticPr fontId="1" type="noConversion"/>
  </si>
  <si>
    <t>IY20</t>
    <phoneticPr fontId="1" type="noConversion"/>
  </si>
  <si>
    <t>IY22</t>
    <phoneticPr fontId="1" type="noConversion"/>
  </si>
  <si>
    <t>IY24</t>
    <phoneticPr fontId="1" type="noConversion"/>
  </si>
  <si>
    <t>IY25</t>
    <phoneticPr fontId="1" type="noConversion"/>
  </si>
  <si>
    <t>IY28</t>
    <phoneticPr fontId="1" type="noConversion"/>
  </si>
  <si>
    <t>IY31</t>
    <phoneticPr fontId="1" type="noConversion"/>
  </si>
  <si>
    <t>IY33</t>
    <phoneticPr fontId="1" type="noConversion"/>
  </si>
  <si>
    <t>IY35</t>
    <phoneticPr fontId="1" type="noConversion"/>
  </si>
  <si>
    <t>IZ61</t>
    <phoneticPr fontId="1" type="noConversion"/>
  </si>
  <si>
    <t>696</t>
    <phoneticPr fontId="1" type="noConversion"/>
  </si>
  <si>
    <t>477</t>
    <phoneticPr fontId="1" type="noConversion"/>
  </si>
  <si>
    <t>803</t>
    <phoneticPr fontId="1" type="noConversion"/>
  </si>
  <si>
    <r>
      <t xml:space="preserve">草港 D/S #2 </t>
    </r>
    <r>
      <rPr>
        <b/>
        <sz val="18"/>
        <rFont val="標楷體"/>
        <family val="4"/>
        <charset val="136"/>
      </rPr>
      <t>停電</t>
    </r>
    <r>
      <rPr>
        <sz val="14"/>
        <rFont val="標楷體"/>
        <family val="4"/>
        <charset val="136"/>
      </rPr>
      <t xml:space="preserve">  配  電  線  路  轉 供  操  作  程  序 表    1100408</t>
    </r>
    <phoneticPr fontId="11" type="noConversion"/>
  </si>
  <si>
    <t xml:space="preserve">HW041203號    </t>
    <phoneticPr fontId="11" type="noConversion"/>
  </si>
  <si>
    <t xml:space="preserve"> 110 年 04 月 12 日 上午操作</t>
    <phoneticPr fontId="11" type="noConversion"/>
  </si>
  <si>
    <t>操  作  程  序</t>
  </si>
  <si>
    <t>確認轉供及被轉供饋線線路狀況</t>
    <phoneticPr fontId="11" type="noConversion"/>
  </si>
  <si>
    <t>四</t>
    <phoneticPr fontId="11" type="noConversion"/>
  </si>
  <si>
    <t>溝墘S/S IT26溝北線 FDIR禁能</t>
    <phoneticPr fontId="11" type="noConversion"/>
  </si>
  <si>
    <t>七</t>
    <phoneticPr fontId="11" type="noConversion"/>
  </si>
  <si>
    <t>草港D/S 9H26草洋線 FDIR禁能</t>
    <phoneticPr fontId="11" type="noConversion"/>
  </si>
  <si>
    <t>十</t>
    <phoneticPr fontId="11" type="noConversion"/>
  </si>
  <si>
    <t>伸港S/S IV29伸三線 FDIR禁能</t>
    <phoneticPr fontId="11" type="noConversion"/>
  </si>
  <si>
    <t>各饋線  Tap  請調整</t>
    <phoneticPr fontId="11" type="noConversion"/>
  </si>
  <si>
    <t>草港D/S 9H24崙草線 FDIR禁能</t>
    <phoneticPr fontId="11" type="noConversion"/>
  </si>
  <si>
    <t>鹿東D/S IO25    線 改手動</t>
    <phoneticPr fontId="11" type="noConversion"/>
  </si>
  <si>
    <t>草港D/S 9H29草東線 FDIR禁能</t>
    <phoneticPr fontId="11" type="noConversion"/>
  </si>
  <si>
    <t>溝墘S/S IT26溝北線 改手動</t>
    <phoneticPr fontId="11" type="noConversion"/>
  </si>
  <si>
    <t>草港D/S 9H26草洋線 改手動</t>
    <phoneticPr fontId="11" type="noConversion"/>
  </si>
  <si>
    <t>伸港S/S IV29伸三線 改手動</t>
    <phoneticPr fontId="11" type="noConversion"/>
  </si>
  <si>
    <t>一</t>
    <phoneticPr fontId="11" type="noConversion"/>
  </si>
  <si>
    <t>和美S/S IJ34和張線 FDIR禁能</t>
    <phoneticPr fontId="11" type="noConversion"/>
  </si>
  <si>
    <t>草港D/S 9H24崙草線 改手動</t>
    <phoneticPr fontId="11" type="noConversion"/>
  </si>
  <si>
    <t>台</t>
    <phoneticPr fontId="11" type="noConversion"/>
  </si>
  <si>
    <t>鹿海幹46號(G2729EC22) 相別核對</t>
    <phoneticPr fontId="11" type="noConversion"/>
  </si>
  <si>
    <t>草港D/S 9H29草東線 改手動</t>
    <phoneticPr fontId="11" type="noConversion"/>
  </si>
  <si>
    <t>草港D/S 9H21下港線 FDIR禁能</t>
    <phoneticPr fontId="11" type="noConversion"/>
  </si>
  <si>
    <t>G3031-CA9134-O-S12 相別核對</t>
    <phoneticPr fontId="11" type="noConversion"/>
  </si>
  <si>
    <t>鹿東D/S IO25    線 LCO提高</t>
    <phoneticPr fontId="11" type="noConversion"/>
  </si>
  <si>
    <t>伸線幹48號(G3143EB75) 相別核對</t>
    <phoneticPr fontId="11" type="noConversion"/>
  </si>
  <si>
    <t>和美S/S IJ34和張線 改手動</t>
    <phoneticPr fontId="11" type="noConversion"/>
  </si>
  <si>
    <t>溝墘S/S IT26溝北線 LCO提高</t>
    <phoneticPr fontId="11" type="noConversion"/>
  </si>
  <si>
    <t>草港D/S 9H26草洋線 LCO提高</t>
    <phoneticPr fontId="11" type="noConversion"/>
  </si>
  <si>
    <t>伸港S/S IV29伸三線 LCO提高</t>
    <phoneticPr fontId="11" type="noConversion"/>
  </si>
  <si>
    <t>草港D/S 9H21下港線 改手動</t>
    <phoneticPr fontId="11" type="noConversion"/>
  </si>
  <si>
    <t>草港D/S 9H24崙草線 LCO提高</t>
    <phoneticPr fontId="11" type="noConversion"/>
  </si>
  <si>
    <t>A</t>
    <phoneticPr fontId="11" type="noConversion"/>
  </si>
  <si>
    <t>鹿海幹46號(G2729EC22) LBS切改入</t>
    <phoneticPr fontId="11" type="noConversion"/>
  </si>
  <si>
    <t>草港D/S 9H29草東線 LCO提高</t>
    <phoneticPr fontId="11" type="noConversion"/>
  </si>
  <si>
    <t>和線幹21號(G3336FD68) 相別核對</t>
    <phoneticPr fontId="11" type="noConversion"/>
  </si>
  <si>
    <t>G3031-CA9134-O-S12 切改入</t>
    <phoneticPr fontId="11" type="noConversion"/>
  </si>
  <si>
    <t>草港D/S 9H26草洋線 CB 入改切</t>
    <phoneticPr fontId="11" type="noConversion"/>
  </si>
  <si>
    <t>伸線幹48號(G3143EB75) LBS切改入</t>
    <phoneticPr fontId="11" type="noConversion"/>
  </si>
  <si>
    <t>和美S/S IJ34和張線 LCO提高</t>
    <phoneticPr fontId="11" type="noConversion"/>
  </si>
  <si>
    <t>草港D/S 9H24崙草線 CB 入改切</t>
    <phoneticPr fontId="11" type="noConversion"/>
  </si>
  <si>
    <t>洋厝幹25號(G2933EB5422) 入改切(出口)</t>
    <phoneticPr fontId="11" type="noConversion"/>
  </si>
  <si>
    <t>草港D/S 9H29草東線 CB 入改切</t>
    <phoneticPr fontId="11" type="noConversion"/>
  </si>
  <si>
    <t>草港D/S 9H21下港線 LCO提高</t>
    <phoneticPr fontId="11" type="noConversion"/>
  </si>
  <si>
    <t>帝寶幹1號 G3030FC47 入改切(出口)</t>
    <phoneticPr fontId="11" type="noConversion"/>
  </si>
  <si>
    <t>遙控改現場，開關操作電源切至OFF</t>
    <phoneticPr fontId="11" type="noConversion"/>
  </si>
  <si>
    <t>蚵伸幹55號 G3143FC20入改切(出口)</t>
    <phoneticPr fontId="11" type="noConversion"/>
  </si>
  <si>
    <t>和線幹21號(G3336FD68) LBS 切改入</t>
    <phoneticPr fontId="11" type="noConversion"/>
  </si>
  <si>
    <t>溝墘S/S IT26溝北線 LCO復原改自動</t>
    <phoneticPr fontId="11" type="noConversion"/>
  </si>
  <si>
    <t>鹿東D/S IO25    線 LCO復原改自動</t>
    <phoneticPr fontId="11" type="noConversion"/>
  </si>
  <si>
    <t>草港D/S 9H21下港線 CB 入改切</t>
    <phoneticPr fontId="11" type="noConversion"/>
  </si>
  <si>
    <t>草港D/S 9H24崙草線 LCO復原改自動</t>
    <phoneticPr fontId="11" type="noConversion"/>
  </si>
  <si>
    <t>草港D/S 9H26草洋線 LCO復原改自動</t>
    <phoneticPr fontId="11" type="noConversion"/>
  </si>
  <si>
    <t>伸港S/S IV29伸三線 LCO復原改自動</t>
    <phoneticPr fontId="11" type="noConversion"/>
  </si>
  <si>
    <t>下港幹64號 G3038BA9450入改切(出口)</t>
    <phoneticPr fontId="11" type="noConversion"/>
  </si>
  <si>
    <t>(請轄區巡修課派員配合操作)</t>
    <phoneticPr fontId="11" type="noConversion"/>
  </si>
  <si>
    <t>草港D/S 9H29草東線 LCO復原改自動</t>
    <phoneticPr fontId="11" type="noConversion"/>
  </si>
  <si>
    <t>和美S/S IJ34和張線 LCO復原改自動</t>
    <phoneticPr fontId="11" type="noConversion"/>
  </si>
  <si>
    <t>草港D/S 9H21下港線 LCO復原改自動</t>
    <phoneticPr fontId="11" type="noConversion"/>
  </si>
  <si>
    <t>五</t>
    <phoneticPr fontId="11" type="noConversion"/>
  </si>
  <si>
    <t>鹿港S/S IB28龍山線 FDIR禁能</t>
    <phoneticPr fontId="11" type="noConversion"/>
  </si>
  <si>
    <t>八</t>
    <phoneticPr fontId="11" type="noConversion"/>
  </si>
  <si>
    <t>草港D/S 9H27草港線 FDIR禁能</t>
    <phoneticPr fontId="11" type="noConversion"/>
  </si>
  <si>
    <t>鹿東D/S IO21    線 改手動</t>
    <phoneticPr fontId="11" type="noConversion"/>
  </si>
  <si>
    <t>草港D/S 9H34頂山線 改手動</t>
    <phoneticPr fontId="11" type="noConversion"/>
  </si>
  <si>
    <t>鹿港S/S IB28龍山線 改手動</t>
    <phoneticPr fontId="11" type="noConversion"/>
  </si>
  <si>
    <t>草港D/S 9H27草港線 改手動</t>
    <phoneticPr fontId="11" type="noConversion"/>
  </si>
  <si>
    <t>二</t>
    <phoneticPr fontId="11" type="noConversion"/>
  </si>
  <si>
    <t>草港D/S 9H38草嶺線 FDIR禁能</t>
    <phoneticPr fontId="11" type="noConversion"/>
  </si>
  <si>
    <t>鹽場分24X9-1號(G2626DD11) 相別核對</t>
    <phoneticPr fontId="11" type="noConversion"/>
  </si>
  <si>
    <t>崙尾幹2-1號(G2935HB03) 相別核對</t>
    <phoneticPr fontId="11" type="noConversion"/>
  </si>
  <si>
    <t>草港D/S 9H38草嶺線 改手動</t>
    <phoneticPr fontId="11" type="noConversion"/>
  </si>
  <si>
    <t>鹿東D/S IO21    線 LCO提高</t>
    <phoneticPr fontId="11" type="noConversion"/>
  </si>
  <si>
    <t>草港D/S 9H34頂山線 LCO提高</t>
    <phoneticPr fontId="11" type="noConversion"/>
  </si>
  <si>
    <t>草港D/S 9H22草塭線 改手動</t>
    <phoneticPr fontId="11" type="noConversion"/>
  </si>
  <si>
    <t>鹿港S/S IB28龍山線 LCO提高</t>
    <phoneticPr fontId="11" type="noConversion"/>
  </si>
  <si>
    <t>草港D/S 9H27草港線 LCO提高</t>
    <phoneticPr fontId="11" type="noConversion"/>
  </si>
  <si>
    <t>草港幹12Y0-1號(G3039FE01) 相別核對</t>
    <phoneticPr fontId="11" type="noConversion"/>
  </si>
  <si>
    <t>鹽場分24X9-1號(G2626DD11) LBS切改入</t>
    <phoneticPr fontId="11" type="noConversion"/>
  </si>
  <si>
    <t>崙尾幹2-1號(G2935HB03) LBS切改入</t>
    <phoneticPr fontId="11" type="noConversion"/>
  </si>
  <si>
    <t>草港D/S 9H38草嶺線 LCO提高</t>
    <phoneticPr fontId="11" type="noConversion"/>
  </si>
  <si>
    <t>鹽場分24X8-1號(G2626DD16) LBS入改切</t>
    <phoneticPr fontId="11" type="noConversion"/>
  </si>
  <si>
    <t>草港D/S 9H27草港線 CB 入改切</t>
    <phoneticPr fontId="11" type="noConversion"/>
  </si>
  <si>
    <t>草港D/S 9H22草塭線 LCO提高</t>
    <phoneticPr fontId="11" type="noConversion"/>
  </si>
  <si>
    <t>鹿東D/S IO21    線 LCO復原改自動</t>
    <phoneticPr fontId="11" type="noConversion"/>
  </si>
  <si>
    <t>草港幹58號(G2936GA7503) 入改切(出口)</t>
    <phoneticPr fontId="11" type="noConversion"/>
  </si>
  <si>
    <t>草港幹12Y0-1號(G3039FE01) LBS切改入</t>
    <phoneticPr fontId="11" type="noConversion"/>
  </si>
  <si>
    <t>鹿港S/S IB28龍山線 LCO復原改自動</t>
    <phoneticPr fontId="11" type="noConversion"/>
  </si>
  <si>
    <t>草港D/S 9H34頂山線 LCO復原改自動</t>
    <phoneticPr fontId="11" type="noConversion"/>
  </si>
  <si>
    <t>草港D/S 9H22草塭線 CB 入改切</t>
    <phoneticPr fontId="11" type="noConversion"/>
  </si>
  <si>
    <t>草港D/S 9H27草港線 LCO復原改自動</t>
    <phoneticPr fontId="11" type="noConversion"/>
  </si>
  <si>
    <t>重光幹3號(G3038BB24) 入改切(出口)</t>
    <phoneticPr fontId="11" type="noConversion"/>
  </si>
  <si>
    <t>六</t>
    <phoneticPr fontId="11" type="noConversion"/>
  </si>
  <si>
    <t>草港D/S 9H38草嶺線 LCO復原改自動</t>
    <phoneticPr fontId="11" type="noConversion"/>
  </si>
  <si>
    <t>九</t>
    <phoneticPr fontId="11" type="noConversion"/>
  </si>
  <si>
    <t>草港D/S 9H39草伸線 FDIR禁能</t>
    <phoneticPr fontId="11" type="noConversion"/>
  </si>
  <si>
    <t>草港D/S 9H22草塭線 LCO復原改自動</t>
    <phoneticPr fontId="11" type="noConversion"/>
  </si>
  <si>
    <t>草港D/S 9H25南勢線 改手動</t>
    <phoneticPr fontId="11" type="noConversion"/>
  </si>
  <si>
    <t>草港D/S 9H39草伸線 改手動</t>
    <phoneticPr fontId="11" type="noConversion"/>
  </si>
  <si>
    <t>G2726-DA16-O-S12 相別核對</t>
    <phoneticPr fontId="11" type="noConversion"/>
  </si>
  <si>
    <t>草港D/S 9H28草莊線 改手動</t>
    <phoneticPr fontId="11" type="noConversion"/>
  </si>
  <si>
    <t>頭犁幹45號(G3235CA57) 相別核對</t>
    <phoneticPr fontId="11" type="noConversion"/>
  </si>
  <si>
    <t>三</t>
    <phoneticPr fontId="11" type="noConversion"/>
  </si>
  <si>
    <t>草港D/S 9H25南勢線 LCO提高</t>
    <phoneticPr fontId="11" type="noConversion"/>
  </si>
  <si>
    <t>草港D/S 9H39草伸線 LCO提高</t>
    <phoneticPr fontId="11" type="noConversion"/>
  </si>
  <si>
    <t>草港D/S 9H23崙尾線 改手動</t>
    <phoneticPr fontId="11" type="noConversion"/>
  </si>
  <si>
    <t>G2726-DA16-O-S12 切改入</t>
    <phoneticPr fontId="11" type="noConversion"/>
  </si>
  <si>
    <t>草港D/S 9H28草莊線 LCO提高</t>
    <phoneticPr fontId="11" type="noConversion"/>
  </si>
  <si>
    <t>西崙幹 64號(G2835CB49) 相別核對</t>
    <phoneticPr fontId="11" type="noConversion"/>
  </si>
  <si>
    <t>草港D/S 9H25南勢線 CB 入改切</t>
    <phoneticPr fontId="11" type="noConversion"/>
  </si>
  <si>
    <t>頭犁幹45號(G3235CA57) LBS切改入</t>
    <phoneticPr fontId="11" type="noConversion"/>
  </si>
  <si>
    <t>草港幹86號 G2933FD73 入改切(出口)</t>
    <phoneticPr fontId="11" type="noConversion"/>
  </si>
  <si>
    <t>草港D/S 9H28草莊線 CB 入改切</t>
    <phoneticPr fontId="11" type="noConversion"/>
  </si>
  <si>
    <t>草港D/S 9H23崙尾線 LCO提高</t>
    <phoneticPr fontId="11" type="noConversion"/>
  </si>
  <si>
    <t>草犁幹2號 G3037AA02 入改切(出口)</t>
    <phoneticPr fontId="11" type="noConversion"/>
  </si>
  <si>
    <t>西崙幹 64號(G2835CB49)LBS切改入</t>
    <phoneticPr fontId="11" type="noConversion"/>
  </si>
  <si>
    <t>草港D/S 9H23崙尾線 CB 入改切</t>
    <phoneticPr fontId="11" type="noConversion"/>
  </si>
  <si>
    <t>草港D/S 9H25南勢線 LCO復原改自動</t>
    <phoneticPr fontId="11" type="noConversion"/>
  </si>
  <si>
    <t>草港D/S 9H39草伸線 LCO復原改自動</t>
    <phoneticPr fontId="11" type="noConversion"/>
  </si>
  <si>
    <t>崙尾幹5號 G2935FC91入改切(出口)</t>
    <phoneticPr fontId="11" type="noConversion"/>
  </si>
  <si>
    <t>草港D/S 9H28草莊線 LCO復原改自動</t>
    <phoneticPr fontId="11" type="noConversion"/>
  </si>
  <si>
    <t>草港D/S 9H23崙尾線 LCO復原改自動</t>
    <phoneticPr fontId="11" type="noConversion"/>
  </si>
  <si>
    <r>
      <t xml:space="preserve">草港 D/S #2 </t>
    </r>
    <r>
      <rPr>
        <b/>
        <sz val="18"/>
        <rFont val="標楷體"/>
        <family val="4"/>
        <charset val="136"/>
      </rPr>
      <t>復電</t>
    </r>
    <r>
      <rPr>
        <sz val="14"/>
        <rFont val="標楷體"/>
        <family val="4"/>
        <charset val="136"/>
      </rPr>
      <t xml:space="preserve">  配  電  線  路  復  原  操  作  程  序</t>
    </r>
    <phoneticPr fontId="11" type="noConversion"/>
  </si>
  <si>
    <t xml:space="preserve"> 110 年 04 月 16 日 下午操作</t>
    <phoneticPr fontId="11" type="noConversion"/>
  </si>
  <si>
    <t>確認接地線已拆除</t>
    <phoneticPr fontId="11" type="noConversion"/>
  </si>
  <si>
    <t>鹿港S/S IB28龍山線 LCO提高改手動</t>
    <phoneticPr fontId="11" type="noConversion"/>
  </si>
  <si>
    <t>和美S/S IJ34和張線 LCO提高改手動</t>
    <phoneticPr fontId="11" type="noConversion"/>
  </si>
  <si>
    <t>草港D/S 9H21、9H22、9H23、9H24、9H25</t>
    <phoneticPr fontId="11" type="noConversion"/>
  </si>
  <si>
    <t>草港D/S 9H25南勢線 LCO提高改手動</t>
    <phoneticPr fontId="11" type="noConversion"/>
  </si>
  <si>
    <t>草港D/S 9H21下港線 LCO提高改手動</t>
    <phoneticPr fontId="11" type="noConversion"/>
  </si>
  <si>
    <t>、9H26、9H27、9H28、9H29</t>
    <phoneticPr fontId="11" type="noConversion"/>
  </si>
  <si>
    <t>草港幹86號 G2933FD73 切改入(出口)</t>
    <phoneticPr fontId="11" type="noConversion"/>
  </si>
  <si>
    <t>下港幹64號 G3038BA9450切改入(出口)</t>
    <phoneticPr fontId="11" type="noConversion"/>
  </si>
  <si>
    <t>CB 推入定位保持啟斷</t>
    <phoneticPr fontId="11" type="noConversion"/>
  </si>
  <si>
    <t>現場改遙控，開關操作電源切至ON</t>
    <phoneticPr fontId="11" type="noConversion"/>
  </si>
  <si>
    <t>草港D/S 9H21下港線 CB 切改入</t>
    <phoneticPr fontId="11" type="noConversion"/>
  </si>
  <si>
    <t>草港D/S 9H25南勢線 CB 切改入</t>
    <phoneticPr fontId="11" type="noConversion"/>
  </si>
  <si>
    <t>和線幹21號(G3336FD68) LBS 入改切</t>
    <phoneticPr fontId="11" type="noConversion"/>
  </si>
  <si>
    <t>伸港S/S IV29伸三線 LCO提高改手動</t>
    <phoneticPr fontId="11" type="noConversion"/>
  </si>
  <si>
    <t>G2726-DA16-O-S12 入改切</t>
    <phoneticPr fontId="11" type="noConversion"/>
  </si>
  <si>
    <t>草港D/S 9H29草東線 LCO提高改手動</t>
    <phoneticPr fontId="11" type="noConversion"/>
  </si>
  <si>
    <t>蚵伸幹55號 G3143FC20切改入(出口)</t>
    <phoneticPr fontId="11" type="noConversion"/>
  </si>
  <si>
    <t>草港D/S 9H29草東線 CB 切改入</t>
    <phoneticPr fontId="11" type="noConversion"/>
  </si>
  <si>
    <t>各饋線  Tap  請復原</t>
    <phoneticPr fontId="11" type="noConversion"/>
  </si>
  <si>
    <t>伸線幹48號(G3143EB75) LBS入改切</t>
    <phoneticPr fontId="11" type="noConversion"/>
  </si>
  <si>
    <t>鹿東D/S IO21    線 LCO提高改手動</t>
    <phoneticPr fontId="11" type="noConversion"/>
  </si>
  <si>
    <t>鹽場分24X8-1號(G2626DD16) LBS切改入</t>
    <phoneticPr fontId="11" type="noConversion"/>
  </si>
  <si>
    <t>鹽場分24X9-1號(G2626DD11) LBS入改切</t>
    <phoneticPr fontId="11" type="noConversion"/>
  </si>
  <si>
    <t>草港D/S 9H39草伸線 LCO提高改手動</t>
    <phoneticPr fontId="11" type="noConversion"/>
  </si>
  <si>
    <t>草港D/S 9H28草莊線 LCO提高改手動</t>
    <phoneticPr fontId="11" type="noConversion"/>
  </si>
  <si>
    <t>草犁幹2號 G3037AA02 切改入(出口)</t>
    <phoneticPr fontId="11" type="noConversion"/>
  </si>
  <si>
    <t>溝墘S/S IT26溝北線 LCO提高改手動</t>
    <phoneticPr fontId="11" type="noConversion"/>
  </si>
  <si>
    <t>草港D/S 9H28草莊線 CB 切改入</t>
    <phoneticPr fontId="11" type="noConversion"/>
  </si>
  <si>
    <t>草港D/S 9H24崙草線 LCO提高改手動</t>
    <phoneticPr fontId="11" type="noConversion"/>
  </si>
  <si>
    <t>頭犁幹45號(G3235CA57) LBS入改切</t>
    <phoneticPr fontId="11" type="noConversion"/>
  </si>
  <si>
    <t>帝寶幹1號 G3030FC47 切改入(出口)</t>
    <phoneticPr fontId="11" type="noConversion"/>
  </si>
  <si>
    <t>草港D/S 9H24崙草線 CB 切改入</t>
    <phoneticPr fontId="11" type="noConversion"/>
  </si>
  <si>
    <t>G3031-CA9134-O-S12 入改切</t>
    <phoneticPr fontId="11" type="noConversion"/>
  </si>
  <si>
    <t>草港D/S 9H34頂山線 LCO提高改手動</t>
    <phoneticPr fontId="11" type="noConversion"/>
  </si>
  <si>
    <t>草港D/S 9H27草港線 LCO提高改手動</t>
    <phoneticPr fontId="11" type="noConversion"/>
  </si>
  <si>
    <t>草港幹58號(G2936GA7503) 切改入(出口)</t>
    <phoneticPr fontId="11" type="noConversion"/>
  </si>
  <si>
    <t>草港D/S 9H27草港線 CB 切改入</t>
    <phoneticPr fontId="11" type="noConversion"/>
  </si>
  <si>
    <t>草港D/S 9H23崙尾線 LCO提高改手動</t>
    <phoneticPr fontId="11" type="noConversion"/>
  </si>
  <si>
    <t>崙尾幹2-1號(G2935HB03) LBS入改切</t>
    <phoneticPr fontId="11" type="noConversion"/>
  </si>
  <si>
    <t>崙尾幹5號 G2935FC91切改入(出口)</t>
    <phoneticPr fontId="11" type="noConversion"/>
  </si>
  <si>
    <t>草港D/S 9H23崙尾線 CB 切改入</t>
    <phoneticPr fontId="11" type="noConversion"/>
  </si>
  <si>
    <t>西崙幹 64號(G2835CB49) LBS入改切</t>
    <phoneticPr fontId="11" type="noConversion"/>
  </si>
  <si>
    <t>鹿東D/S IO25    線 LCO提高改手動</t>
    <phoneticPr fontId="11" type="noConversion"/>
  </si>
  <si>
    <t>草港D/S 9H26草洋線 LCO提高改手動</t>
    <phoneticPr fontId="11" type="noConversion"/>
  </si>
  <si>
    <t>洋厝幹25號(G2933EB5422) 切改入(出口)</t>
    <phoneticPr fontId="11" type="noConversion"/>
  </si>
  <si>
    <t>草港D/S 9H38草嶺線 LCO提高改手動</t>
    <phoneticPr fontId="11" type="noConversion"/>
  </si>
  <si>
    <t>草港D/S 9H22草塭線 LCO提高改手動</t>
    <phoneticPr fontId="11" type="noConversion"/>
  </si>
  <si>
    <t>草港D/S 9H26草洋線 CB 切改入</t>
    <phoneticPr fontId="11" type="noConversion"/>
  </si>
  <si>
    <t>重光幹3號(G3038BB24) 切改入(出口)</t>
    <phoneticPr fontId="11" type="noConversion"/>
  </si>
  <si>
    <t>鹿海幹46號(G2729EC22) LBS入改切</t>
    <phoneticPr fontId="11" type="noConversion"/>
  </si>
  <si>
    <t>草港D/S 9H22草塭線 CB 切改入</t>
    <phoneticPr fontId="11" type="noConversion"/>
  </si>
  <si>
    <t>草港幹12Y0-1號(G3039FE01) LBS入改切</t>
    <phoneticPr fontId="11" type="noConversion"/>
  </si>
  <si>
    <t>567</t>
    <phoneticPr fontId="1" type="noConversion"/>
  </si>
  <si>
    <t>794</t>
    <phoneticPr fontId="1" type="noConversion"/>
  </si>
  <si>
    <t>416</t>
    <phoneticPr fontId="1" type="noConversion"/>
  </si>
  <si>
    <t>485</t>
    <phoneticPr fontId="1" type="noConversion"/>
  </si>
  <si>
    <t>710</t>
    <phoneticPr fontId="1" type="noConversion"/>
  </si>
  <si>
    <t>552</t>
    <phoneticPr fontId="1" type="noConversion"/>
  </si>
  <si>
    <t>767</t>
    <phoneticPr fontId="1" type="noConversion"/>
  </si>
  <si>
    <t>509</t>
    <phoneticPr fontId="1" type="noConversion"/>
  </si>
  <si>
    <t>323</t>
    <phoneticPr fontId="1" type="noConversion"/>
  </si>
  <si>
    <t>763</t>
    <phoneticPr fontId="1" type="noConversion"/>
  </si>
  <si>
    <t>797</t>
    <phoneticPr fontId="1" type="noConversion"/>
  </si>
  <si>
    <t>619</t>
    <phoneticPr fontId="1" type="noConversion"/>
  </si>
  <si>
    <t>680</t>
    <phoneticPr fontId="1" type="noConversion"/>
  </si>
  <si>
    <t>598</t>
    <phoneticPr fontId="1" type="noConversion"/>
  </si>
  <si>
    <t>301</t>
    <phoneticPr fontId="1" type="noConversion"/>
  </si>
  <si>
    <t>869</t>
    <phoneticPr fontId="1" type="noConversion"/>
  </si>
  <si>
    <t>321</t>
    <phoneticPr fontId="1" type="noConversion"/>
  </si>
  <si>
    <t>426</t>
    <phoneticPr fontId="1" type="noConversion"/>
  </si>
  <si>
    <t>變電所</t>
    <phoneticPr fontId="1" type="noConversion"/>
  </si>
  <si>
    <t>437</t>
    <phoneticPr fontId="1" type="noConversion"/>
  </si>
  <si>
    <t>293</t>
    <phoneticPr fontId="1" type="noConversion"/>
  </si>
  <si>
    <t>324</t>
    <phoneticPr fontId="1" type="noConversion"/>
  </si>
  <si>
    <t>669</t>
    <phoneticPr fontId="1" type="noConversion"/>
  </si>
  <si>
    <t>279</t>
    <phoneticPr fontId="1" type="noConversion"/>
  </si>
  <si>
    <t>984</t>
    <phoneticPr fontId="1" type="noConversion"/>
  </si>
  <si>
    <t>290</t>
    <phoneticPr fontId="1" type="noConversion"/>
  </si>
  <si>
    <t>168</t>
    <phoneticPr fontId="1" type="noConversion"/>
  </si>
  <si>
    <t>866</t>
    <phoneticPr fontId="1" type="noConversion"/>
  </si>
  <si>
    <t>729</t>
    <phoneticPr fontId="1" type="noConversion"/>
  </si>
  <si>
    <t>652</t>
    <phoneticPr fontId="1" type="noConversion"/>
  </si>
  <si>
    <t>582</t>
    <phoneticPr fontId="1" type="noConversion"/>
  </si>
  <si>
    <t>726</t>
    <phoneticPr fontId="1" type="noConversion"/>
  </si>
  <si>
    <t>756</t>
    <phoneticPr fontId="1" type="noConversion"/>
  </si>
  <si>
    <t>383</t>
    <phoneticPr fontId="1" type="noConversion"/>
  </si>
  <si>
    <t>313</t>
    <phoneticPr fontId="1" type="noConversion"/>
  </si>
  <si>
    <t>319</t>
    <phoneticPr fontId="1" type="noConversion"/>
  </si>
  <si>
    <t>384</t>
    <phoneticPr fontId="1" type="noConversion"/>
  </si>
  <si>
    <t>773</t>
    <phoneticPr fontId="1" type="noConversion"/>
  </si>
  <si>
    <t>486</t>
    <phoneticPr fontId="1" type="noConversion"/>
  </si>
  <si>
    <t>433</t>
    <phoneticPr fontId="1" type="noConversion"/>
  </si>
  <si>
    <t>445</t>
    <phoneticPr fontId="1" type="noConversion"/>
  </si>
  <si>
    <t>543</t>
    <phoneticPr fontId="1" type="noConversion"/>
  </si>
  <si>
    <t>786</t>
    <phoneticPr fontId="1" type="noConversion"/>
  </si>
  <si>
    <t>542</t>
    <phoneticPr fontId="1" type="noConversion"/>
  </si>
  <si>
    <t>733</t>
    <phoneticPr fontId="1" type="noConversion"/>
  </si>
  <si>
    <t>892</t>
    <phoneticPr fontId="1" type="noConversion"/>
  </si>
  <si>
    <t>812</t>
    <phoneticPr fontId="1" type="noConversion"/>
  </si>
  <si>
    <t>467</t>
    <phoneticPr fontId="1" type="noConversion"/>
  </si>
  <si>
    <t>1014</t>
    <phoneticPr fontId="1" type="noConversion"/>
  </si>
  <si>
    <t>1025</t>
    <phoneticPr fontId="1" type="noConversion"/>
  </si>
  <si>
    <t>939</t>
    <phoneticPr fontId="1" type="noConversion"/>
  </si>
  <si>
    <t>277</t>
    <phoneticPr fontId="1" type="noConversion"/>
  </si>
  <si>
    <t>827</t>
    <phoneticPr fontId="1" type="noConversion"/>
  </si>
  <si>
    <t>440</t>
    <phoneticPr fontId="1" type="noConversion"/>
  </si>
  <si>
    <t>361</t>
    <phoneticPr fontId="1" type="noConversion"/>
  </si>
  <si>
    <t>637</t>
    <phoneticPr fontId="1" type="noConversion"/>
  </si>
  <si>
    <t>341</t>
    <phoneticPr fontId="1" type="noConversion"/>
  </si>
  <si>
    <t>539</t>
    <phoneticPr fontId="1" type="noConversion"/>
  </si>
  <si>
    <t>910</t>
    <phoneticPr fontId="1" type="noConversion"/>
  </si>
  <si>
    <t>725</t>
    <phoneticPr fontId="1" type="noConversion"/>
  </si>
  <si>
    <t>403</t>
    <phoneticPr fontId="1" type="noConversion"/>
  </si>
  <si>
    <t>1052</t>
    <phoneticPr fontId="1" type="noConversion"/>
  </si>
  <si>
    <t>1015</t>
    <phoneticPr fontId="1" type="noConversion"/>
  </si>
  <si>
    <t>307</t>
    <phoneticPr fontId="1" type="noConversion"/>
  </si>
  <si>
    <t>310</t>
    <phoneticPr fontId="1" type="noConversion"/>
  </si>
  <si>
    <t>303</t>
    <phoneticPr fontId="1" type="noConversion"/>
  </si>
  <si>
    <t>日期</t>
    <phoneticPr fontId="1" type="noConversion"/>
  </si>
  <si>
    <t>小時</t>
  </si>
  <si>
    <t>A(R)</t>
  </si>
  <si>
    <t>A(S)</t>
  </si>
  <si>
    <t>A(T)</t>
  </si>
  <si>
    <t>A(N)</t>
  </si>
  <si>
    <t>9A75(9A75)</t>
  </si>
  <si>
    <t>9A76(9A76)</t>
  </si>
  <si>
    <t>9A77(9A77)</t>
  </si>
  <si>
    <t>停電饋線</t>
    <phoneticPr fontId="1" type="noConversion"/>
  </si>
  <si>
    <t>轉供饋線</t>
    <phoneticPr fontId="1" type="noConversion"/>
  </si>
  <si>
    <t>饋線代號</t>
  </si>
  <si>
    <t>線路變壓器用戶數</t>
  </si>
  <si>
    <t>高壓用戶用戶數</t>
  </si>
  <si>
    <t>合計用戶數</t>
  </si>
  <si>
    <t>9A21</t>
  </si>
  <si>
    <t>9A22</t>
  </si>
  <si>
    <t>9A23</t>
  </si>
  <si>
    <t>9A24</t>
  </si>
  <si>
    <t>9A69</t>
  </si>
  <si>
    <t>9H40</t>
  </si>
  <si>
    <t>IA50</t>
  </si>
  <si>
    <t>IB35</t>
  </si>
  <si>
    <t>IC20</t>
  </si>
  <si>
    <t>IC21</t>
  </si>
  <si>
    <t>IC22</t>
  </si>
  <si>
    <t>IC23</t>
  </si>
  <si>
    <t>IC24</t>
  </si>
  <si>
    <t>IC25</t>
  </si>
  <si>
    <t>IC26</t>
  </si>
  <si>
    <t>IC27</t>
  </si>
  <si>
    <t>IC28</t>
  </si>
  <si>
    <t>IC29</t>
  </si>
  <si>
    <t>IC30</t>
  </si>
  <si>
    <t>IC31</t>
  </si>
  <si>
    <t>IC32</t>
  </si>
  <si>
    <t>IC33</t>
  </si>
  <si>
    <t>IC34</t>
  </si>
  <si>
    <t>IC35</t>
  </si>
  <si>
    <t>IC36</t>
  </si>
  <si>
    <t>IC37</t>
  </si>
  <si>
    <t>IC38</t>
  </si>
  <si>
    <t>IC39</t>
  </si>
  <si>
    <t>IC40</t>
  </si>
  <si>
    <t>IC41</t>
  </si>
  <si>
    <t>IC42</t>
  </si>
  <si>
    <t>IC43</t>
  </si>
  <si>
    <t>IC45</t>
  </si>
  <si>
    <t>ID33</t>
  </si>
  <si>
    <t>ID34</t>
  </si>
  <si>
    <t>ID35</t>
  </si>
  <si>
    <t>IG25</t>
  </si>
  <si>
    <t>IH30</t>
  </si>
  <si>
    <t>II35</t>
  </si>
  <si>
    <t>IJ35</t>
  </si>
  <si>
    <t>IK50</t>
  </si>
  <si>
    <t>IL33</t>
  </si>
  <si>
    <t>IL34</t>
  </si>
  <si>
    <t>IL35</t>
  </si>
  <si>
    <t>IN35</t>
  </si>
  <si>
    <t>IP35</t>
  </si>
  <si>
    <t>IR30</t>
  </si>
  <si>
    <t>IT35</t>
  </si>
  <si>
    <t>IV20</t>
  </si>
  <si>
    <t>IV23</t>
  </si>
  <si>
    <t>IV26</t>
  </si>
  <si>
    <t>IV27</t>
  </si>
  <si>
    <t>IV28</t>
  </si>
  <si>
    <t>IV30</t>
  </si>
  <si>
    <t>IW35</t>
  </si>
  <si>
    <t>IX35</t>
  </si>
  <si>
    <t>IY30</t>
  </si>
  <si>
    <t>IZ66</t>
  </si>
  <si>
    <t>9A70(9A70)</t>
  </si>
  <si>
    <t>9A61(9A61)</t>
  </si>
  <si>
    <t>9A62(9A62)</t>
  </si>
  <si>
    <t>9A63(9A63)</t>
  </si>
  <si>
    <t>9A64(9A64)</t>
  </si>
  <si>
    <t>9A65(9A65)</t>
  </si>
  <si>
    <t>頂晶(9APV1)</t>
  </si>
  <si>
    <t>9A66(9A66)</t>
  </si>
  <si>
    <t>9A51(9A51)</t>
  </si>
  <si>
    <t>9A52(9A52)</t>
  </si>
  <si>
    <t>9A53(9A53)</t>
  </si>
  <si>
    <t>9A54(9A54)</t>
  </si>
  <si>
    <t>9A55(9A55)</t>
  </si>
  <si>
    <t>9A56(9A56)</t>
  </si>
  <si>
    <t>變電所頁數</t>
    <phoneticPr fontId="1" type="noConversion"/>
  </si>
  <si>
    <t>9M20(9M20)</t>
  </si>
  <si>
    <t>9M21(9M21)</t>
  </si>
  <si>
    <t>9M22(9M22)</t>
  </si>
  <si>
    <t>9M23(9M23)</t>
  </si>
  <si>
    <t>9M24(9M24)</t>
  </si>
  <si>
    <t>9M25(9M25)</t>
  </si>
  <si>
    <t>9M26(9M26)</t>
  </si>
  <si>
    <t>9M27(9M27)</t>
  </si>
  <si>
    <t>9M28(9M28)</t>
  </si>
  <si>
    <t>9M29(9M29)</t>
  </si>
  <si>
    <t>9M30(9M30)</t>
  </si>
  <si>
    <t>9M31(9M31)</t>
  </si>
  <si>
    <t>9M32(9M32)</t>
  </si>
  <si>
    <t>9M33(9M33)</t>
  </si>
  <si>
    <t>9M34(9M34)</t>
  </si>
  <si>
    <t>9M35(9M35)</t>
  </si>
  <si>
    <t>9M36(9M36)</t>
  </si>
  <si>
    <t>9M37(9M37)</t>
  </si>
  <si>
    <t>9M38(9M38)</t>
  </si>
  <si>
    <t>9M39(9M39)</t>
  </si>
  <si>
    <t>9AE0(9AE0)</t>
  </si>
  <si>
    <t>9A68(9A68)</t>
  </si>
  <si>
    <t>9A67(9A67)</t>
  </si>
  <si>
    <t>9A59(9A59)</t>
  </si>
  <si>
    <t>9A58(9A58)</t>
  </si>
  <si>
    <t>9A57(9A57)</t>
  </si>
  <si>
    <t>No</t>
  </si>
  <si>
    <t>自動化開關數量</t>
    <phoneticPr fontId="1" type="noConversion"/>
  </si>
  <si>
    <t>備註</t>
    <phoneticPr fontId="1" type="noConversion"/>
  </si>
  <si>
    <t>圖號座標(出口桿)</t>
    <phoneticPr fontId="1" type="noConversion"/>
  </si>
  <si>
    <t>桿號/地址</t>
  </si>
  <si>
    <t>類別</t>
    <phoneticPr fontId="1" type="noConversion"/>
  </si>
  <si>
    <t>自動化</t>
  </si>
  <si>
    <t>年度</t>
  </si>
  <si>
    <t>備註(更改前)</t>
    <phoneticPr fontId="1" type="noConversion"/>
  </si>
  <si>
    <t>彰新D/S</t>
    <phoneticPr fontId="93" type="noConversion"/>
  </si>
  <si>
    <t>G4029FB15</t>
    <phoneticPr fontId="1" type="noConversion"/>
  </si>
  <si>
    <t>彰化市三民路109號</t>
    <phoneticPr fontId="1" type="noConversion"/>
  </si>
  <si>
    <t>地下</t>
    <phoneticPr fontId="93" type="noConversion"/>
  </si>
  <si>
    <t>否</t>
    <phoneticPr fontId="1" type="noConversion"/>
  </si>
  <si>
    <t>規劃課</t>
    <phoneticPr fontId="1" type="noConversion"/>
  </si>
  <si>
    <t>G3930GB68</t>
  </si>
  <si>
    <t>彰化市金馬路三段53巷</t>
    <phoneticPr fontId="1" type="noConversion"/>
  </si>
  <si>
    <t>是</t>
    <phoneticPr fontId="1" type="noConversion"/>
  </si>
  <si>
    <t>第九期</t>
    <phoneticPr fontId="1" type="noConversion"/>
  </si>
  <si>
    <t>G4031DC96</t>
  </si>
  <si>
    <t>彰化市金馬路</t>
  </si>
  <si>
    <t>110年</t>
    <phoneticPr fontId="93" type="noConversion"/>
  </si>
  <si>
    <t>第十期</t>
    <phoneticPr fontId="1" type="noConversion"/>
  </si>
  <si>
    <t>G4032AC21</t>
  </si>
  <si>
    <t>茂盛高幹#5</t>
  </si>
  <si>
    <t>架空</t>
    <phoneticPr fontId="93" type="noConversion"/>
  </si>
  <si>
    <t>G4232FC40</t>
  </si>
  <si>
    <t>寶部高分#12</t>
  </si>
  <si>
    <t>G4031FD48</t>
    <phoneticPr fontId="1" type="noConversion"/>
  </si>
  <si>
    <t>阿夷高幹#8-1</t>
    <phoneticPr fontId="1" type="noConversion"/>
  </si>
  <si>
    <t>G4031AD50</t>
  </si>
  <si>
    <t>新庄高幹#1</t>
    <phoneticPr fontId="1" type="noConversion"/>
  </si>
  <si>
    <t>G3933EC24</t>
  </si>
  <si>
    <t>犁盛高幹#1</t>
  </si>
  <si>
    <t>出口桿通訊異常  (七期)</t>
    <phoneticPr fontId="1" type="noConversion"/>
  </si>
  <si>
    <t>彰化市光復路</t>
  </si>
  <si>
    <t>G4129DB32</t>
  </si>
  <si>
    <t>彰化市中民街和園大樓</t>
  </si>
  <si>
    <t>G4029GB23</t>
  </si>
  <si>
    <t>彰化市民生路371 號配電場</t>
  </si>
  <si>
    <t>G4031BA71</t>
  </si>
  <si>
    <t>彰化市金馬路二段643號</t>
    <phoneticPr fontId="1" type="noConversion"/>
  </si>
  <si>
    <t>G4031DB22</t>
  </si>
  <si>
    <t>彰化市金馬路二段517號</t>
    <phoneticPr fontId="1" type="noConversion"/>
  </si>
  <si>
    <t>G4030BE15</t>
    <phoneticPr fontId="1" type="noConversion"/>
  </si>
  <si>
    <t>金馬路二段643號</t>
  </si>
  <si>
    <t>G4028DE61</t>
  </si>
  <si>
    <t>彰化市中正路1段566號喬友大廈</t>
  </si>
  <si>
    <t>G4031AC86</t>
  </si>
  <si>
    <t>彰化市彰新路二段配電場</t>
  </si>
  <si>
    <t>G3931EA78</t>
    <phoneticPr fontId="93" type="noConversion"/>
  </si>
  <si>
    <t>彰美高幹#3</t>
    <phoneticPr fontId="93" type="noConversion"/>
  </si>
  <si>
    <t>G3931HB21</t>
  </si>
  <si>
    <t>彰化市金馬路二段692巷120號</t>
    <phoneticPr fontId="1" type="noConversion"/>
  </si>
  <si>
    <t>G4031AD5417</t>
  </si>
  <si>
    <t>中寮高幹#10-1</t>
  </si>
  <si>
    <t>G4131GD74</t>
  </si>
  <si>
    <t>彰化市建國北路172巷12弄8號陽明大邸</t>
  </si>
  <si>
    <t>G4432CA79</t>
  </si>
  <si>
    <t>國聖井高幹#4</t>
  </si>
  <si>
    <t>G3929EC17</t>
  </si>
  <si>
    <t>彰化市孝德街24巷</t>
  </si>
  <si>
    <t>G4031GC69</t>
  </si>
  <si>
    <t>彰化市金馬路二段321號</t>
  </si>
  <si>
    <t>G4127AC34</t>
  </si>
  <si>
    <t>彰化市中山路二段418號台電彰化區營業處</t>
  </si>
  <si>
    <t>G4031CB05</t>
  </si>
  <si>
    <t>和美鎮彰新路(彰化二廠)矽品精密</t>
    <phoneticPr fontId="1" type="noConversion"/>
  </si>
  <si>
    <t>G4229CB06</t>
    <phoneticPr fontId="1" type="noConversion"/>
  </si>
  <si>
    <t>彰化市中山路三段27號配電場</t>
    <phoneticPr fontId="1" type="noConversion"/>
  </si>
  <si>
    <t>G4132BB68</t>
  </si>
  <si>
    <t>茄苳高分#1-1</t>
  </si>
  <si>
    <t>G4130GB83</t>
  </si>
  <si>
    <t>彰化市三福街230巷1號陽明世紀</t>
  </si>
  <si>
    <t>G4028GC52</t>
  </si>
  <si>
    <t>彰化市民生路249號</t>
  </si>
  <si>
    <t>G4030AB41</t>
  </si>
  <si>
    <t>彰化市自立街204-1號</t>
  </si>
  <si>
    <t>鹿港S/S</t>
    <phoneticPr fontId="93" type="noConversion"/>
  </si>
  <si>
    <t>G2621BB75</t>
  </si>
  <si>
    <t>二港高幹#5</t>
  </si>
  <si>
    <t>G2523HC43</t>
    <phoneticPr fontId="1" type="noConversion"/>
  </si>
  <si>
    <t>鹿港鎮光復路4號配電場</t>
  </si>
  <si>
    <t>G2621DA49</t>
    <phoneticPr fontId="1" type="noConversion"/>
  </si>
  <si>
    <t>龍山高幹#32</t>
  </si>
  <si>
    <t>G2621DA13</t>
    <phoneticPr fontId="1" type="noConversion"/>
  </si>
  <si>
    <t>龍山高幹#35</t>
  </si>
  <si>
    <t>G2722EC76</t>
    <phoneticPr fontId="1" type="noConversion"/>
  </si>
  <si>
    <t>好修高幹#1</t>
  </si>
  <si>
    <t>G2726HE1239 未納入監控</t>
    <phoneticPr fontId="1" type="noConversion"/>
  </si>
  <si>
    <t>G2722ED62</t>
  </si>
  <si>
    <t>鹿港高幹#2</t>
  </si>
  <si>
    <t>G2724CC5221</t>
    <phoneticPr fontId="1" type="noConversion"/>
  </si>
  <si>
    <t>鹿港鎮中正路配電場</t>
  </si>
  <si>
    <t>G2723BD25</t>
  </si>
  <si>
    <t>鹿港鎮復興路配電場</t>
    <phoneticPr fontId="1" type="noConversion"/>
  </si>
  <si>
    <t>G2726GC28</t>
  </si>
  <si>
    <t>鹿草高幹#40</t>
  </si>
  <si>
    <t>鹿港鎮館前街19號配電場</t>
  </si>
  <si>
    <t>鹿港鎮光明街110號領先建設</t>
  </si>
  <si>
    <t>G2722EC82</t>
  </si>
  <si>
    <t>好修高幹#2</t>
  </si>
  <si>
    <t>G2624CA74</t>
  </si>
  <si>
    <t>鹿中高幹#24</t>
    <phoneticPr fontId="1" type="noConversion"/>
  </si>
  <si>
    <t>G2821AA29</t>
    <phoneticPr fontId="1" type="noConversion"/>
  </si>
  <si>
    <t>永豐高幹#121</t>
  </si>
  <si>
    <t>溪湖S/S</t>
    <phoneticPr fontId="93" type="noConversion"/>
  </si>
  <si>
    <t>G3203EA00</t>
  </si>
  <si>
    <t>溪湖鎮員鹿路三段413巷7號溪湖泰欣零售市場</t>
    <phoneticPr fontId="1" type="noConversion"/>
  </si>
  <si>
    <t>K3298GC13</t>
  </si>
  <si>
    <t>埤興高幹#4</t>
  </si>
  <si>
    <t>G3300BB89</t>
  </si>
  <si>
    <t>溪湖鎮忠工路配電場</t>
  </si>
  <si>
    <t>G3201ED52</t>
  </si>
  <si>
    <t>萬興高幹#17</t>
  </si>
  <si>
    <t>G3301DB14</t>
  </si>
  <si>
    <t>溪湖鎮湖東街29號配電場</t>
  </si>
  <si>
    <t>G3301DC90</t>
    <phoneticPr fontId="1" type="noConversion"/>
  </si>
  <si>
    <t>二重高幹5Y#1</t>
  </si>
  <si>
    <t>G3301DA8260</t>
  </si>
  <si>
    <t>溪東高幹#1Z1</t>
  </si>
  <si>
    <t>G3302BA04</t>
    <phoneticPr fontId="1" type="noConversion"/>
  </si>
  <si>
    <t>溪湖鎮東環路</t>
    <phoneticPr fontId="1" type="noConversion"/>
  </si>
  <si>
    <t>G3201HC43</t>
    <phoneticPr fontId="1" type="noConversion"/>
  </si>
  <si>
    <t>溪湖鎮員鹿路與彰水路附近溪湖鎮農會</t>
    <phoneticPr fontId="1" type="noConversion"/>
  </si>
  <si>
    <t>G3200HB46</t>
    <phoneticPr fontId="1" type="noConversion"/>
  </si>
  <si>
    <t>溪湖鎮東環路配電場</t>
    <phoneticPr fontId="1" type="noConversion"/>
  </si>
  <si>
    <t>G3101ED02</t>
    <phoneticPr fontId="1" type="noConversion"/>
  </si>
  <si>
    <t>萬興高幹35Y#2</t>
    <phoneticPr fontId="1" type="noConversion"/>
  </si>
  <si>
    <t>G3301EA20</t>
  </si>
  <si>
    <t>溪東高幹#2</t>
  </si>
  <si>
    <t>K3299HA0631</t>
  </si>
  <si>
    <t>溪埤高幹#29-1</t>
  </si>
  <si>
    <t>二林S/S</t>
    <phoneticPr fontId="93" type="noConversion"/>
  </si>
  <si>
    <t>K1787HA23</t>
  </si>
  <si>
    <t>大城高幹#33-1</t>
  </si>
  <si>
    <t>K1988CD85</t>
  </si>
  <si>
    <t>竹塘高幹#4</t>
  </si>
  <si>
    <t>K1787HA42</t>
    <phoneticPr fontId="1" type="noConversion"/>
  </si>
  <si>
    <t>大城高幹33-1X#1</t>
  </si>
  <si>
    <t>K1988CC35</t>
    <phoneticPr fontId="1" type="noConversion"/>
  </si>
  <si>
    <t>二林高幹#3</t>
    <phoneticPr fontId="1" type="noConversion"/>
  </si>
  <si>
    <t>K1988BD11</t>
    <phoneticPr fontId="1" type="noConversion"/>
  </si>
  <si>
    <t>芳苑高幹#1</t>
  </si>
  <si>
    <t>K1887BC26</t>
  </si>
  <si>
    <t>路上高幹#1</t>
  </si>
  <si>
    <t>K1989CB49</t>
  </si>
  <si>
    <t>草湖高幹6X#6</t>
  </si>
  <si>
    <t>K1988AC55</t>
  </si>
  <si>
    <t>二林高幹#9</t>
  </si>
  <si>
    <t>K1787HA52</t>
  </si>
  <si>
    <t>大城高幹33-1X#1-1</t>
  </si>
  <si>
    <t>K1988CC56</t>
  </si>
  <si>
    <t>二林高幹3X#1</t>
  </si>
  <si>
    <t>溪州S/S</t>
    <phoneticPr fontId="93" type="noConversion"/>
  </si>
  <si>
    <t>K3478DE52</t>
  </si>
  <si>
    <t>瓦厝高幹#11</t>
  </si>
  <si>
    <t>K3477FA08</t>
    <phoneticPr fontId="1" type="noConversion"/>
  </si>
  <si>
    <t>溪州鄉中央路三段225號配電場</t>
    <phoneticPr fontId="1" type="noConversion"/>
  </si>
  <si>
    <t>K2976HB38</t>
    <phoneticPr fontId="1" type="noConversion"/>
  </si>
  <si>
    <t>中和高幹#65</t>
    <phoneticPr fontId="1" type="noConversion"/>
  </si>
  <si>
    <t>K2976HE33</t>
    <phoneticPr fontId="1" type="noConversion"/>
  </si>
  <si>
    <t>路合高幹#2</t>
  </si>
  <si>
    <t>K3478FD86</t>
  </si>
  <si>
    <t>埔尾高幹#26</t>
    <phoneticPr fontId="1" type="noConversion"/>
  </si>
  <si>
    <t>K3476BE26</t>
  </si>
  <si>
    <t>溪州鄉俊智路</t>
  </si>
  <si>
    <t>K3378FB73</t>
  </si>
  <si>
    <t>路口厝高幹#3-1</t>
  </si>
  <si>
    <t>K3478DE42</t>
  </si>
  <si>
    <t>瓦厝高幹#12</t>
    <phoneticPr fontId="1" type="noConversion"/>
  </si>
  <si>
    <t>K3377GE85</t>
  </si>
  <si>
    <t>埔尾高幹#1</t>
  </si>
  <si>
    <t>K2778CD6737</t>
  </si>
  <si>
    <t>路口厝高幹#135</t>
  </si>
  <si>
    <t>K3182FD69</t>
  </si>
  <si>
    <t>埤頭鄉埤圳北路配電場</t>
  </si>
  <si>
    <t>K3282AB91</t>
  </si>
  <si>
    <t>埤頭鄉埤圳北路338號前配電場</t>
  </si>
  <si>
    <t>K2679CA48</t>
    <phoneticPr fontId="1" type="noConversion"/>
  </si>
  <si>
    <t>土庫高幹#1</t>
    <phoneticPr fontId="1" type="noConversion"/>
  </si>
  <si>
    <t>K2679GB88</t>
    <phoneticPr fontId="1" type="noConversion"/>
  </si>
  <si>
    <t>路口厝高幹144Y#3</t>
    <phoneticPr fontId="1" type="noConversion"/>
  </si>
  <si>
    <t>K3475FA08</t>
  </si>
  <si>
    <t>潮洋高幹#26</t>
  </si>
  <si>
    <t>K3478BA87</t>
    <phoneticPr fontId="1" type="noConversion"/>
  </si>
  <si>
    <t>溪州鄉中山路配電場</t>
  </si>
  <si>
    <t>K3478AB90</t>
  </si>
  <si>
    <t>埤頭高幹#1</t>
  </si>
  <si>
    <t>K3377GE42</t>
    <phoneticPr fontId="1" type="noConversion"/>
  </si>
  <si>
    <t>溪州鄉中山路二段705號配電場</t>
  </si>
  <si>
    <t>K3478ED52</t>
    <phoneticPr fontId="1" type="noConversion"/>
  </si>
  <si>
    <t>溪崙高幹#1</t>
    <phoneticPr fontId="1" type="noConversion"/>
  </si>
  <si>
    <t>K2778EB74</t>
  </si>
  <si>
    <t>新廣高分#3</t>
  </si>
  <si>
    <t>田中D/S</t>
    <phoneticPr fontId="93" type="noConversion"/>
  </si>
  <si>
    <t>K4476EC71</t>
  </si>
  <si>
    <t>新工三高分#11-1</t>
    <phoneticPr fontId="1" type="noConversion"/>
  </si>
  <si>
    <t>K4378AA68</t>
  </si>
  <si>
    <t>中新高分63X#3</t>
  </si>
  <si>
    <t>K4378AA45</t>
  </si>
  <si>
    <t>中新高分63X#2</t>
  </si>
  <si>
    <t>K4680AB55</t>
  </si>
  <si>
    <t>卓乃潭高幹#1</t>
  </si>
  <si>
    <t>K4478GA14</t>
  </si>
  <si>
    <t>田中高幹#38-1</t>
  </si>
  <si>
    <t>K4477FB38</t>
  </si>
  <si>
    <t>新工一高分#5</t>
  </si>
  <si>
    <t>K4578ED39</t>
  </si>
  <si>
    <t>沙崙高分#1-1</t>
  </si>
  <si>
    <t>K4579HD70</t>
  </si>
  <si>
    <t>田斗高幹#11</t>
  </si>
  <si>
    <t>K4780CA66</t>
  </si>
  <si>
    <t>許厝寮高幹#2-1</t>
  </si>
  <si>
    <t>K4580GD63</t>
  </si>
  <si>
    <t>三潭高幹4空X#5</t>
  </si>
  <si>
    <t>K4476FC96</t>
  </si>
  <si>
    <t>大同高幹21-1X#2</t>
  </si>
  <si>
    <t>K4377GA67</t>
  </si>
  <si>
    <t>中西高分15-1Y#2</t>
  </si>
  <si>
    <t>K4678GA04</t>
    <phoneticPr fontId="1" type="noConversion"/>
  </si>
  <si>
    <t>二水高幹#13-1</t>
  </si>
  <si>
    <t>K4780AB84</t>
  </si>
  <si>
    <t>社頭高幹#2-1</t>
    <phoneticPr fontId="1" type="noConversion"/>
  </si>
  <si>
    <t>K4580GC39</t>
  </si>
  <si>
    <t>卓乃潭高幹#7-1</t>
    <phoneticPr fontId="1" type="noConversion"/>
  </si>
  <si>
    <t>K4476DC77</t>
  </si>
  <si>
    <t>新工二高分#15-1</t>
    <phoneticPr fontId="1" type="noConversion"/>
  </si>
  <si>
    <t>K4478GA34</t>
  </si>
  <si>
    <t>大同高幹#1</t>
    <phoneticPr fontId="1" type="noConversion"/>
  </si>
  <si>
    <t>K4579EA00</t>
  </si>
  <si>
    <t>田斗高幹17-2X#16</t>
  </si>
  <si>
    <t>K4377AE6545</t>
  </si>
  <si>
    <t>中新高分#64-1</t>
    <phoneticPr fontId="1" type="noConversion"/>
  </si>
  <si>
    <t>K4678EA72</t>
  </si>
  <si>
    <t>二水高幹18Y#7</t>
  </si>
  <si>
    <t>彰西S/S</t>
    <phoneticPr fontId="93" type="noConversion"/>
  </si>
  <si>
    <t>G3727FC97</t>
    <phoneticPr fontId="1" type="noConversion"/>
  </si>
  <si>
    <t>美草高幹#2</t>
    <phoneticPr fontId="1" type="noConversion"/>
  </si>
  <si>
    <t>G3729FB6114</t>
    <phoneticPr fontId="1" type="noConversion"/>
  </si>
  <si>
    <t>下湳高幹#2</t>
    <phoneticPr fontId="1" type="noConversion"/>
  </si>
  <si>
    <t>G3726GC33</t>
  </si>
  <si>
    <t>平安高幹#17-1</t>
  </si>
  <si>
    <t>G3728CC95</t>
  </si>
  <si>
    <t>鎮平高幹#109-1</t>
  </si>
  <si>
    <t>G3726FC5143</t>
  </si>
  <si>
    <t>永芳高幹#13-1</t>
  </si>
  <si>
    <t>G3826GE15</t>
    <phoneticPr fontId="1" type="noConversion"/>
  </si>
  <si>
    <t xml:space="preserve">彰化市精誠路21巷 </t>
    <phoneticPr fontId="1" type="noConversion"/>
  </si>
  <si>
    <t>G3926AE90</t>
  </si>
  <si>
    <t>彰化市精華街配電場</t>
  </si>
  <si>
    <t>G3925BE78</t>
    <phoneticPr fontId="1" type="noConversion"/>
  </si>
  <si>
    <t>彰化市平和13街72號</t>
    <phoneticPr fontId="1" type="noConversion"/>
  </si>
  <si>
    <t>G3925BD00</t>
    <phoneticPr fontId="1" type="noConversion"/>
  </si>
  <si>
    <t>彰化市平和十街71號誠洲園邸園</t>
    <phoneticPr fontId="1" type="noConversion"/>
  </si>
  <si>
    <t>G3825GD63</t>
    <phoneticPr fontId="1" type="noConversion"/>
  </si>
  <si>
    <t>彰化市中央路266號彰化郵局大樓</t>
    <phoneticPr fontId="1" type="noConversion"/>
  </si>
  <si>
    <t>G3727FB8965</t>
  </si>
  <si>
    <t>永芳高幹#2</t>
  </si>
  <si>
    <t>G3728DC68</t>
  </si>
  <si>
    <t>源埤高幹#11</t>
  </si>
  <si>
    <t>G3825GE3603</t>
    <phoneticPr fontId="1" type="noConversion"/>
  </si>
  <si>
    <t>彰化市中華西路416號旁配電場</t>
    <phoneticPr fontId="1" type="noConversion"/>
  </si>
  <si>
    <t>G3727HE57</t>
    <phoneticPr fontId="1" type="noConversion"/>
  </si>
  <si>
    <t>彰化市彰草路498號配電場</t>
    <phoneticPr fontId="1" type="noConversion"/>
  </si>
  <si>
    <t>G3725FB7719</t>
  </si>
  <si>
    <t>西南高幹#2</t>
  </si>
  <si>
    <t>彰南S/S</t>
    <phoneticPr fontId="93" type="noConversion"/>
  </si>
  <si>
    <t>G4025AE29</t>
  </si>
  <si>
    <t>彰化市仁愛路137巷16號皇家中庭家園</t>
    <phoneticPr fontId="1" type="noConversion"/>
  </si>
  <si>
    <t>G4025FE15</t>
    <phoneticPr fontId="1" type="noConversion"/>
  </si>
  <si>
    <t>彰化市中山路二段配電場</t>
    <phoneticPr fontId="1" type="noConversion"/>
  </si>
  <si>
    <t>G3924HC88</t>
  </si>
  <si>
    <t>彰化市中山路大埔排水溝旁配電場</t>
    <phoneticPr fontId="1" type="noConversion"/>
  </si>
  <si>
    <t>G3924HC80</t>
    <phoneticPr fontId="1" type="noConversion"/>
  </si>
  <si>
    <t>彰化市中山路一段410號</t>
    <phoneticPr fontId="1" type="noConversion"/>
  </si>
  <si>
    <t>G3923HC30</t>
  </si>
  <si>
    <t>南埔高幹#5</t>
  </si>
  <si>
    <t>G4024CC76</t>
    <phoneticPr fontId="1" type="noConversion"/>
  </si>
  <si>
    <t>彰化市延平路545號中山國宅大樓</t>
    <phoneticPr fontId="1" type="noConversion"/>
  </si>
  <si>
    <t>G4025CB74</t>
  </si>
  <si>
    <t>彰化市中山路一段556巷21弄24號龍家堡大樓</t>
  </si>
  <si>
    <t>G4024BE38</t>
  </si>
  <si>
    <t>彰化市中山路一段542號</t>
    <phoneticPr fontId="1" type="noConversion"/>
  </si>
  <si>
    <t>G4026HB87</t>
  </si>
  <si>
    <t>彰化市南校街135號彰化基督教醫院</t>
  </si>
  <si>
    <t>G4025BE05</t>
  </si>
  <si>
    <t>彰化市民族路129巷38號</t>
  </si>
  <si>
    <t>G4025AA93</t>
  </si>
  <si>
    <t>彰化市中山路一段521號彰南S/S</t>
  </si>
  <si>
    <t>G3923HB1516</t>
  </si>
  <si>
    <t>南沙高幹#2</t>
  </si>
  <si>
    <t>G4025HD28</t>
  </si>
  <si>
    <t>彰化市大埔路676-1號</t>
  </si>
  <si>
    <t>G3922FE3422</t>
    <phoneticPr fontId="1" type="noConversion"/>
  </si>
  <si>
    <t>南興高幹#37</t>
  </si>
  <si>
    <t>G3925HB77</t>
  </si>
  <si>
    <t>彰化市四維路69巷1弄1號龍大第大廈</t>
    <phoneticPr fontId="1" type="noConversion"/>
  </si>
  <si>
    <t>和美S/S</t>
    <phoneticPr fontId="93" type="noConversion"/>
  </si>
  <si>
    <t>G3435CC59</t>
  </si>
  <si>
    <t>和西高幹#7-1</t>
    <phoneticPr fontId="1" type="noConversion"/>
  </si>
  <si>
    <t>G3437DC4909</t>
  </si>
  <si>
    <t>和美高幹#1</t>
    <phoneticPr fontId="1" type="noConversion"/>
  </si>
  <si>
    <t>G3439AE80</t>
    <phoneticPr fontId="1" type="noConversion"/>
  </si>
  <si>
    <t>伸港高幹15X#1-1</t>
    <phoneticPr fontId="1" type="noConversion"/>
  </si>
  <si>
    <t>G3335FD97</t>
    <phoneticPr fontId="1" type="noConversion"/>
  </si>
  <si>
    <t>頭梨高幹#92</t>
    <phoneticPr fontId="1" type="noConversion"/>
  </si>
  <si>
    <t>G3436DA06</t>
    <phoneticPr fontId="1" type="noConversion"/>
  </si>
  <si>
    <t>和線高幹#1</t>
  </si>
  <si>
    <t>G3438CD25</t>
    <phoneticPr fontId="1" type="noConversion"/>
  </si>
  <si>
    <t>伸港高幹#1</t>
    <phoneticPr fontId="1" type="noConversion"/>
  </si>
  <si>
    <t>G3438CD19</t>
  </si>
  <si>
    <t>伸港高幹#2</t>
  </si>
  <si>
    <t>G3438CD2096</t>
  </si>
  <si>
    <t>和東高幹#2</t>
  </si>
  <si>
    <t>G3438CD21</t>
  </si>
  <si>
    <t>和東高幹#1</t>
    <phoneticPr fontId="1" type="noConversion"/>
  </si>
  <si>
    <t>G3436DA01</t>
    <phoneticPr fontId="1" type="noConversion"/>
  </si>
  <si>
    <t>和美鎮道周路825號旁</t>
    <phoneticPr fontId="1" type="noConversion"/>
  </si>
  <si>
    <t>G3338FC3646</t>
  </si>
  <si>
    <t>伸德東幹#23</t>
  </si>
  <si>
    <t>G3440BA17</t>
  </si>
  <si>
    <t>汴頭高幹#2</t>
    <phoneticPr fontId="1" type="noConversion"/>
  </si>
  <si>
    <t>G3437AC1962</t>
    <phoneticPr fontId="1" type="noConversion"/>
  </si>
  <si>
    <t>下犁高幹#2</t>
    <phoneticPr fontId="1" type="noConversion"/>
  </si>
  <si>
    <t>G3435DD41</t>
  </si>
  <si>
    <t>和西高幹#5</t>
  </si>
  <si>
    <t>G3436EE79</t>
  </si>
  <si>
    <t>和美鎮德美路766號配電場</t>
  </si>
  <si>
    <t>彰化D/S</t>
    <phoneticPr fontId="93" type="noConversion"/>
  </si>
  <si>
    <t>G3622DA1698</t>
  </si>
  <si>
    <t>崎溝高幹#13</t>
  </si>
  <si>
    <t>原: G3721ED0712</t>
    <phoneticPr fontId="1" type="noConversion"/>
  </si>
  <si>
    <t>自動化:否</t>
    <phoneticPr fontId="1" type="noConversion"/>
  </si>
  <si>
    <t>G3722FD71</t>
  </si>
  <si>
    <t>湳尾高幹1X#1</t>
    <phoneticPr fontId="1" type="noConversion"/>
  </si>
  <si>
    <t>G3920HD30</t>
  </si>
  <si>
    <t>白沙高幹#7</t>
  </si>
  <si>
    <t>G3721CE18</t>
  </si>
  <si>
    <t>皇裕高幹#1</t>
  </si>
  <si>
    <t>G3920BB79</t>
  </si>
  <si>
    <t>花壇高幹#44</t>
  </si>
  <si>
    <t>G3921EC2534</t>
  </si>
  <si>
    <t>花壇鄉北口村中山路二段789號配電場</t>
  </si>
  <si>
    <t>G3718FE11</t>
  </si>
  <si>
    <t>秀安高幹#20</t>
  </si>
  <si>
    <t>G3622DA16</t>
  </si>
  <si>
    <t>崎溝高幹#14</t>
  </si>
  <si>
    <t>G3718BE80</t>
  </si>
  <si>
    <t>溪心高幹#7</t>
  </si>
  <si>
    <t>G3722FE99</t>
  </si>
  <si>
    <t>彰化市彰水路183巷35號配電場</t>
    <phoneticPr fontId="1" type="noConversion"/>
  </si>
  <si>
    <t>G3723EA69</t>
  </si>
  <si>
    <t>彰化市彰水路183巷15號配電場</t>
  </si>
  <si>
    <t>G3723CA15</t>
  </si>
  <si>
    <t>莿桐高幹#1</t>
  </si>
  <si>
    <t>G3721DC11</t>
  </si>
  <si>
    <t>安溪高幹#1-1</t>
  </si>
  <si>
    <t>G3920BC46</t>
  </si>
  <si>
    <t>花壇高幹#41-1</t>
  </si>
  <si>
    <t>G3718EE92</t>
  </si>
  <si>
    <t>秀安高幹#19</t>
  </si>
  <si>
    <t>G3718EE72</t>
  </si>
  <si>
    <t>秀安高幹18空Y#1</t>
  </si>
  <si>
    <t>G3722FC32</t>
  </si>
  <si>
    <t>湳尾高幹#1</t>
  </si>
  <si>
    <t>G3718DE69</t>
  </si>
  <si>
    <t>秀安高幹#16-2</t>
    <phoneticPr fontId="1" type="noConversion"/>
  </si>
  <si>
    <t>員南S/S</t>
    <phoneticPr fontId="93" type="noConversion"/>
  </si>
  <si>
    <t>IL21</t>
    <phoneticPr fontId="93" type="noConversion"/>
  </si>
  <si>
    <t>K4398AE44</t>
  </si>
  <si>
    <t>埔心鄉柳橋東路66號配電場</t>
  </si>
  <si>
    <t>K4498AB86</t>
    <phoneticPr fontId="1" type="noConversion"/>
  </si>
  <si>
    <t>太平高幹#1</t>
  </si>
  <si>
    <t>K4398CB6838</t>
  </si>
  <si>
    <t>員林市中山路一段146號配電場</t>
    <phoneticPr fontId="1" type="noConversion"/>
  </si>
  <si>
    <t>K4498AB76</t>
  </si>
  <si>
    <t>太平高幹#1-1</t>
  </si>
  <si>
    <t>K4498CC64</t>
  </si>
  <si>
    <t>萬年高幹#2</t>
  </si>
  <si>
    <t>IL20</t>
    <phoneticPr fontId="93" type="noConversion"/>
  </si>
  <si>
    <t>K4398HB58</t>
    <phoneticPr fontId="93" type="noConversion"/>
  </si>
  <si>
    <t>員林市員林大排水配電場</t>
    <phoneticPr fontId="1" type="noConversion"/>
  </si>
  <si>
    <t>原:</t>
    <phoneticPr fontId="1" type="noConversion"/>
  </si>
  <si>
    <t>K4498AC73</t>
    <phoneticPr fontId="1" type="noConversion"/>
  </si>
  <si>
    <t>經口高幹#2</t>
  </si>
  <si>
    <t>K4498DB47</t>
  </si>
  <si>
    <t>百果高幹#4-1</t>
  </si>
  <si>
    <t>K4398EC86</t>
  </si>
  <si>
    <t>潤發高幹#1</t>
  </si>
  <si>
    <t>K4398DC42</t>
  </si>
  <si>
    <t>太平高幹#13</t>
  </si>
  <si>
    <t>K4397AC19</t>
  </si>
  <si>
    <t>太平高幹#26</t>
    <phoneticPr fontId="1" type="noConversion"/>
  </si>
  <si>
    <t>7.5+0.5=7.5</t>
    <phoneticPr fontId="1" type="noConversion"/>
  </si>
  <si>
    <t>九期</t>
    <phoneticPr fontId="1" type="noConversion"/>
  </si>
  <si>
    <t>K4498CC53</t>
  </si>
  <si>
    <t>萬年高幹#1</t>
  </si>
  <si>
    <t>K4498AB96</t>
  </si>
  <si>
    <t>員南高幹#1</t>
  </si>
  <si>
    <t>大竹S/S</t>
    <phoneticPr fontId="93" type="noConversion"/>
  </si>
  <si>
    <t>G4530AA91</t>
  </si>
  <si>
    <t>渡船高幹#2</t>
  </si>
  <si>
    <t>G4529AC86</t>
  </si>
  <si>
    <t>大竹高幹#3</t>
  </si>
  <si>
    <t>G4530CD68</t>
  </si>
  <si>
    <t>牛埔高幹#1-1</t>
    <phoneticPr fontId="1" type="noConversion"/>
  </si>
  <si>
    <t>G4529BA59</t>
  </si>
  <si>
    <t>山坑高分#4</t>
  </si>
  <si>
    <t>G4628GE52</t>
    <phoneticPr fontId="1" type="noConversion"/>
  </si>
  <si>
    <t>大竹高幹34Y#1</t>
  </si>
  <si>
    <t>G4530CD58</t>
  </si>
  <si>
    <t>牛埔高幹#1</t>
  </si>
  <si>
    <t>G4529AC17</t>
  </si>
  <si>
    <t>中莊高幹#2</t>
  </si>
  <si>
    <t>G4529AC47</t>
  </si>
  <si>
    <t>中莊高幹#1</t>
  </si>
  <si>
    <t>G4529AC76</t>
  </si>
  <si>
    <t>大竹高幹#2</t>
  </si>
  <si>
    <t>G4531HA63</t>
  </si>
  <si>
    <t>渡橋高幹59Y#7</t>
  </si>
  <si>
    <t>G4530BA13</t>
  </si>
  <si>
    <t>渡船高幹#1</t>
  </si>
  <si>
    <t>大村S/S</t>
    <phoneticPr fontId="93" type="noConversion"/>
  </si>
  <si>
    <t>G4211DE92</t>
  </si>
  <si>
    <t>中興高幹#3</t>
    <phoneticPr fontId="1" type="noConversion"/>
  </si>
  <si>
    <t>G4211FA19</t>
  </si>
  <si>
    <t>村上高幹#1</t>
  </si>
  <si>
    <t>G4211FB10</t>
  </si>
  <si>
    <t>村上高幹#2</t>
    <phoneticPr fontId="1" type="noConversion"/>
  </si>
  <si>
    <t>G4212EC41</t>
  </si>
  <si>
    <t>三春高幹#9</t>
    <phoneticPr fontId="1" type="noConversion"/>
  </si>
  <si>
    <t>G4210FE23</t>
  </si>
  <si>
    <t>大村高幹#13</t>
  </si>
  <si>
    <t>G4211DD5911</t>
  </si>
  <si>
    <t>花壇鄉中山路配電場</t>
  </si>
  <si>
    <t>G4211DE24</t>
  </si>
  <si>
    <t>金墩高幹#3</t>
    <phoneticPr fontId="1" type="noConversion"/>
  </si>
  <si>
    <t>原:G4211DE50</t>
    <phoneticPr fontId="1" type="noConversion"/>
  </si>
  <si>
    <t>G4212HC67</t>
    <phoneticPr fontId="1" type="noConversion"/>
  </si>
  <si>
    <t>三春高幹#20</t>
  </si>
  <si>
    <t>G4211GB9055</t>
    <phoneticPr fontId="1" type="noConversion"/>
  </si>
  <si>
    <t>長春高幹#4</t>
  </si>
  <si>
    <t>G4212CB4137</t>
  </si>
  <si>
    <t>三春高幹#1</t>
    <phoneticPr fontId="1" type="noConversion"/>
  </si>
  <si>
    <t>G4115AA29</t>
    <phoneticPr fontId="1" type="noConversion"/>
  </si>
  <si>
    <t>花壇鄉花南路426號</t>
  </si>
  <si>
    <t>G4114HB00</t>
  </si>
  <si>
    <t>內庄高幹#28</t>
  </si>
  <si>
    <t>G4211ED53</t>
  </si>
  <si>
    <t>大村高幹2X#2</t>
  </si>
  <si>
    <t>G4211GA3999</t>
  </si>
  <si>
    <t>長春高幹#2</t>
    <phoneticPr fontId="1" type="noConversion"/>
  </si>
  <si>
    <t>鹿東D/S</t>
    <phoneticPr fontId="93" type="noConversion"/>
  </si>
  <si>
    <t>G2226FC00</t>
  </si>
  <si>
    <t>鹿港工業西五路20號炳昌五金</t>
  </si>
  <si>
    <t>G2429FA40</t>
  </si>
  <si>
    <t>鹿港鎮鹿工北一路6號聲遠公司</t>
  </si>
  <si>
    <t>G2327BE43</t>
  </si>
  <si>
    <t>鹿港鎮鹿工路與工業路交叉口配電場</t>
  </si>
  <si>
    <t>G2427BE94</t>
  </si>
  <si>
    <t>鹿港鎮鹿工路鹿工北二路交叉口配電場</t>
  </si>
  <si>
    <t>G2428FE01</t>
  </si>
  <si>
    <t>鹿港鎮鹿工北一路3號長安機械公司</t>
  </si>
  <si>
    <t>G2327FD79</t>
  </si>
  <si>
    <t>鹿港鎮鹿工路5號恒美化工</t>
  </si>
  <si>
    <t>G2626DC19</t>
  </si>
  <si>
    <t>鹽場高分24X#10</t>
  </si>
  <si>
    <t>G2726BB81</t>
  </si>
  <si>
    <t>鹿港鎮台17線公路邊配電場</t>
  </si>
  <si>
    <t>G2726BB23</t>
  </si>
  <si>
    <t>鹿港鎮台17 線配電場</t>
    <phoneticPr fontId="1" type="noConversion"/>
  </si>
  <si>
    <t>G2623HE21</t>
    <phoneticPr fontId="1" type="noConversion"/>
  </si>
  <si>
    <t>北頭高幹#16</t>
    <phoneticPr fontId="1" type="noConversion"/>
  </si>
  <si>
    <t>G2726CA49</t>
  </si>
  <si>
    <t>鹿海高幹#1</t>
  </si>
  <si>
    <t>G2427GA65</t>
  </si>
  <si>
    <t>鹿港鎮臨海路三段配電場</t>
  </si>
  <si>
    <t>G2227DB61</t>
  </si>
  <si>
    <t>鹿港鎮鹿工南三路大宇紡織公司</t>
  </si>
  <si>
    <t>G2327DE24</t>
  </si>
  <si>
    <t>鹿港鎮鹿工路10號大倡國際公司</t>
    <phoneticPr fontId="1" type="noConversion"/>
  </si>
  <si>
    <t>G2125FA41</t>
    <phoneticPr fontId="1" type="noConversion"/>
  </si>
  <si>
    <t>鹿港鎮環工八路尚泰五金</t>
    <phoneticPr fontId="1" type="noConversion"/>
  </si>
  <si>
    <t>G2226GC80</t>
  </si>
  <si>
    <t>鹿港鎮工業西五路12號冠邦鏡業</t>
    <phoneticPr fontId="1" type="noConversion"/>
  </si>
  <si>
    <t>G2428CE34(2W無監控,FTU為4W)</t>
    <phoneticPr fontId="1" type="noConversion"/>
  </si>
  <si>
    <t>G2428CE34</t>
    <phoneticPr fontId="1" type="noConversion"/>
  </si>
  <si>
    <t>鹿港鎮鹿工北二路3號柏佑公司</t>
    <phoneticPr fontId="1" type="noConversion"/>
  </si>
  <si>
    <t>G2128GC75</t>
    <phoneticPr fontId="1" type="noConversion"/>
  </si>
  <si>
    <t>鹿港鎮鹿工段77-86地號中鴻鋼鐵</t>
    <phoneticPr fontId="1" type="noConversion"/>
  </si>
  <si>
    <t>G2225BE00</t>
  </si>
  <si>
    <t>鹿港鎮鹿工南四路30號台明將企業</t>
  </si>
  <si>
    <t>G2428AB32</t>
    <phoneticPr fontId="1" type="noConversion"/>
  </si>
  <si>
    <t>鹿港鎮鹿工北二路秀傳紀念醫院</t>
  </si>
  <si>
    <t>G2327HB47</t>
  </si>
  <si>
    <t>鹿港鎮鹿工南二路6號世鴻工業</t>
  </si>
  <si>
    <t>G2327ED58</t>
  </si>
  <si>
    <t>鹿港鎮鹿工路7號福壽實業公司</t>
  </si>
  <si>
    <t>G2428AD11</t>
    <phoneticPr fontId="1" type="noConversion"/>
  </si>
  <si>
    <t>鹿港鎮工業東三路9號旁配電場</t>
    <phoneticPr fontId="1" type="noConversion"/>
  </si>
  <si>
    <t>G2329GB91</t>
  </si>
  <si>
    <t>鹿港鎮工業東四路10號泓杰企業公司</t>
    <phoneticPr fontId="1" type="noConversion"/>
  </si>
  <si>
    <t>福工S/S</t>
    <phoneticPr fontId="93" type="noConversion"/>
  </si>
  <si>
    <t>0.5+1</t>
    <phoneticPr fontId="1" type="noConversion"/>
  </si>
  <si>
    <t>G3314GB7701</t>
  </si>
  <si>
    <t>番花高幹#1</t>
    <phoneticPr fontId="1" type="noConversion"/>
  </si>
  <si>
    <t>0.5+2</t>
  </si>
  <si>
    <t>G3413GE4840</t>
  </si>
  <si>
    <t>金興高幹#11</t>
    <phoneticPr fontId="1" type="noConversion"/>
  </si>
  <si>
    <t>G3413FC4925</t>
  </si>
  <si>
    <t>部仔高幹#1</t>
  </si>
  <si>
    <t>G3413DA45</t>
  </si>
  <si>
    <t>福興鄉興工路17-1號配電場</t>
  </si>
  <si>
    <t>G3513BC88</t>
  </si>
  <si>
    <t>金崙高幹#5</t>
  </si>
  <si>
    <t>G3413DD73</t>
  </si>
  <si>
    <t>福興鄉興業路配電場</t>
  </si>
  <si>
    <t>0.5+2</t>
    <phoneticPr fontId="1" type="noConversion"/>
  </si>
  <si>
    <t>G3314GB67</t>
  </si>
  <si>
    <t>番花高幹#2</t>
    <phoneticPr fontId="1" type="noConversion"/>
  </si>
  <si>
    <t>0+1</t>
    <phoneticPr fontId="1" type="noConversion"/>
  </si>
  <si>
    <t>G3413GC23</t>
    <phoneticPr fontId="1" type="noConversion"/>
  </si>
  <si>
    <t>南港高幹#1</t>
    <phoneticPr fontId="1" type="noConversion"/>
  </si>
  <si>
    <t>G3413EC46</t>
    <phoneticPr fontId="1" type="noConversion"/>
  </si>
  <si>
    <t>福興鄉興工路18號配電場</t>
  </si>
  <si>
    <t>G3514BA53</t>
    <phoneticPr fontId="1" type="noConversion"/>
  </si>
  <si>
    <t>周厝高幹#35</t>
  </si>
  <si>
    <t>G3413AE40</t>
  </si>
  <si>
    <t>G3413EE83</t>
  </si>
  <si>
    <t>G3713FC6542</t>
  </si>
  <si>
    <t>金錫高幹#1</t>
  </si>
  <si>
    <t>G3713FC72</t>
    <phoneticPr fontId="1" type="noConversion"/>
  </si>
  <si>
    <t>金錫高幹#2</t>
    <phoneticPr fontId="1" type="noConversion"/>
  </si>
  <si>
    <t>G3413BE70</t>
    <phoneticPr fontId="1" type="noConversion"/>
  </si>
  <si>
    <t>福興鄉興業路配電場</t>
    <phoneticPr fontId="1" type="noConversion"/>
  </si>
  <si>
    <t>彰東S/S</t>
    <phoneticPr fontId="93" type="noConversion"/>
  </si>
  <si>
    <t>G4226FE18</t>
    <phoneticPr fontId="1" type="noConversion"/>
  </si>
  <si>
    <t>彰化市公園路二段配電場</t>
    <phoneticPr fontId="1" type="noConversion"/>
  </si>
  <si>
    <t>G4126AC81</t>
  </si>
  <si>
    <t>彰化市南校街135 號</t>
  </si>
  <si>
    <t>G4126EC21</t>
  </si>
  <si>
    <t>彰化市介壽北路186號前配電場</t>
  </si>
  <si>
    <t>G4224HC37</t>
  </si>
  <si>
    <t>彰化市寶山路配電場</t>
    <phoneticPr fontId="1" type="noConversion"/>
  </si>
  <si>
    <t>G4128CC66</t>
  </si>
  <si>
    <t>中山路二段644巷配電場</t>
    <phoneticPr fontId="1" type="noConversion"/>
  </si>
  <si>
    <t>G4229BB90</t>
  </si>
  <si>
    <t>彰化市實踐路3號配電場</t>
    <phoneticPr fontId="1" type="noConversion"/>
  </si>
  <si>
    <t>G4126CA14</t>
  </si>
  <si>
    <t>彰化市中興路100號縣府行政大樓(二)</t>
    <phoneticPr fontId="1" type="noConversion"/>
  </si>
  <si>
    <t>G4027HA65</t>
  </si>
  <si>
    <t>彰化市中山路二段彰化縣農會</t>
    <phoneticPr fontId="1" type="noConversion"/>
  </si>
  <si>
    <t>G4725CB4148</t>
  </si>
  <si>
    <t>彰化市東外環道路</t>
    <phoneticPr fontId="1" type="noConversion"/>
  </si>
  <si>
    <t>G4127CC57</t>
  </si>
  <si>
    <t>彰化市公園路一段76-1號同成建設</t>
  </si>
  <si>
    <t>G4128HA99</t>
    <phoneticPr fontId="1" type="noConversion"/>
  </si>
  <si>
    <t>彰化市卦山路配電場</t>
  </si>
  <si>
    <t>G4128AE27</t>
    <phoneticPr fontId="1" type="noConversion"/>
  </si>
  <si>
    <t>彰化市中正路一段373巷1號中正新家</t>
  </si>
  <si>
    <t>G4125EE21</t>
  </si>
  <si>
    <t>彰化市介壽北路108 巷14-19號皇家漢宮大樓</t>
    <phoneticPr fontId="1" type="noConversion"/>
  </si>
  <si>
    <t>G4227BA98</t>
  </si>
  <si>
    <t>彰化市公園路一段388號配電場</t>
    <phoneticPr fontId="1" type="noConversion"/>
  </si>
  <si>
    <t>G4227FB78</t>
    <phoneticPr fontId="1" type="noConversion"/>
  </si>
  <si>
    <t>彰化市卦山路</t>
  </si>
  <si>
    <t>社頭S/S</t>
    <phoneticPr fontId="93" type="noConversion"/>
  </si>
  <si>
    <t>K4590FC34</t>
  </si>
  <si>
    <t>社東高幹#1</t>
  </si>
  <si>
    <t>K4592ED53</t>
  </si>
  <si>
    <t>社興高幹#7</t>
  </si>
  <si>
    <t>K4590FC18</t>
    <phoneticPr fontId="1" type="noConversion"/>
  </si>
  <si>
    <t>枋橋頭高幹#1</t>
  </si>
  <si>
    <t>K4588GB70</t>
  </si>
  <si>
    <t>建興高幹#1</t>
  </si>
  <si>
    <t>K4587HD02</t>
    <phoneticPr fontId="1" type="noConversion"/>
  </si>
  <si>
    <t>社西高幹#40</t>
  </si>
  <si>
    <t>K4592FC2559</t>
  </si>
  <si>
    <t>社興高幹#3</t>
  </si>
  <si>
    <t>K4587HC59</t>
  </si>
  <si>
    <t>清水岩高幹#1</t>
  </si>
  <si>
    <t>K4590HC20</t>
  </si>
  <si>
    <t>龍井高幹#2</t>
  </si>
  <si>
    <t>K4490CE8711</t>
    <phoneticPr fontId="1" type="noConversion"/>
  </si>
  <si>
    <t>社永高幹#26</t>
    <phoneticPr fontId="1" type="noConversion"/>
  </si>
  <si>
    <t>K4590FB03</t>
  </si>
  <si>
    <t>社斗高幹#2</t>
  </si>
  <si>
    <t>K4593CA25</t>
  </si>
  <si>
    <t>潘厝高幹#3</t>
    <phoneticPr fontId="1" type="noConversion"/>
  </si>
  <si>
    <t>K4389EA2841</t>
  </si>
  <si>
    <t>社永高幹46X#15-2</t>
  </si>
  <si>
    <t>原:K4488HE8679</t>
    <phoneticPr fontId="1" type="noConversion"/>
  </si>
  <si>
    <t>K4389EA28</t>
    <phoneticPr fontId="1" type="noConversion"/>
  </si>
  <si>
    <t>社永高幹46X#15-1</t>
  </si>
  <si>
    <t>原:K4388HE9609</t>
    <phoneticPr fontId="1" type="noConversion"/>
  </si>
  <si>
    <t>K4389CA98</t>
    <phoneticPr fontId="1" type="noConversion"/>
  </si>
  <si>
    <t>新厝高分#43</t>
  </si>
  <si>
    <t>原:K4388HE9639</t>
    <phoneticPr fontId="1" type="noConversion"/>
  </si>
  <si>
    <t>K4692BD11</t>
  </si>
  <si>
    <t>圳邊高幹#1</t>
  </si>
  <si>
    <t>K4589HB21</t>
  </si>
  <si>
    <t>社西高幹21X#2</t>
  </si>
  <si>
    <t>K4590FB16</t>
    <phoneticPr fontId="1" type="noConversion"/>
  </si>
  <si>
    <t>社斗高幹#1</t>
  </si>
  <si>
    <t>K4590FC1835</t>
  </si>
  <si>
    <t>枋橋頭高幹#1-1</t>
    <phoneticPr fontId="1" type="noConversion"/>
  </si>
  <si>
    <t>K4590FE04</t>
    <phoneticPr fontId="1" type="noConversion"/>
  </si>
  <si>
    <t>社永高幹#1-1</t>
    <phoneticPr fontId="1" type="noConversion"/>
  </si>
  <si>
    <t>K4692CB80</t>
  </si>
  <si>
    <t>圳尾高幹28Y#3</t>
    <phoneticPr fontId="1" type="noConversion"/>
  </si>
  <si>
    <t>草湖S/S</t>
    <phoneticPr fontId="93" type="noConversion"/>
  </si>
  <si>
    <t>G2001CD79</t>
  </si>
  <si>
    <t>草漢高幹#1</t>
  </si>
  <si>
    <t>G2001CB76</t>
    <phoneticPr fontId="1" type="noConversion"/>
  </si>
  <si>
    <t>草東高幹#1</t>
    <phoneticPr fontId="1" type="noConversion"/>
  </si>
  <si>
    <t>G2001CB64</t>
    <phoneticPr fontId="1" type="noConversion"/>
  </si>
  <si>
    <t>趙甲高幹#1-1</t>
  </si>
  <si>
    <t>G2101BD35</t>
  </si>
  <si>
    <t>建平高幹#5</t>
  </si>
  <si>
    <t>G2101EA48</t>
  </si>
  <si>
    <t>胡厝高幹#2</t>
  </si>
  <si>
    <t>G2001CD66</t>
    <phoneticPr fontId="1" type="noConversion"/>
  </si>
  <si>
    <t>崙腳高幹#1-1</t>
    <phoneticPr fontId="1" type="noConversion"/>
  </si>
  <si>
    <t>G2001CD68</t>
    <phoneticPr fontId="1" type="noConversion"/>
  </si>
  <si>
    <t>崙腳高幹#1</t>
  </si>
  <si>
    <t>G1901GC26</t>
    <phoneticPr fontId="1" type="noConversion"/>
  </si>
  <si>
    <t>川邊高幹#1-1</t>
  </si>
  <si>
    <t>G2001CE71</t>
  </si>
  <si>
    <t>草漢高幹#3</t>
  </si>
  <si>
    <t>G1901GB45</t>
    <phoneticPr fontId="1" type="noConversion"/>
  </si>
  <si>
    <t>興海高幹#2</t>
  </si>
  <si>
    <t>溝墘S/S</t>
    <phoneticPr fontId="93" type="noConversion"/>
  </si>
  <si>
    <t>G3229HE3755</t>
  </si>
  <si>
    <t>頭崙高幹#3</t>
  </si>
  <si>
    <t>G3227FB37</t>
  </si>
  <si>
    <t>棋盤高幹#1</t>
    <phoneticPr fontId="1" type="noConversion"/>
  </si>
  <si>
    <t>G3227FC5038</t>
  </si>
  <si>
    <t>三嘉高幹#2</t>
    <phoneticPr fontId="1" type="noConversion"/>
  </si>
  <si>
    <t>G3329AC91</t>
  </si>
  <si>
    <t>鎮平高幹#1</t>
  </si>
  <si>
    <t>G3226BD64</t>
  </si>
  <si>
    <t>溝鹿高幹#2</t>
  </si>
  <si>
    <t>G3329AC9177</t>
  </si>
  <si>
    <t>鎮平高幹#2</t>
  </si>
  <si>
    <t>G3227FB36</t>
    <phoneticPr fontId="1" type="noConversion"/>
  </si>
  <si>
    <t>棋盤高幹#2</t>
    <phoneticPr fontId="1" type="noConversion"/>
  </si>
  <si>
    <t>G3229GD2835</t>
    <phoneticPr fontId="1" type="noConversion"/>
  </si>
  <si>
    <t>南勢高幹#4</t>
    <phoneticPr fontId="1" type="noConversion"/>
  </si>
  <si>
    <t>G3227FC68</t>
    <phoneticPr fontId="1" type="noConversion"/>
  </si>
  <si>
    <t>溝草高幹#1</t>
    <phoneticPr fontId="1" type="noConversion"/>
  </si>
  <si>
    <t>G3328BE4112</t>
  </si>
  <si>
    <t>三嘉高幹#32</t>
    <phoneticPr fontId="1" type="noConversion"/>
  </si>
  <si>
    <t>G3329AD66</t>
  </si>
  <si>
    <t>頂番高幹#8-1</t>
  </si>
  <si>
    <t>G3230DA4151</t>
    <phoneticPr fontId="1" type="noConversion"/>
  </si>
  <si>
    <t>鹿港鎮鹿和路四段三巷配電場</t>
    <phoneticPr fontId="1" type="noConversion"/>
  </si>
  <si>
    <t>G3227FC5013</t>
  </si>
  <si>
    <t>三嘉高幹#1</t>
    <phoneticPr fontId="1" type="noConversion"/>
  </si>
  <si>
    <t>G3128DB81</t>
  </si>
  <si>
    <t>廖圳高幹#2</t>
  </si>
  <si>
    <t>G3226BD43</t>
  </si>
  <si>
    <t>溝鹿高幹#3</t>
  </si>
  <si>
    <t>員東D/S</t>
    <phoneticPr fontId="93" type="noConversion"/>
  </si>
  <si>
    <t>G4800BB45</t>
    <phoneticPr fontId="1" type="noConversion"/>
  </si>
  <si>
    <t>鎮東高分#2</t>
  </si>
  <si>
    <t>G4608BD84</t>
  </si>
  <si>
    <t>宏進高分#2</t>
  </si>
  <si>
    <t>1.5+1</t>
    <phoneticPr fontId="1" type="noConversion"/>
  </si>
  <si>
    <t>G4802CC17</t>
    <phoneticPr fontId="1" type="noConversion"/>
  </si>
  <si>
    <t>大峰高幹1-1X#2</t>
    <phoneticPr fontId="1" type="noConversion"/>
  </si>
  <si>
    <t>G4802AC05</t>
  </si>
  <si>
    <t>東山高幹#73</t>
  </si>
  <si>
    <t>K4898BD39</t>
  </si>
  <si>
    <t>百果高幹#75</t>
  </si>
  <si>
    <t>0+2.5</t>
    <phoneticPr fontId="1" type="noConversion"/>
  </si>
  <si>
    <t>G4503EC92</t>
  </si>
  <si>
    <t>西東高幹6X#4</t>
    <phoneticPr fontId="1" type="noConversion"/>
  </si>
  <si>
    <t>3.5+1</t>
    <phoneticPr fontId="1" type="noConversion"/>
  </si>
  <si>
    <t>G4509EE55</t>
  </si>
  <si>
    <t>三春高幹#103</t>
    <phoneticPr fontId="1" type="noConversion"/>
  </si>
  <si>
    <t>G4704HA87</t>
  </si>
  <si>
    <t>員林市浮圳路一段68號配電場</t>
    <phoneticPr fontId="1" type="noConversion"/>
  </si>
  <si>
    <t>0+3</t>
    <phoneticPr fontId="1" type="noConversion"/>
  </si>
  <si>
    <t>G4502FA85</t>
  </si>
  <si>
    <t>員林市成功東路138巷1號龍大地大廈</t>
    <phoneticPr fontId="1" type="noConversion"/>
  </si>
  <si>
    <t>G4603AC01</t>
  </si>
  <si>
    <t>員林市浮圳路二段119號對面配電場</t>
    <phoneticPr fontId="1" type="noConversion"/>
  </si>
  <si>
    <t>2.5+1</t>
    <phoneticPr fontId="1" type="noConversion"/>
  </si>
  <si>
    <t>G4607EC99</t>
  </si>
  <si>
    <t>大村鄉山腳路65-1號</t>
    <phoneticPr fontId="1" type="noConversion"/>
  </si>
  <si>
    <t>G4705EA56</t>
  </si>
  <si>
    <t>山腳高幹#40-2</t>
    <phoneticPr fontId="1" type="noConversion"/>
  </si>
  <si>
    <t>G4601AD21</t>
  </si>
  <si>
    <t>員林市三條街195巷蕭聰華</t>
    <phoneticPr fontId="1" type="noConversion"/>
  </si>
  <si>
    <t>0+2</t>
    <phoneticPr fontId="1" type="noConversion"/>
  </si>
  <si>
    <t>G4501EE30</t>
  </si>
  <si>
    <t>員林市大同路一段配電場</t>
    <phoneticPr fontId="1" type="noConversion"/>
  </si>
  <si>
    <t>G4705FA75</t>
  </si>
  <si>
    <t>員林市山腳路5段306號員東D/S前配電場</t>
    <phoneticPr fontId="1" type="noConversion"/>
  </si>
  <si>
    <t>G4802BB23</t>
  </si>
  <si>
    <t>鎮興高幹#5</t>
    <phoneticPr fontId="1" type="noConversion"/>
  </si>
  <si>
    <t>0+3.5</t>
    <phoneticPr fontId="1" type="noConversion"/>
  </si>
  <si>
    <t>G4501EA91</t>
    <phoneticPr fontId="1" type="noConversion"/>
  </si>
  <si>
    <t>員林市忠孝街177號和181巷東門翠亨村大樓</t>
    <phoneticPr fontId="1" type="noConversion"/>
  </si>
  <si>
    <t>G4802DE55</t>
  </si>
  <si>
    <t>金安坑高分#5</t>
  </si>
  <si>
    <t>0+0.5</t>
    <phoneticPr fontId="1" type="noConversion"/>
  </si>
  <si>
    <t>G4704GB37</t>
  </si>
  <si>
    <t>員林市浮圳路一段100巷配電場</t>
    <phoneticPr fontId="1" type="noConversion"/>
  </si>
  <si>
    <t>G4603CC91</t>
  </si>
  <si>
    <t>浮圳高幹#4</t>
    <phoneticPr fontId="1" type="noConversion"/>
  </si>
  <si>
    <t>原:G4603CC93</t>
    <phoneticPr fontId="1" type="noConversion"/>
  </si>
  <si>
    <t>伸港S/S</t>
    <phoneticPr fontId="93" type="noConversion"/>
  </si>
  <si>
    <t>G3647GC55</t>
  </si>
  <si>
    <t>伸港鄉興工路55號配電場</t>
    <phoneticPr fontId="1" type="noConversion"/>
  </si>
  <si>
    <t>G3647HC95</t>
    <phoneticPr fontId="1" type="noConversion"/>
  </si>
  <si>
    <t>伸港鄉工東一路46號配電場</t>
  </si>
  <si>
    <t>G3648CC8952</t>
  </si>
  <si>
    <t>伸港鄉工八路9號配電場</t>
    <phoneticPr fontId="1" type="noConversion"/>
  </si>
  <si>
    <t>原:G3648CC99</t>
    <phoneticPr fontId="1" type="noConversion"/>
  </si>
  <si>
    <t>G3648GA52</t>
    <phoneticPr fontId="1" type="noConversion"/>
  </si>
  <si>
    <t>伸港鄉興工路61-1號配電場</t>
  </si>
  <si>
    <t>G3648GB30</t>
    <phoneticPr fontId="1" type="noConversion"/>
  </si>
  <si>
    <t>伸港鄉興工路64號大成長城公司</t>
    <phoneticPr fontId="1" type="noConversion"/>
  </si>
  <si>
    <t>G3448FD85</t>
  </si>
  <si>
    <t>湖內高幹#1-1</t>
    <phoneticPr fontId="1" type="noConversion"/>
  </si>
  <si>
    <t>G3448GD29</t>
    <phoneticPr fontId="1" type="noConversion"/>
  </si>
  <si>
    <t>湖內高幹#2-1</t>
    <phoneticPr fontId="1" type="noConversion"/>
  </si>
  <si>
    <t>G3343GD35</t>
    <phoneticPr fontId="1" type="noConversion"/>
  </si>
  <si>
    <t>伸港鄉新港路配電場</t>
    <phoneticPr fontId="1" type="noConversion"/>
  </si>
  <si>
    <t>G3345AC43</t>
  </si>
  <si>
    <t>蚵伸高幹18Y#2</t>
  </si>
  <si>
    <t>G3545CD90</t>
    <phoneticPr fontId="1" type="noConversion"/>
  </si>
  <si>
    <t>伸港鄉彰新路七段455號對面配電場</t>
  </si>
  <si>
    <t>G3446CA6760</t>
  </si>
  <si>
    <t>伸港彰新路七段743號對面配電場</t>
  </si>
  <si>
    <t>G3346GB42</t>
  </si>
  <si>
    <t>海尾高幹#33</t>
  </si>
  <si>
    <t>G3448FD40</t>
  </si>
  <si>
    <t>海尾高幹#1</t>
  </si>
  <si>
    <t>G3346GD37</t>
    <phoneticPr fontId="1" type="noConversion"/>
  </si>
  <si>
    <t>濱海二高幹#1-1</t>
  </si>
  <si>
    <t>G3142DB01</t>
    <phoneticPr fontId="1" type="noConversion"/>
  </si>
  <si>
    <t>伸德高幹#3</t>
  </si>
  <si>
    <t>二水S/S</t>
    <phoneticPr fontId="93" type="noConversion"/>
  </si>
  <si>
    <t>K4670FA09</t>
  </si>
  <si>
    <t>大田高幹#2</t>
  </si>
  <si>
    <t>K4871BA74</t>
  </si>
  <si>
    <t>大崙高幹#1</t>
    <phoneticPr fontId="1" type="noConversion"/>
  </si>
  <si>
    <t>K4770EC39</t>
  </si>
  <si>
    <t>大同高幹#130</t>
  </si>
  <si>
    <t>K4871BA65</t>
  </si>
  <si>
    <t>大崙高幹#1-1</t>
  </si>
  <si>
    <t>K4969FB60</t>
    <phoneticPr fontId="1" type="noConversion"/>
  </si>
  <si>
    <t>源泉高幹40-1Y#2</t>
  </si>
  <si>
    <t>K5068BB70</t>
  </si>
  <si>
    <t>源泉高幹#64</t>
  </si>
  <si>
    <t>K4970DC38</t>
    <phoneticPr fontId="1" type="noConversion"/>
  </si>
  <si>
    <t>惠民高幹#46-1</t>
  </si>
  <si>
    <t>K4970EB9325</t>
  </si>
  <si>
    <t>惠民高幹#53-1</t>
  </si>
  <si>
    <t>K5067GC27</t>
  </si>
  <si>
    <t>南通高幹62-2X#4</t>
  </si>
  <si>
    <t>K4670DA42</t>
    <phoneticPr fontId="1" type="noConversion"/>
  </si>
  <si>
    <t>大莊高幹#37</t>
    <phoneticPr fontId="1" type="noConversion"/>
  </si>
  <si>
    <t>K4870CE27</t>
    <phoneticPr fontId="1" type="noConversion"/>
  </si>
  <si>
    <t>源泉高幹#1</t>
  </si>
  <si>
    <t>K5068BA11</t>
  </si>
  <si>
    <t>文昌高分#1-2</t>
  </si>
  <si>
    <t>K4870CE2008</t>
  </si>
  <si>
    <t>大莊高幹#1</t>
  </si>
  <si>
    <t>K4770DC94</t>
    <phoneticPr fontId="1" type="noConversion"/>
  </si>
  <si>
    <t>大莊高幹#18</t>
  </si>
  <si>
    <t>K4670FA18</t>
    <phoneticPr fontId="1" type="noConversion"/>
  </si>
  <si>
    <t>大田高幹#1</t>
  </si>
  <si>
    <t>北斗S/S</t>
    <phoneticPr fontId="93" type="noConversion"/>
  </si>
  <si>
    <t>K3986BD17</t>
  </si>
  <si>
    <t>斗永高幹#42</t>
    <phoneticPr fontId="1" type="noConversion"/>
  </si>
  <si>
    <t>K3884EA11</t>
    <phoneticPr fontId="1" type="noConversion"/>
  </si>
  <si>
    <t>北斗鎮復興路370號附近配電場</t>
    <phoneticPr fontId="1" type="noConversion"/>
  </si>
  <si>
    <t>K3884AB18</t>
    <phoneticPr fontId="1" type="noConversion"/>
  </si>
  <si>
    <t>斗裕高幹14Y#10</t>
  </si>
  <si>
    <t>K3884BD30</t>
    <phoneticPr fontId="1" type="noConversion"/>
  </si>
  <si>
    <t>北斗鎮中山路二段521號配電場</t>
    <phoneticPr fontId="1" type="noConversion"/>
  </si>
  <si>
    <t>K3885CB27</t>
  </si>
  <si>
    <t>法院高幹#3</t>
  </si>
  <si>
    <t>K3884BC07</t>
    <phoneticPr fontId="1" type="noConversion"/>
  </si>
  <si>
    <t>斗永高幹#1</t>
  </si>
  <si>
    <t>K3883AA32</t>
    <phoneticPr fontId="1" type="noConversion"/>
  </si>
  <si>
    <t>北斗鎮文苑路</t>
    <phoneticPr fontId="1" type="noConversion"/>
  </si>
  <si>
    <t>K3782CD78</t>
  </si>
  <si>
    <t>斗苑高幹#6</t>
  </si>
  <si>
    <t>K3885BB97</t>
  </si>
  <si>
    <t>法院高幹#4</t>
    <phoneticPr fontId="1" type="noConversion"/>
  </si>
  <si>
    <t>K3886ED89</t>
    <phoneticPr fontId="1" type="noConversion"/>
  </si>
  <si>
    <t>田尾鄉光復路三段</t>
    <phoneticPr fontId="1" type="noConversion"/>
  </si>
  <si>
    <t>K3884BC28</t>
  </si>
  <si>
    <t>北斗鎮中山路二段521號配電場</t>
  </si>
  <si>
    <t>K3883CE30</t>
  </si>
  <si>
    <t>北斗鎮光復路配電場</t>
    <phoneticPr fontId="1" type="noConversion"/>
  </si>
  <si>
    <t>K3885CD29</t>
  </si>
  <si>
    <t>海豐高幹#5</t>
    <phoneticPr fontId="1" type="noConversion"/>
  </si>
  <si>
    <t>K3782FC14</t>
    <phoneticPr fontId="1" type="noConversion"/>
  </si>
  <si>
    <t>北市高幹14空X4X#12</t>
  </si>
  <si>
    <t>K3885DA11</t>
    <phoneticPr fontId="1" type="noConversion"/>
  </si>
  <si>
    <t>西華高幹#2</t>
  </si>
  <si>
    <t>芳苑S/S</t>
    <phoneticPr fontId="93" type="noConversion"/>
  </si>
  <si>
    <t>K1691AB88        未納入監控</t>
    <phoneticPr fontId="1" type="noConversion"/>
  </si>
  <si>
    <t>K1691AB88</t>
    <phoneticPr fontId="1" type="noConversion"/>
  </si>
  <si>
    <t>芳苑鄉工區三路8號配電場</t>
    <phoneticPr fontId="1" type="noConversion"/>
  </si>
  <si>
    <t>K1691CB13</t>
  </si>
  <si>
    <t>芳苑鄉工區三路配電場</t>
  </si>
  <si>
    <t>K1692AB44</t>
    <phoneticPr fontId="1" type="noConversion"/>
  </si>
  <si>
    <t>芳苑鄉工區六路配電場</t>
  </si>
  <si>
    <t>K1590FB72</t>
  </si>
  <si>
    <t>芳苑高幹#93</t>
    <phoneticPr fontId="1" type="noConversion"/>
  </si>
  <si>
    <t>K1592HA74</t>
  </si>
  <si>
    <t>芳苑鄉工區路配電場</t>
  </si>
  <si>
    <t>K1590AE45</t>
    <phoneticPr fontId="1" type="noConversion"/>
  </si>
  <si>
    <t>路平高幹#75</t>
    <phoneticPr fontId="1" type="noConversion"/>
  </si>
  <si>
    <t>K1590EC23</t>
  </si>
  <si>
    <t>芳苑高幹#99</t>
  </si>
  <si>
    <t>K1491FA99</t>
  </si>
  <si>
    <t>芳平高幹#1</t>
  </si>
  <si>
    <t>K1491FB71</t>
  </si>
  <si>
    <t>頂部高幹#2</t>
  </si>
  <si>
    <t>K1591HD05</t>
  </si>
  <si>
    <t>K1592HB89</t>
  </si>
  <si>
    <t>芳苑鄉工區路29號配電場</t>
    <phoneticPr fontId="1" type="noConversion"/>
  </si>
  <si>
    <t>K1693GC9455    未納入監控</t>
    <phoneticPr fontId="1" type="noConversion"/>
  </si>
  <si>
    <t>K1692BC6928</t>
    <phoneticPr fontId="1" type="noConversion"/>
  </si>
  <si>
    <t>芳苑鄉工區七路配電場</t>
  </si>
  <si>
    <t>K1691AE08</t>
  </si>
  <si>
    <t>芳苑鄉工區路30號配電場</t>
    <phoneticPr fontId="1" type="noConversion"/>
  </si>
  <si>
    <t>K1692EA00</t>
  </si>
  <si>
    <t>芳苑鄉工業路16 號力鵬紡織廠</t>
  </si>
  <si>
    <t>全興E/S</t>
    <phoneticPr fontId="93" type="noConversion"/>
  </si>
  <si>
    <t>G3744DD33</t>
  </si>
  <si>
    <t>伸港鄉工東三路7號</t>
    <phoneticPr fontId="1" type="noConversion"/>
  </si>
  <si>
    <t>G3745BD38</t>
  </si>
  <si>
    <t>和美鎮工一路1號配電場</t>
  </si>
  <si>
    <t>G3647EA14</t>
  </si>
  <si>
    <t>和美鎮工西一路4號配電場</t>
  </si>
  <si>
    <t>G3746BD01</t>
  </si>
  <si>
    <t>伸港鄉工東三路1 號配電場</t>
  </si>
  <si>
    <t>G3646GD50</t>
  </si>
  <si>
    <t>伸港鄉興工路35號配電場</t>
    <phoneticPr fontId="1" type="noConversion"/>
  </si>
  <si>
    <t>G3647CB88</t>
  </si>
  <si>
    <t>伸港鄉工六路6號配電場</t>
    <phoneticPr fontId="1" type="noConversion"/>
  </si>
  <si>
    <t>G3745CD77</t>
  </si>
  <si>
    <t>伸港鄉工東三路12 號配電場</t>
  </si>
  <si>
    <t>G3645HE81</t>
  </si>
  <si>
    <t>伸港鄉興工路33 號配電場</t>
    <phoneticPr fontId="1" type="noConversion"/>
  </si>
  <si>
    <t>G3645FC57</t>
  </si>
  <si>
    <t>和美鎮興工路32 號志誠公司配電場</t>
  </si>
  <si>
    <t>G3647GA52</t>
  </si>
  <si>
    <t>伸港鄉興工路47號配電場</t>
    <phoneticPr fontId="1" type="noConversion"/>
  </si>
  <si>
    <t>G3647HD73</t>
  </si>
  <si>
    <t>伸港工五路1號配電場</t>
  </si>
  <si>
    <t>G3648FC39</t>
  </si>
  <si>
    <t>伸港鄉興工路66號配電場</t>
  </si>
  <si>
    <t>G3545EC40</t>
  </si>
  <si>
    <t>湖內高幹20X#63</t>
    <phoneticPr fontId="1" type="noConversion"/>
  </si>
  <si>
    <t>G3550CA39</t>
  </si>
  <si>
    <t>全興高幹#74</t>
    <phoneticPr fontId="1" type="noConversion"/>
  </si>
  <si>
    <t>G3647FB39</t>
  </si>
  <si>
    <t>全工六高分#3</t>
    <phoneticPr fontId="1" type="noConversion"/>
  </si>
  <si>
    <t>G3640EE97</t>
  </si>
  <si>
    <t>嘉寶高幹#8</t>
    <phoneticPr fontId="1" type="noConversion"/>
  </si>
  <si>
    <t>G3641DC73</t>
  </si>
  <si>
    <t>汴頭高幹#89</t>
    <phoneticPr fontId="1" type="noConversion"/>
  </si>
  <si>
    <t>G3745BE34</t>
  </si>
  <si>
    <t>全工七高分#22</t>
    <phoneticPr fontId="1" type="noConversion"/>
  </si>
  <si>
    <t>彰濱E/S</t>
    <phoneticPr fontId="93" type="noConversion"/>
  </si>
  <si>
    <t>G2642ED7928</t>
    <phoneticPr fontId="1" type="noConversion"/>
  </si>
  <si>
    <t>線西鄉彰濱西三路長春石油(彰濱廠)</t>
    <phoneticPr fontId="1" type="noConversion"/>
  </si>
  <si>
    <t>G2739CD98</t>
  </si>
  <si>
    <t>線西鄉彰濱東二路慶安路交叉口配電場</t>
    <phoneticPr fontId="1" type="noConversion"/>
  </si>
  <si>
    <t>G2741DE08</t>
  </si>
  <si>
    <t>線西鄉彰濱東八路8號</t>
    <phoneticPr fontId="1" type="noConversion"/>
  </si>
  <si>
    <t>G2639DB40</t>
  </si>
  <si>
    <t>線西鄉彰濱東一路20號百達精密化學公司</t>
    <phoneticPr fontId="1" type="noConversion"/>
  </si>
  <si>
    <t>G2639HE49</t>
  </si>
  <si>
    <t>線西鄉工南二路18號新力美科技</t>
    <phoneticPr fontId="1" type="noConversion"/>
  </si>
  <si>
    <t>G2641CD9265</t>
    <phoneticPr fontId="93" type="noConversion"/>
  </si>
  <si>
    <t>線西鄉西興段9號趙威企業公司</t>
    <phoneticPr fontId="1" type="noConversion"/>
  </si>
  <si>
    <t>G2640ED74</t>
  </si>
  <si>
    <t>線西鄉彰濱東四路7號大騰興業股份有限公司</t>
    <phoneticPr fontId="1" type="noConversion"/>
  </si>
  <si>
    <t>G2741BA68</t>
  </si>
  <si>
    <t>線西鄉彰濱東六路立勤鋼鐵</t>
    <phoneticPr fontId="1" type="noConversion"/>
  </si>
  <si>
    <t>G2740AC04</t>
  </si>
  <si>
    <t>線西鄉線工南二路20號上品綜合工業公司</t>
    <phoneticPr fontId="1" type="noConversion"/>
  </si>
  <si>
    <t>G2639DC57</t>
    <phoneticPr fontId="1" type="noConversion"/>
  </si>
  <si>
    <t>線西鄉彰濱東二路18號</t>
    <phoneticPr fontId="1" type="noConversion"/>
  </si>
  <si>
    <t>G2843AA27</t>
  </si>
  <si>
    <t>線西鄉縣興段37-3地號健和興端子公司</t>
    <phoneticPr fontId="1" type="noConversion"/>
  </si>
  <si>
    <t>原:9A56</t>
    <phoneticPr fontId="1" type="noConversion"/>
  </si>
  <si>
    <t>線西D/S</t>
    <phoneticPr fontId="93" type="noConversion"/>
  </si>
  <si>
    <t>G2539FC98</t>
  </si>
  <si>
    <t>線西鄉慶安南三路配電場</t>
  </si>
  <si>
    <t>G2844BD04</t>
  </si>
  <si>
    <t>線西鄉彰濱西五路2號日友環保</t>
  </si>
  <si>
    <t>G2844HB87</t>
  </si>
  <si>
    <t>伸港鄉線工北一路18號晉瑜企業</t>
    <phoneticPr fontId="1" type="noConversion"/>
  </si>
  <si>
    <t>G2639AE16</t>
  </si>
  <si>
    <t>線西鄉彰濱西一路1號樺勝環保</t>
    <phoneticPr fontId="1" type="noConversion"/>
  </si>
  <si>
    <t>G2945CC60</t>
    <phoneticPr fontId="1" type="noConversion"/>
  </si>
  <si>
    <t>伸港鄉彰濱東十二路1號</t>
    <phoneticPr fontId="1" type="noConversion"/>
  </si>
  <si>
    <t>G2538EE33</t>
    <phoneticPr fontId="1" type="noConversion"/>
  </si>
  <si>
    <t>線西鄉慶安南二路配電場</t>
    <phoneticPr fontId="1" type="noConversion"/>
  </si>
  <si>
    <t>G2745GA62</t>
  </si>
  <si>
    <t>線西鄉彰濱西五路6號線西廢水處理廠</t>
  </si>
  <si>
    <t>G2743GE49</t>
  </si>
  <si>
    <t>線西鄉線安路1號泰山氣體公司</t>
  </si>
  <si>
    <t>G2743FD04</t>
  </si>
  <si>
    <t>線西鄉彰濱西四路2號臺灣住精科技</t>
  </si>
  <si>
    <t>員林D/S</t>
    <phoneticPr fontId="93" type="noConversion"/>
  </si>
  <si>
    <t>G4403DB11</t>
  </si>
  <si>
    <t>東部高幹#6</t>
  </si>
  <si>
    <t>G4403DB01</t>
  </si>
  <si>
    <t>東部高幹#5</t>
  </si>
  <si>
    <t>G4403CD5943</t>
    <phoneticPr fontId="1" type="noConversion"/>
  </si>
  <si>
    <t>員林市萬年路北段(植栽帶上)配電場</t>
    <phoneticPr fontId="1" type="noConversion"/>
  </si>
  <si>
    <t>G4501ED0711</t>
    <phoneticPr fontId="1" type="noConversion"/>
  </si>
  <si>
    <t>育英高幹31X#16</t>
    <phoneticPr fontId="1" type="noConversion"/>
  </si>
  <si>
    <t>G4503AC09</t>
    <phoneticPr fontId="1" type="noConversion"/>
  </si>
  <si>
    <t>員林市大仁南路配電場</t>
    <phoneticPr fontId="1" type="noConversion"/>
  </si>
  <si>
    <t>G4302GB83</t>
    <phoneticPr fontId="1" type="noConversion"/>
  </si>
  <si>
    <t>員林市靜修路與莒光路交叉口彰化基督教醫院</t>
    <phoneticPr fontId="1" type="noConversion"/>
  </si>
  <si>
    <t>G4406AE10</t>
  </si>
  <si>
    <t>港尾高幹#44</t>
    <phoneticPr fontId="1" type="noConversion"/>
  </si>
  <si>
    <t>0.5+3</t>
    <phoneticPr fontId="1" type="noConversion"/>
  </si>
  <si>
    <t>G4402AD70</t>
    <phoneticPr fontId="1" type="noConversion"/>
  </si>
  <si>
    <t>員林市台鳳市地重畫區配電場</t>
    <phoneticPr fontId="1" type="noConversion"/>
  </si>
  <si>
    <t>K3999AB25</t>
  </si>
  <si>
    <t>溪東高幹#96</t>
  </si>
  <si>
    <t>0+1.5</t>
    <phoneticPr fontId="1" type="noConversion"/>
  </si>
  <si>
    <t>G4403BE09</t>
    <phoneticPr fontId="1" type="noConversion"/>
  </si>
  <si>
    <t>員林市莒光路上翔建設大樓</t>
    <phoneticPr fontId="1" type="noConversion"/>
  </si>
  <si>
    <t>G4303HE46</t>
    <phoneticPr fontId="1" type="noConversion"/>
  </si>
  <si>
    <t>員林市新生路配電場</t>
    <phoneticPr fontId="1" type="noConversion"/>
  </si>
  <si>
    <t>G4403ED81</t>
    <phoneticPr fontId="1" type="noConversion"/>
  </si>
  <si>
    <t>員林市僑信街76號配電場</t>
    <phoneticPr fontId="1" type="noConversion"/>
  </si>
  <si>
    <t>1+1</t>
    <phoneticPr fontId="1" type="noConversion"/>
  </si>
  <si>
    <t>G4403CD01</t>
  </si>
  <si>
    <t>員復高幹#1</t>
  </si>
  <si>
    <t>G4402AD25</t>
    <phoneticPr fontId="1" type="noConversion"/>
  </si>
  <si>
    <t>員林市雙平路昌祐建設</t>
    <phoneticPr fontId="1" type="noConversion"/>
  </si>
  <si>
    <t>G4402CA99</t>
    <phoneticPr fontId="1" type="noConversion"/>
  </si>
  <si>
    <t>員林市中山路二段100號台灣土地銀行</t>
    <phoneticPr fontId="1" type="noConversion"/>
  </si>
  <si>
    <t>G4400DA82</t>
    <phoneticPr fontId="1" type="noConversion"/>
  </si>
  <si>
    <t>員林市中山南路167巷30號對面配電場</t>
    <phoneticPr fontId="1" type="noConversion"/>
  </si>
  <si>
    <t>G4600FC3658</t>
  </si>
  <si>
    <t>東門高幹41X#1</t>
  </si>
  <si>
    <t>G4302GB02</t>
  </si>
  <si>
    <t>員大高幹#3</t>
  </si>
  <si>
    <t>K3898FE58</t>
    <phoneticPr fontId="1" type="noConversion"/>
  </si>
  <si>
    <t>新館高分#2</t>
  </si>
  <si>
    <t>G4300CE27</t>
    <phoneticPr fontId="1" type="noConversion"/>
  </si>
  <si>
    <t>埔心鄉員林大道七段綺麗建設</t>
    <phoneticPr fontId="1" type="noConversion"/>
  </si>
  <si>
    <t>G4304EC9856</t>
  </si>
  <si>
    <t>擺塘高幹#14-1</t>
  </si>
  <si>
    <t>G4401HB55</t>
    <phoneticPr fontId="1" type="noConversion"/>
  </si>
  <si>
    <t>員林市育英路16號員林國宅(乙棟)</t>
    <phoneticPr fontId="1" type="noConversion"/>
  </si>
  <si>
    <t>G4002DA55</t>
  </si>
  <si>
    <t>油柳高分#47</t>
  </si>
  <si>
    <t>G4600AD32</t>
    <phoneticPr fontId="1" type="noConversion"/>
  </si>
  <si>
    <t>員林市員水路二段213號德寬工業社大樓</t>
    <phoneticPr fontId="1" type="noConversion"/>
  </si>
  <si>
    <t>G4300AE79</t>
  </si>
  <si>
    <t>柳橋高幹#3-1</t>
    <phoneticPr fontId="1" type="noConversion"/>
  </si>
  <si>
    <t>G4303HE50</t>
  </si>
  <si>
    <t>源潭高幹#5</t>
  </si>
  <si>
    <t>G4308HB12</t>
  </si>
  <si>
    <t>村上高幹56-1Y#1</t>
  </si>
  <si>
    <t>G4401CA7740</t>
  </si>
  <si>
    <t>站前高幹#16-1</t>
  </si>
  <si>
    <t>鹿西D/S</t>
    <phoneticPr fontId="93" type="noConversion"/>
  </si>
  <si>
    <t>G2127AD0389</t>
    <phoneticPr fontId="1" type="noConversion"/>
  </si>
  <si>
    <t>彰濱工業區鹿港西2區鹿工路金農有生計</t>
    <phoneticPr fontId="1" type="noConversion"/>
  </si>
  <si>
    <t>G2128DC29</t>
    <phoneticPr fontId="1" type="noConversion"/>
  </si>
  <si>
    <t>鹿港鎮工業西七路甲聖工業公司</t>
    <phoneticPr fontId="1" type="noConversion"/>
  </si>
  <si>
    <t>G2025HA83</t>
    <phoneticPr fontId="1" type="noConversion"/>
  </si>
  <si>
    <t>鹿港鎮環工二路翔富電鍍公司</t>
    <phoneticPr fontId="1" type="noConversion"/>
  </si>
  <si>
    <t>G2127HD07</t>
  </si>
  <si>
    <t>鹿港鎮鹿工路17號立墩公司配電室</t>
  </si>
  <si>
    <t>G2027ED3534</t>
    <phoneticPr fontId="1" type="noConversion"/>
  </si>
  <si>
    <t>鹿港鎮鹿工路31號配電廠</t>
    <phoneticPr fontId="1" type="noConversion"/>
  </si>
  <si>
    <t>G2226HB97</t>
    <phoneticPr fontId="1" type="noConversion"/>
  </si>
  <si>
    <t>鹿港鎮工業西五路崇新企業</t>
    <phoneticPr fontId="1" type="noConversion"/>
  </si>
  <si>
    <t>G2226BD09        未納入監控</t>
    <phoneticPr fontId="1" type="noConversion"/>
  </si>
  <si>
    <t>G2127CC70</t>
    <phoneticPr fontId="1" type="noConversion"/>
  </si>
  <si>
    <t>彰濱工業區鹿港鎮鹿工南六路3號尚墩公司</t>
    <phoneticPr fontId="1" type="noConversion"/>
  </si>
  <si>
    <t>G2026HD69</t>
    <phoneticPr fontId="1" type="noConversion"/>
  </si>
  <si>
    <t>鹿港鎮工業西六路51號</t>
  </si>
  <si>
    <t>G2227BE83</t>
    <phoneticPr fontId="1" type="noConversion"/>
  </si>
  <si>
    <t>鹿港鎮鹿工路28號</t>
    <phoneticPr fontId="1" type="noConversion"/>
  </si>
  <si>
    <t>G2125CD81</t>
    <phoneticPr fontId="1" type="noConversion"/>
  </si>
  <si>
    <t>鹿港鎮鹿工南六路28號</t>
    <phoneticPr fontId="1" type="noConversion"/>
  </si>
  <si>
    <t>G2128BA39</t>
    <phoneticPr fontId="1" type="noConversion"/>
  </si>
  <si>
    <t>鹿港鎮鹿工路台玻東元公司</t>
    <phoneticPr fontId="1" type="noConversion"/>
  </si>
  <si>
    <t>G2127GB65</t>
  </si>
  <si>
    <t>鹿港鎮工業西六路16號</t>
  </si>
  <si>
    <t>G2028CA58</t>
    <phoneticPr fontId="1" type="noConversion"/>
  </si>
  <si>
    <t>鹿港鎮鹿工北六路台玻彰濱廠</t>
    <phoneticPr fontId="1" type="noConversion"/>
  </si>
  <si>
    <t>G2329HA17</t>
  </si>
  <si>
    <t>鹿港鎮工業東四路15號繼茂橡膠</t>
  </si>
  <si>
    <t>G2126BE14</t>
  </si>
  <si>
    <t>鹿港鎮工業西六路興鑫金屬科技</t>
  </si>
  <si>
    <t>漢寶D/S</t>
    <phoneticPr fontId="1" type="noConversion"/>
  </si>
  <si>
    <t>G1811HD48</t>
  </si>
  <si>
    <t>漢寶高幹125X#15</t>
  </si>
  <si>
    <t>G1810CC70</t>
  </si>
  <si>
    <t>五區高幹22Y#23-1</t>
    <phoneticPr fontId="1" type="noConversion"/>
  </si>
  <si>
    <t>G1708CB89</t>
  </si>
  <si>
    <t>芳漢高幹#74</t>
  </si>
  <si>
    <t>G1810BA05</t>
  </si>
  <si>
    <t>芳漢高幹#99</t>
  </si>
  <si>
    <t>G1709GD07</t>
    <phoneticPr fontId="1" type="noConversion"/>
  </si>
  <si>
    <t>漢中高幹#3</t>
    <phoneticPr fontId="1" type="noConversion"/>
  </si>
  <si>
    <t>G2406DD07</t>
  </si>
  <si>
    <t>樂庄高分#2</t>
  </si>
  <si>
    <t>G1709DA91</t>
  </si>
  <si>
    <t>芳漢高幹80X#2</t>
  </si>
  <si>
    <t>G1708DE4142</t>
  </si>
  <si>
    <t>漢南高幹#1</t>
  </si>
  <si>
    <t>G1708ED10</t>
  </si>
  <si>
    <t>川邊高幹#139</t>
  </si>
  <si>
    <t>G1810DD32</t>
  </si>
  <si>
    <t>芳漢高幹#109</t>
  </si>
  <si>
    <t>G1810ED29</t>
    <phoneticPr fontId="1" type="noConversion"/>
  </si>
  <si>
    <t>五區高幹15Y#18-1</t>
  </si>
  <si>
    <t>G2410HA95</t>
  </si>
  <si>
    <t>新樂高幹227X#36</t>
  </si>
  <si>
    <t>G1811FA98</t>
  </si>
  <si>
    <t>五區高幹7Y#15-1</t>
  </si>
  <si>
    <t>G2407AC23</t>
  </si>
  <si>
    <t>新樂高幹103X#2</t>
  </si>
  <si>
    <t>G1911AD4567</t>
  </si>
  <si>
    <t>原料高分#1</t>
  </si>
  <si>
    <t>G1912GE91</t>
  </si>
  <si>
    <t>信豪高分#47-1</t>
  </si>
  <si>
    <t>G2113AD1674</t>
  </si>
  <si>
    <t>漢寶高幹#1-1</t>
  </si>
  <si>
    <t>G2113AD45</t>
  </si>
  <si>
    <t>麥嶼厝高幹#1-1</t>
  </si>
  <si>
    <t>G2113BD08</t>
  </si>
  <si>
    <t>麥嶼厝高幹#2-1</t>
  </si>
  <si>
    <t>草港D/S</t>
    <phoneticPr fontId="93" type="noConversion"/>
  </si>
  <si>
    <t>G3038BA9450</t>
  </si>
  <si>
    <t>下港高幹#64</t>
  </si>
  <si>
    <t>G3038BB24</t>
  </si>
  <si>
    <t>重光高幹#3</t>
    <phoneticPr fontId="1" type="noConversion"/>
  </si>
  <si>
    <t>G2935FC91</t>
  </si>
  <si>
    <t>崙尾高分#5</t>
  </si>
  <si>
    <t>G3030FC47</t>
  </si>
  <si>
    <t>帝寶高幹#1</t>
  </si>
  <si>
    <t>G2933FD73</t>
    <phoneticPr fontId="1" type="noConversion"/>
  </si>
  <si>
    <t>草港高幹#86</t>
  </si>
  <si>
    <t>G2933EB5422</t>
  </si>
  <si>
    <t>洋厝高幹#25</t>
  </si>
  <si>
    <t>G2936GA7503</t>
  </si>
  <si>
    <t>草港高幹#58</t>
  </si>
  <si>
    <t>G3037AA02</t>
  </si>
  <si>
    <t>草犁高幹#2</t>
  </si>
  <si>
    <t>G3143FC20</t>
  </si>
  <si>
    <t>蚵伸高幹#55</t>
  </si>
  <si>
    <t>G3040CC6990</t>
  </si>
  <si>
    <t>中華高幹#7-1</t>
  </si>
  <si>
    <t>G2831HC86</t>
    <phoneticPr fontId="1" type="noConversion"/>
  </si>
  <si>
    <t>鹿港鎮洋厝里鹿草路3段260巷3號配電場</t>
    <phoneticPr fontId="1" type="noConversion"/>
  </si>
  <si>
    <t>G2831HE8735</t>
  </si>
  <si>
    <t>草港高幹#111</t>
  </si>
  <si>
    <t>G2935GB48</t>
  </si>
  <si>
    <t>崙尾高分#4</t>
  </si>
  <si>
    <t>G3034AD43</t>
    <phoneticPr fontId="1" type="noConversion"/>
  </si>
  <si>
    <t>草中高分#3</t>
    <phoneticPr fontId="1" type="noConversion"/>
  </si>
  <si>
    <t>G3142CB57</t>
  </si>
  <si>
    <t>德興高幹16Y#50</t>
  </si>
  <si>
    <t>G3039DA50</t>
  </si>
  <si>
    <t>草豐高幹#2</t>
  </si>
  <si>
    <t>G3039FE60</t>
  </si>
  <si>
    <t>草港高幹12X#2</t>
  </si>
  <si>
    <t>G3037AA97</t>
  </si>
  <si>
    <t>崁頂高幹#53</t>
  </si>
  <si>
    <t>福興D/S</t>
    <phoneticPr fontId="93" type="noConversion"/>
  </si>
  <si>
    <t>G3118ED39</t>
  </si>
  <si>
    <t>大興高幹#52</t>
  </si>
  <si>
    <t>G3121EB32</t>
  </si>
  <si>
    <t>彰鹿高幹#23</t>
  </si>
  <si>
    <t>G3020CD79</t>
    <phoneticPr fontId="1" type="noConversion"/>
  </si>
  <si>
    <t>鹿港鎮彰鹿路六段536號配電場</t>
  </si>
  <si>
    <t>G3118DD75</t>
  </si>
  <si>
    <t>陳筆高幹#2</t>
  </si>
  <si>
    <t>G3020HA31</t>
  </si>
  <si>
    <t>阮田高幹#1</t>
    <phoneticPr fontId="1" type="noConversion"/>
  </si>
  <si>
    <t>G2920HE30</t>
    <phoneticPr fontId="1" type="noConversion"/>
  </si>
  <si>
    <t>彰頂高幹#2</t>
  </si>
  <si>
    <t>G3020DE53</t>
  </si>
  <si>
    <t>和華高幹#29-1</t>
  </si>
  <si>
    <t>G3119DE86</t>
  </si>
  <si>
    <t>大興高幹#65</t>
  </si>
  <si>
    <t>G2920FD14</t>
  </si>
  <si>
    <t>浮景高幹#2</t>
  </si>
  <si>
    <t>G3020HA54</t>
  </si>
  <si>
    <t>路店高幹#1</t>
    <phoneticPr fontId="1" type="noConversion"/>
  </si>
  <si>
    <t>G3020DD48</t>
  </si>
  <si>
    <t>彰鹿高幹7Y#1</t>
    <phoneticPr fontId="1" type="noConversion"/>
  </si>
  <si>
    <t>G3118DD89</t>
  </si>
  <si>
    <t>大興高幹#53</t>
  </si>
  <si>
    <t>G3121DB97</t>
  </si>
  <si>
    <t>溝興高幹#77</t>
  </si>
  <si>
    <t>G2920FE26</t>
  </si>
  <si>
    <t>橋頭高幹33X#2</t>
  </si>
  <si>
    <t>G3020GA9187</t>
  </si>
  <si>
    <t>阮田高幹#2</t>
  </si>
  <si>
    <t>G3020GE38</t>
  </si>
  <si>
    <t>福興鄉彰鹿路六段373 號配電場</t>
  </si>
  <si>
    <t>G3120EA3193</t>
  </si>
  <si>
    <t>大興高幹66Y#1-1</t>
  </si>
  <si>
    <t>G3118DD59</t>
  </si>
  <si>
    <t>路店高幹17X#11</t>
  </si>
  <si>
    <t>G3121EB83</t>
  </si>
  <si>
    <t>彰鹿高幹#24</t>
  </si>
  <si>
    <t>G3118DD81</t>
  </si>
  <si>
    <t>陳筆高幹#3</t>
  </si>
  <si>
    <t>埔鹽S/S</t>
    <phoneticPr fontId="93" type="noConversion"/>
  </si>
  <si>
    <t>G3210FD5629</t>
  </si>
  <si>
    <t>部打高幹#1-2</t>
    <phoneticPr fontId="1" type="noConversion"/>
  </si>
  <si>
    <t>G3210FE67</t>
  </si>
  <si>
    <t>部仔高幹#56-2</t>
  </si>
  <si>
    <t>G3012EC53</t>
  </si>
  <si>
    <t>瓦瑤高幹#39</t>
    <phoneticPr fontId="1" type="noConversion"/>
  </si>
  <si>
    <t>G2911AA3173</t>
  </si>
  <si>
    <t>永樂高幹25X#14</t>
  </si>
  <si>
    <t>G2910AD08</t>
  </si>
  <si>
    <t>新水高幹#54</t>
  </si>
  <si>
    <t>4.5+1</t>
    <phoneticPr fontId="1" type="noConversion"/>
  </si>
  <si>
    <t>G3209DC48</t>
  </si>
  <si>
    <t>部仔高幹73X#1</t>
  </si>
  <si>
    <t>G3206EE90</t>
  </si>
  <si>
    <t>東寮高幹60Z#1</t>
  </si>
  <si>
    <t>G3105FD18</t>
  </si>
  <si>
    <t>西寮高分#45</t>
  </si>
  <si>
    <t>G3106CB06</t>
  </si>
  <si>
    <t>浸水高幹#5</t>
  </si>
  <si>
    <t>G2810HE56</t>
  </si>
  <si>
    <t>永樂高幹25X16Y#2</t>
    <phoneticPr fontId="1" type="noConversion"/>
  </si>
  <si>
    <t>G3009BE63</t>
  </si>
  <si>
    <t>好金高幹#57</t>
  </si>
  <si>
    <t>G3009HC43</t>
    <phoneticPr fontId="1" type="noConversion"/>
  </si>
  <si>
    <t>埔鹽高幹#109</t>
    <phoneticPr fontId="1" type="noConversion"/>
  </si>
  <si>
    <t>G3109AB41</t>
    <phoneticPr fontId="1" type="noConversion"/>
  </si>
  <si>
    <t>角樹高分25Y#19</t>
  </si>
  <si>
    <t>G2910AE11</t>
  </si>
  <si>
    <t>新水高幹#55</t>
  </si>
  <si>
    <t>G3010FD8501</t>
  </si>
  <si>
    <t>公所高幹#1</t>
  </si>
  <si>
    <t>大霞D/S</t>
    <phoneticPr fontId="93" type="noConversion"/>
  </si>
  <si>
    <t>G4031BC24</t>
  </si>
  <si>
    <t>和美鎮彰新路二段</t>
    <phoneticPr fontId="1" type="noConversion"/>
  </si>
  <si>
    <t>G3632GB74</t>
  </si>
  <si>
    <t>頂湳高幹46X#8</t>
    <phoneticPr fontId="1" type="noConversion"/>
  </si>
  <si>
    <t>G3631GE59</t>
  </si>
  <si>
    <t>嘉佃高幹#52</t>
  </si>
  <si>
    <t>G3632CD25</t>
  </si>
  <si>
    <t>霞田高幹#76</t>
    <phoneticPr fontId="1" type="noConversion"/>
  </si>
  <si>
    <t>G3533FD46</t>
  </si>
  <si>
    <t>霞田高幹58Y#1-1</t>
    <phoneticPr fontId="1" type="noConversion"/>
  </si>
  <si>
    <t>G3733DA57</t>
  </si>
  <si>
    <t>嘉犁高幹#5</t>
  </si>
  <si>
    <t>G3735BD46</t>
  </si>
  <si>
    <t>柑井高幹#42</t>
  </si>
  <si>
    <t>G3735ED92</t>
  </si>
  <si>
    <t>柑竹北高幹#3</t>
    <phoneticPr fontId="1" type="noConversion"/>
  </si>
  <si>
    <t>G3735EC82</t>
  </si>
  <si>
    <t>柑井高幹#33</t>
  </si>
  <si>
    <t>G3534ED95</t>
  </si>
  <si>
    <t>和東高幹#63-2</t>
    <phoneticPr fontId="1" type="noConversion"/>
  </si>
  <si>
    <t>G3732BB3989</t>
  </si>
  <si>
    <t>頂湳高幹#47-1</t>
    <phoneticPr fontId="1" type="noConversion"/>
  </si>
  <si>
    <t>G3830FE1658</t>
  </si>
  <si>
    <t>水源高幹#1</t>
  </si>
  <si>
    <t>G3632EC21</t>
  </si>
  <si>
    <t>霞田高幹#82-1</t>
  </si>
  <si>
    <t>G3533FE33</t>
  </si>
  <si>
    <t>霞田高幹#56-1</t>
  </si>
  <si>
    <t>G3632AE04</t>
  </si>
  <si>
    <t>大霞高幹#1</t>
    <phoneticPr fontId="1" type="noConversion"/>
  </si>
  <si>
    <t>G3733EC7192</t>
  </si>
  <si>
    <t>彰美高幹#75</t>
  </si>
  <si>
    <t>G3535FD73</t>
  </si>
  <si>
    <t>美寮高幹#13</t>
  </si>
  <si>
    <t>G3733DE48</t>
  </si>
  <si>
    <t>柑竹南高幹#22</t>
  </si>
  <si>
    <t>G3735EC7711</t>
  </si>
  <si>
    <t>柑竹北高幹#1-1</t>
  </si>
  <si>
    <t>G3735BE22</t>
  </si>
  <si>
    <t>美寮高幹42X#0-1</t>
    <phoneticPr fontId="1" type="noConversion"/>
  </si>
  <si>
    <t>大城D/S</t>
    <phoneticPr fontId="93" type="noConversion"/>
  </si>
  <si>
    <t>K0880EE97</t>
    <phoneticPr fontId="1" type="noConversion"/>
  </si>
  <si>
    <t>沿海高分#1</t>
    <phoneticPr fontId="1" type="noConversion"/>
  </si>
  <si>
    <t>K1178BE12</t>
    <phoneticPr fontId="1" type="noConversion"/>
  </si>
  <si>
    <t>東港高幹#27</t>
    <phoneticPr fontId="1" type="noConversion"/>
  </si>
  <si>
    <t>K1279AD71</t>
  </si>
  <si>
    <t>菜寮高幹#25</t>
    <phoneticPr fontId="1" type="noConversion"/>
  </si>
  <si>
    <t>K1277ED94</t>
  </si>
  <si>
    <t>頂山高分#81</t>
    <phoneticPr fontId="1" type="noConversion"/>
  </si>
  <si>
    <t>K1378GD10</t>
    <phoneticPr fontId="1" type="noConversion"/>
  </si>
  <si>
    <t>安東寮高幹#4</t>
    <phoneticPr fontId="1" type="noConversion"/>
  </si>
  <si>
    <t>K1078FE6899</t>
  </si>
  <si>
    <t xml:space="preserve">大城鄉南平路配電場 </t>
    <phoneticPr fontId="1" type="noConversion"/>
  </si>
  <si>
    <t>K0979ED56</t>
  </si>
  <si>
    <t>東港高幹61X#2</t>
    <phoneticPr fontId="1" type="noConversion"/>
  </si>
  <si>
    <t>K1178AE02</t>
  </si>
  <si>
    <t>永光高幹#1-1</t>
    <phoneticPr fontId="1" type="noConversion"/>
  </si>
  <si>
    <t>5.5+1</t>
    <phoneticPr fontId="1" type="noConversion"/>
  </si>
  <si>
    <t>K1179CC84</t>
  </si>
  <si>
    <t>東港高幹30Y8Y#5</t>
    <phoneticPr fontId="1" type="noConversion"/>
  </si>
  <si>
    <t>K1477CE76</t>
    <phoneticPr fontId="1" type="noConversion"/>
  </si>
  <si>
    <t>頂山高分40Y#29</t>
    <phoneticPr fontId="1" type="noConversion"/>
  </si>
  <si>
    <t>K1178DD0240</t>
  </si>
  <si>
    <t>東港高幹#22-1</t>
    <phoneticPr fontId="1" type="noConversion"/>
  </si>
  <si>
    <t>原:K1178DD13</t>
    <phoneticPr fontId="1" type="noConversion"/>
  </si>
  <si>
    <t>K1079AB4753</t>
  </si>
  <si>
    <t>K1179GD19</t>
    <phoneticPr fontId="1" type="noConversion"/>
  </si>
  <si>
    <t>西城高幹35X#6-1</t>
    <phoneticPr fontId="1" type="noConversion"/>
  </si>
  <si>
    <t>K1277DE98</t>
  </si>
  <si>
    <t>大城高幹#117-1</t>
    <phoneticPr fontId="1" type="noConversion"/>
  </si>
  <si>
    <t>K1278GE25</t>
  </si>
  <si>
    <t>大城高幹#105-3</t>
    <phoneticPr fontId="1" type="noConversion"/>
  </si>
  <si>
    <t>K0879BC72</t>
  </si>
  <si>
    <t>台西高幹#8</t>
    <phoneticPr fontId="1" type="noConversion"/>
  </si>
  <si>
    <t>3.5+2</t>
    <phoneticPr fontId="1" type="noConversion"/>
  </si>
  <si>
    <t>K0979EE78</t>
  </si>
  <si>
    <t>西城高幹#98</t>
    <phoneticPr fontId="1" type="noConversion"/>
  </si>
  <si>
    <t>K1079CA1329</t>
  </si>
  <si>
    <t>四股高分#2</t>
    <phoneticPr fontId="1" type="noConversion"/>
  </si>
  <si>
    <t>K1378DB96</t>
  </si>
  <si>
    <t>大城高幹114X13-1X#9</t>
    <phoneticPr fontId="1" type="noConversion"/>
  </si>
  <si>
    <t>K1777BD70</t>
    <phoneticPr fontId="1" type="noConversion"/>
  </si>
  <si>
    <t>潭墘高幹#16</t>
    <phoneticPr fontId="1" type="noConversion"/>
  </si>
  <si>
    <t>彰林E/S</t>
    <phoneticPr fontId="93" type="noConversion"/>
  </si>
  <si>
    <t>K3298HB46</t>
    <phoneticPr fontId="1" type="noConversion"/>
  </si>
  <si>
    <t>溪埤高幹#39-2</t>
    <phoneticPr fontId="1" type="noConversion"/>
  </si>
  <si>
    <t>K3092FD43</t>
  </si>
  <si>
    <t>沙崙高幹#80</t>
  </si>
  <si>
    <t>K3294DD13</t>
  </si>
  <si>
    <t>草埔高幹22X24X#13</t>
  </si>
  <si>
    <t>K3189AE78</t>
    <phoneticPr fontId="1" type="noConversion"/>
  </si>
  <si>
    <t>彰水高幹#41</t>
  </si>
  <si>
    <t>K2797AB24</t>
  </si>
  <si>
    <t>塗崙高幹#42</t>
    <phoneticPr fontId="1" type="noConversion"/>
  </si>
  <si>
    <t>K3192HB15</t>
    <phoneticPr fontId="1" type="noConversion"/>
  </si>
  <si>
    <t>仁美高幹#2</t>
  </si>
  <si>
    <t>K2998CB12</t>
  </si>
  <si>
    <t>挖仔高幹#48</t>
    <phoneticPr fontId="1" type="noConversion"/>
  </si>
  <si>
    <t>K3189AA08</t>
  </si>
  <si>
    <t>庄子高幹#2-1</t>
  </si>
  <si>
    <t>K2993DA23</t>
    <phoneticPr fontId="1" type="noConversion"/>
  </si>
  <si>
    <t>埤周高分18空Y#5</t>
    <phoneticPr fontId="1" type="noConversion"/>
  </si>
  <si>
    <t>G2700DB01</t>
  </si>
  <si>
    <t>萬興高幹#100</t>
  </si>
  <si>
    <t>G2700GB10</t>
  </si>
  <si>
    <t>萬興高幹#91</t>
    <phoneticPr fontId="1" type="noConversion"/>
  </si>
  <si>
    <t>K3094AA67</t>
  </si>
  <si>
    <t>沙崙高幹80空X#19</t>
    <phoneticPr fontId="1" type="noConversion"/>
  </si>
  <si>
    <t>K3190BC95</t>
    <phoneticPr fontId="1" type="noConversion"/>
  </si>
  <si>
    <t>彰水高幹#48-2</t>
  </si>
  <si>
    <t>K2695HB56</t>
  </si>
  <si>
    <t>二林鎮中科大道配電場</t>
    <phoneticPr fontId="1" type="noConversion"/>
  </si>
  <si>
    <t>K3192CE29</t>
  </si>
  <si>
    <t>豐崙高分#14-1</t>
  </si>
  <si>
    <t>K2998CA38</t>
    <phoneticPr fontId="1" type="noConversion"/>
  </si>
  <si>
    <t>挖仔高幹#51</t>
  </si>
  <si>
    <t>K3191DA97</t>
    <phoneticPr fontId="1" type="noConversion"/>
  </si>
  <si>
    <t>埔興高幹#96</t>
  </si>
  <si>
    <t>K3295FA15</t>
  </si>
  <si>
    <t>溪埤高幹#83-1</t>
  </si>
  <si>
    <t>K2993DA36</t>
  </si>
  <si>
    <t>埤周高分18空Y#6</t>
    <phoneticPr fontId="1" type="noConversion"/>
  </si>
  <si>
    <t>K2994GE03</t>
  </si>
  <si>
    <t>埤頭鄉沙崙路配電場</t>
    <phoneticPr fontId="1" type="noConversion"/>
  </si>
  <si>
    <t>彰竹D/S</t>
    <phoneticPr fontId="93" type="noConversion"/>
  </si>
  <si>
    <t>G4925GD06</t>
    <phoneticPr fontId="1" type="noConversion"/>
  </si>
  <si>
    <t>校坑高分#2</t>
    <phoneticPr fontId="1" type="noConversion"/>
  </si>
  <si>
    <t>G4827HB19</t>
    <phoneticPr fontId="1" type="noConversion"/>
  </si>
  <si>
    <t>快官高幹13Y#8</t>
    <phoneticPr fontId="1" type="noConversion"/>
  </si>
  <si>
    <t>G4828FE02</t>
    <phoneticPr fontId="1" type="noConversion"/>
  </si>
  <si>
    <t>埔村高幹#3</t>
    <phoneticPr fontId="1" type="noConversion"/>
  </si>
  <si>
    <t>G4828ED75</t>
    <phoneticPr fontId="1" type="noConversion"/>
  </si>
  <si>
    <t>牛埔高幹#83</t>
    <phoneticPr fontId="1" type="noConversion"/>
  </si>
  <si>
    <t>G4926FC36</t>
    <phoneticPr fontId="1" type="noConversion"/>
  </si>
  <si>
    <t>三村高幹#184</t>
    <phoneticPr fontId="1" type="noConversion"/>
  </si>
  <si>
    <t>花壇D/S</t>
    <phoneticPr fontId="93" type="noConversion"/>
  </si>
  <si>
    <t>G4120CA72</t>
  </si>
  <si>
    <t>大埔高幹74Y#2</t>
    <phoneticPr fontId="1" type="noConversion"/>
  </si>
  <si>
    <t>G4119BD93</t>
  </si>
  <si>
    <t>溪南高分#29</t>
    <phoneticPr fontId="1" type="noConversion"/>
  </si>
  <si>
    <t>G4215DA88</t>
  </si>
  <si>
    <t>華南高幹5空X#9</t>
  </si>
  <si>
    <t>G4215EC88</t>
    <phoneticPr fontId="1" type="noConversion"/>
  </si>
  <si>
    <t>內庄高幹#85</t>
  </si>
  <si>
    <t>G4114FB71</t>
    <phoneticPr fontId="1" type="noConversion"/>
  </si>
  <si>
    <t>金墩高幹#36</t>
  </si>
  <si>
    <t>G4120CA22</t>
  </si>
  <si>
    <t>大埔高幹74Y#4</t>
    <phoneticPr fontId="1" type="noConversion"/>
  </si>
  <si>
    <t>G4313HD38</t>
  </si>
  <si>
    <t>三春高幹57Z#9</t>
    <phoneticPr fontId="1" type="noConversion"/>
  </si>
  <si>
    <t>原:G4313HD28</t>
    <phoneticPr fontId="1" type="noConversion"/>
  </si>
  <si>
    <t>G4114EC23</t>
  </si>
  <si>
    <t>金墩高幹#41-1</t>
    <phoneticPr fontId="1" type="noConversion"/>
  </si>
  <si>
    <t>G4215BE29</t>
  </si>
  <si>
    <t>華南高幹5空Y#19</t>
  </si>
  <si>
    <t>G4114FB81</t>
    <phoneticPr fontId="1" type="noConversion"/>
  </si>
  <si>
    <t>金墩高幹#35-1</t>
  </si>
  <si>
    <t>G4216BA21</t>
    <phoneticPr fontId="1" type="noConversion"/>
  </si>
  <si>
    <t>內庄高幹#74</t>
    <phoneticPr fontId="1" type="noConversion"/>
  </si>
  <si>
    <t>G4119CD56</t>
  </si>
  <si>
    <t>溪南高分#31</t>
  </si>
  <si>
    <t>G3920FB57</t>
  </si>
  <si>
    <t>南興高幹#82</t>
    <phoneticPr fontId="1" type="noConversion"/>
  </si>
  <si>
    <t>G4117CA92</t>
  </si>
  <si>
    <t>學前高幹#28</t>
    <phoneticPr fontId="1" type="noConversion"/>
  </si>
  <si>
    <t>G4121BB33</t>
  </si>
  <si>
    <t>大埔高幹#58</t>
    <phoneticPr fontId="1" type="noConversion"/>
  </si>
  <si>
    <t>G4116EE84</t>
    <phoneticPr fontId="1" type="noConversion"/>
  </si>
  <si>
    <t>花壇鄉中正路1-3號</t>
    <phoneticPr fontId="1" type="noConversion"/>
  </si>
  <si>
    <t>G4215CD90</t>
    <phoneticPr fontId="1" type="noConversion"/>
  </si>
  <si>
    <t>華南高幹#3</t>
  </si>
  <si>
    <t>G4215GB21</t>
  </si>
  <si>
    <t>內庄高幹#90</t>
  </si>
  <si>
    <t>G3921EC33</t>
  </si>
  <si>
    <t>南興高幹#62</t>
    <phoneticPr fontId="1" type="noConversion"/>
  </si>
  <si>
    <t>257</t>
    <phoneticPr fontId="1" type="noConversion"/>
  </si>
  <si>
    <t>480</t>
    <phoneticPr fontId="1" type="noConversion"/>
  </si>
  <si>
    <t>343</t>
    <phoneticPr fontId="1" type="noConversion"/>
  </si>
  <si>
    <t>362</t>
    <phoneticPr fontId="1" type="noConversion"/>
  </si>
  <si>
    <t>954</t>
    <phoneticPr fontId="1" type="noConversion"/>
  </si>
  <si>
    <t>878</t>
    <phoneticPr fontId="1" type="noConversion"/>
  </si>
  <si>
    <t>941</t>
    <phoneticPr fontId="1" type="noConversion"/>
  </si>
  <si>
    <t>747</t>
    <phoneticPr fontId="1" type="noConversion"/>
  </si>
  <si>
    <t>1047</t>
    <phoneticPr fontId="1" type="noConversion"/>
  </si>
  <si>
    <t>386</t>
    <phoneticPr fontId="1" type="noConversion"/>
  </si>
  <si>
    <t>831</t>
    <phoneticPr fontId="1" type="noConversion"/>
  </si>
  <si>
    <t>742</t>
    <phoneticPr fontId="1" type="noConversion"/>
  </si>
  <si>
    <t>465</t>
    <phoneticPr fontId="1" type="noConversion"/>
  </si>
  <si>
    <t>985</t>
    <phoneticPr fontId="1" type="noConversion"/>
  </si>
  <si>
    <t>967</t>
    <phoneticPr fontId="1" type="noConversion"/>
  </si>
  <si>
    <t>670</t>
    <phoneticPr fontId="1" type="noConversion"/>
  </si>
  <si>
    <t>292</t>
    <phoneticPr fontId="1" type="noConversion"/>
  </si>
  <si>
    <t>281</t>
    <phoneticPr fontId="1" type="noConversion"/>
  </si>
  <si>
    <t>331</t>
    <phoneticPr fontId="1" type="noConversion"/>
  </si>
  <si>
    <t>449</t>
    <phoneticPr fontId="1" type="noConversion"/>
  </si>
  <si>
    <t>554</t>
    <phoneticPr fontId="1" type="noConversion"/>
  </si>
  <si>
    <t>749</t>
    <phoneticPr fontId="1" type="noConversion"/>
  </si>
  <si>
    <t>429</t>
    <phoneticPr fontId="1" type="noConversion"/>
  </si>
  <si>
    <t>447</t>
    <phoneticPr fontId="1" type="noConversion"/>
  </si>
  <si>
    <t>379</t>
    <phoneticPr fontId="1" type="noConversion"/>
  </si>
  <si>
    <t>382</t>
    <phoneticPr fontId="1" type="noConversion"/>
  </si>
  <si>
    <t>528</t>
    <phoneticPr fontId="1" type="noConversion"/>
  </si>
  <si>
    <t>618</t>
    <phoneticPr fontId="1" type="noConversion"/>
  </si>
  <si>
    <t>612</t>
    <phoneticPr fontId="1" type="noConversion"/>
  </si>
  <si>
    <t>623</t>
    <phoneticPr fontId="1" type="noConversion"/>
  </si>
  <si>
    <t>723</t>
    <phoneticPr fontId="1" type="noConversion"/>
  </si>
  <si>
    <t>555</t>
    <phoneticPr fontId="1" type="noConversion"/>
  </si>
  <si>
    <t>587</t>
    <phoneticPr fontId="1" type="noConversion"/>
  </si>
  <si>
    <t>805</t>
    <phoneticPr fontId="1" type="noConversion"/>
  </si>
  <si>
    <t>294</t>
    <phoneticPr fontId="1" type="noConversion"/>
  </si>
  <si>
    <t>945</t>
    <phoneticPr fontId="1" type="noConversion"/>
  </si>
  <si>
    <t>518</t>
    <phoneticPr fontId="1" type="noConversion"/>
  </si>
  <si>
    <t>308</t>
    <phoneticPr fontId="1" type="noConversion"/>
  </si>
  <si>
    <t>450</t>
    <phoneticPr fontId="1" type="noConversion"/>
  </si>
  <si>
    <t>789</t>
    <phoneticPr fontId="1" type="noConversion"/>
  </si>
  <si>
    <t>782</t>
    <phoneticPr fontId="1" type="noConversion"/>
  </si>
  <si>
    <t>295</t>
    <phoneticPr fontId="1" type="noConversion"/>
  </si>
  <si>
    <t>494</t>
    <phoneticPr fontId="1" type="noConversion"/>
  </si>
  <si>
    <t>460</t>
    <phoneticPr fontId="1" type="noConversion"/>
  </si>
  <si>
    <t>579</t>
    <phoneticPr fontId="1" type="noConversion"/>
  </si>
  <si>
    <t>564</t>
    <phoneticPr fontId="1" type="noConversion"/>
  </si>
  <si>
    <t>613</t>
    <phoneticPr fontId="1" type="noConversion"/>
  </si>
  <si>
    <t>664</t>
    <phoneticPr fontId="1" type="noConversion"/>
  </si>
  <si>
    <t>649</t>
    <phoneticPr fontId="1" type="noConversion"/>
  </si>
  <si>
    <t>574</t>
    <phoneticPr fontId="1" type="noConversion"/>
  </si>
  <si>
    <t>492</t>
    <phoneticPr fontId="1" type="noConversion"/>
  </si>
  <si>
    <t>764</t>
    <phoneticPr fontId="1" type="noConversion"/>
  </si>
  <si>
    <t>516</t>
    <phoneticPr fontId="1" type="noConversion"/>
  </si>
  <si>
    <t>488</t>
    <phoneticPr fontId="1" type="noConversion"/>
  </si>
  <si>
    <t>311</t>
    <phoneticPr fontId="1" type="noConversion"/>
  </si>
  <si>
    <t>656</t>
    <phoneticPr fontId="1" type="noConversion"/>
  </si>
  <si>
    <t>693</t>
    <phoneticPr fontId="1" type="noConversion"/>
  </si>
  <si>
    <t>974</t>
    <phoneticPr fontId="1" type="noConversion"/>
  </si>
  <si>
    <t>917</t>
    <phoneticPr fontId="1" type="noConversion"/>
  </si>
  <si>
    <t>921</t>
    <phoneticPr fontId="1" type="noConversion"/>
  </si>
  <si>
    <t>964</t>
    <phoneticPr fontId="1" type="noConversion"/>
  </si>
  <si>
    <t>400</t>
    <phoneticPr fontId="1" type="noConversion"/>
  </si>
  <si>
    <t>929</t>
    <phoneticPr fontId="1" type="noConversion"/>
  </si>
  <si>
    <t>469</t>
    <phoneticPr fontId="1" type="noConversion"/>
  </si>
  <si>
    <t>737</t>
    <phoneticPr fontId="1" type="noConversion"/>
  </si>
  <si>
    <t>855</t>
    <phoneticPr fontId="1" type="noConversion"/>
  </si>
  <si>
    <t>715</t>
    <phoneticPr fontId="1" type="noConversion"/>
  </si>
  <si>
    <t>806</t>
    <phoneticPr fontId="1" type="noConversion"/>
  </si>
  <si>
    <t>808</t>
    <phoneticPr fontId="1" type="noConversion"/>
  </si>
  <si>
    <t>377</t>
    <phoneticPr fontId="1" type="noConversion"/>
  </si>
  <si>
    <t>348</t>
    <phoneticPr fontId="1" type="noConversion"/>
  </si>
  <si>
    <t>1061</t>
    <phoneticPr fontId="1" type="noConversion"/>
  </si>
  <si>
    <t>1048</t>
    <phoneticPr fontId="1" type="noConversion"/>
  </si>
  <si>
    <t>1031</t>
    <phoneticPr fontId="1" type="noConversion"/>
  </si>
  <si>
    <t>793</t>
    <phoneticPr fontId="1" type="noConversion"/>
  </si>
  <si>
    <t>750</t>
    <phoneticPr fontId="1" type="noConversion"/>
  </si>
  <si>
    <t>944</t>
    <phoneticPr fontId="1" type="noConversion"/>
  </si>
  <si>
    <t>853</t>
    <phoneticPr fontId="1" type="noConversion"/>
  </si>
  <si>
    <t>481</t>
    <phoneticPr fontId="1" type="noConversion"/>
  </si>
  <si>
    <t>530</t>
    <phoneticPr fontId="1" type="noConversion"/>
  </si>
  <si>
    <t>346</t>
    <phoneticPr fontId="1" type="noConversion"/>
  </si>
  <si>
    <t>414</t>
    <phoneticPr fontId="1" type="noConversion"/>
  </si>
  <si>
    <t>536</t>
    <phoneticPr fontId="1" type="noConversion"/>
  </si>
  <si>
    <t>891</t>
    <phoneticPr fontId="1" type="noConversion"/>
  </si>
  <si>
    <t>854</t>
    <phoneticPr fontId="1" type="noConversion"/>
  </si>
  <si>
    <t>1012</t>
    <phoneticPr fontId="1" type="noConversion"/>
  </si>
  <si>
    <t>755</t>
    <phoneticPr fontId="1" type="noConversion"/>
  </si>
  <si>
    <t>553</t>
    <phoneticPr fontId="1" type="noConversion"/>
  </si>
  <si>
    <t>520</t>
    <phoneticPr fontId="1" type="noConversion"/>
  </si>
  <si>
    <t>563</t>
    <phoneticPr fontId="1" type="noConversion"/>
  </si>
  <si>
    <t>459</t>
    <phoneticPr fontId="1" type="noConversion"/>
  </si>
  <si>
    <t>497</t>
    <phoneticPr fontId="1" type="noConversion"/>
  </si>
  <si>
    <t>865</t>
    <phoneticPr fontId="1" type="noConversion"/>
  </si>
  <si>
    <t>886</t>
    <phoneticPr fontId="1" type="noConversion"/>
  </si>
  <si>
    <t>965</t>
    <phoneticPr fontId="1" type="noConversion"/>
  </si>
  <si>
    <t>312</t>
    <phoneticPr fontId="1" type="noConversion"/>
  </si>
  <si>
    <t>559</t>
    <phoneticPr fontId="1" type="noConversion"/>
  </si>
  <si>
    <t>642</t>
    <phoneticPr fontId="1" type="noConversion"/>
  </si>
  <si>
    <t>1028</t>
    <phoneticPr fontId="1" type="noConversion"/>
  </si>
  <si>
    <t>1027</t>
    <phoneticPr fontId="1" type="noConversion"/>
  </si>
  <si>
    <t>1019</t>
    <phoneticPr fontId="1" type="noConversion"/>
  </si>
  <si>
    <t>790</t>
    <phoneticPr fontId="1" type="noConversion"/>
  </si>
  <si>
    <t>787</t>
    <phoneticPr fontId="1" type="noConversion"/>
  </si>
  <si>
    <t>659</t>
    <phoneticPr fontId="1" type="noConversion"/>
  </si>
  <si>
    <t>830</t>
    <phoneticPr fontId="1" type="noConversion"/>
  </si>
  <si>
    <t>926</t>
    <phoneticPr fontId="1" type="noConversion"/>
  </si>
  <si>
    <t>819</t>
    <phoneticPr fontId="1" type="noConversion"/>
  </si>
  <si>
    <t>679</t>
    <phoneticPr fontId="1" type="noConversion"/>
  </si>
  <si>
    <t>610</t>
    <phoneticPr fontId="1" type="noConversion"/>
  </si>
  <si>
    <t>566</t>
    <phoneticPr fontId="1" type="noConversion"/>
  </si>
  <si>
    <t>826</t>
    <phoneticPr fontId="1" type="noConversion"/>
  </si>
  <si>
    <t>792</t>
    <phoneticPr fontId="1" type="noConversion"/>
  </si>
  <si>
    <t>757</t>
    <phoneticPr fontId="1" type="noConversion"/>
  </si>
  <si>
    <t>724</t>
    <phoneticPr fontId="1" type="noConversion"/>
  </si>
  <si>
    <t>925</t>
    <phoneticPr fontId="1" type="noConversion"/>
  </si>
  <si>
    <t>933</t>
    <phoneticPr fontId="1" type="noConversion"/>
  </si>
  <si>
    <t>457</t>
    <phoneticPr fontId="1" type="noConversion"/>
  </si>
  <si>
    <t>IU21(IU21)</t>
  </si>
  <si>
    <t>宏進線(IU22)</t>
  </si>
  <si>
    <t>中崙線(IU23)</t>
  </si>
  <si>
    <t>東山線(IU24)</t>
  </si>
  <si>
    <t>湖水線(IU25)</t>
  </si>
  <si>
    <t>IU26(IU26)</t>
  </si>
  <si>
    <t>東新線(IU31)</t>
  </si>
  <si>
    <t>西東線(IU32)</t>
  </si>
  <si>
    <t>三民線(IU33)</t>
  </si>
  <si>
    <t>IU34(IU34)</t>
  </si>
  <si>
    <t>東羽線(IU27)</t>
  </si>
  <si>
    <t>東北線(IU28)</t>
  </si>
  <si>
    <t>東水線(IU29)</t>
  </si>
  <si>
    <t>三條線(IU30)</t>
  </si>
  <si>
    <t>山腳線(IU35)</t>
  </si>
  <si>
    <t>鎮興線(IU36)</t>
  </si>
  <si>
    <t>東門線(IU37)</t>
  </si>
  <si>
    <t>金安線(IU38)</t>
  </si>
  <si>
    <t>IU39(IU39)</t>
  </si>
  <si>
    <t>IU40(IU40)</t>
  </si>
  <si>
    <t>變壓器_x000D_
或饋線名稱</t>
    <phoneticPr fontId="1" type="noConversion"/>
  </si>
  <si>
    <t>S</t>
    <phoneticPr fontId="1" type="noConversion"/>
  </si>
  <si>
    <t>最大電流</t>
    <phoneticPr fontId="1" type="noConversion"/>
  </si>
  <si>
    <t xml:space="preserve"> 二水SS_IW </t>
    <phoneticPr fontId="1" type="noConversion"/>
  </si>
  <si>
    <t xml:space="preserve"> #1MTR </t>
    <phoneticPr fontId="1" type="noConversion"/>
  </si>
  <si>
    <t xml:space="preserve"> 18:00:00 </t>
    <phoneticPr fontId="1" type="noConversion"/>
  </si>
  <si>
    <t xml:space="preserve">  </t>
    <phoneticPr fontId="1" type="noConversion"/>
  </si>
  <si>
    <t xml:space="preserve"> 大莊線 (IW22) </t>
    <phoneticPr fontId="1" type="noConversion"/>
  </si>
  <si>
    <t xml:space="preserve"> 19:00:00 </t>
    <phoneticPr fontId="1" type="noConversion"/>
  </si>
  <si>
    <t xml:space="preserve"> 10:00:00 </t>
    <phoneticPr fontId="1" type="noConversion"/>
  </si>
  <si>
    <t xml:space="preserve"> 惠民線 (IW26) </t>
    <phoneticPr fontId="1" type="noConversion"/>
  </si>
  <si>
    <t xml:space="preserve"> 21:00:00 </t>
    <phoneticPr fontId="1" type="noConversion"/>
  </si>
  <si>
    <t xml:space="preserve"> 07:00:00 </t>
    <phoneticPr fontId="1" type="noConversion"/>
  </si>
  <si>
    <t xml:space="preserve"> 20:00:00 </t>
    <phoneticPr fontId="1" type="noConversion"/>
  </si>
  <si>
    <t xml:space="preserve"> 08:00:00 </t>
    <phoneticPr fontId="1" type="noConversion"/>
  </si>
  <si>
    <t xml:space="preserve"> 17:00:00 </t>
    <phoneticPr fontId="1" type="noConversion"/>
  </si>
  <si>
    <t xml:space="preserve"> #2MTR </t>
    <phoneticPr fontId="1" type="noConversion"/>
  </si>
  <si>
    <t xml:space="preserve"> 吉安線 (IW30) </t>
    <phoneticPr fontId="1" type="noConversion"/>
  </si>
  <si>
    <t xml:space="preserve"> 15:00:00 </t>
    <phoneticPr fontId="1" type="noConversion"/>
  </si>
  <si>
    <t xml:space="preserve"> 柑園線 (IW34) </t>
    <phoneticPr fontId="1" type="noConversion"/>
  </si>
  <si>
    <t xml:space="preserve"> 12:00:00 </t>
    <phoneticPr fontId="1" type="noConversion"/>
  </si>
  <si>
    <t xml:space="preserve"> 14:00:00 </t>
    <phoneticPr fontId="1" type="noConversion"/>
  </si>
  <si>
    <t xml:space="preserve"> 09:00:00 </t>
    <phoneticPr fontId="1" type="noConversion"/>
  </si>
  <si>
    <t xml:space="preserve"> 00:00:00 </t>
    <phoneticPr fontId="1" type="noConversion"/>
  </si>
  <si>
    <t xml:space="preserve"> #3MTR </t>
    <phoneticPr fontId="1" type="noConversion"/>
  </si>
  <si>
    <t xml:space="preserve"> 16:00:00 </t>
    <phoneticPr fontId="1" type="noConversion"/>
  </si>
  <si>
    <t xml:space="preserve"> 大田線 (IW28) </t>
    <phoneticPr fontId="1" type="noConversion"/>
  </si>
  <si>
    <t xml:space="preserve"> 13:00:00 </t>
    <phoneticPr fontId="1" type="noConversion"/>
  </si>
  <si>
    <t xml:space="preserve"> 二林SS_IE </t>
    <phoneticPr fontId="1" type="noConversion"/>
  </si>
  <si>
    <t xml:space="preserve"> 永安線 (IE25) </t>
    <phoneticPr fontId="1" type="noConversion"/>
  </si>
  <si>
    <t xml:space="preserve"> 11:00:00 </t>
    <phoneticPr fontId="1" type="noConversion"/>
  </si>
  <si>
    <t xml:space="preserve"> 溝頭線 (IE24) </t>
    <phoneticPr fontId="1" type="noConversion"/>
  </si>
  <si>
    <t xml:space="preserve"> 中西線 (IE21) </t>
    <phoneticPr fontId="1" type="noConversion"/>
  </si>
  <si>
    <t xml:space="preserve"> 埤北線 (IE27) </t>
    <phoneticPr fontId="1" type="noConversion"/>
  </si>
  <si>
    <t xml:space="preserve"> 23:00:00 </t>
    <phoneticPr fontId="1" type="noConversion"/>
  </si>
  <si>
    <t xml:space="preserve"> 西斗線 (IE22) </t>
    <phoneticPr fontId="1" type="noConversion"/>
  </si>
  <si>
    <t xml:space="preserve"> 北平線 (IE23) </t>
    <phoneticPr fontId="1" type="noConversion"/>
  </si>
  <si>
    <t xml:space="preserve"> 廣西線 (IE28) </t>
    <phoneticPr fontId="1" type="noConversion"/>
  </si>
  <si>
    <t xml:space="preserve"> 三合線 (IE20) </t>
    <phoneticPr fontId="1" type="noConversion"/>
  </si>
  <si>
    <t xml:space="preserve"> 05:00:00 </t>
    <phoneticPr fontId="1" type="noConversion"/>
  </si>
  <si>
    <t xml:space="preserve"> 舊社線 (IE26) </t>
    <phoneticPr fontId="1" type="noConversion"/>
  </si>
  <si>
    <t xml:space="preserve"> 東興線 (IE29) </t>
    <phoneticPr fontId="1" type="noConversion"/>
  </si>
  <si>
    <t xml:space="preserve"> 大竹SS_IM </t>
    <phoneticPr fontId="1" type="noConversion"/>
  </si>
  <si>
    <t xml:space="preserve"> 竹彰線 (IM30) </t>
    <phoneticPr fontId="1" type="noConversion"/>
  </si>
  <si>
    <t xml:space="preserve"> 山坑線 (IM29) </t>
    <phoneticPr fontId="1" type="noConversion"/>
  </si>
  <si>
    <t xml:space="preserve"> 牛埔線 (IM26) </t>
    <phoneticPr fontId="1" type="noConversion"/>
  </si>
  <si>
    <t xml:space="preserve"> 大竹線 (IM22) </t>
    <phoneticPr fontId="1" type="noConversion"/>
  </si>
  <si>
    <t xml:space="preserve"> 渡船線 (IM20) </t>
    <phoneticPr fontId="1" type="noConversion"/>
  </si>
  <si>
    <t xml:space="preserve"> 渡橋線 (IM28) </t>
    <phoneticPr fontId="1" type="noConversion"/>
  </si>
  <si>
    <t xml:space="preserve"> 香山線 (IM27) </t>
    <phoneticPr fontId="1" type="noConversion"/>
  </si>
  <si>
    <t xml:space="preserve"> 福山線 (IM25) </t>
    <phoneticPr fontId="1" type="noConversion"/>
  </si>
  <si>
    <t xml:space="preserve"> 中莊線 (IM24) </t>
    <phoneticPr fontId="1" type="noConversion"/>
  </si>
  <si>
    <t xml:space="preserve"> 快官線 (IM23) </t>
    <phoneticPr fontId="1" type="noConversion"/>
  </si>
  <si>
    <t xml:space="preserve"> 大村SS_IN </t>
    <phoneticPr fontId="1" type="noConversion"/>
  </si>
  <si>
    <t xml:space="preserve"> 黃厝線 (IN28) </t>
    <phoneticPr fontId="1" type="noConversion"/>
  </si>
  <si>
    <t xml:space="preserve"> 中興線 (IN24) </t>
    <phoneticPr fontId="1" type="noConversion"/>
  </si>
  <si>
    <t xml:space="preserve"> 03:00:00 </t>
    <phoneticPr fontId="1" type="noConversion"/>
  </si>
  <si>
    <t xml:space="preserve"> 內庄線 (IN20) </t>
    <phoneticPr fontId="1" type="noConversion"/>
  </si>
  <si>
    <t xml:space="preserve"> 三芬線 (IN31) </t>
    <phoneticPr fontId="1" type="noConversion"/>
  </si>
  <si>
    <t xml:space="preserve"> 村上線 (IN29) </t>
    <phoneticPr fontId="1" type="noConversion"/>
  </si>
  <si>
    <t xml:space="preserve"> 大橋線 (IN22) </t>
    <phoneticPr fontId="1" type="noConversion"/>
  </si>
  <si>
    <t xml:space="preserve"> 金墩線 (IN26) </t>
    <phoneticPr fontId="1" type="noConversion"/>
  </si>
  <si>
    <t xml:space="preserve"> 大村線 (IN23) </t>
    <phoneticPr fontId="1" type="noConversion"/>
  </si>
  <si>
    <t xml:space="preserve"> 灣口線 (IN27) </t>
    <phoneticPr fontId="1" type="noConversion"/>
  </si>
  <si>
    <t xml:space="preserve"> 長春線 (IN32) </t>
    <phoneticPr fontId="1" type="noConversion"/>
  </si>
  <si>
    <t xml:space="preserve"> 南寮線 (IN34) </t>
    <phoneticPr fontId="1" type="noConversion"/>
  </si>
  <si>
    <t xml:space="preserve"> 01:00:00 </t>
    <phoneticPr fontId="1" type="noConversion"/>
  </si>
  <si>
    <t xml:space="preserve"> 上莊線 (IN33) </t>
    <phoneticPr fontId="1" type="noConversion"/>
  </si>
  <si>
    <t xml:space="preserve"> 三春線 (IN21) </t>
    <phoneticPr fontId="1" type="noConversion"/>
  </si>
  <si>
    <t xml:space="preserve"> 村北線 (IN25) </t>
    <phoneticPr fontId="1" type="noConversion"/>
  </si>
  <si>
    <t xml:space="preserve"> 村宜線 (IN30) </t>
    <phoneticPr fontId="1" type="noConversion"/>
  </si>
  <si>
    <t xml:space="preserve"> 大城DS_9L </t>
    <phoneticPr fontId="1" type="noConversion"/>
  </si>
  <si>
    <t xml:space="preserve"> #1DTR(A) </t>
    <phoneticPr fontId="1" type="noConversion"/>
  </si>
  <si>
    <t xml:space="preserve"> 9L26 (9L26) </t>
    <phoneticPr fontId="1" type="noConversion"/>
  </si>
  <si>
    <t xml:space="preserve"> 9L27 (9L27) </t>
    <phoneticPr fontId="1" type="noConversion"/>
  </si>
  <si>
    <t xml:space="preserve"> 9L21 (9L21) </t>
    <phoneticPr fontId="1" type="noConversion"/>
  </si>
  <si>
    <t xml:space="preserve"> 9L22 (9L22) </t>
    <phoneticPr fontId="1" type="noConversion"/>
  </si>
  <si>
    <t xml:space="preserve"> 9L28 (9L28) </t>
    <phoneticPr fontId="1" type="noConversion"/>
  </si>
  <si>
    <t xml:space="preserve"> 9L29 (9L29) </t>
    <phoneticPr fontId="1" type="noConversion"/>
  </si>
  <si>
    <t xml:space="preserve"> 9L23 (9L23) </t>
    <phoneticPr fontId="1" type="noConversion"/>
  </si>
  <si>
    <t xml:space="preserve"> 9L24 (9L24) </t>
    <phoneticPr fontId="1" type="noConversion"/>
  </si>
  <si>
    <t xml:space="preserve"> 9L30 (9L30) </t>
    <phoneticPr fontId="1" type="noConversion"/>
  </si>
  <si>
    <t xml:space="preserve"> 9L25 (9L25) </t>
    <phoneticPr fontId="1" type="noConversion"/>
  </si>
  <si>
    <t xml:space="preserve"> #2DTR(A) </t>
    <phoneticPr fontId="1" type="noConversion"/>
  </si>
  <si>
    <t xml:space="preserve"> 9L35 (9L35) </t>
    <phoneticPr fontId="1" type="noConversion"/>
  </si>
  <si>
    <t xml:space="preserve"> 22:00:00 </t>
    <phoneticPr fontId="1" type="noConversion"/>
  </si>
  <si>
    <t xml:space="preserve"> 9L34 (9L34) </t>
    <phoneticPr fontId="1" type="noConversion"/>
  </si>
  <si>
    <t xml:space="preserve"> 9L33 (9L33) </t>
    <phoneticPr fontId="1" type="noConversion"/>
  </si>
  <si>
    <t xml:space="preserve"> 9L32 (9L32) </t>
    <phoneticPr fontId="1" type="noConversion"/>
  </si>
  <si>
    <t xml:space="preserve"> 9L31 (9L31) </t>
    <phoneticPr fontId="1" type="noConversion"/>
  </si>
  <si>
    <t xml:space="preserve"> #2DTR(B) </t>
    <phoneticPr fontId="1" type="noConversion"/>
  </si>
  <si>
    <t xml:space="preserve"> 9L40 (9L40) </t>
    <phoneticPr fontId="1" type="noConversion"/>
  </si>
  <si>
    <t xml:space="preserve"> 9L39 (9L39) </t>
    <phoneticPr fontId="1" type="noConversion"/>
  </si>
  <si>
    <t xml:space="preserve"> 9L38 (9L38) </t>
    <phoneticPr fontId="1" type="noConversion"/>
  </si>
  <si>
    <t xml:space="preserve"> 9L37 (9L37) </t>
    <phoneticPr fontId="1" type="noConversion"/>
  </si>
  <si>
    <t xml:space="preserve"> 9L36 (9L36) </t>
    <phoneticPr fontId="1" type="noConversion"/>
  </si>
  <si>
    <t xml:space="preserve"> 大霞DS_9K </t>
    <phoneticPr fontId="1" type="noConversion"/>
  </si>
  <si>
    <t xml:space="preserve"> 9K21 (9K21) </t>
    <phoneticPr fontId="1" type="noConversion"/>
  </si>
  <si>
    <t xml:space="preserve"> 9K22 (9K22) </t>
    <phoneticPr fontId="1" type="noConversion"/>
  </si>
  <si>
    <t xml:space="preserve"> 9K23 (9K23) </t>
    <phoneticPr fontId="1" type="noConversion"/>
  </si>
  <si>
    <t xml:space="preserve"> 9K24 (9K24) </t>
    <phoneticPr fontId="1" type="noConversion"/>
  </si>
  <si>
    <t xml:space="preserve"> 9K25 (9K25) </t>
    <phoneticPr fontId="1" type="noConversion"/>
  </si>
  <si>
    <t xml:space="preserve"> #1DTR(B) </t>
    <phoneticPr fontId="1" type="noConversion"/>
  </si>
  <si>
    <t xml:space="preserve"> 9K26 (9K26) </t>
    <phoneticPr fontId="1" type="noConversion"/>
  </si>
  <si>
    <t xml:space="preserve"> 9K27 (9K27) </t>
    <phoneticPr fontId="1" type="noConversion"/>
  </si>
  <si>
    <t xml:space="preserve"> 9K28 (9K28) </t>
    <phoneticPr fontId="1" type="noConversion"/>
  </si>
  <si>
    <t xml:space="preserve"> 9K29 (9K29) </t>
    <phoneticPr fontId="1" type="noConversion"/>
  </si>
  <si>
    <t xml:space="preserve"> 9K30 (9K30) </t>
    <phoneticPr fontId="1" type="noConversion"/>
  </si>
  <si>
    <t xml:space="preserve"> 北斗SS_IX </t>
    <phoneticPr fontId="1" type="noConversion"/>
  </si>
  <si>
    <t xml:space="preserve"> 斗裕線 (IX25) </t>
    <phoneticPr fontId="1" type="noConversion"/>
  </si>
  <si>
    <t xml:space="preserve"> 斗永線 (IX23) </t>
    <phoneticPr fontId="1" type="noConversion"/>
  </si>
  <si>
    <t xml:space="preserve"> 斗州線 (IX26) </t>
    <phoneticPr fontId="1" type="noConversion"/>
  </si>
  <si>
    <t xml:space="preserve"> 斗湖線 (IX30) </t>
    <phoneticPr fontId="1" type="noConversion"/>
  </si>
  <si>
    <t xml:space="preserve"> 文宗線 (IX24) </t>
    <phoneticPr fontId="1" type="noConversion"/>
  </si>
  <si>
    <t xml:space="preserve"> 斗建線 (IX28) </t>
    <phoneticPr fontId="1" type="noConversion"/>
  </si>
  <si>
    <t xml:space="preserve"> 斗鳳線 (IX34) </t>
    <phoneticPr fontId="1" type="noConversion"/>
  </si>
  <si>
    <t xml:space="preserve"> 斗圳線 (IX31) </t>
    <phoneticPr fontId="1" type="noConversion"/>
  </si>
  <si>
    <t xml:space="preserve"> 斗溪線 (IX33) </t>
    <phoneticPr fontId="1" type="noConversion"/>
  </si>
  <si>
    <t xml:space="preserve"> 斗興線 (IX32) </t>
    <phoneticPr fontId="1" type="noConversion"/>
  </si>
  <si>
    <t xml:space="preserve"> 斗海線 (IX22) </t>
    <phoneticPr fontId="1" type="noConversion"/>
  </si>
  <si>
    <t xml:space="preserve"> 斗苑線 (IX20) </t>
    <phoneticPr fontId="1" type="noConversion"/>
  </si>
  <si>
    <t xml:space="preserve"> 斗中線 (IX21) </t>
    <phoneticPr fontId="1" type="noConversion"/>
  </si>
  <si>
    <t xml:space="preserve"> 斗工線 (IX29) </t>
    <phoneticPr fontId="1" type="noConversion"/>
  </si>
  <si>
    <t xml:space="preserve"> 斗民線 (IX27) </t>
    <phoneticPr fontId="1" type="noConversion"/>
  </si>
  <si>
    <t xml:space="preserve"> 田中DS_IG </t>
    <phoneticPr fontId="1" type="noConversion"/>
  </si>
  <si>
    <t xml:space="preserve"> IG30 (IG30) </t>
    <phoneticPr fontId="1" type="noConversion"/>
  </si>
  <si>
    <t xml:space="preserve"> IG31 (IG31) </t>
    <phoneticPr fontId="1" type="noConversion"/>
  </si>
  <si>
    <t xml:space="preserve"> IG32 (IG32) </t>
    <phoneticPr fontId="1" type="noConversion"/>
  </si>
  <si>
    <t xml:space="preserve"> IG33 (IG33) </t>
    <phoneticPr fontId="1" type="noConversion"/>
  </si>
  <si>
    <t xml:space="preserve"> IG34 (IG34) </t>
    <phoneticPr fontId="1" type="noConversion"/>
  </si>
  <si>
    <t xml:space="preserve"> IG35 (IG35) </t>
    <phoneticPr fontId="1" type="noConversion"/>
  </si>
  <si>
    <t xml:space="preserve"> 06:00:00 </t>
    <phoneticPr fontId="1" type="noConversion"/>
  </si>
  <si>
    <t xml:space="preserve"> IG36 (IG36) </t>
    <phoneticPr fontId="1" type="noConversion"/>
  </si>
  <si>
    <t xml:space="preserve"> IG37 (IG37) </t>
    <phoneticPr fontId="1" type="noConversion"/>
  </si>
  <si>
    <t xml:space="preserve"> IG38 (IG38) </t>
    <phoneticPr fontId="1" type="noConversion"/>
  </si>
  <si>
    <t xml:space="preserve"> IG39 (IG39) </t>
    <phoneticPr fontId="1" type="noConversion"/>
  </si>
  <si>
    <t xml:space="preserve"> 全興ES_IZ </t>
    <phoneticPr fontId="1" type="noConversion"/>
  </si>
  <si>
    <t xml:space="preserve"> #1DTR </t>
    <phoneticPr fontId="1" type="noConversion"/>
  </si>
  <si>
    <t xml:space="preserve"> IZ51 (IZ51) </t>
    <phoneticPr fontId="1" type="noConversion"/>
  </si>
  <si>
    <t xml:space="preserve"> 02:00:00 </t>
    <phoneticPr fontId="1" type="noConversion"/>
  </si>
  <si>
    <t xml:space="preserve"> IZ52 (IZ52) </t>
    <phoneticPr fontId="1" type="noConversion"/>
  </si>
  <si>
    <t xml:space="preserve"> IZ53 (IZ53) </t>
    <phoneticPr fontId="1" type="noConversion"/>
  </si>
  <si>
    <t xml:space="preserve"> IZ54 (IZ54) </t>
    <phoneticPr fontId="1" type="noConversion"/>
  </si>
  <si>
    <t xml:space="preserve"> IZ55 (IZ55) </t>
    <phoneticPr fontId="1" type="noConversion"/>
  </si>
  <si>
    <t xml:space="preserve"> IZ56 (IZ56) </t>
    <phoneticPr fontId="1" type="noConversion"/>
  </si>
  <si>
    <t xml:space="preserve"> #2DTR </t>
    <phoneticPr fontId="1" type="noConversion"/>
  </si>
  <si>
    <t xml:space="preserve"> IZ61 (IZ61) </t>
    <phoneticPr fontId="1" type="noConversion"/>
  </si>
  <si>
    <t xml:space="preserve"> IZ62 (IZ62) </t>
    <phoneticPr fontId="1" type="noConversion"/>
  </si>
  <si>
    <t xml:space="preserve"> IZ63 (IZ63) </t>
    <phoneticPr fontId="1" type="noConversion"/>
  </si>
  <si>
    <t xml:space="preserve"> IZ64 (IZ64) </t>
    <phoneticPr fontId="1" type="noConversion"/>
  </si>
  <si>
    <t xml:space="preserve"> IZ65 (IZ65) </t>
    <phoneticPr fontId="1" type="noConversion"/>
  </si>
  <si>
    <t xml:space="preserve"> 04:00:00 </t>
    <phoneticPr fontId="1" type="noConversion"/>
  </si>
  <si>
    <t xml:space="preserve"> IZ66 (IZ66) </t>
    <phoneticPr fontId="1" type="noConversion"/>
  </si>
  <si>
    <t xml:space="preserve"> #3DTR(A) </t>
    <phoneticPr fontId="1" type="noConversion"/>
  </si>
  <si>
    <t xml:space="preserve"> IZ23 (IZ23) </t>
    <phoneticPr fontId="1" type="noConversion"/>
  </si>
  <si>
    <t xml:space="preserve"> IZ22 (IZ22) </t>
    <phoneticPr fontId="1" type="noConversion"/>
  </si>
  <si>
    <t xml:space="preserve"> IZ21 (IZ21) </t>
    <phoneticPr fontId="1" type="noConversion"/>
  </si>
  <si>
    <t xml:space="preserve"> #3DTR(B) </t>
    <phoneticPr fontId="1" type="noConversion"/>
  </si>
  <si>
    <t xml:space="preserve"> IZ26 (IZ26) </t>
    <phoneticPr fontId="1" type="noConversion"/>
  </si>
  <si>
    <t xml:space="preserve"> IZ25 (IZ25) </t>
    <phoneticPr fontId="1" type="noConversion"/>
  </si>
  <si>
    <t xml:space="preserve"> IZ24 (IZ24) </t>
    <phoneticPr fontId="1" type="noConversion"/>
  </si>
  <si>
    <t xml:space="preserve"> 伸港SS_IV </t>
    <phoneticPr fontId="1" type="noConversion"/>
  </si>
  <si>
    <t xml:space="preserve"> IV51 (IV51) </t>
    <phoneticPr fontId="1" type="noConversion"/>
  </si>
  <si>
    <t xml:space="preserve"> IV52 (IV52) </t>
    <phoneticPr fontId="1" type="noConversion"/>
  </si>
  <si>
    <t xml:space="preserve"> IV53 (IV53) </t>
    <phoneticPr fontId="1" type="noConversion"/>
  </si>
  <si>
    <t xml:space="preserve"> IV54 (IV54) </t>
    <phoneticPr fontId="1" type="noConversion"/>
  </si>
  <si>
    <t xml:space="preserve"> IV55 (IV55) </t>
    <phoneticPr fontId="1" type="noConversion"/>
  </si>
  <si>
    <t xml:space="preserve"> 伸湖線 (IV32) </t>
    <phoneticPr fontId="1" type="noConversion"/>
  </si>
  <si>
    <t xml:space="preserve"> 伸隆線 (IV34) </t>
    <phoneticPr fontId="1" type="noConversion"/>
  </si>
  <si>
    <t xml:space="preserve"> 伸松線 (IV35) </t>
    <phoneticPr fontId="1" type="noConversion"/>
  </si>
  <si>
    <t xml:space="preserve"> 伸尾線 (IV33) </t>
    <phoneticPr fontId="1" type="noConversion"/>
  </si>
  <si>
    <t xml:space="preserve"> 伸工線 (IV31) </t>
    <phoneticPr fontId="1" type="noConversion"/>
  </si>
  <si>
    <t xml:space="preserve"> 頂溪線 (IV24) </t>
    <phoneticPr fontId="1" type="noConversion"/>
  </si>
  <si>
    <t xml:space="preserve"> 伸海線 (IV25) </t>
    <phoneticPr fontId="1" type="noConversion"/>
  </si>
  <si>
    <t xml:space="preserve"> 水尾線 (IV22) </t>
    <phoneticPr fontId="1" type="noConversion"/>
  </si>
  <si>
    <t xml:space="preserve"> 草埔線 (IV21) </t>
    <phoneticPr fontId="1" type="noConversion"/>
  </si>
  <si>
    <t xml:space="preserve"> 伸三線 (IV29) </t>
    <phoneticPr fontId="1" type="noConversion"/>
  </si>
  <si>
    <t xml:space="preserve"> 和美SS_IJ </t>
    <phoneticPr fontId="1" type="noConversion"/>
  </si>
  <si>
    <t xml:space="preserve"> 和美線 (IJ23) </t>
    <phoneticPr fontId="1" type="noConversion"/>
  </si>
  <si>
    <t xml:space="preserve"> 和崁線 (IJ33) </t>
    <phoneticPr fontId="1" type="noConversion"/>
  </si>
  <si>
    <t xml:space="preserve"> 汴頭線 (IJ30) </t>
    <phoneticPr fontId="1" type="noConversion"/>
  </si>
  <si>
    <t xml:space="preserve"> 和西線 (IJ22) </t>
    <phoneticPr fontId="1" type="noConversion"/>
  </si>
  <si>
    <t xml:space="preserve"> 和張線 (IJ34) </t>
    <phoneticPr fontId="1" type="noConversion"/>
  </si>
  <si>
    <t xml:space="preserve"> 和發線 (IJ26) </t>
    <phoneticPr fontId="1" type="noConversion"/>
  </si>
  <si>
    <t xml:space="preserve"> 和南線 (IJ28) </t>
    <phoneticPr fontId="1" type="noConversion"/>
  </si>
  <si>
    <t xml:space="preserve"> 和伸線 (IJ20) </t>
    <phoneticPr fontId="1" type="noConversion"/>
  </si>
  <si>
    <t xml:space="preserve"> 和東線 (IJ29) </t>
    <phoneticPr fontId="1" type="noConversion"/>
  </si>
  <si>
    <t xml:space="preserve"> 和雅線 (IJ32) </t>
    <phoneticPr fontId="1" type="noConversion"/>
  </si>
  <si>
    <t xml:space="preserve"> 地政線 (IJ31) </t>
    <phoneticPr fontId="1" type="noConversion"/>
  </si>
  <si>
    <t xml:space="preserve"> 溪底線 (IJ24) </t>
    <phoneticPr fontId="1" type="noConversion"/>
  </si>
  <si>
    <t xml:space="preserve"> 下犁線 (IJ25) </t>
    <phoneticPr fontId="1" type="noConversion"/>
  </si>
  <si>
    <t xml:space="preserve"> 頂犁線 (IJ21) </t>
    <phoneticPr fontId="1" type="noConversion"/>
  </si>
  <si>
    <t xml:space="preserve"> 霞田線 (IJ27) </t>
    <phoneticPr fontId="1" type="noConversion"/>
  </si>
  <si>
    <t xml:space="preserve"> 社頭SS_IR </t>
    <phoneticPr fontId="1" type="noConversion"/>
  </si>
  <si>
    <t xml:space="preserve"> 社東線 (IR21) </t>
    <phoneticPr fontId="1" type="noConversion"/>
  </si>
  <si>
    <t xml:space="preserve"> 崙厝線 (IR31) </t>
    <phoneticPr fontId="1" type="noConversion"/>
  </si>
  <si>
    <t xml:space="preserve"> 雅果線 (IR32) </t>
    <phoneticPr fontId="1" type="noConversion"/>
  </si>
  <si>
    <t xml:space="preserve"> 清水線 (IR33) </t>
    <phoneticPr fontId="1" type="noConversion"/>
  </si>
  <si>
    <t xml:space="preserve"> 美雅線 (IR34) </t>
    <phoneticPr fontId="1" type="noConversion"/>
  </si>
  <si>
    <t xml:space="preserve"> 崙雅線 (IR25) </t>
    <phoneticPr fontId="1" type="noConversion"/>
  </si>
  <si>
    <t xml:space="preserve"> 朝興線 (IR26) </t>
    <phoneticPr fontId="1" type="noConversion"/>
  </si>
  <si>
    <t xml:space="preserve"> 社永線 (IR27) </t>
    <phoneticPr fontId="1" type="noConversion"/>
  </si>
  <si>
    <t xml:space="preserve"> 八堡線 (IR35) </t>
    <phoneticPr fontId="1" type="noConversion"/>
  </si>
  <si>
    <t xml:space="preserve"> 新雅線 (IR20) </t>
    <phoneticPr fontId="1" type="noConversion"/>
  </si>
  <si>
    <t xml:space="preserve"> IR38 (IR38) </t>
    <phoneticPr fontId="1" type="noConversion"/>
  </si>
  <si>
    <t xml:space="preserve"> IR39 (IR39) </t>
    <phoneticPr fontId="1" type="noConversion"/>
  </si>
  <si>
    <t xml:space="preserve"> IR40 (IR40) </t>
    <phoneticPr fontId="1" type="noConversion"/>
  </si>
  <si>
    <t xml:space="preserve"> IR37 (IR37) </t>
    <phoneticPr fontId="1" type="noConversion"/>
  </si>
  <si>
    <t xml:space="preserve"> IR36 (IR36) </t>
    <phoneticPr fontId="1" type="noConversion"/>
  </si>
  <si>
    <t xml:space="preserve"> #4MTR </t>
    <phoneticPr fontId="1" type="noConversion"/>
  </si>
  <si>
    <t xml:space="preserve"> 社斗線 (IR23) </t>
    <phoneticPr fontId="1" type="noConversion"/>
  </si>
  <si>
    <t xml:space="preserve"> 光雲線 (IR28) </t>
    <phoneticPr fontId="1" type="noConversion"/>
  </si>
  <si>
    <t xml:space="preserve"> 社西線 (IR22) </t>
    <phoneticPr fontId="1" type="noConversion"/>
  </si>
  <si>
    <t xml:space="preserve"> 圳尾線 (IR29) </t>
    <phoneticPr fontId="1" type="noConversion"/>
  </si>
  <si>
    <t xml:space="preserve"> 枋橋線 (IR24) </t>
    <phoneticPr fontId="1" type="noConversion"/>
  </si>
  <si>
    <t xml:space="preserve"> 芳苑SS_IY </t>
    <phoneticPr fontId="1" type="noConversion"/>
  </si>
  <si>
    <t xml:space="preserve"> 芳森線 (IY31) </t>
    <phoneticPr fontId="1" type="noConversion"/>
  </si>
  <si>
    <t xml:space="preserve"> 芳苑線 (IY21) </t>
    <phoneticPr fontId="1" type="noConversion"/>
  </si>
  <si>
    <t xml:space="preserve"> 芳中線 (IY32) </t>
    <phoneticPr fontId="1" type="noConversion"/>
  </si>
  <si>
    <t xml:space="preserve"> 芳隆線 (IY28) </t>
    <phoneticPr fontId="1" type="noConversion"/>
  </si>
  <si>
    <t xml:space="preserve"> 芳六線 (IY29) </t>
    <phoneticPr fontId="1" type="noConversion"/>
  </si>
  <si>
    <t xml:space="preserve"> 芳路線 (IY33) </t>
    <phoneticPr fontId="1" type="noConversion"/>
  </si>
  <si>
    <t xml:space="preserve"> 新街線 (IY20) </t>
    <phoneticPr fontId="1" type="noConversion"/>
  </si>
  <si>
    <t xml:space="preserve"> 芳林線 (IY34) </t>
    <phoneticPr fontId="1" type="noConversion"/>
  </si>
  <si>
    <t xml:space="preserve"> 芳街線 (IY35) </t>
    <phoneticPr fontId="1" type="noConversion"/>
  </si>
  <si>
    <t xml:space="preserve"> 永興線 (IY24) </t>
    <phoneticPr fontId="1" type="noConversion"/>
  </si>
  <si>
    <t xml:space="preserve"> 芳鵬線 (IY27) </t>
    <phoneticPr fontId="1" type="noConversion"/>
  </si>
  <si>
    <t xml:space="preserve"> 芳聚線 (IY26) </t>
    <phoneticPr fontId="1" type="noConversion"/>
  </si>
  <si>
    <t xml:space="preserve"> 芳南線 (IY22) </t>
    <phoneticPr fontId="1" type="noConversion"/>
  </si>
  <si>
    <t xml:space="preserve"> 芳北線 (IY23) </t>
    <phoneticPr fontId="1" type="noConversion"/>
  </si>
  <si>
    <t xml:space="preserve"> 芳麗線 (IY25) </t>
    <phoneticPr fontId="1" type="noConversion"/>
  </si>
  <si>
    <t xml:space="preserve"> 員東DS_IU </t>
    <phoneticPr fontId="1" type="noConversion"/>
  </si>
  <si>
    <t xml:space="preserve"> IU21 (IU21) </t>
    <phoneticPr fontId="1" type="noConversion"/>
  </si>
  <si>
    <t xml:space="preserve"> 宏進線 (IU22) </t>
    <phoneticPr fontId="1" type="noConversion"/>
  </si>
  <si>
    <t xml:space="preserve"> 中崙線 (IU23) </t>
    <phoneticPr fontId="1" type="noConversion"/>
  </si>
  <si>
    <t xml:space="preserve"> 東山線 (IU24) </t>
    <phoneticPr fontId="1" type="noConversion"/>
  </si>
  <si>
    <t xml:space="preserve"> 湖水線 (IU25) </t>
    <phoneticPr fontId="1" type="noConversion"/>
  </si>
  <si>
    <t xml:space="preserve"> IU26 (IU26) </t>
    <phoneticPr fontId="1" type="noConversion"/>
  </si>
  <si>
    <t xml:space="preserve"> 東新線 (IU31) </t>
    <phoneticPr fontId="1" type="noConversion"/>
  </si>
  <si>
    <t xml:space="preserve"> 西東線 (IU32) </t>
    <phoneticPr fontId="1" type="noConversion"/>
  </si>
  <si>
    <t xml:space="preserve"> 三民線 (IU33) </t>
    <phoneticPr fontId="1" type="noConversion"/>
  </si>
  <si>
    <t xml:space="preserve"> IU34 (IU34) </t>
    <phoneticPr fontId="1" type="noConversion"/>
  </si>
  <si>
    <t xml:space="preserve"> 東羽線 (IU27) </t>
    <phoneticPr fontId="1" type="noConversion"/>
  </si>
  <si>
    <t xml:space="preserve"> 東北線 (IU28) </t>
    <phoneticPr fontId="1" type="noConversion"/>
  </si>
  <si>
    <t xml:space="preserve"> 東水線 (IU29) </t>
    <phoneticPr fontId="1" type="noConversion"/>
  </si>
  <si>
    <t xml:space="preserve"> 三條線 (IU30) </t>
    <phoneticPr fontId="1" type="noConversion"/>
  </si>
  <si>
    <t xml:space="preserve"> 山腳線 (IU35) </t>
    <phoneticPr fontId="1" type="noConversion"/>
  </si>
  <si>
    <t xml:space="preserve"> 鎮興線 (IU36) </t>
    <phoneticPr fontId="1" type="noConversion"/>
  </si>
  <si>
    <t xml:space="preserve"> 東門線 (IU37) </t>
    <phoneticPr fontId="1" type="noConversion"/>
  </si>
  <si>
    <t xml:space="preserve"> 金安線 (IU38) </t>
    <phoneticPr fontId="1" type="noConversion"/>
  </si>
  <si>
    <t xml:space="preserve"> IU39 (IU39) </t>
    <phoneticPr fontId="1" type="noConversion"/>
  </si>
  <si>
    <t xml:space="preserve"> IU40 (IU40) </t>
    <phoneticPr fontId="1" type="noConversion"/>
  </si>
  <si>
    <t xml:space="preserve"> 員林DS_9C </t>
    <phoneticPr fontId="1" type="noConversion"/>
  </si>
  <si>
    <t xml:space="preserve"> 9C20 (9C20) </t>
    <phoneticPr fontId="1" type="noConversion"/>
  </si>
  <si>
    <t xml:space="preserve"> 9C21 (9C21) </t>
    <phoneticPr fontId="1" type="noConversion"/>
  </si>
  <si>
    <t xml:space="preserve"> 9C22 (9C22) </t>
    <phoneticPr fontId="1" type="noConversion"/>
  </si>
  <si>
    <t xml:space="preserve"> 9C23 (9C23) </t>
    <phoneticPr fontId="1" type="noConversion"/>
  </si>
  <si>
    <t xml:space="preserve"> 9C24 (9C24) </t>
    <phoneticPr fontId="1" type="noConversion"/>
  </si>
  <si>
    <t xml:space="preserve"> 9C25 (9C25) </t>
    <phoneticPr fontId="1" type="noConversion"/>
  </si>
  <si>
    <t xml:space="preserve"> 9C26 (9C26) </t>
    <phoneticPr fontId="1" type="noConversion"/>
  </si>
  <si>
    <t xml:space="preserve"> 9C27 (9C27) </t>
    <phoneticPr fontId="1" type="noConversion"/>
  </si>
  <si>
    <t xml:space="preserve"> 9C28 (9C28) </t>
    <phoneticPr fontId="1" type="noConversion"/>
  </si>
  <si>
    <t xml:space="preserve"> 9C29 (9C29) </t>
    <phoneticPr fontId="1" type="noConversion"/>
  </si>
  <si>
    <t xml:space="preserve"> 9C40 (9C40) </t>
    <phoneticPr fontId="1" type="noConversion"/>
  </si>
  <si>
    <t xml:space="preserve"> 9C41 (9C41) </t>
    <phoneticPr fontId="1" type="noConversion"/>
  </si>
  <si>
    <t xml:space="preserve"> 9C42 (9C42) </t>
    <phoneticPr fontId="1" type="noConversion"/>
  </si>
  <si>
    <t xml:space="preserve"> 9C43 (9C43) </t>
    <phoneticPr fontId="1" type="noConversion"/>
  </si>
  <si>
    <t xml:space="preserve"> 9C44 (9C44) </t>
    <phoneticPr fontId="1" type="noConversion"/>
  </si>
  <si>
    <t xml:space="preserve"> 9C45 (9C45) </t>
    <phoneticPr fontId="1" type="noConversion"/>
  </si>
  <si>
    <t xml:space="preserve"> 9C46 (9C46) </t>
    <phoneticPr fontId="1" type="noConversion"/>
  </si>
  <si>
    <t xml:space="preserve"> 9C47 (9C47) </t>
    <phoneticPr fontId="1" type="noConversion"/>
  </si>
  <si>
    <t xml:space="preserve"> 9C48 (9C48) </t>
    <phoneticPr fontId="1" type="noConversion"/>
  </si>
  <si>
    <t xml:space="preserve"> 9C49 (9C49) </t>
    <phoneticPr fontId="1" type="noConversion"/>
  </si>
  <si>
    <t xml:space="preserve"> 員南SS_IL </t>
    <phoneticPr fontId="1" type="noConversion"/>
  </si>
  <si>
    <t xml:space="preserve"> 萬年線 (IL27) </t>
    <phoneticPr fontId="1" type="noConversion"/>
  </si>
  <si>
    <t xml:space="preserve"> 南靖線 (IL22) </t>
    <phoneticPr fontId="1" type="noConversion"/>
  </si>
  <si>
    <t xml:space="preserve"> 經口線 (IL21) </t>
    <phoneticPr fontId="1" type="noConversion"/>
  </si>
  <si>
    <t xml:space="preserve"> 太平線 (IL23) </t>
    <phoneticPr fontId="1" type="noConversion"/>
  </si>
  <si>
    <t xml:space="preserve"> 中央線 (IL24) </t>
    <phoneticPr fontId="1" type="noConversion"/>
  </si>
  <si>
    <t xml:space="preserve"> 大華線 (IL32) </t>
    <phoneticPr fontId="1" type="noConversion"/>
  </si>
  <si>
    <t xml:space="preserve"> 瓦瑤線 (IL29) </t>
    <phoneticPr fontId="1" type="noConversion"/>
  </si>
  <si>
    <t xml:space="preserve"> 百果線 (IL20) </t>
    <phoneticPr fontId="1" type="noConversion"/>
  </si>
  <si>
    <t xml:space="preserve"> 溝皂線 (IL25) </t>
    <phoneticPr fontId="1" type="noConversion"/>
  </si>
  <si>
    <t xml:space="preserve"> 大饒線 (IL26) </t>
    <phoneticPr fontId="1" type="noConversion"/>
  </si>
  <si>
    <t xml:space="preserve"> F14 (F14) </t>
    <phoneticPr fontId="1" type="noConversion"/>
  </si>
  <si>
    <t xml:space="preserve"> 南門線 (IL30) </t>
    <phoneticPr fontId="1" type="noConversion"/>
  </si>
  <si>
    <t xml:space="preserve"> 五汴線 (IL28) </t>
    <phoneticPr fontId="1" type="noConversion"/>
  </si>
  <si>
    <t xml:space="preserve"> 莒光線 (IL31) </t>
    <phoneticPr fontId="1" type="noConversion"/>
  </si>
  <si>
    <t xml:space="preserve"> 埔鹽SS_9J </t>
    <phoneticPr fontId="1" type="noConversion"/>
  </si>
  <si>
    <t xml:space="preserve"> 9J11 (9J11) </t>
    <phoneticPr fontId="1" type="noConversion"/>
  </si>
  <si>
    <t xml:space="preserve"> 9J12 (9J12) </t>
    <phoneticPr fontId="1" type="noConversion"/>
  </si>
  <si>
    <t xml:space="preserve"> 9J13 (9J13) </t>
    <phoneticPr fontId="1" type="noConversion"/>
  </si>
  <si>
    <t xml:space="preserve"> 9J14 (9J14) </t>
    <phoneticPr fontId="1" type="noConversion"/>
  </si>
  <si>
    <t xml:space="preserve"> 9J15 (9J15) </t>
    <phoneticPr fontId="1" type="noConversion"/>
  </si>
  <si>
    <t xml:space="preserve"> 9J21 (9J21) </t>
    <phoneticPr fontId="1" type="noConversion"/>
  </si>
  <si>
    <t xml:space="preserve"> 9J24 (9J24) </t>
    <phoneticPr fontId="1" type="noConversion"/>
  </si>
  <si>
    <t xml:space="preserve"> 9J25 (9J25) </t>
    <phoneticPr fontId="1" type="noConversion"/>
  </si>
  <si>
    <t xml:space="preserve"> 9J22 (9J22) </t>
    <phoneticPr fontId="1" type="noConversion"/>
  </si>
  <si>
    <t xml:space="preserve"> 9J23 (9J23) </t>
    <phoneticPr fontId="1" type="noConversion"/>
  </si>
  <si>
    <t xml:space="preserve"> 9J31 (9J31) </t>
    <phoneticPr fontId="1" type="noConversion"/>
  </si>
  <si>
    <t xml:space="preserve"> 9J32 (9J32) </t>
    <phoneticPr fontId="1" type="noConversion"/>
  </si>
  <si>
    <t xml:space="preserve"> 9J33 (9J33) </t>
    <phoneticPr fontId="1" type="noConversion"/>
  </si>
  <si>
    <t xml:space="preserve"> 9J34 (9J34) </t>
    <phoneticPr fontId="1" type="noConversion"/>
  </si>
  <si>
    <t xml:space="preserve"> 9J35 (9J35) </t>
    <phoneticPr fontId="1" type="noConversion"/>
  </si>
  <si>
    <t xml:space="preserve"> 草港DS_9H </t>
    <phoneticPr fontId="1" type="noConversion"/>
  </si>
  <si>
    <t xml:space="preserve"> 9H20 (9H20) </t>
    <phoneticPr fontId="1" type="noConversion"/>
  </si>
  <si>
    <t xml:space="preserve"> 下港線 (9H21) </t>
    <phoneticPr fontId="1" type="noConversion"/>
  </si>
  <si>
    <t xml:space="preserve"> 草塭線 (9H22) </t>
    <phoneticPr fontId="1" type="noConversion"/>
  </si>
  <si>
    <t xml:space="preserve"> 崙尾線 (9H23) </t>
    <phoneticPr fontId="1" type="noConversion"/>
  </si>
  <si>
    <t xml:space="preserve"> 崙草線 (9H24) </t>
    <phoneticPr fontId="1" type="noConversion"/>
  </si>
  <si>
    <t xml:space="preserve"> 南勢線 (9H25) </t>
    <phoneticPr fontId="1" type="noConversion"/>
  </si>
  <si>
    <t xml:space="preserve"> 草洋線 (9H26) </t>
    <phoneticPr fontId="1" type="noConversion"/>
  </si>
  <si>
    <t xml:space="preserve"> 草港線 (9H27) </t>
    <phoneticPr fontId="1" type="noConversion"/>
  </si>
  <si>
    <t xml:space="preserve"> 草莊線 (9H28) </t>
    <phoneticPr fontId="1" type="noConversion"/>
  </si>
  <si>
    <t xml:space="preserve"> 草東線 (9H29) </t>
    <phoneticPr fontId="1" type="noConversion"/>
  </si>
  <si>
    <t xml:space="preserve"> 9H30 (9H30) </t>
    <phoneticPr fontId="1" type="noConversion"/>
  </si>
  <si>
    <t xml:space="preserve"> 西崙線 (9H31) </t>
    <phoneticPr fontId="1" type="noConversion"/>
  </si>
  <si>
    <t xml:space="preserve"> 草一線 (9H32) </t>
    <phoneticPr fontId="1" type="noConversion"/>
  </si>
  <si>
    <t xml:space="preserve"> 草鹿線 (9H33) </t>
    <phoneticPr fontId="1" type="noConversion"/>
  </si>
  <si>
    <t xml:space="preserve"> 頂山線 (9H34) </t>
    <phoneticPr fontId="1" type="noConversion"/>
  </si>
  <si>
    <t xml:space="preserve"> 草中線 (9H35) </t>
    <phoneticPr fontId="1" type="noConversion"/>
  </si>
  <si>
    <t xml:space="preserve"> 草子線 (9H36) </t>
    <phoneticPr fontId="1" type="noConversion"/>
  </si>
  <si>
    <t xml:space="preserve"> 東正線 (9H37) </t>
    <phoneticPr fontId="1" type="noConversion"/>
  </si>
  <si>
    <t xml:space="preserve"> 草嶺線 (9H38) </t>
    <phoneticPr fontId="1" type="noConversion"/>
  </si>
  <si>
    <t xml:space="preserve"> 草伸線 (9H39) </t>
    <phoneticPr fontId="1" type="noConversion"/>
  </si>
  <si>
    <t xml:space="preserve"> 草湖SS_IS </t>
    <phoneticPr fontId="1" type="noConversion"/>
  </si>
  <si>
    <t xml:space="preserve"> 草北線 (IS20) </t>
    <phoneticPr fontId="1" type="noConversion"/>
  </si>
  <si>
    <t xml:space="preserve"> 竹寮線 (IS21) </t>
    <phoneticPr fontId="1" type="noConversion"/>
  </si>
  <si>
    <t xml:space="preserve"> 趙甲線 (IS22) </t>
    <phoneticPr fontId="1" type="noConversion"/>
  </si>
  <si>
    <t xml:space="preserve"> 建平線 (IS27) </t>
    <phoneticPr fontId="1" type="noConversion"/>
  </si>
  <si>
    <t xml:space="preserve"> 胡厝線 (IS29) </t>
    <phoneticPr fontId="1" type="noConversion"/>
  </si>
  <si>
    <t xml:space="preserve"> 八甲線 (IS26) </t>
    <phoneticPr fontId="1" type="noConversion"/>
  </si>
  <si>
    <t xml:space="preserve"> 川邊線 (IS25) </t>
    <phoneticPr fontId="1" type="noConversion"/>
  </si>
  <si>
    <t xml:space="preserve"> 草苑線 (IS23) </t>
    <phoneticPr fontId="1" type="noConversion"/>
  </si>
  <si>
    <t xml:space="preserve"> 崙腳線 (IS24) </t>
    <phoneticPr fontId="1" type="noConversion"/>
  </si>
  <si>
    <t xml:space="preserve"> 興海線 (IS28) </t>
    <phoneticPr fontId="1" type="noConversion"/>
  </si>
  <si>
    <t xml:space="preserve"> 鹿西DS_9F </t>
    <phoneticPr fontId="1" type="noConversion"/>
  </si>
  <si>
    <t xml:space="preserve"> 9F51 (9F51) </t>
    <phoneticPr fontId="1" type="noConversion"/>
  </si>
  <si>
    <t xml:space="preserve"> 9F52 (9F52) </t>
    <phoneticPr fontId="1" type="noConversion"/>
  </si>
  <si>
    <t xml:space="preserve"> 9F53 (9F53) </t>
    <phoneticPr fontId="1" type="noConversion"/>
  </si>
  <si>
    <t xml:space="preserve"> 9F54 (9F54) </t>
    <phoneticPr fontId="1" type="noConversion"/>
  </si>
  <si>
    <t xml:space="preserve"> 9F55 (9F55) </t>
    <phoneticPr fontId="1" type="noConversion"/>
  </si>
  <si>
    <t xml:space="preserve"> 9F56 (9F56) </t>
    <phoneticPr fontId="1" type="noConversion"/>
  </si>
  <si>
    <t xml:space="preserve"> 9F57 (9F57) </t>
    <phoneticPr fontId="1" type="noConversion"/>
  </si>
  <si>
    <t xml:space="preserve"> 9F58 (9F58) </t>
    <phoneticPr fontId="1" type="noConversion"/>
  </si>
  <si>
    <t xml:space="preserve"> 9F61 (9F61) </t>
    <phoneticPr fontId="1" type="noConversion"/>
  </si>
  <si>
    <t xml:space="preserve"> 9F62 (9F62) </t>
    <phoneticPr fontId="1" type="noConversion"/>
  </si>
  <si>
    <t xml:space="preserve"> 9F63 (9F63) </t>
    <phoneticPr fontId="1" type="noConversion"/>
  </si>
  <si>
    <t xml:space="preserve"> 9F64 (9F64) </t>
    <phoneticPr fontId="1" type="noConversion"/>
  </si>
  <si>
    <t xml:space="preserve"> 9F65 (9F65) </t>
    <phoneticPr fontId="1" type="noConversion"/>
  </si>
  <si>
    <t xml:space="preserve"> 9F66 (9F66) </t>
    <phoneticPr fontId="1" type="noConversion"/>
  </si>
  <si>
    <t xml:space="preserve"> 9F67 (9F67) </t>
    <phoneticPr fontId="1" type="noConversion"/>
  </si>
  <si>
    <t xml:space="preserve"> 9F68 (9F68) </t>
    <phoneticPr fontId="1" type="noConversion"/>
  </si>
  <si>
    <t xml:space="preserve"> 鹿東DS_IO </t>
    <phoneticPr fontId="1" type="noConversion"/>
  </si>
  <si>
    <t xml:space="preserve"> IO51 (IO51) </t>
    <phoneticPr fontId="1" type="noConversion"/>
  </si>
  <si>
    <t xml:space="preserve"> IO52 (IO52) </t>
    <phoneticPr fontId="1" type="noConversion"/>
  </si>
  <si>
    <t xml:space="preserve"> IO53 (IO53) </t>
    <phoneticPr fontId="1" type="noConversion"/>
  </si>
  <si>
    <t xml:space="preserve"> IO54 (IO54) </t>
    <phoneticPr fontId="1" type="noConversion"/>
  </si>
  <si>
    <t xml:space="preserve"> IO55 (IO55) </t>
    <phoneticPr fontId="1" type="noConversion"/>
  </si>
  <si>
    <t xml:space="preserve"> IO56 (IO56) </t>
    <phoneticPr fontId="1" type="noConversion"/>
  </si>
  <si>
    <t xml:space="preserve"> IO61 (IO61) </t>
    <phoneticPr fontId="1" type="noConversion"/>
  </si>
  <si>
    <t xml:space="preserve"> IO64 (IO64) </t>
    <phoneticPr fontId="1" type="noConversion"/>
  </si>
  <si>
    <t xml:space="preserve"> IO65 (IO65) </t>
    <phoneticPr fontId="1" type="noConversion"/>
  </si>
  <si>
    <t xml:space="preserve"> IO62 (IO62) </t>
    <phoneticPr fontId="1" type="noConversion"/>
  </si>
  <si>
    <t xml:space="preserve"> IO63 (IO63) </t>
    <phoneticPr fontId="1" type="noConversion"/>
  </si>
  <si>
    <t xml:space="preserve"> IO66 (IO66) </t>
    <phoneticPr fontId="1" type="noConversion"/>
  </si>
  <si>
    <t xml:space="preserve"> #3DTR </t>
    <phoneticPr fontId="1" type="noConversion"/>
  </si>
  <si>
    <t xml:space="preserve"> IO76 (IO76) </t>
    <phoneticPr fontId="1" type="noConversion"/>
  </si>
  <si>
    <t xml:space="preserve"> IO75 (IO75) </t>
    <phoneticPr fontId="1" type="noConversion"/>
  </si>
  <si>
    <t xml:space="preserve"> IO73 (IO73) </t>
    <phoneticPr fontId="1" type="noConversion"/>
  </si>
  <si>
    <t xml:space="preserve"> IO74 (IO74) </t>
    <phoneticPr fontId="1" type="noConversion"/>
  </si>
  <si>
    <t xml:space="preserve"> IO72 (IO72) </t>
    <phoneticPr fontId="1" type="noConversion"/>
  </si>
  <si>
    <t xml:space="preserve"> IO71 (IO71) </t>
    <phoneticPr fontId="1" type="noConversion"/>
  </si>
  <si>
    <t xml:space="preserve"> IO26 (IO26) </t>
    <phoneticPr fontId="1" type="noConversion"/>
  </si>
  <si>
    <t xml:space="preserve"> IO25 (IO25) </t>
    <phoneticPr fontId="1" type="noConversion"/>
  </si>
  <si>
    <t xml:space="preserve"> IO24 (IO24) </t>
    <phoneticPr fontId="1" type="noConversion"/>
  </si>
  <si>
    <t xml:space="preserve"> IO23 (IO23) </t>
    <phoneticPr fontId="1" type="noConversion"/>
  </si>
  <si>
    <t xml:space="preserve"> IO22 (IO22) </t>
    <phoneticPr fontId="1" type="noConversion"/>
  </si>
  <si>
    <t xml:space="preserve"> IO21 (IO21) </t>
    <phoneticPr fontId="1" type="noConversion"/>
  </si>
  <si>
    <t xml:space="preserve"> 鹿港SS_IB </t>
    <phoneticPr fontId="1" type="noConversion"/>
  </si>
  <si>
    <t xml:space="preserve"> 二港線 (IB20) </t>
    <phoneticPr fontId="1" type="noConversion"/>
  </si>
  <si>
    <t xml:space="preserve"> 海埔線 (IB22) </t>
    <phoneticPr fontId="1" type="noConversion"/>
  </si>
  <si>
    <t xml:space="preserve"> 下庄線 (IB30) </t>
    <phoneticPr fontId="1" type="noConversion"/>
  </si>
  <si>
    <t xml:space="preserve"> 鹿一線 (IB31) </t>
    <phoneticPr fontId="1" type="noConversion"/>
  </si>
  <si>
    <t xml:space="preserve"> 橋頭線 (IB21) </t>
    <phoneticPr fontId="1" type="noConversion"/>
  </si>
  <si>
    <t xml:space="preserve"> 龍山線 (IB28) </t>
    <phoneticPr fontId="1" type="noConversion"/>
  </si>
  <si>
    <t xml:space="preserve"> 鹽場線 (IB25) </t>
    <phoneticPr fontId="1" type="noConversion"/>
  </si>
  <si>
    <t xml:space="preserve"> 鹿三線 (IB33) </t>
    <phoneticPr fontId="1" type="noConversion"/>
  </si>
  <si>
    <t xml:space="preserve"> 鹿東線 (IB27) </t>
    <phoneticPr fontId="1" type="noConversion"/>
  </si>
  <si>
    <t xml:space="preserve"> 鹿溪線 (IB24) </t>
    <phoneticPr fontId="1" type="noConversion"/>
  </si>
  <si>
    <t xml:space="preserve"> 永豐線 (IB34) </t>
    <phoneticPr fontId="1" type="noConversion"/>
  </si>
  <si>
    <t xml:space="preserve"> 鹿管線 (IB29) </t>
    <phoneticPr fontId="1" type="noConversion"/>
  </si>
  <si>
    <t xml:space="preserve"> 鹿二線 (IB32) </t>
    <phoneticPr fontId="1" type="noConversion"/>
  </si>
  <si>
    <t xml:space="preserve"> 頂厝線 (IB26) </t>
    <phoneticPr fontId="1" type="noConversion"/>
  </si>
  <si>
    <t xml:space="preserve"> 鹿中線 (IB23) </t>
    <phoneticPr fontId="1" type="noConversion"/>
  </si>
  <si>
    <t xml:space="preserve"> 溝墘SS_IT </t>
    <phoneticPr fontId="1" type="noConversion"/>
  </si>
  <si>
    <t xml:space="preserve"> 嘉佃線 (IT29) </t>
    <phoneticPr fontId="1" type="noConversion"/>
  </si>
  <si>
    <t xml:space="preserve"> 頭崙線 (IT22) </t>
    <phoneticPr fontId="1" type="noConversion"/>
  </si>
  <si>
    <t xml:space="preserve"> 溝南線 (IT34) </t>
    <phoneticPr fontId="1" type="noConversion"/>
  </si>
  <si>
    <t xml:space="preserve"> 馬興線 (IT23) </t>
    <phoneticPr fontId="1" type="noConversion"/>
  </si>
  <si>
    <t xml:space="preserve"> 葉厝線 (IT25) </t>
    <phoneticPr fontId="1" type="noConversion"/>
  </si>
  <si>
    <t xml:space="preserve"> 棋盤線 (IT24) </t>
    <phoneticPr fontId="1" type="noConversion"/>
  </si>
  <si>
    <t xml:space="preserve"> 鎮平線 (IT20) </t>
    <phoneticPr fontId="1" type="noConversion"/>
  </si>
  <si>
    <t xml:space="preserve"> 溝中線 (IT32) </t>
    <phoneticPr fontId="1" type="noConversion"/>
  </si>
  <si>
    <t xml:space="preserve"> 溝東線 (IT33) </t>
    <phoneticPr fontId="1" type="noConversion"/>
  </si>
  <si>
    <t xml:space="preserve"> 南海線 (IT27) </t>
    <phoneticPr fontId="1" type="noConversion"/>
  </si>
  <si>
    <t xml:space="preserve"> 頂番線 (IT21) </t>
    <phoneticPr fontId="1" type="noConversion"/>
  </si>
  <si>
    <t xml:space="preserve"> 溝圳線 (IT30) </t>
    <phoneticPr fontId="1" type="noConversion"/>
  </si>
  <si>
    <t xml:space="preserve"> 溝北線 (IT26) </t>
    <phoneticPr fontId="1" type="noConversion"/>
  </si>
  <si>
    <t xml:space="preserve"> 溝鹿線 (IT31) </t>
    <phoneticPr fontId="1" type="noConversion"/>
  </si>
  <si>
    <t xml:space="preserve"> 三永線 (IT28) </t>
    <phoneticPr fontId="1" type="noConversion"/>
  </si>
  <si>
    <t xml:space="preserve"> 溪州SS_IF </t>
    <phoneticPr fontId="1" type="noConversion"/>
  </si>
  <si>
    <t xml:space="preserve"> 埤頭線 (IF21) </t>
    <phoneticPr fontId="1" type="noConversion"/>
  </si>
  <si>
    <t xml:space="preserve"> 下霸線 (IF25) </t>
    <phoneticPr fontId="1" type="noConversion"/>
  </si>
  <si>
    <t xml:space="preserve"> 田頭線 (IF30) </t>
    <phoneticPr fontId="1" type="noConversion"/>
  </si>
  <si>
    <t xml:space="preserve"> 溪工線 (IF33) </t>
    <phoneticPr fontId="1" type="noConversion"/>
  </si>
  <si>
    <t xml:space="preserve"> 農場線 (IF34) </t>
    <phoneticPr fontId="1" type="noConversion"/>
  </si>
  <si>
    <t xml:space="preserve"> 溪竹線 (IF31) </t>
    <phoneticPr fontId="1" type="noConversion"/>
  </si>
  <si>
    <t xml:space="preserve"> 潮洋線 (IF22) </t>
    <phoneticPr fontId="1" type="noConversion"/>
  </si>
  <si>
    <t xml:space="preserve"> 路口線 (IF23) </t>
    <phoneticPr fontId="1" type="noConversion"/>
  </si>
  <si>
    <t xml:space="preserve"> 埤工線 (IF24) </t>
    <phoneticPr fontId="1" type="noConversion"/>
  </si>
  <si>
    <t xml:space="preserve"> 埔尾線 (IF26) </t>
    <phoneticPr fontId="1" type="noConversion"/>
  </si>
  <si>
    <t xml:space="preserve"> IF35 (IF35) </t>
    <phoneticPr fontId="1" type="noConversion"/>
  </si>
  <si>
    <t xml:space="preserve"> IF38 (IF38) </t>
    <phoneticPr fontId="1" type="noConversion"/>
  </si>
  <si>
    <t xml:space="preserve"> IF39 (IF39) </t>
    <phoneticPr fontId="1" type="noConversion"/>
  </si>
  <si>
    <t xml:space="preserve"> IF36 (IF36) </t>
    <phoneticPr fontId="1" type="noConversion"/>
  </si>
  <si>
    <t xml:space="preserve"> IF37 (IF37) </t>
    <phoneticPr fontId="1" type="noConversion"/>
  </si>
  <si>
    <t xml:space="preserve"> 元埔線 (IF27) </t>
    <phoneticPr fontId="1" type="noConversion"/>
  </si>
  <si>
    <t xml:space="preserve"> 溪斗線 (IF20) </t>
    <phoneticPr fontId="1" type="noConversion"/>
  </si>
  <si>
    <t xml:space="preserve"> 南州線 (IF28) </t>
    <phoneticPr fontId="1" type="noConversion"/>
  </si>
  <si>
    <t xml:space="preserve"> 溪林線 (IF32) </t>
    <phoneticPr fontId="1" type="noConversion"/>
  </si>
  <si>
    <t xml:space="preserve"> 合興線 (IF29) </t>
    <phoneticPr fontId="1" type="noConversion"/>
  </si>
  <si>
    <t xml:space="preserve"> 溪湖SS_ID </t>
    <phoneticPr fontId="1" type="noConversion"/>
  </si>
  <si>
    <t xml:space="preserve"> 西寮線 (ID20) </t>
    <phoneticPr fontId="1" type="noConversion"/>
  </si>
  <si>
    <t xml:space="preserve"> 湖南線 (ID23) </t>
    <phoneticPr fontId="1" type="noConversion"/>
  </si>
  <si>
    <t xml:space="preserve"> 溪湖線 (ID28) </t>
    <phoneticPr fontId="1" type="noConversion"/>
  </si>
  <si>
    <t xml:space="preserve"> 湳底線 (ID26) </t>
    <phoneticPr fontId="1" type="noConversion"/>
  </si>
  <si>
    <t xml:space="preserve"> 湖北線 (ID31) </t>
    <phoneticPr fontId="1" type="noConversion"/>
  </si>
  <si>
    <t xml:space="preserve"> 湖中線 (ID30) </t>
    <phoneticPr fontId="1" type="noConversion"/>
  </si>
  <si>
    <t xml:space="preserve"> 溪東線 (ID24) </t>
    <phoneticPr fontId="1" type="noConversion"/>
  </si>
  <si>
    <t xml:space="preserve"> 二重線 (ID21) </t>
    <phoneticPr fontId="1" type="noConversion"/>
  </si>
  <si>
    <t xml:space="preserve"> 南新線 (ID29) </t>
    <phoneticPr fontId="1" type="noConversion"/>
  </si>
  <si>
    <t xml:space="preserve"> 東寮線 (ID25) </t>
    <phoneticPr fontId="1" type="noConversion"/>
  </si>
  <si>
    <t xml:space="preserve"> 巫厝線 (ID27) </t>
    <phoneticPr fontId="1" type="noConversion"/>
  </si>
  <si>
    <t xml:space="preserve"> 番婆線 (ID32) </t>
    <phoneticPr fontId="1" type="noConversion"/>
  </si>
  <si>
    <t xml:space="preserve"> 湖西線 (ID22) </t>
    <phoneticPr fontId="1" type="noConversion"/>
  </si>
  <si>
    <t xml:space="preserve"> 彰化DS_IK </t>
    <phoneticPr fontId="1" type="noConversion"/>
  </si>
  <si>
    <t xml:space="preserve"> IK30 (IK30) </t>
    <phoneticPr fontId="1" type="noConversion"/>
  </si>
  <si>
    <t xml:space="preserve"> IK31 (IK31) </t>
    <phoneticPr fontId="1" type="noConversion"/>
  </si>
  <si>
    <t xml:space="preserve"> IK32 (IK32) </t>
    <phoneticPr fontId="1" type="noConversion"/>
  </si>
  <si>
    <t xml:space="preserve"> IK33 (IK33) </t>
    <phoneticPr fontId="1" type="noConversion"/>
  </si>
  <si>
    <t xml:space="preserve"> IK34 (IK34) </t>
    <phoneticPr fontId="1" type="noConversion"/>
  </si>
  <si>
    <t xml:space="preserve"> IK35 (IK35) </t>
    <phoneticPr fontId="1" type="noConversion"/>
  </si>
  <si>
    <t xml:space="preserve"> IK49 (IK49) </t>
    <phoneticPr fontId="1" type="noConversion"/>
  </si>
  <si>
    <t xml:space="preserve"> IK48 (IK48) </t>
    <phoneticPr fontId="1" type="noConversion"/>
  </si>
  <si>
    <t xml:space="preserve"> IK47 (IK47) </t>
    <phoneticPr fontId="1" type="noConversion"/>
  </si>
  <si>
    <t xml:space="preserve"> IK46 (IK46) </t>
    <phoneticPr fontId="1" type="noConversion"/>
  </si>
  <si>
    <t xml:space="preserve"> IK36 (IK36) </t>
    <phoneticPr fontId="1" type="noConversion"/>
  </si>
  <si>
    <t xml:space="preserve"> IK37 (IK37) </t>
    <phoneticPr fontId="1" type="noConversion"/>
  </si>
  <si>
    <t xml:space="preserve"> IK38 (IK38) </t>
    <phoneticPr fontId="1" type="noConversion"/>
  </si>
  <si>
    <t xml:space="preserve"> IK39 (IK39) </t>
    <phoneticPr fontId="1" type="noConversion"/>
  </si>
  <si>
    <t xml:space="preserve"> IK45 (IK45) </t>
    <phoneticPr fontId="1" type="noConversion"/>
  </si>
  <si>
    <t xml:space="preserve"> IK44 (IK44) </t>
    <phoneticPr fontId="1" type="noConversion"/>
  </si>
  <si>
    <t xml:space="preserve"> IK43 (IK43) </t>
    <phoneticPr fontId="1" type="noConversion"/>
  </si>
  <si>
    <t xml:space="preserve"> IK42 (IK42) </t>
    <phoneticPr fontId="1" type="noConversion"/>
  </si>
  <si>
    <t xml:space="preserve"> IK41 (IK41) </t>
    <phoneticPr fontId="1" type="noConversion"/>
  </si>
  <si>
    <t xml:space="preserve"> IK40 (IK40) </t>
    <phoneticPr fontId="1" type="noConversion"/>
  </si>
  <si>
    <t xml:space="preserve"> 彰竹DS_9N </t>
    <phoneticPr fontId="1" type="noConversion"/>
  </si>
  <si>
    <t xml:space="preserve"> 9N20 (9N20) </t>
    <phoneticPr fontId="1" type="noConversion"/>
  </si>
  <si>
    <t xml:space="preserve"> 9N21 (9N21) </t>
    <phoneticPr fontId="1" type="noConversion"/>
  </si>
  <si>
    <t xml:space="preserve"> 9N22 (9N22) </t>
    <phoneticPr fontId="1" type="noConversion"/>
  </si>
  <si>
    <t xml:space="preserve"> 9N23 (9N23) </t>
    <phoneticPr fontId="1" type="noConversion"/>
  </si>
  <si>
    <t xml:space="preserve"> 9N24 (9N24) </t>
    <phoneticPr fontId="1" type="noConversion"/>
  </si>
  <si>
    <t xml:space="preserve"> 9N25 (9N25) </t>
    <phoneticPr fontId="1" type="noConversion"/>
  </si>
  <si>
    <t xml:space="preserve"> 9N26 (9N26) </t>
    <phoneticPr fontId="1" type="noConversion"/>
  </si>
  <si>
    <t xml:space="preserve"> 9N27 (9N27) </t>
    <phoneticPr fontId="1" type="noConversion"/>
  </si>
  <si>
    <t xml:space="preserve"> 9N28 (9N28) </t>
    <phoneticPr fontId="1" type="noConversion"/>
  </si>
  <si>
    <t xml:space="preserve"> 9N29 (9N29) </t>
    <phoneticPr fontId="1" type="noConversion"/>
  </si>
  <si>
    <t xml:space="preserve"> 彰西SS_IH </t>
    <phoneticPr fontId="1" type="noConversion"/>
  </si>
  <si>
    <t xml:space="preserve"> 西鎮線 (IH27) </t>
    <phoneticPr fontId="1" type="noConversion"/>
  </si>
  <si>
    <t xml:space="preserve"> 西美線 (IH21) </t>
    <phoneticPr fontId="1" type="noConversion"/>
  </si>
  <si>
    <t xml:space="preserve"> 西安線 (IH25) </t>
    <phoneticPr fontId="1" type="noConversion"/>
  </si>
  <si>
    <t xml:space="preserve"> 下湳線 (IH24) </t>
    <phoneticPr fontId="1" type="noConversion"/>
  </si>
  <si>
    <t xml:space="preserve"> 西溝線 (IH28) </t>
    <phoneticPr fontId="1" type="noConversion"/>
  </si>
  <si>
    <t xml:space="preserve"> 建和線 (IH33) </t>
    <phoneticPr fontId="1" type="noConversion"/>
  </si>
  <si>
    <t xml:space="preserve"> 中華線 (IH32) </t>
    <phoneticPr fontId="1" type="noConversion"/>
  </si>
  <si>
    <t xml:space="preserve"> 平和線 (IH34) </t>
    <phoneticPr fontId="1" type="noConversion"/>
  </si>
  <si>
    <t xml:space="preserve"> 林森線 (IH31) </t>
    <phoneticPr fontId="1" type="noConversion"/>
  </si>
  <si>
    <t xml:space="preserve"> 崙平線 (IH35) </t>
    <phoneticPr fontId="1" type="noConversion"/>
  </si>
  <si>
    <t xml:space="preserve"> 西南線 (IH29) </t>
    <phoneticPr fontId="1" type="noConversion"/>
  </si>
  <si>
    <t xml:space="preserve"> 頂湳線 (IH23) </t>
    <phoneticPr fontId="1" type="noConversion"/>
  </si>
  <si>
    <t xml:space="preserve"> 源埤線 (IH22) </t>
    <phoneticPr fontId="1" type="noConversion"/>
  </si>
  <si>
    <t xml:space="preserve"> 西華線 (IH26) </t>
    <phoneticPr fontId="1" type="noConversion"/>
  </si>
  <si>
    <t xml:space="preserve"> 後港線 (IH20) </t>
    <phoneticPr fontId="1" type="noConversion"/>
  </si>
  <si>
    <t xml:space="preserve"> 彰東SS_IQ </t>
    <phoneticPr fontId="1" type="noConversion"/>
  </si>
  <si>
    <t xml:space="preserve"> IQ21 (IQ21) </t>
    <phoneticPr fontId="1" type="noConversion"/>
  </si>
  <si>
    <t xml:space="preserve"> IQ22 (IQ22) </t>
    <phoneticPr fontId="1" type="noConversion"/>
  </si>
  <si>
    <t xml:space="preserve"> IQ23 (IQ23) </t>
    <phoneticPr fontId="1" type="noConversion"/>
  </si>
  <si>
    <t xml:space="preserve"> IQ24 (IQ24) </t>
    <phoneticPr fontId="1" type="noConversion"/>
  </si>
  <si>
    <t xml:space="preserve"> IQ25 (IQ25) </t>
    <phoneticPr fontId="1" type="noConversion"/>
  </si>
  <si>
    <t xml:space="preserve"> IQ26 (IQ26) </t>
    <phoneticPr fontId="1" type="noConversion"/>
  </si>
  <si>
    <t xml:space="preserve"> IQ29 (IQ29) </t>
    <phoneticPr fontId="1" type="noConversion"/>
  </si>
  <si>
    <t xml:space="preserve"> IQ30 (IQ30) </t>
    <phoneticPr fontId="1" type="noConversion"/>
  </si>
  <si>
    <t xml:space="preserve"> IQ27 (IQ27) </t>
    <phoneticPr fontId="1" type="noConversion"/>
  </si>
  <si>
    <t xml:space="preserve"> IQ28 (IQ28) </t>
    <phoneticPr fontId="1" type="noConversion"/>
  </si>
  <si>
    <t xml:space="preserve"> IQ31 (IQ31) </t>
    <phoneticPr fontId="1" type="noConversion"/>
  </si>
  <si>
    <t xml:space="preserve"> IQ32 (IQ32) </t>
    <phoneticPr fontId="1" type="noConversion"/>
  </si>
  <si>
    <t xml:space="preserve"> IQ33 (IQ33) </t>
    <phoneticPr fontId="1" type="noConversion"/>
  </si>
  <si>
    <t xml:space="preserve"> IQ34 (IQ34) </t>
    <phoneticPr fontId="1" type="noConversion"/>
  </si>
  <si>
    <t xml:space="preserve"> IQ35 (IQ35) </t>
    <phoneticPr fontId="1" type="noConversion"/>
  </si>
  <si>
    <t xml:space="preserve"> 彰林ES_9M </t>
    <phoneticPr fontId="1" type="noConversion"/>
  </si>
  <si>
    <t xml:space="preserve"> 9M20 (9M20) </t>
    <phoneticPr fontId="1" type="noConversion"/>
  </si>
  <si>
    <t xml:space="preserve"> 9M21 (9M21) </t>
    <phoneticPr fontId="1" type="noConversion"/>
  </si>
  <si>
    <t xml:space="preserve"> 9M22 (9M22) </t>
    <phoneticPr fontId="1" type="noConversion"/>
  </si>
  <si>
    <t xml:space="preserve"> 9M23 (9M23) </t>
    <phoneticPr fontId="1" type="noConversion"/>
  </si>
  <si>
    <t xml:space="preserve"> 9M24 (9M24) </t>
    <phoneticPr fontId="1" type="noConversion"/>
  </si>
  <si>
    <t xml:space="preserve"> 9M25 (9M25) </t>
    <phoneticPr fontId="1" type="noConversion"/>
  </si>
  <si>
    <t xml:space="preserve"> 9M26 (9M26) </t>
    <phoneticPr fontId="1" type="noConversion"/>
  </si>
  <si>
    <t xml:space="preserve"> 9M27 (9M27) </t>
    <phoneticPr fontId="1" type="noConversion"/>
  </si>
  <si>
    <t xml:space="preserve"> 9M28 (9M28) </t>
    <phoneticPr fontId="1" type="noConversion"/>
  </si>
  <si>
    <t xml:space="preserve"> 9M29 (9M29) </t>
    <phoneticPr fontId="1" type="noConversion"/>
  </si>
  <si>
    <t xml:space="preserve"> 9M30 (9M30) </t>
    <phoneticPr fontId="1" type="noConversion"/>
  </si>
  <si>
    <t xml:space="preserve"> 9M31 (9M31) </t>
    <phoneticPr fontId="1" type="noConversion"/>
  </si>
  <si>
    <t xml:space="preserve"> 9M32 (9M32) </t>
    <phoneticPr fontId="1" type="noConversion"/>
  </si>
  <si>
    <t xml:space="preserve"> 9M33 (9M33) </t>
    <phoneticPr fontId="1" type="noConversion"/>
  </si>
  <si>
    <t xml:space="preserve"> 9M34 (9M34) </t>
    <phoneticPr fontId="1" type="noConversion"/>
  </si>
  <si>
    <t xml:space="preserve"> 9M35 (9M35) </t>
    <phoneticPr fontId="1" type="noConversion"/>
  </si>
  <si>
    <t xml:space="preserve"> 9M36 (9M36) </t>
    <phoneticPr fontId="1" type="noConversion"/>
  </si>
  <si>
    <t xml:space="preserve"> 9M37 (9M37) </t>
    <phoneticPr fontId="1" type="noConversion"/>
  </si>
  <si>
    <t xml:space="preserve"> 9M38 (9M38) </t>
    <phoneticPr fontId="1" type="noConversion"/>
  </si>
  <si>
    <t xml:space="preserve"> 9M39 (9M39) </t>
    <phoneticPr fontId="1" type="noConversion"/>
  </si>
  <si>
    <t xml:space="preserve"> 彰南SS_II </t>
    <phoneticPr fontId="1" type="noConversion"/>
  </si>
  <si>
    <t xml:space="preserve"> 縣府線 (II22) </t>
    <phoneticPr fontId="1" type="noConversion"/>
  </si>
  <si>
    <t xml:space="preserve"> 西門線 (II25) </t>
    <phoneticPr fontId="1" type="noConversion"/>
  </si>
  <si>
    <t xml:space="preserve"> 新生線 (II20) </t>
    <phoneticPr fontId="1" type="noConversion"/>
  </si>
  <si>
    <t xml:space="preserve"> 南興線 (II26) </t>
    <phoneticPr fontId="1" type="noConversion"/>
  </si>
  <si>
    <t xml:space="preserve"> 南和線 (II27) </t>
    <phoneticPr fontId="1" type="noConversion"/>
  </si>
  <si>
    <t xml:space="preserve"> 南郭線 (II32) </t>
    <phoneticPr fontId="1" type="noConversion"/>
  </si>
  <si>
    <t xml:space="preserve"> 民族線 (II31) </t>
    <phoneticPr fontId="1" type="noConversion"/>
  </si>
  <si>
    <t xml:space="preserve"> 民權線 (II34) </t>
    <phoneticPr fontId="1" type="noConversion"/>
  </si>
  <si>
    <t xml:space="preserve"> 虎山線 (II30) </t>
    <phoneticPr fontId="1" type="noConversion"/>
  </si>
  <si>
    <t xml:space="preserve"> 大埔線 (II28) </t>
    <phoneticPr fontId="1" type="noConversion"/>
  </si>
  <si>
    <t xml:space="preserve"> 建寶線 (II24) </t>
    <phoneticPr fontId="1" type="noConversion"/>
  </si>
  <si>
    <t xml:space="preserve"> 天祥線 (II33) </t>
    <phoneticPr fontId="1" type="noConversion"/>
  </si>
  <si>
    <t xml:space="preserve"> 南瑤線 (II21) </t>
    <phoneticPr fontId="1" type="noConversion"/>
  </si>
  <si>
    <t xml:space="preserve"> 口庄線 (II29) </t>
    <phoneticPr fontId="1" type="noConversion"/>
  </si>
  <si>
    <t xml:space="preserve"> 田寮線 (II23) </t>
    <phoneticPr fontId="1" type="noConversion"/>
  </si>
  <si>
    <t xml:space="preserve"> 彰新DS_IA </t>
    <phoneticPr fontId="1" type="noConversion"/>
  </si>
  <si>
    <t xml:space="preserve"> 民生線 (IA28) </t>
    <phoneticPr fontId="1" type="noConversion"/>
  </si>
  <si>
    <t xml:space="preserve"> 北部線 (IA37) </t>
    <phoneticPr fontId="1" type="noConversion"/>
  </si>
  <si>
    <t xml:space="preserve"> 磚瑤線 (IA30) </t>
    <phoneticPr fontId="1" type="noConversion"/>
  </si>
  <si>
    <t xml:space="preserve"> 鐵山線 (IA32) </t>
    <phoneticPr fontId="1" type="noConversion"/>
  </si>
  <si>
    <t xml:space="preserve"> 彰茂線 (IA35) </t>
    <phoneticPr fontId="1" type="noConversion"/>
  </si>
  <si>
    <t xml:space="preserve"> 北安線 (IA39) </t>
    <phoneticPr fontId="1" type="noConversion"/>
  </si>
  <si>
    <t xml:space="preserve"> 阿夷線 (IA24) </t>
    <phoneticPr fontId="1" type="noConversion"/>
  </si>
  <si>
    <t xml:space="preserve"> 新庄線 (IA29) </t>
    <phoneticPr fontId="1" type="noConversion"/>
  </si>
  <si>
    <t xml:space="preserve"> 犁盛線 (IA33) </t>
    <phoneticPr fontId="1" type="noConversion"/>
  </si>
  <si>
    <t xml:space="preserve"> 成功線 (IA36) </t>
    <phoneticPr fontId="1" type="noConversion"/>
  </si>
  <si>
    <t xml:space="preserve"> 國聖線 (IA40) </t>
    <phoneticPr fontId="1" type="noConversion"/>
  </si>
  <si>
    <t xml:space="preserve"> 忠孝線 (IA41) </t>
    <phoneticPr fontId="1" type="noConversion"/>
  </si>
  <si>
    <t xml:space="preserve"> 建國線 (IA42) </t>
    <phoneticPr fontId="1" type="noConversion"/>
  </si>
  <si>
    <t xml:space="preserve"> 公園線 (IA43) </t>
    <phoneticPr fontId="1" type="noConversion"/>
  </si>
  <si>
    <t xml:space="preserve"> 東頭線 (IA44) </t>
    <phoneticPr fontId="1" type="noConversion"/>
  </si>
  <si>
    <t xml:space="preserve"> 牛稠線 (IA45) </t>
    <phoneticPr fontId="1" type="noConversion"/>
  </si>
  <si>
    <t xml:space="preserve"> 茄苳線 (IA46) </t>
    <phoneticPr fontId="1" type="noConversion"/>
  </si>
  <si>
    <t xml:space="preserve"> 卦山線 (IA47) </t>
    <phoneticPr fontId="1" type="noConversion"/>
  </si>
  <si>
    <t xml:space="preserve"> 保警線 (IA48) </t>
    <phoneticPr fontId="1" type="noConversion"/>
  </si>
  <si>
    <t xml:space="preserve"> 西勢線 (IA49) </t>
    <phoneticPr fontId="1" type="noConversion"/>
  </si>
  <si>
    <t xml:space="preserve"> 彰濱ES_9A </t>
    <phoneticPr fontId="1" type="noConversion"/>
  </si>
  <si>
    <t xml:space="preserve"> 9A70 (9A70) </t>
    <phoneticPr fontId="1" type="noConversion"/>
  </si>
  <si>
    <t xml:space="preserve"> 9A71 (9A71) </t>
    <phoneticPr fontId="1" type="noConversion"/>
  </si>
  <si>
    <t xml:space="preserve"> 9A72 (9A72) </t>
    <phoneticPr fontId="1" type="noConversion"/>
  </si>
  <si>
    <t xml:space="preserve"> 9A73 (9A73) </t>
    <phoneticPr fontId="1" type="noConversion"/>
  </si>
  <si>
    <t xml:space="preserve"> 9A74 (9A74) </t>
    <phoneticPr fontId="1" type="noConversion"/>
  </si>
  <si>
    <t xml:space="preserve"> 9A75 (9A75) </t>
    <phoneticPr fontId="1" type="noConversion"/>
  </si>
  <si>
    <t xml:space="preserve"> 9A76 (9A76) </t>
    <phoneticPr fontId="1" type="noConversion"/>
  </si>
  <si>
    <t xml:space="preserve"> 9A77 (9A77) </t>
    <phoneticPr fontId="1" type="noConversion"/>
  </si>
  <si>
    <t xml:space="preserve"> 9A61 (9A61) </t>
    <phoneticPr fontId="1" type="noConversion"/>
  </si>
  <si>
    <t xml:space="preserve"> 9A62 (9A62) </t>
    <phoneticPr fontId="1" type="noConversion"/>
  </si>
  <si>
    <t xml:space="preserve"> 9A63 (9A63) </t>
    <phoneticPr fontId="1" type="noConversion"/>
  </si>
  <si>
    <t xml:space="preserve"> 9A64 (9A64) </t>
    <phoneticPr fontId="1" type="noConversion"/>
  </si>
  <si>
    <t xml:space="preserve"> 9A65 (9A65) </t>
    <phoneticPr fontId="1" type="noConversion"/>
  </si>
  <si>
    <t xml:space="preserve"> 9A66 (9A66) </t>
    <phoneticPr fontId="1" type="noConversion"/>
  </si>
  <si>
    <t xml:space="preserve"> #4DTR(A) </t>
    <phoneticPr fontId="1" type="noConversion"/>
  </si>
  <si>
    <t xml:space="preserve"> 9A51 (9A51) </t>
    <phoneticPr fontId="1" type="noConversion"/>
  </si>
  <si>
    <t xml:space="preserve"> 9A52 (9A52) </t>
    <phoneticPr fontId="1" type="noConversion"/>
  </si>
  <si>
    <t xml:space="preserve"> 9A53 (9A53) </t>
    <phoneticPr fontId="1" type="noConversion"/>
  </si>
  <si>
    <t xml:space="preserve"> 9A54 (9A54) </t>
    <phoneticPr fontId="1" type="noConversion"/>
  </si>
  <si>
    <t xml:space="preserve"> 9A55 (9A55) </t>
    <phoneticPr fontId="1" type="noConversion"/>
  </si>
  <si>
    <t xml:space="preserve"> 9A56 (9A56) </t>
    <phoneticPr fontId="1" type="noConversion"/>
  </si>
  <si>
    <t xml:space="preserve"> #4DTR(B) </t>
    <phoneticPr fontId="1" type="noConversion"/>
  </si>
  <si>
    <t xml:space="preserve"> 9A68 (9A68) </t>
    <phoneticPr fontId="1" type="noConversion"/>
  </si>
  <si>
    <t xml:space="preserve"> 9A67 (9A67) </t>
    <phoneticPr fontId="1" type="noConversion"/>
  </si>
  <si>
    <t xml:space="preserve"> 9A59 (9A59) </t>
    <phoneticPr fontId="1" type="noConversion"/>
  </si>
  <si>
    <t xml:space="preserve"> 9A58 (9A58) </t>
    <phoneticPr fontId="1" type="noConversion"/>
  </si>
  <si>
    <t xml:space="preserve"> 9A57 (9A57) </t>
    <phoneticPr fontId="1" type="noConversion"/>
  </si>
  <si>
    <t xml:space="preserve"> 漢寶DS_9G </t>
    <phoneticPr fontId="1" type="noConversion"/>
  </si>
  <si>
    <t xml:space="preserve"> 9G20 (9G20) </t>
    <phoneticPr fontId="1" type="noConversion"/>
  </si>
  <si>
    <t xml:space="preserve"> 9G21 (9G21) </t>
    <phoneticPr fontId="1" type="noConversion"/>
  </si>
  <si>
    <t xml:space="preserve"> 9G22 (9G22) </t>
    <phoneticPr fontId="1" type="noConversion"/>
  </si>
  <si>
    <t xml:space="preserve"> 9G23 (9G23) </t>
    <phoneticPr fontId="1" type="noConversion"/>
  </si>
  <si>
    <t xml:space="preserve"> 9G24 (9G24) </t>
    <phoneticPr fontId="1" type="noConversion"/>
  </si>
  <si>
    <t xml:space="preserve"> 9G25 (9G25) </t>
    <phoneticPr fontId="1" type="noConversion"/>
  </si>
  <si>
    <t xml:space="preserve"> 9G26 (9G26) </t>
    <phoneticPr fontId="1" type="noConversion"/>
  </si>
  <si>
    <t xml:space="preserve"> 9G27 (9G27) </t>
    <phoneticPr fontId="1" type="noConversion"/>
  </si>
  <si>
    <t xml:space="preserve"> 9G28 (9G28) </t>
    <phoneticPr fontId="1" type="noConversion"/>
  </si>
  <si>
    <t xml:space="preserve"> 9G29 (9G29) </t>
    <phoneticPr fontId="1" type="noConversion"/>
  </si>
  <si>
    <t xml:space="preserve"> 9G30 (9G30) </t>
    <phoneticPr fontId="1" type="noConversion"/>
  </si>
  <si>
    <t xml:space="preserve"> 9G31 (9G31) </t>
    <phoneticPr fontId="1" type="noConversion"/>
  </si>
  <si>
    <t xml:space="preserve"> 9G32 (9G32) </t>
    <phoneticPr fontId="1" type="noConversion"/>
  </si>
  <si>
    <t xml:space="preserve"> 9G33 (9G33) </t>
    <phoneticPr fontId="1" type="noConversion"/>
  </si>
  <si>
    <t xml:space="preserve"> 9G34 (9G34) </t>
    <phoneticPr fontId="1" type="noConversion"/>
  </si>
  <si>
    <t xml:space="preserve"> 9G35 (9G35) </t>
    <phoneticPr fontId="1" type="noConversion"/>
  </si>
  <si>
    <t xml:space="preserve"> 9G36 (9G36) </t>
    <phoneticPr fontId="1" type="noConversion"/>
  </si>
  <si>
    <t xml:space="preserve"> 9G37 (9G37) </t>
    <phoneticPr fontId="1" type="noConversion"/>
  </si>
  <si>
    <t xml:space="preserve"> 9G38 (9G38) </t>
    <phoneticPr fontId="1" type="noConversion"/>
  </si>
  <si>
    <t xml:space="preserve"> 9G39 (9G39) </t>
    <phoneticPr fontId="1" type="noConversion"/>
  </si>
  <si>
    <t xml:space="preserve"> 福工SS_IP </t>
    <phoneticPr fontId="1" type="noConversion"/>
  </si>
  <si>
    <t xml:space="preserve"> 金崙線 (IP29) </t>
    <phoneticPr fontId="1" type="noConversion"/>
  </si>
  <si>
    <t xml:space="preserve"> 福工線 (IP24) </t>
    <phoneticPr fontId="1" type="noConversion"/>
  </si>
  <si>
    <t xml:space="preserve"> 廓仔線 (IP22) </t>
    <phoneticPr fontId="1" type="noConversion"/>
  </si>
  <si>
    <t xml:space="preserve"> 金興線 (IP21) </t>
    <phoneticPr fontId="1" type="noConversion"/>
  </si>
  <si>
    <t xml:space="preserve"> 番社線 (IP20) </t>
    <phoneticPr fontId="1" type="noConversion"/>
  </si>
  <si>
    <t xml:space="preserve"> 福東線 (IP31) </t>
    <phoneticPr fontId="1" type="noConversion"/>
  </si>
  <si>
    <t xml:space="preserve"> 福南線 (IP30) </t>
    <phoneticPr fontId="1" type="noConversion"/>
  </si>
  <si>
    <t xml:space="preserve"> 三汴線 (IP25) </t>
    <phoneticPr fontId="1" type="noConversion"/>
  </si>
  <si>
    <t xml:space="preserve"> 外埔線 (IP27) </t>
    <phoneticPr fontId="1" type="noConversion"/>
  </si>
  <si>
    <t xml:space="preserve"> 南港線 (IP28) </t>
    <phoneticPr fontId="1" type="noConversion"/>
  </si>
  <si>
    <t>kWH</t>
    <phoneticPr fontId="1" type="noConversion"/>
  </si>
  <si>
    <t xml:space="preserve"> 大東線 (IM21) </t>
    <phoneticPr fontId="1" type="noConversion"/>
  </si>
  <si>
    <t xml:space="preserve"> 9K31 (9K31) </t>
    <phoneticPr fontId="1" type="noConversion"/>
  </si>
  <si>
    <t xml:space="preserve"> 9K32 (9K32) </t>
    <phoneticPr fontId="1" type="noConversion"/>
  </si>
  <si>
    <t xml:space="preserve"> 9K34 (9K34) </t>
    <phoneticPr fontId="1" type="noConversion"/>
  </si>
  <si>
    <t xml:space="preserve"> 9K35 (9K35) </t>
    <phoneticPr fontId="1" type="noConversion"/>
  </si>
  <si>
    <t xml:space="preserve"> 9K33 (9K33) </t>
    <phoneticPr fontId="1" type="noConversion"/>
  </si>
  <si>
    <t xml:space="preserve"> 9K36 (9K36) </t>
    <phoneticPr fontId="1" type="noConversion"/>
  </si>
  <si>
    <t xml:space="preserve"> 9K37 (9K37) </t>
    <phoneticPr fontId="1" type="noConversion"/>
  </si>
  <si>
    <t xml:space="preserve"> 9K38 (9K38) </t>
    <phoneticPr fontId="1" type="noConversion"/>
  </si>
  <si>
    <t xml:space="preserve"> 9K39 (9K39) </t>
    <phoneticPr fontId="1" type="noConversion"/>
  </si>
  <si>
    <t xml:space="preserve"> 9K40 (9K40) </t>
    <phoneticPr fontId="1" type="noConversion"/>
  </si>
  <si>
    <t xml:space="preserve"> IG40 (IG40) </t>
    <phoneticPr fontId="1" type="noConversion"/>
  </si>
  <si>
    <t xml:space="preserve"> IG41 (IG41) </t>
    <phoneticPr fontId="1" type="noConversion"/>
  </si>
  <si>
    <t xml:space="preserve"> IG43 (IG43) </t>
    <phoneticPr fontId="1" type="noConversion"/>
  </si>
  <si>
    <t xml:space="preserve"> IG44 (IG44) </t>
    <phoneticPr fontId="1" type="noConversion"/>
  </si>
  <si>
    <t xml:space="preserve"> IG42 (IG42) </t>
    <phoneticPr fontId="1" type="noConversion"/>
  </si>
  <si>
    <t xml:space="preserve"> IG45 (IG45) </t>
    <phoneticPr fontId="1" type="noConversion"/>
  </si>
  <si>
    <t xml:space="preserve"> IG46 (IG46) </t>
    <phoneticPr fontId="1" type="noConversion"/>
  </si>
  <si>
    <t xml:space="preserve"> IG47 (IG47) </t>
    <phoneticPr fontId="1" type="noConversion"/>
  </si>
  <si>
    <t xml:space="preserve"> IG48 (IG48) </t>
    <phoneticPr fontId="1" type="noConversion"/>
  </si>
  <si>
    <t xml:space="preserve"> IG49 (IG49) </t>
    <phoneticPr fontId="1" type="noConversion"/>
  </si>
  <si>
    <t xml:space="preserve"> 花壇DS_9P </t>
    <phoneticPr fontId="1" type="noConversion"/>
  </si>
  <si>
    <t xml:space="preserve"> 9P10 (9P10) </t>
    <phoneticPr fontId="1" type="noConversion"/>
  </si>
  <si>
    <t xml:space="preserve"> 9P11 (9P11) </t>
    <phoneticPr fontId="1" type="noConversion"/>
  </si>
  <si>
    <t xml:space="preserve"> 9P12 (9P12) </t>
    <phoneticPr fontId="1" type="noConversion"/>
  </si>
  <si>
    <t xml:space="preserve"> 9P13 (9P13) </t>
    <phoneticPr fontId="1" type="noConversion"/>
  </si>
  <si>
    <t xml:space="preserve"> 9P14 (9P14) </t>
    <phoneticPr fontId="1" type="noConversion"/>
  </si>
  <si>
    <t xml:space="preserve"> 9P15 (9P15) </t>
    <phoneticPr fontId="1" type="noConversion"/>
  </si>
  <si>
    <t xml:space="preserve"> 9P16 (9P16) </t>
    <phoneticPr fontId="1" type="noConversion"/>
  </si>
  <si>
    <t xml:space="preserve"> 9P17 (9P17) </t>
    <phoneticPr fontId="1" type="noConversion"/>
  </si>
  <si>
    <t xml:space="preserve"> 9P18 (9P18) </t>
    <phoneticPr fontId="1" type="noConversion"/>
  </si>
  <si>
    <t xml:space="preserve"> 9P19 (9P19) </t>
    <phoneticPr fontId="1" type="noConversion"/>
  </si>
  <si>
    <t xml:space="preserve"> 9P20 (9P20) </t>
    <phoneticPr fontId="1" type="noConversion"/>
  </si>
  <si>
    <t xml:space="preserve"> 9P21 (9P21) </t>
    <phoneticPr fontId="1" type="noConversion"/>
  </si>
  <si>
    <t xml:space="preserve"> 9P22 (9P22) </t>
    <phoneticPr fontId="1" type="noConversion"/>
  </si>
  <si>
    <t xml:space="preserve"> 9P23 (9P23) </t>
    <phoneticPr fontId="1" type="noConversion"/>
  </si>
  <si>
    <t xml:space="preserve"> 9P24 (9P24) </t>
    <phoneticPr fontId="1" type="noConversion"/>
  </si>
  <si>
    <t xml:space="preserve"> 9P25 (9P25) </t>
    <phoneticPr fontId="1" type="noConversion"/>
  </si>
  <si>
    <t xml:space="preserve"> 9P26 (9P26) </t>
    <phoneticPr fontId="1" type="noConversion"/>
  </si>
  <si>
    <t xml:space="preserve"> 9P27 (9P27) </t>
    <phoneticPr fontId="1" type="noConversion"/>
  </si>
  <si>
    <t xml:space="preserve"> 9P28 (9P28) </t>
    <phoneticPr fontId="1" type="noConversion"/>
  </si>
  <si>
    <t xml:space="preserve"> 9P29 (9P29) </t>
    <phoneticPr fontId="1" type="noConversion"/>
  </si>
  <si>
    <t xml:space="preserve"> 9C30 (9C30) </t>
    <phoneticPr fontId="1" type="noConversion"/>
  </si>
  <si>
    <t xml:space="preserve"> 9C31 (9C31) </t>
    <phoneticPr fontId="1" type="noConversion"/>
  </si>
  <si>
    <t xml:space="preserve"> 9C33 (9C33) </t>
    <phoneticPr fontId="1" type="noConversion"/>
  </si>
  <si>
    <t xml:space="preserve"> 9C34 (9C34) </t>
    <phoneticPr fontId="1" type="noConversion"/>
  </si>
  <si>
    <t xml:space="preserve"> 9C32 (9C32) </t>
    <phoneticPr fontId="1" type="noConversion"/>
  </si>
  <si>
    <t xml:space="preserve"> 9C35 (9C35) </t>
    <phoneticPr fontId="1" type="noConversion"/>
  </si>
  <si>
    <t xml:space="preserve"> 9C36 (9C36) </t>
    <phoneticPr fontId="1" type="noConversion"/>
  </si>
  <si>
    <t xml:space="preserve"> 9C37 (9C37) </t>
    <phoneticPr fontId="1" type="noConversion"/>
  </si>
  <si>
    <t xml:space="preserve"> 9C38 (9C38) </t>
    <phoneticPr fontId="1" type="noConversion"/>
  </si>
  <si>
    <t xml:space="preserve"> 9C39 (9C39) </t>
    <phoneticPr fontId="1" type="noConversion"/>
  </si>
  <si>
    <t xml:space="preserve"> 中山線 (IA23) </t>
    <phoneticPr fontId="1" type="noConversion"/>
  </si>
  <si>
    <t xml:space="preserve"> 泰和線 (IA26) </t>
    <phoneticPr fontId="1" type="noConversion"/>
  </si>
  <si>
    <t xml:space="preserve"> 辭修線 (IA27) </t>
    <phoneticPr fontId="1" type="noConversion"/>
  </si>
  <si>
    <t xml:space="preserve"> 車站線 (IA34) </t>
    <phoneticPr fontId="1" type="noConversion"/>
  </si>
  <si>
    <t xml:space="preserve"> 大成線 (IA22) </t>
    <phoneticPr fontId="1" type="noConversion"/>
  </si>
  <si>
    <t xml:space="preserve"> 北建線 (IA38) </t>
    <phoneticPr fontId="1" type="noConversion"/>
  </si>
  <si>
    <t xml:space="preserve"> 北新線 (IA31) </t>
    <phoneticPr fontId="1" type="noConversion"/>
  </si>
  <si>
    <t xml:space="preserve"> 北廠線 (IA21) </t>
    <phoneticPr fontId="1" type="noConversion"/>
  </si>
  <si>
    <t xml:space="preserve"> 北美線 (IA25) </t>
    <phoneticPr fontId="1" type="noConversion"/>
  </si>
  <si>
    <t xml:space="preserve"> 中圍線 (IA20) </t>
    <phoneticPr fontId="1" type="noConversion"/>
  </si>
  <si>
    <t xml:space="preserve"> 埔崙線 (IP23) </t>
    <phoneticPr fontId="1" type="noConversion"/>
  </si>
  <si>
    <t xml:space="preserve"> 福北線 (IP26) </t>
    <phoneticPr fontId="1" type="noConversion"/>
  </si>
  <si>
    <t xml:space="preserve"> 福村線 (IP32) </t>
    <phoneticPr fontId="1" type="noConversion"/>
  </si>
  <si>
    <t xml:space="preserve"> 福旗線 (IP33) </t>
    <phoneticPr fontId="1" type="noConversion"/>
  </si>
  <si>
    <t xml:space="preserve"> 福溪線 (IP34) </t>
    <phoneticPr fontId="1" type="noConversion"/>
  </si>
  <si>
    <t xml:space="preserve"> 福興DS_9I </t>
    <phoneticPr fontId="1" type="noConversion"/>
  </si>
  <si>
    <t xml:space="preserve"> 9I20 (9I20) </t>
    <phoneticPr fontId="1" type="noConversion"/>
  </si>
  <si>
    <t xml:space="preserve"> 9I21 (9I21) </t>
    <phoneticPr fontId="1" type="noConversion"/>
  </si>
  <si>
    <t xml:space="preserve"> 9I22 (9I22) </t>
    <phoneticPr fontId="1" type="noConversion"/>
  </si>
  <si>
    <t xml:space="preserve"> 9I23 (9I23) </t>
    <phoneticPr fontId="1" type="noConversion"/>
  </si>
  <si>
    <t xml:space="preserve"> 9I24 (9I24) </t>
    <phoneticPr fontId="1" type="noConversion"/>
  </si>
  <si>
    <t xml:space="preserve"> 9I25 (9I25) </t>
    <phoneticPr fontId="1" type="noConversion"/>
  </si>
  <si>
    <t xml:space="preserve"> 9I39 (9I39) </t>
    <phoneticPr fontId="1" type="noConversion"/>
  </si>
  <si>
    <t xml:space="preserve"> 9I38 (9I38) </t>
    <phoneticPr fontId="1" type="noConversion"/>
  </si>
  <si>
    <t xml:space="preserve"> 9I37 (9I37) </t>
    <phoneticPr fontId="1" type="noConversion"/>
  </si>
  <si>
    <t xml:space="preserve"> 9I36 (9I36) </t>
    <phoneticPr fontId="1" type="noConversion"/>
  </si>
  <si>
    <t xml:space="preserve"> 9I26 (9I26) </t>
    <phoneticPr fontId="1" type="noConversion"/>
  </si>
  <si>
    <t xml:space="preserve"> 9I27 (9I27) </t>
    <phoneticPr fontId="1" type="noConversion"/>
  </si>
  <si>
    <t xml:space="preserve"> 9I28 (9I28) </t>
    <phoneticPr fontId="1" type="noConversion"/>
  </si>
  <si>
    <t xml:space="preserve"> 9I29 (9I29) </t>
    <phoneticPr fontId="1" type="noConversion"/>
  </si>
  <si>
    <t xml:space="preserve"> 9I35 (9I35) </t>
    <phoneticPr fontId="1" type="noConversion"/>
  </si>
  <si>
    <t xml:space="preserve"> 9I34 (9I34) </t>
    <phoneticPr fontId="1" type="noConversion"/>
  </si>
  <si>
    <t xml:space="preserve"> 9I33 (9I33) </t>
    <phoneticPr fontId="1" type="noConversion"/>
  </si>
  <si>
    <t xml:space="preserve"> 9I32 (9I32) </t>
    <phoneticPr fontId="1" type="noConversion"/>
  </si>
  <si>
    <t xml:space="preserve"> 9I31 (9I31) </t>
    <phoneticPr fontId="1" type="noConversion"/>
  </si>
  <si>
    <t xml:space="preserve"> 9I30 (9I30) </t>
    <phoneticPr fontId="1" type="noConversion"/>
  </si>
  <si>
    <t xml:space="preserve"> 線西DS_9B </t>
    <phoneticPr fontId="1" type="noConversion"/>
  </si>
  <si>
    <t xml:space="preserve"> 9B51 (9B51) </t>
    <phoneticPr fontId="1" type="noConversion"/>
  </si>
  <si>
    <t xml:space="preserve"> 9B52 (9B52) </t>
    <phoneticPr fontId="1" type="noConversion"/>
  </si>
  <si>
    <t xml:space="preserve"> 9B53 (9B53) </t>
    <phoneticPr fontId="1" type="noConversion"/>
  </si>
  <si>
    <t xml:space="preserve"> 9B54 (9B54) </t>
    <phoneticPr fontId="1" type="noConversion"/>
  </si>
  <si>
    <t xml:space="preserve"> 9B55 (9B55) </t>
    <phoneticPr fontId="1" type="noConversion"/>
  </si>
  <si>
    <t xml:space="preserve"> 9B56 (9B56) </t>
    <phoneticPr fontId="1" type="noConversion"/>
  </si>
  <si>
    <t xml:space="preserve"> 9B57 (9B57) </t>
    <phoneticPr fontId="1" type="noConversion"/>
  </si>
  <si>
    <t xml:space="preserve"> 9B58 (9B58) </t>
    <phoneticPr fontId="1" type="noConversion"/>
  </si>
  <si>
    <t xml:space="preserve"> 9AE0 (9AE0) </t>
    <phoneticPr fontId="1" type="noConversion"/>
  </si>
  <si>
    <t xml:space="preserve"> 星寶 (9GE0) </t>
    <phoneticPr fontId="1" type="noConversion"/>
  </si>
  <si>
    <t xml:space="preserve"> 彰苑 (9GE4) </t>
    <phoneticPr fontId="1" type="noConversion"/>
  </si>
  <si>
    <t xml:space="preserve"> 北苑 (9GE1) </t>
    <phoneticPr fontId="1" type="noConversion"/>
  </si>
  <si>
    <t xml:space="preserve"> 彰旺 (9GE5) </t>
    <phoneticPr fontId="1" type="noConversion"/>
  </si>
  <si>
    <t xml:space="preserve"> 9GE2 (9GE2) </t>
    <phoneticPr fontId="1" type="noConversion"/>
  </si>
  <si>
    <t xml:space="preserve"> 9GE6 (9GE6) </t>
    <phoneticPr fontId="1" type="noConversion"/>
  </si>
  <si>
    <t xml:space="preserve"> 9GE7 (9GE7) </t>
    <phoneticPr fontId="1" type="noConversion"/>
  </si>
  <si>
    <t xml:space="preserve"> 9GE3 (9GE3) </t>
    <phoneticPr fontId="1" type="noConversion"/>
  </si>
  <si>
    <t xml:space="preserve"> 立風1 (9GE8) </t>
    <phoneticPr fontId="1" type="noConversion"/>
  </si>
  <si>
    <t xml:space="preserve"> 立風2 (9GE9) </t>
    <phoneticPr fontId="1" type="noConversion"/>
  </si>
  <si>
    <t>主變代號</t>
  </si>
  <si>
    <t>轉供前總負載</t>
    <phoneticPr fontId="1" type="noConversion"/>
  </si>
  <si>
    <t>轉供負載</t>
    <phoneticPr fontId="1" type="noConversion"/>
  </si>
  <si>
    <t xml:space="preserve"> F15 (F15) </t>
    <phoneticPr fontId="1" type="noConversion"/>
  </si>
  <si>
    <t xml:space="preserve"> 9B61 (9B61) </t>
    <phoneticPr fontId="1" type="noConversion"/>
  </si>
  <si>
    <t xml:space="preserve"> 9B62 (9B62) </t>
    <phoneticPr fontId="1" type="noConversion"/>
  </si>
  <si>
    <t xml:space="preserve"> 9B63 (9B63) </t>
    <phoneticPr fontId="1" type="noConversion"/>
  </si>
  <si>
    <t xml:space="preserve"> 9B64 (9B64) </t>
    <phoneticPr fontId="1" type="noConversion"/>
  </si>
  <si>
    <t xml:space="preserve"> 9B65 (9B65) </t>
    <phoneticPr fontId="1" type="noConversion"/>
  </si>
  <si>
    <t xml:space="preserve"> 9B66 (9B66) </t>
    <phoneticPr fontId="1" type="noConversion"/>
  </si>
  <si>
    <t xml:space="preserve"> 9B67 (9B67) </t>
    <phoneticPr fontId="1" type="noConversion"/>
  </si>
  <si>
    <t xml:space="preserve"> 9B68 (9B68) </t>
    <phoneticPr fontId="1" type="noConversion"/>
  </si>
  <si>
    <t>G2722EC57-S31</t>
    <phoneticPr fontId="1" type="noConversion"/>
  </si>
  <si>
    <t>G2723HA39-S31</t>
    <phoneticPr fontId="1" type="noConversion"/>
  </si>
  <si>
    <t>饋線FDIR禁致能請依配電手冊(三)運轉維護篇規定操作</t>
  </si>
  <si>
    <t>變電所別</t>
    <phoneticPr fontId="1" type="noConversion"/>
  </si>
  <si>
    <t>R</t>
    <phoneticPr fontId="1" type="noConversion"/>
  </si>
  <si>
    <t>T</t>
    <phoneticPr fontId="1" type="noConversion"/>
  </si>
  <si>
    <t>N</t>
    <phoneticPr fontId="1" type="noConversion"/>
  </si>
  <si>
    <t>中文</t>
    <phoneticPr fontId="1" type="noConversion"/>
  </si>
  <si>
    <t>啟動FDIR</t>
    <phoneticPr fontId="1" type="noConversion"/>
  </si>
  <si>
    <t>代號</t>
    <phoneticPr fontId="1" type="noConversion"/>
  </si>
  <si>
    <t>變電所名稱</t>
    <phoneticPr fontId="1" type="noConversion"/>
  </si>
  <si>
    <t>變電所名稱</t>
    <phoneticPr fontId="1" type="noConversion"/>
  </si>
  <si>
    <t>停電饋線名稱</t>
    <phoneticPr fontId="1" type="noConversion"/>
  </si>
  <si>
    <t>變電所名稱</t>
    <phoneticPr fontId="1" type="noConversion"/>
  </si>
  <si>
    <t>桿號</t>
    <phoneticPr fontId="1" type="noConversion"/>
  </si>
  <si>
    <t>出口開關操作位置</t>
    <phoneticPr fontId="1" type="noConversion"/>
  </si>
  <si>
    <t>桿號</t>
    <phoneticPr fontId="1" type="noConversion"/>
  </si>
  <si>
    <t>填表名稱</t>
    <phoneticPr fontId="1" type="noConversion"/>
  </si>
  <si>
    <t>饋線用戶數</t>
    <phoneticPr fontId="1" type="noConversion"/>
  </si>
  <si>
    <t>電流</t>
    <phoneticPr fontId="1" type="noConversion"/>
  </si>
  <si>
    <t>發生時間</t>
    <phoneticPr fontId="1" type="noConversion"/>
  </si>
  <si>
    <t>發生時間</t>
    <phoneticPr fontId="1" type="noConversion"/>
  </si>
  <si>
    <t>(預留)</t>
    <phoneticPr fontId="11" type="noConversion"/>
  </si>
  <si>
    <t>整理</t>
    <phoneticPr fontId="11" type="noConversion"/>
  </si>
  <si>
    <t>整理</t>
    <phoneticPr fontId="11" type="noConversion"/>
  </si>
  <si>
    <t>最終整理</t>
    <phoneticPr fontId="11" type="noConversion"/>
  </si>
  <si>
    <t>最大電流</t>
    <phoneticPr fontId="11" type="noConversion"/>
  </si>
  <si>
    <t>平均電流</t>
    <phoneticPr fontId="11" type="noConversion"/>
  </si>
  <si>
    <t>最小電流</t>
    <phoneticPr fontId="11" type="noConversion"/>
  </si>
  <si>
    <t>MVA</t>
    <phoneticPr fontId="11" type="noConversion"/>
  </si>
  <si>
    <t>整理</t>
    <phoneticPr fontId="11" type="noConversion"/>
  </si>
  <si>
    <t>主變代號</t>
    <phoneticPr fontId="11" type="noConversion"/>
  </si>
  <si>
    <t>MVA</t>
    <phoneticPr fontId="11" type="noConversion"/>
  </si>
  <si>
    <t>kV</t>
    <phoneticPr fontId="11" type="noConversion"/>
  </si>
  <si>
    <t>饋線名稱</t>
    <phoneticPr fontId="1" type="noConversion"/>
  </si>
  <si>
    <t>彰濱ES_9A</t>
    <phoneticPr fontId="1" type="noConversion"/>
  </si>
  <si>
    <t>%B9%FC%C0%D8ES_9A</t>
    <phoneticPr fontId="1" type="noConversion"/>
  </si>
  <si>
    <t>IA21</t>
    <phoneticPr fontId="1" type="noConversion"/>
  </si>
  <si>
    <t>新樂高幹227Y#1</t>
    <phoneticPr fontId="1" type="noConversion"/>
  </si>
  <si>
    <t>G1709HD5430</t>
    <phoneticPr fontId="1" type="noConversion"/>
  </si>
  <si>
    <t>十戶高幹#1</t>
    <phoneticPr fontId="1" type="noConversion"/>
  </si>
  <si>
    <t>彰濱ES_9A</t>
    <phoneticPr fontId="1" type="noConversion"/>
  </si>
  <si>
    <t>#2DTR</t>
    <phoneticPr fontId="1" type="noConversion"/>
  </si>
  <si>
    <t>631</t>
    <phoneticPr fontId="1" type="noConversion"/>
  </si>
  <si>
    <t>14:00:00</t>
    <phoneticPr fontId="1" type="noConversion"/>
  </si>
  <si>
    <t>640</t>
    <phoneticPr fontId="1" type="noConversion"/>
  </si>
  <si>
    <t>634</t>
    <phoneticPr fontId="1" type="noConversion"/>
  </si>
  <si>
    <t>14:00:00</t>
    <phoneticPr fontId="1" type="noConversion"/>
  </si>
  <si>
    <t>640</t>
    <phoneticPr fontId="1" type="noConversion"/>
  </si>
  <si>
    <t xml:space="preserve"> </t>
    <phoneticPr fontId="1" type="noConversion"/>
  </si>
  <si>
    <t xml:space="preserve"> </t>
    <phoneticPr fontId="1" type="noConversion"/>
  </si>
  <si>
    <t>線西DS_9B</t>
    <phoneticPr fontId="1" type="noConversion"/>
  </si>
  <si>
    <t>IA32</t>
    <phoneticPr fontId="1" type="noConversion"/>
  </si>
  <si>
    <t>西庄幹#1</t>
    <phoneticPr fontId="1" type="noConversion"/>
  </si>
  <si>
    <t>G2406DD07</t>
    <phoneticPr fontId="1" type="noConversion"/>
  </si>
  <si>
    <t>樂庄高分#2</t>
    <phoneticPr fontId="1" type="noConversion"/>
  </si>
  <si>
    <t>彰濱ES_9A</t>
    <phoneticPr fontId="1" type="noConversion"/>
  </si>
  <si>
    <t>9A70(9A70)</t>
    <phoneticPr fontId="1" type="noConversion"/>
  </si>
  <si>
    <t>-1</t>
    <phoneticPr fontId="1" type="noConversion"/>
  </si>
  <si>
    <t>00:00:00</t>
    <phoneticPr fontId="1" type="noConversion"/>
  </si>
  <si>
    <t>-1</t>
    <phoneticPr fontId="1" type="noConversion"/>
  </si>
  <si>
    <t>01:00:00</t>
    <phoneticPr fontId="1" type="noConversion"/>
  </si>
  <si>
    <t>01:00:00</t>
    <phoneticPr fontId="1" type="noConversion"/>
  </si>
  <si>
    <t>00:00:00</t>
    <phoneticPr fontId="1" type="noConversion"/>
  </si>
  <si>
    <t>00:00:00</t>
    <phoneticPr fontId="1" type="noConversion"/>
  </si>
  <si>
    <t>員林DS_9C</t>
    <phoneticPr fontId="1" type="noConversion"/>
  </si>
  <si>
    <t>%AD%FB%AALDS_9C</t>
    <phoneticPr fontId="1" type="noConversion"/>
  </si>
  <si>
    <t>IA36</t>
    <phoneticPr fontId="1" type="noConversion"/>
  </si>
  <si>
    <t>有啟動</t>
    <phoneticPr fontId="1" type="noConversion"/>
  </si>
  <si>
    <t>漢寶高幹169Y#36</t>
    <phoneticPr fontId="1" type="noConversion"/>
  </si>
  <si>
    <t>G1709DA91</t>
    <phoneticPr fontId="1" type="noConversion"/>
  </si>
  <si>
    <t>芳漢高幹80X#2</t>
    <phoneticPr fontId="1" type="noConversion"/>
  </si>
  <si>
    <t>彰濱ES_9A</t>
    <phoneticPr fontId="1" type="noConversion"/>
  </si>
  <si>
    <t>9A71(9A71)</t>
    <phoneticPr fontId="1" type="noConversion"/>
  </si>
  <si>
    <t>46</t>
    <phoneticPr fontId="1" type="noConversion"/>
  </si>
  <si>
    <t>13:00:00</t>
    <phoneticPr fontId="1" type="noConversion"/>
  </si>
  <si>
    <t>47</t>
    <phoneticPr fontId="1" type="noConversion"/>
  </si>
  <si>
    <t>13:00:00</t>
    <phoneticPr fontId="1" type="noConversion"/>
  </si>
  <si>
    <t>0</t>
    <phoneticPr fontId="1" type="noConversion"/>
  </si>
  <si>
    <t>0</t>
    <phoneticPr fontId="1" type="noConversion"/>
  </si>
  <si>
    <t>00:00:00</t>
    <phoneticPr fontId="1" type="noConversion"/>
  </si>
  <si>
    <t>鹿西DS_9F</t>
    <phoneticPr fontId="1" type="noConversion"/>
  </si>
  <si>
    <t>%B3%C0%A6%E8DS_9F</t>
    <phoneticPr fontId="1" type="noConversion"/>
  </si>
  <si>
    <t>IA41</t>
    <phoneticPr fontId="1" type="noConversion"/>
  </si>
  <si>
    <t>海埔二高分#5</t>
    <phoneticPr fontId="1" type="noConversion"/>
  </si>
  <si>
    <t>G1708DD0135</t>
    <phoneticPr fontId="1" type="noConversion"/>
  </si>
  <si>
    <t>漢南高幹#2</t>
    <phoneticPr fontId="1" type="noConversion"/>
  </si>
  <si>
    <t>9A72(9A72)</t>
    <phoneticPr fontId="1" type="noConversion"/>
  </si>
  <si>
    <t>115</t>
    <phoneticPr fontId="1" type="noConversion"/>
  </si>
  <si>
    <t>14:00:00</t>
    <phoneticPr fontId="1" type="noConversion"/>
  </si>
  <si>
    <t>117</t>
    <phoneticPr fontId="1" type="noConversion"/>
  </si>
  <si>
    <t>116</t>
    <phoneticPr fontId="1" type="noConversion"/>
  </si>
  <si>
    <t>00:00:00</t>
    <phoneticPr fontId="1" type="noConversion"/>
  </si>
  <si>
    <t>%BA%7E%C4_DS_9G</t>
    <phoneticPr fontId="1" type="noConversion"/>
  </si>
  <si>
    <t>IA44</t>
    <phoneticPr fontId="1" type="noConversion"/>
  </si>
  <si>
    <t>G1708DD31</t>
    <phoneticPr fontId="1" type="noConversion"/>
  </si>
  <si>
    <t>川邊高幹#141</t>
    <phoneticPr fontId="1" type="noConversion"/>
  </si>
  <si>
    <t>151</t>
    <phoneticPr fontId="1" type="noConversion"/>
  </si>
  <si>
    <t>149</t>
    <phoneticPr fontId="1" type="noConversion"/>
  </si>
  <si>
    <t>草港DS_9H</t>
    <phoneticPr fontId="1" type="noConversion"/>
  </si>
  <si>
    <t>%AF%F3%B4%E4DS_9H</t>
    <phoneticPr fontId="1" type="noConversion"/>
  </si>
  <si>
    <t>IB21</t>
    <phoneticPr fontId="1" type="noConversion"/>
  </si>
  <si>
    <t>9A74(9A74)</t>
    <phoneticPr fontId="1" type="noConversion"/>
  </si>
  <si>
    <t>128</t>
    <phoneticPr fontId="1" type="noConversion"/>
  </si>
  <si>
    <t>130</t>
    <phoneticPr fontId="1" type="noConversion"/>
  </si>
  <si>
    <t>13:00:00</t>
    <phoneticPr fontId="1" type="noConversion"/>
  </si>
  <si>
    <t>129</t>
    <phoneticPr fontId="1" type="noConversion"/>
  </si>
  <si>
    <t>130</t>
    <phoneticPr fontId="1" type="noConversion"/>
  </si>
  <si>
    <t>1</t>
    <phoneticPr fontId="1" type="noConversion"/>
  </si>
  <si>
    <t>1</t>
    <phoneticPr fontId="1" type="noConversion"/>
  </si>
  <si>
    <t>福興DS_9I</t>
    <phoneticPr fontId="1" type="noConversion"/>
  </si>
  <si>
    <t>%BA%D6%BF%B3DS_9I</t>
    <phoneticPr fontId="1" type="noConversion"/>
  </si>
  <si>
    <t>ID32</t>
    <phoneticPr fontId="1" type="noConversion"/>
  </si>
  <si>
    <t>161</t>
    <phoneticPr fontId="1" type="noConversion"/>
  </si>
  <si>
    <t>12:00:00</t>
    <phoneticPr fontId="1" type="noConversion"/>
  </si>
  <si>
    <t>163</t>
    <phoneticPr fontId="1" type="noConversion"/>
  </si>
  <si>
    <t>163</t>
    <phoneticPr fontId="1" type="noConversion"/>
  </si>
  <si>
    <t>12:00:00</t>
    <phoneticPr fontId="1" type="noConversion"/>
  </si>
  <si>
    <t>2</t>
    <phoneticPr fontId="1" type="noConversion"/>
  </si>
  <si>
    <t>2</t>
    <phoneticPr fontId="1" type="noConversion"/>
  </si>
  <si>
    <t>%AEH%C6QSS_9J</t>
    <phoneticPr fontId="1" type="noConversion"/>
  </si>
  <si>
    <t>IG30</t>
    <phoneticPr fontId="1" type="noConversion"/>
  </si>
  <si>
    <t>93</t>
    <phoneticPr fontId="1" type="noConversion"/>
  </si>
  <si>
    <t>94</t>
    <phoneticPr fontId="1" type="noConversion"/>
  </si>
  <si>
    <t>1</t>
    <phoneticPr fontId="1" type="noConversion"/>
  </si>
  <si>
    <t>大霞DS_9K</t>
    <phoneticPr fontId="1" type="noConversion"/>
  </si>
  <si>
    <t>%A4j%C1%F8DS_9K</t>
    <phoneticPr fontId="1" type="noConversion"/>
  </si>
  <si>
    <t>9A77(9A77)</t>
    <phoneticPr fontId="1" type="noConversion"/>
  </si>
  <si>
    <t>大城DS_9L</t>
    <phoneticPr fontId="1" type="noConversion"/>
  </si>
  <si>
    <t>%A4j%AB%B0DS_9L</t>
    <phoneticPr fontId="1" type="noConversion"/>
  </si>
  <si>
    <t>IM21</t>
    <phoneticPr fontId="1" type="noConversion"/>
  </si>
  <si>
    <t>彰濱ES_9A</t>
    <phoneticPr fontId="1" type="noConversion"/>
  </si>
  <si>
    <t>#3DTR</t>
    <phoneticPr fontId="1" type="noConversion"/>
  </si>
  <si>
    <t>28</t>
    <phoneticPr fontId="1" type="noConversion"/>
  </si>
  <si>
    <t>00:00:00</t>
    <phoneticPr fontId="1" type="noConversion"/>
  </si>
  <si>
    <t>29</t>
    <phoneticPr fontId="1" type="noConversion"/>
  </si>
  <si>
    <t>02:00:00</t>
    <phoneticPr fontId="1" type="noConversion"/>
  </si>
  <si>
    <t>29</t>
    <phoneticPr fontId="1" type="noConversion"/>
  </si>
  <si>
    <t xml:space="preserve"> </t>
    <phoneticPr fontId="1" type="noConversion"/>
  </si>
  <si>
    <t>9A#3</t>
    <phoneticPr fontId="1" type="noConversion"/>
  </si>
  <si>
    <t>彰林ES_9M</t>
    <phoneticPr fontId="1" type="noConversion"/>
  </si>
  <si>
    <t>%B9%FC%AALES_9M</t>
    <phoneticPr fontId="1" type="noConversion"/>
  </si>
  <si>
    <t>IN20</t>
    <phoneticPr fontId="1" type="noConversion"/>
  </si>
  <si>
    <t>彰濱ES_9A</t>
    <phoneticPr fontId="1" type="noConversion"/>
  </si>
  <si>
    <t>9A61(9A61)</t>
    <phoneticPr fontId="1" type="noConversion"/>
  </si>
  <si>
    <t>25</t>
    <phoneticPr fontId="1" type="noConversion"/>
  </si>
  <si>
    <t>16:00:00</t>
    <phoneticPr fontId="1" type="noConversion"/>
  </si>
  <si>
    <t>16:00:00</t>
    <phoneticPr fontId="1" type="noConversion"/>
  </si>
  <si>
    <t>25</t>
    <phoneticPr fontId="1" type="noConversion"/>
  </si>
  <si>
    <t>16:00:00</t>
    <phoneticPr fontId="1" type="noConversion"/>
  </si>
  <si>
    <t>02:00:00</t>
    <phoneticPr fontId="1" type="noConversion"/>
  </si>
  <si>
    <t>00:00:00</t>
    <phoneticPr fontId="1" type="noConversion"/>
  </si>
  <si>
    <t>彰竹DS_9N</t>
    <phoneticPr fontId="1" type="noConversion"/>
  </si>
  <si>
    <t>%B9%FC%A6%CBDS_9N</t>
    <phoneticPr fontId="1" type="noConversion"/>
  </si>
  <si>
    <t>IP20</t>
    <phoneticPr fontId="1" type="noConversion"/>
  </si>
  <si>
    <t>彰濱ES_9A</t>
    <phoneticPr fontId="1" type="noConversion"/>
  </si>
  <si>
    <t>9A62(9A62)</t>
    <phoneticPr fontId="1" type="noConversion"/>
  </si>
  <si>
    <t>2</t>
    <phoneticPr fontId="1" type="noConversion"/>
  </si>
  <si>
    <t>0</t>
    <phoneticPr fontId="1" type="noConversion"/>
  </si>
  <si>
    <t>花壇DS_9P</t>
    <phoneticPr fontId="1" type="noConversion"/>
  </si>
  <si>
    <t>%AA%E1%BE%C2DS_9P</t>
    <phoneticPr fontId="1" type="noConversion"/>
  </si>
  <si>
    <t>9A63(9A63)</t>
    <phoneticPr fontId="1" type="noConversion"/>
  </si>
  <si>
    <t>0</t>
    <phoneticPr fontId="1" type="noConversion"/>
  </si>
  <si>
    <t>0</t>
    <phoneticPr fontId="1" type="noConversion"/>
  </si>
  <si>
    <t>彰新DS_IA</t>
    <phoneticPr fontId="1" type="noConversion"/>
  </si>
  <si>
    <t>%B9%FC%B7sDS_IA</t>
    <phoneticPr fontId="1" type="noConversion"/>
  </si>
  <si>
    <t>IP27</t>
    <phoneticPr fontId="1" type="noConversion"/>
  </si>
  <si>
    <t>彰濱ES_9A</t>
    <phoneticPr fontId="1" type="noConversion"/>
  </si>
  <si>
    <t>9A64(9A64)</t>
    <phoneticPr fontId="1" type="noConversion"/>
  </si>
  <si>
    <t>%B3%C0%B4%E4SS_IB</t>
    <phoneticPr fontId="1" type="noConversion"/>
  </si>
  <si>
    <t>員林SS_IC</t>
    <phoneticPr fontId="1" type="noConversion"/>
  </si>
  <si>
    <t>%AD%FB%AALSS_IC</t>
    <phoneticPr fontId="1" type="noConversion"/>
  </si>
  <si>
    <t>IP23</t>
    <phoneticPr fontId="1" type="noConversion"/>
  </si>
  <si>
    <t>頂晶(9APV1)</t>
    <phoneticPr fontId="1" type="noConversion"/>
  </si>
  <si>
    <t xml:space="preserve"> </t>
    <phoneticPr fontId="1" type="noConversion"/>
  </si>
  <si>
    <t xml:space="preserve"> </t>
    <phoneticPr fontId="1" type="noConversion"/>
  </si>
  <si>
    <t>溪湖SS_ID</t>
    <phoneticPr fontId="1" type="noConversion"/>
  </si>
  <si>
    <t>%B7%CB%B4%F2SS_ID</t>
    <phoneticPr fontId="1" type="noConversion"/>
  </si>
  <si>
    <t>IU26</t>
    <phoneticPr fontId="1" type="noConversion"/>
  </si>
  <si>
    <t>9A66(9A66)</t>
    <phoneticPr fontId="1" type="noConversion"/>
  </si>
  <si>
    <t>2</t>
    <phoneticPr fontId="1" type="noConversion"/>
  </si>
  <si>
    <t>二林SS_IE</t>
    <phoneticPr fontId="1" type="noConversion"/>
  </si>
  <si>
    <t>%A4G%AALSS_IE</t>
    <phoneticPr fontId="1" type="noConversion"/>
  </si>
  <si>
    <t>IU32</t>
    <phoneticPr fontId="1" type="noConversion"/>
  </si>
  <si>
    <t>#4ADTR</t>
    <phoneticPr fontId="1" type="noConversion"/>
  </si>
  <si>
    <t>257</t>
    <phoneticPr fontId="1" type="noConversion"/>
  </si>
  <si>
    <t>18:00:00</t>
    <phoneticPr fontId="1" type="noConversion"/>
  </si>
  <si>
    <t>259</t>
    <phoneticPr fontId="1" type="noConversion"/>
  </si>
  <si>
    <t>9A#4(A)</t>
    <phoneticPr fontId="1" type="noConversion"/>
  </si>
  <si>
    <t>溪州SS_IF</t>
    <phoneticPr fontId="1" type="noConversion"/>
  </si>
  <si>
    <t>%B7%CB%A6%7BSS_IF</t>
    <phoneticPr fontId="1" type="noConversion"/>
  </si>
  <si>
    <t>18:00:00</t>
    <phoneticPr fontId="1" type="noConversion"/>
  </si>
  <si>
    <t>230</t>
    <phoneticPr fontId="1" type="noConversion"/>
  </si>
  <si>
    <t>0</t>
    <phoneticPr fontId="1" type="noConversion"/>
  </si>
  <si>
    <t>%A5%D0%A4%A4DS_IG</t>
    <phoneticPr fontId="1" type="noConversion"/>
  </si>
  <si>
    <t>9A52(9A52)</t>
    <phoneticPr fontId="1" type="noConversion"/>
  </si>
  <si>
    <t>33</t>
    <phoneticPr fontId="1" type="noConversion"/>
  </si>
  <si>
    <t>08:00:00</t>
    <phoneticPr fontId="1" type="noConversion"/>
  </si>
  <si>
    <t>08:00:00</t>
    <phoneticPr fontId="1" type="noConversion"/>
  </si>
  <si>
    <t>32</t>
    <phoneticPr fontId="1" type="noConversion"/>
  </si>
  <si>
    <t>32</t>
    <phoneticPr fontId="1" type="noConversion"/>
  </si>
  <si>
    <t>32</t>
    <phoneticPr fontId="1" type="noConversion"/>
  </si>
  <si>
    <t>彰西SS_IH</t>
    <phoneticPr fontId="1" type="noConversion"/>
  </si>
  <si>
    <t>%B9%FC%A6%E8SS_IH</t>
    <phoneticPr fontId="1" type="noConversion"/>
  </si>
  <si>
    <t>IU30</t>
    <phoneticPr fontId="1" type="noConversion"/>
  </si>
  <si>
    <t>9A53(9A53)</t>
    <phoneticPr fontId="1" type="noConversion"/>
  </si>
  <si>
    <t>21</t>
    <phoneticPr fontId="1" type="noConversion"/>
  </si>
  <si>
    <t>13:00:00</t>
    <phoneticPr fontId="1" type="noConversion"/>
  </si>
  <si>
    <t>19</t>
    <phoneticPr fontId="1" type="noConversion"/>
  </si>
  <si>
    <t>20</t>
    <phoneticPr fontId="1" type="noConversion"/>
  </si>
  <si>
    <t>21</t>
    <phoneticPr fontId="1" type="noConversion"/>
  </si>
  <si>
    <t>彰南SS_II</t>
    <phoneticPr fontId="1" type="noConversion"/>
  </si>
  <si>
    <t>%B9%FC%ABnSS_II</t>
    <phoneticPr fontId="1" type="noConversion"/>
  </si>
  <si>
    <t>IU37</t>
    <phoneticPr fontId="1" type="noConversion"/>
  </si>
  <si>
    <t>9A54(9A54)</t>
    <phoneticPr fontId="1" type="noConversion"/>
  </si>
  <si>
    <t>和美SS_IJ</t>
    <phoneticPr fontId="1" type="noConversion"/>
  </si>
  <si>
    <t>%A9M%AC%FCSS_IJ</t>
    <phoneticPr fontId="1" type="noConversion"/>
  </si>
  <si>
    <t>IU39</t>
    <phoneticPr fontId="1" type="noConversion"/>
  </si>
  <si>
    <t>9A55(9A55)</t>
    <phoneticPr fontId="1" type="noConversion"/>
  </si>
  <si>
    <t>0</t>
    <phoneticPr fontId="1" type="noConversion"/>
  </si>
  <si>
    <t>彰化DS_IK</t>
    <phoneticPr fontId="1" type="noConversion"/>
  </si>
  <si>
    <t>%B9%FC%A4%C6DS_IK</t>
    <phoneticPr fontId="1" type="noConversion"/>
  </si>
  <si>
    <t>9A56(9A56)</t>
    <phoneticPr fontId="1" type="noConversion"/>
  </si>
  <si>
    <t>彰化PS_IK</t>
    <phoneticPr fontId="1" type="noConversion"/>
  </si>
  <si>
    <t>%B9%FC%A4%C6PS_IK</t>
    <phoneticPr fontId="1" type="noConversion"/>
  </si>
  <si>
    <t>IV51</t>
    <phoneticPr fontId="1" type="noConversion"/>
  </si>
  <si>
    <t>#4BDTR</t>
    <phoneticPr fontId="1" type="noConversion"/>
  </si>
  <si>
    <t>196</t>
    <phoneticPr fontId="1" type="noConversion"/>
  </si>
  <si>
    <t>18:00:00</t>
    <phoneticPr fontId="1" type="noConversion"/>
  </si>
  <si>
    <t>199</t>
    <phoneticPr fontId="1" type="noConversion"/>
  </si>
  <si>
    <t>18:00:00</t>
    <phoneticPr fontId="1" type="noConversion"/>
  </si>
  <si>
    <t>201</t>
    <phoneticPr fontId="1" type="noConversion"/>
  </si>
  <si>
    <t>201</t>
    <phoneticPr fontId="1" type="noConversion"/>
  </si>
  <si>
    <t>9A#4(B)</t>
    <phoneticPr fontId="1" type="noConversion"/>
  </si>
  <si>
    <t>員南SS_IL</t>
    <phoneticPr fontId="1" type="noConversion"/>
  </si>
  <si>
    <t>%AD%FB%ABnSS_IL</t>
    <phoneticPr fontId="1" type="noConversion"/>
  </si>
  <si>
    <t>IV53</t>
    <phoneticPr fontId="1" type="noConversion"/>
  </si>
  <si>
    <t>9AE0(9AE0)</t>
    <phoneticPr fontId="1" type="noConversion"/>
  </si>
  <si>
    <t>143</t>
    <phoneticPr fontId="1" type="noConversion"/>
  </si>
  <si>
    <t>11:00:00</t>
    <phoneticPr fontId="1" type="noConversion"/>
  </si>
  <si>
    <t>144</t>
    <phoneticPr fontId="1" type="noConversion"/>
  </si>
  <si>
    <t>11:00:00</t>
    <phoneticPr fontId="1" type="noConversion"/>
  </si>
  <si>
    <t>143</t>
    <phoneticPr fontId="1" type="noConversion"/>
  </si>
  <si>
    <t>大竹SS_IM</t>
    <phoneticPr fontId="1" type="noConversion"/>
  </si>
  <si>
    <t>%A4j%A6%CBSS_IM</t>
    <phoneticPr fontId="1" type="noConversion"/>
  </si>
  <si>
    <t>IV55</t>
    <phoneticPr fontId="1" type="noConversion"/>
  </si>
  <si>
    <t>9A68(9A68)</t>
    <phoneticPr fontId="1" type="noConversion"/>
  </si>
  <si>
    <t>大村SS_IN</t>
    <phoneticPr fontId="1" type="noConversion"/>
  </si>
  <si>
    <t>%A4j%A7%F8SS_IN</t>
    <phoneticPr fontId="1" type="noConversion"/>
  </si>
  <si>
    <t>IY21</t>
    <phoneticPr fontId="1" type="noConversion"/>
  </si>
  <si>
    <t>9A67(9A67)</t>
    <phoneticPr fontId="1" type="noConversion"/>
  </si>
  <si>
    <t>鹿東DS_IO</t>
    <phoneticPr fontId="1" type="noConversion"/>
  </si>
  <si>
    <t>%B3%C0%AAFDS_IO</t>
    <phoneticPr fontId="1" type="noConversion"/>
  </si>
  <si>
    <t>9A59(9A59)</t>
    <phoneticPr fontId="1" type="noConversion"/>
  </si>
  <si>
    <t>75</t>
    <phoneticPr fontId="1" type="noConversion"/>
  </si>
  <si>
    <t>10:00:00</t>
    <phoneticPr fontId="1" type="noConversion"/>
  </si>
  <si>
    <t>10:00:00</t>
    <phoneticPr fontId="1" type="noConversion"/>
  </si>
  <si>
    <t>74</t>
    <phoneticPr fontId="1" type="noConversion"/>
  </si>
  <si>
    <t>77</t>
    <phoneticPr fontId="1" type="noConversion"/>
  </si>
  <si>
    <t>福工SS_IP</t>
    <phoneticPr fontId="1" type="noConversion"/>
  </si>
  <si>
    <t>%BA%D6%A4uSS_IP</t>
    <phoneticPr fontId="1" type="noConversion"/>
  </si>
  <si>
    <t>9A58(9A58)</t>
    <phoneticPr fontId="1" type="noConversion"/>
  </si>
  <si>
    <t>33</t>
    <phoneticPr fontId="1" type="noConversion"/>
  </si>
  <si>
    <t>29</t>
    <phoneticPr fontId="1" type="noConversion"/>
  </si>
  <si>
    <t>32</t>
    <phoneticPr fontId="1" type="noConversion"/>
  </si>
  <si>
    <t>彰東SS_IQ</t>
    <phoneticPr fontId="1" type="noConversion"/>
  </si>
  <si>
    <t>%B9%FC%AAFSS_IQ</t>
    <phoneticPr fontId="1" type="noConversion"/>
  </si>
  <si>
    <t>IZ24</t>
    <phoneticPr fontId="1" type="noConversion"/>
  </si>
  <si>
    <t>9A57(9A57)</t>
    <phoneticPr fontId="1" type="noConversion"/>
  </si>
  <si>
    <t>96</t>
    <phoneticPr fontId="1" type="noConversion"/>
  </si>
  <si>
    <t>04:00:00</t>
    <phoneticPr fontId="1" type="noConversion"/>
  </si>
  <si>
    <t>101</t>
    <phoneticPr fontId="1" type="noConversion"/>
  </si>
  <si>
    <t>98</t>
    <phoneticPr fontId="1" type="noConversion"/>
  </si>
  <si>
    <t>社頭SS_IR</t>
    <phoneticPr fontId="1" type="noConversion"/>
  </si>
  <si>
    <t>%AA%C0%C0YSS_IR</t>
    <phoneticPr fontId="1" type="noConversion"/>
  </si>
  <si>
    <t>IZ26</t>
    <phoneticPr fontId="1" type="noConversion"/>
  </si>
  <si>
    <t>線西DS_9B</t>
    <phoneticPr fontId="1" type="noConversion"/>
  </si>
  <si>
    <t>#1DTR</t>
    <phoneticPr fontId="1" type="noConversion"/>
  </si>
  <si>
    <t>611</t>
    <phoneticPr fontId="1" type="noConversion"/>
  </si>
  <si>
    <t>606</t>
    <phoneticPr fontId="1" type="noConversion"/>
  </si>
  <si>
    <t>615</t>
    <phoneticPr fontId="1" type="noConversion"/>
  </si>
  <si>
    <t>9B#1</t>
    <phoneticPr fontId="1" type="noConversion"/>
  </si>
  <si>
    <t>草湖SS_IS</t>
    <phoneticPr fontId="1" type="noConversion"/>
  </si>
  <si>
    <t>%AF%F3%B4%F2SS_IS</t>
    <phoneticPr fontId="1" type="noConversion"/>
  </si>
  <si>
    <t>IZ51</t>
    <phoneticPr fontId="1" type="noConversion"/>
  </si>
  <si>
    <t>9B51(9B51)</t>
    <phoneticPr fontId="1" type="noConversion"/>
  </si>
  <si>
    <t>溝墘SS_IT</t>
    <phoneticPr fontId="1" type="noConversion"/>
  </si>
  <si>
    <t>%B7%BE%E1YSS_IT</t>
    <phoneticPr fontId="1" type="noConversion"/>
  </si>
  <si>
    <t>IZ56</t>
    <phoneticPr fontId="1" type="noConversion"/>
  </si>
  <si>
    <t>線西DS_9B</t>
    <phoneticPr fontId="1" type="noConversion"/>
  </si>
  <si>
    <t>9B52(9B52)</t>
    <phoneticPr fontId="1" type="noConversion"/>
  </si>
  <si>
    <t>111</t>
    <phoneticPr fontId="1" type="noConversion"/>
  </si>
  <si>
    <t>04:00:00</t>
    <phoneticPr fontId="1" type="noConversion"/>
  </si>
  <si>
    <t>116</t>
    <phoneticPr fontId="1" type="noConversion"/>
  </si>
  <si>
    <t>員東DS_IU</t>
    <phoneticPr fontId="1" type="noConversion"/>
  </si>
  <si>
    <t>%AD%FB%AAFDS_IU</t>
    <phoneticPr fontId="1" type="noConversion"/>
  </si>
  <si>
    <t>IZ64</t>
    <phoneticPr fontId="1" type="noConversion"/>
  </si>
  <si>
    <t>線西DS_9B</t>
    <phoneticPr fontId="1" type="noConversion"/>
  </si>
  <si>
    <t>9B53(9B53)</t>
    <phoneticPr fontId="1" type="noConversion"/>
  </si>
  <si>
    <t>175</t>
    <phoneticPr fontId="1" type="noConversion"/>
  </si>
  <si>
    <t>17:00:00</t>
    <phoneticPr fontId="1" type="noConversion"/>
  </si>
  <si>
    <t>173</t>
    <phoneticPr fontId="1" type="noConversion"/>
  </si>
  <si>
    <t>175</t>
    <phoneticPr fontId="1" type="noConversion"/>
  </si>
  <si>
    <t>3</t>
    <phoneticPr fontId="1" type="noConversion"/>
  </si>
  <si>
    <t>03:00:00</t>
    <phoneticPr fontId="1" type="noConversion"/>
  </si>
  <si>
    <t>伸港SS_IV</t>
    <phoneticPr fontId="1" type="noConversion"/>
  </si>
  <si>
    <t>伸港SS_IV</t>
    <phoneticPr fontId="1" type="noConversion"/>
  </si>
  <si>
    <t>%A6%F9%B4%E4SS_IV</t>
    <phoneticPr fontId="1" type="noConversion"/>
  </si>
  <si>
    <t>9A51</t>
    <phoneticPr fontId="1" type="noConversion"/>
  </si>
  <si>
    <t>9B54(9B54)</t>
    <phoneticPr fontId="1" type="noConversion"/>
  </si>
  <si>
    <t>263</t>
    <phoneticPr fontId="1" type="noConversion"/>
  </si>
  <si>
    <t>21:00:00</t>
    <phoneticPr fontId="1" type="noConversion"/>
  </si>
  <si>
    <t>265</t>
    <phoneticPr fontId="1" type="noConversion"/>
  </si>
  <si>
    <t>21:00:00</t>
    <phoneticPr fontId="1" type="noConversion"/>
  </si>
  <si>
    <t>二水SS_IW</t>
    <phoneticPr fontId="1" type="noConversion"/>
  </si>
  <si>
    <t>%A4G%A4%F4SS_IW</t>
    <phoneticPr fontId="1" type="noConversion"/>
  </si>
  <si>
    <t>9A56</t>
    <phoneticPr fontId="1" type="noConversion"/>
  </si>
  <si>
    <t>9B55(9B55)</t>
    <phoneticPr fontId="1" type="noConversion"/>
  </si>
  <si>
    <t>27</t>
    <phoneticPr fontId="1" type="noConversion"/>
  </si>
  <si>
    <t>15:00:00</t>
    <phoneticPr fontId="1" type="noConversion"/>
  </si>
  <si>
    <t>26</t>
    <phoneticPr fontId="1" type="noConversion"/>
  </si>
  <si>
    <t>26</t>
    <phoneticPr fontId="1" type="noConversion"/>
  </si>
  <si>
    <t>17:00:00</t>
    <phoneticPr fontId="1" type="noConversion"/>
  </si>
  <si>
    <t>17:00:00</t>
    <phoneticPr fontId="1" type="noConversion"/>
  </si>
  <si>
    <t>27</t>
    <phoneticPr fontId="1" type="noConversion"/>
  </si>
  <si>
    <t>3</t>
    <phoneticPr fontId="1" type="noConversion"/>
  </si>
  <si>
    <t>北斗SS_IX</t>
    <phoneticPr fontId="1" type="noConversion"/>
  </si>
  <si>
    <t>%A5_%A4%E6SS_IX</t>
    <phoneticPr fontId="1" type="noConversion"/>
  </si>
  <si>
    <t>9B56(9B56)</t>
    <phoneticPr fontId="1" type="noConversion"/>
  </si>
  <si>
    <t>芳苑SS_IY</t>
    <phoneticPr fontId="1" type="noConversion"/>
  </si>
  <si>
    <t>%AA%DA%ADbSS_IY</t>
    <phoneticPr fontId="1" type="noConversion"/>
  </si>
  <si>
    <t>9B57(9B57)</t>
    <phoneticPr fontId="1" type="noConversion"/>
  </si>
  <si>
    <t>137</t>
    <phoneticPr fontId="1" type="noConversion"/>
  </si>
  <si>
    <t>08:00:00</t>
    <phoneticPr fontId="1" type="noConversion"/>
  </si>
  <si>
    <t>131</t>
    <phoneticPr fontId="1" type="noConversion"/>
  </si>
  <si>
    <t>141</t>
    <phoneticPr fontId="1" type="noConversion"/>
  </si>
  <si>
    <t>141</t>
    <phoneticPr fontId="1" type="noConversion"/>
  </si>
  <si>
    <t>全興ES_IZ</t>
    <phoneticPr fontId="1" type="noConversion"/>
  </si>
  <si>
    <t>%A5%FE%BF%B3ES_IZ</t>
    <phoneticPr fontId="1" type="noConversion"/>
  </si>
  <si>
    <t>9A61</t>
    <phoneticPr fontId="1" type="noConversion"/>
  </si>
  <si>
    <t>9B58(9B58)</t>
    <phoneticPr fontId="1" type="noConversion"/>
  </si>
  <si>
    <t>9A67</t>
    <phoneticPr fontId="1" type="noConversion"/>
  </si>
  <si>
    <t>未供電</t>
    <phoneticPr fontId="1" type="noConversion"/>
  </si>
  <si>
    <t>#2ADTR</t>
    <phoneticPr fontId="1" type="noConversion"/>
  </si>
  <si>
    <t>479</t>
    <phoneticPr fontId="1" type="noConversion"/>
  </si>
  <si>
    <t>480</t>
    <phoneticPr fontId="1" type="noConversion"/>
  </si>
  <si>
    <t>473</t>
    <phoneticPr fontId="1" type="noConversion"/>
  </si>
  <si>
    <t>480</t>
    <phoneticPr fontId="1" type="noConversion"/>
  </si>
  <si>
    <t>9B61(9B61)</t>
    <phoneticPr fontId="1" type="noConversion"/>
  </si>
  <si>
    <t>9B51</t>
    <phoneticPr fontId="1" type="noConversion"/>
  </si>
  <si>
    <t>9B62(9B62)</t>
    <phoneticPr fontId="1" type="noConversion"/>
  </si>
  <si>
    <t>157</t>
    <phoneticPr fontId="1" type="noConversion"/>
  </si>
  <si>
    <t>160</t>
    <phoneticPr fontId="1" type="noConversion"/>
  </si>
  <si>
    <t>160</t>
    <phoneticPr fontId="1" type="noConversion"/>
  </si>
  <si>
    <t>9B63(9B63)</t>
    <phoneticPr fontId="1" type="noConversion"/>
  </si>
  <si>
    <t>146</t>
    <phoneticPr fontId="1" type="noConversion"/>
  </si>
  <si>
    <t>142</t>
    <phoneticPr fontId="1" type="noConversion"/>
  </si>
  <si>
    <t>145</t>
    <phoneticPr fontId="1" type="noConversion"/>
  </si>
  <si>
    <t>146</t>
    <phoneticPr fontId="1" type="noConversion"/>
  </si>
  <si>
    <t>10:00:00</t>
    <phoneticPr fontId="1" type="noConversion"/>
  </si>
  <si>
    <t>未供電</t>
    <phoneticPr fontId="1" type="noConversion"/>
  </si>
  <si>
    <t>9B64(9B64)</t>
    <phoneticPr fontId="1" type="noConversion"/>
  </si>
  <si>
    <t>291</t>
    <phoneticPr fontId="1" type="noConversion"/>
  </si>
  <si>
    <t>289</t>
    <phoneticPr fontId="1" type="noConversion"/>
  </si>
  <si>
    <t>291</t>
    <phoneticPr fontId="1" type="noConversion"/>
  </si>
  <si>
    <t>5</t>
    <phoneticPr fontId="1" type="noConversion"/>
  </si>
  <si>
    <t>11:00:00</t>
    <phoneticPr fontId="1" type="noConversion"/>
  </si>
  <si>
    <t>新威(9BPV1)</t>
    <phoneticPr fontId="1" type="noConversion"/>
  </si>
  <si>
    <t>9B61</t>
    <phoneticPr fontId="1" type="noConversion"/>
  </si>
  <si>
    <t>#2BDTR</t>
    <phoneticPr fontId="1" type="noConversion"/>
  </si>
  <si>
    <t>111</t>
    <phoneticPr fontId="1" type="noConversion"/>
  </si>
  <si>
    <t>線西DS_9B</t>
    <phoneticPr fontId="1" type="noConversion"/>
  </si>
  <si>
    <t>9B65(9B65)</t>
    <phoneticPr fontId="1" type="noConversion"/>
  </si>
  <si>
    <t>193</t>
    <phoneticPr fontId="1" type="noConversion"/>
  </si>
  <si>
    <t>200</t>
    <phoneticPr fontId="1" type="noConversion"/>
  </si>
  <si>
    <t>191</t>
    <phoneticPr fontId="1" type="noConversion"/>
  </si>
  <si>
    <t>197</t>
    <phoneticPr fontId="1" type="noConversion"/>
  </si>
  <si>
    <t>200</t>
    <phoneticPr fontId="1" type="noConversion"/>
  </si>
  <si>
    <t>18:00:00</t>
    <phoneticPr fontId="1" type="noConversion"/>
  </si>
  <si>
    <t>未供電</t>
    <phoneticPr fontId="1" type="noConversion"/>
  </si>
  <si>
    <t>9B68(9B68)</t>
    <phoneticPr fontId="1" type="noConversion"/>
  </si>
  <si>
    <t>9C21</t>
    <phoneticPr fontId="1" type="noConversion"/>
  </si>
  <si>
    <t>員林DS_9C</t>
    <phoneticPr fontId="1" type="noConversion"/>
  </si>
  <si>
    <t>#1ADTR</t>
    <phoneticPr fontId="1" type="noConversion"/>
  </si>
  <si>
    <t>765</t>
    <phoneticPr fontId="1" type="noConversion"/>
  </si>
  <si>
    <t>800</t>
    <phoneticPr fontId="1" type="noConversion"/>
  </si>
  <si>
    <t>13:00:00</t>
    <phoneticPr fontId="1" type="noConversion"/>
  </si>
  <si>
    <t>858</t>
    <phoneticPr fontId="1" type="noConversion"/>
  </si>
  <si>
    <t>13:00:00</t>
    <phoneticPr fontId="1" type="noConversion"/>
  </si>
  <si>
    <t>858</t>
    <phoneticPr fontId="1" type="noConversion"/>
  </si>
  <si>
    <t xml:space="preserve"> </t>
    <phoneticPr fontId="1" type="noConversion"/>
  </si>
  <si>
    <t>9C25</t>
    <phoneticPr fontId="1" type="noConversion"/>
  </si>
  <si>
    <t>員林DS_9C</t>
    <phoneticPr fontId="1" type="noConversion"/>
  </si>
  <si>
    <t>9C20(9C20)</t>
    <phoneticPr fontId="1" type="noConversion"/>
  </si>
  <si>
    <t>82</t>
    <phoneticPr fontId="1" type="noConversion"/>
  </si>
  <si>
    <t>12:00:00</t>
    <phoneticPr fontId="1" type="noConversion"/>
  </si>
  <si>
    <t>134</t>
    <phoneticPr fontId="1" type="noConversion"/>
  </si>
  <si>
    <t>12:00:00</t>
    <phoneticPr fontId="1" type="noConversion"/>
  </si>
  <si>
    <t>112</t>
    <phoneticPr fontId="1" type="noConversion"/>
  </si>
  <si>
    <t>134</t>
    <phoneticPr fontId="1" type="noConversion"/>
  </si>
  <si>
    <t>54</t>
    <phoneticPr fontId="1" type="noConversion"/>
  </si>
  <si>
    <t>08:00:00</t>
    <phoneticPr fontId="1" type="noConversion"/>
  </si>
  <si>
    <t>9C28</t>
    <phoneticPr fontId="1" type="noConversion"/>
  </si>
  <si>
    <t>員林DS_9C</t>
    <phoneticPr fontId="1" type="noConversion"/>
  </si>
  <si>
    <t>9C21(9C21)</t>
    <phoneticPr fontId="1" type="noConversion"/>
  </si>
  <si>
    <t>9C30</t>
    <phoneticPr fontId="1" type="noConversion"/>
  </si>
  <si>
    <t>9C22(9C22)</t>
    <phoneticPr fontId="1" type="noConversion"/>
  </si>
  <si>
    <t>161</t>
    <phoneticPr fontId="1" type="noConversion"/>
  </si>
  <si>
    <t>13:00:00</t>
    <phoneticPr fontId="1" type="noConversion"/>
  </si>
  <si>
    <t>147</t>
    <phoneticPr fontId="1" type="noConversion"/>
  </si>
  <si>
    <t>152</t>
    <phoneticPr fontId="1" type="noConversion"/>
  </si>
  <si>
    <t>152</t>
    <phoneticPr fontId="1" type="noConversion"/>
  </si>
  <si>
    <t>27</t>
    <phoneticPr fontId="1" type="noConversion"/>
  </si>
  <si>
    <t>22:00:00</t>
    <phoneticPr fontId="1" type="noConversion"/>
  </si>
  <si>
    <t>22:00:00</t>
    <phoneticPr fontId="1" type="noConversion"/>
  </si>
  <si>
    <t>9C32</t>
    <phoneticPr fontId="1" type="noConversion"/>
  </si>
  <si>
    <t>9C23(9C23)</t>
    <phoneticPr fontId="1" type="noConversion"/>
  </si>
  <si>
    <t>313</t>
    <phoneticPr fontId="1" type="noConversion"/>
  </si>
  <si>
    <t>343</t>
    <phoneticPr fontId="1" type="noConversion"/>
  </si>
  <si>
    <t>362</t>
    <phoneticPr fontId="1" type="noConversion"/>
  </si>
  <si>
    <t>79</t>
    <phoneticPr fontId="1" type="noConversion"/>
  </si>
  <si>
    <t>9C35</t>
    <phoneticPr fontId="1" type="noConversion"/>
  </si>
  <si>
    <t>9C24(9C24)</t>
    <phoneticPr fontId="1" type="noConversion"/>
  </si>
  <si>
    <t>212</t>
    <phoneticPr fontId="1" type="noConversion"/>
  </si>
  <si>
    <t>198</t>
    <phoneticPr fontId="1" type="noConversion"/>
  </si>
  <si>
    <t>10:00:00</t>
    <phoneticPr fontId="1" type="noConversion"/>
  </si>
  <si>
    <t>252</t>
    <phoneticPr fontId="1" type="noConversion"/>
  </si>
  <si>
    <t>68</t>
    <phoneticPr fontId="1" type="noConversion"/>
  </si>
  <si>
    <t>08:00:00</t>
    <phoneticPr fontId="1" type="noConversion"/>
  </si>
  <si>
    <t>9C42</t>
    <phoneticPr fontId="1" type="noConversion"/>
  </si>
  <si>
    <t>#1BDTR</t>
    <phoneticPr fontId="1" type="noConversion"/>
  </si>
  <si>
    <t>954</t>
    <phoneticPr fontId="1" type="noConversion"/>
  </si>
  <si>
    <t>14:00:00</t>
    <phoneticPr fontId="1" type="noConversion"/>
  </si>
  <si>
    <t>878</t>
    <phoneticPr fontId="1" type="noConversion"/>
  </si>
  <si>
    <t>941</t>
    <phoneticPr fontId="1" type="noConversion"/>
  </si>
  <si>
    <t>954</t>
    <phoneticPr fontId="1" type="noConversion"/>
  </si>
  <si>
    <t xml:space="preserve"> </t>
    <phoneticPr fontId="1" type="noConversion"/>
  </si>
  <si>
    <t>9C25(9C25)</t>
    <phoneticPr fontId="1" type="noConversion"/>
  </si>
  <si>
    <t>13</t>
    <phoneticPr fontId="1" type="noConversion"/>
  </si>
  <si>
    <t>20:00:00</t>
    <phoneticPr fontId="1" type="noConversion"/>
  </si>
  <si>
    <t>20:00:00</t>
    <phoneticPr fontId="1" type="noConversion"/>
  </si>
  <si>
    <t>9</t>
    <phoneticPr fontId="1" type="noConversion"/>
  </si>
  <si>
    <t>13</t>
    <phoneticPr fontId="1" type="noConversion"/>
  </si>
  <si>
    <t>11</t>
    <phoneticPr fontId="1" type="noConversion"/>
  </si>
  <si>
    <t>9C45</t>
    <phoneticPr fontId="1" type="noConversion"/>
  </si>
  <si>
    <t>9C26(9C26)</t>
    <phoneticPr fontId="1" type="noConversion"/>
  </si>
  <si>
    <t>335</t>
    <phoneticPr fontId="1" type="noConversion"/>
  </si>
  <si>
    <t>305</t>
    <phoneticPr fontId="1" type="noConversion"/>
  </si>
  <si>
    <t>342</t>
    <phoneticPr fontId="1" type="noConversion"/>
  </si>
  <si>
    <t>73</t>
    <phoneticPr fontId="1" type="noConversion"/>
  </si>
  <si>
    <t>19:00:00</t>
    <phoneticPr fontId="1" type="noConversion"/>
  </si>
  <si>
    <t>9C27(9C27)</t>
    <phoneticPr fontId="1" type="noConversion"/>
  </si>
  <si>
    <t>216</t>
    <phoneticPr fontId="1" type="noConversion"/>
  </si>
  <si>
    <t>189</t>
    <phoneticPr fontId="1" type="noConversion"/>
  </si>
  <si>
    <t>189</t>
    <phoneticPr fontId="1" type="noConversion"/>
  </si>
  <si>
    <t>09:00:00</t>
    <phoneticPr fontId="1" type="noConversion"/>
  </si>
  <si>
    <t>243</t>
    <phoneticPr fontId="1" type="noConversion"/>
  </si>
  <si>
    <t>88</t>
    <phoneticPr fontId="1" type="noConversion"/>
  </si>
  <si>
    <t>9C28(9C28)</t>
    <phoneticPr fontId="1" type="noConversion"/>
  </si>
  <si>
    <t>193</t>
    <phoneticPr fontId="1" type="noConversion"/>
  </si>
  <si>
    <t>170</t>
    <phoneticPr fontId="1" type="noConversion"/>
  </si>
  <si>
    <t>174</t>
    <phoneticPr fontId="1" type="noConversion"/>
  </si>
  <si>
    <t>19:00:00</t>
    <phoneticPr fontId="1" type="noConversion"/>
  </si>
  <si>
    <t>48</t>
    <phoneticPr fontId="1" type="noConversion"/>
  </si>
  <si>
    <t>9C29(9C29)</t>
    <phoneticPr fontId="1" type="noConversion"/>
  </si>
  <si>
    <t>250</t>
    <phoneticPr fontId="1" type="noConversion"/>
  </si>
  <si>
    <t>250</t>
    <phoneticPr fontId="1" type="noConversion"/>
  </si>
  <si>
    <t>240</t>
    <phoneticPr fontId="1" type="noConversion"/>
  </si>
  <si>
    <t>226</t>
    <phoneticPr fontId="1" type="noConversion"/>
  </si>
  <si>
    <t>43</t>
    <phoneticPr fontId="1" type="noConversion"/>
  </si>
  <si>
    <t>21:00:00</t>
    <phoneticPr fontId="1" type="noConversion"/>
  </si>
  <si>
    <t>#2A1DTR</t>
    <phoneticPr fontId="1" type="noConversion"/>
  </si>
  <si>
    <t>239</t>
    <phoneticPr fontId="1" type="noConversion"/>
  </si>
  <si>
    <t>264</t>
    <phoneticPr fontId="1" type="noConversion"/>
  </si>
  <si>
    <t>203</t>
    <phoneticPr fontId="1" type="noConversion"/>
  </si>
  <si>
    <t>9C30(9C30)</t>
    <phoneticPr fontId="1" type="noConversion"/>
  </si>
  <si>
    <t>97</t>
    <phoneticPr fontId="1" type="noConversion"/>
  </si>
  <si>
    <t>91</t>
    <phoneticPr fontId="1" type="noConversion"/>
  </si>
  <si>
    <t>15:00:00</t>
    <phoneticPr fontId="1" type="noConversion"/>
  </si>
  <si>
    <t>65</t>
    <phoneticPr fontId="1" type="noConversion"/>
  </si>
  <si>
    <t>55</t>
    <phoneticPr fontId="1" type="noConversion"/>
  </si>
  <si>
    <t>9G25</t>
    <phoneticPr fontId="1" type="noConversion"/>
  </si>
  <si>
    <t>9C31(9C31)</t>
    <phoneticPr fontId="1" type="noConversion"/>
  </si>
  <si>
    <t>119</t>
    <phoneticPr fontId="1" type="noConversion"/>
  </si>
  <si>
    <t>139</t>
    <phoneticPr fontId="1" type="noConversion"/>
  </si>
  <si>
    <t>123</t>
    <phoneticPr fontId="1" type="noConversion"/>
  </si>
  <si>
    <t>41</t>
    <phoneticPr fontId="1" type="noConversion"/>
  </si>
  <si>
    <t>9I31</t>
    <phoneticPr fontId="1" type="noConversion"/>
  </si>
  <si>
    <t>9C32(9C32)</t>
    <phoneticPr fontId="1" type="noConversion"/>
  </si>
  <si>
    <t>145</t>
    <phoneticPr fontId="1" type="noConversion"/>
  </si>
  <si>
    <t>172</t>
    <phoneticPr fontId="1" type="noConversion"/>
  </si>
  <si>
    <t>132</t>
    <phoneticPr fontId="1" type="noConversion"/>
  </si>
  <si>
    <t>78</t>
    <phoneticPr fontId="1" type="noConversion"/>
  </si>
  <si>
    <t>12:00:00</t>
    <phoneticPr fontId="1" type="noConversion"/>
  </si>
  <si>
    <t>9L21</t>
    <phoneticPr fontId="1" type="noConversion"/>
  </si>
  <si>
    <t>#2A2DTR</t>
    <phoneticPr fontId="1" type="noConversion"/>
  </si>
  <si>
    <t>171</t>
    <phoneticPr fontId="1" type="noConversion"/>
  </si>
  <si>
    <t>183</t>
    <phoneticPr fontId="1" type="noConversion"/>
  </si>
  <si>
    <t>9C33(9C33)</t>
    <phoneticPr fontId="1" type="noConversion"/>
  </si>
  <si>
    <t>38</t>
    <phoneticPr fontId="1" type="noConversion"/>
  </si>
  <si>
    <t>38</t>
    <phoneticPr fontId="1" type="noConversion"/>
  </si>
  <si>
    <t>63</t>
    <phoneticPr fontId="1" type="noConversion"/>
  </si>
  <si>
    <t>36</t>
    <phoneticPr fontId="1" type="noConversion"/>
  </si>
  <si>
    <t>員林DS_9C</t>
    <phoneticPr fontId="1" type="noConversion"/>
  </si>
  <si>
    <t>9C34(9C34)</t>
    <phoneticPr fontId="1" type="noConversion"/>
  </si>
  <si>
    <t>231</t>
    <phoneticPr fontId="1" type="noConversion"/>
  </si>
  <si>
    <t>13:00:00</t>
    <phoneticPr fontId="1" type="noConversion"/>
  </si>
  <si>
    <t>230</t>
    <phoneticPr fontId="1" type="noConversion"/>
  </si>
  <si>
    <t>10:00:00</t>
    <phoneticPr fontId="1" type="noConversion"/>
  </si>
  <si>
    <t>251</t>
    <phoneticPr fontId="1" type="noConversion"/>
  </si>
  <si>
    <t>10:00:00</t>
    <phoneticPr fontId="1" type="noConversion"/>
  </si>
  <si>
    <t>49</t>
    <phoneticPr fontId="1" type="noConversion"/>
  </si>
  <si>
    <t>19:00:00</t>
    <phoneticPr fontId="1" type="noConversion"/>
  </si>
  <si>
    <t>#2B1DTR</t>
    <phoneticPr fontId="1" type="noConversion"/>
  </si>
  <si>
    <t>86</t>
    <phoneticPr fontId="1" type="noConversion"/>
  </si>
  <si>
    <t>18:00:00</t>
    <phoneticPr fontId="1" type="noConversion"/>
  </si>
  <si>
    <t>99</t>
    <phoneticPr fontId="1" type="noConversion"/>
  </si>
  <si>
    <t>110</t>
    <phoneticPr fontId="1" type="noConversion"/>
  </si>
  <si>
    <t>21:00:00</t>
    <phoneticPr fontId="1" type="noConversion"/>
  </si>
  <si>
    <t xml:space="preserve"> </t>
    <phoneticPr fontId="1" type="noConversion"/>
  </si>
  <si>
    <t>員林DS_9C</t>
    <phoneticPr fontId="1" type="noConversion"/>
  </si>
  <si>
    <t>9C35(9C35)</t>
    <phoneticPr fontId="1" type="noConversion"/>
  </si>
  <si>
    <t>58</t>
    <phoneticPr fontId="1" type="noConversion"/>
  </si>
  <si>
    <t>15:00:00</t>
    <phoneticPr fontId="1" type="noConversion"/>
  </si>
  <si>
    <t>73</t>
    <phoneticPr fontId="1" type="noConversion"/>
  </si>
  <si>
    <t>15:00:00</t>
    <phoneticPr fontId="1" type="noConversion"/>
  </si>
  <si>
    <t>47</t>
    <phoneticPr fontId="1" type="noConversion"/>
  </si>
  <si>
    <t>38</t>
    <phoneticPr fontId="1" type="noConversion"/>
  </si>
  <si>
    <t>員林DS_9C</t>
    <phoneticPr fontId="1" type="noConversion"/>
  </si>
  <si>
    <t>9C36(9C36)</t>
    <phoneticPr fontId="1" type="noConversion"/>
  </si>
  <si>
    <t>82</t>
    <phoneticPr fontId="1" type="noConversion"/>
  </si>
  <si>
    <t>18:00:00</t>
    <phoneticPr fontId="1" type="noConversion"/>
  </si>
  <si>
    <t>97</t>
    <phoneticPr fontId="1" type="noConversion"/>
  </si>
  <si>
    <t>21:00:00</t>
    <phoneticPr fontId="1" type="noConversion"/>
  </si>
  <si>
    <t>143</t>
    <phoneticPr fontId="1" type="noConversion"/>
  </si>
  <si>
    <t>143</t>
    <phoneticPr fontId="1" type="noConversion"/>
  </si>
  <si>
    <t>62</t>
    <phoneticPr fontId="1" type="noConversion"/>
  </si>
  <si>
    <t>21:00:00</t>
    <phoneticPr fontId="1" type="noConversion"/>
  </si>
  <si>
    <t>9L31</t>
    <phoneticPr fontId="1" type="noConversion"/>
  </si>
  <si>
    <t>員林DS_9C</t>
    <phoneticPr fontId="1" type="noConversion"/>
  </si>
  <si>
    <t>#2B2DTR</t>
    <phoneticPr fontId="1" type="noConversion"/>
  </si>
  <si>
    <t>175</t>
    <phoneticPr fontId="1" type="noConversion"/>
  </si>
  <si>
    <t>21:00:00</t>
    <phoneticPr fontId="1" type="noConversion"/>
  </si>
  <si>
    <t>165</t>
    <phoneticPr fontId="1" type="noConversion"/>
  </si>
  <si>
    <t>21:00:00</t>
    <phoneticPr fontId="1" type="noConversion"/>
  </si>
  <si>
    <t>176</t>
    <phoneticPr fontId="1" type="noConversion"/>
  </si>
  <si>
    <t>176</t>
    <phoneticPr fontId="1" type="noConversion"/>
  </si>
  <si>
    <t>20:00:00</t>
    <phoneticPr fontId="1" type="noConversion"/>
  </si>
  <si>
    <t>176</t>
    <phoneticPr fontId="1" type="noConversion"/>
  </si>
  <si>
    <t xml:space="preserve"> </t>
    <phoneticPr fontId="1" type="noConversion"/>
  </si>
  <si>
    <t xml:space="preserve"> </t>
    <phoneticPr fontId="1" type="noConversion"/>
  </si>
  <si>
    <t>員林DS_9C</t>
    <phoneticPr fontId="1" type="noConversion"/>
  </si>
  <si>
    <t>9C37(9C37)</t>
    <phoneticPr fontId="1" type="noConversion"/>
  </si>
  <si>
    <t>124</t>
    <phoneticPr fontId="1" type="noConversion"/>
  </si>
  <si>
    <t>20:00:00</t>
    <phoneticPr fontId="1" type="noConversion"/>
  </si>
  <si>
    <t>97</t>
    <phoneticPr fontId="1" type="noConversion"/>
  </si>
  <si>
    <t>127</t>
    <phoneticPr fontId="1" type="noConversion"/>
  </si>
  <si>
    <t>20:00:00</t>
    <phoneticPr fontId="1" type="noConversion"/>
  </si>
  <si>
    <t>40</t>
    <phoneticPr fontId="1" type="noConversion"/>
  </si>
  <si>
    <t>20:00:00</t>
    <phoneticPr fontId="1" type="noConversion"/>
  </si>
  <si>
    <t>9C38(9C38)</t>
    <phoneticPr fontId="1" type="noConversion"/>
  </si>
  <si>
    <t>27</t>
    <phoneticPr fontId="1" type="noConversion"/>
  </si>
  <si>
    <t>59</t>
    <phoneticPr fontId="1" type="noConversion"/>
  </si>
  <si>
    <t>19:00:00</t>
    <phoneticPr fontId="1" type="noConversion"/>
  </si>
  <si>
    <t>39</t>
    <phoneticPr fontId="1" type="noConversion"/>
  </si>
  <si>
    <t>39</t>
    <phoneticPr fontId="1" type="noConversion"/>
  </si>
  <si>
    <t>17:00:00</t>
    <phoneticPr fontId="1" type="noConversion"/>
  </si>
  <si>
    <t>59</t>
    <phoneticPr fontId="1" type="noConversion"/>
  </si>
  <si>
    <t>33</t>
    <phoneticPr fontId="1" type="noConversion"/>
  </si>
  <si>
    <t>21:00:00</t>
    <phoneticPr fontId="1" type="noConversion"/>
  </si>
  <si>
    <t>員林DS_9C</t>
    <phoneticPr fontId="1" type="noConversion"/>
  </si>
  <si>
    <t>9C39(9C39)</t>
    <phoneticPr fontId="1" type="noConversion"/>
  </si>
  <si>
    <t>123</t>
    <phoneticPr fontId="1" type="noConversion"/>
  </si>
  <si>
    <t>95</t>
    <phoneticPr fontId="1" type="noConversion"/>
  </si>
  <si>
    <t>108</t>
    <phoneticPr fontId="1" type="noConversion"/>
  </si>
  <si>
    <t>38</t>
    <phoneticPr fontId="1" type="noConversion"/>
  </si>
  <si>
    <t>#3ADTR</t>
    <phoneticPr fontId="1" type="noConversion"/>
  </si>
  <si>
    <t>732</t>
    <phoneticPr fontId="1" type="noConversion"/>
  </si>
  <si>
    <t>18:00:00</t>
    <phoneticPr fontId="1" type="noConversion"/>
  </si>
  <si>
    <t>714</t>
    <phoneticPr fontId="1" type="noConversion"/>
  </si>
  <si>
    <t>717</t>
    <phoneticPr fontId="1" type="noConversion"/>
  </si>
  <si>
    <t>732</t>
    <phoneticPr fontId="1" type="noConversion"/>
  </si>
  <si>
    <t>員林DS_9C</t>
    <phoneticPr fontId="1" type="noConversion"/>
  </si>
  <si>
    <t>9C40(9C40)</t>
    <phoneticPr fontId="1" type="noConversion"/>
  </si>
  <si>
    <t>84</t>
    <phoneticPr fontId="1" type="noConversion"/>
  </si>
  <si>
    <t>19:00:00</t>
    <phoneticPr fontId="1" type="noConversion"/>
  </si>
  <si>
    <t>66</t>
    <phoneticPr fontId="1" type="noConversion"/>
  </si>
  <si>
    <t>19:00:00</t>
    <phoneticPr fontId="1" type="noConversion"/>
  </si>
  <si>
    <t>95</t>
    <phoneticPr fontId="1" type="noConversion"/>
  </si>
  <si>
    <t>27</t>
    <phoneticPr fontId="1" type="noConversion"/>
  </si>
  <si>
    <t>9M33</t>
    <phoneticPr fontId="1" type="noConversion"/>
  </si>
  <si>
    <t>員林DS_9C</t>
    <phoneticPr fontId="1" type="noConversion"/>
  </si>
  <si>
    <t>9C41(9C41)</t>
    <phoneticPr fontId="1" type="noConversion"/>
  </si>
  <si>
    <t>293</t>
    <phoneticPr fontId="1" type="noConversion"/>
  </si>
  <si>
    <t>299</t>
    <phoneticPr fontId="1" type="noConversion"/>
  </si>
  <si>
    <t>18:00:00</t>
    <phoneticPr fontId="1" type="noConversion"/>
  </si>
  <si>
    <t>303</t>
    <phoneticPr fontId="1" type="noConversion"/>
  </si>
  <si>
    <t>303</t>
    <phoneticPr fontId="1" type="noConversion"/>
  </si>
  <si>
    <t>52</t>
    <phoneticPr fontId="1" type="noConversion"/>
  </si>
  <si>
    <t>10:00:00</t>
    <phoneticPr fontId="1" type="noConversion"/>
  </si>
  <si>
    <t>9N20</t>
    <phoneticPr fontId="1" type="noConversion"/>
  </si>
  <si>
    <t>未供電</t>
    <phoneticPr fontId="1" type="noConversion"/>
  </si>
  <si>
    <t>9C42(9C42)</t>
    <phoneticPr fontId="1" type="noConversion"/>
  </si>
  <si>
    <t>00:00:00</t>
    <phoneticPr fontId="1" type="noConversion"/>
  </si>
  <si>
    <t>9C43(9C43)</t>
    <phoneticPr fontId="1" type="noConversion"/>
  </si>
  <si>
    <t>171</t>
    <phoneticPr fontId="1" type="noConversion"/>
  </si>
  <si>
    <t>12:00:00</t>
    <phoneticPr fontId="1" type="noConversion"/>
  </si>
  <si>
    <t>179</t>
    <phoneticPr fontId="1" type="noConversion"/>
  </si>
  <si>
    <t>179</t>
    <phoneticPr fontId="1" type="noConversion"/>
  </si>
  <si>
    <t>178</t>
    <phoneticPr fontId="1" type="noConversion"/>
  </si>
  <si>
    <t>15:00:00</t>
    <phoneticPr fontId="1" type="noConversion"/>
  </si>
  <si>
    <t>179</t>
    <phoneticPr fontId="1" type="noConversion"/>
  </si>
  <si>
    <t>37</t>
    <phoneticPr fontId="1" type="noConversion"/>
  </si>
  <si>
    <t>15:00:00</t>
    <phoneticPr fontId="1" type="noConversion"/>
  </si>
  <si>
    <t>9C44(9C44)</t>
    <phoneticPr fontId="1" type="noConversion"/>
  </si>
  <si>
    <t>220</t>
    <phoneticPr fontId="1" type="noConversion"/>
  </si>
  <si>
    <t>204</t>
    <phoneticPr fontId="1" type="noConversion"/>
  </si>
  <si>
    <t>177</t>
    <phoneticPr fontId="1" type="noConversion"/>
  </si>
  <si>
    <t>220</t>
    <phoneticPr fontId="1" type="noConversion"/>
  </si>
  <si>
    <t>68</t>
    <phoneticPr fontId="1" type="noConversion"/>
  </si>
  <si>
    <t>未供電</t>
    <phoneticPr fontId="1" type="noConversion"/>
  </si>
  <si>
    <t>#3BDTR</t>
    <phoneticPr fontId="1" type="noConversion"/>
  </si>
  <si>
    <t>738</t>
    <phoneticPr fontId="1" type="noConversion"/>
  </si>
  <si>
    <t>14:00:00</t>
    <phoneticPr fontId="1" type="noConversion"/>
  </si>
  <si>
    <t>708</t>
    <phoneticPr fontId="1" type="noConversion"/>
  </si>
  <si>
    <t>747</t>
    <phoneticPr fontId="1" type="noConversion"/>
  </si>
  <si>
    <t>747</t>
    <phoneticPr fontId="1" type="noConversion"/>
  </si>
  <si>
    <t xml:space="preserve"> </t>
    <phoneticPr fontId="1" type="noConversion"/>
  </si>
  <si>
    <t>9C45(9C45)</t>
    <phoneticPr fontId="1" type="noConversion"/>
  </si>
  <si>
    <t>15</t>
    <phoneticPr fontId="1" type="noConversion"/>
  </si>
  <si>
    <t>22:00:00</t>
    <phoneticPr fontId="1" type="noConversion"/>
  </si>
  <si>
    <t>18</t>
    <phoneticPr fontId="1" type="noConversion"/>
  </si>
  <si>
    <t>16</t>
    <phoneticPr fontId="1" type="noConversion"/>
  </si>
  <si>
    <t>20:00:00</t>
    <phoneticPr fontId="1" type="noConversion"/>
  </si>
  <si>
    <t>18</t>
    <phoneticPr fontId="1" type="noConversion"/>
  </si>
  <si>
    <t>8</t>
    <phoneticPr fontId="1" type="noConversion"/>
  </si>
  <si>
    <t>9C46(9C46)</t>
    <phoneticPr fontId="1" type="noConversion"/>
  </si>
  <si>
    <t>211</t>
    <phoneticPr fontId="1" type="noConversion"/>
  </si>
  <si>
    <t>206</t>
    <phoneticPr fontId="1" type="noConversion"/>
  </si>
  <si>
    <t>14:00:00</t>
    <phoneticPr fontId="1" type="noConversion"/>
  </si>
  <si>
    <t>214</t>
    <phoneticPr fontId="1" type="noConversion"/>
  </si>
  <si>
    <t>214</t>
    <phoneticPr fontId="1" type="noConversion"/>
  </si>
  <si>
    <t>28</t>
    <phoneticPr fontId="1" type="noConversion"/>
  </si>
  <si>
    <t>21:00:00</t>
    <phoneticPr fontId="1" type="noConversion"/>
  </si>
  <si>
    <t>9C47(9C47)</t>
    <phoneticPr fontId="1" type="noConversion"/>
  </si>
  <si>
    <t>264</t>
    <phoneticPr fontId="1" type="noConversion"/>
  </si>
  <si>
    <t>272</t>
    <phoneticPr fontId="1" type="noConversion"/>
  </si>
  <si>
    <t>301</t>
    <phoneticPr fontId="1" type="noConversion"/>
  </si>
  <si>
    <t>301</t>
    <phoneticPr fontId="1" type="noConversion"/>
  </si>
  <si>
    <t>64</t>
    <phoneticPr fontId="1" type="noConversion"/>
  </si>
  <si>
    <t>01:00:00</t>
    <phoneticPr fontId="1" type="noConversion"/>
  </si>
  <si>
    <t>9P10</t>
    <phoneticPr fontId="1" type="noConversion"/>
  </si>
  <si>
    <t>9C48(9C48)</t>
    <phoneticPr fontId="1" type="noConversion"/>
  </si>
  <si>
    <t>152</t>
    <phoneticPr fontId="1" type="noConversion"/>
  </si>
  <si>
    <t>15:00:00</t>
    <phoneticPr fontId="1" type="noConversion"/>
  </si>
  <si>
    <t>120</t>
    <phoneticPr fontId="1" type="noConversion"/>
  </si>
  <si>
    <t>150</t>
    <phoneticPr fontId="1" type="noConversion"/>
  </si>
  <si>
    <t>54</t>
    <phoneticPr fontId="1" type="noConversion"/>
  </si>
  <si>
    <t>9P18</t>
    <phoneticPr fontId="1" type="noConversion"/>
  </si>
  <si>
    <t>9C49(9C49)</t>
    <phoneticPr fontId="1" type="noConversion"/>
  </si>
  <si>
    <t>117</t>
    <phoneticPr fontId="1" type="noConversion"/>
  </si>
  <si>
    <t>98</t>
    <phoneticPr fontId="1" type="noConversion"/>
  </si>
  <si>
    <t>15:00:00</t>
    <phoneticPr fontId="1" type="noConversion"/>
  </si>
  <si>
    <t>83</t>
    <phoneticPr fontId="1" type="noConversion"/>
  </si>
  <si>
    <t>14:00:00</t>
    <phoneticPr fontId="1" type="noConversion"/>
  </si>
  <si>
    <t>117</t>
    <phoneticPr fontId="1" type="noConversion"/>
  </si>
  <si>
    <t>36</t>
    <phoneticPr fontId="1" type="noConversion"/>
  </si>
  <si>
    <t>9P22</t>
    <phoneticPr fontId="1" type="noConversion"/>
  </si>
  <si>
    <t>鹿西DS_9F</t>
    <phoneticPr fontId="1" type="noConversion"/>
  </si>
  <si>
    <t>#1DTR</t>
    <phoneticPr fontId="1" type="noConversion"/>
  </si>
  <si>
    <t>1046</t>
    <phoneticPr fontId="1" type="noConversion"/>
  </si>
  <si>
    <t>1038</t>
    <phoneticPr fontId="1" type="noConversion"/>
  </si>
  <si>
    <t>1047</t>
    <phoneticPr fontId="1" type="noConversion"/>
  </si>
  <si>
    <t xml:space="preserve"> </t>
    <phoneticPr fontId="1" type="noConversion"/>
  </si>
  <si>
    <t>9P25</t>
    <phoneticPr fontId="1" type="noConversion"/>
  </si>
  <si>
    <t>鹿西DS_9F</t>
    <phoneticPr fontId="1" type="noConversion"/>
  </si>
  <si>
    <t>9F51(9F51)</t>
    <phoneticPr fontId="1" type="noConversion"/>
  </si>
  <si>
    <t>138</t>
    <phoneticPr fontId="1" type="noConversion"/>
  </si>
  <si>
    <t>23:00:00</t>
    <phoneticPr fontId="1" type="noConversion"/>
  </si>
  <si>
    <t>140</t>
    <phoneticPr fontId="1" type="noConversion"/>
  </si>
  <si>
    <t>23:00:00</t>
    <phoneticPr fontId="1" type="noConversion"/>
  </si>
  <si>
    <t>140</t>
    <phoneticPr fontId="1" type="noConversion"/>
  </si>
  <si>
    <t>鹿西DS_9F</t>
    <phoneticPr fontId="1" type="noConversion"/>
  </si>
  <si>
    <t>9F52(9F52)</t>
    <phoneticPr fontId="1" type="noConversion"/>
  </si>
  <si>
    <t>152</t>
    <phoneticPr fontId="1" type="noConversion"/>
  </si>
  <si>
    <t>149</t>
    <phoneticPr fontId="1" type="noConversion"/>
  </si>
  <si>
    <t>9F53(9F53)</t>
    <phoneticPr fontId="1" type="noConversion"/>
  </si>
  <si>
    <t>16:00:00</t>
    <phoneticPr fontId="1" type="noConversion"/>
  </si>
  <si>
    <t>93</t>
    <phoneticPr fontId="1" type="noConversion"/>
  </si>
  <si>
    <t>16:00:00</t>
    <phoneticPr fontId="1" type="noConversion"/>
  </si>
  <si>
    <t>9F54(9F54)</t>
    <phoneticPr fontId="1" type="noConversion"/>
  </si>
  <si>
    <t>17:00:00</t>
    <phoneticPr fontId="1" type="noConversion"/>
  </si>
  <si>
    <t>145</t>
    <phoneticPr fontId="1" type="noConversion"/>
  </si>
  <si>
    <t>22:00:00</t>
    <phoneticPr fontId="1" type="noConversion"/>
  </si>
  <si>
    <t>鹿西DS_9F</t>
    <phoneticPr fontId="1" type="noConversion"/>
  </si>
  <si>
    <t>9F55(9F55)</t>
    <phoneticPr fontId="1" type="noConversion"/>
  </si>
  <si>
    <t>92</t>
    <phoneticPr fontId="1" type="noConversion"/>
  </si>
  <si>
    <t>89</t>
    <phoneticPr fontId="1" type="noConversion"/>
  </si>
  <si>
    <t>91</t>
    <phoneticPr fontId="1" type="noConversion"/>
  </si>
  <si>
    <t>9F56(9F56)</t>
    <phoneticPr fontId="1" type="noConversion"/>
  </si>
  <si>
    <t>137</t>
    <phoneticPr fontId="1" type="noConversion"/>
  </si>
  <si>
    <t>137</t>
    <phoneticPr fontId="1" type="noConversion"/>
  </si>
  <si>
    <t>139</t>
    <phoneticPr fontId="1" type="noConversion"/>
  </si>
  <si>
    <t>9F57(9F57)</t>
    <phoneticPr fontId="1" type="noConversion"/>
  </si>
  <si>
    <t>279</t>
    <phoneticPr fontId="1" type="noConversion"/>
  </si>
  <si>
    <t>284</t>
    <phoneticPr fontId="1" type="noConversion"/>
  </si>
  <si>
    <t>286</t>
    <phoneticPr fontId="1" type="noConversion"/>
  </si>
  <si>
    <t>286</t>
    <phoneticPr fontId="1" type="noConversion"/>
  </si>
  <si>
    <t>9F58(9F58)</t>
    <phoneticPr fontId="1" type="noConversion"/>
  </si>
  <si>
    <t>194</t>
    <phoneticPr fontId="1" type="noConversion"/>
  </si>
  <si>
    <t>19:00:00</t>
    <phoneticPr fontId="1" type="noConversion"/>
  </si>
  <si>
    <t>196</t>
    <phoneticPr fontId="1" type="noConversion"/>
  </si>
  <si>
    <t>194</t>
    <phoneticPr fontId="1" type="noConversion"/>
  </si>
  <si>
    <t>#2ADTR</t>
    <phoneticPr fontId="1" type="noConversion"/>
  </si>
  <si>
    <t>230</t>
    <phoneticPr fontId="1" type="noConversion"/>
  </si>
  <si>
    <t>233</t>
    <phoneticPr fontId="1" type="noConversion"/>
  </si>
  <si>
    <t>233</t>
    <phoneticPr fontId="1" type="noConversion"/>
  </si>
  <si>
    <t>9F61(9F61)</t>
    <phoneticPr fontId="1" type="noConversion"/>
  </si>
  <si>
    <t>49</t>
    <phoneticPr fontId="1" type="noConversion"/>
  </si>
  <si>
    <t>54</t>
    <phoneticPr fontId="1" type="noConversion"/>
  </si>
  <si>
    <t>48</t>
    <phoneticPr fontId="1" type="noConversion"/>
  </si>
  <si>
    <t>9F62(9F62)</t>
    <phoneticPr fontId="1" type="noConversion"/>
  </si>
  <si>
    <t>119</t>
    <phoneticPr fontId="1" type="noConversion"/>
  </si>
  <si>
    <t>119</t>
    <phoneticPr fontId="1" type="noConversion"/>
  </si>
  <si>
    <t>9F63(9F63)</t>
    <phoneticPr fontId="1" type="noConversion"/>
  </si>
  <si>
    <t>102</t>
    <phoneticPr fontId="1" type="noConversion"/>
  </si>
  <si>
    <t>12:00:00</t>
    <phoneticPr fontId="1" type="noConversion"/>
  </si>
  <si>
    <t>100</t>
    <phoneticPr fontId="1" type="noConversion"/>
  </si>
  <si>
    <t>102</t>
    <phoneticPr fontId="1" type="noConversion"/>
  </si>
  <si>
    <t>9F64(9F64)</t>
    <phoneticPr fontId="1" type="noConversion"/>
  </si>
  <si>
    <t>70</t>
    <phoneticPr fontId="1" type="noConversion"/>
  </si>
  <si>
    <t>70</t>
    <phoneticPr fontId="1" type="noConversion"/>
  </si>
  <si>
    <t>68</t>
    <phoneticPr fontId="1" type="noConversion"/>
  </si>
  <si>
    <t>69</t>
    <phoneticPr fontId="1" type="noConversion"/>
  </si>
  <si>
    <t>70</t>
    <phoneticPr fontId="1" type="noConversion"/>
  </si>
  <si>
    <t>#2BDTR</t>
    <phoneticPr fontId="1" type="noConversion"/>
  </si>
  <si>
    <t>443</t>
    <phoneticPr fontId="1" type="noConversion"/>
  </si>
  <si>
    <t>455</t>
    <phoneticPr fontId="1" type="noConversion"/>
  </si>
  <si>
    <t>456</t>
    <phoneticPr fontId="1" type="noConversion"/>
  </si>
  <si>
    <t>9F65(9F65)</t>
    <phoneticPr fontId="1" type="noConversion"/>
  </si>
  <si>
    <t>256</t>
    <phoneticPr fontId="1" type="noConversion"/>
  </si>
  <si>
    <t>256</t>
    <phoneticPr fontId="1" type="noConversion"/>
  </si>
  <si>
    <t>258</t>
    <phoneticPr fontId="1" type="noConversion"/>
  </si>
  <si>
    <t>9F66(9F66)</t>
    <phoneticPr fontId="1" type="noConversion"/>
  </si>
  <si>
    <t>54</t>
    <phoneticPr fontId="1" type="noConversion"/>
  </si>
  <si>
    <t>20:00:00</t>
    <phoneticPr fontId="1" type="noConversion"/>
  </si>
  <si>
    <t>60</t>
    <phoneticPr fontId="1" type="noConversion"/>
  </si>
  <si>
    <t>62</t>
    <phoneticPr fontId="1" type="noConversion"/>
  </si>
  <si>
    <t>9F67(9F67)</t>
    <phoneticPr fontId="1" type="noConversion"/>
  </si>
  <si>
    <t>99</t>
    <phoneticPr fontId="1" type="noConversion"/>
  </si>
  <si>
    <t>9F68(9F68)</t>
    <phoneticPr fontId="1" type="noConversion"/>
  </si>
  <si>
    <t>漢寶DS_9G</t>
    <phoneticPr fontId="1" type="noConversion"/>
  </si>
  <si>
    <t>#1ADTR</t>
    <phoneticPr fontId="1" type="noConversion"/>
  </si>
  <si>
    <t>386</t>
    <phoneticPr fontId="1" type="noConversion"/>
  </si>
  <si>
    <t>375</t>
    <phoneticPr fontId="1" type="noConversion"/>
  </si>
  <si>
    <t>437</t>
    <phoneticPr fontId="1" type="noConversion"/>
  </si>
  <si>
    <t>437</t>
    <phoneticPr fontId="1" type="noConversion"/>
  </si>
  <si>
    <t>9G20(9G20)</t>
    <phoneticPr fontId="1" type="noConversion"/>
  </si>
  <si>
    <t>19:00:00</t>
    <phoneticPr fontId="1" type="noConversion"/>
  </si>
  <si>
    <t>59</t>
    <phoneticPr fontId="1" type="noConversion"/>
  </si>
  <si>
    <t>21:00:00</t>
    <phoneticPr fontId="1" type="noConversion"/>
  </si>
  <si>
    <t>44</t>
    <phoneticPr fontId="1" type="noConversion"/>
  </si>
  <si>
    <t>44</t>
    <phoneticPr fontId="1" type="noConversion"/>
  </si>
  <si>
    <t>08:00:00</t>
    <phoneticPr fontId="1" type="noConversion"/>
  </si>
  <si>
    <t>9G21(9G21)</t>
    <phoneticPr fontId="1" type="noConversion"/>
  </si>
  <si>
    <t>108</t>
    <phoneticPr fontId="1" type="noConversion"/>
  </si>
  <si>
    <t>11:00:00</t>
    <phoneticPr fontId="1" type="noConversion"/>
  </si>
  <si>
    <t>104</t>
    <phoneticPr fontId="1" type="noConversion"/>
  </si>
  <si>
    <t>103</t>
    <phoneticPr fontId="1" type="noConversion"/>
  </si>
  <si>
    <t>20</t>
    <phoneticPr fontId="1" type="noConversion"/>
  </si>
  <si>
    <t>漢寶DS_9G</t>
    <phoneticPr fontId="1" type="noConversion"/>
  </si>
  <si>
    <t>9G22(9G22)</t>
    <phoneticPr fontId="1" type="noConversion"/>
  </si>
  <si>
    <t>178</t>
    <phoneticPr fontId="1" type="noConversion"/>
  </si>
  <si>
    <t>156</t>
    <phoneticPr fontId="1" type="noConversion"/>
  </si>
  <si>
    <t>204</t>
    <phoneticPr fontId="1" type="noConversion"/>
  </si>
  <si>
    <t>19:00:00</t>
    <phoneticPr fontId="1" type="noConversion"/>
  </si>
  <si>
    <t>52</t>
    <phoneticPr fontId="1" type="noConversion"/>
  </si>
  <si>
    <t>19:00:00</t>
    <phoneticPr fontId="1" type="noConversion"/>
  </si>
  <si>
    <t>9G23(9G23)</t>
    <phoneticPr fontId="1" type="noConversion"/>
  </si>
  <si>
    <t>168</t>
    <phoneticPr fontId="1" type="noConversion"/>
  </si>
  <si>
    <t>195</t>
    <phoneticPr fontId="1" type="noConversion"/>
  </si>
  <si>
    <t>185</t>
    <phoneticPr fontId="1" type="noConversion"/>
  </si>
  <si>
    <t>35</t>
    <phoneticPr fontId="1" type="noConversion"/>
  </si>
  <si>
    <t>9G24(9G24)</t>
    <phoneticPr fontId="1" type="noConversion"/>
  </si>
  <si>
    <t>60</t>
    <phoneticPr fontId="1" type="noConversion"/>
  </si>
  <si>
    <t>61</t>
    <phoneticPr fontId="1" type="noConversion"/>
  </si>
  <si>
    <t>漢寶DS_9G</t>
    <phoneticPr fontId="1" type="noConversion"/>
  </si>
  <si>
    <t>#1BDTR</t>
    <phoneticPr fontId="1" type="noConversion"/>
  </si>
  <si>
    <t>93</t>
    <phoneticPr fontId="1" type="noConversion"/>
  </si>
  <si>
    <t>05:00:00</t>
    <phoneticPr fontId="1" type="noConversion"/>
  </si>
  <si>
    <t xml:space="preserve"> </t>
    <phoneticPr fontId="1" type="noConversion"/>
  </si>
  <si>
    <t>9G25(9G25)</t>
    <phoneticPr fontId="1" type="noConversion"/>
  </si>
  <si>
    <t>127</t>
    <phoneticPr fontId="1" type="noConversion"/>
  </si>
  <si>
    <t>01:00:00</t>
    <phoneticPr fontId="1" type="noConversion"/>
  </si>
  <si>
    <t>137</t>
    <phoneticPr fontId="1" type="noConversion"/>
  </si>
  <si>
    <t>138</t>
    <phoneticPr fontId="1" type="noConversion"/>
  </si>
  <si>
    <t>00:00:00</t>
    <phoneticPr fontId="1" type="noConversion"/>
  </si>
  <si>
    <t>9G26(9G26)</t>
    <phoneticPr fontId="1" type="noConversion"/>
  </si>
  <si>
    <t>9G27(9G27)</t>
    <phoneticPr fontId="1" type="noConversion"/>
  </si>
  <si>
    <t>9G28(9G28)</t>
    <phoneticPr fontId="1" type="noConversion"/>
  </si>
  <si>
    <t>漢寶DS_9G</t>
    <phoneticPr fontId="1" type="noConversion"/>
  </si>
  <si>
    <t>9G29(9G29)</t>
    <phoneticPr fontId="1" type="noConversion"/>
  </si>
  <si>
    <t>立風1(9GE8)</t>
    <phoneticPr fontId="1" type="noConversion"/>
  </si>
  <si>
    <t>117</t>
    <phoneticPr fontId="1" type="noConversion"/>
  </si>
  <si>
    <t>116</t>
    <phoneticPr fontId="1" type="noConversion"/>
  </si>
  <si>
    <t>120</t>
    <phoneticPr fontId="1" type="noConversion"/>
  </si>
  <si>
    <t>#2ADTR</t>
    <phoneticPr fontId="1" type="noConversion"/>
  </si>
  <si>
    <t>1013</t>
    <phoneticPr fontId="1" type="noConversion"/>
  </si>
  <si>
    <t>19:00:00</t>
    <phoneticPr fontId="1" type="noConversion"/>
  </si>
  <si>
    <t>935</t>
    <phoneticPr fontId="1" type="noConversion"/>
  </si>
  <si>
    <t>1038</t>
    <phoneticPr fontId="1" type="noConversion"/>
  </si>
  <si>
    <t>9G30(9G30)</t>
    <phoneticPr fontId="1" type="noConversion"/>
  </si>
  <si>
    <t>126</t>
    <phoneticPr fontId="1" type="noConversion"/>
  </si>
  <si>
    <t>9G31(9G31)</t>
    <phoneticPr fontId="1" type="noConversion"/>
  </si>
  <si>
    <t>39</t>
    <phoneticPr fontId="1" type="noConversion"/>
  </si>
  <si>
    <t>41</t>
    <phoneticPr fontId="1" type="noConversion"/>
  </si>
  <si>
    <t>28</t>
    <phoneticPr fontId="1" type="noConversion"/>
  </si>
  <si>
    <t>9G32(9G32)</t>
    <phoneticPr fontId="1" type="noConversion"/>
  </si>
  <si>
    <t>113</t>
    <phoneticPr fontId="1" type="noConversion"/>
  </si>
  <si>
    <t>112</t>
    <phoneticPr fontId="1" type="noConversion"/>
  </si>
  <si>
    <t>漢寶DS_9G</t>
    <phoneticPr fontId="1" type="noConversion"/>
  </si>
  <si>
    <t>9G33(9G33)</t>
    <phoneticPr fontId="1" type="noConversion"/>
  </si>
  <si>
    <t>107</t>
    <phoneticPr fontId="1" type="noConversion"/>
  </si>
  <si>
    <t>105</t>
    <phoneticPr fontId="1" type="noConversion"/>
  </si>
  <si>
    <t>19:00:00</t>
    <phoneticPr fontId="1" type="noConversion"/>
  </si>
  <si>
    <t>112</t>
    <phoneticPr fontId="1" type="noConversion"/>
  </si>
  <si>
    <t>112</t>
    <phoneticPr fontId="1" type="noConversion"/>
  </si>
  <si>
    <t>19</t>
    <phoneticPr fontId="1" type="noConversion"/>
  </si>
  <si>
    <t>9G34(9G34)</t>
    <phoneticPr fontId="1" type="noConversion"/>
  </si>
  <si>
    <t>219</t>
    <phoneticPr fontId="1" type="noConversion"/>
  </si>
  <si>
    <t>193</t>
    <phoneticPr fontId="1" type="noConversion"/>
  </si>
  <si>
    <t>170</t>
    <phoneticPr fontId="1" type="noConversion"/>
  </si>
  <si>
    <t>219</t>
    <phoneticPr fontId="1" type="noConversion"/>
  </si>
  <si>
    <t>56</t>
    <phoneticPr fontId="1" type="noConversion"/>
  </si>
  <si>
    <t>漢寶DS_9G</t>
    <phoneticPr fontId="1" type="noConversion"/>
  </si>
  <si>
    <t>#2BDTR</t>
    <phoneticPr fontId="1" type="noConversion"/>
  </si>
  <si>
    <t>824</t>
    <phoneticPr fontId="1" type="noConversion"/>
  </si>
  <si>
    <t>815</t>
    <phoneticPr fontId="1" type="noConversion"/>
  </si>
  <si>
    <t>18:00:00</t>
    <phoneticPr fontId="1" type="noConversion"/>
  </si>
  <si>
    <t>831</t>
    <phoneticPr fontId="1" type="noConversion"/>
  </si>
  <si>
    <t>831</t>
    <phoneticPr fontId="1" type="noConversion"/>
  </si>
  <si>
    <t>9G35(9G35)</t>
    <phoneticPr fontId="1" type="noConversion"/>
  </si>
  <si>
    <t>247</t>
    <phoneticPr fontId="1" type="noConversion"/>
  </si>
  <si>
    <t>237</t>
    <phoneticPr fontId="1" type="noConversion"/>
  </si>
  <si>
    <t>14:00:00</t>
    <phoneticPr fontId="1" type="noConversion"/>
  </si>
  <si>
    <t>206</t>
    <phoneticPr fontId="1" type="noConversion"/>
  </si>
  <si>
    <t>48</t>
    <phoneticPr fontId="1" type="noConversion"/>
  </si>
  <si>
    <t>9G36(9G36)</t>
    <phoneticPr fontId="1" type="noConversion"/>
  </si>
  <si>
    <t>129</t>
    <phoneticPr fontId="1" type="noConversion"/>
  </si>
  <si>
    <t>134</t>
    <phoneticPr fontId="1" type="noConversion"/>
  </si>
  <si>
    <t>163</t>
    <phoneticPr fontId="1" type="noConversion"/>
  </si>
  <si>
    <t>163</t>
    <phoneticPr fontId="1" type="noConversion"/>
  </si>
  <si>
    <t>66</t>
    <phoneticPr fontId="1" type="noConversion"/>
  </si>
  <si>
    <t>9G37(9G37)</t>
    <phoneticPr fontId="1" type="noConversion"/>
  </si>
  <si>
    <t>09:00:00</t>
    <phoneticPr fontId="1" type="noConversion"/>
  </si>
  <si>
    <t>159</t>
    <phoneticPr fontId="1" type="noConversion"/>
  </si>
  <si>
    <t>157</t>
    <phoneticPr fontId="1" type="noConversion"/>
  </si>
  <si>
    <t>09:00:00</t>
    <phoneticPr fontId="1" type="noConversion"/>
  </si>
  <si>
    <t>159</t>
    <phoneticPr fontId="1" type="noConversion"/>
  </si>
  <si>
    <t>65</t>
    <phoneticPr fontId="1" type="noConversion"/>
  </si>
  <si>
    <t>9G38(9G38)</t>
    <phoneticPr fontId="1" type="noConversion"/>
  </si>
  <si>
    <t>268</t>
    <phoneticPr fontId="1" type="noConversion"/>
  </si>
  <si>
    <t>223</t>
    <phoneticPr fontId="1" type="noConversion"/>
  </si>
  <si>
    <t>262</t>
    <phoneticPr fontId="1" type="noConversion"/>
  </si>
  <si>
    <t>268</t>
    <phoneticPr fontId="1" type="noConversion"/>
  </si>
  <si>
    <t>78</t>
    <phoneticPr fontId="1" type="noConversion"/>
  </si>
  <si>
    <t>9G39(9G39)</t>
    <phoneticPr fontId="1" type="noConversion"/>
  </si>
  <si>
    <t>254</t>
    <phoneticPr fontId="1" type="noConversion"/>
  </si>
  <si>
    <t>240</t>
    <phoneticPr fontId="1" type="noConversion"/>
  </si>
  <si>
    <t>241</t>
    <phoneticPr fontId="1" type="noConversion"/>
  </si>
  <si>
    <t>36</t>
    <phoneticPr fontId="1" type="noConversion"/>
  </si>
  <si>
    <t>立風2(9GE9)</t>
    <phoneticPr fontId="1" type="noConversion"/>
  </si>
  <si>
    <t>383</t>
    <phoneticPr fontId="1" type="noConversion"/>
  </si>
  <si>
    <t>381</t>
    <phoneticPr fontId="1" type="noConversion"/>
  </si>
  <si>
    <t>12:00:00</t>
    <phoneticPr fontId="1" type="noConversion"/>
  </si>
  <si>
    <t>383</t>
    <phoneticPr fontId="1" type="noConversion"/>
  </si>
  <si>
    <t>0</t>
    <phoneticPr fontId="1" type="noConversion"/>
  </si>
  <si>
    <t>#3ADTR</t>
    <phoneticPr fontId="1" type="noConversion"/>
  </si>
  <si>
    <t>368</t>
    <phoneticPr fontId="1" type="noConversion"/>
  </si>
  <si>
    <t>13:00:00</t>
    <phoneticPr fontId="1" type="noConversion"/>
  </si>
  <si>
    <t>371</t>
    <phoneticPr fontId="1" type="noConversion"/>
  </si>
  <si>
    <t>371</t>
    <phoneticPr fontId="1" type="noConversion"/>
  </si>
  <si>
    <t>9GE2(9GE2)</t>
    <phoneticPr fontId="1" type="noConversion"/>
  </si>
  <si>
    <t>9GE3(9GE3)</t>
    <phoneticPr fontId="1" type="noConversion"/>
  </si>
  <si>
    <t>0</t>
    <phoneticPr fontId="1" type="noConversion"/>
  </si>
  <si>
    <t>漢寶DS_9G</t>
    <phoneticPr fontId="1" type="noConversion"/>
  </si>
  <si>
    <t>北苑(9GE1)</t>
    <phoneticPr fontId="1" type="noConversion"/>
  </si>
  <si>
    <t>12:00:00</t>
    <phoneticPr fontId="1" type="noConversion"/>
  </si>
  <si>
    <t>141</t>
    <phoneticPr fontId="1" type="noConversion"/>
  </si>
  <si>
    <t>12:00:00</t>
    <phoneticPr fontId="1" type="noConversion"/>
  </si>
  <si>
    <t>141</t>
    <phoneticPr fontId="1" type="noConversion"/>
  </si>
  <si>
    <t>漢寶DS_9G</t>
    <phoneticPr fontId="1" type="noConversion"/>
  </si>
  <si>
    <t>星寶(9GE0)</t>
    <phoneticPr fontId="1" type="noConversion"/>
  </si>
  <si>
    <t>228</t>
    <phoneticPr fontId="1" type="noConversion"/>
  </si>
  <si>
    <t>13:00:00</t>
    <phoneticPr fontId="1" type="noConversion"/>
  </si>
  <si>
    <t>13:00:00</t>
    <phoneticPr fontId="1" type="noConversion"/>
  </si>
  <si>
    <t>228</t>
    <phoneticPr fontId="1" type="noConversion"/>
  </si>
  <si>
    <t>228</t>
    <phoneticPr fontId="1" type="noConversion"/>
  </si>
  <si>
    <t>0</t>
    <phoneticPr fontId="1" type="noConversion"/>
  </si>
  <si>
    <t>漢寶DS_9G</t>
    <phoneticPr fontId="1" type="noConversion"/>
  </si>
  <si>
    <t>#3BDTR</t>
    <phoneticPr fontId="1" type="noConversion"/>
  </si>
  <si>
    <t>461</t>
    <phoneticPr fontId="1" type="noConversion"/>
  </si>
  <si>
    <t>12:00:00</t>
    <phoneticPr fontId="1" type="noConversion"/>
  </si>
  <si>
    <t>461</t>
    <phoneticPr fontId="1" type="noConversion"/>
  </si>
  <si>
    <t>12:00:00</t>
    <phoneticPr fontId="1" type="noConversion"/>
  </si>
  <si>
    <t>461</t>
    <phoneticPr fontId="1" type="noConversion"/>
  </si>
  <si>
    <t>漢寶DS_9G</t>
    <phoneticPr fontId="1" type="noConversion"/>
  </si>
  <si>
    <t>9GE6(9GE6)</t>
    <phoneticPr fontId="1" type="noConversion"/>
  </si>
  <si>
    <t>0</t>
    <phoneticPr fontId="1" type="noConversion"/>
  </si>
  <si>
    <t>00:00:00</t>
    <phoneticPr fontId="1" type="noConversion"/>
  </si>
  <si>
    <t>0</t>
    <phoneticPr fontId="1" type="noConversion"/>
  </si>
  <si>
    <t>00:00:00</t>
    <phoneticPr fontId="1" type="noConversion"/>
  </si>
  <si>
    <t>0</t>
    <phoneticPr fontId="1" type="noConversion"/>
  </si>
  <si>
    <t>9GE7(9GE7)</t>
    <phoneticPr fontId="1" type="noConversion"/>
  </si>
  <si>
    <t>0</t>
    <phoneticPr fontId="1" type="noConversion"/>
  </si>
  <si>
    <t>0</t>
    <phoneticPr fontId="1" type="noConversion"/>
  </si>
  <si>
    <t>00:00:00</t>
    <phoneticPr fontId="1" type="noConversion"/>
  </si>
  <si>
    <t>彰旺(9GE5)</t>
    <phoneticPr fontId="1" type="noConversion"/>
  </si>
  <si>
    <t>282</t>
    <phoneticPr fontId="1" type="noConversion"/>
  </si>
  <si>
    <t>282</t>
    <phoneticPr fontId="1" type="noConversion"/>
  </si>
  <si>
    <t>282</t>
    <phoneticPr fontId="1" type="noConversion"/>
  </si>
  <si>
    <t>0</t>
    <phoneticPr fontId="1" type="noConversion"/>
  </si>
  <si>
    <t>00:00:00</t>
    <phoneticPr fontId="1" type="noConversion"/>
  </si>
  <si>
    <t>彰苑(9GE4)</t>
    <phoneticPr fontId="1" type="noConversion"/>
  </si>
  <si>
    <t>181</t>
    <phoneticPr fontId="1" type="noConversion"/>
  </si>
  <si>
    <t>12:00:00</t>
    <phoneticPr fontId="1" type="noConversion"/>
  </si>
  <si>
    <t>181</t>
    <phoneticPr fontId="1" type="noConversion"/>
  </si>
  <si>
    <t>12:00:00</t>
    <phoneticPr fontId="1" type="noConversion"/>
  </si>
  <si>
    <t>181</t>
    <phoneticPr fontId="1" type="noConversion"/>
  </si>
  <si>
    <t>草港DS_9H</t>
    <phoneticPr fontId="1" type="noConversion"/>
  </si>
  <si>
    <t>#2ADTR</t>
    <phoneticPr fontId="1" type="noConversion"/>
  </si>
  <si>
    <t>741</t>
    <phoneticPr fontId="1" type="noConversion"/>
  </si>
  <si>
    <t>18:00:00</t>
    <phoneticPr fontId="1" type="noConversion"/>
  </si>
  <si>
    <t>692</t>
    <phoneticPr fontId="1" type="noConversion"/>
  </si>
  <si>
    <t>18:00:00</t>
    <phoneticPr fontId="1" type="noConversion"/>
  </si>
  <si>
    <t>734</t>
    <phoneticPr fontId="1" type="noConversion"/>
  </si>
  <si>
    <t>741</t>
    <phoneticPr fontId="1" type="noConversion"/>
  </si>
  <si>
    <t>草港DS_9H</t>
    <phoneticPr fontId="1" type="noConversion"/>
  </si>
  <si>
    <t>9H20(9H20)</t>
    <phoneticPr fontId="1" type="noConversion"/>
  </si>
  <si>
    <t>0</t>
    <phoneticPr fontId="1" type="noConversion"/>
  </si>
  <si>
    <t>00:00:00</t>
    <phoneticPr fontId="1" type="noConversion"/>
  </si>
  <si>
    <t>草港DS_9H</t>
    <phoneticPr fontId="1" type="noConversion"/>
  </si>
  <si>
    <t>下港線(9H21)</t>
    <phoneticPr fontId="1" type="noConversion"/>
  </si>
  <si>
    <t>146</t>
    <phoneticPr fontId="1" type="noConversion"/>
  </si>
  <si>
    <t>140</t>
    <phoneticPr fontId="1" type="noConversion"/>
  </si>
  <si>
    <t>10:00:00</t>
    <phoneticPr fontId="1" type="noConversion"/>
  </si>
  <si>
    <t>132</t>
    <phoneticPr fontId="1" type="noConversion"/>
  </si>
  <si>
    <t>15:00:00</t>
    <phoneticPr fontId="1" type="noConversion"/>
  </si>
  <si>
    <t>146</t>
    <phoneticPr fontId="1" type="noConversion"/>
  </si>
  <si>
    <t>38</t>
    <phoneticPr fontId="1" type="noConversion"/>
  </si>
  <si>
    <t>10:00:00</t>
    <phoneticPr fontId="1" type="noConversion"/>
  </si>
  <si>
    <t>122</t>
    <phoneticPr fontId="1" type="noConversion"/>
  </si>
  <si>
    <t>109</t>
    <phoneticPr fontId="1" type="noConversion"/>
  </si>
  <si>
    <t>150</t>
    <phoneticPr fontId="1" type="noConversion"/>
  </si>
  <si>
    <t>59</t>
    <phoneticPr fontId="1" type="noConversion"/>
  </si>
  <si>
    <t>15:00:00</t>
    <phoneticPr fontId="1" type="noConversion"/>
  </si>
  <si>
    <t>崙尾線(9H23)</t>
    <phoneticPr fontId="1" type="noConversion"/>
  </si>
  <si>
    <t>104</t>
    <phoneticPr fontId="1" type="noConversion"/>
  </si>
  <si>
    <t>19:00:00</t>
    <phoneticPr fontId="1" type="noConversion"/>
  </si>
  <si>
    <t>81</t>
    <phoneticPr fontId="1" type="noConversion"/>
  </si>
  <si>
    <t>20:00:00</t>
    <phoneticPr fontId="1" type="noConversion"/>
  </si>
  <si>
    <t>96</t>
    <phoneticPr fontId="1" type="noConversion"/>
  </si>
  <si>
    <t>46</t>
    <phoneticPr fontId="1" type="noConversion"/>
  </si>
  <si>
    <t>200</t>
    <phoneticPr fontId="1" type="noConversion"/>
  </si>
  <si>
    <t>202</t>
    <phoneticPr fontId="1" type="noConversion"/>
  </si>
  <si>
    <t>20</t>
    <phoneticPr fontId="1" type="noConversion"/>
  </si>
  <si>
    <t>南勢線(9H25)</t>
    <phoneticPr fontId="1" type="noConversion"/>
  </si>
  <si>
    <t>草港DS_9H</t>
    <phoneticPr fontId="1" type="noConversion"/>
  </si>
  <si>
    <t>#2BDTR</t>
    <phoneticPr fontId="1" type="noConversion"/>
  </si>
  <si>
    <t>606</t>
    <phoneticPr fontId="1" type="noConversion"/>
  </si>
  <si>
    <t>19:00:00</t>
    <phoneticPr fontId="1" type="noConversion"/>
  </si>
  <si>
    <t>651</t>
    <phoneticPr fontId="1" type="noConversion"/>
  </si>
  <si>
    <t>645</t>
    <phoneticPr fontId="1" type="noConversion"/>
  </si>
  <si>
    <t xml:space="preserve"> </t>
    <phoneticPr fontId="1" type="noConversion"/>
  </si>
  <si>
    <t>176</t>
    <phoneticPr fontId="1" type="noConversion"/>
  </si>
  <si>
    <t>185</t>
    <phoneticPr fontId="1" type="noConversion"/>
  </si>
  <si>
    <t>18:00:00</t>
    <phoneticPr fontId="1" type="noConversion"/>
  </si>
  <si>
    <t>37</t>
    <phoneticPr fontId="1" type="noConversion"/>
  </si>
  <si>
    <t>06:00:00</t>
    <phoneticPr fontId="1" type="noConversion"/>
  </si>
  <si>
    <t>06:00:00</t>
    <phoneticPr fontId="1" type="noConversion"/>
  </si>
  <si>
    <t>草港線(9H27)</t>
    <phoneticPr fontId="1" type="noConversion"/>
  </si>
  <si>
    <t>95</t>
    <phoneticPr fontId="1" type="noConversion"/>
  </si>
  <si>
    <t>98</t>
    <phoneticPr fontId="1" type="noConversion"/>
  </si>
  <si>
    <t>08:00:00</t>
    <phoneticPr fontId="1" type="noConversion"/>
  </si>
  <si>
    <t>28</t>
    <phoneticPr fontId="1" type="noConversion"/>
  </si>
  <si>
    <t>184</t>
    <phoneticPr fontId="1" type="noConversion"/>
  </si>
  <si>
    <t>203</t>
    <phoneticPr fontId="1" type="noConversion"/>
  </si>
  <si>
    <t>14:00:00</t>
    <phoneticPr fontId="1" type="noConversion"/>
  </si>
  <si>
    <t>218</t>
    <phoneticPr fontId="1" type="noConversion"/>
  </si>
  <si>
    <t>20:00:00</t>
    <phoneticPr fontId="1" type="noConversion"/>
  </si>
  <si>
    <t>草東線(9H29)</t>
    <phoneticPr fontId="1" type="noConversion"/>
  </si>
  <si>
    <t>224</t>
    <phoneticPr fontId="1" type="noConversion"/>
  </si>
  <si>
    <t>241</t>
    <phoneticPr fontId="1" type="noConversion"/>
  </si>
  <si>
    <t>214</t>
    <phoneticPr fontId="1" type="noConversion"/>
  </si>
  <si>
    <t>13:00:00</t>
    <phoneticPr fontId="1" type="noConversion"/>
  </si>
  <si>
    <t>#3ADTR</t>
    <phoneticPr fontId="1" type="noConversion"/>
  </si>
  <si>
    <t>763</t>
    <phoneticPr fontId="1" type="noConversion"/>
  </si>
  <si>
    <t>19:00:00</t>
    <phoneticPr fontId="1" type="noConversion"/>
  </si>
  <si>
    <t>660</t>
    <phoneticPr fontId="1" type="noConversion"/>
  </si>
  <si>
    <t xml:space="preserve"> </t>
    <phoneticPr fontId="1" type="noConversion"/>
  </si>
  <si>
    <t>草港DS_9H</t>
    <phoneticPr fontId="1" type="noConversion"/>
  </si>
  <si>
    <t>9H30(9H30)</t>
    <phoneticPr fontId="1" type="noConversion"/>
  </si>
  <si>
    <t>0</t>
    <phoneticPr fontId="1" type="noConversion"/>
  </si>
  <si>
    <t>西崙線(9H31)</t>
    <phoneticPr fontId="1" type="noConversion"/>
  </si>
  <si>
    <t>202</t>
    <phoneticPr fontId="1" type="noConversion"/>
  </si>
  <si>
    <t>209</t>
    <phoneticPr fontId="1" type="noConversion"/>
  </si>
  <si>
    <t>212</t>
    <phoneticPr fontId="1" type="noConversion"/>
  </si>
  <si>
    <t>29</t>
    <phoneticPr fontId="1" type="noConversion"/>
  </si>
  <si>
    <t>06:00:00</t>
    <phoneticPr fontId="1" type="noConversion"/>
  </si>
  <si>
    <t>草一線(9H32)</t>
    <phoneticPr fontId="1" type="noConversion"/>
  </si>
  <si>
    <t>227</t>
    <phoneticPr fontId="1" type="noConversion"/>
  </si>
  <si>
    <t>10:00:00</t>
    <phoneticPr fontId="1" type="noConversion"/>
  </si>
  <si>
    <t>10:00:00</t>
    <phoneticPr fontId="1" type="noConversion"/>
  </si>
  <si>
    <t>219</t>
    <phoneticPr fontId="1" type="noConversion"/>
  </si>
  <si>
    <t>10:00:00</t>
    <phoneticPr fontId="1" type="noConversion"/>
  </si>
  <si>
    <t>102</t>
    <phoneticPr fontId="1" type="noConversion"/>
  </si>
  <si>
    <t>104</t>
    <phoneticPr fontId="1" type="noConversion"/>
  </si>
  <si>
    <t>97</t>
    <phoneticPr fontId="1" type="noConversion"/>
  </si>
  <si>
    <t>83</t>
    <phoneticPr fontId="1" type="noConversion"/>
  </si>
  <si>
    <t>18:00:00</t>
    <phoneticPr fontId="1" type="noConversion"/>
  </si>
  <si>
    <t>71</t>
    <phoneticPr fontId="1" type="noConversion"/>
  </si>
  <si>
    <t>71</t>
    <phoneticPr fontId="1" type="noConversion"/>
  </si>
  <si>
    <t>86</t>
    <phoneticPr fontId="1" type="noConversion"/>
  </si>
  <si>
    <t>97</t>
    <phoneticPr fontId="1" type="noConversion"/>
  </si>
  <si>
    <t>75</t>
    <phoneticPr fontId="1" type="noConversion"/>
  </si>
  <si>
    <t>18:00:00</t>
    <phoneticPr fontId="1" type="noConversion"/>
  </si>
  <si>
    <t>97</t>
    <phoneticPr fontId="1" type="noConversion"/>
  </si>
  <si>
    <t>草中線(9H35)</t>
    <phoneticPr fontId="1" type="noConversion"/>
  </si>
  <si>
    <t>232</t>
    <phoneticPr fontId="1" type="noConversion"/>
  </si>
  <si>
    <t>10:00:00</t>
    <phoneticPr fontId="1" type="noConversion"/>
  </si>
  <si>
    <t>186</t>
    <phoneticPr fontId="1" type="noConversion"/>
  </si>
  <si>
    <t>202</t>
    <phoneticPr fontId="1" type="noConversion"/>
  </si>
  <si>
    <t>232</t>
    <phoneticPr fontId="1" type="noConversion"/>
  </si>
  <si>
    <t>72</t>
    <phoneticPr fontId="1" type="noConversion"/>
  </si>
  <si>
    <t>455</t>
    <phoneticPr fontId="1" type="noConversion"/>
  </si>
  <si>
    <t>496</t>
    <phoneticPr fontId="1" type="noConversion"/>
  </si>
  <si>
    <t>15:00:00</t>
    <phoneticPr fontId="1" type="noConversion"/>
  </si>
  <si>
    <t>496</t>
    <phoneticPr fontId="1" type="noConversion"/>
  </si>
  <si>
    <t>草子線(9H36)</t>
    <phoneticPr fontId="1" type="noConversion"/>
  </si>
  <si>
    <t>21:00:00</t>
    <phoneticPr fontId="1" type="noConversion"/>
  </si>
  <si>
    <t>145</t>
    <phoneticPr fontId="1" type="noConversion"/>
  </si>
  <si>
    <t>79</t>
    <phoneticPr fontId="1" type="noConversion"/>
  </si>
  <si>
    <t>草港DS_9H</t>
    <phoneticPr fontId="1" type="noConversion"/>
  </si>
  <si>
    <t>東正線(9H37)</t>
    <phoneticPr fontId="1" type="noConversion"/>
  </si>
  <si>
    <t>130</t>
    <phoneticPr fontId="1" type="noConversion"/>
  </si>
  <si>
    <t>157</t>
    <phoneticPr fontId="1" type="noConversion"/>
  </si>
  <si>
    <t>0</t>
    <phoneticPr fontId="1" type="noConversion"/>
  </si>
  <si>
    <t>草港DS_9H</t>
    <phoneticPr fontId="1" type="noConversion"/>
  </si>
  <si>
    <t>草嶺線(9H38)</t>
    <phoneticPr fontId="1" type="noConversion"/>
  </si>
  <si>
    <t>116</t>
    <phoneticPr fontId="1" type="noConversion"/>
  </si>
  <si>
    <t>131</t>
    <phoneticPr fontId="1" type="noConversion"/>
  </si>
  <si>
    <t>20:00:00</t>
    <phoneticPr fontId="1" type="noConversion"/>
  </si>
  <si>
    <t>19:00:00</t>
    <phoneticPr fontId="1" type="noConversion"/>
  </si>
  <si>
    <t>20:00:00</t>
    <phoneticPr fontId="1" type="noConversion"/>
  </si>
  <si>
    <t>草港DS_9H</t>
    <phoneticPr fontId="1" type="noConversion"/>
  </si>
  <si>
    <t>草伸線(9H39)</t>
    <phoneticPr fontId="1" type="noConversion"/>
  </si>
  <si>
    <t>15:00:00</t>
    <phoneticPr fontId="1" type="noConversion"/>
  </si>
  <si>
    <t>164</t>
    <phoneticPr fontId="1" type="noConversion"/>
  </si>
  <si>
    <t>161</t>
    <phoneticPr fontId="1" type="noConversion"/>
  </si>
  <si>
    <t>176</t>
    <phoneticPr fontId="1" type="noConversion"/>
  </si>
  <si>
    <t>34</t>
    <phoneticPr fontId="1" type="noConversion"/>
  </si>
  <si>
    <t>福興DS_9I</t>
    <phoneticPr fontId="1" type="noConversion"/>
  </si>
  <si>
    <t>#1ADTR</t>
    <phoneticPr fontId="1" type="noConversion"/>
  </si>
  <si>
    <t>985</t>
    <phoneticPr fontId="1" type="noConversion"/>
  </si>
  <si>
    <t>14:00:00</t>
    <phoneticPr fontId="1" type="noConversion"/>
  </si>
  <si>
    <t>907</t>
    <phoneticPr fontId="1" type="noConversion"/>
  </si>
  <si>
    <t xml:space="preserve"> </t>
    <phoneticPr fontId="1" type="noConversion"/>
  </si>
  <si>
    <t>福興DS_9I</t>
    <phoneticPr fontId="1" type="noConversion"/>
  </si>
  <si>
    <t>150</t>
    <phoneticPr fontId="1" type="noConversion"/>
  </si>
  <si>
    <t>19:00:00</t>
    <phoneticPr fontId="1" type="noConversion"/>
  </si>
  <si>
    <t>182</t>
    <phoneticPr fontId="1" type="noConversion"/>
  </si>
  <si>
    <t>178</t>
    <phoneticPr fontId="1" type="noConversion"/>
  </si>
  <si>
    <t>50</t>
    <phoneticPr fontId="1" type="noConversion"/>
  </si>
  <si>
    <t>9I21(9I21)</t>
    <phoneticPr fontId="1" type="noConversion"/>
  </si>
  <si>
    <t>313</t>
    <phoneticPr fontId="1" type="noConversion"/>
  </si>
  <si>
    <t>13:00:00</t>
    <phoneticPr fontId="1" type="noConversion"/>
  </si>
  <si>
    <t>343</t>
    <phoneticPr fontId="1" type="noConversion"/>
  </si>
  <si>
    <t>67</t>
    <phoneticPr fontId="1" type="noConversion"/>
  </si>
  <si>
    <t>06:00:00</t>
    <phoneticPr fontId="1" type="noConversion"/>
  </si>
  <si>
    <t>福興DS_9I</t>
    <phoneticPr fontId="1" type="noConversion"/>
  </si>
  <si>
    <t>9I22(9I22)</t>
    <phoneticPr fontId="1" type="noConversion"/>
  </si>
  <si>
    <t>244</t>
    <phoneticPr fontId="1" type="noConversion"/>
  </si>
  <si>
    <t>15:00:00</t>
    <phoneticPr fontId="1" type="noConversion"/>
  </si>
  <si>
    <t>229</t>
    <phoneticPr fontId="1" type="noConversion"/>
  </si>
  <si>
    <t>197</t>
    <phoneticPr fontId="1" type="noConversion"/>
  </si>
  <si>
    <t>244</t>
    <phoneticPr fontId="1" type="noConversion"/>
  </si>
  <si>
    <t>73</t>
    <phoneticPr fontId="1" type="noConversion"/>
  </si>
  <si>
    <t>9I23(9I23)</t>
    <phoneticPr fontId="1" type="noConversion"/>
  </si>
  <si>
    <t>29</t>
    <phoneticPr fontId="1" type="noConversion"/>
  </si>
  <si>
    <t>53</t>
    <phoneticPr fontId="1" type="noConversion"/>
  </si>
  <si>
    <t>16:00:00</t>
    <phoneticPr fontId="1" type="noConversion"/>
  </si>
  <si>
    <t>11:00:00</t>
    <phoneticPr fontId="1" type="noConversion"/>
  </si>
  <si>
    <t>14:00:00</t>
    <phoneticPr fontId="1" type="noConversion"/>
  </si>
  <si>
    <t>123</t>
    <phoneticPr fontId="1" type="noConversion"/>
  </si>
  <si>
    <t>115</t>
    <phoneticPr fontId="1" type="noConversion"/>
  </si>
  <si>
    <t>24</t>
    <phoneticPr fontId="1" type="noConversion"/>
  </si>
  <si>
    <t>福興DS_9I</t>
    <phoneticPr fontId="1" type="noConversion"/>
  </si>
  <si>
    <t>9I25(9I25)</t>
    <phoneticPr fontId="1" type="noConversion"/>
  </si>
  <si>
    <t>187</t>
    <phoneticPr fontId="1" type="noConversion"/>
  </si>
  <si>
    <t>18:00:00</t>
    <phoneticPr fontId="1" type="noConversion"/>
  </si>
  <si>
    <t>141</t>
    <phoneticPr fontId="1" type="noConversion"/>
  </si>
  <si>
    <t>167</t>
    <phoneticPr fontId="1" type="noConversion"/>
  </si>
  <si>
    <t>18:00:00</t>
    <phoneticPr fontId="1" type="noConversion"/>
  </si>
  <si>
    <t>187</t>
    <phoneticPr fontId="1" type="noConversion"/>
  </si>
  <si>
    <t>80</t>
    <phoneticPr fontId="1" type="noConversion"/>
  </si>
  <si>
    <t>#1BDTR</t>
    <phoneticPr fontId="1" type="noConversion"/>
  </si>
  <si>
    <t>622</t>
    <phoneticPr fontId="1" type="noConversion"/>
  </si>
  <si>
    <t>13:00:00</t>
    <phoneticPr fontId="1" type="noConversion"/>
  </si>
  <si>
    <t>596</t>
    <phoneticPr fontId="1" type="noConversion"/>
  </si>
  <si>
    <t>13:00:00</t>
    <phoneticPr fontId="1" type="noConversion"/>
  </si>
  <si>
    <t>670</t>
    <phoneticPr fontId="1" type="noConversion"/>
  </si>
  <si>
    <t xml:space="preserve"> </t>
    <phoneticPr fontId="1" type="noConversion"/>
  </si>
  <si>
    <t>105</t>
    <phoneticPr fontId="1" type="noConversion"/>
  </si>
  <si>
    <t>107</t>
    <phoneticPr fontId="1" type="noConversion"/>
  </si>
  <si>
    <t>14:00:00</t>
    <phoneticPr fontId="1" type="noConversion"/>
  </si>
  <si>
    <t>122</t>
    <phoneticPr fontId="1" type="noConversion"/>
  </si>
  <si>
    <t>122</t>
    <phoneticPr fontId="1" type="noConversion"/>
  </si>
  <si>
    <t>22:00:00</t>
    <phoneticPr fontId="1" type="noConversion"/>
  </si>
  <si>
    <t>9I38(9I38)</t>
    <phoneticPr fontId="1" type="noConversion"/>
  </si>
  <si>
    <t>147</t>
    <phoneticPr fontId="1" type="noConversion"/>
  </si>
  <si>
    <t>103</t>
    <phoneticPr fontId="1" type="noConversion"/>
  </si>
  <si>
    <t>146</t>
    <phoneticPr fontId="1" type="noConversion"/>
  </si>
  <si>
    <t>147</t>
    <phoneticPr fontId="1" type="noConversion"/>
  </si>
  <si>
    <t>72</t>
    <phoneticPr fontId="1" type="noConversion"/>
  </si>
  <si>
    <t>福興DS_9I</t>
    <phoneticPr fontId="1" type="noConversion"/>
  </si>
  <si>
    <t>9I37(9I37)</t>
    <phoneticPr fontId="1" type="noConversion"/>
  </si>
  <si>
    <t>231</t>
    <phoneticPr fontId="1" type="noConversion"/>
  </si>
  <si>
    <t>234</t>
    <phoneticPr fontId="1" type="noConversion"/>
  </si>
  <si>
    <t>253</t>
    <phoneticPr fontId="1" type="noConversion"/>
  </si>
  <si>
    <t>14:00:00</t>
    <phoneticPr fontId="1" type="noConversion"/>
  </si>
  <si>
    <t>64</t>
    <phoneticPr fontId="1" type="noConversion"/>
  </si>
  <si>
    <t>9I36(9I36)</t>
    <phoneticPr fontId="1" type="noConversion"/>
  </si>
  <si>
    <t>184</t>
    <phoneticPr fontId="1" type="noConversion"/>
  </si>
  <si>
    <t>197</t>
    <phoneticPr fontId="1" type="noConversion"/>
  </si>
  <si>
    <t>198</t>
    <phoneticPr fontId="1" type="noConversion"/>
  </si>
  <si>
    <t>18:00:00</t>
    <phoneticPr fontId="1" type="noConversion"/>
  </si>
  <si>
    <t>198</t>
    <phoneticPr fontId="1" type="noConversion"/>
  </si>
  <si>
    <t>45</t>
    <phoneticPr fontId="1" type="noConversion"/>
  </si>
  <si>
    <t>福興DS_9I</t>
    <phoneticPr fontId="1" type="noConversion"/>
  </si>
  <si>
    <t>#2ADTR</t>
    <phoneticPr fontId="1" type="noConversion"/>
  </si>
  <si>
    <t>651</t>
    <phoneticPr fontId="1" type="noConversion"/>
  </si>
  <si>
    <t>13:00:00</t>
    <phoneticPr fontId="1" type="noConversion"/>
  </si>
  <si>
    <t>640</t>
    <phoneticPr fontId="1" type="noConversion"/>
  </si>
  <si>
    <t>14:00:00</t>
    <phoneticPr fontId="1" type="noConversion"/>
  </si>
  <si>
    <t>633</t>
    <phoneticPr fontId="1" type="noConversion"/>
  </si>
  <si>
    <t>15:00:00</t>
    <phoneticPr fontId="1" type="noConversion"/>
  </si>
  <si>
    <t>9I26(9I26)</t>
    <phoneticPr fontId="1" type="noConversion"/>
  </si>
  <si>
    <t>54</t>
    <phoneticPr fontId="1" type="noConversion"/>
  </si>
  <si>
    <t>51</t>
    <phoneticPr fontId="1" type="noConversion"/>
  </si>
  <si>
    <t>55</t>
    <phoneticPr fontId="1" type="noConversion"/>
  </si>
  <si>
    <t>10:00:00</t>
    <phoneticPr fontId="1" type="noConversion"/>
  </si>
  <si>
    <t>55</t>
    <phoneticPr fontId="1" type="noConversion"/>
  </si>
  <si>
    <t>15</t>
    <phoneticPr fontId="1" type="noConversion"/>
  </si>
  <si>
    <t>07:00:00</t>
    <phoneticPr fontId="1" type="noConversion"/>
  </si>
  <si>
    <t>9I27(9I27)</t>
    <phoneticPr fontId="1" type="noConversion"/>
  </si>
  <si>
    <t>100</t>
    <phoneticPr fontId="1" type="noConversion"/>
  </si>
  <si>
    <t>119</t>
    <phoneticPr fontId="1" type="noConversion"/>
  </si>
  <si>
    <t>49</t>
    <phoneticPr fontId="1" type="noConversion"/>
  </si>
  <si>
    <t>14:00:00</t>
    <phoneticPr fontId="1" type="noConversion"/>
  </si>
  <si>
    <t>9I28(9I28)</t>
    <phoneticPr fontId="1" type="noConversion"/>
  </si>
  <si>
    <t>273</t>
    <phoneticPr fontId="1" type="noConversion"/>
  </si>
  <si>
    <t>268</t>
    <phoneticPr fontId="1" type="noConversion"/>
  </si>
  <si>
    <t>283</t>
    <phoneticPr fontId="1" type="noConversion"/>
  </si>
  <si>
    <t>22:00:00</t>
    <phoneticPr fontId="1" type="noConversion"/>
  </si>
  <si>
    <t>福興DS_9I</t>
    <phoneticPr fontId="1" type="noConversion"/>
  </si>
  <si>
    <t>9I29(9I29)</t>
    <phoneticPr fontId="1" type="noConversion"/>
  </si>
  <si>
    <t>270</t>
    <phoneticPr fontId="1" type="noConversion"/>
  </si>
  <si>
    <t>239</t>
    <phoneticPr fontId="1" type="noConversion"/>
  </si>
  <si>
    <t>238</t>
    <phoneticPr fontId="1" type="noConversion"/>
  </si>
  <si>
    <t>270</t>
    <phoneticPr fontId="1" type="noConversion"/>
  </si>
  <si>
    <t>50</t>
    <phoneticPr fontId="1" type="noConversion"/>
  </si>
  <si>
    <t>20:00:00</t>
    <phoneticPr fontId="1" type="noConversion"/>
  </si>
  <si>
    <t>福興DS_9I</t>
    <phoneticPr fontId="1" type="noConversion"/>
  </si>
  <si>
    <t>#2BDTR</t>
    <phoneticPr fontId="1" type="noConversion"/>
  </si>
  <si>
    <t>834</t>
    <phoneticPr fontId="1" type="noConversion"/>
  </si>
  <si>
    <t>840</t>
    <phoneticPr fontId="1" type="noConversion"/>
  </si>
  <si>
    <t>863</t>
    <phoneticPr fontId="1" type="noConversion"/>
  </si>
  <si>
    <t>863</t>
    <phoneticPr fontId="1" type="noConversion"/>
  </si>
  <si>
    <t xml:space="preserve"> </t>
    <phoneticPr fontId="1" type="noConversion"/>
  </si>
  <si>
    <t>9I35(9I35)</t>
    <phoneticPr fontId="1" type="noConversion"/>
  </si>
  <si>
    <t>258</t>
    <phoneticPr fontId="1" type="noConversion"/>
  </si>
  <si>
    <t>242</t>
    <phoneticPr fontId="1" type="noConversion"/>
  </si>
  <si>
    <t>49</t>
    <phoneticPr fontId="1" type="noConversion"/>
  </si>
  <si>
    <t>福興DS_9I</t>
    <phoneticPr fontId="1" type="noConversion"/>
  </si>
  <si>
    <t>9I34(9I34)</t>
    <phoneticPr fontId="1" type="noConversion"/>
  </si>
  <si>
    <t>134</t>
    <phoneticPr fontId="1" type="noConversion"/>
  </si>
  <si>
    <t>132</t>
    <phoneticPr fontId="1" type="noConversion"/>
  </si>
  <si>
    <t>14:00:00</t>
    <phoneticPr fontId="1" type="noConversion"/>
  </si>
  <si>
    <t>148</t>
    <phoneticPr fontId="1" type="noConversion"/>
  </si>
  <si>
    <t>212</t>
    <phoneticPr fontId="1" type="noConversion"/>
  </si>
  <si>
    <t>214</t>
    <phoneticPr fontId="1" type="noConversion"/>
  </si>
  <si>
    <t>215</t>
    <phoneticPr fontId="1" type="noConversion"/>
  </si>
  <si>
    <t>215</t>
    <phoneticPr fontId="1" type="noConversion"/>
  </si>
  <si>
    <t>22:00:00</t>
    <phoneticPr fontId="1" type="noConversion"/>
  </si>
  <si>
    <t>176</t>
    <phoneticPr fontId="1" type="noConversion"/>
  </si>
  <si>
    <t>19:00:00</t>
    <phoneticPr fontId="1" type="noConversion"/>
  </si>
  <si>
    <t>130</t>
    <phoneticPr fontId="1" type="noConversion"/>
  </si>
  <si>
    <t>9I31(9I31)</t>
    <phoneticPr fontId="1" type="noConversion"/>
  </si>
  <si>
    <t>80</t>
    <phoneticPr fontId="1" type="noConversion"/>
  </si>
  <si>
    <t>75</t>
    <phoneticPr fontId="1" type="noConversion"/>
  </si>
  <si>
    <t>88</t>
    <phoneticPr fontId="1" type="noConversion"/>
  </si>
  <si>
    <t>22</t>
    <phoneticPr fontId="1" type="noConversion"/>
  </si>
  <si>
    <t>17:00:00</t>
    <phoneticPr fontId="1" type="noConversion"/>
  </si>
  <si>
    <t>福興DS_9I</t>
    <phoneticPr fontId="1" type="noConversion"/>
  </si>
  <si>
    <t>121</t>
    <phoneticPr fontId="1" type="noConversion"/>
  </si>
  <si>
    <t>13:00:00</t>
    <phoneticPr fontId="1" type="noConversion"/>
  </si>
  <si>
    <t>141</t>
    <phoneticPr fontId="1" type="noConversion"/>
  </si>
  <si>
    <t>15:00:00</t>
    <phoneticPr fontId="1" type="noConversion"/>
  </si>
  <si>
    <t>53</t>
    <phoneticPr fontId="1" type="noConversion"/>
  </si>
  <si>
    <t>12:00:00</t>
    <phoneticPr fontId="1" type="noConversion"/>
  </si>
  <si>
    <t>504</t>
    <phoneticPr fontId="1" type="noConversion"/>
  </si>
  <si>
    <t>505</t>
    <phoneticPr fontId="1" type="noConversion"/>
  </si>
  <si>
    <t>515</t>
    <phoneticPr fontId="1" type="noConversion"/>
  </si>
  <si>
    <t>515</t>
    <phoneticPr fontId="1" type="noConversion"/>
  </si>
  <si>
    <t>埔鹽SS_9J</t>
    <phoneticPr fontId="1" type="noConversion"/>
  </si>
  <si>
    <t>117</t>
    <phoneticPr fontId="1" type="noConversion"/>
  </si>
  <si>
    <t>119</t>
    <phoneticPr fontId="1" type="noConversion"/>
  </si>
  <si>
    <t>63</t>
    <phoneticPr fontId="1" type="noConversion"/>
  </si>
  <si>
    <t>9J12(9J12)</t>
    <phoneticPr fontId="1" type="noConversion"/>
  </si>
  <si>
    <t>194</t>
    <phoneticPr fontId="1" type="noConversion"/>
  </si>
  <si>
    <t>197</t>
    <phoneticPr fontId="1" type="noConversion"/>
  </si>
  <si>
    <t>9J13(9J13)</t>
    <phoneticPr fontId="1" type="noConversion"/>
  </si>
  <si>
    <t>81</t>
    <phoneticPr fontId="1" type="noConversion"/>
  </si>
  <si>
    <t>116</t>
    <phoneticPr fontId="1" type="noConversion"/>
  </si>
  <si>
    <t>18:00:00</t>
    <phoneticPr fontId="1" type="noConversion"/>
  </si>
  <si>
    <t>9J14(9J14)</t>
    <phoneticPr fontId="1" type="noConversion"/>
  </si>
  <si>
    <t>0</t>
    <phoneticPr fontId="1" type="noConversion"/>
  </si>
  <si>
    <t>9J15(9J15)</t>
    <phoneticPr fontId="1" type="noConversion"/>
  </si>
  <si>
    <t>162</t>
    <phoneticPr fontId="1" type="noConversion"/>
  </si>
  <si>
    <t>149</t>
    <phoneticPr fontId="1" type="noConversion"/>
  </si>
  <si>
    <t>150</t>
    <phoneticPr fontId="1" type="noConversion"/>
  </si>
  <si>
    <t>56</t>
    <phoneticPr fontId="1" type="noConversion"/>
  </si>
  <si>
    <t>#2MTR</t>
    <phoneticPr fontId="1" type="noConversion"/>
  </si>
  <si>
    <t>583</t>
    <phoneticPr fontId="1" type="noConversion"/>
  </si>
  <si>
    <t>611</t>
    <phoneticPr fontId="1" type="noConversion"/>
  </si>
  <si>
    <t>埔鹽SS_9J</t>
    <phoneticPr fontId="1" type="noConversion"/>
  </si>
  <si>
    <t>9J21(9J21)</t>
    <phoneticPr fontId="1" type="noConversion"/>
  </si>
  <si>
    <t>175</t>
    <phoneticPr fontId="1" type="noConversion"/>
  </si>
  <si>
    <t>203</t>
    <phoneticPr fontId="1" type="noConversion"/>
  </si>
  <si>
    <t>18:00:00</t>
    <phoneticPr fontId="1" type="noConversion"/>
  </si>
  <si>
    <t>76</t>
    <phoneticPr fontId="1" type="noConversion"/>
  </si>
  <si>
    <t>9J22(9J22)</t>
    <phoneticPr fontId="1" type="noConversion"/>
  </si>
  <si>
    <t>246</t>
    <phoneticPr fontId="1" type="noConversion"/>
  </si>
  <si>
    <t>13:00:00</t>
    <phoneticPr fontId="1" type="noConversion"/>
  </si>
  <si>
    <t>254</t>
    <phoneticPr fontId="1" type="noConversion"/>
  </si>
  <si>
    <t>216</t>
    <phoneticPr fontId="1" type="noConversion"/>
  </si>
  <si>
    <t>74</t>
    <phoneticPr fontId="1" type="noConversion"/>
  </si>
  <si>
    <t>09:00:00</t>
    <phoneticPr fontId="1" type="noConversion"/>
  </si>
  <si>
    <t>9J23(9J23)</t>
    <phoneticPr fontId="1" type="noConversion"/>
  </si>
  <si>
    <t>127</t>
    <phoneticPr fontId="1" type="noConversion"/>
  </si>
  <si>
    <t>100</t>
    <phoneticPr fontId="1" type="noConversion"/>
  </si>
  <si>
    <t>42</t>
    <phoneticPr fontId="1" type="noConversion"/>
  </si>
  <si>
    <t>21:00:00</t>
    <phoneticPr fontId="1" type="noConversion"/>
  </si>
  <si>
    <t>9J24(9J24)</t>
    <phoneticPr fontId="1" type="noConversion"/>
  </si>
  <si>
    <t>146</t>
    <phoneticPr fontId="1" type="noConversion"/>
  </si>
  <si>
    <t>139</t>
    <phoneticPr fontId="1" type="noConversion"/>
  </si>
  <si>
    <t>33</t>
    <phoneticPr fontId="1" type="noConversion"/>
  </si>
  <si>
    <t>10:00:00</t>
    <phoneticPr fontId="1" type="noConversion"/>
  </si>
  <si>
    <t>9J25(9J25)</t>
    <phoneticPr fontId="1" type="noConversion"/>
  </si>
  <si>
    <t>25</t>
    <phoneticPr fontId="1" type="noConversion"/>
  </si>
  <si>
    <t>20</t>
    <phoneticPr fontId="1" type="noConversion"/>
  </si>
  <si>
    <t>08:00:00</t>
    <phoneticPr fontId="1" type="noConversion"/>
  </si>
  <si>
    <t>27</t>
    <phoneticPr fontId="1" type="noConversion"/>
  </si>
  <si>
    <t>11</t>
    <phoneticPr fontId="1" type="noConversion"/>
  </si>
  <si>
    <t>#3MTR</t>
    <phoneticPr fontId="1" type="noConversion"/>
  </si>
  <si>
    <t>727</t>
    <phoneticPr fontId="1" type="noConversion"/>
  </si>
  <si>
    <t>719</t>
    <phoneticPr fontId="1" type="noConversion"/>
  </si>
  <si>
    <t>700</t>
    <phoneticPr fontId="1" type="noConversion"/>
  </si>
  <si>
    <t xml:space="preserve"> </t>
    <phoneticPr fontId="1" type="noConversion"/>
  </si>
  <si>
    <t>9J31(9J31)</t>
    <phoneticPr fontId="1" type="noConversion"/>
  </si>
  <si>
    <t>92</t>
    <phoneticPr fontId="1" type="noConversion"/>
  </si>
  <si>
    <t>83</t>
    <phoneticPr fontId="1" type="noConversion"/>
  </si>
  <si>
    <t>39</t>
    <phoneticPr fontId="1" type="noConversion"/>
  </si>
  <si>
    <t>埔鹽SS_9J</t>
    <phoneticPr fontId="1" type="noConversion"/>
  </si>
  <si>
    <t>9J32(9J32)</t>
    <phoneticPr fontId="1" type="noConversion"/>
  </si>
  <si>
    <t>13:00:00</t>
    <phoneticPr fontId="1" type="noConversion"/>
  </si>
  <si>
    <t>40</t>
    <phoneticPr fontId="1" type="noConversion"/>
  </si>
  <si>
    <t>37</t>
    <phoneticPr fontId="1" type="noConversion"/>
  </si>
  <si>
    <t>9J33(9J33)</t>
    <phoneticPr fontId="1" type="noConversion"/>
  </si>
  <si>
    <t>204</t>
    <phoneticPr fontId="1" type="noConversion"/>
  </si>
  <si>
    <t>194</t>
    <phoneticPr fontId="1" type="noConversion"/>
  </si>
  <si>
    <t>206</t>
    <phoneticPr fontId="1" type="noConversion"/>
  </si>
  <si>
    <t>35</t>
    <phoneticPr fontId="1" type="noConversion"/>
  </si>
  <si>
    <t>9J34(9J34)</t>
    <phoneticPr fontId="1" type="noConversion"/>
  </si>
  <si>
    <t>242</t>
    <phoneticPr fontId="1" type="noConversion"/>
  </si>
  <si>
    <t>230</t>
    <phoneticPr fontId="1" type="noConversion"/>
  </si>
  <si>
    <t>236</t>
    <phoneticPr fontId="1" type="noConversion"/>
  </si>
  <si>
    <t>46</t>
    <phoneticPr fontId="1" type="noConversion"/>
  </si>
  <si>
    <t>09:00:00</t>
    <phoneticPr fontId="1" type="noConversion"/>
  </si>
  <si>
    <t>9J35(9J35)</t>
    <phoneticPr fontId="1" type="noConversion"/>
  </si>
  <si>
    <t>268</t>
    <phoneticPr fontId="1" type="noConversion"/>
  </si>
  <si>
    <t>286</t>
    <phoneticPr fontId="1" type="noConversion"/>
  </si>
  <si>
    <t>246</t>
    <phoneticPr fontId="1" type="noConversion"/>
  </si>
  <si>
    <t>65</t>
    <phoneticPr fontId="1" type="noConversion"/>
  </si>
  <si>
    <t>#1ADTR</t>
    <phoneticPr fontId="1" type="noConversion"/>
  </si>
  <si>
    <t>834</t>
    <phoneticPr fontId="1" type="noConversion"/>
  </si>
  <si>
    <t>828</t>
    <phoneticPr fontId="1" type="noConversion"/>
  </si>
  <si>
    <t>894</t>
    <phoneticPr fontId="1" type="noConversion"/>
  </si>
  <si>
    <t>9K21(9K21)</t>
    <phoneticPr fontId="1" type="noConversion"/>
  </si>
  <si>
    <t>64</t>
    <phoneticPr fontId="1" type="noConversion"/>
  </si>
  <si>
    <t>50</t>
    <phoneticPr fontId="1" type="noConversion"/>
  </si>
  <si>
    <t>49</t>
    <phoneticPr fontId="1" type="noConversion"/>
  </si>
  <si>
    <t>16:00:00</t>
    <phoneticPr fontId="1" type="noConversion"/>
  </si>
  <si>
    <t>9K22(9K22)</t>
    <phoneticPr fontId="1" type="noConversion"/>
  </si>
  <si>
    <t>292</t>
    <phoneticPr fontId="1" type="noConversion"/>
  </si>
  <si>
    <t>82</t>
    <phoneticPr fontId="1" type="noConversion"/>
  </si>
  <si>
    <t>9K23(9K23)</t>
    <phoneticPr fontId="1" type="noConversion"/>
  </si>
  <si>
    <t>255</t>
    <phoneticPr fontId="1" type="noConversion"/>
  </si>
  <si>
    <t>280</t>
    <phoneticPr fontId="1" type="noConversion"/>
  </si>
  <si>
    <t>290</t>
    <phoneticPr fontId="1" type="noConversion"/>
  </si>
  <si>
    <t>78</t>
    <phoneticPr fontId="1" type="noConversion"/>
  </si>
  <si>
    <t>20:00:00</t>
    <phoneticPr fontId="1" type="noConversion"/>
  </si>
  <si>
    <t>9K24(9K24)</t>
    <phoneticPr fontId="1" type="noConversion"/>
  </si>
  <si>
    <t>47</t>
    <phoneticPr fontId="1" type="noConversion"/>
  </si>
  <si>
    <t>62</t>
    <phoneticPr fontId="1" type="noConversion"/>
  </si>
  <si>
    <t>53</t>
    <phoneticPr fontId="1" type="noConversion"/>
  </si>
  <si>
    <t>30</t>
    <phoneticPr fontId="1" type="noConversion"/>
  </si>
  <si>
    <t>9K25(9K25)</t>
    <phoneticPr fontId="1" type="noConversion"/>
  </si>
  <si>
    <t>229</t>
    <phoneticPr fontId="1" type="noConversion"/>
  </si>
  <si>
    <t>253</t>
    <phoneticPr fontId="1" type="noConversion"/>
  </si>
  <si>
    <t>75</t>
    <phoneticPr fontId="1" type="noConversion"/>
  </si>
  <si>
    <t>#1BDTR</t>
    <phoneticPr fontId="1" type="noConversion"/>
  </si>
  <si>
    <t>624</t>
    <phoneticPr fontId="1" type="noConversion"/>
  </si>
  <si>
    <t>581</t>
    <phoneticPr fontId="1" type="noConversion"/>
  </si>
  <si>
    <t>578</t>
    <phoneticPr fontId="1" type="noConversion"/>
  </si>
  <si>
    <t>大霞DS_9K</t>
    <phoneticPr fontId="1" type="noConversion"/>
  </si>
  <si>
    <t>9K26(9K26)</t>
    <phoneticPr fontId="1" type="noConversion"/>
  </si>
  <si>
    <t>45</t>
    <phoneticPr fontId="1" type="noConversion"/>
  </si>
  <si>
    <t>21</t>
    <phoneticPr fontId="1" type="noConversion"/>
  </si>
  <si>
    <t>50</t>
    <phoneticPr fontId="1" type="noConversion"/>
  </si>
  <si>
    <t>42</t>
    <phoneticPr fontId="1" type="noConversion"/>
  </si>
  <si>
    <t>9K27(9K27)</t>
    <phoneticPr fontId="1" type="noConversion"/>
  </si>
  <si>
    <t>180</t>
    <phoneticPr fontId="1" type="noConversion"/>
  </si>
  <si>
    <t>145</t>
    <phoneticPr fontId="1" type="noConversion"/>
  </si>
  <si>
    <t>153</t>
    <phoneticPr fontId="1" type="noConversion"/>
  </si>
  <si>
    <t>68</t>
    <phoneticPr fontId="1" type="noConversion"/>
  </si>
  <si>
    <t>9K28(9K28)</t>
    <phoneticPr fontId="1" type="noConversion"/>
  </si>
  <si>
    <t>146</t>
    <phoneticPr fontId="1" type="noConversion"/>
  </si>
  <si>
    <t>158</t>
    <phoneticPr fontId="1" type="noConversion"/>
  </si>
  <si>
    <t>19:00:00</t>
    <phoneticPr fontId="1" type="noConversion"/>
  </si>
  <si>
    <t>9K29(9K29)</t>
    <phoneticPr fontId="1" type="noConversion"/>
  </si>
  <si>
    <t>196</t>
    <phoneticPr fontId="1" type="noConversion"/>
  </si>
  <si>
    <t>74</t>
    <phoneticPr fontId="1" type="noConversion"/>
  </si>
  <si>
    <t>9K30(9K30)</t>
    <phoneticPr fontId="1" type="noConversion"/>
  </si>
  <si>
    <t>126</t>
    <phoneticPr fontId="1" type="noConversion"/>
  </si>
  <si>
    <t>155</t>
    <phoneticPr fontId="1" type="noConversion"/>
  </si>
  <si>
    <t>122</t>
    <phoneticPr fontId="1" type="noConversion"/>
  </si>
  <si>
    <t>61</t>
    <phoneticPr fontId="1" type="noConversion"/>
  </si>
  <si>
    <t>998</t>
    <phoneticPr fontId="1" type="noConversion"/>
  </si>
  <si>
    <t>1034</t>
    <phoneticPr fontId="1" type="noConversion"/>
  </si>
  <si>
    <t>1043</t>
    <phoneticPr fontId="1" type="noConversion"/>
  </si>
  <si>
    <t>9K31(9K31)</t>
    <phoneticPr fontId="1" type="noConversion"/>
  </si>
  <si>
    <t>172</t>
    <phoneticPr fontId="1" type="noConversion"/>
  </si>
  <si>
    <t>9K32(9K32)</t>
    <phoneticPr fontId="1" type="noConversion"/>
  </si>
  <si>
    <t>157</t>
    <phoneticPr fontId="1" type="noConversion"/>
  </si>
  <si>
    <t>22</t>
    <phoneticPr fontId="1" type="noConversion"/>
  </si>
  <si>
    <t>9K33(9K33)</t>
    <phoneticPr fontId="1" type="noConversion"/>
  </si>
  <si>
    <t>202</t>
    <phoneticPr fontId="1" type="noConversion"/>
  </si>
  <si>
    <t>212</t>
    <phoneticPr fontId="1" type="noConversion"/>
  </si>
  <si>
    <t>55</t>
    <phoneticPr fontId="1" type="noConversion"/>
  </si>
  <si>
    <t>9K34(9K34)</t>
    <phoneticPr fontId="1" type="noConversion"/>
  </si>
  <si>
    <t>222</t>
    <phoneticPr fontId="1" type="noConversion"/>
  </si>
  <si>
    <t>237</t>
    <phoneticPr fontId="1" type="noConversion"/>
  </si>
  <si>
    <t>56</t>
    <phoneticPr fontId="1" type="noConversion"/>
  </si>
  <si>
    <t>9K35(9K35)</t>
    <phoneticPr fontId="1" type="noConversion"/>
  </si>
  <si>
    <t>272</t>
    <phoneticPr fontId="1" type="noConversion"/>
  </si>
  <si>
    <t>293</t>
    <phoneticPr fontId="1" type="noConversion"/>
  </si>
  <si>
    <t>54</t>
    <phoneticPr fontId="1" type="noConversion"/>
  </si>
  <si>
    <t>888</t>
    <phoneticPr fontId="1" type="noConversion"/>
  </si>
  <si>
    <t>861</t>
    <phoneticPr fontId="1" type="noConversion"/>
  </si>
  <si>
    <t>851</t>
    <phoneticPr fontId="1" type="noConversion"/>
  </si>
  <si>
    <t>9K36(9K36)</t>
    <phoneticPr fontId="1" type="noConversion"/>
  </si>
  <si>
    <t>48</t>
    <phoneticPr fontId="1" type="noConversion"/>
  </si>
  <si>
    <t>9K37(9K37)</t>
    <phoneticPr fontId="1" type="noConversion"/>
  </si>
  <si>
    <t>323</t>
    <phoneticPr fontId="1" type="noConversion"/>
  </si>
  <si>
    <t>261</t>
    <phoneticPr fontId="1" type="noConversion"/>
  </si>
  <si>
    <t>22:00:00</t>
    <phoneticPr fontId="1" type="noConversion"/>
  </si>
  <si>
    <t>大霞DS_9K</t>
    <phoneticPr fontId="1" type="noConversion"/>
  </si>
  <si>
    <t>9K38(9K38)</t>
    <phoneticPr fontId="1" type="noConversion"/>
  </si>
  <si>
    <t>138</t>
    <phoneticPr fontId="1" type="noConversion"/>
  </si>
  <si>
    <t>113</t>
    <phoneticPr fontId="1" type="noConversion"/>
  </si>
  <si>
    <t>9K39(9K39)</t>
    <phoneticPr fontId="1" type="noConversion"/>
  </si>
  <si>
    <t>104</t>
    <phoneticPr fontId="1" type="noConversion"/>
  </si>
  <si>
    <t>118</t>
    <phoneticPr fontId="1" type="noConversion"/>
  </si>
  <si>
    <t>135</t>
    <phoneticPr fontId="1" type="noConversion"/>
  </si>
  <si>
    <t>9K40(9K40)</t>
    <phoneticPr fontId="1" type="noConversion"/>
  </si>
  <si>
    <t>363</t>
    <phoneticPr fontId="1" type="noConversion"/>
  </si>
  <si>
    <t>331</t>
    <phoneticPr fontId="1" type="noConversion"/>
  </si>
  <si>
    <t>351</t>
    <phoneticPr fontId="1" type="noConversion"/>
  </si>
  <si>
    <t>09:00:00</t>
    <phoneticPr fontId="1" type="noConversion"/>
  </si>
  <si>
    <t>大城DS_9L</t>
    <phoneticPr fontId="1" type="noConversion"/>
  </si>
  <si>
    <t>401</t>
    <phoneticPr fontId="1" type="noConversion"/>
  </si>
  <si>
    <t>329</t>
    <phoneticPr fontId="1" type="noConversion"/>
  </si>
  <si>
    <t>344</t>
    <phoneticPr fontId="1" type="noConversion"/>
  </si>
  <si>
    <t>9L21(9L21)</t>
    <phoneticPr fontId="1" type="noConversion"/>
  </si>
  <si>
    <t>77</t>
    <phoneticPr fontId="1" type="noConversion"/>
  </si>
  <si>
    <t>89</t>
    <phoneticPr fontId="1" type="noConversion"/>
  </si>
  <si>
    <t>9L22(9L22)</t>
    <phoneticPr fontId="1" type="noConversion"/>
  </si>
  <si>
    <t>43</t>
    <phoneticPr fontId="1" type="noConversion"/>
  </si>
  <si>
    <t>41</t>
    <phoneticPr fontId="1" type="noConversion"/>
  </si>
  <si>
    <t>16</t>
    <phoneticPr fontId="1" type="noConversion"/>
  </si>
  <si>
    <t>9L23(9L23)</t>
    <phoneticPr fontId="1" type="noConversion"/>
  </si>
  <si>
    <t>101</t>
    <phoneticPr fontId="1" type="noConversion"/>
  </si>
  <si>
    <t>95</t>
    <phoneticPr fontId="1" type="noConversion"/>
  </si>
  <si>
    <t>85</t>
    <phoneticPr fontId="1" type="noConversion"/>
  </si>
  <si>
    <t>52</t>
    <phoneticPr fontId="1" type="noConversion"/>
  </si>
  <si>
    <t>9L24(9L24)</t>
    <phoneticPr fontId="1" type="noConversion"/>
  </si>
  <si>
    <t>9L25(9L25)</t>
    <phoneticPr fontId="1" type="noConversion"/>
  </si>
  <si>
    <t>91</t>
    <phoneticPr fontId="1" type="noConversion"/>
  </si>
  <si>
    <t>70</t>
    <phoneticPr fontId="1" type="noConversion"/>
  </si>
  <si>
    <t>456</t>
    <phoneticPr fontId="1" type="noConversion"/>
  </si>
  <si>
    <t>449</t>
    <phoneticPr fontId="1" type="noConversion"/>
  </si>
  <si>
    <t>411</t>
    <phoneticPr fontId="1" type="noConversion"/>
  </si>
  <si>
    <t>9L26(9L26)</t>
    <phoneticPr fontId="1" type="noConversion"/>
  </si>
  <si>
    <t>9L27(9L27)</t>
    <phoneticPr fontId="1" type="noConversion"/>
  </si>
  <si>
    <t>36</t>
    <phoneticPr fontId="1" type="noConversion"/>
  </si>
  <si>
    <t>19</t>
    <phoneticPr fontId="1" type="noConversion"/>
  </si>
  <si>
    <t>9L28(9L28)</t>
    <phoneticPr fontId="1" type="noConversion"/>
  </si>
  <si>
    <t>166</t>
    <phoneticPr fontId="1" type="noConversion"/>
  </si>
  <si>
    <t>11:00:00</t>
    <phoneticPr fontId="1" type="noConversion"/>
  </si>
  <si>
    <t>188</t>
    <phoneticPr fontId="1" type="noConversion"/>
  </si>
  <si>
    <t>188</t>
    <phoneticPr fontId="1" type="noConversion"/>
  </si>
  <si>
    <t>154</t>
    <phoneticPr fontId="1" type="noConversion"/>
  </si>
  <si>
    <t>188</t>
    <phoneticPr fontId="1" type="noConversion"/>
  </si>
  <si>
    <t>9L29(9L29)</t>
    <phoneticPr fontId="1" type="noConversion"/>
  </si>
  <si>
    <t>9L30(9L30)</t>
    <phoneticPr fontId="1" type="noConversion"/>
  </si>
  <si>
    <t>33</t>
    <phoneticPr fontId="1" type="noConversion"/>
  </si>
  <si>
    <t>34</t>
    <phoneticPr fontId="1" type="noConversion"/>
  </si>
  <si>
    <t>17</t>
    <phoneticPr fontId="1" type="noConversion"/>
  </si>
  <si>
    <t>大城DS_9L</t>
    <phoneticPr fontId="1" type="noConversion"/>
  </si>
  <si>
    <t>19:00:00</t>
    <phoneticPr fontId="1" type="noConversion"/>
  </si>
  <si>
    <t>273</t>
    <phoneticPr fontId="1" type="noConversion"/>
  </si>
  <si>
    <t>9L31(9L31)</t>
    <phoneticPr fontId="1" type="noConversion"/>
  </si>
  <si>
    <t>87</t>
    <phoneticPr fontId="1" type="noConversion"/>
  </si>
  <si>
    <t>9L32(9L32)</t>
    <phoneticPr fontId="1" type="noConversion"/>
  </si>
  <si>
    <t>9L33(9L33)</t>
    <phoneticPr fontId="1" type="noConversion"/>
  </si>
  <si>
    <t>9L34(9L34)</t>
    <phoneticPr fontId="1" type="noConversion"/>
  </si>
  <si>
    <t>39</t>
    <phoneticPr fontId="1" type="noConversion"/>
  </si>
  <si>
    <t>25</t>
    <phoneticPr fontId="1" type="noConversion"/>
  </si>
  <si>
    <t>大城DS_9L</t>
    <phoneticPr fontId="1" type="noConversion"/>
  </si>
  <si>
    <t>9L35(9L35)</t>
    <phoneticPr fontId="1" type="noConversion"/>
  </si>
  <si>
    <t>178</t>
    <phoneticPr fontId="1" type="noConversion"/>
  </si>
  <si>
    <t>19:00:00</t>
    <phoneticPr fontId="1" type="noConversion"/>
  </si>
  <si>
    <t>140</t>
    <phoneticPr fontId="1" type="noConversion"/>
  </si>
  <si>
    <t>51</t>
    <phoneticPr fontId="1" type="noConversion"/>
  </si>
  <si>
    <t>21:00:00</t>
    <phoneticPr fontId="1" type="noConversion"/>
  </si>
  <si>
    <t>47</t>
    <phoneticPr fontId="1" type="noConversion"/>
  </si>
  <si>
    <t>62</t>
    <phoneticPr fontId="1" type="noConversion"/>
  </si>
  <si>
    <t>22</t>
    <phoneticPr fontId="1" type="noConversion"/>
  </si>
  <si>
    <t>9L37(9L37)</t>
    <phoneticPr fontId="1" type="noConversion"/>
  </si>
  <si>
    <t>41</t>
    <phoneticPr fontId="1" type="noConversion"/>
  </si>
  <si>
    <t>9L38(9L38)</t>
    <phoneticPr fontId="1" type="noConversion"/>
  </si>
  <si>
    <t>18</t>
    <phoneticPr fontId="1" type="noConversion"/>
  </si>
  <si>
    <t>60</t>
    <phoneticPr fontId="1" type="noConversion"/>
  </si>
  <si>
    <t>9L39(9L39)</t>
    <phoneticPr fontId="1" type="noConversion"/>
  </si>
  <si>
    <t>245</t>
    <phoneticPr fontId="1" type="noConversion"/>
  </si>
  <si>
    <t>277</t>
    <phoneticPr fontId="1" type="noConversion"/>
  </si>
  <si>
    <t>269</t>
    <phoneticPr fontId="1" type="noConversion"/>
  </si>
  <si>
    <t>9L40(9L40)</t>
    <phoneticPr fontId="1" type="noConversion"/>
  </si>
  <si>
    <t>80</t>
    <phoneticPr fontId="1" type="noConversion"/>
  </si>
  <si>
    <t>彰林ES_9M</t>
    <phoneticPr fontId="1" type="noConversion"/>
  </si>
  <si>
    <t>473</t>
    <phoneticPr fontId="1" type="noConversion"/>
  </si>
  <si>
    <t>345</t>
    <phoneticPr fontId="1" type="noConversion"/>
  </si>
  <si>
    <t>381</t>
    <phoneticPr fontId="1" type="noConversion"/>
  </si>
  <si>
    <t>彰林ES_9M</t>
    <phoneticPr fontId="1" type="noConversion"/>
  </si>
  <si>
    <t>9M20(9M20)</t>
    <phoneticPr fontId="1" type="noConversion"/>
  </si>
  <si>
    <t>178</t>
    <phoneticPr fontId="1" type="noConversion"/>
  </si>
  <si>
    <t>168</t>
    <phoneticPr fontId="1" type="noConversion"/>
  </si>
  <si>
    <t>9M21(9M21)</t>
    <phoneticPr fontId="1" type="noConversion"/>
  </si>
  <si>
    <t>63</t>
    <phoneticPr fontId="1" type="noConversion"/>
  </si>
  <si>
    <t>23</t>
    <phoneticPr fontId="1" type="noConversion"/>
  </si>
  <si>
    <t>9M22(9M22)</t>
    <phoneticPr fontId="1" type="noConversion"/>
  </si>
  <si>
    <t>133</t>
    <phoneticPr fontId="1" type="noConversion"/>
  </si>
  <si>
    <t>9M23(9M23)</t>
    <phoneticPr fontId="1" type="noConversion"/>
  </si>
  <si>
    <t>32</t>
    <phoneticPr fontId="1" type="noConversion"/>
  </si>
  <si>
    <t>9M24(9M24)</t>
    <phoneticPr fontId="1" type="noConversion"/>
  </si>
  <si>
    <t>#2BDTR</t>
    <phoneticPr fontId="1" type="noConversion"/>
  </si>
  <si>
    <t>846</t>
    <phoneticPr fontId="1" type="noConversion"/>
  </si>
  <si>
    <t>18:00:00</t>
    <phoneticPr fontId="1" type="noConversion"/>
  </si>
  <si>
    <t>777</t>
    <phoneticPr fontId="1" type="noConversion"/>
  </si>
  <si>
    <t>18:00:00</t>
    <phoneticPr fontId="1" type="noConversion"/>
  </si>
  <si>
    <t>837</t>
    <phoneticPr fontId="1" type="noConversion"/>
  </si>
  <si>
    <t>846</t>
    <phoneticPr fontId="1" type="noConversion"/>
  </si>
  <si>
    <t xml:space="preserve"> </t>
    <phoneticPr fontId="1" type="noConversion"/>
  </si>
  <si>
    <t xml:space="preserve"> </t>
    <phoneticPr fontId="1" type="noConversion"/>
  </si>
  <si>
    <t>9M25(9M25)</t>
    <phoneticPr fontId="1" type="noConversion"/>
  </si>
  <si>
    <t>224</t>
    <phoneticPr fontId="1" type="noConversion"/>
  </si>
  <si>
    <t>198</t>
    <phoneticPr fontId="1" type="noConversion"/>
  </si>
  <si>
    <t>199</t>
    <phoneticPr fontId="1" type="noConversion"/>
  </si>
  <si>
    <t>224</t>
    <phoneticPr fontId="1" type="noConversion"/>
  </si>
  <si>
    <t>41</t>
    <phoneticPr fontId="1" type="noConversion"/>
  </si>
  <si>
    <t>17:00:00</t>
    <phoneticPr fontId="1" type="noConversion"/>
  </si>
  <si>
    <t>9M27(9M27)</t>
    <phoneticPr fontId="1" type="noConversion"/>
  </si>
  <si>
    <t>224</t>
    <phoneticPr fontId="1" type="noConversion"/>
  </si>
  <si>
    <t>211</t>
    <phoneticPr fontId="1" type="noConversion"/>
  </si>
  <si>
    <t>240</t>
    <phoneticPr fontId="1" type="noConversion"/>
  </si>
  <si>
    <t>彰林ES_9M</t>
    <phoneticPr fontId="1" type="noConversion"/>
  </si>
  <si>
    <t>9M28(9M28)</t>
    <phoneticPr fontId="1" type="noConversion"/>
  </si>
  <si>
    <t>117</t>
    <phoneticPr fontId="1" type="noConversion"/>
  </si>
  <si>
    <t>18:00:00</t>
    <phoneticPr fontId="1" type="noConversion"/>
  </si>
  <si>
    <t>116</t>
    <phoneticPr fontId="1" type="noConversion"/>
  </si>
  <si>
    <t>19:00:00</t>
    <phoneticPr fontId="1" type="noConversion"/>
  </si>
  <si>
    <t>137</t>
    <phoneticPr fontId="1" type="noConversion"/>
  </si>
  <si>
    <t>42</t>
    <phoneticPr fontId="1" type="noConversion"/>
  </si>
  <si>
    <t>14:00:00</t>
    <phoneticPr fontId="1" type="noConversion"/>
  </si>
  <si>
    <t>彰林ES_9M</t>
    <phoneticPr fontId="1" type="noConversion"/>
  </si>
  <si>
    <t>9M29(9M29)</t>
    <phoneticPr fontId="1" type="noConversion"/>
  </si>
  <si>
    <t>99</t>
    <phoneticPr fontId="1" type="noConversion"/>
  </si>
  <si>
    <t>115</t>
    <phoneticPr fontId="1" type="noConversion"/>
  </si>
  <si>
    <t>103</t>
    <phoneticPr fontId="1" type="noConversion"/>
  </si>
  <si>
    <t>31</t>
    <phoneticPr fontId="1" type="noConversion"/>
  </si>
  <si>
    <t>19:00:00</t>
    <phoneticPr fontId="1" type="noConversion"/>
  </si>
  <si>
    <t>彰林ES_9M</t>
    <phoneticPr fontId="1" type="noConversion"/>
  </si>
  <si>
    <t>722</t>
    <phoneticPr fontId="1" type="noConversion"/>
  </si>
  <si>
    <t>19:00:00</t>
    <phoneticPr fontId="1" type="noConversion"/>
  </si>
  <si>
    <t>19:00:00</t>
    <phoneticPr fontId="1" type="noConversion"/>
  </si>
  <si>
    <t>747</t>
    <phoneticPr fontId="1" type="noConversion"/>
  </si>
  <si>
    <t>293</t>
    <phoneticPr fontId="1" type="noConversion"/>
  </si>
  <si>
    <t>252</t>
    <phoneticPr fontId="1" type="noConversion"/>
  </si>
  <si>
    <t>9M31(9M31)</t>
    <phoneticPr fontId="1" type="noConversion"/>
  </si>
  <si>
    <t>13:00:00</t>
    <phoneticPr fontId="1" type="noConversion"/>
  </si>
  <si>
    <t>13:00:00</t>
    <phoneticPr fontId="1" type="noConversion"/>
  </si>
  <si>
    <t>83</t>
    <phoneticPr fontId="1" type="noConversion"/>
  </si>
  <si>
    <t>10:00:00</t>
    <phoneticPr fontId="1" type="noConversion"/>
  </si>
  <si>
    <t>彰林ES_9M</t>
    <phoneticPr fontId="1" type="noConversion"/>
  </si>
  <si>
    <t>9M32(9M32)</t>
    <phoneticPr fontId="1" type="noConversion"/>
  </si>
  <si>
    <t>18:00:00</t>
    <phoneticPr fontId="1" type="noConversion"/>
  </si>
  <si>
    <t>9M33(9M33)</t>
    <phoneticPr fontId="1" type="noConversion"/>
  </si>
  <si>
    <t>19:00:00</t>
    <phoneticPr fontId="1" type="noConversion"/>
  </si>
  <si>
    <t>9M34(9M34)</t>
    <phoneticPr fontId="1" type="noConversion"/>
  </si>
  <si>
    <t>112</t>
    <phoneticPr fontId="1" type="noConversion"/>
  </si>
  <si>
    <t>762</t>
    <phoneticPr fontId="1" type="noConversion"/>
  </si>
  <si>
    <t>812</t>
    <phoneticPr fontId="1" type="noConversion"/>
  </si>
  <si>
    <t xml:space="preserve"> </t>
    <phoneticPr fontId="1" type="noConversion"/>
  </si>
  <si>
    <t>91</t>
    <phoneticPr fontId="1" type="noConversion"/>
  </si>
  <si>
    <t>74</t>
    <phoneticPr fontId="1" type="noConversion"/>
  </si>
  <si>
    <t>18:00:00</t>
    <phoneticPr fontId="1" type="noConversion"/>
  </si>
  <si>
    <t>9M36(9M36)</t>
    <phoneticPr fontId="1" type="noConversion"/>
  </si>
  <si>
    <t>9M38(9M38)</t>
    <phoneticPr fontId="1" type="noConversion"/>
  </si>
  <si>
    <t>268</t>
    <phoneticPr fontId="1" type="noConversion"/>
  </si>
  <si>
    <t>18:00:00</t>
    <phoneticPr fontId="1" type="noConversion"/>
  </si>
  <si>
    <t>9M39(9M39)</t>
    <phoneticPr fontId="1" type="noConversion"/>
  </si>
  <si>
    <t xml:space="preserve"> </t>
    <phoneticPr fontId="1" type="noConversion"/>
  </si>
  <si>
    <t>639</t>
    <phoneticPr fontId="1" type="noConversion"/>
  </si>
  <si>
    <t xml:space="preserve"> </t>
    <phoneticPr fontId="1" type="noConversion"/>
  </si>
  <si>
    <t>637</t>
    <phoneticPr fontId="1" type="noConversion"/>
  </si>
  <si>
    <t>#3MTR</t>
    <phoneticPr fontId="1" type="noConversion"/>
  </si>
  <si>
    <t>440</t>
    <phoneticPr fontId="1" type="noConversion"/>
  </si>
  <si>
    <t>449</t>
    <phoneticPr fontId="1" type="noConversion"/>
  </si>
  <si>
    <t xml:space="preserve"> </t>
    <phoneticPr fontId="1" type="noConversion"/>
  </si>
  <si>
    <t>彰竹DS_9N</t>
    <phoneticPr fontId="1" type="noConversion"/>
  </si>
  <si>
    <t>0</t>
    <phoneticPr fontId="1" type="noConversion"/>
  </si>
  <si>
    <t>彰竹DS_9N</t>
    <phoneticPr fontId="1" type="noConversion"/>
  </si>
  <si>
    <t>00:00:00</t>
    <phoneticPr fontId="1" type="noConversion"/>
  </si>
  <si>
    <t>0</t>
    <phoneticPr fontId="1" type="noConversion"/>
  </si>
  <si>
    <t>00:00:00</t>
    <phoneticPr fontId="1" type="noConversion"/>
  </si>
  <si>
    <t>219</t>
    <phoneticPr fontId="1" type="noConversion"/>
  </si>
  <si>
    <t>9N23(9N23)</t>
    <phoneticPr fontId="1" type="noConversion"/>
  </si>
  <si>
    <t>彰竹DS_9N</t>
    <phoneticPr fontId="1" type="noConversion"/>
  </si>
  <si>
    <t>222</t>
    <phoneticPr fontId="1" type="noConversion"/>
  </si>
  <si>
    <t>229</t>
    <phoneticPr fontId="1" type="noConversion"/>
  </si>
  <si>
    <t>彰竹DS_9N</t>
    <phoneticPr fontId="1" type="noConversion"/>
  </si>
  <si>
    <t>#1BDTR</t>
    <phoneticPr fontId="1" type="noConversion"/>
  </si>
  <si>
    <t>290</t>
    <phoneticPr fontId="1" type="noConversion"/>
  </si>
  <si>
    <t>0</t>
    <phoneticPr fontId="1" type="noConversion"/>
  </si>
  <si>
    <t>9N26(9N26)</t>
    <phoneticPr fontId="1" type="noConversion"/>
  </si>
  <si>
    <t>69</t>
    <phoneticPr fontId="1" type="noConversion"/>
  </si>
  <si>
    <t>85</t>
    <phoneticPr fontId="1" type="noConversion"/>
  </si>
  <si>
    <t>09:00:00</t>
    <phoneticPr fontId="1" type="noConversion"/>
  </si>
  <si>
    <t>9N27(9N27)</t>
    <phoneticPr fontId="1" type="noConversion"/>
  </si>
  <si>
    <t>43</t>
    <phoneticPr fontId="1" type="noConversion"/>
  </si>
  <si>
    <t>35</t>
    <phoneticPr fontId="1" type="noConversion"/>
  </si>
  <si>
    <t>彰竹DS_9N</t>
    <phoneticPr fontId="1" type="noConversion"/>
  </si>
  <si>
    <t>9N28(9N28)</t>
    <phoneticPr fontId="1" type="noConversion"/>
  </si>
  <si>
    <t>135</t>
    <phoneticPr fontId="1" type="noConversion"/>
  </si>
  <si>
    <t>#1ADTR</t>
    <phoneticPr fontId="1" type="noConversion"/>
  </si>
  <si>
    <t>378</t>
    <phoneticPr fontId="1" type="noConversion"/>
  </si>
  <si>
    <t>15:00:00</t>
    <phoneticPr fontId="1" type="noConversion"/>
  </si>
  <si>
    <t xml:space="preserve"> </t>
    <phoneticPr fontId="1" type="noConversion"/>
  </si>
  <si>
    <t>9P10(9P10)</t>
    <phoneticPr fontId="1" type="noConversion"/>
  </si>
  <si>
    <t>141</t>
    <phoneticPr fontId="1" type="noConversion"/>
  </si>
  <si>
    <t>126</t>
    <phoneticPr fontId="1" type="noConversion"/>
  </si>
  <si>
    <t>16:00:00</t>
    <phoneticPr fontId="1" type="noConversion"/>
  </si>
  <si>
    <t>80</t>
    <phoneticPr fontId="1" type="noConversion"/>
  </si>
  <si>
    <t>86</t>
    <phoneticPr fontId="1" type="noConversion"/>
  </si>
  <si>
    <t>9P13(9P13)</t>
    <phoneticPr fontId="1" type="noConversion"/>
  </si>
  <si>
    <t>35</t>
    <phoneticPr fontId="1" type="noConversion"/>
  </si>
  <si>
    <t>39</t>
    <phoneticPr fontId="1" type="noConversion"/>
  </si>
  <si>
    <t>09:00:00</t>
    <phoneticPr fontId="1" type="noConversion"/>
  </si>
  <si>
    <t>9P14(9P14)</t>
    <phoneticPr fontId="1" type="noConversion"/>
  </si>
  <si>
    <t>8</t>
    <phoneticPr fontId="1" type="noConversion"/>
  </si>
  <si>
    <t>花壇DS_9P</t>
    <phoneticPr fontId="1" type="noConversion"/>
  </si>
  <si>
    <t>#1BDTR</t>
    <phoneticPr fontId="1" type="noConversion"/>
  </si>
  <si>
    <t>248</t>
    <phoneticPr fontId="1" type="noConversion"/>
  </si>
  <si>
    <t>9P16(9P16)</t>
    <phoneticPr fontId="1" type="noConversion"/>
  </si>
  <si>
    <t>207</t>
    <phoneticPr fontId="1" type="noConversion"/>
  </si>
  <si>
    <t>花壇DS_9P</t>
    <phoneticPr fontId="1" type="noConversion"/>
  </si>
  <si>
    <t>145</t>
    <phoneticPr fontId="1" type="noConversion"/>
  </si>
  <si>
    <t>18:00:00</t>
    <phoneticPr fontId="1" type="noConversion"/>
  </si>
  <si>
    <t>123</t>
    <phoneticPr fontId="1" type="noConversion"/>
  </si>
  <si>
    <t>9P18(9P18)</t>
    <phoneticPr fontId="1" type="noConversion"/>
  </si>
  <si>
    <t>00:00:00</t>
    <phoneticPr fontId="1" type="noConversion"/>
  </si>
  <si>
    <t>51</t>
    <phoneticPr fontId="1" type="noConversion"/>
  </si>
  <si>
    <t>38</t>
    <phoneticPr fontId="1" type="noConversion"/>
  </si>
  <si>
    <t>42</t>
    <phoneticPr fontId="1" type="noConversion"/>
  </si>
  <si>
    <t>08:00:00</t>
    <phoneticPr fontId="1" type="noConversion"/>
  </si>
  <si>
    <t>29</t>
    <phoneticPr fontId="1" type="noConversion"/>
  </si>
  <si>
    <t>9P22(9P22)</t>
    <phoneticPr fontId="1" type="noConversion"/>
  </si>
  <si>
    <t>78</t>
    <phoneticPr fontId="1" type="noConversion"/>
  </si>
  <si>
    <t>20:00:00</t>
    <phoneticPr fontId="1" type="noConversion"/>
  </si>
  <si>
    <t>136</t>
    <phoneticPr fontId="1" type="noConversion"/>
  </si>
  <si>
    <t>21:00:00</t>
    <phoneticPr fontId="1" type="noConversion"/>
  </si>
  <si>
    <t>9P25(9P25)</t>
    <phoneticPr fontId="1" type="noConversion"/>
  </si>
  <si>
    <t>14:00:00</t>
    <phoneticPr fontId="1" type="noConversion"/>
  </si>
  <si>
    <t>9P26(9P26)</t>
    <phoneticPr fontId="1" type="noConversion"/>
  </si>
  <si>
    <t>38</t>
    <phoneticPr fontId="1" type="noConversion"/>
  </si>
  <si>
    <t>164</t>
    <phoneticPr fontId="1" type="noConversion"/>
  </si>
  <si>
    <t>131</t>
    <phoneticPr fontId="1" type="noConversion"/>
  </si>
  <si>
    <t>153</t>
    <phoneticPr fontId="1" type="noConversion"/>
  </si>
  <si>
    <t>59</t>
    <phoneticPr fontId="1" type="noConversion"/>
  </si>
  <si>
    <t>11:00:00</t>
    <phoneticPr fontId="1" type="noConversion"/>
  </si>
  <si>
    <t>35</t>
    <phoneticPr fontId="1" type="noConversion"/>
  </si>
  <si>
    <t>#1ADTR</t>
    <phoneticPr fontId="1" type="noConversion"/>
  </si>
  <si>
    <t xml:space="preserve"> </t>
    <phoneticPr fontId="1" type="noConversion"/>
  </si>
  <si>
    <t>176</t>
    <phoneticPr fontId="1" type="noConversion"/>
  </si>
  <si>
    <t>14:00:00</t>
    <phoneticPr fontId="1" type="noConversion"/>
  </si>
  <si>
    <t>171</t>
    <phoneticPr fontId="1" type="noConversion"/>
  </si>
  <si>
    <t>彰新DS_IA</t>
    <phoneticPr fontId="1" type="noConversion"/>
  </si>
  <si>
    <t>136</t>
    <phoneticPr fontId="1" type="noConversion"/>
  </si>
  <si>
    <t>21:00:00</t>
    <phoneticPr fontId="1" type="noConversion"/>
  </si>
  <si>
    <t>20:00:00</t>
    <phoneticPr fontId="1" type="noConversion"/>
  </si>
  <si>
    <t>179</t>
    <phoneticPr fontId="1" type="noConversion"/>
  </si>
  <si>
    <t>2</t>
    <phoneticPr fontId="1" type="noConversion"/>
  </si>
  <si>
    <t>00:00:00</t>
    <phoneticPr fontId="1" type="noConversion"/>
  </si>
  <si>
    <t>彰茂線(IA35)</t>
    <phoneticPr fontId="1" type="noConversion"/>
  </si>
  <si>
    <t>251</t>
    <phoneticPr fontId="1" type="noConversion"/>
  </si>
  <si>
    <t>587</t>
    <phoneticPr fontId="1" type="noConversion"/>
  </si>
  <si>
    <t>18:00:00</t>
    <phoneticPr fontId="1" type="noConversion"/>
  </si>
  <si>
    <t>67</t>
    <phoneticPr fontId="1" type="noConversion"/>
  </si>
  <si>
    <t>阿夷線(IA24)</t>
    <phoneticPr fontId="1" type="noConversion"/>
  </si>
  <si>
    <t>19:00:00</t>
    <phoneticPr fontId="1" type="noConversion"/>
  </si>
  <si>
    <t>247</t>
    <phoneticPr fontId="1" type="noConversion"/>
  </si>
  <si>
    <t>248</t>
    <phoneticPr fontId="1" type="noConversion"/>
  </si>
  <si>
    <t>57</t>
    <phoneticPr fontId="1" type="noConversion"/>
  </si>
  <si>
    <t>22:00:00</t>
    <phoneticPr fontId="1" type="noConversion"/>
  </si>
  <si>
    <t>08:00:00</t>
    <phoneticPr fontId="1" type="noConversion"/>
  </si>
  <si>
    <t>147</t>
    <phoneticPr fontId="1" type="noConversion"/>
  </si>
  <si>
    <t>彰新DS_IA</t>
    <phoneticPr fontId="1" type="noConversion"/>
  </si>
  <si>
    <t>63</t>
    <phoneticPr fontId="1" type="noConversion"/>
  </si>
  <si>
    <t>12:00:00</t>
    <phoneticPr fontId="1" type="noConversion"/>
  </si>
  <si>
    <t>133</t>
    <phoneticPr fontId="1" type="noConversion"/>
  </si>
  <si>
    <t>219</t>
    <phoneticPr fontId="1" type="noConversion"/>
  </si>
  <si>
    <t>彰新DS_IA</t>
    <phoneticPr fontId="1" type="noConversion"/>
  </si>
  <si>
    <t>大成線(IA22)</t>
    <phoneticPr fontId="1" type="noConversion"/>
  </si>
  <si>
    <t>彰新DS_IA</t>
    <phoneticPr fontId="1" type="noConversion"/>
  </si>
  <si>
    <t>北建線(IA38)</t>
    <phoneticPr fontId="1" type="noConversion"/>
  </si>
  <si>
    <t>100</t>
    <phoneticPr fontId="1" type="noConversion"/>
  </si>
  <si>
    <t>119</t>
    <phoneticPr fontId="1" type="noConversion"/>
  </si>
  <si>
    <t>44</t>
    <phoneticPr fontId="1" type="noConversion"/>
  </si>
  <si>
    <t>北廠線(IA21)</t>
    <phoneticPr fontId="1" type="noConversion"/>
  </si>
  <si>
    <t>179</t>
    <phoneticPr fontId="1" type="noConversion"/>
  </si>
  <si>
    <t>48</t>
    <phoneticPr fontId="1" type="noConversion"/>
  </si>
  <si>
    <t>11:00:00</t>
    <phoneticPr fontId="1" type="noConversion"/>
  </si>
  <si>
    <t>北美線(IA25)</t>
    <phoneticPr fontId="1" type="noConversion"/>
  </si>
  <si>
    <t>139</t>
    <phoneticPr fontId="1" type="noConversion"/>
  </si>
  <si>
    <t>北新線(IA31)</t>
    <phoneticPr fontId="1" type="noConversion"/>
  </si>
  <si>
    <t>10:00:00</t>
    <phoneticPr fontId="1" type="noConversion"/>
  </si>
  <si>
    <t>194</t>
    <phoneticPr fontId="1" type="noConversion"/>
  </si>
  <si>
    <t>69</t>
    <phoneticPr fontId="1" type="noConversion"/>
  </si>
  <si>
    <t>#3ADTR</t>
    <phoneticPr fontId="1" type="noConversion"/>
  </si>
  <si>
    <t>904</t>
    <phoneticPr fontId="1" type="noConversion"/>
  </si>
  <si>
    <t>14:00:00</t>
    <phoneticPr fontId="1" type="noConversion"/>
  </si>
  <si>
    <t>827</t>
    <phoneticPr fontId="1" type="noConversion"/>
  </si>
  <si>
    <t>13:00:00</t>
    <phoneticPr fontId="1" type="noConversion"/>
  </si>
  <si>
    <t>904</t>
    <phoneticPr fontId="1" type="noConversion"/>
  </si>
  <si>
    <t xml:space="preserve"> </t>
    <phoneticPr fontId="1" type="noConversion"/>
  </si>
  <si>
    <t>彰新DS_IA</t>
    <phoneticPr fontId="1" type="noConversion"/>
  </si>
  <si>
    <t>163</t>
    <phoneticPr fontId="1" type="noConversion"/>
  </si>
  <si>
    <t>53</t>
    <phoneticPr fontId="1" type="noConversion"/>
  </si>
  <si>
    <t>137</t>
    <phoneticPr fontId="1" type="noConversion"/>
  </si>
  <si>
    <t>129</t>
    <phoneticPr fontId="1" type="noConversion"/>
  </si>
  <si>
    <t>12:00:00</t>
    <phoneticPr fontId="1" type="noConversion"/>
  </si>
  <si>
    <t>23:00:00</t>
    <phoneticPr fontId="1" type="noConversion"/>
  </si>
  <si>
    <t>103</t>
    <phoneticPr fontId="1" type="noConversion"/>
  </si>
  <si>
    <t>14:00:00</t>
    <phoneticPr fontId="1" type="noConversion"/>
  </si>
  <si>
    <t>101</t>
    <phoneticPr fontId="1" type="noConversion"/>
  </si>
  <si>
    <t>103</t>
    <phoneticPr fontId="1" type="noConversion"/>
  </si>
  <si>
    <t>44</t>
    <phoneticPr fontId="1" type="noConversion"/>
  </si>
  <si>
    <t>東頭線(IA44)</t>
    <phoneticPr fontId="1" type="noConversion"/>
  </si>
  <si>
    <t>203</t>
    <phoneticPr fontId="1" type="noConversion"/>
  </si>
  <si>
    <t>彰新DS_IA</t>
    <phoneticPr fontId="1" type="noConversion"/>
  </si>
  <si>
    <t>#3BDTR</t>
    <phoneticPr fontId="1" type="noConversion"/>
  </si>
  <si>
    <t>13:00:00</t>
    <phoneticPr fontId="1" type="noConversion"/>
  </si>
  <si>
    <t>805</t>
    <phoneticPr fontId="1" type="noConversion"/>
  </si>
  <si>
    <t xml:space="preserve"> </t>
    <phoneticPr fontId="1" type="noConversion"/>
  </si>
  <si>
    <t>茄苳線(IA46)</t>
    <phoneticPr fontId="1" type="noConversion"/>
  </si>
  <si>
    <t>290</t>
    <phoneticPr fontId="1" type="noConversion"/>
  </si>
  <si>
    <t>129</t>
    <phoneticPr fontId="1" type="noConversion"/>
  </si>
  <si>
    <t>55</t>
    <phoneticPr fontId="1" type="noConversion"/>
  </si>
  <si>
    <t>彰新DS_IA</t>
    <phoneticPr fontId="1" type="noConversion"/>
  </si>
  <si>
    <t>190</t>
    <phoneticPr fontId="1" type="noConversion"/>
  </si>
  <si>
    <t>鹿港SS_IB</t>
    <phoneticPr fontId="1" type="noConversion"/>
  </si>
  <si>
    <t>#1MTR</t>
    <phoneticPr fontId="1" type="noConversion"/>
  </si>
  <si>
    <t>13:00:00</t>
    <phoneticPr fontId="1" type="noConversion"/>
  </si>
  <si>
    <t>567</t>
    <phoneticPr fontId="1" type="noConversion"/>
  </si>
  <si>
    <t xml:space="preserve"> </t>
    <phoneticPr fontId="1" type="noConversion"/>
  </si>
  <si>
    <t>鹿港SS_IB</t>
    <phoneticPr fontId="1" type="noConversion"/>
  </si>
  <si>
    <t>180</t>
    <phoneticPr fontId="1" type="noConversion"/>
  </si>
  <si>
    <t>19:00:00</t>
    <phoneticPr fontId="1" type="noConversion"/>
  </si>
  <si>
    <t>160</t>
    <phoneticPr fontId="1" type="noConversion"/>
  </si>
  <si>
    <t>19:00:00</t>
    <phoneticPr fontId="1" type="noConversion"/>
  </si>
  <si>
    <t>131</t>
    <phoneticPr fontId="1" type="noConversion"/>
  </si>
  <si>
    <t>180</t>
    <phoneticPr fontId="1" type="noConversion"/>
  </si>
  <si>
    <t>53</t>
    <phoneticPr fontId="1" type="noConversion"/>
  </si>
  <si>
    <t>鹿港SS_IB</t>
    <phoneticPr fontId="1" type="noConversion"/>
  </si>
  <si>
    <t>25</t>
    <phoneticPr fontId="1" type="noConversion"/>
  </si>
  <si>
    <t>20</t>
    <phoneticPr fontId="1" type="noConversion"/>
  </si>
  <si>
    <t>14</t>
    <phoneticPr fontId="1" type="noConversion"/>
  </si>
  <si>
    <t>鹿港SS_IB</t>
    <phoneticPr fontId="1" type="noConversion"/>
  </si>
  <si>
    <t>297</t>
    <phoneticPr fontId="1" type="noConversion"/>
  </si>
  <si>
    <t>297</t>
    <phoneticPr fontId="1" type="noConversion"/>
  </si>
  <si>
    <t>10:00:00</t>
    <phoneticPr fontId="1" type="noConversion"/>
  </si>
  <si>
    <t>15:00:00</t>
    <phoneticPr fontId="1" type="noConversion"/>
  </si>
  <si>
    <t>15:00:00</t>
    <phoneticPr fontId="1" type="noConversion"/>
  </si>
  <si>
    <t>148</t>
    <phoneticPr fontId="1" type="noConversion"/>
  </si>
  <si>
    <t>10:00:00</t>
    <phoneticPr fontId="1" type="noConversion"/>
  </si>
  <si>
    <t>168</t>
    <phoneticPr fontId="1" type="noConversion"/>
  </si>
  <si>
    <t>60</t>
    <phoneticPr fontId="1" type="noConversion"/>
  </si>
  <si>
    <t>0</t>
    <phoneticPr fontId="1" type="noConversion"/>
  </si>
  <si>
    <t>00:00:00</t>
    <phoneticPr fontId="1" type="noConversion"/>
  </si>
  <si>
    <t>0</t>
    <phoneticPr fontId="1" type="noConversion"/>
  </si>
  <si>
    <t>00:00:00</t>
    <phoneticPr fontId="1" type="noConversion"/>
  </si>
  <si>
    <t>0</t>
    <phoneticPr fontId="1" type="noConversion"/>
  </si>
  <si>
    <t>00:00:00</t>
    <phoneticPr fontId="1" type="noConversion"/>
  </si>
  <si>
    <t>鹿港SS_IB</t>
    <phoneticPr fontId="1" type="noConversion"/>
  </si>
  <si>
    <t>816</t>
    <phoneticPr fontId="1" type="noConversion"/>
  </si>
  <si>
    <t>791</t>
    <phoneticPr fontId="1" type="noConversion"/>
  </si>
  <si>
    <t>851</t>
    <phoneticPr fontId="1" type="noConversion"/>
  </si>
  <si>
    <t>851</t>
    <phoneticPr fontId="1" type="noConversion"/>
  </si>
  <si>
    <t>鹿三線(IB33)</t>
    <phoneticPr fontId="1" type="noConversion"/>
  </si>
  <si>
    <t>192</t>
    <phoneticPr fontId="1" type="noConversion"/>
  </si>
  <si>
    <t>180</t>
    <phoneticPr fontId="1" type="noConversion"/>
  </si>
  <si>
    <t>14:00:00</t>
    <phoneticPr fontId="1" type="noConversion"/>
  </si>
  <si>
    <t>191</t>
    <phoneticPr fontId="1" type="noConversion"/>
  </si>
  <si>
    <t>08:00:00</t>
    <phoneticPr fontId="1" type="noConversion"/>
  </si>
  <si>
    <t>鹿港SS_IB</t>
    <phoneticPr fontId="1" type="noConversion"/>
  </si>
  <si>
    <t>鹽場線(IB25)</t>
    <phoneticPr fontId="1" type="noConversion"/>
  </si>
  <si>
    <t>278</t>
    <phoneticPr fontId="1" type="noConversion"/>
  </si>
  <si>
    <t>259</t>
    <phoneticPr fontId="1" type="noConversion"/>
  </si>
  <si>
    <t>308</t>
    <phoneticPr fontId="1" type="noConversion"/>
  </si>
  <si>
    <t>08:00:00</t>
    <phoneticPr fontId="1" type="noConversion"/>
  </si>
  <si>
    <t>194</t>
    <phoneticPr fontId="1" type="noConversion"/>
  </si>
  <si>
    <t>211</t>
    <phoneticPr fontId="1" type="noConversion"/>
  </si>
  <si>
    <t>56</t>
    <phoneticPr fontId="1" type="noConversion"/>
  </si>
  <si>
    <t>鹿溪線(IB24)</t>
    <phoneticPr fontId="1" type="noConversion"/>
  </si>
  <si>
    <t>119</t>
    <phoneticPr fontId="1" type="noConversion"/>
  </si>
  <si>
    <t>鹿東線(IB27)</t>
    <phoneticPr fontId="1" type="noConversion"/>
  </si>
  <si>
    <t>80</t>
    <phoneticPr fontId="1" type="noConversion"/>
  </si>
  <si>
    <t>#3MTR</t>
    <phoneticPr fontId="1" type="noConversion"/>
  </si>
  <si>
    <t>永豐線(IB34)</t>
    <phoneticPr fontId="1" type="noConversion"/>
  </si>
  <si>
    <t>17</t>
    <phoneticPr fontId="1" type="noConversion"/>
  </si>
  <si>
    <t>6</t>
    <phoneticPr fontId="1" type="noConversion"/>
  </si>
  <si>
    <t>鹿管線(IB29)</t>
    <phoneticPr fontId="1" type="noConversion"/>
  </si>
  <si>
    <t>227</t>
    <phoneticPr fontId="1" type="noConversion"/>
  </si>
  <si>
    <t>212</t>
    <phoneticPr fontId="1" type="noConversion"/>
  </si>
  <si>
    <t>63</t>
    <phoneticPr fontId="1" type="noConversion"/>
  </si>
  <si>
    <t>13:00:00</t>
    <phoneticPr fontId="1" type="noConversion"/>
  </si>
  <si>
    <t>125</t>
    <phoneticPr fontId="1" type="noConversion"/>
  </si>
  <si>
    <t>20:00:00</t>
    <phoneticPr fontId="1" type="noConversion"/>
  </si>
  <si>
    <t>133</t>
    <phoneticPr fontId="1" type="noConversion"/>
  </si>
  <si>
    <t>23</t>
    <phoneticPr fontId="1" type="noConversion"/>
  </si>
  <si>
    <t>53</t>
    <phoneticPr fontId="1" type="noConversion"/>
  </si>
  <si>
    <t>員林SS_IC</t>
    <phoneticPr fontId="1" type="noConversion"/>
  </si>
  <si>
    <t>00:00:00</t>
    <phoneticPr fontId="1" type="noConversion"/>
  </si>
  <si>
    <t>溪湖SS_ID</t>
    <phoneticPr fontId="1" type="noConversion"/>
  </si>
  <si>
    <t>#1MTR</t>
    <phoneticPr fontId="1" type="noConversion"/>
  </si>
  <si>
    <t>761</t>
    <phoneticPr fontId="1" type="noConversion"/>
  </si>
  <si>
    <t>672</t>
    <phoneticPr fontId="1" type="noConversion"/>
  </si>
  <si>
    <t>710</t>
    <phoneticPr fontId="1" type="noConversion"/>
  </si>
  <si>
    <t>18:00:00</t>
    <phoneticPr fontId="1" type="noConversion"/>
  </si>
  <si>
    <t>761</t>
    <phoneticPr fontId="1" type="noConversion"/>
  </si>
  <si>
    <t xml:space="preserve"> </t>
    <phoneticPr fontId="1" type="noConversion"/>
  </si>
  <si>
    <t>西寮線(ID20)</t>
    <phoneticPr fontId="1" type="noConversion"/>
  </si>
  <si>
    <t>18:00:00</t>
    <phoneticPr fontId="1" type="noConversion"/>
  </si>
  <si>
    <t>218</t>
    <phoneticPr fontId="1" type="noConversion"/>
  </si>
  <si>
    <t>227</t>
    <phoneticPr fontId="1" type="noConversion"/>
  </si>
  <si>
    <t>53</t>
    <phoneticPr fontId="1" type="noConversion"/>
  </si>
  <si>
    <t>20:00:00</t>
    <phoneticPr fontId="1" type="noConversion"/>
  </si>
  <si>
    <t>湖南線(ID23)</t>
    <phoneticPr fontId="1" type="noConversion"/>
  </si>
  <si>
    <t>15:00:00</t>
    <phoneticPr fontId="1" type="noConversion"/>
  </si>
  <si>
    <t>108</t>
    <phoneticPr fontId="1" type="noConversion"/>
  </si>
  <si>
    <t>122</t>
    <phoneticPr fontId="1" type="noConversion"/>
  </si>
  <si>
    <t>126</t>
    <phoneticPr fontId="1" type="noConversion"/>
  </si>
  <si>
    <t>222</t>
    <phoneticPr fontId="1" type="noConversion"/>
  </si>
  <si>
    <t>162</t>
    <phoneticPr fontId="1" type="noConversion"/>
  </si>
  <si>
    <t>222</t>
    <phoneticPr fontId="1" type="noConversion"/>
  </si>
  <si>
    <t>73</t>
    <phoneticPr fontId="1" type="noConversion"/>
  </si>
  <si>
    <t>溪湖SS_ID</t>
    <phoneticPr fontId="1" type="noConversion"/>
  </si>
  <si>
    <t>湖北線(ID31)</t>
    <phoneticPr fontId="1" type="noConversion"/>
  </si>
  <si>
    <t>#2MTR</t>
    <phoneticPr fontId="1" type="noConversion"/>
  </si>
  <si>
    <t>782</t>
    <phoneticPr fontId="1" type="noConversion"/>
  </si>
  <si>
    <t>湖中線(ID30)</t>
    <phoneticPr fontId="1" type="noConversion"/>
  </si>
  <si>
    <t>101</t>
    <phoneticPr fontId="1" type="noConversion"/>
  </si>
  <si>
    <t>45</t>
    <phoneticPr fontId="1" type="noConversion"/>
  </si>
  <si>
    <t>溪東線(ID24)</t>
    <phoneticPr fontId="1" type="noConversion"/>
  </si>
  <si>
    <t>08:00:00</t>
    <phoneticPr fontId="1" type="noConversion"/>
  </si>
  <si>
    <t>224</t>
    <phoneticPr fontId="1" type="noConversion"/>
  </si>
  <si>
    <t>216</t>
    <phoneticPr fontId="1" type="noConversion"/>
  </si>
  <si>
    <t>227</t>
    <phoneticPr fontId="1" type="noConversion"/>
  </si>
  <si>
    <t>26</t>
    <phoneticPr fontId="1" type="noConversion"/>
  </si>
  <si>
    <t>18:00:00</t>
    <phoneticPr fontId="1" type="noConversion"/>
  </si>
  <si>
    <t>191</t>
    <phoneticPr fontId="1" type="noConversion"/>
  </si>
  <si>
    <t>19:00:00</t>
    <phoneticPr fontId="1" type="noConversion"/>
  </si>
  <si>
    <t>224</t>
    <phoneticPr fontId="1" type="noConversion"/>
  </si>
  <si>
    <t>224</t>
    <phoneticPr fontId="1" type="noConversion"/>
  </si>
  <si>
    <t>溪湖SS_ID</t>
    <phoneticPr fontId="1" type="noConversion"/>
  </si>
  <si>
    <t>175</t>
    <phoneticPr fontId="1" type="noConversion"/>
  </si>
  <si>
    <t>18:00:00</t>
    <phoneticPr fontId="1" type="noConversion"/>
  </si>
  <si>
    <t>107</t>
    <phoneticPr fontId="1" type="noConversion"/>
  </si>
  <si>
    <t>18:00:00</t>
    <phoneticPr fontId="1" type="noConversion"/>
  </si>
  <si>
    <t>292</t>
    <phoneticPr fontId="1" type="noConversion"/>
  </si>
  <si>
    <t>332</t>
    <phoneticPr fontId="1" type="noConversion"/>
  </si>
  <si>
    <t xml:space="preserve"> </t>
    <phoneticPr fontId="1" type="noConversion"/>
  </si>
  <si>
    <t>溪湖SS_ID</t>
    <phoneticPr fontId="1" type="noConversion"/>
  </si>
  <si>
    <t>14:00:00</t>
    <phoneticPr fontId="1" type="noConversion"/>
  </si>
  <si>
    <t>282</t>
    <phoneticPr fontId="1" type="noConversion"/>
  </si>
  <si>
    <t>284</t>
    <phoneticPr fontId="1" type="noConversion"/>
  </si>
  <si>
    <t>00:00:00</t>
    <phoneticPr fontId="1" type="noConversion"/>
  </si>
  <si>
    <t>0</t>
    <phoneticPr fontId="1" type="noConversion"/>
  </si>
  <si>
    <t>20</t>
    <phoneticPr fontId="1" type="noConversion"/>
  </si>
  <si>
    <t>60</t>
    <phoneticPr fontId="1" type="noConversion"/>
  </si>
  <si>
    <t>F14(F14)</t>
    <phoneticPr fontId="1" type="noConversion"/>
  </si>
  <si>
    <t>00:00:00</t>
    <phoneticPr fontId="1" type="noConversion"/>
  </si>
  <si>
    <t>573</t>
    <phoneticPr fontId="1" type="noConversion"/>
  </si>
  <si>
    <t>550</t>
    <phoneticPr fontId="1" type="noConversion"/>
  </si>
  <si>
    <t>582</t>
    <phoneticPr fontId="1" type="noConversion"/>
  </si>
  <si>
    <t>78</t>
    <phoneticPr fontId="1" type="noConversion"/>
  </si>
  <si>
    <t>20:00:00</t>
    <phoneticPr fontId="1" type="noConversion"/>
  </si>
  <si>
    <t>86</t>
    <phoneticPr fontId="1" type="noConversion"/>
  </si>
  <si>
    <t>33</t>
    <phoneticPr fontId="1" type="noConversion"/>
  </si>
  <si>
    <t>39</t>
    <phoneticPr fontId="1" type="noConversion"/>
  </si>
  <si>
    <t>44</t>
    <phoneticPr fontId="1" type="noConversion"/>
  </si>
  <si>
    <t>44</t>
    <phoneticPr fontId="1" type="noConversion"/>
  </si>
  <si>
    <t>29</t>
    <phoneticPr fontId="1" type="noConversion"/>
  </si>
  <si>
    <t>110</t>
    <phoneticPr fontId="1" type="noConversion"/>
  </si>
  <si>
    <t>92</t>
    <phoneticPr fontId="1" type="noConversion"/>
  </si>
  <si>
    <t>46</t>
    <phoneticPr fontId="1" type="noConversion"/>
  </si>
  <si>
    <t>18:00:00</t>
    <phoneticPr fontId="1" type="noConversion"/>
  </si>
  <si>
    <t>二林SS_IE</t>
    <phoneticPr fontId="1" type="noConversion"/>
  </si>
  <si>
    <t>埤北線(IE27)</t>
    <phoneticPr fontId="1" type="noConversion"/>
  </si>
  <si>
    <t>260</t>
    <phoneticPr fontId="1" type="noConversion"/>
  </si>
  <si>
    <t>274</t>
    <phoneticPr fontId="1" type="noConversion"/>
  </si>
  <si>
    <t>274</t>
    <phoneticPr fontId="1" type="noConversion"/>
  </si>
  <si>
    <t>06:00:00</t>
    <phoneticPr fontId="1" type="noConversion"/>
  </si>
  <si>
    <t>二林SS_IE</t>
    <phoneticPr fontId="1" type="noConversion"/>
  </si>
  <si>
    <t>西斗線(IE22)</t>
    <phoneticPr fontId="1" type="noConversion"/>
  </si>
  <si>
    <t>191</t>
    <phoneticPr fontId="1" type="noConversion"/>
  </si>
  <si>
    <t>19:00:00</t>
    <phoneticPr fontId="1" type="noConversion"/>
  </si>
  <si>
    <t>154</t>
    <phoneticPr fontId="1" type="noConversion"/>
  </si>
  <si>
    <t>#2MTR</t>
    <phoneticPr fontId="1" type="noConversion"/>
  </si>
  <si>
    <t>799</t>
    <phoneticPr fontId="1" type="noConversion"/>
  </si>
  <si>
    <t>848</t>
    <phoneticPr fontId="1" type="noConversion"/>
  </si>
  <si>
    <t>939</t>
    <phoneticPr fontId="1" type="noConversion"/>
  </si>
  <si>
    <t>939</t>
    <phoneticPr fontId="1" type="noConversion"/>
  </si>
  <si>
    <t>85</t>
    <phoneticPr fontId="1" type="noConversion"/>
  </si>
  <si>
    <t>21:00:00</t>
    <phoneticPr fontId="1" type="noConversion"/>
  </si>
  <si>
    <t>19:00:00</t>
    <phoneticPr fontId="1" type="noConversion"/>
  </si>
  <si>
    <t>138</t>
    <phoneticPr fontId="1" type="noConversion"/>
  </si>
  <si>
    <t>09:00:00</t>
    <phoneticPr fontId="1" type="noConversion"/>
  </si>
  <si>
    <t>二林SS_IE</t>
    <phoneticPr fontId="1" type="noConversion"/>
  </si>
  <si>
    <t>廣西線(IE28)</t>
    <phoneticPr fontId="1" type="noConversion"/>
  </si>
  <si>
    <t>106</t>
    <phoneticPr fontId="1" type="noConversion"/>
  </si>
  <si>
    <t>99</t>
    <phoneticPr fontId="1" type="noConversion"/>
  </si>
  <si>
    <t>170</t>
    <phoneticPr fontId="1" type="noConversion"/>
  </si>
  <si>
    <t>170</t>
    <phoneticPr fontId="1" type="noConversion"/>
  </si>
  <si>
    <t>78</t>
    <phoneticPr fontId="1" type="noConversion"/>
  </si>
  <si>
    <t>20:00:00</t>
    <phoneticPr fontId="1" type="noConversion"/>
  </si>
  <si>
    <t>109</t>
    <phoneticPr fontId="1" type="noConversion"/>
  </si>
  <si>
    <t>19:00:00</t>
    <phoneticPr fontId="1" type="noConversion"/>
  </si>
  <si>
    <t>109</t>
    <phoneticPr fontId="1" type="noConversion"/>
  </si>
  <si>
    <t>18:00:00</t>
    <phoneticPr fontId="1" type="noConversion"/>
  </si>
  <si>
    <t>109</t>
    <phoneticPr fontId="1" type="noConversion"/>
  </si>
  <si>
    <t>34</t>
    <phoneticPr fontId="1" type="noConversion"/>
  </si>
  <si>
    <t>223</t>
    <phoneticPr fontId="1" type="noConversion"/>
  </si>
  <si>
    <t>281</t>
    <phoneticPr fontId="1" type="noConversion"/>
  </si>
  <si>
    <t>13:00:00</t>
    <phoneticPr fontId="1" type="noConversion"/>
  </si>
  <si>
    <t>19:00:00</t>
    <phoneticPr fontId="1" type="noConversion"/>
  </si>
  <si>
    <t>70</t>
    <phoneticPr fontId="1" type="noConversion"/>
  </si>
  <si>
    <t>289</t>
    <phoneticPr fontId="1" type="noConversion"/>
  </si>
  <si>
    <t>18:00:00</t>
    <phoneticPr fontId="1" type="noConversion"/>
  </si>
  <si>
    <t>溪州SS_IF</t>
    <phoneticPr fontId="1" type="noConversion"/>
  </si>
  <si>
    <t>18:00:00</t>
    <phoneticPr fontId="1" type="noConversion"/>
  </si>
  <si>
    <t>490</t>
    <phoneticPr fontId="1" type="noConversion"/>
  </si>
  <si>
    <t>18:00:00</t>
    <phoneticPr fontId="1" type="noConversion"/>
  </si>
  <si>
    <t>埤頭線(IF21)</t>
    <phoneticPr fontId="1" type="noConversion"/>
  </si>
  <si>
    <t>45</t>
    <phoneticPr fontId="1" type="noConversion"/>
  </si>
  <si>
    <t>238</t>
    <phoneticPr fontId="1" type="noConversion"/>
  </si>
  <si>
    <t>230</t>
    <phoneticPr fontId="1" type="noConversion"/>
  </si>
  <si>
    <t>溪工線(IF33)</t>
    <phoneticPr fontId="1" type="noConversion"/>
  </si>
  <si>
    <t>129</t>
    <phoneticPr fontId="1" type="noConversion"/>
  </si>
  <si>
    <t>15:00:00</t>
    <phoneticPr fontId="1" type="noConversion"/>
  </si>
  <si>
    <t>136</t>
    <phoneticPr fontId="1" type="noConversion"/>
  </si>
  <si>
    <t>農場線(IF34)</t>
    <phoneticPr fontId="1" type="noConversion"/>
  </si>
  <si>
    <t>0</t>
    <phoneticPr fontId="1" type="noConversion"/>
  </si>
  <si>
    <t>00:00:00</t>
    <phoneticPr fontId="1" type="noConversion"/>
  </si>
  <si>
    <t>#2MTR</t>
    <phoneticPr fontId="1" type="noConversion"/>
  </si>
  <si>
    <t>613</t>
    <phoneticPr fontId="1" type="noConversion"/>
  </si>
  <si>
    <t>19</t>
    <phoneticPr fontId="1" type="noConversion"/>
  </si>
  <si>
    <t>18</t>
    <phoneticPr fontId="1" type="noConversion"/>
  </si>
  <si>
    <t>15:00:00</t>
    <phoneticPr fontId="1" type="noConversion"/>
  </si>
  <si>
    <t>19</t>
    <phoneticPr fontId="1" type="noConversion"/>
  </si>
  <si>
    <t>3</t>
    <phoneticPr fontId="1" type="noConversion"/>
  </si>
  <si>
    <t>49</t>
    <phoneticPr fontId="1" type="noConversion"/>
  </si>
  <si>
    <t>98</t>
    <phoneticPr fontId="1" type="noConversion"/>
  </si>
  <si>
    <t>48</t>
    <phoneticPr fontId="1" type="noConversion"/>
  </si>
  <si>
    <t>48</t>
    <phoneticPr fontId="1" type="noConversion"/>
  </si>
  <si>
    <t>埤工線(IF24)</t>
    <phoneticPr fontId="1" type="noConversion"/>
  </si>
  <si>
    <t>埔尾線(IF26)</t>
    <phoneticPr fontId="1" type="noConversion"/>
  </si>
  <si>
    <t>269</t>
    <phoneticPr fontId="1" type="noConversion"/>
  </si>
  <si>
    <t>21:00:00</t>
    <phoneticPr fontId="1" type="noConversion"/>
  </si>
  <si>
    <t>溪州SS_IF</t>
    <phoneticPr fontId="1" type="noConversion"/>
  </si>
  <si>
    <t>18:00:00</t>
    <phoneticPr fontId="1" type="noConversion"/>
  </si>
  <si>
    <t>50</t>
    <phoneticPr fontId="1" type="noConversion"/>
  </si>
  <si>
    <t>165</t>
    <phoneticPr fontId="1" type="noConversion"/>
  </si>
  <si>
    <t>115</t>
    <phoneticPr fontId="1" type="noConversion"/>
  </si>
  <si>
    <t>19:00:00</t>
    <phoneticPr fontId="1" type="noConversion"/>
  </si>
  <si>
    <t>45</t>
    <phoneticPr fontId="1" type="noConversion"/>
  </si>
  <si>
    <t>16</t>
    <phoneticPr fontId="1" type="noConversion"/>
  </si>
  <si>
    <t>319</t>
    <phoneticPr fontId="1" type="noConversion"/>
  </si>
  <si>
    <t>52</t>
    <phoneticPr fontId="1" type="noConversion"/>
  </si>
  <si>
    <t>89</t>
    <phoneticPr fontId="1" type="noConversion"/>
  </si>
  <si>
    <t>溪州SS_IF</t>
    <phoneticPr fontId="1" type="noConversion"/>
  </si>
  <si>
    <t>#1ADTR</t>
    <phoneticPr fontId="1" type="noConversion"/>
  </si>
  <si>
    <t>726</t>
    <phoneticPr fontId="1" type="noConversion"/>
  </si>
  <si>
    <t>710</t>
    <phoneticPr fontId="1" type="noConversion"/>
  </si>
  <si>
    <t>698</t>
    <phoneticPr fontId="1" type="noConversion"/>
  </si>
  <si>
    <t>68</t>
    <phoneticPr fontId="1" type="noConversion"/>
  </si>
  <si>
    <t>45</t>
    <phoneticPr fontId="1" type="noConversion"/>
  </si>
  <si>
    <t>田中DS_IG</t>
    <phoneticPr fontId="1" type="noConversion"/>
  </si>
  <si>
    <t>12:00:00</t>
    <phoneticPr fontId="1" type="noConversion"/>
  </si>
  <si>
    <t>田中DS_IG</t>
    <phoneticPr fontId="1" type="noConversion"/>
  </si>
  <si>
    <t>IG32(IG32)</t>
    <phoneticPr fontId="1" type="noConversion"/>
  </si>
  <si>
    <t>13:00:00</t>
    <phoneticPr fontId="1" type="noConversion"/>
  </si>
  <si>
    <t>169</t>
    <phoneticPr fontId="1" type="noConversion"/>
  </si>
  <si>
    <t>14</t>
    <phoneticPr fontId="1" type="noConversion"/>
  </si>
  <si>
    <t>田中DS_IG</t>
    <phoneticPr fontId="1" type="noConversion"/>
  </si>
  <si>
    <t>IG33(IG33)</t>
    <phoneticPr fontId="1" type="noConversion"/>
  </si>
  <si>
    <t>256</t>
    <phoneticPr fontId="1" type="noConversion"/>
  </si>
  <si>
    <t>266</t>
    <phoneticPr fontId="1" type="noConversion"/>
  </si>
  <si>
    <t>279</t>
    <phoneticPr fontId="1" type="noConversion"/>
  </si>
  <si>
    <t>279</t>
    <phoneticPr fontId="1" type="noConversion"/>
  </si>
  <si>
    <t>田中DS_IG</t>
    <phoneticPr fontId="1" type="noConversion"/>
  </si>
  <si>
    <t>IG34(IG34)</t>
    <phoneticPr fontId="1" type="noConversion"/>
  </si>
  <si>
    <t>67</t>
    <phoneticPr fontId="1" type="noConversion"/>
  </si>
  <si>
    <t>10:00:00</t>
    <phoneticPr fontId="1" type="noConversion"/>
  </si>
  <si>
    <t>767</t>
    <phoneticPr fontId="1" type="noConversion"/>
  </si>
  <si>
    <t>IG35(IG35)</t>
    <phoneticPr fontId="1" type="noConversion"/>
  </si>
  <si>
    <t>IG36(IG36)</t>
    <phoneticPr fontId="1" type="noConversion"/>
  </si>
  <si>
    <t>49</t>
    <phoneticPr fontId="1" type="noConversion"/>
  </si>
  <si>
    <t>217</t>
    <phoneticPr fontId="1" type="noConversion"/>
  </si>
  <si>
    <t>19:00:00</t>
    <phoneticPr fontId="1" type="noConversion"/>
  </si>
  <si>
    <t>IG39(IG39)</t>
    <phoneticPr fontId="1" type="noConversion"/>
  </si>
  <si>
    <t>21:00:00</t>
    <phoneticPr fontId="1" type="noConversion"/>
  </si>
  <si>
    <t>137</t>
    <phoneticPr fontId="1" type="noConversion"/>
  </si>
  <si>
    <t>516</t>
    <phoneticPr fontId="1" type="noConversion"/>
  </si>
  <si>
    <t>34</t>
    <phoneticPr fontId="1" type="noConversion"/>
  </si>
  <si>
    <t>13:00:00</t>
    <phoneticPr fontId="1" type="noConversion"/>
  </si>
  <si>
    <t>338</t>
    <phoneticPr fontId="1" type="noConversion"/>
  </si>
  <si>
    <t>IG44(IG44)</t>
    <phoneticPr fontId="1" type="noConversion"/>
  </si>
  <si>
    <t>21:00:00</t>
    <phoneticPr fontId="1" type="noConversion"/>
  </si>
  <si>
    <t>82</t>
    <phoneticPr fontId="1" type="noConversion"/>
  </si>
  <si>
    <t>106</t>
    <phoneticPr fontId="1" type="noConversion"/>
  </si>
  <si>
    <t>43</t>
    <phoneticPr fontId="1" type="noConversion"/>
  </si>
  <si>
    <t>276</t>
    <phoneticPr fontId="1" type="noConversion"/>
  </si>
  <si>
    <t>259</t>
    <phoneticPr fontId="1" type="noConversion"/>
  </si>
  <si>
    <t>31</t>
    <phoneticPr fontId="1" type="noConversion"/>
  </si>
  <si>
    <t>61</t>
    <phoneticPr fontId="1" type="noConversion"/>
  </si>
  <si>
    <t>67</t>
    <phoneticPr fontId="1" type="noConversion"/>
  </si>
  <si>
    <t>671</t>
    <phoneticPr fontId="1" type="noConversion"/>
  </si>
  <si>
    <t>693</t>
    <phoneticPr fontId="1" type="noConversion"/>
  </si>
  <si>
    <t>IG47(IG47)</t>
    <phoneticPr fontId="1" type="noConversion"/>
  </si>
  <si>
    <t>276</t>
    <phoneticPr fontId="1" type="noConversion"/>
  </si>
  <si>
    <t>275</t>
    <phoneticPr fontId="1" type="noConversion"/>
  </si>
  <si>
    <t>15:00:00</t>
    <phoneticPr fontId="1" type="noConversion"/>
  </si>
  <si>
    <t>278</t>
    <phoneticPr fontId="1" type="noConversion"/>
  </si>
  <si>
    <t>14:00:00</t>
    <phoneticPr fontId="1" type="noConversion"/>
  </si>
  <si>
    <t>49</t>
    <phoneticPr fontId="1" type="noConversion"/>
  </si>
  <si>
    <t>IG49(IG49)</t>
    <phoneticPr fontId="1" type="noConversion"/>
  </si>
  <si>
    <t>彰西SS_IH</t>
    <phoneticPr fontId="1" type="noConversion"/>
  </si>
  <si>
    <t>#1MTR</t>
    <phoneticPr fontId="1" type="noConversion"/>
  </si>
  <si>
    <t xml:space="preserve"> </t>
    <phoneticPr fontId="1" type="noConversion"/>
  </si>
  <si>
    <t>彰西SS_IH</t>
    <phoneticPr fontId="1" type="noConversion"/>
  </si>
  <si>
    <t>西鎮線(IH27)</t>
    <phoneticPr fontId="1" type="noConversion"/>
  </si>
  <si>
    <t>270</t>
    <phoneticPr fontId="1" type="noConversion"/>
  </si>
  <si>
    <t>西美線(IH21)</t>
    <phoneticPr fontId="1" type="noConversion"/>
  </si>
  <si>
    <t>143</t>
    <phoneticPr fontId="1" type="noConversion"/>
  </si>
  <si>
    <t>159</t>
    <phoneticPr fontId="1" type="noConversion"/>
  </si>
  <si>
    <t>20:00:00</t>
    <phoneticPr fontId="1" type="noConversion"/>
  </si>
  <si>
    <t>101</t>
    <phoneticPr fontId="1" type="noConversion"/>
  </si>
  <si>
    <t>124</t>
    <phoneticPr fontId="1" type="noConversion"/>
  </si>
  <si>
    <t>124</t>
    <phoneticPr fontId="1" type="noConversion"/>
  </si>
  <si>
    <t>下湳線(IH24)</t>
    <phoneticPr fontId="1" type="noConversion"/>
  </si>
  <si>
    <t>258</t>
    <phoneticPr fontId="1" type="noConversion"/>
  </si>
  <si>
    <t>258</t>
    <phoneticPr fontId="1" type="noConversion"/>
  </si>
  <si>
    <t>299</t>
    <phoneticPr fontId="1" type="noConversion"/>
  </si>
  <si>
    <t>#2MTR</t>
    <phoneticPr fontId="1" type="noConversion"/>
  </si>
  <si>
    <t>723</t>
    <phoneticPr fontId="1" type="noConversion"/>
  </si>
  <si>
    <t>590</t>
    <phoneticPr fontId="1" type="noConversion"/>
  </si>
  <si>
    <t>中華線(IH32)</t>
    <phoneticPr fontId="1" type="noConversion"/>
  </si>
  <si>
    <t>56</t>
    <phoneticPr fontId="1" type="noConversion"/>
  </si>
  <si>
    <t>22:00:00</t>
    <phoneticPr fontId="1" type="noConversion"/>
  </si>
  <si>
    <t>林森線(IH31)</t>
    <phoneticPr fontId="1" type="noConversion"/>
  </si>
  <si>
    <t>68</t>
    <phoneticPr fontId="1" type="noConversion"/>
  </si>
  <si>
    <t>平和線(IH34)</t>
    <phoneticPr fontId="1" type="noConversion"/>
  </si>
  <si>
    <t>151</t>
    <phoneticPr fontId="1" type="noConversion"/>
  </si>
  <si>
    <t>89</t>
    <phoneticPr fontId="1" type="noConversion"/>
  </si>
  <si>
    <t>214</t>
    <phoneticPr fontId="1" type="noConversion"/>
  </si>
  <si>
    <t>964</t>
    <phoneticPr fontId="1" type="noConversion"/>
  </si>
  <si>
    <t>14:00:00</t>
    <phoneticPr fontId="1" type="noConversion"/>
  </si>
  <si>
    <t>362</t>
    <phoneticPr fontId="1" type="noConversion"/>
  </si>
  <si>
    <t>107</t>
    <phoneticPr fontId="1" type="noConversion"/>
  </si>
  <si>
    <t>152</t>
    <phoneticPr fontId="1" type="noConversion"/>
  </si>
  <si>
    <t>19:00:00</t>
    <phoneticPr fontId="1" type="noConversion"/>
  </si>
  <si>
    <t>11:00:00</t>
    <phoneticPr fontId="1" type="noConversion"/>
  </si>
  <si>
    <t>203</t>
    <phoneticPr fontId="1" type="noConversion"/>
  </si>
  <si>
    <t>62</t>
    <phoneticPr fontId="1" type="noConversion"/>
  </si>
  <si>
    <t>12:00:00</t>
    <phoneticPr fontId="1" type="noConversion"/>
  </si>
  <si>
    <t>182</t>
    <phoneticPr fontId="1" type="noConversion"/>
  </si>
  <si>
    <t>後港線(IH20)</t>
    <phoneticPr fontId="1" type="noConversion"/>
  </si>
  <si>
    <t>144</t>
    <phoneticPr fontId="1" type="noConversion"/>
  </si>
  <si>
    <t>71</t>
    <phoneticPr fontId="1" type="noConversion"/>
  </si>
  <si>
    <t xml:space="preserve"> </t>
    <phoneticPr fontId="1" type="noConversion"/>
  </si>
  <si>
    <t>54</t>
    <phoneticPr fontId="1" type="noConversion"/>
  </si>
  <si>
    <t>58</t>
    <phoneticPr fontId="1" type="noConversion"/>
  </si>
  <si>
    <t>新生線(II20)</t>
    <phoneticPr fontId="1" type="noConversion"/>
  </si>
  <si>
    <t>206</t>
    <phoneticPr fontId="1" type="noConversion"/>
  </si>
  <si>
    <t>彰南SS_II</t>
    <phoneticPr fontId="1" type="noConversion"/>
  </si>
  <si>
    <t>南興線(II26)</t>
    <phoneticPr fontId="1" type="noConversion"/>
  </si>
  <si>
    <t>18:00:00</t>
    <phoneticPr fontId="1" type="noConversion"/>
  </si>
  <si>
    <t>56</t>
    <phoneticPr fontId="1" type="noConversion"/>
  </si>
  <si>
    <t>112</t>
    <phoneticPr fontId="1" type="noConversion"/>
  </si>
  <si>
    <t>彰南SS_II</t>
    <phoneticPr fontId="1" type="noConversion"/>
  </si>
  <si>
    <t>899</t>
    <phoneticPr fontId="1" type="noConversion"/>
  </si>
  <si>
    <t>860</t>
    <phoneticPr fontId="1" type="noConversion"/>
  </si>
  <si>
    <t>929</t>
    <phoneticPr fontId="1" type="noConversion"/>
  </si>
  <si>
    <t>南郭線(II32)</t>
    <phoneticPr fontId="1" type="noConversion"/>
  </si>
  <si>
    <t>127</t>
    <phoneticPr fontId="1" type="noConversion"/>
  </si>
  <si>
    <t>14:00:00</t>
    <phoneticPr fontId="1" type="noConversion"/>
  </si>
  <si>
    <t>169</t>
    <phoneticPr fontId="1" type="noConversion"/>
  </si>
  <si>
    <t>158</t>
    <phoneticPr fontId="1" type="noConversion"/>
  </si>
  <si>
    <t>169</t>
    <phoneticPr fontId="1" type="noConversion"/>
  </si>
  <si>
    <t>57</t>
    <phoneticPr fontId="1" type="noConversion"/>
  </si>
  <si>
    <t>彰南SS_II</t>
    <phoneticPr fontId="1" type="noConversion"/>
  </si>
  <si>
    <t>120</t>
    <phoneticPr fontId="1" type="noConversion"/>
  </si>
  <si>
    <t>215</t>
    <phoneticPr fontId="1" type="noConversion"/>
  </si>
  <si>
    <t>151</t>
    <phoneticPr fontId="1" type="noConversion"/>
  </si>
  <si>
    <t>159</t>
    <phoneticPr fontId="1" type="noConversion"/>
  </si>
  <si>
    <t>13:00:00</t>
    <phoneticPr fontId="1" type="noConversion"/>
  </si>
  <si>
    <t>彰南SS_II</t>
    <phoneticPr fontId="1" type="noConversion"/>
  </si>
  <si>
    <t>36</t>
    <phoneticPr fontId="1" type="noConversion"/>
  </si>
  <si>
    <t>73</t>
    <phoneticPr fontId="1" type="noConversion"/>
  </si>
  <si>
    <t>和美SS_IJ</t>
    <phoneticPr fontId="1" type="noConversion"/>
  </si>
  <si>
    <t>13:00:00</t>
    <phoneticPr fontId="1" type="noConversion"/>
  </si>
  <si>
    <t>47</t>
    <phoneticPr fontId="1" type="noConversion"/>
  </si>
  <si>
    <t>和崁線(IJ33)</t>
    <phoneticPr fontId="1" type="noConversion"/>
  </si>
  <si>
    <t>10:00:00</t>
    <phoneticPr fontId="1" type="noConversion"/>
  </si>
  <si>
    <t>95</t>
    <phoneticPr fontId="1" type="noConversion"/>
  </si>
  <si>
    <t>和美SS_IJ</t>
    <phoneticPr fontId="1" type="noConversion"/>
  </si>
  <si>
    <t>77</t>
    <phoneticPr fontId="1" type="noConversion"/>
  </si>
  <si>
    <t>20:00:00</t>
    <phoneticPr fontId="1" type="noConversion"/>
  </si>
  <si>
    <t>869</t>
    <phoneticPr fontId="1" type="noConversion"/>
  </si>
  <si>
    <t>14:00:00</t>
    <phoneticPr fontId="1" type="noConversion"/>
  </si>
  <si>
    <t>和美SS_IJ</t>
    <phoneticPr fontId="1" type="noConversion"/>
  </si>
  <si>
    <t>和南線(IJ28)</t>
    <phoneticPr fontId="1" type="noConversion"/>
  </si>
  <si>
    <t>163</t>
    <phoneticPr fontId="1" type="noConversion"/>
  </si>
  <si>
    <t>212</t>
    <phoneticPr fontId="1" type="noConversion"/>
  </si>
  <si>
    <t>06:00:00</t>
    <phoneticPr fontId="1" type="noConversion"/>
  </si>
  <si>
    <t>231</t>
    <phoneticPr fontId="1" type="noConversion"/>
  </si>
  <si>
    <t>21:00:00</t>
    <phoneticPr fontId="1" type="noConversion"/>
  </si>
  <si>
    <t>161</t>
    <phoneticPr fontId="1" type="noConversion"/>
  </si>
  <si>
    <t>196</t>
    <phoneticPr fontId="1" type="noConversion"/>
  </si>
  <si>
    <t>22:00:00</t>
    <phoneticPr fontId="1" type="noConversion"/>
  </si>
  <si>
    <t>頂犁線(IJ21)</t>
    <phoneticPr fontId="1" type="noConversion"/>
  </si>
  <si>
    <t>霞田線(IJ27)</t>
    <phoneticPr fontId="1" type="noConversion"/>
  </si>
  <si>
    <t>764</t>
    <phoneticPr fontId="1" type="noConversion"/>
  </si>
  <si>
    <t>271</t>
    <phoneticPr fontId="1" type="noConversion"/>
  </si>
  <si>
    <t>285</t>
    <phoneticPr fontId="1" type="noConversion"/>
  </si>
  <si>
    <t>彰化DS_IK</t>
    <phoneticPr fontId="1" type="noConversion"/>
  </si>
  <si>
    <t>103</t>
    <phoneticPr fontId="1" type="noConversion"/>
  </si>
  <si>
    <t>IK33(IK33)</t>
    <phoneticPr fontId="1" type="noConversion"/>
  </si>
  <si>
    <t>218</t>
    <phoneticPr fontId="1" type="noConversion"/>
  </si>
  <si>
    <t>18</t>
    <phoneticPr fontId="1" type="noConversion"/>
  </si>
  <si>
    <t>14</t>
    <phoneticPr fontId="1" type="noConversion"/>
  </si>
  <si>
    <t>彰化DS_IK</t>
    <phoneticPr fontId="1" type="noConversion"/>
  </si>
  <si>
    <t>#1BDTR</t>
    <phoneticPr fontId="1" type="noConversion"/>
  </si>
  <si>
    <t>584</t>
    <phoneticPr fontId="1" type="noConversion"/>
  </si>
  <si>
    <t>577</t>
    <phoneticPr fontId="1" type="noConversion"/>
  </si>
  <si>
    <t>582</t>
    <phoneticPr fontId="1" type="noConversion"/>
  </si>
  <si>
    <t>IK49(IK49)</t>
    <phoneticPr fontId="1" type="noConversion"/>
  </si>
  <si>
    <t>249</t>
    <phoneticPr fontId="1" type="noConversion"/>
  </si>
  <si>
    <t>56</t>
    <phoneticPr fontId="1" type="noConversion"/>
  </si>
  <si>
    <t>IK48(IK48)</t>
    <phoneticPr fontId="1" type="noConversion"/>
  </si>
  <si>
    <t>173</t>
    <phoneticPr fontId="1" type="noConversion"/>
  </si>
  <si>
    <t>197</t>
    <phoneticPr fontId="1" type="noConversion"/>
  </si>
  <si>
    <t>211</t>
    <phoneticPr fontId="1" type="noConversion"/>
  </si>
  <si>
    <t>151</t>
    <phoneticPr fontId="1" type="noConversion"/>
  </si>
  <si>
    <t>0</t>
    <phoneticPr fontId="1" type="noConversion"/>
  </si>
  <si>
    <t>#2ADTR</t>
    <phoneticPr fontId="1" type="noConversion"/>
  </si>
  <si>
    <t>808</t>
    <phoneticPr fontId="1" type="noConversion"/>
  </si>
  <si>
    <t>777</t>
    <phoneticPr fontId="1" type="noConversion"/>
  </si>
  <si>
    <t>彰化DS_IK</t>
    <phoneticPr fontId="1" type="noConversion"/>
  </si>
  <si>
    <t>彰化DS_IK</t>
    <phoneticPr fontId="1" type="noConversion"/>
  </si>
  <si>
    <t>IK38(IK38)</t>
    <phoneticPr fontId="1" type="noConversion"/>
  </si>
  <si>
    <t>176</t>
    <phoneticPr fontId="1" type="noConversion"/>
  </si>
  <si>
    <t>23</t>
    <phoneticPr fontId="1" type="noConversion"/>
  </si>
  <si>
    <t>#2BDTR</t>
    <phoneticPr fontId="1" type="noConversion"/>
  </si>
  <si>
    <t>896</t>
    <phoneticPr fontId="1" type="noConversion"/>
  </si>
  <si>
    <t>IK44(IK44)</t>
    <phoneticPr fontId="1" type="noConversion"/>
  </si>
  <si>
    <t>253</t>
    <phoneticPr fontId="1" type="noConversion"/>
  </si>
  <si>
    <t>329</t>
    <phoneticPr fontId="1" type="noConversion"/>
  </si>
  <si>
    <t>22:00:00</t>
    <phoneticPr fontId="1" type="noConversion"/>
  </si>
  <si>
    <t>92</t>
    <phoneticPr fontId="1" type="noConversion"/>
  </si>
  <si>
    <t>94</t>
    <phoneticPr fontId="1" type="noConversion"/>
  </si>
  <si>
    <t>#2MTR</t>
    <phoneticPr fontId="1" type="noConversion"/>
  </si>
  <si>
    <t>1031</t>
    <phoneticPr fontId="1" type="noConversion"/>
  </si>
  <si>
    <t>員南SS_IL</t>
    <phoneticPr fontId="1" type="noConversion"/>
  </si>
  <si>
    <t>#1MTR</t>
    <phoneticPr fontId="1" type="noConversion"/>
  </si>
  <si>
    <t>784</t>
    <phoneticPr fontId="1" type="noConversion"/>
  </si>
  <si>
    <t>793</t>
    <phoneticPr fontId="1" type="noConversion"/>
  </si>
  <si>
    <t>員南SS_IL</t>
    <phoneticPr fontId="1" type="noConversion"/>
  </si>
  <si>
    <t>南靖線(IL22)</t>
    <phoneticPr fontId="1" type="noConversion"/>
  </si>
  <si>
    <t>299</t>
    <phoneticPr fontId="1" type="noConversion"/>
  </si>
  <si>
    <t>280</t>
    <phoneticPr fontId="1" type="noConversion"/>
  </si>
  <si>
    <t>274</t>
    <phoneticPr fontId="1" type="noConversion"/>
  </si>
  <si>
    <t>299</t>
    <phoneticPr fontId="1" type="noConversion"/>
  </si>
  <si>
    <t>150</t>
    <phoneticPr fontId="1" type="noConversion"/>
  </si>
  <si>
    <t>太平線(IL23)</t>
    <phoneticPr fontId="1" type="noConversion"/>
  </si>
  <si>
    <t>236</t>
    <phoneticPr fontId="1" type="noConversion"/>
  </si>
  <si>
    <t>257</t>
    <phoneticPr fontId="1" type="noConversion"/>
  </si>
  <si>
    <t>中央線(IL24)</t>
    <phoneticPr fontId="1" type="noConversion"/>
  </si>
  <si>
    <t>167</t>
    <phoneticPr fontId="1" type="noConversion"/>
  </si>
  <si>
    <t>173</t>
    <phoneticPr fontId="1" type="noConversion"/>
  </si>
  <si>
    <t>7</t>
    <phoneticPr fontId="1" type="noConversion"/>
  </si>
  <si>
    <t>732</t>
    <phoneticPr fontId="1" type="noConversion"/>
  </si>
  <si>
    <t>672</t>
    <phoneticPr fontId="1" type="noConversion"/>
  </si>
  <si>
    <t>638</t>
    <phoneticPr fontId="1" type="noConversion"/>
  </si>
  <si>
    <t>大華線(IL32)</t>
    <phoneticPr fontId="1" type="noConversion"/>
  </si>
  <si>
    <t>190</t>
    <phoneticPr fontId="1" type="noConversion"/>
  </si>
  <si>
    <t>172</t>
    <phoneticPr fontId="1" type="noConversion"/>
  </si>
  <si>
    <t>瓦瑤線(IL29)</t>
    <phoneticPr fontId="1" type="noConversion"/>
  </si>
  <si>
    <t>81</t>
    <phoneticPr fontId="1" type="noConversion"/>
  </si>
  <si>
    <t>83</t>
    <phoneticPr fontId="1" type="noConversion"/>
  </si>
  <si>
    <t>員南SS_IL</t>
    <phoneticPr fontId="1" type="noConversion"/>
  </si>
  <si>
    <t>溝皂線(IL25)</t>
    <phoneticPr fontId="1" type="noConversion"/>
  </si>
  <si>
    <t>208</t>
    <phoneticPr fontId="1" type="noConversion"/>
  </si>
  <si>
    <t>194</t>
    <phoneticPr fontId="1" type="noConversion"/>
  </si>
  <si>
    <t>180</t>
    <phoneticPr fontId="1" type="noConversion"/>
  </si>
  <si>
    <t>208</t>
    <phoneticPr fontId="1" type="noConversion"/>
  </si>
  <si>
    <t>54</t>
    <phoneticPr fontId="1" type="noConversion"/>
  </si>
  <si>
    <t>119</t>
    <phoneticPr fontId="1" type="noConversion"/>
  </si>
  <si>
    <t>185</t>
    <phoneticPr fontId="1" type="noConversion"/>
  </si>
  <si>
    <t>13:00:00</t>
    <phoneticPr fontId="1" type="noConversion"/>
  </si>
  <si>
    <t>員南SS_IL</t>
    <phoneticPr fontId="1" type="noConversion"/>
  </si>
  <si>
    <t>712</t>
    <phoneticPr fontId="1" type="noConversion"/>
  </si>
  <si>
    <t>756</t>
    <phoneticPr fontId="1" type="noConversion"/>
  </si>
  <si>
    <t>0</t>
    <phoneticPr fontId="1" type="noConversion"/>
  </si>
  <si>
    <t>00:00:00</t>
    <phoneticPr fontId="1" type="noConversion"/>
  </si>
  <si>
    <t>南門線(IL30)</t>
    <phoneticPr fontId="1" type="noConversion"/>
  </si>
  <si>
    <t>379</t>
    <phoneticPr fontId="1" type="noConversion"/>
  </si>
  <si>
    <t>338</t>
    <phoneticPr fontId="1" type="noConversion"/>
  </si>
  <si>
    <t>356</t>
    <phoneticPr fontId="1" type="noConversion"/>
  </si>
  <si>
    <t>75</t>
    <phoneticPr fontId="1" type="noConversion"/>
  </si>
  <si>
    <t>214</t>
    <phoneticPr fontId="1" type="noConversion"/>
  </si>
  <si>
    <t>221</t>
    <phoneticPr fontId="1" type="noConversion"/>
  </si>
  <si>
    <t>19:00:00</t>
    <phoneticPr fontId="1" type="noConversion"/>
  </si>
  <si>
    <t>員南SS_IL</t>
    <phoneticPr fontId="1" type="noConversion"/>
  </si>
  <si>
    <t>#1MTR</t>
    <phoneticPr fontId="1" type="noConversion"/>
  </si>
  <si>
    <t>910</t>
    <phoneticPr fontId="1" type="noConversion"/>
  </si>
  <si>
    <t>944</t>
    <phoneticPr fontId="1" type="noConversion"/>
  </si>
  <si>
    <t>竹彰線(IM30)</t>
    <phoneticPr fontId="1" type="noConversion"/>
  </si>
  <si>
    <t>31</t>
    <phoneticPr fontId="1" type="noConversion"/>
  </si>
  <si>
    <t>山坑線(IM29)</t>
    <phoneticPr fontId="1" type="noConversion"/>
  </si>
  <si>
    <t>大竹SS_IM</t>
    <phoneticPr fontId="1" type="noConversion"/>
  </si>
  <si>
    <t>渡船線(IM20)</t>
    <phoneticPr fontId="1" type="noConversion"/>
  </si>
  <si>
    <t>245</t>
    <phoneticPr fontId="1" type="noConversion"/>
  </si>
  <si>
    <t>大竹SS_IM</t>
    <phoneticPr fontId="1" type="noConversion"/>
  </si>
  <si>
    <t>496</t>
    <phoneticPr fontId="1" type="noConversion"/>
  </si>
  <si>
    <t>13:00:00</t>
    <phoneticPr fontId="1" type="noConversion"/>
  </si>
  <si>
    <t>530</t>
    <phoneticPr fontId="1" type="noConversion"/>
  </si>
  <si>
    <t xml:space="preserve"> </t>
    <phoneticPr fontId="1" type="noConversion"/>
  </si>
  <si>
    <t>107</t>
    <phoneticPr fontId="1" type="noConversion"/>
  </si>
  <si>
    <t>63</t>
    <phoneticPr fontId="1" type="noConversion"/>
  </si>
  <si>
    <t>15:00:00</t>
    <phoneticPr fontId="1" type="noConversion"/>
  </si>
  <si>
    <t>福山線(IM25)</t>
    <phoneticPr fontId="1" type="noConversion"/>
  </si>
  <si>
    <t>#3MTR</t>
    <phoneticPr fontId="1" type="noConversion"/>
  </si>
  <si>
    <t>大竹SS_IM</t>
    <phoneticPr fontId="1" type="noConversion"/>
  </si>
  <si>
    <t>大東線(IM21)</t>
    <phoneticPr fontId="1" type="noConversion"/>
  </si>
  <si>
    <t>大村SS_IN</t>
    <phoneticPr fontId="1" type="noConversion"/>
  </si>
  <si>
    <t>712</t>
    <phoneticPr fontId="1" type="noConversion"/>
  </si>
  <si>
    <t>772</t>
    <phoneticPr fontId="1" type="noConversion"/>
  </si>
  <si>
    <t>772</t>
    <phoneticPr fontId="1" type="noConversion"/>
  </si>
  <si>
    <t>346</t>
    <phoneticPr fontId="1" type="noConversion"/>
  </si>
  <si>
    <t>352</t>
    <phoneticPr fontId="1" type="noConversion"/>
  </si>
  <si>
    <t>384</t>
    <phoneticPr fontId="1" type="noConversion"/>
  </si>
  <si>
    <t>58</t>
    <phoneticPr fontId="1" type="noConversion"/>
  </si>
  <si>
    <t>15:00:00</t>
    <phoneticPr fontId="1" type="noConversion"/>
  </si>
  <si>
    <t>中興線(IN24)</t>
    <phoneticPr fontId="1" type="noConversion"/>
  </si>
  <si>
    <t>04:00:00</t>
    <phoneticPr fontId="1" type="noConversion"/>
  </si>
  <si>
    <t>04:00:00</t>
    <phoneticPr fontId="1" type="noConversion"/>
  </si>
  <si>
    <t>121</t>
    <phoneticPr fontId="1" type="noConversion"/>
  </si>
  <si>
    <t>121</t>
    <phoneticPr fontId="1" type="noConversion"/>
  </si>
  <si>
    <t>5</t>
    <phoneticPr fontId="1" type="noConversion"/>
  </si>
  <si>
    <t>大村SS_IN</t>
    <phoneticPr fontId="1" type="noConversion"/>
  </si>
  <si>
    <t>內庄線(IN20)</t>
    <phoneticPr fontId="1" type="noConversion"/>
  </si>
  <si>
    <t>00:00:00</t>
    <phoneticPr fontId="1" type="noConversion"/>
  </si>
  <si>
    <t>三芬線(IN31)</t>
    <phoneticPr fontId="1" type="noConversion"/>
  </si>
  <si>
    <t>174</t>
    <phoneticPr fontId="1" type="noConversion"/>
  </si>
  <si>
    <t>161</t>
    <phoneticPr fontId="1" type="noConversion"/>
  </si>
  <si>
    <t>37</t>
    <phoneticPr fontId="1" type="noConversion"/>
  </si>
  <si>
    <t>213</t>
    <phoneticPr fontId="1" type="noConversion"/>
  </si>
  <si>
    <t>32</t>
    <phoneticPr fontId="1" type="noConversion"/>
  </si>
  <si>
    <t>697</t>
    <phoneticPr fontId="1" type="noConversion"/>
  </si>
  <si>
    <t>700</t>
    <phoneticPr fontId="1" type="noConversion"/>
  </si>
  <si>
    <t>729</t>
    <phoneticPr fontId="1" type="noConversion"/>
  </si>
  <si>
    <t>大橋線(IN22)</t>
    <phoneticPr fontId="1" type="noConversion"/>
  </si>
  <si>
    <t>225</t>
    <phoneticPr fontId="1" type="noConversion"/>
  </si>
  <si>
    <t>237</t>
    <phoneticPr fontId="1" type="noConversion"/>
  </si>
  <si>
    <t>49</t>
    <phoneticPr fontId="1" type="noConversion"/>
  </si>
  <si>
    <t>大村SS_IN</t>
    <phoneticPr fontId="1" type="noConversion"/>
  </si>
  <si>
    <t>118</t>
    <phoneticPr fontId="1" type="noConversion"/>
  </si>
  <si>
    <t>長春線(IN32)</t>
    <phoneticPr fontId="1" type="noConversion"/>
  </si>
  <si>
    <t>148</t>
    <phoneticPr fontId="1" type="noConversion"/>
  </si>
  <si>
    <t>242</t>
    <phoneticPr fontId="1" type="noConversion"/>
  </si>
  <si>
    <t>灣口線(IN27)</t>
    <phoneticPr fontId="1" type="noConversion"/>
  </si>
  <si>
    <t>377</t>
    <phoneticPr fontId="1" type="noConversion"/>
  </si>
  <si>
    <t>383</t>
    <phoneticPr fontId="1" type="noConversion"/>
  </si>
  <si>
    <t>13:00:00</t>
    <phoneticPr fontId="1" type="noConversion"/>
  </si>
  <si>
    <t>383</t>
    <phoneticPr fontId="1" type="noConversion"/>
  </si>
  <si>
    <t>87</t>
    <phoneticPr fontId="1" type="noConversion"/>
  </si>
  <si>
    <t>28</t>
    <phoneticPr fontId="1" type="noConversion"/>
  </si>
  <si>
    <t>185</t>
    <phoneticPr fontId="1" type="noConversion"/>
  </si>
  <si>
    <t>227</t>
    <phoneticPr fontId="1" type="noConversion"/>
  </si>
  <si>
    <t>66</t>
    <phoneticPr fontId="1" type="noConversion"/>
  </si>
  <si>
    <t>16:00:00</t>
    <phoneticPr fontId="1" type="noConversion"/>
  </si>
  <si>
    <t>3</t>
    <phoneticPr fontId="1" type="noConversion"/>
  </si>
  <si>
    <t>鹿東DS_IO</t>
    <phoneticPr fontId="1" type="noConversion"/>
  </si>
  <si>
    <t>749</t>
    <phoneticPr fontId="1" type="noConversion"/>
  </si>
  <si>
    <t>IO25(IO25)</t>
    <phoneticPr fontId="1" type="noConversion"/>
  </si>
  <si>
    <t>27</t>
    <phoneticPr fontId="1" type="noConversion"/>
  </si>
  <si>
    <t>鹿東DS_IO</t>
    <phoneticPr fontId="1" type="noConversion"/>
  </si>
  <si>
    <t>54</t>
    <phoneticPr fontId="1" type="noConversion"/>
  </si>
  <si>
    <t>鹿東DS_IO</t>
    <phoneticPr fontId="1" type="noConversion"/>
  </si>
  <si>
    <t>IO22(IO22)</t>
    <phoneticPr fontId="1" type="noConversion"/>
  </si>
  <si>
    <t>205</t>
    <phoneticPr fontId="1" type="noConversion"/>
  </si>
  <si>
    <t>#1ADTR</t>
    <phoneticPr fontId="1" type="noConversion"/>
  </si>
  <si>
    <t>404</t>
    <phoneticPr fontId="1" type="noConversion"/>
  </si>
  <si>
    <t>414</t>
    <phoneticPr fontId="1" type="noConversion"/>
  </si>
  <si>
    <t>107</t>
    <phoneticPr fontId="1" type="noConversion"/>
  </si>
  <si>
    <t>16:00:00</t>
    <phoneticPr fontId="1" type="noConversion"/>
  </si>
  <si>
    <t>77</t>
    <phoneticPr fontId="1" type="noConversion"/>
  </si>
  <si>
    <t>IO55(IO55)</t>
    <phoneticPr fontId="1" type="noConversion"/>
  </si>
  <si>
    <t>158</t>
    <phoneticPr fontId="1" type="noConversion"/>
  </si>
  <si>
    <t>163</t>
    <phoneticPr fontId="1" type="noConversion"/>
  </si>
  <si>
    <t>474</t>
    <phoneticPr fontId="1" type="noConversion"/>
  </si>
  <si>
    <t>98</t>
    <phoneticPr fontId="1" type="noConversion"/>
  </si>
  <si>
    <t>98</t>
    <phoneticPr fontId="1" type="noConversion"/>
  </si>
  <si>
    <t>17:00:00</t>
    <phoneticPr fontId="1" type="noConversion"/>
  </si>
  <si>
    <t>17:00:00</t>
    <phoneticPr fontId="1" type="noConversion"/>
  </si>
  <si>
    <t>17:00:00</t>
    <phoneticPr fontId="1" type="noConversion"/>
  </si>
  <si>
    <t>194</t>
    <phoneticPr fontId="1" type="noConversion"/>
  </si>
  <si>
    <t>鹿東DS_IO</t>
    <phoneticPr fontId="1" type="noConversion"/>
  </si>
  <si>
    <t>IO65(IO65)</t>
    <phoneticPr fontId="1" type="noConversion"/>
  </si>
  <si>
    <t>32</t>
    <phoneticPr fontId="1" type="noConversion"/>
  </si>
  <si>
    <t>33</t>
    <phoneticPr fontId="1" type="noConversion"/>
  </si>
  <si>
    <t>鹿東DS_IO</t>
    <phoneticPr fontId="1" type="noConversion"/>
  </si>
  <si>
    <t>57</t>
    <phoneticPr fontId="1" type="noConversion"/>
  </si>
  <si>
    <t>1</t>
    <phoneticPr fontId="1" type="noConversion"/>
  </si>
  <si>
    <t>鹿威(IOW1)</t>
    <phoneticPr fontId="1" type="noConversion"/>
  </si>
  <si>
    <t>838</t>
    <phoneticPr fontId="1" type="noConversion"/>
  </si>
  <si>
    <t>18:00:00</t>
    <phoneticPr fontId="1" type="noConversion"/>
  </si>
  <si>
    <t>14</t>
    <phoneticPr fontId="1" type="noConversion"/>
  </si>
  <si>
    <t>00:00:00</t>
    <phoneticPr fontId="1" type="noConversion"/>
  </si>
  <si>
    <t>61</t>
    <phoneticPr fontId="1" type="noConversion"/>
  </si>
  <si>
    <t>66</t>
    <phoneticPr fontId="1" type="noConversion"/>
  </si>
  <si>
    <t>IO71(IO71)</t>
    <phoneticPr fontId="1" type="noConversion"/>
  </si>
  <si>
    <t>239</t>
    <phoneticPr fontId="1" type="noConversion"/>
  </si>
  <si>
    <t>25</t>
    <phoneticPr fontId="1" type="noConversion"/>
  </si>
  <si>
    <t>26</t>
    <phoneticPr fontId="1" type="noConversion"/>
  </si>
  <si>
    <t>26</t>
    <phoneticPr fontId="1" type="noConversion"/>
  </si>
  <si>
    <t>851</t>
    <phoneticPr fontId="1" type="noConversion"/>
  </si>
  <si>
    <t xml:space="preserve"> </t>
    <phoneticPr fontId="1" type="noConversion"/>
  </si>
  <si>
    <t>金崙線(IP29)</t>
    <phoneticPr fontId="1" type="noConversion"/>
  </si>
  <si>
    <t>福工SS_IP</t>
    <phoneticPr fontId="1" type="noConversion"/>
  </si>
  <si>
    <t>福工線(IP24)</t>
    <phoneticPr fontId="1" type="noConversion"/>
  </si>
  <si>
    <t>135</t>
    <phoneticPr fontId="1" type="noConversion"/>
  </si>
  <si>
    <t>232</t>
    <phoneticPr fontId="1" type="noConversion"/>
  </si>
  <si>
    <t>218</t>
    <phoneticPr fontId="1" type="noConversion"/>
  </si>
  <si>
    <t>福工SS_IP</t>
    <phoneticPr fontId="1" type="noConversion"/>
  </si>
  <si>
    <t>金興線(IP21)</t>
    <phoneticPr fontId="1" type="noConversion"/>
  </si>
  <si>
    <t>197</t>
    <phoneticPr fontId="1" type="noConversion"/>
  </si>
  <si>
    <t>1005</t>
    <phoneticPr fontId="1" type="noConversion"/>
  </si>
  <si>
    <t>福工SS_IP</t>
    <phoneticPr fontId="1" type="noConversion"/>
  </si>
  <si>
    <t>339</t>
    <phoneticPr fontId="1" type="noConversion"/>
  </si>
  <si>
    <t>339</t>
    <phoneticPr fontId="1" type="noConversion"/>
  </si>
  <si>
    <t>78</t>
    <phoneticPr fontId="1" type="noConversion"/>
  </si>
  <si>
    <t>福工SS_IP</t>
    <phoneticPr fontId="1" type="noConversion"/>
  </si>
  <si>
    <t>203</t>
    <phoneticPr fontId="1" type="noConversion"/>
  </si>
  <si>
    <t>10:00:00</t>
    <phoneticPr fontId="1" type="noConversion"/>
  </si>
  <si>
    <t>198</t>
    <phoneticPr fontId="1" type="noConversion"/>
  </si>
  <si>
    <t>00:00:00</t>
    <phoneticPr fontId="1" type="noConversion"/>
  </si>
  <si>
    <t>福工SS_IP</t>
    <phoneticPr fontId="1" type="noConversion"/>
  </si>
  <si>
    <t>南港線(IP28)</t>
    <phoneticPr fontId="1" type="noConversion"/>
  </si>
  <si>
    <t>127</t>
    <phoneticPr fontId="1" type="noConversion"/>
  </si>
  <si>
    <t>235</t>
    <phoneticPr fontId="1" type="noConversion"/>
  </si>
  <si>
    <t>外埔線(IP27)</t>
    <phoneticPr fontId="1" type="noConversion"/>
  </si>
  <si>
    <t>23</t>
    <phoneticPr fontId="1" type="noConversion"/>
  </si>
  <si>
    <t>997</t>
    <phoneticPr fontId="1" type="noConversion"/>
  </si>
  <si>
    <t>埔崙線(IP23)</t>
    <phoneticPr fontId="1" type="noConversion"/>
  </si>
  <si>
    <t>156</t>
    <phoneticPr fontId="1" type="noConversion"/>
  </si>
  <si>
    <t>福北線(IP26)</t>
    <phoneticPr fontId="1" type="noConversion"/>
  </si>
  <si>
    <t>福旗線(IP33)</t>
    <phoneticPr fontId="1" type="noConversion"/>
  </si>
  <si>
    <t>260</t>
    <phoneticPr fontId="1" type="noConversion"/>
  </si>
  <si>
    <t>262</t>
    <phoneticPr fontId="1" type="noConversion"/>
  </si>
  <si>
    <t>46</t>
    <phoneticPr fontId="1" type="noConversion"/>
  </si>
  <si>
    <t>彰東SS_IQ</t>
    <phoneticPr fontId="1" type="noConversion"/>
  </si>
  <si>
    <t>729</t>
    <phoneticPr fontId="1" type="noConversion"/>
  </si>
  <si>
    <t>15:00:00</t>
    <phoneticPr fontId="1" type="noConversion"/>
  </si>
  <si>
    <t>786</t>
    <phoneticPr fontId="1" type="noConversion"/>
  </si>
  <si>
    <t>202</t>
    <phoneticPr fontId="1" type="noConversion"/>
  </si>
  <si>
    <t>彰東SS_IQ</t>
    <phoneticPr fontId="1" type="noConversion"/>
  </si>
  <si>
    <t>IQ22(IQ22)</t>
    <phoneticPr fontId="1" type="noConversion"/>
  </si>
  <si>
    <t>199</t>
    <phoneticPr fontId="1" type="noConversion"/>
  </si>
  <si>
    <t>205</t>
    <phoneticPr fontId="1" type="noConversion"/>
  </si>
  <si>
    <t>22</t>
    <phoneticPr fontId="1" type="noConversion"/>
  </si>
  <si>
    <t>131</t>
    <phoneticPr fontId="1" type="noConversion"/>
  </si>
  <si>
    <t>52</t>
    <phoneticPr fontId="1" type="noConversion"/>
  </si>
  <si>
    <t>彰東SS_IQ</t>
    <phoneticPr fontId="1" type="noConversion"/>
  </si>
  <si>
    <t>203</t>
    <phoneticPr fontId="1" type="noConversion"/>
  </si>
  <si>
    <t>200</t>
    <phoneticPr fontId="1" type="noConversion"/>
  </si>
  <si>
    <t>207</t>
    <phoneticPr fontId="1" type="noConversion"/>
  </si>
  <si>
    <t>32</t>
    <phoneticPr fontId="1" type="noConversion"/>
  </si>
  <si>
    <t>IQ25(IQ25)</t>
    <phoneticPr fontId="1" type="noConversion"/>
  </si>
  <si>
    <t>16:00:00</t>
    <phoneticPr fontId="1" type="noConversion"/>
  </si>
  <si>
    <t>11:00:00</t>
    <phoneticPr fontId="1" type="noConversion"/>
  </si>
  <si>
    <t>14:00:00</t>
    <phoneticPr fontId="1" type="noConversion"/>
  </si>
  <si>
    <t>IQ26(IQ26)</t>
    <phoneticPr fontId="1" type="noConversion"/>
  </si>
  <si>
    <t>186</t>
    <phoneticPr fontId="1" type="noConversion"/>
  </si>
  <si>
    <t>87</t>
    <phoneticPr fontId="1" type="noConversion"/>
  </si>
  <si>
    <t>112</t>
    <phoneticPr fontId="1" type="noConversion"/>
  </si>
  <si>
    <t>IQ28(IQ28)</t>
    <phoneticPr fontId="1" type="noConversion"/>
  </si>
  <si>
    <t>126</t>
    <phoneticPr fontId="1" type="noConversion"/>
  </si>
  <si>
    <t>74</t>
    <phoneticPr fontId="1" type="noConversion"/>
  </si>
  <si>
    <t>05:00:00</t>
    <phoneticPr fontId="1" type="noConversion"/>
  </si>
  <si>
    <t>141</t>
    <phoneticPr fontId="1" type="noConversion"/>
  </si>
  <si>
    <t>12:00:00</t>
    <phoneticPr fontId="1" type="noConversion"/>
  </si>
  <si>
    <t>497</t>
    <phoneticPr fontId="1" type="noConversion"/>
  </si>
  <si>
    <t>76</t>
    <phoneticPr fontId="1" type="noConversion"/>
  </si>
  <si>
    <t>80</t>
    <phoneticPr fontId="1" type="noConversion"/>
  </si>
  <si>
    <t>39</t>
    <phoneticPr fontId="1" type="noConversion"/>
  </si>
  <si>
    <t>IQ32(IQ32)</t>
    <phoneticPr fontId="1" type="noConversion"/>
  </si>
  <si>
    <t>115</t>
    <phoneticPr fontId="1" type="noConversion"/>
  </si>
  <si>
    <t>IQ33(IQ33)</t>
    <phoneticPr fontId="1" type="noConversion"/>
  </si>
  <si>
    <t>102</t>
    <phoneticPr fontId="1" type="noConversion"/>
  </si>
  <si>
    <t>78</t>
    <phoneticPr fontId="1" type="noConversion"/>
  </si>
  <si>
    <t>IQ34(IQ34)</t>
    <phoneticPr fontId="1" type="noConversion"/>
  </si>
  <si>
    <t>109</t>
    <phoneticPr fontId="1" type="noConversion"/>
  </si>
  <si>
    <t>35</t>
    <phoneticPr fontId="1" type="noConversion"/>
  </si>
  <si>
    <t>社頭SS_IR</t>
    <phoneticPr fontId="1" type="noConversion"/>
  </si>
  <si>
    <t>146</t>
    <phoneticPr fontId="1" type="noConversion"/>
  </si>
  <si>
    <t>11:00:00</t>
    <phoneticPr fontId="1" type="noConversion"/>
  </si>
  <si>
    <t>社頭SS_IR</t>
    <phoneticPr fontId="1" type="noConversion"/>
  </si>
  <si>
    <t>332</t>
    <phoneticPr fontId="1" type="noConversion"/>
  </si>
  <si>
    <t>289</t>
    <phoneticPr fontId="1" type="noConversion"/>
  </si>
  <si>
    <t>161</t>
    <phoneticPr fontId="1" type="noConversion"/>
  </si>
  <si>
    <t>209</t>
    <phoneticPr fontId="1" type="noConversion"/>
  </si>
  <si>
    <t>73</t>
    <phoneticPr fontId="1" type="noConversion"/>
  </si>
  <si>
    <t>20:00:00</t>
    <phoneticPr fontId="1" type="noConversion"/>
  </si>
  <si>
    <t>13:00:00</t>
    <phoneticPr fontId="1" type="noConversion"/>
  </si>
  <si>
    <t>137</t>
    <phoneticPr fontId="1" type="noConversion"/>
  </si>
  <si>
    <t>11:00:00</t>
    <phoneticPr fontId="1" type="noConversion"/>
  </si>
  <si>
    <t>社頭SS_IR</t>
    <phoneticPr fontId="1" type="noConversion"/>
  </si>
  <si>
    <t xml:space="preserve"> </t>
    <phoneticPr fontId="1" type="noConversion"/>
  </si>
  <si>
    <t>198</t>
    <phoneticPr fontId="1" type="noConversion"/>
  </si>
  <si>
    <t>285</t>
    <phoneticPr fontId="1" type="noConversion"/>
  </si>
  <si>
    <t>19:00:00</t>
    <phoneticPr fontId="1" type="noConversion"/>
  </si>
  <si>
    <t>285</t>
    <phoneticPr fontId="1" type="noConversion"/>
  </si>
  <si>
    <t>社頭SS_IR</t>
    <phoneticPr fontId="1" type="noConversion"/>
  </si>
  <si>
    <t>135</t>
    <phoneticPr fontId="1" type="noConversion"/>
  </si>
  <si>
    <t>17:00:00</t>
    <phoneticPr fontId="1" type="noConversion"/>
  </si>
  <si>
    <t>105</t>
    <phoneticPr fontId="1" type="noConversion"/>
  </si>
  <si>
    <t>51</t>
    <phoneticPr fontId="1" type="noConversion"/>
  </si>
  <si>
    <t>255</t>
    <phoneticPr fontId="1" type="noConversion"/>
  </si>
  <si>
    <t>15:00:00</t>
    <phoneticPr fontId="1" type="noConversion"/>
  </si>
  <si>
    <t>198</t>
    <phoneticPr fontId="1" type="noConversion"/>
  </si>
  <si>
    <t>15:00:00</t>
    <phoneticPr fontId="1" type="noConversion"/>
  </si>
  <si>
    <t>社永線(IR27)</t>
    <phoneticPr fontId="1" type="noConversion"/>
  </si>
  <si>
    <t>302</t>
    <phoneticPr fontId="1" type="noConversion"/>
  </si>
  <si>
    <t>98</t>
    <phoneticPr fontId="1" type="noConversion"/>
  </si>
  <si>
    <t>IR37(IR37)</t>
    <phoneticPr fontId="1" type="noConversion"/>
  </si>
  <si>
    <t>IR36(IR36)</t>
    <phoneticPr fontId="1" type="noConversion"/>
  </si>
  <si>
    <t>0</t>
    <phoneticPr fontId="1" type="noConversion"/>
  </si>
  <si>
    <t>IR38(IR38)</t>
    <phoneticPr fontId="1" type="noConversion"/>
  </si>
  <si>
    <t>0</t>
    <phoneticPr fontId="1" type="noConversion"/>
  </si>
  <si>
    <t>IR39(IR39)</t>
    <phoneticPr fontId="1" type="noConversion"/>
  </si>
  <si>
    <t>0</t>
    <phoneticPr fontId="1" type="noConversion"/>
  </si>
  <si>
    <t>#4MTR</t>
    <phoneticPr fontId="1" type="noConversion"/>
  </si>
  <si>
    <t>1111</t>
    <phoneticPr fontId="1" type="noConversion"/>
  </si>
  <si>
    <t>1084</t>
    <phoneticPr fontId="1" type="noConversion"/>
  </si>
  <si>
    <t>20:00:00</t>
    <phoneticPr fontId="1" type="noConversion"/>
  </si>
  <si>
    <t>社頭SS_IR</t>
    <phoneticPr fontId="1" type="noConversion"/>
  </si>
  <si>
    <t>社斗線(IR23)</t>
    <phoneticPr fontId="1" type="noConversion"/>
  </si>
  <si>
    <t>316</t>
    <phoneticPr fontId="1" type="noConversion"/>
  </si>
  <si>
    <t>20:00:00</t>
    <phoneticPr fontId="1" type="noConversion"/>
  </si>
  <si>
    <t>298</t>
    <phoneticPr fontId="1" type="noConversion"/>
  </si>
  <si>
    <t>20:00:00</t>
    <phoneticPr fontId="1" type="noConversion"/>
  </si>
  <si>
    <t>316</t>
    <phoneticPr fontId="1" type="noConversion"/>
  </si>
  <si>
    <t>光雲線(IR28)</t>
    <phoneticPr fontId="1" type="noConversion"/>
  </si>
  <si>
    <t>72</t>
    <phoneticPr fontId="1" type="noConversion"/>
  </si>
  <si>
    <t>60</t>
    <phoneticPr fontId="1" type="noConversion"/>
  </si>
  <si>
    <t>72</t>
    <phoneticPr fontId="1" type="noConversion"/>
  </si>
  <si>
    <t>25</t>
    <phoneticPr fontId="1" type="noConversion"/>
  </si>
  <si>
    <t>132</t>
    <phoneticPr fontId="1" type="noConversion"/>
  </si>
  <si>
    <t>22:00:00</t>
    <phoneticPr fontId="1" type="noConversion"/>
  </si>
  <si>
    <t>136</t>
    <phoneticPr fontId="1" type="noConversion"/>
  </si>
  <si>
    <t>37</t>
    <phoneticPr fontId="1" type="noConversion"/>
  </si>
  <si>
    <t>09:00:00</t>
    <phoneticPr fontId="1" type="noConversion"/>
  </si>
  <si>
    <t>圳尾線(IR29)</t>
    <phoneticPr fontId="1" type="noConversion"/>
  </si>
  <si>
    <t>254</t>
    <phoneticPr fontId="1" type="noConversion"/>
  </si>
  <si>
    <t>270</t>
    <phoneticPr fontId="1" type="noConversion"/>
  </si>
  <si>
    <t>枋橋線(IR24)</t>
    <phoneticPr fontId="1" type="noConversion"/>
  </si>
  <si>
    <t>00:00:00</t>
    <phoneticPr fontId="1" type="noConversion"/>
  </si>
  <si>
    <t>419</t>
    <phoneticPr fontId="1" type="noConversion"/>
  </si>
  <si>
    <t>草湖SS_IS</t>
    <phoneticPr fontId="1" type="noConversion"/>
  </si>
  <si>
    <t>#1MTR</t>
    <phoneticPr fontId="1" type="noConversion"/>
  </si>
  <si>
    <t>527</t>
    <phoneticPr fontId="1" type="noConversion"/>
  </si>
  <si>
    <t>559</t>
    <phoneticPr fontId="1" type="noConversion"/>
  </si>
  <si>
    <t>193</t>
    <phoneticPr fontId="1" type="noConversion"/>
  </si>
  <si>
    <t>75</t>
    <phoneticPr fontId="1" type="noConversion"/>
  </si>
  <si>
    <t>105</t>
    <phoneticPr fontId="1" type="noConversion"/>
  </si>
  <si>
    <t>109</t>
    <phoneticPr fontId="1" type="noConversion"/>
  </si>
  <si>
    <t>趙甲線(IS22)</t>
    <phoneticPr fontId="1" type="noConversion"/>
  </si>
  <si>
    <t>18:00:00</t>
    <phoneticPr fontId="1" type="noConversion"/>
  </si>
  <si>
    <t>211</t>
    <phoneticPr fontId="1" type="noConversion"/>
  </si>
  <si>
    <t>10:00:00</t>
    <phoneticPr fontId="1" type="noConversion"/>
  </si>
  <si>
    <t>建平線(IS27)</t>
    <phoneticPr fontId="1" type="noConversion"/>
  </si>
  <si>
    <t>43</t>
    <phoneticPr fontId="1" type="noConversion"/>
  </si>
  <si>
    <t>46</t>
    <phoneticPr fontId="1" type="noConversion"/>
  </si>
  <si>
    <t>10</t>
    <phoneticPr fontId="1" type="noConversion"/>
  </si>
  <si>
    <t>草湖SS_IS</t>
    <phoneticPr fontId="1" type="noConversion"/>
  </si>
  <si>
    <t>64</t>
    <phoneticPr fontId="1" type="noConversion"/>
  </si>
  <si>
    <t>15:00:00</t>
    <phoneticPr fontId="1" type="noConversion"/>
  </si>
  <si>
    <t>65</t>
    <phoneticPr fontId="1" type="noConversion"/>
  </si>
  <si>
    <t>642</t>
    <phoneticPr fontId="1" type="noConversion"/>
  </si>
  <si>
    <t>八甲線(IS26)</t>
    <phoneticPr fontId="1" type="noConversion"/>
  </si>
  <si>
    <t>10:00:00</t>
    <phoneticPr fontId="1" type="noConversion"/>
  </si>
  <si>
    <t>131</t>
    <phoneticPr fontId="1" type="noConversion"/>
  </si>
  <si>
    <t>草湖SS_IS</t>
    <phoneticPr fontId="1" type="noConversion"/>
  </si>
  <si>
    <t>105</t>
    <phoneticPr fontId="1" type="noConversion"/>
  </si>
  <si>
    <t>131</t>
    <phoneticPr fontId="1" type="noConversion"/>
  </si>
  <si>
    <t>131</t>
    <phoneticPr fontId="1" type="noConversion"/>
  </si>
  <si>
    <t>07:00:00</t>
    <phoneticPr fontId="1" type="noConversion"/>
  </si>
  <si>
    <t>229</t>
    <phoneticPr fontId="1" type="noConversion"/>
  </si>
  <si>
    <t>224</t>
    <phoneticPr fontId="1" type="noConversion"/>
  </si>
  <si>
    <t>18:00:00</t>
    <phoneticPr fontId="1" type="noConversion"/>
  </si>
  <si>
    <t>227</t>
    <phoneticPr fontId="1" type="noConversion"/>
  </si>
  <si>
    <t>47</t>
    <phoneticPr fontId="1" type="noConversion"/>
  </si>
  <si>
    <t>草湖SS_IS</t>
    <phoneticPr fontId="1" type="noConversion"/>
  </si>
  <si>
    <t>202</t>
    <phoneticPr fontId="1" type="noConversion"/>
  </si>
  <si>
    <t>13:00:00</t>
    <phoneticPr fontId="1" type="noConversion"/>
  </si>
  <si>
    <t>溝墘SS_IT</t>
    <phoneticPr fontId="1" type="noConversion"/>
  </si>
  <si>
    <t>1028</t>
    <phoneticPr fontId="1" type="noConversion"/>
  </si>
  <si>
    <t xml:space="preserve"> </t>
    <phoneticPr fontId="1" type="noConversion"/>
  </si>
  <si>
    <t>嘉佃線(IT29)</t>
    <phoneticPr fontId="1" type="noConversion"/>
  </si>
  <si>
    <t>62</t>
    <phoneticPr fontId="1" type="noConversion"/>
  </si>
  <si>
    <t>73</t>
    <phoneticPr fontId="1" type="noConversion"/>
  </si>
  <si>
    <t>44</t>
    <phoneticPr fontId="1" type="noConversion"/>
  </si>
  <si>
    <t>14:00:00</t>
    <phoneticPr fontId="1" type="noConversion"/>
  </si>
  <si>
    <t>73</t>
    <phoneticPr fontId="1" type="noConversion"/>
  </si>
  <si>
    <t>溝墘SS_IT</t>
    <phoneticPr fontId="1" type="noConversion"/>
  </si>
  <si>
    <t>頭崙線(IT22)</t>
    <phoneticPr fontId="1" type="noConversion"/>
  </si>
  <si>
    <t>13:00:00</t>
    <phoneticPr fontId="1" type="noConversion"/>
  </si>
  <si>
    <t>13:00:00</t>
    <phoneticPr fontId="1" type="noConversion"/>
  </si>
  <si>
    <t>271</t>
    <phoneticPr fontId="1" type="noConversion"/>
  </si>
  <si>
    <t>40</t>
    <phoneticPr fontId="1" type="noConversion"/>
  </si>
  <si>
    <t>溝南線(IT34)</t>
    <phoneticPr fontId="1" type="noConversion"/>
  </si>
  <si>
    <t>311</t>
    <phoneticPr fontId="1" type="noConversion"/>
  </si>
  <si>
    <t>15:00:00</t>
    <phoneticPr fontId="1" type="noConversion"/>
  </si>
  <si>
    <t>284</t>
    <phoneticPr fontId="1" type="noConversion"/>
  </si>
  <si>
    <t>305</t>
    <phoneticPr fontId="1" type="noConversion"/>
  </si>
  <si>
    <t>15:00:00</t>
    <phoneticPr fontId="1" type="noConversion"/>
  </si>
  <si>
    <t>311</t>
    <phoneticPr fontId="1" type="noConversion"/>
  </si>
  <si>
    <t>68</t>
    <phoneticPr fontId="1" type="noConversion"/>
  </si>
  <si>
    <t>14:00:00</t>
    <phoneticPr fontId="1" type="noConversion"/>
  </si>
  <si>
    <t>306</t>
    <phoneticPr fontId="1" type="noConversion"/>
  </si>
  <si>
    <t>315</t>
    <phoneticPr fontId="1" type="noConversion"/>
  </si>
  <si>
    <t>17:00:00</t>
    <phoneticPr fontId="1" type="noConversion"/>
  </si>
  <si>
    <t>葉厝線(IT25)</t>
    <phoneticPr fontId="1" type="noConversion"/>
  </si>
  <si>
    <t>177</t>
    <phoneticPr fontId="1" type="noConversion"/>
  </si>
  <si>
    <t>14:00:00</t>
    <phoneticPr fontId="1" type="noConversion"/>
  </si>
  <si>
    <t>173</t>
    <phoneticPr fontId="1" type="noConversion"/>
  </si>
  <si>
    <t>溝墘SS_IT</t>
    <phoneticPr fontId="1" type="noConversion"/>
  </si>
  <si>
    <t>859</t>
    <phoneticPr fontId="1" type="noConversion"/>
  </si>
  <si>
    <t>824</t>
    <phoneticPr fontId="1" type="noConversion"/>
  </si>
  <si>
    <t>921</t>
    <phoneticPr fontId="1" type="noConversion"/>
  </si>
  <si>
    <t xml:space="preserve"> </t>
    <phoneticPr fontId="1" type="noConversion"/>
  </si>
  <si>
    <t>鎮平線(IT20)</t>
    <phoneticPr fontId="1" type="noConversion"/>
  </si>
  <si>
    <t>246</t>
    <phoneticPr fontId="1" type="noConversion"/>
  </si>
  <si>
    <t>238</t>
    <phoneticPr fontId="1" type="noConversion"/>
  </si>
  <si>
    <t>10:00:00</t>
    <phoneticPr fontId="1" type="noConversion"/>
  </si>
  <si>
    <t>250</t>
    <phoneticPr fontId="1" type="noConversion"/>
  </si>
  <si>
    <t>40</t>
    <phoneticPr fontId="1" type="noConversion"/>
  </si>
  <si>
    <t>溝墘SS_IT</t>
    <phoneticPr fontId="1" type="noConversion"/>
  </si>
  <si>
    <t>335</t>
    <phoneticPr fontId="1" type="noConversion"/>
  </si>
  <si>
    <t>溝墘SS_IT</t>
    <phoneticPr fontId="1" type="noConversion"/>
  </si>
  <si>
    <t>13:00:00</t>
    <phoneticPr fontId="1" type="noConversion"/>
  </si>
  <si>
    <t>109</t>
    <phoneticPr fontId="1" type="noConversion"/>
  </si>
  <si>
    <t>118</t>
    <phoneticPr fontId="1" type="noConversion"/>
  </si>
  <si>
    <t>42</t>
    <phoneticPr fontId="1" type="noConversion"/>
  </si>
  <si>
    <t>棋盤線(IT24)</t>
    <phoneticPr fontId="1" type="noConversion"/>
  </si>
  <si>
    <t>117</t>
    <phoneticPr fontId="1" type="noConversion"/>
  </si>
  <si>
    <t>175</t>
    <phoneticPr fontId="1" type="noConversion"/>
  </si>
  <si>
    <t>199</t>
    <phoneticPr fontId="1" type="noConversion"/>
  </si>
  <si>
    <t>217</t>
    <phoneticPr fontId="1" type="noConversion"/>
  </si>
  <si>
    <t>834</t>
    <phoneticPr fontId="1" type="noConversion"/>
  </si>
  <si>
    <t>頂番線(IT21)</t>
    <phoneticPr fontId="1" type="noConversion"/>
  </si>
  <si>
    <t>255</t>
    <phoneticPr fontId="1" type="noConversion"/>
  </si>
  <si>
    <t>278</t>
    <phoneticPr fontId="1" type="noConversion"/>
  </si>
  <si>
    <t>73</t>
    <phoneticPr fontId="1" type="noConversion"/>
  </si>
  <si>
    <t>溝鹿線(IT31)</t>
    <phoneticPr fontId="1" type="noConversion"/>
  </si>
  <si>
    <t>80</t>
    <phoneticPr fontId="1" type="noConversion"/>
  </si>
  <si>
    <t>94</t>
    <phoneticPr fontId="1" type="noConversion"/>
  </si>
  <si>
    <t>13:00:00</t>
    <phoneticPr fontId="1" type="noConversion"/>
  </si>
  <si>
    <t>204</t>
    <phoneticPr fontId="1" type="noConversion"/>
  </si>
  <si>
    <t>680</t>
    <phoneticPr fontId="1" type="noConversion"/>
  </si>
  <si>
    <t>773</t>
    <phoneticPr fontId="1" type="noConversion"/>
  </si>
  <si>
    <t>657</t>
    <phoneticPr fontId="1" type="noConversion"/>
  </si>
  <si>
    <t>員東DS_IU</t>
    <phoneticPr fontId="1" type="noConversion"/>
  </si>
  <si>
    <t>153</t>
    <phoneticPr fontId="1" type="noConversion"/>
  </si>
  <si>
    <t>員東DS_IU</t>
    <phoneticPr fontId="1" type="noConversion"/>
  </si>
  <si>
    <t>16:00:00</t>
    <phoneticPr fontId="1" type="noConversion"/>
  </si>
  <si>
    <t>28</t>
    <phoneticPr fontId="1" type="noConversion"/>
  </si>
  <si>
    <t>115</t>
    <phoneticPr fontId="1" type="noConversion"/>
  </si>
  <si>
    <t>141</t>
    <phoneticPr fontId="1" type="noConversion"/>
  </si>
  <si>
    <t>20:00:00</t>
    <phoneticPr fontId="1" type="noConversion"/>
  </si>
  <si>
    <t>214</t>
    <phoneticPr fontId="1" type="noConversion"/>
  </si>
  <si>
    <t>37</t>
    <phoneticPr fontId="1" type="noConversion"/>
  </si>
  <si>
    <t>IU26(IU26)</t>
    <phoneticPr fontId="1" type="noConversion"/>
  </si>
  <si>
    <t>162</t>
    <phoneticPr fontId="1" type="noConversion"/>
  </si>
  <si>
    <t>209</t>
    <phoneticPr fontId="1" type="noConversion"/>
  </si>
  <si>
    <t>189</t>
    <phoneticPr fontId="1" type="noConversion"/>
  </si>
  <si>
    <t>#2ADTR</t>
    <phoneticPr fontId="1" type="noConversion"/>
  </si>
  <si>
    <t>598</t>
    <phoneticPr fontId="1" type="noConversion"/>
  </si>
  <si>
    <t>562</t>
    <phoneticPr fontId="1" type="noConversion"/>
  </si>
  <si>
    <t>東羽線(IU27)</t>
    <phoneticPr fontId="1" type="noConversion"/>
  </si>
  <si>
    <t>126</t>
    <phoneticPr fontId="1" type="noConversion"/>
  </si>
  <si>
    <t>126</t>
    <phoneticPr fontId="1" type="noConversion"/>
  </si>
  <si>
    <t>296</t>
    <phoneticPr fontId="1" type="noConversion"/>
  </si>
  <si>
    <t>15:00:00</t>
    <phoneticPr fontId="1" type="noConversion"/>
  </si>
  <si>
    <t>279</t>
    <phoneticPr fontId="1" type="noConversion"/>
  </si>
  <si>
    <t>291</t>
    <phoneticPr fontId="1" type="noConversion"/>
  </si>
  <si>
    <t>296</t>
    <phoneticPr fontId="1" type="noConversion"/>
  </si>
  <si>
    <t>60</t>
    <phoneticPr fontId="1" type="noConversion"/>
  </si>
  <si>
    <t>員東DS_IU</t>
    <phoneticPr fontId="1" type="noConversion"/>
  </si>
  <si>
    <t>110</t>
    <phoneticPr fontId="1" type="noConversion"/>
  </si>
  <si>
    <t>121</t>
    <phoneticPr fontId="1" type="noConversion"/>
  </si>
  <si>
    <t>93</t>
    <phoneticPr fontId="1" type="noConversion"/>
  </si>
  <si>
    <t>三條線(IU30)</t>
    <phoneticPr fontId="1" type="noConversion"/>
  </si>
  <si>
    <t>108</t>
    <phoneticPr fontId="1" type="noConversion"/>
  </si>
  <si>
    <t>131</t>
    <phoneticPr fontId="1" type="noConversion"/>
  </si>
  <si>
    <t>#2BDTR</t>
    <phoneticPr fontId="1" type="noConversion"/>
  </si>
  <si>
    <t>13:00:00</t>
    <phoneticPr fontId="1" type="noConversion"/>
  </si>
  <si>
    <t>843</t>
    <phoneticPr fontId="1" type="noConversion"/>
  </si>
  <si>
    <t>926</t>
    <phoneticPr fontId="1" type="noConversion"/>
  </si>
  <si>
    <t>266</t>
    <phoneticPr fontId="1" type="noConversion"/>
  </si>
  <si>
    <t>260</t>
    <phoneticPr fontId="1" type="noConversion"/>
  </si>
  <si>
    <t>員東DS_IU</t>
    <phoneticPr fontId="1" type="noConversion"/>
  </si>
  <si>
    <t>鎮興線(IU36)</t>
    <phoneticPr fontId="1" type="noConversion"/>
  </si>
  <si>
    <t>188</t>
    <phoneticPr fontId="1" type="noConversion"/>
  </si>
  <si>
    <t>10:00:00</t>
    <phoneticPr fontId="1" type="noConversion"/>
  </si>
  <si>
    <t>189</t>
    <phoneticPr fontId="1" type="noConversion"/>
  </si>
  <si>
    <t>212</t>
    <phoneticPr fontId="1" type="noConversion"/>
  </si>
  <si>
    <t>東門線(IU37)</t>
    <phoneticPr fontId="1" type="noConversion"/>
  </si>
  <si>
    <t>174</t>
    <phoneticPr fontId="1" type="noConversion"/>
  </si>
  <si>
    <t>203</t>
    <phoneticPr fontId="1" type="noConversion"/>
  </si>
  <si>
    <t>222</t>
    <phoneticPr fontId="1" type="noConversion"/>
  </si>
  <si>
    <t>222</t>
    <phoneticPr fontId="1" type="noConversion"/>
  </si>
  <si>
    <t>員東DS_IU</t>
    <phoneticPr fontId="1" type="noConversion"/>
  </si>
  <si>
    <t>8</t>
    <phoneticPr fontId="1" type="noConversion"/>
  </si>
  <si>
    <t>8</t>
    <phoneticPr fontId="1" type="noConversion"/>
  </si>
  <si>
    <t>8</t>
    <phoneticPr fontId="1" type="noConversion"/>
  </si>
  <si>
    <t>員東DS_IU</t>
    <phoneticPr fontId="1" type="noConversion"/>
  </si>
  <si>
    <t>IU40(IU40)</t>
    <phoneticPr fontId="1" type="noConversion"/>
  </si>
  <si>
    <t>120</t>
    <phoneticPr fontId="1" type="noConversion"/>
  </si>
  <si>
    <t>167</t>
    <phoneticPr fontId="1" type="noConversion"/>
  </si>
  <si>
    <t>伸港SS_IV</t>
    <phoneticPr fontId="1" type="noConversion"/>
  </si>
  <si>
    <t>173</t>
    <phoneticPr fontId="1" type="noConversion"/>
  </si>
  <si>
    <t>10:00:00</t>
    <phoneticPr fontId="1" type="noConversion"/>
  </si>
  <si>
    <t>176</t>
    <phoneticPr fontId="1" type="noConversion"/>
  </si>
  <si>
    <t>伸港SS_IV</t>
    <phoneticPr fontId="1" type="noConversion"/>
  </si>
  <si>
    <t>13</t>
    <phoneticPr fontId="1" type="noConversion"/>
  </si>
  <si>
    <t>IV52(IV52)</t>
    <phoneticPr fontId="1" type="noConversion"/>
  </si>
  <si>
    <t>60</t>
    <phoneticPr fontId="1" type="noConversion"/>
  </si>
  <si>
    <t>IV53(IV53)</t>
    <phoneticPr fontId="1" type="noConversion"/>
  </si>
  <si>
    <t>10</t>
    <phoneticPr fontId="1" type="noConversion"/>
  </si>
  <si>
    <t>11:00:00</t>
    <phoneticPr fontId="1" type="noConversion"/>
  </si>
  <si>
    <t>IV54(IV54)</t>
    <phoneticPr fontId="1" type="noConversion"/>
  </si>
  <si>
    <t>30</t>
    <phoneticPr fontId="1" type="noConversion"/>
  </si>
  <si>
    <t>伸港SS_IV</t>
    <phoneticPr fontId="1" type="noConversion"/>
  </si>
  <si>
    <t>93</t>
    <phoneticPr fontId="1" type="noConversion"/>
  </si>
  <si>
    <t>92</t>
    <phoneticPr fontId="1" type="noConversion"/>
  </si>
  <si>
    <t>92</t>
    <phoneticPr fontId="1" type="noConversion"/>
  </si>
  <si>
    <t>93</t>
    <phoneticPr fontId="1" type="noConversion"/>
  </si>
  <si>
    <t>#2MTR</t>
    <phoneticPr fontId="1" type="noConversion"/>
  </si>
  <si>
    <t>473</t>
    <phoneticPr fontId="1" type="noConversion"/>
  </si>
  <si>
    <t>542</t>
    <phoneticPr fontId="1" type="noConversion"/>
  </si>
  <si>
    <t>493</t>
    <phoneticPr fontId="1" type="noConversion"/>
  </si>
  <si>
    <t>伸港SS_IV</t>
    <phoneticPr fontId="1" type="noConversion"/>
  </si>
  <si>
    <t>伸湖線(IV32)</t>
    <phoneticPr fontId="1" type="noConversion"/>
  </si>
  <si>
    <t>91</t>
    <phoneticPr fontId="1" type="noConversion"/>
  </si>
  <si>
    <t>80</t>
    <phoneticPr fontId="1" type="noConversion"/>
  </si>
  <si>
    <t>58</t>
    <phoneticPr fontId="1" type="noConversion"/>
  </si>
  <si>
    <t>60</t>
    <phoneticPr fontId="1" type="noConversion"/>
  </si>
  <si>
    <t>74</t>
    <phoneticPr fontId="1" type="noConversion"/>
  </si>
  <si>
    <t>00:00:00</t>
    <phoneticPr fontId="1" type="noConversion"/>
  </si>
  <si>
    <t>伸尾線(IV33)</t>
    <phoneticPr fontId="1" type="noConversion"/>
  </si>
  <si>
    <t>21:00:00</t>
    <phoneticPr fontId="1" type="noConversion"/>
  </si>
  <si>
    <t>20:00:00</t>
    <phoneticPr fontId="1" type="noConversion"/>
  </si>
  <si>
    <t>229</t>
    <phoneticPr fontId="1" type="noConversion"/>
  </si>
  <si>
    <t>伸工線(IV31)</t>
    <phoneticPr fontId="1" type="noConversion"/>
  </si>
  <si>
    <t>37</t>
    <phoneticPr fontId="1" type="noConversion"/>
  </si>
  <si>
    <t>46</t>
    <phoneticPr fontId="1" type="noConversion"/>
  </si>
  <si>
    <t>22:00:00</t>
    <phoneticPr fontId="1" type="noConversion"/>
  </si>
  <si>
    <t>#3MTR</t>
    <phoneticPr fontId="1" type="noConversion"/>
  </si>
  <si>
    <t>812</t>
    <phoneticPr fontId="1" type="noConversion"/>
  </si>
  <si>
    <t>13:00:00</t>
    <phoneticPr fontId="1" type="noConversion"/>
  </si>
  <si>
    <t>774</t>
    <phoneticPr fontId="1" type="noConversion"/>
  </si>
  <si>
    <t>頂溪線(IV24)</t>
    <phoneticPr fontId="1" type="noConversion"/>
  </si>
  <si>
    <t>115</t>
    <phoneticPr fontId="1" type="noConversion"/>
  </si>
  <si>
    <t>10:00:00</t>
    <phoneticPr fontId="1" type="noConversion"/>
  </si>
  <si>
    <t>73</t>
    <phoneticPr fontId="1" type="noConversion"/>
  </si>
  <si>
    <t>93</t>
    <phoneticPr fontId="1" type="noConversion"/>
  </si>
  <si>
    <t>92</t>
    <phoneticPr fontId="1" type="noConversion"/>
  </si>
  <si>
    <t>30</t>
    <phoneticPr fontId="1" type="noConversion"/>
  </si>
  <si>
    <t>水尾線(IV22)</t>
    <phoneticPr fontId="1" type="noConversion"/>
  </si>
  <si>
    <t>324</t>
    <phoneticPr fontId="1" type="noConversion"/>
  </si>
  <si>
    <t>311</t>
    <phoneticPr fontId="1" type="noConversion"/>
  </si>
  <si>
    <t>324</t>
    <phoneticPr fontId="1" type="noConversion"/>
  </si>
  <si>
    <t>62</t>
    <phoneticPr fontId="1" type="noConversion"/>
  </si>
  <si>
    <t>草埔線(IV21)</t>
    <phoneticPr fontId="1" type="noConversion"/>
  </si>
  <si>
    <t>201</t>
    <phoneticPr fontId="1" type="noConversion"/>
  </si>
  <si>
    <t>201</t>
    <phoneticPr fontId="1" type="noConversion"/>
  </si>
  <si>
    <t>76</t>
    <phoneticPr fontId="1" type="noConversion"/>
  </si>
  <si>
    <t>伸三線(IV29)</t>
    <phoneticPr fontId="1" type="noConversion"/>
  </si>
  <si>
    <t>239</t>
    <phoneticPr fontId="1" type="noConversion"/>
  </si>
  <si>
    <t>85</t>
    <phoneticPr fontId="1" type="noConversion"/>
  </si>
  <si>
    <t>二水SS_IW</t>
    <phoneticPr fontId="1" type="noConversion"/>
  </si>
  <si>
    <t>二水SS_IW</t>
    <phoneticPr fontId="1" type="noConversion"/>
  </si>
  <si>
    <t>大莊線(IW22)</t>
    <phoneticPr fontId="1" type="noConversion"/>
  </si>
  <si>
    <t>98</t>
    <phoneticPr fontId="1" type="noConversion"/>
  </si>
  <si>
    <t>19:00:00</t>
    <phoneticPr fontId="1" type="noConversion"/>
  </si>
  <si>
    <t>惠民線(IW26)</t>
    <phoneticPr fontId="1" type="noConversion"/>
  </si>
  <si>
    <t>24</t>
    <phoneticPr fontId="1" type="noConversion"/>
  </si>
  <si>
    <t>09:00:00</t>
    <phoneticPr fontId="1" type="noConversion"/>
  </si>
  <si>
    <t>19</t>
    <phoneticPr fontId="1" type="noConversion"/>
  </si>
  <si>
    <t>榮光線(IW25)</t>
    <phoneticPr fontId="1" type="noConversion"/>
  </si>
  <si>
    <t>9</t>
    <phoneticPr fontId="1" type="noConversion"/>
  </si>
  <si>
    <t>116</t>
    <phoneticPr fontId="1" type="noConversion"/>
  </si>
  <si>
    <t>624</t>
    <phoneticPr fontId="1" type="noConversion"/>
  </si>
  <si>
    <t>679</t>
    <phoneticPr fontId="1" type="noConversion"/>
  </si>
  <si>
    <t>吉安線(IW30)</t>
    <phoneticPr fontId="1" type="noConversion"/>
  </si>
  <si>
    <t>76</t>
    <phoneticPr fontId="1" type="noConversion"/>
  </si>
  <si>
    <t>49</t>
    <phoneticPr fontId="1" type="noConversion"/>
  </si>
  <si>
    <t>二水SS_IW</t>
    <phoneticPr fontId="1" type="noConversion"/>
  </si>
  <si>
    <t>104</t>
    <phoneticPr fontId="1" type="noConversion"/>
  </si>
  <si>
    <t>二水SS_IW</t>
    <phoneticPr fontId="1" type="noConversion"/>
  </si>
  <si>
    <t>238</t>
    <phoneticPr fontId="1" type="noConversion"/>
  </si>
  <si>
    <t>二水SS_IW</t>
    <phoneticPr fontId="1" type="noConversion"/>
  </si>
  <si>
    <t>494</t>
    <phoneticPr fontId="1" type="noConversion"/>
  </si>
  <si>
    <t>526</t>
    <phoneticPr fontId="1" type="noConversion"/>
  </si>
  <si>
    <t>566</t>
    <phoneticPr fontId="1" type="noConversion"/>
  </si>
  <si>
    <t>二水SS_IW</t>
    <phoneticPr fontId="1" type="noConversion"/>
  </si>
  <si>
    <t>47</t>
    <phoneticPr fontId="1" type="noConversion"/>
  </si>
  <si>
    <t>源泉線(IW20)</t>
    <phoneticPr fontId="1" type="noConversion"/>
  </si>
  <si>
    <t>128</t>
    <phoneticPr fontId="1" type="noConversion"/>
  </si>
  <si>
    <t>128</t>
    <phoneticPr fontId="1" type="noConversion"/>
  </si>
  <si>
    <t>39</t>
    <phoneticPr fontId="1" type="noConversion"/>
  </si>
  <si>
    <t>21:00:00</t>
    <phoneticPr fontId="1" type="noConversion"/>
  </si>
  <si>
    <t>榮民線(IW27)</t>
    <phoneticPr fontId="1" type="noConversion"/>
  </si>
  <si>
    <t>20:00:00</t>
    <phoneticPr fontId="1" type="noConversion"/>
  </si>
  <si>
    <t>141</t>
    <phoneticPr fontId="1" type="noConversion"/>
  </si>
  <si>
    <t>148</t>
    <phoneticPr fontId="1" type="noConversion"/>
  </si>
  <si>
    <t>二水SS_IW</t>
    <phoneticPr fontId="1" type="noConversion"/>
  </si>
  <si>
    <t>大同線(IW23)</t>
    <phoneticPr fontId="1" type="noConversion"/>
  </si>
  <si>
    <t>17</t>
    <phoneticPr fontId="1" type="noConversion"/>
  </si>
  <si>
    <t>13:00:00</t>
    <phoneticPr fontId="1" type="noConversion"/>
  </si>
  <si>
    <t>264</t>
    <phoneticPr fontId="1" type="noConversion"/>
  </si>
  <si>
    <t>41</t>
    <phoneticPr fontId="1" type="noConversion"/>
  </si>
  <si>
    <t>0</t>
    <phoneticPr fontId="1" type="noConversion"/>
  </si>
  <si>
    <t>斗永線(IX23)</t>
    <phoneticPr fontId="1" type="noConversion"/>
  </si>
  <si>
    <t>北斗SS_IX</t>
    <phoneticPr fontId="1" type="noConversion"/>
  </si>
  <si>
    <t>文宗線(IX24)</t>
    <phoneticPr fontId="1" type="noConversion"/>
  </si>
  <si>
    <t>662</t>
    <phoneticPr fontId="1" type="noConversion"/>
  </si>
  <si>
    <t>733</t>
    <phoneticPr fontId="1" type="noConversion"/>
  </si>
  <si>
    <t>斗建線(IX28)</t>
    <phoneticPr fontId="1" type="noConversion"/>
  </si>
  <si>
    <t>251</t>
    <phoneticPr fontId="1" type="noConversion"/>
  </si>
  <si>
    <t>264</t>
    <phoneticPr fontId="1" type="noConversion"/>
  </si>
  <si>
    <t>104</t>
    <phoneticPr fontId="1" type="noConversion"/>
  </si>
  <si>
    <t>11:00:00</t>
    <phoneticPr fontId="1" type="noConversion"/>
  </si>
  <si>
    <t>斗鳳線(IX34)</t>
    <phoneticPr fontId="1" type="noConversion"/>
  </si>
  <si>
    <t>146</t>
    <phoneticPr fontId="1" type="noConversion"/>
  </si>
  <si>
    <t>58</t>
    <phoneticPr fontId="1" type="noConversion"/>
  </si>
  <si>
    <t>21:00:00</t>
    <phoneticPr fontId="1" type="noConversion"/>
  </si>
  <si>
    <t>20:00:00</t>
    <phoneticPr fontId="1" type="noConversion"/>
  </si>
  <si>
    <t>13:00:00</t>
    <phoneticPr fontId="1" type="noConversion"/>
  </si>
  <si>
    <t>733</t>
    <phoneticPr fontId="1" type="noConversion"/>
  </si>
  <si>
    <t xml:space="preserve"> </t>
    <phoneticPr fontId="1" type="noConversion"/>
  </si>
  <si>
    <t>19:00:00</t>
    <phoneticPr fontId="1" type="noConversion"/>
  </si>
  <si>
    <t>284</t>
    <phoneticPr fontId="1" type="noConversion"/>
  </si>
  <si>
    <t>20:00:00</t>
    <phoneticPr fontId="1" type="noConversion"/>
  </si>
  <si>
    <t>芳苑SS_IY</t>
    <phoneticPr fontId="1" type="noConversion"/>
  </si>
  <si>
    <t>120</t>
    <phoneticPr fontId="1" type="noConversion"/>
  </si>
  <si>
    <t>122</t>
    <phoneticPr fontId="1" type="noConversion"/>
  </si>
  <si>
    <t>143</t>
    <phoneticPr fontId="1" type="noConversion"/>
  </si>
  <si>
    <t>03:00:00</t>
    <phoneticPr fontId="1" type="noConversion"/>
  </si>
  <si>
    <t>8</t>
    <phoneticPr fontId="1" type="noConversion"/>
  </si>
  <si>
    <t>芳路線(IY33)</t>
    <phoneticPr fontId="1" type="noConversion"/>
  </si>
  <si>
    <t>芳苑SS_IY</t>
    <phoneticPr fontId="1" type="noConversion"/>
  </si>
  <si>
    <t>芳林線(IY34)</t>
    <phoneticPr fontId="1" type="noConversion"/>
  </si>
  <si>
    <t>104</t>
    <phoneticPr fontId="1" type="noConversion"/>
  </si>
  <si>
    <t>116</t>
    <phoneticPr fontId="1" type="noConversion"/>
  </si>
  <si>
    <t>芳苑SS_IY</t>
    <phoneticPr fontId="1" type="noConversion"/>
  </si>
  <si>
    <t xml:space="preserve"> </t>
    <phoneticPr fontId="1" type="noConversion"/>
  </si>
  <si>
    <t>16:00:00</t>
    <phoneticPr fontId="1" type="noConversion"/>
  </si>
  <si>
    <t>150</t>
    <phoneticPr fontId="1" type="noConversion"/>
  </si>
  <si>
    <t>261</t>
    <phoneticPr fontId="1" type="noConversion"/>
  </si>
  <si>
    <t>2</t>
    <phoneticPr fontId="1" type="noConversion"/>
  </si>
  <si>
    <t>芳苑SS_IY</t>
    <phoneticPr fontId="1" type="noConversion"/>
  </si>
  <si>
    <t>214</t>
    <phoneticPr fontId="1" type="noConversion"/>
  </si>
  <si>
    <t>236</t>
    <phoneticPr fontId="1" type="noConversion"/>
  </si>
  <si>
    <t>博斯(1PVY)</t>
    <phoneticPr fontId="1" type="noConversion"/>
  </si>
  <si>
    <t>00:00:00</t>
    <phoneticPr fontId="1" type="noConversion"/>
  </si>
  <si>
    <t>全興ES_IZ</t>
    <phoneticPr fontId="1" type="noConversion"/>
  </si>
  <si>
    <t>324</t>
    <phoneticPr fontId="1" type="noConversion"/>
  </si>
  <si>
    <t>全興ES_IZ</t>
    <phoneticPr fontId="1" type="noConversion"/>
  </si>
  <si>
    <t>IZ23(IZ23)</t>
    <phoneticPr fontId="1" type="noConversion"/>
  </si>
  <si>
    <t>15:00:00</t>
    <phoneticPr fontId="1" type="noConversion"/>
  </si>
  <si>
    <t>全興ES_IZ</t>
    <phoneticPr fontId="1" type="noConversion"/>
  </si>
  <si>
    <t>IZ22(IZ22)</t>
    <phoneticPr fontId="1" type="noConversion"/>
  </si>
  <si>
    <t>IZ22(IZ22)</t>
    <phoneticPr fontId="1" type="noConversion"/>
  </si>
  <si>
    <t>IZ21(IZ21)</t>
    <phoneticPr fontId="1" type="noConversion"/>
  </si>
  <si>
    <t>95</t>
    <phoneticPr fontId="1" type="noConversion"/>
  </si>
  <si>
    <t>39</t>
    <phoneticPr fontId="1" type="noConversion"/>
  </si>
  <si>
    <t>492</t>
    <phoneticPr fontId="1" type="noConversion"/>
  </si>
  <si>
    <t>468</t>
    <phoneticPr fontId="1" type="noConversion"/>
  </si>
  <si>
    <t>IZ26(IZ26)</t>
    <phoneticPr fontId="1" type="noConversion"/>
  </si>
  <si>
    <t>193</t>
    <phoneticPr fontId="1" type="noConversion"/>
  </si>
  <si>
    <t>67</t>
    <phoneticPr fontId="1" type="noConversion"/>
  </si>
  <si>
    <t>IZ25(IZ25)</t>
    <phoneticPr fontId="1" type="noConversion"/>
  </si>
  <si>
    <t>77</t>
    <phoneticPr fontId="1" type="noConversion"/>
  </si>
  <si>
    <t>142</t>
    <phoneticPr fontId="1" type="noConversion"/>
  </si>
  <si>
    <t>IZ51(IZ51)</t>
    <phoneticPr fontId="1" type="noConversion"/>
  </si>
  <si>
    <t>IZ52(IZ52)</t>
    <phoneticPr fontId="1" type="noConversion"/>
  </si>
  <si>
    <t>39</t>
    <phoneticPr fontId="1" type="noConversion"/>
  </si>
  <si>
    <t>IZ53(IZ53)</t>
    <phoneticPr fontId="1" type="noConversion"/>
  </si>
  <si>
    <t>14:00:00</t>
    <phoneticPr fontId="1" type="noConversion"/>
  </si>
  <si>
    <t>IZ54(IZ54)</t>
    <phoneticPr fontId="1" type="noConversion"/>
  </si>
  <si>
    <t>2</t>
    <phoneticPr fontId="1" type="noConversion"/>
  </si>
  <si>
    <t>IZ56(IZ56)</t>
    <phoneticPr fontId="1" type="noConversion"/>
  </si>
  <si>
    <t>#2DTR</t>
    <phoneticPr fontId="1" type="noConversion"/>
  </si>
  <si>
    <t>472</t>
    <phoneticPr fontId="1" type="noConversion"/>
  </si>
  <si>
    <t>477</t>
    <phoneticPr fontId="1" type="noConversion"/>
  </si>
  <si>
    <t>IZ61(IZ61)</t>
    <phoneticPr fontId="1" type="noConversion"/>
  </si>
  <si>
    <t>IZ61(IZ61)</t>
    <phoneticPr fontId="1" type="noConversion"/>
  </si>
  <si>
    <t>IZ62(IZ62)</t>
    <phoneticPr fontId="1" type="noConversion"/>
  </si>
  <si>
    <t>IZ64(IZ64)</t>
    <phoneticPr fontId="1" type="noConversion"/>
  </si>
  <si>
    <t>IZ65(IZ65)</t>
    <phoneticPr fontId="1" type="noConversion"/>
  </si>
  <si>
    <t>IZ66(IZ66)</t>
    <phoneticPr fontId="1" type="noConversion"/>
  </si>
  <si>
    <t>215</t>
    <phoneticPr fontId="1" type="noConversion"/>
  </si>
  <si>
    <t>IZ66</t>
    <phoneticPr fontId="1" type="noConversion"/>
  </si>
  <si>
    <t>變電所別</t>
    <phoneticPr fontId="1" type="noConversion"/>
  </si>
  <si>
    <t>變壓器或_x000D_
饋線名稱</t>
    <phoneticPr fontId="1" type="noConversion"/>
  </si>
  <si>
    <t>發生時間</t>
    <phoneticPr fontId="1" type="noConversion"/>
  </si>
  <si>
    <t>#2DTR</t>
    <phoneticPr fontId="1" type="noConversion"/>
  </si>
  <si>
    <t>彰濱ES_9A</t>
    <phoneticPr fontId="1" type="noConversion"/>
  </si>
  <si>
    <t>9A70(9A70)</t>
    <phoneticPr fontId="1" type="noConversion"/>
  </si>
  <si>
    <t>9A71(9A71)</t>
    <phoneticPr fontId="1" type="noConversion"/>
  </si>
  <si>
    <t>9A77(9A77)</t>
    <phoneticPr fontId="1" type="noConversion"/>
  </si>
  <si>
    <t>彰濱ES_9A</t>
    <phoneticPr fontId="1" type="noConversion"/>
  </si>
  <si>
    <t>9A66(9A66)</t>
    <phoneticPr fontId="1" type="noConversion"/>
  </si>
  <si>
    <t>9A51(9A51)</t>
    <phoneticPr fontId="1" type="noConversion"/>
  </si>
  <si>
    <t>9A52(9A52)</t>
    <phoneticPr fontId="1" type="noConversion"/>
  </si>
  <si>
    <t>9A55(9A55)</t>
    <phoneticPr fontId="1" type="noConversion"/>
  </si>
  <si>
    <t>9A56(9A56)</t>
    <phoneticPr fontId="1" type="noConversion"/>
  </si>
  <si>
    <t>9AE0(9AE0)</t>
    <phoneticPr fontId="1" type="noConversion"/>
  </si>
  <si>
    <t>9A67(9A67)</t>
    <phoneticPr fontId="1" type="noConversion"/>
  </si>
  <si>
    <t>線西DS_9B</t>
    <phoneticPr fontId="1" type="noConversion"/>
  </si>
  <si>
    <t>9B51(9B51)</t>
    <phoneticPr fontId="1" type="noConversion"/>
  </si>
  <si>
    <t>9B52(9B52)</t>
    <phoneticPr fontId="1" type="noConversion"/>
  </si>
  <si>
    <t>9B53(9B53)</t>
    <phoneticPr fontId="1" type="noConversion"/>
  </si>
  <si>
    <t>9B54(9B54)</t>
    <phoneticPr fontId="1" type="noConversion"/>
  </si>
  <si>
    <t>線西DS_9B</t>
    <phoneticPr fontId="1" type="noConversion"/>
  </si>
  <si>
    <t>9B56(9B56)</t>
    <phoneticPr fontId="1" type="noConversion"/>
  </si>
  <si>
    <t>線西DS_9B</t>
    <phoneticPr fontId="1" type="noConversion"/>
  </si>
  <si>
    <t>9B61(9B61)</t>
    <phoneticPr fontId="1" type="noConversion"/>
  </si>
  <si>
    <t>9B62(9B62)</t>
    <phoneticPr fontId="1" type="noConversion"/>
  </si>
  <si>
    <t>9B63(9B63)</t>
    <phoneticPr fontId="1" type="noConversion"/>
  </si>
  <si>
    <t>9B64(9B64)</t>
    <phoneticPr fontId="1" type="noConversion"/>
  </si>
  <si>
    <t>9B65(9B65)</t>
    <phoneticPr fontId="1" type="noConversion"/>
  </si>
  <si>
    <t>9B68(9B68)</t>
    <phoneticPr fontId="1" type="noConversion"/>
  </si>
  <si>
    <t>員林DS_9C</t>
    <phoneticPr fontId="1" type="noConversion"/>
  </si>
  <si>
    <t>#1ADTR</t>
    <phoneticPr fontId="1" type="noConversion"/>
  </si>
  <si>
    <t>9C20(9C20)</t>
    <phoneticPr fontId="1" type="noConversion"/>
  </si>
  <si>
    <t>9C21(9C21)</t>
    <phoneticPr fontId="1" type="noConversion"/>
  </si>
  <si>
    <t>9C22(9C22)</t>
    <phoneticPr fontId="1" type="noConversion"/>
  </si>
  <si>
    <t>9C23(9C23)</t>
    <phoneticPr fontId="1" type="noConversion"/>
  </si>
  <si>
    <t>9C24(9C24)</t>
    <phoneticPr fontId="1" type="noConversion"/>
  </si>
  <si>
    <t>#1BDTR</t>
    <phoneticPr fontId="1" type="noConversion"/>
  </si>
  <si>
    <t>員林DS_9C</t>
    <phoneticPr fontId="1" type="noConversion"/>
  </si>
  <si>
    <t>9C25(9C25)</t>
    <phoneticPr fontId="1" type="noConversion"/>
  </si>
  <si>
    <t>9C26(9C26)</t>
    <phoneticPr fontId="1" type="noConversion"/>
  </si>
  <si>
    <t>9C28(9C28)</t>
    <phoneticPr fontId="1" type="noConversion"/>
  </si>
  <si>
    <t>9C29(9C29)</t>
    <phoneticPr fontId="1" type="noConversion"/>
  </si>
  <si>
    <t>#2A1DTR</t>
    <phoneticPr fontId="1" type="noConversion"/>
  </si>
  <si>
    <t>9C30(9C30)</t>
    <phoneticPr fontId="1" type="noConversion"/>
  </si>
  <si>
    <t>9C31(9C31)</t>
    <phoneticPr fontId="1" type="noConversion"/>
  </si>
  <si>
    <t>9C32(9C32)</t>
    <phoneticPr fontId="1" type="noConversion"/>
  </si>
  <si>
    <t>#2A2DTR</t>
    <phoneticPr fontId="1" type="noConversion"/>
  </si>
  <si>
    <t>9C33(9C33)</t>
    <phoneticPr fontId="1" type="noConversion"/>
  </si>
  <si>
    <t>9C34(9C34)</t>
    <phoneticPr fontId="1" type="noConversion"/>
  </si>
  <si>
    <t>#2B1DTR</t>
    <phoneticPr fontId="1" type="noConversion"/>
  </si>
  <si>
    <t>9C35(9C35)</t>
    <phoneticPr fontId="1" type="noConversion"/>
  </si>
  <si>
    <t>9C37(9C37)</t>
    <phoneticPr fontId="1" type="noConversion"/>
  </si>
  <si>
    <t>9C38(9C38)</t>
    <phoneticPr fontId="1" type="noConversion"/>
  </si>
  <si>
    <t>9C39(9C39)</t>
    <phoneticPr fontId="1" type="noConversion"/>
  </si>
  <si>
    <t>#3ADTR</t>
    <phoneticPr fontId="1" type="noConversion"/>
  </si>
  <si>
    <t>9C40(9C40)</t>
    <phoneticPr fontId="1" type="noConversion"/>
  </si>
  <si>
    <t>9C41(9C41)</t>
    <phoneticPr fontId="1" type="noConversion"/>
  </si>
  <si>
    <t>9C42(9C42)</t>
    <phoneticPr fontId="1" type="noConversion"/>
  </si>
  <si>
    <t>9C44(9C44)</t>
    <phoneticPr fontId="1" type="noConversion"/>
  </si>
  <si>
    <t>#3BDTR</t>
    <phoneticPr fontId="1" type="noConversion"/>
  </si>
  <si>
    <t>9C45(9C45)</t>
    <phoneticPr fontId="1" type="noConversion"/>
  </si>
  <si>
    <t>9C46(9C46)</t>
    <phoneticPr fontId="1" type="noConversion"/>
  </si>
  <si>
    <t>9C48(9C48)</t>
    <phoneticPr fontId="1" type="noConversion"/>
  </si>
  <si>
    <t>9C49(9C49)</t>
    <phoneticPr fontId="1" type="noConversion"/>
  </si>
  <si>
    <t>鹿西DS_9F</t>
    <phoneticPr fontId="1" type="noConversion"/>
  </si>
  <si>
    <t>#1DTR</t>
    <phoneticPr fontId="1" type="noConversion"/>
  </si>
  <si>
    <t>鹿西DS_9F</t>
    <phoneticPr fontId="1" type="noConversion"/>
  </si>
  <si>
    <t>9F51(9F51)</t>
    <phoneticPr fontId="1" type="noConversion"/>
  </si>
  <si>
    <t>9F52(9F52)</t>
    <phoneticPr fontId="1" type="noConversion"/>
  </si>
  <si>
    <t>9F53(9F53)</t>
    <phoneticPr fontId="1" type="noConversion"/>
  </si>
  <si>
    <t>9F54(9F54)</t>
    <phoneticPr fontId="1" type="noConversion"/>
  </si>
  <si>
    <t>9F55(9F55)</t>
    <phoneticPr fontId="1" type="noConversion"/>
  </si>
  <si>
    <t>9F56(9F56)</t>
    <phoneticPr fontId="1" type="noConversion"/>
  </si>
  <si>
    <t>9F57(9F57)</t>
    <phoneticPr fontId="1" type="noConversion"/>
  </si>
  <si>
    <t>9F58(9F58)</t>
    <phoneticPr fontId="1" type="noConversion"/>
  </si>
  <si>
    <t>9F61(9F61)</t>
    <phoneticPr fontId="1" type="noConversion"/>
  </si>
  <si>
    <t>9F63(9F63)</t>
    <phoneticPr fontId="1" type="noConversion"/>
  </si>
  <si>
    <t>9F64(9F64)</t>
    <phoneticPr fontId="1" type="noConversion"/>
  </si>
  <si>
    <t>9F65(9F65)</t>
    <phoneticPr fontId="1" type="noConversion"/>
  </si>
  <si>
    <t>9F66(9F66)</t>
    <phoneticPr fontId="1" type="noConversion"/>
  </si>
  <si>
    <t>9F67(9F67)</t>
    <phoneticPr fontId="1" type="noConversion"/>
  </si>
  <si>
    <t>漢寶DS_9G</t>
    <phoneticPr fontId="1" type="noConversion"/>
  </si>
  <si>
    <t>#1ADTR</t>
    <phoneticPr fontId="1" type="noConversion"/>
  </si>
  <si>
    <t>漢寶DS_9G</t>
    <phoneticPr fontId="1" type="noConversion"/>
  </si>
  <si>
    <t>9G20(9G20)</t>
    <phoneticPr fontId="1" type="noConversion"/>
  </si>
  <si>
    <t>9G21(9G21)</t>
    <phoneticPr fontId="1" type="noConversion"/>
  </si>
  <si>
    <t>9G22(9G22)</t>
    <phoneticPr fontId="1" type="noConversion"/>
  </si>
  <si>
    <t>9G23(9G23)</t>
    <phoneticPr fontId="1" type="noConversion"/>
  </si>
  <si>
    <t>9G24(9G24)</t>
    <phoneticPr fontId="1" type="noConversion"/>
  </si>
  <si>
    <t>#1BDTR</t>
    <phoneticPr fontId="1" type="noConversion"/>
  </si>
  <si>
    <t>9G26(9G26)</t>
    <phoneticPr fontId="1" type="noConversion"/>
  </si>
  <si>
    <t>9G27(9G27)</t>
    <phoneticPr fontId="1" type="noConversion"/>
  </si>
  <si>
    <t>9G28(9G28)</t>
    <phoneticPr fontId="1" type="noConversion"/>
  </si>
  <si>
    <t>9G29(9G29)</t>
    <phoneticPr fontId="1" type="noConversion"/>
  </si>
  <si>
    <t>#2ADTR</t>
    <phoneticPr fontId="1" type="noConversion"/>
  </si>
  <si>
    <t>9G30(9G30)</t>
    <phoneticPr fontId="1" type="noConversion"/>
  </si>
  <si>
    <t>9G31(9G31)</t>
    <phoneticPr fontId="1" type="noConversion"/>
  </si>
  <si>
    <t>9G32(9G32)</t>
    <phoneticPr fontId="1" type="noConversion"/>
  </si>
  <si>
    <t>9G33(9G33)</t>
    <phoneticPr fontId="1" type="noConversion"/>
  </si>
  <si>
    <t>9G34(9G34)</t>
    <phoneticPr fontId="1" type="noConversion"/>
  </si>
  <si>
    <t>9G35(9G35)</t>
    <phoneticPr fontId="1" type="noConversion"/>
  </si>
  <si>
    <t>9G36(9G36)</t>
    <phoneticPr fontId="1" type="noConversion"/>
  </si>
  <si>
    <t>9G37(9G37)</t>
    <phoneticPr fontId="1" type="noConversion"/>
  </si>
  <si>
    <t>9G38(9G38)</t>
    <phoneticPr fontId="1" type="noConversion"/>
  </si>
  <si>
    <t>9G39(9G39)</t>
    <phoneticPr fontId="1" type="noConversion"/>
  </si>
  <si>
    <t>立風2(9GE9)</t>
    <phoneticPr fontId="1" type="noConversion"/>
  </si>
  <si>
    <t>9GE3(9GE3)</t>
    <phoneticPr fontId="1" type="noConversion"/>
  </si>
  <si>
    <t>北苑(9GE1)</t>
    <phoneticPr fontId="1" type="noConversion"/>
  </si>
  <si>
    <t>星寶(9GE0)</t>
    <phoneticPr fontId="1" type="noConversion"/>
  </si>
  <si>
    <t>9GE7(9GE7)</t>
    <phoneticPr fontId="1" type="noConversion"/>
  </si>
  <si>
    <t>彰旺(9GE5)</t>
    <phoneticPr fontId="1" type="noConversion"/>
  </si>
  <si>
    <t>草港DS_9H</t>
    <phoneticPr fontId="1" type="noConversion"/>
  </si>
  <si>
    <t>#2ADTR</t>
    <phoneticPr fontId="1" type="noConversion"/>
  </si>
  <si>
    <t>9H20(9H20)</t>
    <phoneticPr fontId="1" type="noConversion"/>
  </si>
  <si>
    <t>下港線(9H21)</t>
    <phoneticPr fontId="1" type="noConversion"/>
  </si>
  <si>
    <t>草塭線(9H22)</t>
    <phoneticPr fontId="1" type="noConversion"/>
  </si>
  <si>
    <t>草港DS_9H</t>
    <phoneticPr fontId="1" type="noConversion"/>
  </si>
  <si>
    <t>崙尾線(9H23)</t>
    <phoneticPr fontId="1" type="noConversion"/>
  </si>
  <si>
    <t>崙草線(9H24)</t>
    <phoneticPr fontId="1" type="noConversion"/>
  </si>
  <si>
    <t>南勢線(9H25)</t>
    <phoneticPr fontId="1" type="noConversion"/>
  </si>
  <si>
    <t>草洋線(9H26)</t>
    <phoneticPr fontId="1" type="noConversion"/>
  </si>
  <si>
    <t>草港線(9H27)</t>
    <phoneticPr fontId="1" type="noConversion"/>
  </si>
  <si>
    <t>草莊線(9H28)</t>
    <phoneticPr fontId="1" type="noConversion"/>
  </si>
  <si>
    <t>草東線(9H29)</t>
    <phoneticPr fontId="1" type="noConversion"/>
  </si>
  <si>
    <t>#3ADTR</t>
    <phoneticPr fontId="1" type="noConversion"/>
  </si>
  <si>
    <t>9H30(9H30)</t>
    <phoneticPr fontId="1" type="noConversion"/>
  </si>
  <si>
    <t>西崙線(9H31)</t>
    <phoneticPr fontId="1" type="noConversion"/>
  </si>
  <si>
    <t>草一線(9H32)</t>
    <phoneticPr fontId="1" type="noConversion"/>
  </si>
  <si>
    <t>草鹿線(9H33)</t>
    <phoneticPr fontId="1" type="noConversion"/>
  </si>
  <si>
    <t>頂山線(9H34)</t>
    <phoneticPr fontId="1" type="noConversion"/>
  </si>
  <si>
    <t>草中線(9H35)</t>
    <phoneticPr fontId="1" type="noConversion"/>
  </si>
  <si>
    <t>草子線(9H36)</t>
    <phoneticPr fontId="1" type="noConversion"/>
  </si>
  <si>
    <t>東正線(9H37)</t>
    <phoneticPr fontId="1" type="noConversion"/>
  </si>
  <si>
    <t>草嶺線(9H38)</t>
    <phoneticPr fontId="1" type="noConversion"/>
  </si>
  <si>
    <t>草伸線(9H39)</t>
    <phoneticPr fontId="1" type="noConversion"/>
  </si>
  <si>
    <t>福興DS_9I</t>
    <phoneticPr fontId="1" type="noConversion"/>
  </si>
  <si>
    <t>9I20(9I20)</t>
    <phoneticPr fontId="1" type="noConversion"/>
  </si>
  <si>
    <t>福興DS_9I</t>
    <phoneticPr fontId="1" type="noConversion"/>
  </si>
  <si>
    <t>9I21(9I21)</t>
    <phoneticPr fontId="1" type="noConversion"/>
  </si>
  <si>
    <t>9I22(9I22)</t>
    <phoneticPr fontId="1" type="noConversion"/>
  </si>
  <si>
    <t>9I23(9I23)</t>
    <phoneticPr fontId="1" type="noConversion"/>
  </si>
  <si>
    <t>9I25(9I25)</t>
    <phoneticPr fontId="1" type="noConversion"/>
  </si>
  <si>
    <t>9I39(9I39)</t>
    <phoneticPr fontId="1" type="noConversion"/>
  </si>
  <si>
    <t>9I38(9I38)</t>
    <phoneticPr fontId="1" type="noConversion"/>
  </si>
  <si>
    <t>9I37(9I37)</t>
    <phoneticPr fontId="1" type="noConversion"/>
  </si>
  <si>
    <t>9I36(9I36)</t>
    <phoneticPr fontId="1" type="noConversion"/>
  </si>
  <si>
    <t>9I27(9I27)</t>
    <phoneticPr fontId="1" type="noConversion"/>
  </si>
  <si>
    <t>9I28(9I28)</t>
    <phoneticPr fontId="1" type="noConversion"/>
  </si>
  <si>
    <t>9I29(9I29)</t>
    <phoneticPr fontId="1" type="noConversion"/>
  </si>
  <si>
    <t>#2BDTR</t>
    <phoneticPr fontId="1" type="noConversion"/>
  </si>
  <si>
    <t>9I34(9I34)</t>
    <phoneticPr fontId="1" type="noConversion"/>
  </si>
  <si>
    <t>9I32(9I32)</t>
    <phoneticPr fontId="1" type="noConversion"/>
  </si>
  <si>
    <t>9I31(9I31)</t>
    <phoneticPr fontId="1" type="noConversion"/>
  </si>
  <si>
    <t>埔鹽SS_9J</t>
    <phoneticPr fontId="1" type="noConversion"/>
  </si>
  <si>
    <t>#1MTR</t>
    <phoneticPr fontId="1" type="noConversion"/>
  </si>
  <si>
    <t>埔鹽SS_9J</t>
    <phoneticPr fontId="1" type="noConversion"/>
  </si>
  <si>
    <t>9J11(9J11)</t>
    <phoneticPr fontId="1" type="noConversion"/>
  </si>
  <si>
    <t>9J12(9J12)</t>
    <phoneticPr fontId="1" type="noConversion"/>
  </si>
  <si>
    <t>9J13(9J13)</t>
    <phoneticPr fontId="1" type="noConversion"/>
  </si>
  <si>
    <t>9J14(9J14)</t>
    <phoneticPr fontId="1" type="noConversion"/>
  </si>
  <si>
    <t>9J15(9J15)</t>
    <phoneticPr fontId="1" type="noConversion"/>
  </si>
  <si>
    <t>#2MTR</t>
    <phoneticPr fontId="1" type="noConversion"/>
  </si>
  <si>
    <t>9J21(9J21)</t>
    <phoneticPr fontId="1" type="noConversion"/>
  </si>
  <si>
    <t>9J22(9J22)</t>
    <phoneticPr fontId="1" type="noConversion"/>
  </si>
  <si>
    <t>9J25(9J25)</t>
    <phoneticPr fontId="1" type="noConversion"/>
  </si>
  <si>
    <t>#3MTR</t>
    <phoneticPr fontId="1" type="noConversion"/>
  </si>
  <si>
    <t>9J31(9J31)</t>
    <phoneticPr fontId="1" type="noConversion"/>
  </si>
  <si>
    <t>9J34(9J34)</t>
    <phoneticPr fontId="1" type="noConversion"/>
  </si>
  <si>
    <t>9J35(9J35)</t>
    <phoneticPr fontId="1" type="noConversion"/>
  </si>
  <si>
    <t>大霞DS_9K</t>
    <phoneticPr fontId="1" type="noConversion"/>
  </si>
  <si>
    <t>9K21(9K21)</t>
    <phoneticPr fontId="1" type="noConversion"/>
  </si>
  <si>
    <t>9K22(9K22)</t>
    <phoneticPr fontId="1" type="noConversion"/>
  </si>
  <si>
    <t>9K23(9K23)</t>
    <phoneticPr fontId="1" type="noConversion"/>
  </si>
  <si>
    <t>大霞DS_9K</t>
    <phoneticPr fontId="1" type="noConversion"/>
  </si>
  <si>
    <t>9K24(9K24)</t>
    <phoneticPr fontId="1" type="noConversion"/>
  </si>
  <si>
    <t>9K25(9K25)</t>
    <phoneticPr fontId="1" type="noConversion"/>
  </si>
  <si>
    <t>9K27(9K27)</t>
    <phoneticPr fontId="1" type="noConversion"/>
  </si>
  <si>
    <t>9K28(9K28)</t>
    <phoneticPr fontId="1" type="noConversion"/>
  </si>
  <si>
    <t>9K29(9K29)</t>
    <phoneticPr fontId="1" type="noConversion"/>
  </si>
  <si>
    <t>9K30(9K30)</t>
    <phoneticPr fontId="1" type="noConversion"/>
  </si>
  <si>
    <t>9K31(9K31)</t>
    <phoneticPr fontId="1" type="noConversion"/>
  </si>
  <si>
    <t>9K32(9K32)</t>
    <phoneticPr fontId="1" type="noConversion"/>
  </si>
  <si>
    <t>9K33(9K33)</t>
    <phoneticPr fontId="1" type="noConversion"/>
  </si>
  <si>
    <t>9K34(9K34)</t>
    <phoneticPr fontId="1" type="noConversion"/>
  </si>
  <si>
    <t>9K35(9K35)</t>
    <phoneticPr fontId="1" type="noConversion"/>
  </si>
  <si>
    <t>9K37(9K37)</t>
    <phoneticPr fontId="1" type="noConversion"/>
  </si>
  <si>
    <t>9K38(9K38)</t>
    <phoneticPr fontId="1" type="noConversion"/>
  </si>
  <si>
    <t>9K39(9K39)</t>
    <phoneticPr fontId="1" type="noConversion"/>
  </si>
  <si>
    <t>9K40(9K40)</t>
    <phoneticPr fontId="1" type="noConversion"/>
  </si>
  <si>
    <t>大城DS_9L</t>
    <phoneticPr fontId="1" type="noConversion"/>
  </si>
  <si>
    <t>大城DS_9L</t>
    <phoneticPr fontId="1" type="noConversion"/>
  </si>
  <si>
    <t>9L21(9L21)</t>
    <phoneticPr fontId="1" type="noConversion"/>
  </si>
  <si>
    <t>9L24(9L24)</t>
    <phoneticPr fontId="1" type="noConversion"/>
  </si>
  <si>
    <t>9L25(9L25)</t>
    <phoneticPr fontId="1" type="noConversion"/>
  </si>
  <si>
    <t>9L26(9L26)</t>
    <phoneticPr fontId="1" type="noConversion"/>
  </si>
  <si>
    <t>9L27(9L27)</t>
    <phoneticPr fontId="1" type="noConversion"/>
  </si>
  <si>
    <t>9L28(9L28)</t>
    <phoneticPr fontId="1" type="noConversion"/>
  </si>
  <si>
    <t>9L29(9L29)</t>
    <phoneticPr fontId="1" type="noConversion"/>
  </si>
  <si>
    <t>9L30(9L30)</t>
    <phoneticPr fontId="1" type="noConversion"/>
  </si>
  <si>
    <t>9L31(9L31)</t>
    <phoneticPr fontId="1" type="noConversion"/>
  </si>
  <si>
    <t>9L32(9L32)</t>
    <phoneticPr fontId="1" type="noConversion"/>
  </si>
  <si>
    <t>9L33(9L33)</t>
    <phoneticPr fontId="1" type="noConversion"/>
  </si>
  <si>
    <t>9L35(9L35)</t>
    <phoneticPr fontId="1" type="noConversion"/>
  </si>
  <si>
    <t>#2BDTR</t>
    <phoneticPr fontId="1" type="noConversion"/>
  </si>
  <si>
    <t>9L36(9L36)</t>
    <phoneticPr fontId="1" type="noConversion"/>
  </si>
  <si>
    <t>9L39(9L39)</t>
    <phoneticPr fontId="1" type="noConversion"/>
  </si>
  <si>
    <t>9L40(9L40)</t>
    <phoneticPr fontId="1" type="noConversion"/>
  </si>
  <si>
    <t>彰林ES_9M</t>
    <phoneticPr fontId="1" type="noConversion"/>
  </si>
  <si>
    <t>彰林ES_9M</t>
    <phoneticPr fontId="1" type="noConversion"/>
  </si>
  <si>
    <t>9M22(9M22)</t>
    <phoneticPr fontId="1" type="noConversion"/>
  </si>
  <si>
    <t>9M24(9M24)</t>
    <phoneticPr fontId="1" type="noConversion"/>
  </si>
  <si>
    <t>9M25(9M25)</t>
    <phoneticPr fontId="1" type="noConversion"/>
  </si>
  <si>
    <t>9M26(9M26)</t>
    <phoneticPr fontId="1" type="noConversion"/>
  </si>
  <si>
    <t>9M28(9M28)</t>
    <phoneticPr fontId="1" type="noConversion"/>
  </si>
  <si>
    <t>9M29(9M29)</t>
    <phoneticPr fontId="1" type="noConversion"/>
  </si>
  <si>
    <t>9M32(9M32)</t>
    <phoneticPr fontId="1" type="noConversion"/>
  </si>
  <si>
    <t>9M33(9M33)</t>
    <phoneticPr fontId="1" type="noConversion"/>
  </si>
  <si>
    <t>9M35(9M35)</t>
    <phoneticPr fontId="1" type="noConversion"/>
  </si>
  <si>
    <t>9M36(9M36)</t>
    <phoneticPr fontId="1" type="noConversion"/>
  </si>
  <si>
    <t>9M37(9M37)</t>
    <phoneticPr fontId="1" type="noConversion"/>
  </si>
  <si>
    <t>9M38(9M38)</t>
    <phoneticPr fontId="1" type="noConversion"/>
  </si>
  <si>
    <t>9M39(9M39)</t>
    <phoneticPr fontId="1" type="noConversion"/>
  </si>
  <si>
    <t>#3MTR</t>
    <phoneticPr fontId="1" type="noConversion"/>
  </si>
  <si>
    <t>彰竹DS_9N</t>
    <phoneticPr fontId="1" type="noConversion"/>
  </si>
  <si>
    <t>9N20(9N20)</t>
    <phoneticPr fontId="1" type="noConversion"/>
  </si>
  <si>
    <t>9N22(9N22)</t>
    <phoneticPr fontId="1" type="noConversion"/>
  </si>
  <si>
    <t>9N23(9N23)</t>
    <phoneticPr fontId="1" type="noConversion"/>
  </si>
  <si>
    <t>9N24(9N24)</t>
    <phoneticPr fontId="1" type="noConversion"/>
  </si>
  <si>
    <t>9N25(9N25)</t>
    <phoneticPr fontId="1" type="noConversion"/>
  </si>
  <si>
    <t>彰竹DS_9N</t>
    <phoneticPr fontId="1" type="noConversion"/>
  </si>
  <si>
    <t>9N26(9N26)</t>
    <phoneticPr fontId="1" type="noConversion"/>
  </si>
  <si>
    <t>9N27(9N27)</t>
    <phoneticPr fontId="1" type="noConversion"/>
  </si>
  <si>
    <t>9N28(9N28)</t>
    <phoneticPr fontId="1" type="noConversion"/>
  </si>
  <si>
    <t>花壇DS_9P</t>
    <phoneticPr fontId="1" type="noConversion"/>
  </si>
  <si>
    <t>9P10(9P10)</t>
    <phoneticPr fontId="1" type="noConversion"/>
  </si>
  <si>
    <t>9P11(9P11)</t>
    <phoneticPr fontId="1" type="noConversion"/>
  </si>
  <si>
    <t>9P12(9P12)</t>
    <phoneticPr fontId="1" type="noConversion"/>
  </si>
  <si>
    <t>9P13(9P13)</t>
    <phoneticPr fontId="1" type="noConversion"/>
  </si>
  <si>
    <t>花壇DS_9P</t>
    <phoneticPr fontId="1" type="noConversion"/>
  </si>
  <si>
    <t>9P15(9P15)</t>
    <phoneticPr fontId="1" type="noConversion"/>
  </si>
  <si>
    <t>9P16(9P16)</t>
    <phoneticPr fontId="1" type="noConversion"/>
  </si>
  <si>
    <t>9P17(9P17)</t>
    <phoneticPr fontId="1" type="noConversion"/>
  </si>
  <si>
    <t>9P18(9P18)</t>
    <phoneticPr fontId="1" type="noConversion"/>
  </si>
  <si>
    <t>9P19(9P19)</t>
    <phoneticPr fontId="1" type="noConversion"/>
  </si>
  <si>
    <t>9P20(9P20)</t>
    <phoneticPr fontId="1" type="noConversion"/>
  </si>
  <si>
    <t>9P21(9P21)</t>
    <phoneticPr fontId="1" type="noConversion"/>
  </si>
  <si>
    <t>9P22(9P22)</t>
    <phoneticPr fontId="1" type="noConversion"/>
  </si>
  <si>
    <t>9P24(9P24)</t>
    <phoneticPr fontId="1" type="noConversion"/>
  </si>
  <si>
    <t>9P26(9P26)</t>
    <phoneticPr fontId="1" type="noConversion"/>
  </si>
  <si>
    <t>9P27(9P27)</t>
    <phoneticPr fontId="1" type="noConversion"/>
  </si>
  <si>
    <t>9P29(9P29)</t>
    <phoneticPr fontId="1" type="noConversion"/>
  </si>
  <si>
    <t>彰新DS_IA</t>
    <phoneticPr fontId="1" type="noConversion"/>
  </si>
  <si>
    <t>彰新DS_IA</t>
    <phoneticPr fontId="1" type="noConversion"/>
  </si>
  <si>
    <t>北部線(IA37)</t>
    <phoneticPr fontId="1" type="noConversion"/>
  </si>
  <si>
    <t>磚瑤線(IA30)</t>
    <phoneticPr fontId="1" type="noConversion"/>
  </si>
  <si>
    <t>彰茂線(IA35)</t>
    <phoneticPr fontId="1" type="noConversion"/>
  </si>
  <si>
    <t>阿夷線(IA24)</t>
    <phoneticPr fontId="1" type="noConversion"/>
  </si>
  <si>
    <t>新庄線(IA29)</t>
    <phoneticPr fontId="1" type="noConversion"/>
  </si>
  <si>
    <t>犁盛線(IA33)</t>
    <phoneticPr fontId="1" type="noConversion"/>
  </si>
  <si>
    <t>成功線(IA36)</t>
    <phoneticPr fontId="1" type="noConversion"/>
  </si>
  <si>
    <t>辭修線(IA27)</t>
    <phoneticPr fontId="1" type="noConversion"/>
  </si>
  <si>
    <t>泰和線(IA26)</t>
    <phoneticPr fontId="1" type="noConversion"/>
  </si>
  <si>
    <t>大成線(IA22)</t>
    <phoneticPr fontId="1" type="noConversion"/>
  </si>
  <si>
    <t>北建線(IA38)</t>
    <phoneticPr fontId="1" type="noConversion"/>
  </si>
  <si>
    <t>北廠線(IA21)</t>
    <phoneticPr fontId="1" type="noConversion"/>
  </si>
  <si>
    <t>北美線(IA25)</t>
    <phoneticPr fontId="1" type="noConversion"/>
  </si>
  <si>
    <t>中圍線(IA20)</t>
    <phoneticPr fontId="1" type="noConversion"/>
  </si>
  <si>
    <t>國聖線(IA40)</t>
    <phoneticPr fontId="1" type="noConversion"/>
  </si>
  <si>
    <t>忠孝線(IA41)</t>
    <phoneticPr fontId="1" type="noConversion"/>
  </si>
  <si>
    <t>建國線(IA42)</t>
    <phoneticPr fontId="1" type="noConversion"/>
  </si>
  <si>
    <t>東頭線(IA44)</t>
    <phoneticPr fontId="1" type="noConversion"/>
  </si>
  <si>
    <t>卦山線(IA47)</t>
    <phoneticPr fontId="1" type="noConversion"/>
  </si>
  <si>
    <t>保警線(IA48)</t>
    <phoneticPr fontId="1" type="noConversion"/>
  </si>
  <si>
    <t>西勢線(IA49)</t>
    <phoneticPr fontId="1" type="noConversion"/>
  </si>
  <si>
    <t>鹿港SS_IB</t>
    <phoneticPr fontId="1" type="noConversion"/>
  </si>
  <si>
    <t>#1MTR</t>
    <phoneticPr fontId="1" type="noConversion"/>
  </si>
  <si>
    <t>二港線(IB20)</t>
    <phoneticPr fontId="1" type="noConversion"/>
  </si>
  <si>
    <t>鹿港SS_IB</t>
    <phoneticPr fontId="1" type="noConversion"/>
  </si>
  <si>
    <t>下庄線(IB30)</t>
    <phoneticPr fontId="1" type="noConversion"/>
  </si>
  <si>
    <t>鹿一線(IB31)</t>
    <phoneticPr fontId="1" type="noConversion"/>
  </si>
  <si>
    <t>橋頭線(IB21)</t>
    <phoneticPr fontId="1" type="noConversion"/>
  </si>
  <si>
    <t>#2MTR</t>
    <phoneticPr fontId="1" type="noConversion"/>
  </si>
  <si>
    <t>鹿三線(IB33)</t>
    <phoneticPr fontId="1" type="noConversion"/>
  </si>
  <si>
    <t>鹽場線(IB25)</t>
    <phoneticPr fontId="1" type="noConversion"/>
  </si>
  <si>
    <t>龍山線(IB28)</t>
    <phoneticPr fontId="1" type="noConversion"/>
  </si>
  <si>
    <t>鹿溪線(IB24)</t>
    <phoneticPr fontId="1" type="noConversion"/>
  </si>
  <si>
    <t>鹿東線(IB27)</t>
    <phoneticPr fontId="1" type="noConversion"/>
  </si>
  <si>
    <t>永豐線(IB34)</t>
    <phoneticPr fontId="1" type="noConversion"/>
  </si>
  <si>
    <t>鹿管線(IB29)</t>
    <phoneticPr fontId="1" type="noConversion"/>
  </si>
  <si>
    <t>鹿二線(IB32)</t>
    <phoneticPr fontId="1" type="noConversion"/>
  </si>
  <si>
    <t>頂厝線(IB26)</t>
    <phoneticPr fontId="1" type="noConversion"/>
  </si>
  <si>
    <t>鹿中線(IB23)</t>
    <phoneticPr fontId="1" type="noConversion"/>
  </si>
  <si>
    <t>員林SS_IC</t>
    <phoneticPr fontId="1" type="noConversion"/>
  </si>
  <si>
    <t>西寮線(ID20)</t>
    <phoneticPr fontId="1" type="noConversion"/>
  </si>
  <si>
    <t>溪湖SS_ID</t>
    <phoneticPr fontId="1" type="noConversion"/>
  </si>
  <si>
    <t>湖南線(ID23)</t>
    <phoneticPr fontId="1" type="noConversion"/>
  </si>
  <si>
    <t>溪湖SS_ID</t>
    <phoneticPr fontId="1" type="noConversion"/>
  </si>
  <si>
    <t>溪湖線(ID28)</t>
    <phoneticPr fontId="1" type="noConversion"/>
  </si>
  <si>
    <t>湳底線(ID26)</t>
    <phoneticPr fontId="1" type="noConversion"/>
  </si>
  <si>
    <t>湖北線(ID31)</t>
    <phoneticPr fontId="1" type="noConversion"/>
  </si>
  <si>
    <t>湖中線(ID30)</t>
    <phoneticPr fontId="1" type="noConversion"/>
  </si>
  <si>
    <t>溪東線(ID24)</t>
    <phoneticPr fontId="1" type="noConversion"/>
  </si>
  <si>
    <t>二重線(ID21)</t>
    <phoneticPr fontId="1" type="noConversion"/>
  </si>
  <si>
    <t>南新線(ID29)</t>
    <phoneticPr fontId="1" type="noConversion"/>
  </si>
  <si>
    <t>東寮線(ID25)</t>
    <phoneticPr fontId="1" type="noConversion"/>
  </si>
  <si>
    <t>巫厝線(ID27)</t>
    <phoneticPr fontId="1" type="noConversion"/>
  </si>
  <si>
    <t>湖西線(ID22)</t>
    <phoneticPr fontId="1" type="noConversion"/>
  </si>
  <si>
    <t>F14(F14)</t>
    <phoneticPr fontId="1" type="noConversion"/>
  </si>
  <si>
    <t>F15(F15)</t>
    <phoneticPr fontId="1" type="noConversion"/>
  </si>
  <si>
    <t>二林SS_IE</t>
    <phoneticPr fontId="1" type="noConversion"/>
  </si>
  <si>
    <t>永安線(IE25)</t>
    <phoneticPr fontId="1" type="noConversion"/>
  </si>
  <si>
    <t>溝頭線(IE24)</t>
    <phoneticPr fontId="1" type="noConversion"/>
  </si>
  <si>
    <t>二林SS_IE</t>
    <phoneticPr fontId="1" type="noConversion"/>
  </si>
  <si>
    <t>中西線(IE21)</t>
    <phoneticPr fontId="1" type="noConversion"/>
  </si>
  <si>
    <t>埤北線(IE27)</t>
    <phoneticPr fontId="1" type="noConversion"/>
  </si>
  <si>
    <t>西斗線(IE22)</t>
    <phoneticPr fontId="1" type="noConversion"/>
  </si>
  <si>
    <t>北平線(IE23)</t>
    <phoneticPr fontId="1" type="noConversion"/>
  </si>
  <si>
    <t>廣西線(IE28)</t>
    <phoneticPr fontId="1" type="noConversion"/>
  </si>
  <si>
    <t>三合線(IE20)</t>
    <phoneticPr fontId="1" type="noConversion"/>
  </si>
  <si>
    <t>舊社線(IE26)</t>
    <phoneticPr fontId="1" type="noConversion"/>
  </si>
  <si>
    <t>東興線(IE29)</t>
    <phoneticPr fontId="1" type="noConversion"/>
  </si>
  <si>
    <t>溪州SS_IF</t>
    <phoneticPr fontId="1" type="noConversion"/>
  </si>
  <si>
    <t>田頭線(IF30)</t>
    <phoneticPr fontId="1" type="noConversion"/>
  </si>
  <si>
    <t>溪工線(IF33)</t>
    <phoneticPr fontId="1" type="noConversion"/>
  </si>
  <si>
    <t>農場線(IF34)</t>
    <phoneticPr fontId="1" type="noConversion"/>
  </si>
  <si>
    <t>潮洋線(IF22)</t>
    <phoneticPr fontId="1" type="noConversion"/>
  </si>
  <si>
    <t>溪州SS_IF</t>
    <phoneticPr fontId="1" type="noConversion"/>
  </si>
  <si>
    <t>路口線(IF23)</t>
    <phoneticPr fontId="1" type="noConversion"/>
  </si>
  <si>
    <t>溪竹線(IF31)</t>
    <phoneticPr fontId="1" type="noConversion"/>
  </si>
  <si>
    <t>埤工線(IF24)</t>
    <phoneticPr fontId="1" type="noConversion"/>
  </si>
  <si>
    <t>埔尾線(IF26)</t>
    <phoneticPr fontId="1" type="noConversion"/>
  </si>
  <si>
    <t>IF35(IF35)</t>
    <phoneticPr fontId="1" type="noConversion"/>
  </si>
  <si>
    <t>IF39(IF39)</t>
    <phoneticPr fontId="1" type="noConversion"/>
  </si>
  <si>
    <t>IF37(IF37)</t>
    <phoneticPr fontId="1" type="noConversion"/>
  </si>
  <si>
    <t>IF38(IF38)</t>
    <phoneticPr fontId="1" type="noConversion"/>
  </si>
  <si>
    <t>IF36(IF36)</t>
    <phoneticPr fontId="1" type="noConversion"/>
  </si>
  <si>
    <t>元埔線(IF27)</t>
    <phoneticPr fontId="1" type="noConversion"/>
  </si>
  <si>
    <t>溪斗線(IF20)</t>
    <phoneticPr fontId="1" type="noConversion"/>
  </si>
  <si>
    <t>南州線(IF28)</t>
    <phoneticPr fontId="1" type="noConversion"/>
  </si>
  <si>
    <t>溪林線(IF32)</t>
    <phoneticPr fontId="1" type="noConversion"/>
  </si>
  <si>
    <t>合興線(IF29)</t>
    <phoneticPr fontId="1" type="noConversion"/>
  </si>
  <si>
    <t>田中DS_IG</t>
    <phoneticPr fontId="1" type="noConversion"/>
  </si>
  <si>
    <t>田中DS_IG</t>
    <phoneticPr fontId="1" type="noConversion"/>
  </si>
  <si>
    <t>IG30(IG30)</t>
    <phoneticPr fontId="1" type="noConversion"/>
  </si>
  <si>
    <t>IG32(IG32)</t>
    <phoneticPr fontId="1" type="noConversion"/>
  </si>
  <si>
    <t>IG33(IG33)</t>
    <phoneticPr fontId="1" type="noConversion"/>
  </si>
  <si>
    <t>IG34(IG34)</t>
    <phoneticPr fontId="1" type="noConversion"/>
  </si>
  <si>
    <t>IG36(IG36)</t>
    <phoneticPr fontId="1" type="noConversion"/>
  </si>
  <si>
    <t>IG37(IG37)</t>
    <phoneticPr fontId="1" type="noConversion"/>
  </si>
  <si>
    <t>IG38(IG38)</t>
    <phoneticPr fontId="1" type="noConversion"/>
  </si>
  <si>
    <t>IG39(IG39)</t>
    <phoneticPr fontId="1" type="noConversion"/>
  </si>
  <si>
    <t>IG41(IG41)</t>
    <phoneticPr fontId="1" type="noConversion"/>
  </si>
  <si>
    <t>IG42(IG42)</t>
    <phoneticPr fontId="1" type="noConversion"/>
  </si>
  <si>
    <t>#2A2DTR</t>
    <phoneticPr fontId="1" type="noConversion"/>
  </si>
  <si>
    <t>IG43(IG43)</t>
    <phoneticPr fontId="1" type="noConversion"/>
  </si>
  <si>
    <t>IG44(IG44)</t>
    <phoneticPr fontId="1" type="noConversion"/>
  </si>
  <si>
    <t>#2B1DTR</t>
    <phoneticPr fontId="1" type="noConversion"/>
  </si>
  <si>
    <t>IG45(IG45)</t>
    <phoneticPr fontId="1" type="noConversion"/>
  </si>
  <si>
    <t>#2B2DTR</t>
    <phoneticPr fontId="1" type="noConversion"/>
  </si>
  <si>
    <t>IG48(IG48)</t>
    <phoneticPr fontId="1" type="noConversion"/>
  </si>
  <si>
    <t>IG49(IG49)</t>
    <phoneticPr fontId="1" type="noConversion"/>
  </si>
  <si>
    <t>彰西SS_IH</t>
    <phoneticPr fontId="1" type="noConversion"/>
  </si>
  <si>
    <t>西鎮線(IH27)</t>
    <phoneticPr fontId="1" type="noConversion"/>
  </si>
  <si>
    <t>西美線(IH21)</t>
    <phoneticPr fontId="1" type="noConversion"/>
  </si>
  <si>
    <t>下湳線(IH24)</t>
    <phoneticPr fontId="1" type="noConversion"/>
  </si>
  <si>
    <t>西溝線(IH28)</t>
    <phoneticPr fontId="1" type="noConversion"/>
  </si>
  <si>
    <t>建和線(IH33)</t>
    <phoneticPr fontId="1" type="noConversion"/>
  </si>
  <si>
    <t>中華線(IH32)</t>
    <phoneticPr fontId="1" type="noConversion"/>
  </si>
  <si>
    <t>崙平線(IH35)</t>
    <phoneticPr fontId="1" type="noConversion"/>
  </si>
  <si>
    <t>彰西SS_IH</t>
    <phoneticPr fontId="1" type="noConversion"/>
  </si>
  <si>
    <t>西南線(IH29)</t>
    <phoneticPr fontId="1" type="noConversion"/>
  </si>
  <si>
    <t>源埤線(IH22)</t>
    <phoneticPr fontId="1" type="noConversion"/>
  </si>
  <si>
    <t>西華線(IH26)</t>
    <phoneticPr fontId="1" type="noConversion"/>
  </si>
  <si>
    <t>後港線(IH20)</t>
    <phoneticPr fontId="1" type="noConversion"/>
  </si>
  <si>
    <t>彰南SS_II</t>
    <phoneticPr fontId="1" type="noConversion"/>
  </si>
  <si>
    <t>縣府線(II22)</t>
    <phoneticPr fontId="1" type="noConversion"/>
  </si>
  <si>
    <t>西門線(II25)</t>
    <phoneticPr fontId="1" type="noConversion"/>
  </si>
  <si>
    <t>新生線(II20)</t>
    <phoneticPr fontId="1" type="noConversion"/>
  </si>
  <si>
    <t>彰南SS_II</t>
    <phoneticPr fontId="1" type="noConversion"/>
  </si>
  <si>
    <t>南興線(II26)</t>
    <phoneticPr fontId="1" type="noConversion"/>
  </si>
  <si>
    <t>南和線(II27)</t>
    <phoneticPr fontId="1" type="noConversion"/>
  </si>
  <si>
    <t>民權線(II34)</t>
    <phoneticPr fontId="1" type="noConversion"/>
  </si>
  <si>
    <t>虎山線(II30)</t>
    <phoneticPr fontId="1" type="noConversion"/>
  </si>
  <si>
    <t>民族線(II31)</t>
    <phoneticPr fontId="1" type="noConversion"/>
  </si>
  <si>
    <t>大埔線(II28)</t>
    <phoneticPr fontId="1" type="noConversion"/>
  </si>
  <si>
    <t>建寶線(II24)</t>
    <phoneticPr fontId="1" type="noConversion"/>
  </si>
  <si>
    <t>天祥線(II33)</t>
    <phoneticPr fontId="1" type="noConversion"/>
  </si>
  <si>
    <t>南瑤線(II21)</t>
    <phoneticPr fontId="1" type="noConversion"/>
  </si>
  <si>
    <t>口庄線(II29)</t>
    <phoneticPr fontId="1" type="noConversion"/>
  </si>
  <si>
    <t>田寮線(II23)</t>
    <phoneticPr fontId="1" type="noConversion"/>
  </si>
  <si>
    <t>和美SS_IJ</t>
    <phoneticPr fontId="1" type="noConversion"/>
  </si>
  <si>
    <t>和美SS_IJ</t>
    <phoneticPr fontId="1" type="noConversion"/>
  </si>
  <si>
    <t>和美線(IJ23)</t>
    <phoneticPr fontId="1" type="noConversion"/>
  </si>
  <si>
    <t>和崁線(IJ33)</t>
    <phoneticPr fontId="1" type="noConversion"/>
  </si>
  <si>
    <t>汴頭線(IJ30)</t>
    <phoneticPr fontId="1" type="noConversion"/>
  </si>
  <si>
    <t>和西線(IJ22)</t>
    <phoneticPr fontId="1" type="noConversion"/>
  </si>
  <si>
    <t>和張線(IJ34)</t>
    <phoneticPr fontId="1" type="noConversion"/>
  </si>
  <si>
    <t>和南線(IJ28)</t>
    <phoneticPr fontId="1" type="noConversion"/>
  </si>
  <si>
    <t>和伸線(IJ20)</t>
    <phoneticPr fontId="1" type="noConversion"/>
  </si>
  <si>
    <t>和東線(IJ29)</t>
    <phoneticPr fontId="1" type="noConversion"/>
  </si>
  <si>
    <t>地政線(IJ31)</t>
    <phoneticPr fontId="1" type="noConversion"/>
  </si>
  <si>
    <t>溪底線(IJ24)</t>
    <phoneticPr fontId="1" type="noConversion"/>
  </si>
  <si>
    <t>下犁線(IJ25)</t>
    <phoneticPr fontId="1" type="noConversion"/>
  </si>
  <si>
    <t>霞田線(IJ27)</t>
    <phoneticPr fontId="1" type="noConversion"/>
  </si>
  <si>
    <t>彰化DS_IK</t>
    <phoneticPr fontId="1" type="noConversion"/>
  </si>
  <si>
    <t>IK30(IK30)</t>
    <phoneticPr fontId="1" type="noConversion"/>
  </si>
  <si>
    <t>彰化DS_IK</t>
    <phoneticPr fontId="1" type="noConversion"/>
  </si>
  <si>
    <t>IK31(IK31)</t>
    <phoneticPr fontId="1" type="noConversion"/>
  </si>
  <si>
    <t>IK32(IK32)</t>
    <phoneticPr fontId="1" type="noConversion"/>
  </si>
  <si>
    <t>IK33(IK33)</t>
    <phoneticPr fontId="1" type="noConversion"/>
  </si>
  <si>
    <t>IK34(IK34)</t>
    <phoneticPr fontId="1" type="noConversion"/>
  </si>
  <si>
    <t>IK49(IK49)</t>
    <phoneticPr fontId="1" type="noConversion"/>
  </si>
  <si>
    <t>IK48(IK48)</t>
    <phoneticPr fontId="1" type="noConversion"/>
  </si>
  <si>
    <t>IK46(IK46)</t>
    <phoneticPr fontId="1" type="noConversion"/>
  </si>
  <si>
    <t>IK36(IK36)</t>
    <phoneticPr fontId="1" type="noConversion"/>
  </si>
  <si>
    <t>IK37(IK37)</t>
    <phoneticPr fontId="1" type="noConversion"/>
  </si>
  <si>
    <t>IK38(IK38)</t>
    <phoneticPr fontId="1" type="noConversion"/>
  </si>
  <si>
    <t>IK39(IK39)</t>
    <phoneticPr fontId="1" type="noConversion"/>
  </si>
  <si>
    <t>IK44(IK44)</t>
    <phoneticPr fontId="1" type="noConversion"/>
  </si>
  <si>
    <t>IK43(IK43)</t>
    <phoneticPr fontId="1" type="noConversion"/>
  </si>
  <si>
    <t>IK42(IK42)</t>
    <phoneticPr fontId="1" type="noConversion"/>
  </si>
  <si>
    <t>IK41(IK41)</t>
    <phoneticPr fontId="1" type="noConversion"/>
  </si>
  <si>
    <t>IK40(IK40)</t>
    <phoneticPr fontId="1" type="noConversion"/>
  </si>
  <si>
    <t>彰化PS_IK</t>
    <phoneticPr fontId="1" type="noConversion"/>
  </si>
  <si>
    <t>彰化PS_IK</t>
    <phoneticPr fontId="1" type="noConversion"/>
  </si>
  <si>
    <t>#4MTR</t>
    <phoneticPr fontId="1" type="noConversion"/>
  </si>
  <si>
    <t>員南SS_IL</t>
    <phoneticPr fontId="1" type="noConversion"/>
  </si>
  <si>
    <t>南靖線(IL22)</t>
    <phoneticPr fontId="1" type="noConversion"/>
  </si>
  <si>
    <t>經口線(IL21)</t>
    <phoneticPr fontId="1" type="noConversion"/>
  </si>
  <si>
    <t>太平線(IL23)</t>
    <phoneticPr fontId="1" type="noConversion"/>
  </si>
  <si>
    <t>中央線(IL24)</t>
    <phoneticPr fontId="1" type="noConversion"/>
  </si>
  <si>
    <t>大華線(IL32)</t>
    <phoneticPr fontId="1" type="noConversion"/>
  </si>
  <si>
    <t>瓦瑤線(IL29)</t>
    <phoneticPr fontId="1" type="noConversion"/>
  </si>
  <si>
    <t>溝皂線(IL25)</t>
    <phoneticPr fontId="1" type="noConversion"/>
  </si>
  <si>
    <t>百果線(IL20)</t>
    <phoneticPr fontId="1" type="noConversion"/>
  </si>
  <si>
    <t>大饒線(IL26)</t>
    <phoneticPr fontId="1" type="noConversion"/>
  </si>
  <si>
    <t>南門線(IL30)</t>
    <phoneticPr fontId="1" type="noConversion"/>
  </si>
  <si>
    <t>莒光線(IL31)</t>
    <phoneticPr fontId="1" type="noConversion"/>
  </si>
  <si>
    <t>大竹SS_IM</t>
    <phoneticPr fontId="1" type="noConversion"/>
  </si>
  <si>
    <t>大竹SS_IM</t>
    <phoneticPr fontId="1" type="noConversion"/>
  </si>
  <si>
    <t>竹彰線(IM30)</t>
    <phoneticPr fontId="1" type="noConversion"/>
  </si>
  <si>
    <t>山坑線(IM29)</t>
    <phoneticPr fontId="1" type="noConversion"/>
  </si>
  <si>
    <t>牛埔線(IM26)</t>
    <phoneticPr fontId="1" type="noConversion"/>
  </si>
  <si>
    <t>渡船線(IM20)</t>
    <phoneticPr fontId="1" type="noConversion"/>
  </si>
  <si>
    <t>渡橋線(IM28)</t>
    <phoneticPr fontId="1" type="noConversion"/>
  </si>
  <si>
    <t>香山線(IM27)</t>
    <phoneticPr fontId="1" type="noConversion"/>
  </si>
  <si>
    <t>福山線(IM25)</t>
    <phoneticPr fontId="1" type="noConversion"/>
  </si>
  <si>
    <t>中莊線(IM24)</t>
    <phoneticPr fontId="1" type="noConversion"/>
  </si>
  <si>
    <t>快官線(IM23)</t>
    <phoneticPr fontId="1" type="noConversion"/>
  </si>
  <si>
    <t>大村SS_IN</t>
    <phoneticPr fontId="1" type="noConversion"/>
  </si>
  <si>
    <t>大村SS_IN</t>
    <phoneticPr fontId="1" type="noConversion"/>
  </si>
  <si>
    <t>內庄線(IN20)</t>
    <phoneticPr fontId="1" type="noConversion"/>
  </si>
  <si>
    <t>大村線(IN23)</t>
    <phoneticPr fontId="1" type="noConversion"/>
  </si>
  <si>
    <t>長春線(IN32)</t>
    <phoneticPr fontId="1" type="noConversion"/>
  </si>
  <si>
    <t>金墩線(IN26)</t>
    <phoneticPr fontId="1" type="noConversion"/>
  </si>
  <si>
    <t>灣口線(IN27)</t>
    <phoneticPr fontId="1" type="noConversion"/>
  </si>
  <si>
    <t>南寮線(IN34)</t>
    <phoneticPr fontId="1" type="noConversion"/>
  </si>
  <si>
    <t>三春線(IN21)</t>
    <phoneticPr fontId="1" type="noConversion"/>
  </si>
  <si>
    <t>村北線(IN25)</t>
    <phoneticPr fontId="1" type="noConversion"/>
  </si>
  <si>
    <t>村宜線(IN30)</t>
    <phoneticPr fontId="1" type="noConversion"/>
  </si>
  <si>
    <t>鹿東DS_IO</t>
    <phoneticPr fontId="1" type="noConversion"/>
  </si>
  <si>
    <t>鹿東DS_IO</t>
    <phoneticPr fontId="1" type="noConversion"/>
  </si>
  <si>
    <t>IO26(IO26)</t>
    <phoneticPr fontId="1" type="noConversion"/>
  </si>
  <si>
    <t>IO25(IO25)</t>
    <phoneticPr fontId="1" type="noConversion"/>
  </si>
  <si>
    <t>IO24(IO24)</t>
    <phoneticPr fontId="1" type="noConversion"/>
  </si>
  <si>
    <t>IO23(IO23)</t>
    <phoneticPr fontId="1" type="noConversion"/>
  </si>
  <si>
    <t>IO22(IO22)</t>
    <phoneticPr fontId="1" type="noConversion"/>
  </si>
  <si>
    <t>IO51(IO51)</t>
    <phoneticPr fontId="1" type="noConversion"/>
  </si>
  <si>
    <t>IO52(IO52)</t>
    <phoneticPr fontId="1" type="noConversion"/>
  </si>
  <si>
    <t>IO53(IO53)</t>
    <phoneticPr fontId="1" type="noConversion"/>
  </si>
  <si>
    <t>IO54(IO54)</t>
    <phoneticPr fontId="1" type="noConversion"/>
  </si>
  <si>
    <t>IO55(IO55)</t>
    <phoneticPr fontId="1" type="noConversion"/>
  </si>
  <si>
    <t>IO61(IO61)</t>
    <phoneticPr fontId="1" type="noConversion"/>
  </si>
  <si>
    <t>IO63(IO63)</t>
    <phoneticPr fontId="1" type="noConversion"/>
  </si>
  <si>
    <t>IO64(IO64)</t>
    <phoneticPr fontId="1" type="noConversion"/>
  </si>
  <si>
    <t>IO65(IO65)</t>
    <phoneticPr fontId="1" type="noConversion"/>
  </si>
  <si>
    <t>IO66(IO66)</t>
    <phoneticPr fontId="1" type="noConversion"/>
  </si>
  <si>
    <t>鹿威(IOW1)</t>
    <phoneticPr fontId="1" type="noConversion"/>
  </si>
  <si>
    <t>IO76(IO76)</t>
    <phoneticPr fontId="1" type="noConversion"/>
  </si>
  <si>
    <t>IO75(IO75)</t>
    <phoneticPr fontId="1" type="noConversion"/>
  </si>
  <si>
    <t>IO74(IO74)</t>
    <phoneticPr fontId="1" type="noConversion"/>
  </si>
  <si>
    <t>IO73(IO73)</t>
    <phoneticPr fontId="1" type="noConversion"/>
  </si>
  <si>
    <t>IO72(IO72)</t>
    <phoneticPr fontId="1" type="noConversion"/>
  </si>
  <si>
    <t>IO71(IO71)</t>
    <phoneticPr fontId="1" type="noConversion"/>
  </si>
  <si>
    <t>星能(IOPV1)</t>
    <phoneticPr fontId="1" type="noConversion"/>
  </si>
  <si>
    <t>福工SS_IP</t>
    <phoneticPr fontId="1" type="noConversion"/>
  </si>
  <si>
    <t>金崙線(IP29)</t>
    <phoneticPr fontId="1" type="noConversion"/>
  </si>
  <si>
    <t>福工線(IP24)</t>
    <phoneticPr fontId="1" type="noConversion"/>
  </si>
  <si>
    <t>福工SS_IP</t>
    <phoneticPr fontId="1" type="noConversion"/>
  </si>
  <si>
    <t>金興線(IP21)</t>
    <phoneticPr fontId="1" type="noConversion"/>
  </si>
  <si>
    <t>番社線(IP20)</t>
    <phoneticPr fontId="1" type="noConversion"/>
  </si>
  <si>
    <t>福東線(IP31)</t>
    <phoneticPr fontId="1" type="noConversion"/>
  </si>
  <si>
    <t>福南線(IP30)</t>
    <phoneticPr fontId="1" type="noConversion"/>
  </si>
  <si>
    <t>南港線(IP28)</t>
    <phoneticPr fontId="1" type="noConversion"/>
  </si>
  <si>
    <t>外埔線(IP27)</t>
    <phoneticPr fontId="1" type="noConversion"/>
  </si>
  <si>
    <t>埔崙線(IP23)</t>
    <phoneticPr fontId="1" type="noConversion"/>
  </si>
  <si>
    <t>福北線(IP26)</t>
    <phoneticPr fontId="1" type="noConversion"/>
  </si>
  <si>
    <t>福村線(IP32)</t>
    <phoneticPr fontId="1" type="noConversion"/>
  </si>
  <si>
    <t>福旗線(IP33)</t>
    <phoneticPr fontId="1" type="noConversion"/>
  </si>
  <si>
    <t>彰東SS_IQ</t>
    <phoneticPr fontId="1" type="noConversion"/>
  </si>
  <si>
    <t>IQ21(IQ21)</t>
    <phoneticPr fontId="1" type="noConversion"/>
  </si>
  <si>
    <t>IQ22(IQ22)</t>
    <phoneticPr fontId="1" type="noConversion"/>
  </si>
  <si>
    <t>IQ23(IQ23)</t>
    <phoneticPr fontId="1" type="noConversion"/>
  </si>
  <si>
    <t>IQ24(IQ24)</t>
    <phoneticPr fontId="1" type="noConversion"/>
  </si>
  <si>
    <t>彰東SS_IQ</t>
    <phoneticPr fontId="1" type="noConversion"/>
  </si>
  <si>
    <t>IQ25(IQ25)</t>
    <phoneticPr fontId="1" type="noConversion"/>
  </si>
  <si>
    <t>IQ27(IQ27)</t>
    <phoneticPr fontId="1" type="noConversion"/>
  </si>
  <si>
    <t>IQ29(IQ29)</t>
    <phoneticPr fontId="1" type="noConversion"/>
  </si>
  <si>
    <t>IQ30(IQ30)</t>
    <phoneticPr fontId="1" type="noConversion"/>
  </si>
  <si>
    <t>IQ31(IQ31)</t>
    <phoneticPr fontId="1" type="noConversion"/>
  </si>
  <si>
    <t>IQ32(IQ32)</t>
    <phoneticPr fontId="1" type="noConversion"/>
  </si>
  <si>
    <t>IQ33(IQ33)</t>
    <phoneticPr fontId="1" type="noConversion"/>
  </si>
  <si>
    <t>IQ34(IQ34)</t>
    <phoneticPr fontId="1" type="noConversion"/>
  </si>
  <si>
    <t>IQ35(IQ35)</t>
    <phoneticPr fontId="1" type="noConversion"/>
  </si>
  <si>
    <t>社東線(IR21)</t>
    <phoneticPr fontId="1" type="noConversion"/>
  </si>
  <si>
    <t>社頭SS_IR</t>
    <phoneticPr fontId="1" type="noConversion"/>
  </si>
  <si>
    <t>崙厝線(IR31)</t>
    <phoneticPr fontId="1" type="noConversion"/>
  </si>
  <si>
    <t>雅果線(IR32)</t>
    <phoneticPr fontId="1" type="noConversion"/>
  </si>
  <si>
    <t>美雅線(IR34)</t>
    <phoneticPr fontId="1" type="noConversion"/>
  </si>
  <si>
    <t>八堡線(IR35)</t>
    <phoneticPr fontId="1" type="noConversion"/>
  </si>
  <si>
    <t>新雅線(IR20)</t>
    <phoneticPr fontId="1" type="noConversion"/>
  </si>
  <si>
    <t>社頭SS_IR</t>
    <phoneticPr fontId="1" type="noConversion"/>
  </si>
  <si>
    <t>崙雅線(IR25)</t>
    <phoneticPr fontId="1" type="noConversion"/>
  </si>
  <si>
    <t>朝興線(IR26)</t>
    <phoneticPr fontId="1" type="noConversion"/>
  </si>
  <si>
    <t>社永線(IR27)</t>
    <phoneticPr fontId="1" type="noConversion"/>
  </si>
  <si>
    <t>IR37(IR37)</t>
    <phoneticPr fontId="1" type="noConversion"/>
  </si>
  <si>
    <t>IR36(IR36)</t>
    <phoneticPr fontId="1" type="noConversion"/>
  </si>
  <si>
    <t>IR38(IR38)</t>
    <phoneticPr fontId="1" type="noConversion"/>
  </si>
  <si>
    <t>IR39(IR39)</t>
    <phoneticPr fontId="1" type="noConversion"/>
  </si>
  <si>
    <t>IR40(IR40)</t>
    <phoneticPr fontId="1" type="noConversion"/>
  </si>
  <si>
    <t>社斗線(IR23)</t>
    <phoneticPr fontId="1" type="noConversion"/>
  </si>
  <si>
    <t>光雲線(IR28)</t>
    <phoneticPr fontId="1" type="noConversion"/>
  </si>
  <si>
    <t>社西線(IR22)</t>
    <phoneticPr fontId="1" type="noConversion"/>
  </si>
  <si>
    <t>圳尾線(IR29)</t>
    <phoneticPr fontId="1" type="noConversion"/>
  </si>
  <si>
    <t>枋橋線(IR24)</t>
    <phoneticPr fontId="1" type="noConversion"/>
  </si>
  <si>
    <t>草湖SS_IS</t>
    <phoneticPr fontId="1" type="noConversion"/>
  </si>
  <si>
    <t>草湖SS_IS</t>
    <phoneticPr fontId="1" type="noConversion"/>
  </si>
  <si>
    <t>草北線(IS20)</t>
    <phoneticPr fontId="1" type="noConversion"/>
  </si>
  <si>
    <t>竹寮線(IS21)</t>
    <phoneticPr fontId="1" type="noConversion"/>
  </si>
  <si>
    <t>趙甲線(IS22)</t>
    <phoneticPr fontId="1" type="noConversion"/>
  </si>
  <si>
    <t>建平線(IS27)</t>
    <phoneticPr fontId="1" type="noConversion"/>
  </si>
  <si>
    <t>胡厝線(IS29)</t>
    <phoneticPr fontId="1" type="noConversion"/>
  </si>
  <si>
    <t>崙腳線(IS24)</t>
    <phoneticPr fontId="1" type="noConversion"/>
  </si>
  <si>
    <t>溝墘SS_IT</t>
    <phoneticPr fontId="1" type="noConversion"/>
  </si>
  <si>
    <t>嘉佃線(IT29)</t>
    <phoneticPr fontId="1" type="noConversion"/>
  </si>
  <si>
    <t>頭崙線(IT22)</t>
    <phoneticPr fontId="1" type="noConversion"/>
  </si>
  <si>
    <t>溝南線(IT34)</t>
    <phoneticPr fontId="1" type="noConversion"/>
  </si>
  <si>
    <t>溝墘SS_IT</t>
    <phoneticPr fontId="1" type="noConversion"/>
  </si>
  <si>
    <t>葉厝線(IT25)</t>
    <phoneticPr fontId="1" type="noConversion"/>
  </si>
  <si>
    <t>鎮平線(IT20)</t>
    <phoneticPr fontId="1" type="noConversion"/>
  </si>
  <si>
    <t>溝東線(IT33)</t>
    <phoneticPr fontId="1" type="noConversion"/>
  </si>
  <si>
    <t>南海線(IT27)</t>
    <phoneticPr fontId="1" type="noConversion"/>
  </si>
  <si>
    <t>棋盤線(IT24)</t>
    <phoneticPr fontId="1" type="noConversion"/>
  </si>
  <si>
    <t>溝中線(IT32)</t>
    <phoneticPr fontId="1" type="noConversion"/>
  </si>
  <si>
    <t>頂番線(IT21)</t>
    <phoneticPr fontId="1" type="noConversion"/>
  </si>
  <si>
    <t>溝圳線(IT30)</t>
    <phoneticPr fontId="1" type="noConversion"/>
  </si>
  <si>
    <t>溝鹿線(IT31)</t>
    <phoneticPr fontId="1" type="noConversion"/>
  </si>
  <si>
    <t>三永線(IT28)</t>
    <phoneticPr fontId="1" type="noConversion"/>
  </si>
  <si>
    <t>員東DS_IU</t>
    <phoneticPr fontId="1" type="noConversion"/>
  </si>
  <si>
    <t>IU21(IU21)</t>
    <phoneticPr fontId="1" type="noConversion"/>
  </si>
  <si>
    <t>宏進線(IU22)</t>
    <phoneticPr fontId="1" type="noConversion"/>
  </si>
  <si>
    <t>員東DS_IU</t>
    <phoneticPr fontId="1" type="noConversion"/>
  </si>
  <si>
    <t>東山線(IU24)</t>
    <phoneticPr fontId="1" type="noConversion"/>
  </si>
  <si>
    <t>湖水線(IU25)</t>
    <phoneticPr fontId="1" type="noConversion"/>
  </si>
  <si>
    <t>IU26(IU26)</t>
    <phoneticPr fontId="1" type="noConversion"/>
  </si>
  <si>
    <t>東新線(IU31)</t>
    <phoneticPr fontId="1" type="noConversion"/>
  </si>
  <si>
    <t>西東線(IU32)</t>
    <phoneticPr fontId="1" type="noConversion"/>
  </si>
  <si>
    <t>三民線(IU33)</t>
    <phoneticPr fontId="1" type="noConversion"/>
  </si>
  <si>
    <t>IU34(IU34)</t>
    <phoneticPr fontId="1" type="noConversion"/>
  </si>
  <si>
    <t>東羽線(IU27)</t>
    <phoneticPr fontId="1" type="noConversion"/>
  </si>
  <si>
    <t>東北線(IU28)</t>
    <phoneticPr fontId="1" type="noConversion"/>
  </si>
  <si>
    <t>東水線(IU29)</t>
    <phoneticPr fontId="1" type="noConversion"/>
  </si>
  <si>
    <t>三條線(IU30)</t>
    <phoneticPr fontId="1" type="noConversion"/>
  </si>
  <si>
    <t>山腳線(IU35)</t>
    <phoneticPr fontId="1" type="noConversion"/>
  </si>
  <si>
    <t>鎮興線(IU36)</t>
    <phoneticPr fontId="1" type="noConversion"/>
  </si>
  <si>
    <t>金安線(IU38)</t>
    <phoneticPr fontId="1" type="noConversion"/>
  </si>
  <si>
    <t>IU39(IU39)</t>
    <phoneticPr fontId="1" type="noConversion"/>
  </si>
  <si>
    <t>IU40(IU40)</t>
    <phoneticPr fontId="1" type="noConversion"/>
  </si>
  <si>
    <t>伸港SS_IV</t>
    <phoneticPr fontId="1" type="noConversion"/>
  </si>
  <si>
    <t>IV51(IV51)</t>
    <phoneticPr fontId="1" type="noConversion"/>
  </si>
  <si>
    <t>伸港SS_IV</t>
    <phoneticPr fontId="1" type="noConversion"/>
  </si>
  <si>
    <t>IV52(IV52)</t>
    <phoneticPr fontId="1" type="noConversion"/>
  </si>
  <si>
    <t>IV54(IV54)</t>
    <phoneticPr fontId="1" type="noConversion"/>
  </si>
  <si>
    <t>IV55(IV55)</t>
    <phoneticPr fontId="1" type="noConversion"/>
  </si>
  <si>
    <t>伸隆線(IV34)</t>
    <phoneticPr fontId="1" type="noConversion"/>
  </si>
  <si>
    <t>伸松線(IV35)</t>
    <phoneticPr fontId="1" type="noConversion"/>
  </si>
  <si>
    <t>頂溪線(IV24)</t>
    <phoneticPr fontId="1" type="noConversion"/>
  </si>
  <si>
    <t>伸海線(IV25)</t>
    <phoneticPr fontId="1" type="noConversion"/>
  </si>
  <si>
    <t>水尾線(IV22)</t>
    <phoneticPr fontId="1" type="noConversion"/>
  </si>
  <si>
    <t>伸三線(IV29)</t>
    <phoneticPr fontId="1" type="noConversion"/>
  </si>
  <si>
    <t>二水SS_IW</t>
    <phoneticPr fontId="1" type="noConversion"/>
  </si>
  <si>
    <t>大莊線(IW22)</t>
    <phoneticPr fontId="1" type="noConversion"/>
  </si>
  <si>
    <t>惠民線(IW26)</t>
    <phoneticPr fontId="1" type="noConversion"/>
  </si>
  <si>
    <t>二水SS_IW</t>
    <phoneticPr fontId="1" type="noConversion"/>
  </si>
  <si>
    <t>大崙線(IW24)</t>
    <phoneticPr fontId="1" type="noConversion"/>
  </si>
  <si>
    <t>吉安線(IW30)</t>
    <phoneticPr fontId="1" type="noConversion"/>
  </si>
  <si>
    <t>坑內線(IW32)</t>
    <phoneticPr fontId="1" type="noConversion"/>
  </si>
  <si>
    <t>柑園線(IW34)</t>
    <phoneticPr fontId="1" type="noConversion"/>
  </si>
  <si>
    <t>羽台線(IW33)</t>
    <phoneticPr fontId="1" type="noConversion"/>
  </si>
  <si>
    <t>南通線(IW21)</t>
    <phoneticPr fontId="1" type="noConversion"/>
  </si>
  <si>
    <t>榮民線(IW27)</t>
    <phoneticPr fontId="1" type="noConversion"/>
  </si>
  <si>
    <t>大田線(IW28)</t>
    <phoneticPr fontId="1" type="noConversion"/>
  </si>
  <si>
    <t>北斗SS_IX</t>
    <phoneticPr fontId="1" type="noConversion"/>
  </si>
  <si>
    <t>斗裕線(IX25)</t>
    <phoneticPr fontId="1" type="noConversion"/>
  </si>
  <si>
    <t>北斗SS_IX</t>
    <phoneticPr fontId="1" type="noConversion"/>
  </si>
  <si>
    <t>斗州線(IX26)</t>
    <phoneticPr fontId="1" type="noConversion"/>
  </si>
  <si>
    <t>斗湖線(IX30)</t>
    <phoneticPr fontId="1" type="noConversion"/>
  </si>
  <si>
    <t>文宗線(IX24)</t>
    <phoneticPr fontId="1" type="noConversion"/>
  </si>
  <si>
    <t>斗圳線(IX31)</t>
    <phoneticPr fontId="1" type="noConversion"/>
  </si>
  <si>
    <t>斗興線(IX32)</t>
    <phoneticPr fontId="1" type="noConversion"/>
  </si>
  <si>
    <t>斗鳳線(IX34)</t>
    <phoneticPr fontId="1" type="noConversion"/>
  </si>
  <si>
    <t>斗溪線(IX33)</t>
    <phoneticPr fontId="1" type="noConversion"/>
  </si>
  <si>
    <t>斗海線(IX22)</t>
    <phoneticPr fontId="1" type="noConversion"/>
  </si>
  <si>
    <t>斗苑線(IX20)</t>
    <phoneticPr fontId="1" type="noConversion"/>
  </si>
  <si>
    <t>斗工線(IX29)</t>
    <phoneticPr fontId="1" type="noConversion"/>
  </si>
  <si>
    <t>斗民線(IX27)</t>
    <phoneticPr fontId="1" type="noConversion"/>
  </si>
  <si>
    <t>芳苑SS_IY</t>
    <phoneticPr fontId="1" type="noConversion"/>
  </si>
  <si>
    <t>芳苑SS_IY</t>
    <phoneticPr fontId="1" type="noConversion"/>
  </si>
  <si>
    <t>芳森線(IY31)</t>
    <phoneticPr fontId="1" type="noConversion"/>
  </si>
  <si>
    <t>芳苑線(IY21)</t>
    <phoneticPr fontId="1" type="noConversion"/>
  </si>
  <si>
    <t>芳中線(IY32)</t>
    <phoneticPr fontId="1" type="noConversion"/>
  </si>
  <si>
    <t>芳六線(IY29)</t>
    <phoneticPr fontId="1" type="noConversion"/>
  </si>
  <si>
    <t>芳路線(IY33)</t>
    <phoneticPr fontId="1" type="noConversion"/>
  </si>
  <si>
    <t>芳林線(IY34)</t>
    <phoneticPr fontId="1" type="noConversion"/>
  </si>
  <si>
    <t>芳街線(IY35)</t>
    <phoneticPr fontId="1" type="noConversion"/>
  </si>
  <si>
    <t>新街線(IY20)</t>
    <phoneticPr fontId="1" type="noConversion"/>
  </si>
  <si>
    <t>永興線(IY24)</t>
    <phoneticPr fontId="1" type="noConversion"/>
  </si>
  <si>
    <t>芳聚線(IY26)</t>
    <phoneticPr fontId="1" type="noConversion"/>
  </si>
  <si>
    <t>芳南線(IY22)</t>
    <phoneticPr fontId="1" type="noConversion"/>
  </si>
  <si>
    <t>芳北線(IY23)</t>
    <phoneticPr fontId="1" type="noConversion"/>
  </si>
  <si>
    <t>芳麗線(IY25)</t>
    <phoneticPr fontId="1" type="noConversion"/>
  </si>
  <si>
    <t>博斯(1PVY)</t>
    <phoneticPr fontId="1" type="noConversion"/>
  </si>
  <si>
    <t>全興ES_IZ</t>
    <phoneticPr fontId="1" type="noConversion"/>
  </si>
  <si>
    <t>IZ23(IZ23)</t>
    <phoneticPr fontId="1" type="noConversion"/>
  </si>
  <si>
    <t>全興ES_IZ</t>
    <phoneticPr fontId="1" type="noConversion"/>
  </si>
  <si>
    <t>IZ21(IZ21)</t>
    <phoneticPr fontId="1" type="noConversion"/>
  </si>
  <si>
    <t>IZ26(IZ26)</t>
    <phoneticPr fontId="1" type="noConversion"/>
  </si>
  <si>
    <t>IZ25(IZ25)</t>
    <phoneticPr fontId="1" type="noConversion"/>
  </si>
  <si>
    <t>IZ24(IZ24)</t>
    <phoneticPr fontId="1" type="noConversion"/>
  </si>
  <si>
    <t>#1DTR</t>
    <phoneticPr fontId="1" type="noConversion"/>
  </si>
  <si>
    <t>IZ51(IZ51)</t>
    <phoneticPr fontId="1" type="noConversion"/>
  </si>
  <si>
    <t>IZ53(IZ53)</t>
    <phoneticPr fontId="1" type="noConversion"/>
  </si>
  <si>
    <t>IZ54(IZ54)</t>
    <phoneticPr fontId="1" type="noConversion"/>
  </si>
  <si>
    <t>IZ55(IZ55)</t>
    <phoneticPr fontId="1" type="noConversion"/>
  </si>
  <si>
    <t>IZ56(IZ56)</t>
    <phoneticPr fontId="1" type="noConversion"/>
  </si>
  <si>
    <t>IZ62(IZ62)</t>
    <phoneticPr fontId="1" type="noConversion"/>
  </si>
  <si>
    <t>IZ63(IZ63)</t>
    <phoneticPr fontId="1" type="noConversion"/>
  </si>
  <si>
    <t>IZ64(IZ64)</t>
    <phoneticPr fontId="1" type="noConversion"/>
  </si>
  <si>
    <t>IZ65(IZ65)</t>
    <phoneticPr fontId="1" type="noConversion"/>
  </si>
  <si>
    <t>IZ66(IZ66)</t>
    <phoneticPr fontId="1" type="noConversion"/>
  </si>
  <si>
    <t>IZ66</t>
    <phoneticPr fontId="1" type="noConversion"/>
  </si>
  <si>
    <t>出口電桿檔案位置</t>
    <phoneticPr fontId="1" type="noConversion"/>
  </si>
  <si>
    <t>出口電桿檔案名稱</t>
    <phoneticPr fontId="1" type="noConversion"/>
  </si>
  <si>
    <t>出口電桿.xlsx</t>
    <phoneticPr fontId="1" type="noConversion"/>
  </si>
  <si>
    <t>9I27</t>
    <phoneticPr fontId="1" type="noConversion"/>
  </si>
  <si>
    <t>9I28</t>
    <phoneticPr fontId="1" type="noConversion"/>
  </si>
  <si>
    <t>9A22</t>
    <phoneticPr fontId="1" type="noConversion"/>
  </si>
  <si>
    <t>9A23</t>
    <phoneticPr fontId="1" type="noConversion"/>
  </si>
  <si>
    <t>9A24</t>
    <phoneticPr fontId="1" type="noConversion"/>
  </si>
  <si>
    <t>9A52</t>
    <phoneticPr fontId="1" type="noConversion"/>
  </si>
  <si>
    <t>9A53</t>
    <phoneticPr fontId="1" type="noConversion"/>
  </si>
  <si>
    <t>9A54</t>
    <phoneticPr fontId="1" type="noConversion"/>
  </si>
  <si>
    <t>9A55</t>
    <phoneticPr fontId="1" type="noConversion"/>
  </si>
  <si>
    <t>9A57</t>
    <phoneticPr fontId="1" type="noConversion"/>
  </si>
  <si>
    <t>9A58</t>
    <phoneticPr fontId="1" type="noConversion"/>
  </si>
  <si>
    <t>9A59</t>
    <phoneticPr fontId="1" type="noConversion"/>
  </si>
  <si>
    <t>9A62</t>
    <phoneticPr fontId="1" type="noConversion"/>
  </si>
  <si>
    <t>9A63</t>
    <phoneticPr fontId="1" type="noConversion"/>
  </si>
  <si>
    <t>9A64</t>
    <phoneticPr fontId="1" type="noConversion"/>
  </si>
  <si>
    <t>9A65</t>
    <phoneticPr fontId="1" type="noConversion"/>
  </si>
  <si>
    <t>9A69</t>
    <phoneticPr fontId="1" type="noConversion"/>
  </si>
  <si>
    <t>9AE0</t>
    <phoneticPr fontId="1" type="noConversion"/>
  </si>
  <si>
    <t>9B53</t>
    <phoneticPr fontId="1" type="noConversion"/>
  </si>
  <si>
    <t>9B54</t>
    <phoneticPr fontId="1" type="noConversion"/>
  </si>
  <si>
    <t>9B55</t>
    <phoneticPr fontId="1" type="noConversion"/>
  </si>
  <si>
    <t>9B63</t>
    <phoneticPr fontId="1" type="noConversion"/>
  </si>
  <si>
    <t>9B64</t>
    <phoneticPr fontId="1" type="noConversion"/>
  </si>
  <si>
    <t>9B65</t>
    <phoneticPr fontId="1" type="noConversion"/>
  </si>
  <si>
    <t>9B66</t>
    <phoneticPr fontId="1" type="noConversion"/>
  </si>
  <si>
    <t>9C23</t>
    <phoneticPr fontId="1" type="noConversion"/>
  </si>
  <si>
    <t>9C24</t>
    <phoneticPr fontId="1" type="noConversion"/>
  </si>
  <si>
    <t>9C27</t>
    <phoneticPr fontId="1" type="noConversion"/>
  </si>
  <si>
    <t>9C29</t>
    <phoneticPr fontId="1" type="noConversion"/>
  </si>
  <si>
    <t>9C31</t>
    <phoneticPr fontId="1" type="noConversion"/>
  </si>
  <si>
    <t>9C33</t>
    <phoneticPr fontId="1" type="noConversion"/>
  </si>
  <si>
    <t>9C34</t>
    <phoneticPr fontId="1" type="noConversion"/>
  </si>
  <si>
    <t>9C36</t>
    <phoneticPr fontId="1" type="noConversion"/>
  </si>
  <si>
    <t>9C37</t>
    <phoneticPr fontId="1" type="noConversion"/>
  </si>
  <si>
    <t>9C38</t>
    <phoneticPr fontId="1" type="noConversion"/>
  </si>
  <si>
    <t>9C39</t>
    <phoneticPr fontId="1" type="noConversion"/>
  </si>
  <si>
    <t>9C40</t>
    <phoneticPr fontId="1" type="noConversion"/>
  </si>
  <si>
    <t>9C41</t>
    <phoneticPr fontId="1" type="noConversion"/>
  </si>
  <si>
    <t>9C43</t>
    <phoneticPr fontId="1" type="noConversion"/>
  </si>
  <si>
    <t>9C44</t>
    <phoneticPr fontId="1" type="noConversion"/>
  </si>
  <si>
    <t>9C46</t>
    <phoneticPr fontId="1" type="noConversion"/>
  </si>
  <si>
    <t>9C47</t>
    <phoneticPr fontId="1" type="noConversion"/>
  </si>
  <si>
    <t>9C48</t>
    <phoneticPr fontId="1" type="noConversion"/>
  </si>
  <si>
    <t>9C49</t>
    <phoneticPr fontId="1" type="noConversion"/>
  </si>
  <si>
    <t>9F52</t>
    <phoneticPr fontId="1" type="noConversion"/>
  </si>
  <si>
    <t>9F53</t>
    <phoneticPr fontId="1" type="noConversion"/>
  </si>
  <si>
    <t>9F54</t>
    <phoneticPr fontId="1" type="noConversion"/>
  </si>
  <si>
    <t>9F55</t>
    <phoneticPr fontId="1" type="noConversion"/>
  </si>
  <si>
    <t>9F56</t>
    <phoneticPr fontId="1" type="noConversion"/>
  </si>
  <si>
    <t>9F57</t>
    <phoneticPr fontId="1" type="noConversion"/>
  </si>
  <si>
    <t>9F58</t>
    <phoneticPr fontId="1" type="noConversion"/>
  </si>
  <si>
    <t>9F62</t>
    <phoneticPr fontId="1" type="noConversion"/>
  </si>
  <si>
    <t>9F63</t>
    <phoneticPr fontId="1" type="noConversion"/>
  </si>
  <si>
    <t>9F64</t>
    <phoneticPr fontId="1" type="noConversion"/>
  </si>
  <si>
    <t>9F65</t>
    <phoneticPr fontId="1" type="noConversion"/>
  </si>
  <si>
    <t>9F66</t>
    <phoneticPr fontId="1" type="noConversion"/>
  </si>
  <si>
    <t>9F67</t>
    <phoneticPr fontId="1" type="noConversion"/>
  </si>
  <si>
    <t>9F68</t>
    <phoneticPr fontId="1" type="noConversion"/>
  </si>
  <si>
    <t>9G21</t>
    <phoneticPr fontId="1" type="noConversion"/>
  </si>
  <si>
    <t>9G23</t>
    <phoneticPr fontId="1" type="noConversion"/>
  </si>
  <si>
    <t>9G26</t>
    <phoneticPr fontId="1" type="noConversion"/>
  </si>
  <si>
    <t>9G27</t>
    <phoneticPr fontId="1" type="noConversion"/>
  </si>
  <si>
    <t>9G28</t>
    <phoneticPr fontId="1" type="noConversion"/>
  </si>
  <si>
    <t>9G29</t>
    <phoneticPr fontId="1" type="noConversion"/>
  </si>
  <si>
    <t>9G30</t>
    <phoneticPr fontId="1" type="noConversion"/>
  </si>
  <si>
    <t>9G31</t>
    <phoneticPr fontId="1" type="noConversion"/>
  </si>
  <si>
    <t>9G32</t>
    <phoneticPr fontId="1" type="noConversion"/>
  </si>
  <si>
    <t>9G33</t>
    <phoneticPr fontId="1" type="noConversion"/>
  </si>
  <si>
    <t>9G34</t>
    <phoneticPr fontId="1" type="noConversion"/>
  </si>
  <si>
    <t>9G35</t>
    <phoneticPr fontId="1" type="noConversion"/>
  </si>
  <si>
    <t>9G36</t>
    <phoneticPr fontId="1" type="noConversion"/>
  </si>
  <si>
    <t>9G37</t>
    <phoneticPr fontId="1" type="noConversion"/>
  </si>
  <si>
    <t>9G38</t>
    <phoneticPr fontId="1" type="noConversion"/>
  </si>
  <si>
    <t>9GE0</t>
    <phoneticPr fontId="1" type="noConversion"/>
  </si>
  <si>
    <t>9GE1</t>
    <phoneticPr fontId="1" type="noConversion"/>
  </si>
  <si>
    <t>9GE4</t>
    <phoneticPr fontId="1" type="noConversion"/>
  </si>
  <si>
    <t>9GE5</t>
    <phoneticPr fontId="1" type="noConversion"/>
  </si>
  <si>
    <t>9H22</t>
    <phoneticPr fontId="1" type="noConversion"/>
  </si>
  <si>
    <t>9H23</t>
    <phoneticPr fontId="1" type="noConversion"/>
  </si>
  <si>
    <t>9H25</t>
    <phoneticPr fontId="1" type="noConversion"/>
  </si>
  <si>
    <t>9H26</t>
    <phoneticPr fontId="1" type="noConversion"/>
  </si>
  <si>
    <t>9H29</t>
    <phoneticPr fontId="1" type="noConversion"/>
  </si>
  <si>
    <t>9H30</t>
    <phoneticPr fontId="1" type="noConversion"/>
  </si>
  <si>
    <t>9H32</t>
    <phoneticPr fontId="1" type="noConversion"/>
  </si>
  <si>
    <t>9H33</t>
    <phoneticPr fontId="1" type="noConversion"/>
  </si>
  <si>
    <t>9H34</t>
    <phoneticPr fontId="1" type="noConversion"/>
  </si>
  <si>
    <t>9H35</t>
    <phoneticPr fontId="1" type="noConversion"/>
  </si>
  <si>
    <t>9H36</t>
    <phoneticPr fontId="1" type="noConversion"/>
  </si>
  <si>
    <t>9H37</t>
    <phoneticPr fontId="1" type="noConversion"/>
  </si>
  <si>
    <t>9H38</t>
    <phoneticPr fontId="1" type="noConversion"/>
  </si>
  <si>
    <t>9H39</t>
    <phoneticPr fontId="1" type="noConversion"/>
  </si>
  <si>
    <t>9H40</t>
    <phoneticPr fontId="1" type="noConversion"/>
  </si>
  <si>
    <t>9I21</t>
    <phoneticPr fontId="1" type="noConversion"/>
  </si>
  <si>
    <t>9I22</t>
    <phoneticPr fontId="1" type="noConversion"/>
  </si>
  <si>
    <t>9I23</t>
    <phoneticPr fontId="1" type="noConversion"/>
  </si>
  <si>
    <t>9I24</t>
    <phoneticPr fontId="1" type="noConversion"/>
  </si>
  <si>
    <t>9I29</t>
    <phoneticPr fontId="1" type="noConversion"/>
  </si>
  <si>
    <t>9I30</t>
    <phoneticPr fontId="1" type="noConversion"/>
  </si>
  <si>
    <t>9I32</t>
    <phoneticPr fontId="1" type="noConversion"/>
  </si>
  <si>
    <t>9I33</t>
    <phoneticPr fontId="1" type="noConversion"/>
  </si>
  <si>
    <t>9I34</t>
    <phoneticPr fontId="1" type="noConversion"/>
  </si>
  <si>
    <t>9I35</t>
    <phoneticPr fontId="1" type="noConversion"/>
  </si>
  <si>
    <t>9I37</t>
    <phoneticPr fontId="1" type="noConversion"/>
  </si>
  <si>
    <t>9I38</t>
    <phoneticPr fontId="1" type="noConversion"/>
  </si>
  <si>
    <t>9I39</t>
    <phoneticPr fontId="1" type="noConversion"/>
  </si>
  <si>
    <t>9J12</t>
    <phoneticPr fontId="1" type="noConversion"/>
  </si>
  <si>
    <t>9J13</t>
    <phoneticPr fontId="1" type="noConversion"/>
  </si>
  <si>
    <t>9J14</t>
    <phoneticPr fontId="1" type="noConversion"/>
  </si>
  <si>
    <t>9J15</t>
    <phoneticPr fontId="1" type="noConversion"/>
  </si>
  <si>
    <t>9J22</t>
    <phoneticPr fontId="1" type="noConversion"/>
  </si>
  <si>
    <t>9J23</t>
    <phoneticPr fontId="1" type="noConversion"/>
  </si>
  <si>
    <t>9J24</t>
    <phoneticPr fontId="1" type="noConversion"/>
  </si>
  <si>
    <t>9J25</t>
    <phoneticPr fontId="1" type="noConversion"/>
  </si>
  <si>
    <t>9J32</t>
    <phoneticPr fontId="1" type="noConversion"/>
  </si>
  <si>
    <t>9J33</t>
    <phoneticPr fontId="1" type="noConversion"/>
  </si>
  <si>
    <t>9J35</t>
    <phoneticPr fontId="1" type="noConversion"/>
  </si>
  <si>
    <t>9K21</t>
    <phoneticPr fontId="1" type="noConversion"/>
  </si>
  <si>
    <t>9K22</t>
    <phoneticPr fontId="1" type="noConversion"/>
  </si>
  <si>
    <t>9K23</t>
    <phoneticPr fontId="1" type="noConversion"/>
  </si>
  <si>
    <t>9K24</t>
    <phoneticPr fontId="1" type="noConversion"/>
  </si>
  <si>
    <t>9K25</t>
    <phoneticPr fontId="1" type="noConversion"/>
  </si>
  <si>
    <t>9K26</t>
    <phoneticPr fontId="1" type="noConversion"/>
  </si>
  <si>
    <t>9K27</t>
    <phoneticPr fontId="1" type="noConversion"/>
  </si>
  <si>
    <t>9K28</t>
    <phoneticPr fontId="1" type="noConversion"/>
  </si>
  <si>
    <t>9K29</t>
    <phoneticPr fontId="1" type="noConversion"/>
  </si>
  <si>
    <t>9K30</t>
    <phoneticPr fontId="1" type="noConversion"/>
  </si>
  <si>
    <t>9K31</t>
    <phoneticPr fontId="1" type="noConversion"/>
  </si>
  <si>
    <t>9K32</t>
    <phoneticPr fontId="1" type="noConversion"/>
  </si>
  <si>
    <t>9K33</t>
    <phoneticPr fontId="1" type="noConversion"/>
  </si>
  <si>
    <t>9K34</t>
    <phoneticPr fontId="1" type="noConversion"/>
  </si>
  <si>
    <t>9K35</t>
    <phoneticPr fontId="1" type="noConversion"/>
  </si>
  <si>
    <t>9K36</t>
    <phoneticPr fontId="1" type="noConversion"/>
  </si>
  <si>
    <t>9K37</t>
    <phoneticPr fontId="1" type="noConversion"/>
  </si>
  <si>
    <t>9K38</t>
    <phoneticPr fontId="1" type="noConversion"/>
  </si>
  <si>
    <t>9K39</t>
    <phoneticPr fontId="1" type="noConversion"/>
  </si>
  <si>
    <t>9K40</t>
    <phoneticPr fontId="1" type="noConversion"/>
  </si>
  <si>
    <t>9L22</t>
    <phoneticPr fontId="1" type="noConversion"/>
  </si>
  <si>
    <t>9L23</t>
    <phoneticPr fontId="1" type="noConversion"/>
  </si>
  <si>
    <t>9L24</t>
    <phoneticPr fontId="1" type="noConversion"/>
  </si>
  <si>
    <t>9L25</t>
    <phoneticPr fontId="1" type="noConversion"/>
  </si>
  <si>
    <t>9L26</t>
    <phoneticPr fontId="1" type="noConversion"/>
  </si>
  <si>
    <t>9L27</t>
    <phoneticPr fontId="1" type="noConversion"/>
  </si>
  <si>
    <t>9L28</t>
    <phoneticPr fontId="1" type="noConversion"/>
  </si>
  <si>
    <t>9L29</t>
    <phoneticPr fontId="1" type="noConversion"/>
  </si>
  <si>
    <t>9L30</t>
    <phoneticPr fontId="1" type="noConversion"/>
  </si>
  <si>
    <t>9L32</t>
    <phoneticPr fontId="1" type="noConversion"/>
  </si>
  <si>
    <t>9L33</t>
    <phoneticPr fontId="1" type="noConversion"/>
  </si>
  <si>
    <t>9L34</t>
    <phoneticPr fontId="1" type="noConversion"/>
  </si>
  <si>
    <t>9L35</t>
    <phoneticPr fontId="1" type="noConversion"/>
  </si>
  <si>
    <t>9L36</t>
    <phoneticPr fontId="1" type="noConversion"/>
  </si>
  <si>
    <t>9L37</t>
    <phoneticPr fontId="1" type="noConversion"/>
  </si>
  <si>
    <t>9L38</t>
    <phoneticPr fontId="1" type="noConversion"/>
  </si>
  <si>
    <t>9L39</t>
    <phoneticPr fontId="1" type="noConversion"/>
  </si>
  <si>
    <t>9L40</t>
    <phoneticPr fontId="1" type="noConversion"/>
  </si>
  <si>
    <t>9M21</t>
    <phoneticPr fontId="1" type="noConversion"/>
  </si>
  <si>
    <t>9M22</t>
    <phoneticPr fontId="1" type="noConversion"/>
  </si>
  <si>
    <t>9M23</t>
    <phoneticPr fontId="1" type="noConversion"/>
  </si>
  <si>
    <t>9M24</t>
    <phoneticPr fontId="1" type="noConversion"/>
  </si>
  <si>
    <t>9M25</t>
    <phoneticPr fontId="1" type="noConversion"/>
  </si>
  <si>
    <t>9M26</t>
    <phoneticPr fontId="1" type="noConversion"/>
  </si>
  <si>
    <t>9M27</t>
    <phoneticPr fontId="1" type="noConversion"/>
  </si>
  <si>
    <t>9M28</t>
    <phoneticPr fontId="1" type="noConversion"/>
  </si>
  <si>
    <t>9M30</t>
    <phoneticPr fontId="1" type="noConversion"/>
  </si>
  <si>
    <t>9M31</t>
    <phoneticPr fontId="1" type="noConversion"/>
  </si>
  <si>
    <t>9M32</t>
    <phoneticPr fontId="1" type="noConversion"/>
  </si>
  <si>
    <t>9M34</t>
    <phoneticPr fontId="1" type="noConversion"/>
  </si>
  <si>
    <t>9M35</t>
    <phoneticPr fontId="1" type="noConversion"/>
  </si>
  <si>
    <t>9M36</t>
    <phoneticPr fontId="1" type="noConversion"/>
  </si>
  <si>
    <t>9M37</t>
    <phoneticPr fontId="1" type="noConversion"/>
  </si>
  <si>
    <t>9M38</t>
    <phoneticPr fontId="1" type="noConversion"/>
  </si>
  <si>
    <t>9M39</t>
    <phoneticPr fontId="1" type="noConversion"/>
  </si>
  <si>
    <t>9N21</t>
    <phoneticPr fontId="1" type="noConversion"/>
  </si>
  <si>
    <t>9N27</t>
    <phoneticPr fontId="1" type="noConversion"/>
  </si>
  <si>
    <t>9P11</t>
    <phoneticPr fontId="1" type="noConversion"/>
  </si>
  <si>
    <t>9P12</t>
    <phoneticPr fontId="1" type="noConversion"/>
  </si>
  <si>
    <t>9P13</t>
    <phoneticPr fontId="1" type="noConversion"/>
  </si>
  <si>
    <t>9P14</t>
    <phoneticPr fontId="1" type="noConversion"/>
  </si>
  <si>
    <t>9P15</t>
    <phoneticPr fontId="1" type="noConversion"/>
  </si>
  <si>
    <t>9P16</t>
    <phoneticPr fontId="1" type="noConversion"/>
  </si>
  <si>
    <t>9P17</t>
    <phoneticPr fontId="1" type="noConversion"/>
  </si>
  <si>
    <t>9P19</t>
    <phoneticPr fontId="1" type="noConversion"/>
  </si>
  <si>
    <t>9P20</t>
    <phoneticPr fontId="1" type="noConversion"/>
  </si>
  <si>
    <t>9P21</t>
    <phoneticPr fontId="1" type="noConversion"/>
  </si>
  <si>
    <t>9P23</t>
    <phoneticPr fontId="1" type="noConversion"/>
  </si>
  <si>
    <t>9P24</t>
    <phoneticPr fontId="1" type="noConversion"/>
  </si>
  <si>
    <t>9P26</t>
    <phoneticPr fontId="1" type="noConversion"/>
  </si>
  <si>
    <t>9P27</t>
    <phoneticPr fontId="1" type="noConversion"/>
  </si>
  <si>
    <t>9P28</t>
    <phoneticPr fontId="1" type="noConversion"/>
  </si>
  <si>
    <t>9P29</t>
    <phoneticPr fontId="1" type="noConversion"/>
  </si>
  <si>
    <t>IA23</t>
    <phoneticPr fontId="1" type="noConversion"/>
  </si>
  <si>
    <t>IA42</t>
    <phoneticPr fontId="1" type="noConversion"/>
  </si>
  <si>
    <t>IA43</t>
    <phoneticPr fontId="1" type="noConversion"/>
  </si>
  <si>
    <t>IA45</t>
    <phoneticPr fontId="1" type="noConversion"/>
  </si>
  <si>
    <t>IA46</t>
    <phoneticPr fontId="1" type="noConversion"/>
  </si>
  <si>
    <t>IA47</t>
    <phoneticPr fontId="1" type="noConversion"/>
  </si>
  <si>
    <t>IA48</t>
    <phoneticPr fontId="1" type="noConversion"/>
  </si>
  <si>
    <t>IA49</t>
    <phoneticPr fontId="1" type="noConversion"/>
  </si>
  <si>
    <t>IA50</t>
    <phoneticPr fontId="1" type="noConversion"/>
  </si>
  <si>
    <t>IB25</t>
    <phoneticPr fontId="1" type="noConversion"/>
  </si>
  <si>
    <t>IB28</t>
    <phoneticPr fontId="1" type="noConversion"/>
  </si>
  <si>
    <t>IB31</t>
    <phoneticPr fontId="1" type="noConversion"/>
  </si>
  <si>
    <t>IB35</t>
    <phoneticPr fontId="1" type="noConversion"/>
  </si>
  <si>
    <t>IC20</t>
    <phoneticPr fontId="1" type="noConversion"/>
  </si>
  <si>
    <t>IC21</t>
    <phoneticPr fontId="1" type="noConversion"/>
  </si>
  <si>
    <t>IC22</t>
    <phoneticPr fontId="1" type="noConversion"/>
  </si>
  <si>
    <t>IC23</t>
    <phoneticPr fontId="1" type="noConversion"/>
  </si>
  <si>
    <t>IC24</t>
    <phoneticPr fontId="1" type="noConversion"/>
  </si>
  <si>
    <t>IC25</t>
    <phoneticPr fontId="1" type="noConversion"/>
  </si>
  <si>
    <t>IC26</t>
    <phoneticPr fontId="1" type="noConversion"/>
  </si>
  <si>
    <t>IC27</t>
    <phoneticPr fontId="1" type="noConversion"/>
  </si>
  <si>
    <t>IC28</t>
    <phoneticPr fontId="1" type="noConversion"/>
  </si>
  <si>
    <t>IC29</t>
    <phoneticPr fontId="1" type="noConversion"/>
  </si>
  <si>
    <t>IC30</t>
    <phoneticPr fontId="1" type="noConversion"/>
  </si>
  <si>
    <t>IC31</t>
    <phoneticPr fontId="1" type="noConversion"/>
  </si>
  <si>
    <t>IC32</t>
    <phoneticPr fontId="1" type="noConversion"/>
  </si>
  <si>
    <t>IC33</t>
    <phoneticPr fontId="1" type="noConversion"/>
  </si>
  <si>
    <t>IC34</t>
    <phoneticPr fontId="1" type="noConversion"/>
  </si>
  <si>
    <t>IC35</t>
    <phoneticPr fontId="1" type="noConversion"/>
  </si>
  <si>
    <t>IC36</t>
    <phoneticPr fontId="1" type="noConversion"/>
  </si>
  <si>
    <t>IC37</t>
    <phoneticPr fontId="1" type="noConversion"/>
  </si>
  <si>
    <t>IC38</t>
    <phoneticPr fontId="1" type="noConversion"/>
  </si>
  <si>
    <t>IC39</t>
    <phoneticPr fontId="1" type="noConversion"/>
  </si>
  <si>
    <t>IC40</t>
    <phoneticPr fontId="1" type="noConversion"/>
  </si>
  <si>
    <t>IC41</t>
    <phoneticPr fontId="1" type="noConversion"/>
  </si>
  <si>
    <t>IC42</t>
    <phoneticPr fontId="1" type="noConversion"/>
  </si>
  <si>
    <t>IC43</t>
    <phoneticPr fontId="1" type="noConversion"/>
  </si>
  <si>
    <t>IC45</t>
    <phoneticPr fontId="1" type="noConversion"/>
  </si>
  <si>
    <t>ID25</t>
    <phoneticPr fontId="1" type="noConversion"/>
  </si>
  <si>
    <t>ID30</t>
    <phoneticPr fontId="1" type="noConversion"/>
  </si>
  <si>
    <t>ID33</t>
    <phoneticPr fontId="1" type="noConversion"/>
  </si>
  <si>
    <t>ID34</t>
    <phoneticPr fontId="1" type="noConversion"/>
  </si>
  <si>
    <t>ID35</t>
    <phoneticPr fontId="1" type="noConversion"/>
  </si>
  <si>
    <t>IE22</t>
    <phoneticPr fontId="1" type="noConversion"/>
  </si>
  <si>
    <t>IE25</t>
    <phoneticPr fontId="1" type="noConversion"/>
  </si>
  <si>
    <t>IE29</t>
    <phoneticPr fontId="1" type="noConversion"/>
  </si>
  <si>
    <t>IF23</t>
    <phoneticPr fontId="1" type="noConversion"/>
  </si>
  <si>
    <t>IF24</t>
    <phoneticPr fontId="1" type="noConversion"/>
  </si>
  <si>
    <t>IF28</t>
    <phoneticPr fontId="1" type="noConversion"/>
  </si>
  <si>
    <t>IF29</t>
    <phoneticPr fontId="1" type="noConversion"/>
  </si>
  <si>
    <t>IF34</t>
    <phoneticPr fontId="1" type="noConversion"/>
  </si>
  <si>
    <t>IF36</t>
    <phoneticPr fontId="1" type="noConversion"/>
  </si>
  <si>
    <t>IF37</t>
    <phoneticPr fontId="1" type="noConversion"/>
  </si>
  <si>
    <t>IF38</t>
    <phoneticPr fontId="1" type="noConversion"/>
  </si>
  <si>
    <t>IF39</t>
    <phoneticPr fontId="1" type="noConversion"/>
  </si>
  <si>
    <t>IG25</t>
    <phoneticPr fontId="1" type="noConversion"/>
  </si>
  <si>
    <t>IG31</t>
    <phoneticPr fontId="1" type="noConversion"/>
  </si>
  <si>
    <t>IG32</t>
    <phoneticPr fontId="1" type="noConversion"/>
  </si>
  <si>
    <t>IG33</t>
    <phoneticPr fontId="1" type="noConversion"/>
  </si>
  <si>
    <t>IG34</t>
    <phoneticPr fontId="1" type="noConversion"/>
  </si>
  <si>
    <t>IG35</t>
    <phoneticPr fontId="1" type="noConversion"/>
  </si>
  <si>
    <t>IG36</t>
    <phoneticPr fontId="1" type="noConversion"/>
  </si>
  <si>
    <t>IG37</t>
    <phoneticPr fontId="1" type="noConversion"/>
  </si>
  <si>
    <t>IG38</t>
    <phoneticPr fontId="1" type="noConversion"/>
  </si>
  <si>
    <t>IG39</t>
    <phoneticPr fontId="1" type="noConversion"/>
  </si>
  <si>
    <t>IG40</t>
    <phoneticPr fontId="1" type="noConversion"/>
  </si>
  <si>
    <t>IG41</t>
    <phoneticPr fontId="1" type="noConversion"/>
  </si>
  <si>
    <t>IG42</t>
    <phoneticPr fontId="1" type="noConversion"/>
  </si>
  <si>
    <t>IG43</t>
    <phoneticPr fontId="1" type="noConversion"/>
  </si>
  <si>
    <t>IG44</t>
    <phoneticPr fontId="1" type="noConversion"/>
  </si>
  <si>
    <t>IG45</t>
    <phoneticPr fontId="1" type="noConversion"/>
  </si>
  <si>
    <t>IG46</t>
    <phoneticPr fontId="1" type="noConversion"/>
  </si>
  <si>
    <t>IG47</t>
    <phoneticPr fontId="1" type="noConversion"/>
  </si>
  <si>
    <t>IG48</t>
    <phoneticPr fontId="1" type="noConversion"/>
  </si>
  <si>
    <t>IG49</t>
    <phoneticPr fontId="1" type="noConversion"/>
  </si>
  <si>
    <t>IH23</t>
    <phoneticPr fontId="1" type="noConversion"/>
  </si>
  <si>
    <t>IH25</t>
    <phoneticPr fontId="1" type="noConversion"/>
  </si>
  <si>
    <t>IH28</t>
    <phoneticPr fontId="1" type="noConversion"/>
  </si>
  <si>
    <t>IH30</t>
    <phoneticPr fontId="1" type="noConversion"/>
  </si>
  <si>
    <t>IH32</t>
    <phoneticPr fontId="1" type="noConversion"/>
  </si>
  <si>
    <t>IH33</t>
    <phoneticPr fontId="1" type="noConversion"/>
  </si>
  <si>
    <t>IH34</t>
    <phoneticPr fontId="1" type="noConversion"/>
  </si>
  <si>
    <t>IH35</t>
    <phoneticPr fontId="1" type="noConversion"/>
  </si>
  <si>
    <t>II24</t>
    <phoneticPr fontId="1" type="noConversion"/>
  </si>
  <si>
    <t>II26</t>
    <phoneticPr fontId="1" type="noConversion"/>
  </si>
  <si>
    <t>II27</t>
    <phoneticPr fontId="1" type="noConversion"/>
  </si>
  <si>
    <t>II28</t>
    <phoneticPr fontId="1" type="noConversion"/>
  </si>
  <si>
    <t>II31</t>
    <phoneticPr fontId="1" type="noConversion"/>
  </si>
  <si>
    <t>II32</t>
    <phoneticPr fontId="1" type="noConversion"/>
  </si>
  <si>
    <t>II33</t>
    <phoneticPr fontId="1" type="noConversion"/>
  </si>
  <si>
    <t>II35</t>
    <phoneticPr fontId="1" type="noConversion"/>
  </si>
  <si>
    <t>IJ23</t>
    <phoneticPr fontId="1" type="noConversion"/>
  </si>
  <si>
    <t>IJ25</t>
    <phoneticPr fontId="1" type="noConversion"/>
  </si>
  <si>
    <t>IJ29</t>
    <phoneticPr fontId="1" type="noConversion"/>
  </si>
  <si>
    <t>IJ34</t>
    <phoneticPr fontId="1" type="noConversion"/>
  </si>
  <si>
    <t>IJ35</t>
    <phoneticPr fontId="1" type="noConversion"/>
  </si>
  <si>
    <t>IK30</t>
    <phoneticPr fontId="1" type="noConversion"/>
  </si>
  <si>
    <t>IK31</t>
    <phoneticPr fontId="1" type="noConversion"/>
  </si>
  <si>
    <t>IK32</t>
    <phoneticPr fontId="1" type="noConversion"/>
  </si>
  <si>
    <t>IK33</t>
    <phoneticPr fontId="1" type="noConversion"/>
  </si>
  <si>
    <t>IK34</t>
    <phoneticPr fontId="1" type="noConversion"/>
  </si>
  <si>
    <t>IK35</t>
    <phoneticPr fontId="1" type="noConversion"/>
  </si>
  <si>
    <t>IK36</t>
    <phoneticPr fontId="1" type="noConversion"/>
  </si>
  <si>
    <t>IK37</t>
    <phoneticPr fontId="1" type="noConversion"/>
  </si>
  <si>
    <t>IK38</t>
    <phoneticPr fontId="1" type="noConversion"/>
  </si>
  <si>
    <t>IK39</t>
    <phoneticPr fontId="1" type="noConversion"/>
  </si>
  <si>
    <t>IK40</t>
    <phoneticPr fontId="1" type="noConversion"/>
  </si>
  <si>
    <t>IK41</t>
    <phoneticPr fontId="1" type="noConversion"/>
  </si>
  <si>
    <t>IK42</t>
    <phoneticPr fontId="1" type="noConversion"/>
  </si>
  <si>
    <t>IK43</t>
    <phoneticPr fontId="1" type="noConversion"/>
  </si>
  <si>
    <t>IK44</t>
    <phoneticPr fontId="1" type="noConversion"/>
  </si>
  <si>
    <t>IK45</t>
    <phoneticPr fontId="1" type="noConversion"/>
  </si>
  <si>
    <t>IK47</t>
    <phoneticPr fontId="1" type="noConversion"/>
  </si>
  <si>
    <t>IK48</t>
    <phoneticPr fontId="1" type="noConversion"/>
  </si>
  <si>
    <t>IK49</t>
    <phoneticPr fontId="1" type="noConversion"/>
  </si>
  <si>
    <t>IK50</t>
    <phoneticPr fontId="1" type="noConversion"/>
  </si>
  <si>
    <t>IL20</t>
    <phoneticPr fontId="1" type="noConversion"/>
  </si>
  <si>
    <t>IL21</t>
    <phoneticPr fontId="1" type="noConversion"/>
  </si>
  <si>
    <t>IL22</t>
    <phoneticPr fontId="1" type="noConversion"/>
  </si>
  <si>
    <t>IL23</t>
    <phoneticPr fontId="1" type="noConversion"/>
  </si>
  <si>
    <t>IL24</t>
    <phoneticPr fontId="1" type="noConversion"/>
  </si>
  <si>
    <t>IL26</t>
    <phoneticPr fontId="1" type="noConversion"/>
  </si>
  <si>
    <t>IL31</t>
    <phoneticPr fontId="1" type="noConversion"/>
  </si>
  <si>
    <t>IL33</t>
    <phoneticPr fontId="1" type="noConversion"/>
  </si>
  <si>
    <t>IL34</t>
    <phoneticPr fontId="1" type="noConversion"/>
  </si>
  <si>
    <t>IL35</t>
    <phoneticPr fontId="1" type="noConversion"/>
  </si>
  <si>
    <t>IM24</t>
    <phoneticPr fontId="1" type="noConversion"/>
  </si>
  <si>
    <t>IM28</t>
    <phoneticPr fontId="1" type="noConversion"/>
  </si>
  <si>
    <t>IM30</t>
    <phoneticPr fontId="1" type="noConversion"/>
  </si>
  <si>
    <t>IN23</t>
    <phoneticPr fontId="1" type="noConversion"/>
  </si>
  <si>
    <t>IN26</t>
    <phoneticPr fontId="1" type="noConversion"/>
  </si>
  <si>
    <t>IN27</t>
    <phoneticPr fontId="1" type="noConversion"/>
  </si>
  <si>
    <t>IN29</t>
    <phoneticPr fontId="1" type="noConversion"/>
  </si>
  <si>
    <t>IN34</t>
    <phoneticPr fontId="1" type="noConversion"/>
  </si>
  <si>
    <t>IN35</t>
    <phoneticPr fontId="1" type="noConversion"/>
  </si>
  <si>
    <t>IO22</t>
    <phoneticPr fontId="1" type="noConversion"/>
  </si>
  <si>
    <t>IO23</t>
    <phoneticPr fontId="1" type="noConversion"/>
  </si>
  <si>
    <t>IO24</t>
    <phoneticPr fontId="1" type="noConversion"/>
  </si>
  <si>
    <t>IO25</t>
    <phoneticPr fontId="1" type="noConversion"/>
  </si>
  <si>
    <t>IO26</t>
    <phoneticPr fontId="1" type="noConversion"/>
  </si>
  <si>
    <t>IO52</t>
    <phoneticPr fontId="1" type="noConversion"/>
  </si>
  <si>
    <t>IO53</t>
    <phoneticPr fontId="1" type="noConversion"/>
  </si>
  <si>
    <t>IO54</t>
    <phoneticPr fontId="1" type="noConversion"/>
  </si>
  <si>
    <t>IO55</t>
    <phoneticPr fontId="1" type="noConversion"/>
  </si>
  <si>
    <t>IO56</t>
    <phoneticPr fontId="1" type="noConversion"/>
  </si>
  <si>
    <t>IO62</t>
    <phoneticPr fontId="1" type="noConversion"/>
  </si>
  <si>
    <t>IO63</t>
    <phoneticPr fontId="1" type="noConversion"/>
  </si>
  <si>
    <t>IO64</t>
    <phoneticPr fontId="1" type="noConversion"/>
  </si>
  <si>
    <t>IO65</t>
    <phoneticPr fontId="1" type="noConversion"/>
  </si>
  <si>
    <t>IO66</t>
    <phoneticPr fontId="1" type="noConversion"/>
  </si>
  <si>
    <t>IO72</t>
    <phoneticPr fontId="1" type="noConversion"/>
  </si>
  <si>
    <t>IO73</t>
    <phoneticPr fontId="1" type="noConversion"/>
  </si>
  <si>
    <t>IO74</t>
    <phoneticPr fontId="1" type="noConversion"/>
  </si>
  <si>
    <t>IO75</t>
    <phoneticPr fontId="1" type="noConversion"/>
  </si>
  <si>
    <t>IO76</t>
    <phoneticPr fontId="1" type="noConversion"/>
  </si>
  <si>
    <t>IP21</t>
    <phoneticPr fontId="1" type="noConversion"/>
  </si>
  <si>
    <t>IP28</t>
    <phoneticPr fontId="1" type="noConversion"/>
  </si>
  <si>
    <t>IP31</t>
    <phoneticPr fontId="1" type="noConversion"/>
  </si>
  <si>
    <t>IP33</t>
    <phoneticPr fontId="1" type="noConversion"/>
  </si>
  <si>
    <t>IP34</t>
    <phoneticPr fontId="1" type="noConversion"/>
  </si>
  <si>
    <t>IP35</t>
    <phoneticPr fontId="1" type="noConversion"/>
  </si>
  <si>
    <t>IQ21</t>
    <phoneticPr fontId="1" type="noConversion"/>
  </si>
  <si>
    <t>IQ22</t>
    <phoneticPr fontId="1" type="noConversion"/>
  </si>
  <si>
    <t>IQ23</t>
    <phoneticPr fontId="1" type="noConversion"/>
  </si>
  <si>
    <t>IQ24</t>
    <phoneticPr fontId="1" type="noConversion"/>
  </si>
  <si>
    <t>IQ25</t>
    <phoneticPr fontId="1" type="noConversion"/>
  </si>
  <si>
    <t>IQ26</t>
    <phoneticPr fontId="1" type="noConversion"/>
  </si>
  <si>
    <t>IQ27</t>
    <phoneticPr fontId="1" type="noConversion"/>
  </si>
  <si>
    <t>IQ28</t>
    <phoneticPr fontId="1" type="noConversion"/>
  </si>
  <si>
    <t>IQ29</t>
    <phoneticPr fontId="1" type="noConversion"/>
  </si>
  <si>
    <t>IQ30</t>
    <phoneticPr fontId="1" type="noConversion"/>
  </si>
  <si>
    <t>IQ31</t>
    <phoneticPr fontId="1" type="noConversion"/>
  </si>
  <si>
    <t>IQ32</t>
    <phoneticPr fontId="1" type="noConversion"/>
  </si>
  <si>
    <t>IQ33</t>
    <phoneticPr fontId="1" type="noConversion"/>
  </si>
  <si>
    <t>IQ34</t>
    <phoneticPr fontId="1" type="noConversion"/>
  </si>
  <si>
    <t>IQ35</t>
    <phoneticPr fontId="1" type="noConversion"/>
  </si>
  <si>
    <t>IR23</t>
    <phoneticPr fontId="1" type="noConversion"/>
  </si>
  <si>
    <t>IR24</t>
    <phoneticPr fontId="1" type="noConversion"/>
  </si>
  <si>
    <t>IR26</t>
    <phoneticPr fontId="1" type="noConversion"/>
  </si>
  <si>
    <t>IR27</t>
    <phoneticPr fontId="1" type="noConversion"/>
  </si>
  <si>
    <t>IR29</t>
    <phoneticPr fontId="1" type="noConversion"/>
  </si>
  <si>
    <t>IR30</t>
    <phoneticPr fontId="1" type="noConversion"/>
  </si>
  <si>
    <t>IR32</t>
    <phoneticPr fontId="1" type="noConversion"/>
  </si>
  <si>
    <t>IR33</t>
    <phoneticPr fontId="1" type="noConversion"/>
  </si>
  <si>
    <t>IR34</t>
    <phoneticPr fontId="1" type="noConversion"/>
  </si>
  <si>
    <t>IR36</t>
    <phoneticPr fontId="1" type="noConversion"/>
  </si>
  <si>
    <t>IR38</t>
    <phoneticPr fontId="1" type="noConversion"/>
  </si>
  <si>
    <t>IR40</t>
    <phoneticPr fontId="1" type="noConversion"/>
  </si>
  <si>
    <t>IS21</t>
    <phoneticPr fontId="1" type="noConversion"/>
  </si>
  <si>
    <t>IS22</t>
    <phoneticPr fontId="1" type="noConversion"/>
  </si>
  <si>
    <t>IS24</t>
    <phoneticPr fontId="1" type="noConversion"/>
  </si>
  <si>
    <t>IS26</t>
    <phoneticPr fontId="1" type="noConversion"/>
  </si>
  <si>
    <t>IT35</t>
    <phoneticPr fontId="1" type="noConversion"/>
  </si>
  <si>
    <t>IU23</t>
    <phoneticPr fontId="1" type="noConversion"/>
  </si>
  <si>
    <t>IU24</t>
    <phoneticPr fontId="1" type="noConversion"/>
  </si>
  <si>
    <t>IU25</t>
    <phoneticPr fontId="1" type="noConversion"/>
  </si>
  <si>
    <t>IU27</t>
    <phoneticPr fontId="1" type="noConversion"/>
  </si>
  <si>
    <t>IU28</t>
    <phoneticPr fontId="1" type="noConversion"/>
  </si>
  <si>
    <t>IU29</t>
    <phoneticPr fontId="1" type="noConversion"/>
  </si>
  <si>
    <t>IU31</t>
    <phoneticPr fontId="1" type="noConversion"/>
  </si>
  <si>
    <t>IU34</t>
    <phoneticPr fontId="1" type="noConversion"/>
  </si>
  <si>
    <t>IU35</t>
    <phoneticPr fontId="1" type="noConversion"/>
  </si>
  <si>
    <t>IU36</t>
    <phoneticPr fontId="1" type="noConversion"/>
  </si>
  <si>
    <t>IU38</t>
    <phoneticPr fontId="1" type="noConversion"/>
  </si>
  <si>
    <t>IV20</t>
    <phoneticPr fontId="1" type="noConversion"/>
  </si>
  <si>
    <t>IV22</t>
    <phoneticPr fontId="1" type="noConversion"/>
  </si>
  <si>
    <t>IV23</t>
    <phoneticPr fontId="1" type="noConversion"/>
  </si>
  <si>
    <t>IV25</t>
    <phoneticPr fontId="1" type="noConversion"/>
  </si>
  <si>
    <t>IV26</t>
    <phoneticPr fontId="1" type="noConversion"/>
  </si>
  <si>
    <t>IV27</t>
    <phoneticPr fontId="1" type="noConversion"/>
  </si>
  <si>
    <t>IV28</t>
    <phoneticPr fontId="1" type="noConversion"/>
  </si>
  <si>
    <t>IV30</t>
    <phoneticPr fontId="1" type="noConversion"/>
  </si>
  <si>
    <t>IV31</t>
    <phoneticPr fontId="1" type="noConversion"/>
  </si>
  <si>
    <t>IV32</t>
    <phoneticPr fontId="1" type="noConversion"/>
  </si>
  <si>
    <t>IV33</t>
    <phoneticPr fontId="1" type="noConversion"/>
  </si>
  <si>
    <t>IV34</t>
    <phoneticPr fontId="1" type="noConversion"/>
  </si>
  <si>
    <t>IV35</t>
    <phoneticPr fontId="1" type="noConversion"/>
  </si>
  <si>
    <t>IV52</t>
    <phoneticPr fontId="1" type="noConversion"/>
  </si>
  <si>
    <t>IV54</t>
    <phoneticPr fontId="1" type="noConversion"/>
  </si>
  <si>
    <t>IW21</t>
    <phoneticPr fontId="1" type="noConversion"/>
  </si>
  <si>
    <t>IW25</t>
    <phoneticPr fontId="1" type="noConversion"/>
  </si>
  <si>
    <t>IW26</t>
    <phoneticPr fontId="1" type="noConversion"/>
  </si>
  <si>
    <t>IW28</t>
    <phoneticPr fontId="1" type="noConversion"/>
  </si>
  <si>
    <t>IW30</t>
    <phoneticPr fontId="1" type="noConversion"/>
  </si>
  <si>
    <t>IW31</t>
    <phoneticPr fontId="1" type="noConversion"/>
  </si>
  <si>
    <t>IW32</t>
    <phoneticPr fontId="1" type="noConversion"/>
  </si>
  <si>
    <t>IW33</t>
    <phoneticPr fontId="1" type="noConversion"/>
  </si>
  <si>
    <t>IW34</t>
    <phoneticPr fontId="1" type="noConversion"/>
  </si>
  <si>
    <t>IW35</t>
    <phoneticPr fontId="1" type="noConversion"/>
  </si>
  <si>
    <t>IX22</t>
    <phoneticPr fontId="1" type="noConversion"/>
  </si>
  <si>
    <t>IX24</t>
    <phoneticPr fontId="1" type="noConversion"/>
  </si>
  <si>
    <t>IX25</t>
    <phoneticPr fontId="1" type="noConversion"/>
  </si>
  <si>
    <t>IX32</t>
    <phoneticPr fontId="1" type="noConversion"/>
  </si>
  <si>
    <t>IX33</t>
    <phoneticPr fontId="1" type="noConversion"/>
  </si>
  <si>
    <t>IX34</t>
    <phoneticPr fontId="1" type="noConversion"/>
  </si>
  <si>
    <t>IX35</t>
    <phoneticPr fontId="1" type="noConversion"/>
  </si>
  <si>
    <t>IY23</t>
    <phoneticPr fontId="1" type="noConversion"/>
  </si>
  <si>
    <t>IY26</t>
    <phoneticPr fontId="1" type="noConversion"/>
  </si>
  <si>
    <t>IY27</t>
    <phoneticPr fontId="1" type="noConversion"/>
  </si>
  <si>
    <t>IY29</t>
    <phoneticPr fontId="1" type="noConversion"/>
  </si>
  <si>
    <t>IY30</t>
    <phoneticPr fontId="1" type="noConversion"/>
  </si>
  <si>
    <t>IY32</t>
    <phoneticPr fontId="1" type="noConversion"/>
  </si>
  <si>
    <t>IY34</t>
    <phoneticPr fontId="1" type="noConversion"/>
  </si>
  <si>
    <t>IZ21</t>
    <phoneticPr fontId="1" type="noConversion"/>
  </si>
  <si>
    <t>IZ22</t>
    <phoneticPr fontId="1" type="noConversion"/>
  </si>
  <si>
    <t>IZ23</t>
    <phoneticPr fontId="1" type="noConversion"/>
  </si>
  <si>
    <t>IZ25</t>
    <phoneticPr fontId="1" type="noConversion"/>
  </si>
  <si>
    <t>IZ52</t>
    <phoneticPr fontId="1" type="noConversion"/>
  </si>
  <si>
    <t>IZ53</t>
    <phoneticPr fontId="1" type="noConversion"/>
  </si>
  <si>
    <t>IZ54</t>
    <phoneticPr fontId="1" type="noConversion"/>
  </si>
  <si>
    <t>IZ55</t>
    <phoneticPr fontId="1" type="noConversion"/>
  </si>
  <si>
    <t>IZ62</t>
    <phoneticPr fontId="1" type="noConversion"/>
  </si>
  <si>
    <t>IZ63</t>
    <phoneticPr fontId="1" type="noConversion"/>
  </si>
  <si>
    <t>IZ65</t>
    <phoneticPr fontId="1" type="noConversion"/>
  </si>
  <si>
    <t>無</t>
    <phoneticPr fontId="1" type="noConversion"/>
  </si>
  <si>
    <t>%E5%BD%B0%E6%BF</t>
    <phoneticPr fontId="1" type="noConversion"/>
  </si>
  <si>
    <t>%E7%B7%9A%E8%A5%BFDS_9B</t>
    <phoneticPr fontId="1" type="noConversion"/>
  </si>
  <si>
    <t xml:space="preserve"> 9A70(9A70) </t>
    <phoneticPr fontId="1" type="noConversion"/>
  </si>
  <si>
    <t xml:space="preserve"> 9A71(9A71) </t>
    <phoneticPr fontId="1" type="noConversion"/>
  </si>
  <si>
    <t xml:space="preserve"> 9A72(9A72) </t>
    <phoneticPr fontId="1" type="noConversion"/>
  </si>
  <si>
    <t xml:space="preserve"> 9A73(9A73) </t>
    <phoneticPr fontId="1" type="noConversion"/>
  </si>
  <si>
    <t xml:space="preserve"> 9A74(9A74) </t>
    <phoneticPr fontId="1" type="noConversion"/>
  </si>
  <si>
    <t>G4028FC94</t>
    <phoneticPr fontId="1" type="noConversion"/>
  </si>
  <si>
    <t>#2DTR</t>
  </si>
  <si>
    <t>#3DTR</t>
  </si>
  <si>
    <t>#4ADTR</t>
  </si>
  <si>
    <t>#4BDTR</t>
  </si>
  <si>
    <t>線西DS_9B</t>
  </si>
  <si>
    <t>#1DTR</t>
  </si>
  <si>
    <t>9B51(9B51)</t>
  </si>
  <si>
    <t>9B52(9B52)</t>
  </si>
  <si>
    <t>9B53(9B53)</t>
  </si>
  <si>
    <t>9B54(9B54)</t>
  </si>
  <si>
    <t>9B55(9B55)</t>
  </si>
  <si>
    <t>9B56(9B56)</t>
  </si>
  <si>
    <t>9B57(9B57)</t>
  </si>
  <si>
    <t>9B58(9B58)</t>
  </si>
  <si>
    <t>#2ADTR</t>
  </si>
  <si>
    <t>9B61(9B61)</t>
  </si>
  <si>
    <t>9B62(9B62)</t>
  </si>
  <si>
    <t>9B63(9B63)</t>
  </si>
  <si>
    <t>9B64(9B64)</t>
  </si>
  <si>
    <t>新威(9BPV1)</t>
  </si>
  <si>
    <t>#2BDTR</t>
  </si>
  <si>
    <t>9B65(9B65)</t>
  </si>
  <si>
    <t>9B66(9B66)</t>
  </si>
  <si>
    <t>9B67(9B67)</t>
  </si>
  <si>
    <t>9B68(9B68)</t>
  </si>
  <si>
    <t>員林DS_9C</t>
  </si>
  <si>
    <t>#1ADTR</t>
  </si>
  <si>
    <t>9C20(9C20)</t>
  </si>
  <si>
    <t>9C21(9C21)</t>
  </si>
  <si>
    <t>9C22(9C22)</t>
  </si>
  <si>
    <t>9C23(9C23)</t>
  </si>
  <si>
    <t>9C24(9C24)</t>
  </si>
  <si>
    <t>#1BDTR</t>
  </si>
  <si>
    <t>9C25(9C25)</t>
  </si>
  <si>
    <t>9C26(9C26)</t>
  </si>
  <si>
    <t>9C27(9C27)</t>
  </si>
  <si>
    <t>9C28(9C28)</t>
  </si>
  <si>
    <t>9C29(9C29)</t>
  </si>
  <si>
    <t>#2A1DTR</t>
  </si>
  <si>
    <t>9C30(9C30)</t>
  </si>
  <si>
    <t>9C31(9C31)</t>
  </si>
  <si>
    <t>9C32(9C32)</t>
  </si>
  <si>
    <t>#2A2DTR</t>
  </si>
  <si>
    <t>9C33(9C33)</t>
  </si>
  <si>
    <t>9C34(9C34)</t>
  </si>
  <si>
    <t>#2B1DTR</t>
  </si>
  <si>
    <t>9C35(9C35)</t>
  </si>
  <si>
    <t>9C36(9C36)</t>
  </si>
  <si>
    <t>#2B2DTR</t>
  </si>
  <si>
    <t>9C37(9C37)</t>
  </si>
  <si>
    <t>9C38(9C38)</t>
  </si>
  <si>
    <t>9C39(9C39)</t>
  </si>
  <si>
    <t>#3ADTR</t>
  </si>
  <si>
    <t>9C40(9C40)</t>
  </si>
  <si>
    <t>9C41(9C41)</t>
  </si>
  <si>
    <t>9C42(9C42)</t>
  </si>
  <si>
    <t>9C43(9C43)</t>
  </si>
  <si>
    <t>9C44(9C44)</t>
  </si>
  <si>
    <t>#3BDTR</t>
  </si>
  <si>
    <t>9C45(9C45)</t>
  </si>
  <si>
    <t>9C46(9C46)</t>
  </si>
  <si>
    <t>9C47(9C47)</t>
  </si>
  <si>
    <t>9C48(9C48)</t>
  </si>
  <si>
    <t>9C49(9C49)</t>
  </si>
  <si>
    <t>鹿西DS_9F</t>
  </si>
  <si>
    <t>9F51(9F51)</t>
  </si>
  <si>
    <t>9F52(9F52)</t>
  </si>
  <si>
    <t>9F53(9F53)</t>
  </si>
  <si>
    <t>9F54(9F54)</t>
  </si>
  <si>
    <t>9F55(9F55)</t>
  </si>
  <si>
    <t>9F56(9F56)</t>
  </si>
  <si>
    <t>9F57(9F57)</t>
  </si>
  <si>
    <t>9F58(9F58)</t>
  </si>
  <si>
    <t>9F61(9F61)</t>
  </si>
  <si>
    <t>9F62(9F62)</t>
  </si>
  <si>
    <t>9F63(9F63)</t>
  </si>
  <si>
    <t>9F64(9F64)</t>
  </si>
  <si>
    <t>9F65(9F65)</t>
  </si>
  <si>
    <t>9F66(9F66)</t>
  </si>
  <si>
    <t>9F67(9F67)</t>
  </si>
  <si>
    <t>9F68(9F68)</t>
  </si>
  <si>
    <t>漢寶DS_9G</t>
  </si>
  <si>
    <t>9G20(9G20)</t>
  </si>
  <si>
    <t>9G21(9G21)</t>
  </si>
  <si>
    <t>9G22(9G22)</t>
  </si>
  <si>
    <t>9G23(9G23)</t>
  </si>
  <si>
    <t>9G24(9G24)</t>
  </si>
  <si>
    <t>9G25(9G25)</t>
  </si>
  <si>
    <t>9G26(9G26)</t>
  </si>
  <si>
    <t>9G27(9G27)</t>
  </si>
  <si>
    <t>9G28(9G28)</t>
  </si>
  <si>
    <t>9G29(9G29)</t>
  </si>
  <si>
    <t>立風1(9GE8)</t>
  </si>
  <si>
    <t>9G30(9G30)</t>
  </si>
  <si>
    <t>9G31(9G31)</t>
  </si>
  <si>
    <t>9G32(9G32)</t>
  </si>
  <si>
    <t>9G33(9G33)</t>
  </si>
  <si>
    <t>9G34(9G34)</t>
  </si>
  <si>
    <t>9G35(9G35)</t>
  </si>
  <si>
    <t>9G36(9G36)</t>
  </si>
  <si>
    <t>9G37(9G37)</t>
  </si>
  <si>
    <t>9G38(9G38)</t>
  </si>
  <si>
    <t>9G39(9G39)</t>
  </si>
  <si>
    <t>立風2(9GE9)</t>
  </si>
  <si>
    <t>9GE2(9GE2)</t>
  </si>
  <si>
    <t>9GE3(9GE3)</t>
  </si>
  <si>
    <t>北苑(9GE1)</t>
  </si>
  <si>
    <t>星寶(9GE0)</t>
  </si>
  <si>
    <t>9GE6(9GE6)</t>
  </si>
  <si>
    <t>9GE7(9GE7)</t>
  </si>
  <si>
    <t>彰旺(9GE5)</t>
  </si>
  <si>
    <t>彰苑(9GE4)</t>
  </si>
  <si>
    <t>草港DS_9H</t>
  </si>
  <si>
    <t>9H20(9H20)</t>
  </si>
  <si>
    <t>下港線(9H21)</t>
  </si>
  <si>
    <t>草塭線(9H22)</t>
  </si>
  <si>
    <t>崙尾線(9H23)</t>
  </si>
  <si>
    <t>崙草線(9H24)</t>
  </si>
  <si>
    <t>南勢線(9H25)</t>
  </si>
  <si>
    <t>草洋線(9H26)</t>
  </si>
  <si>
    <t>草港線(9H27)</t>
  </si>
  <si>
    <t>草莊線(9H28)</t>
  </si>
  <si>
    <t>草東線(9H29)</t>
  </si>
  <si>
    <t>9H30(9H30)</t>
  </si>
  <si>
    <t>西崙線(9H31)</t>
  </si>
  <si>
    <t>草一線(9H32)</t>
  </si>
  <si>
    <t>草鹿線(9H33)</t>
  </si>
  <si>
    <t>頂山線(9H34)</t>
  </si>
  <si>
    <t>草中線(9H35)</t>
  </si>
  <si>
    <t>草子線(9H36)</t>
  </si>
  <si>
    <t>東正線(9H37)</t>
  </si>
  <si>
    <t>草嶺線(9H38)</t>
  </si>
  <si>
    <t>草伸線(9H39)</t>
  </si>
  <si>
    <t>福興DS_9I</t>
  </si>
  <si>
    <t>9I20(9I20)</t>
  </si>
  <si>
    <t>9I21(9I21)</t>
  </si>
  <si>
    <t>9I22(9I22)</t>
  </si>
  <si>
    <t>9I23(9I23)</t>
  </si>
  <si>
    <t>9I24(9I24)</t>
  </si>
  <si>
    <t>9I25(9I25)</t>
  </si>
  <si>
    <t>9I39(9I39)</t>
  </si>
  <si>
    <t>9I38(9I38)</t>
  </si>
  <si>
    <t>9I37(9I37)</t>
  </si>
  <si>
    <t>9I36(9I36)</t>
  </si>
  <si>
    <t>9I26(9I26)</t>
  </si>
  <si>
    <t>9I27(9I27)</t>
  </si>
  <si>
    <t>9I28(9I28)</t>
  </si>
  <si>
    <t>9I29(9I29)</t>
  </si>
  <si>
    <t>9I35(9I35)</t>
  </si>
  <si>
    <t>9I34(9I34)</t>
  </si>
  <si>
    <t>9I33(9I33)</t>
  </si>
  <si>
    <t>9I32(9I32)</t>
  </si>
  <si>
    <t>9I31(9I31)</t>
  </si>
  <si>
    <t>9I30(9I30)</t>
  </si>
  <si>
    <t>埔鹽SS_9J</t>
  </si>
  <si>
    <t>#1MTR</t>
  </si>
  <si>
    <t>9J11(9J11)</t>
  </si>
  <si>
    <t>9J12(9J12)</t>
  </si>
  <si>
    <t>9J13(9J13)</t>
  </si>
  <si>
    <t>9J14(9J14)</t>
  </si>
  <si>
    <t>9J15(9J15)</t>
  </si>
  <si>
    <t>#2MTR</t>
  </si>
  <si>
    <t>9J21(9J21)</t>
  </si>
  <si>
    <t>9J22(9J22)</t>
  </si>
  <si>
    <t>9J23(9J23)</t>
  </si>
  <si>
    <t>9J24(9J24)</t>
  </si>
  <si>
    <t>9J25(9J25)</t>
  </si>
  <si>
    <t>#3MTR</t>
  </si>
  <si>
    <t>9J31(9J31)</t>
  </si>
  <si>
    <t>9J32(9J32)</t>
  </si>
  <si>
    <t>9J33(9J33)</t>
  </si>
  <si>
    <t>9J34(9J34)</t>
  </si>
  <si>
    <t>9J35(9J35)</t>
  </si>
  <si>
    <t>大霞DS_9K</t>
  </si>
  <si>
    <t>9K21(9K21)</t>
  </si>
  <si>
    <t>9K22(9K22)</t>
  </si>
  <si>
    <t>9K23(9K23)</t>
  </si>
  <si>
    <t>9K24(9K24)</t>
  </si>
  <si>
    <t>9K25(9K25)</t>
  </si>
  <si>
    <t>9K26(9K26)</t>
  </si>
  <si>
    <t>9K27(9K27)</t>
  </si>
  <si>
    <t>9K28(9K28)</t>
  </si>
  <si>
    <t>9K29(9K29)</t>
  </si>
  <si>
    <t>9K30(9K30)</t>
  </si>
  <si>
    <t>9K31(9K31)</t>
  </si>
  <si>
    <t>9K32(9K32)</t>
  </si>
  <si>
    <t>9K33(9K33)</t>
  </si>
  <si>
    <t>9K34(9K34)</t>
  </si>
  <si>
    <t>9K35(9K35)</t>
  </si>
  <si>
    <t>9K36(9K36)</t>
  </si>
  <si>
    <t>9K37(9K37)</t>
  </si>
  <si>
    <t>9K38(9K38)</t>
  </si>
  <si>
    <t>9K39(9K39)</t>
  </si>
  <si>
    <t>9K40(9K40)</t>
  </si>
  <si>
    <t>大城DS_9L</t>
  </si>
  <si>
    <t>9L21(9L21)</t>
  </si>
  <si>
    <t>9L22(9L22)</t>
  </si>
  <si>
    <t>9L23(9L23)</t>
  </si>
  <si>
    <t>9L24(9L24)</t>
  </si>
  <si>
    <t>9L25(9L25)</t>
  </si>
  <si>
    <t>9L26(9L26)</t>
  </si>
  <si>
    <t>9L27(9L27)</t>
  </si>
  <si>
    <t>9L28(9L28)</t>
  </si>
  <si>
    <t>9L29(9L29)</t>
  </si>
  <si>
    <t>9L30(9L30)</t>
  </si>
  <si>
    <t>9L31(9L31)</t>
  </si>
  <si>
    <t>9L32(9L32)</t>
  </si>
  <si>
    <t>9L33(9L33)</t>
  </si>
  <si>
    <t>9L34(9L34)</t>
  </si>
  <si>
    <t>9L35(9L35)</t>
  </si>
  <si>
    <t>9L36(9L36)</t>
  </si>
  <si>
    <t>9L37(9L37)</t>
  </si>
  <si>
    <t>9L38(9L38)</t>
  </si>
  <si>
    <t>9L39(9L39)</t>
  </si>
  <si>
    <t>9L40(9L40)</t>
  </si>
  <si>
    <t>彰林ES_9M</t>
  </si>
  <si>
    <t>彰竹DS_9N</t>
  </si>
  <si>
    <t>9N20(9N20)</t>
  </si>
  <si>
    <t>9N21(9N21)</t>
  </si>
  <si>
    <t>9N22(9N22)</t>
  </si>
  <si>
    <t>9N23(9N23)</t>
  </si>
  <si>
    <t>9N24(9N24)</t>
  </si>
  <si>
    <t>9N25(9N25)</t>
  </si>
  <si>
    <t>9N26(9N26)</t>
  </si>
  <si>
    <t>9N27(9N27)</t>
  </si>
  <si>
    <t>9N28(9N28)</t>
  </si>
  <si>
    <t>9N29(9N29)</t>
  </si>
  <si>
    <t>花壇DS_9P</t>
  </si>
  <si>
    <t>9P10(9P10)</t>
  </si>
  <si>
    <t>9P11(9P11)</t>
  </si>
  <si>
    <t>9P12(9P12)</t>
  </si>
  <si>
    <t>9P13(9P13)</t>
  </si>
  <si>
    <t>9P14(9P14)</t>
  </si>
  <si>
    <t>9P15(9P15)</t>
  </si>
  <si>
    <t>9P16(9P16)</t>
  </si>
  <si>
    <t>9P17(9P17)</t>
  </si>
  <si>
    <t>9P18(9P18)</t>
  </si>
  <si>
    <t>9P19(9P19)</t>
  </si>
  <si>
    <t>9P20(9P20)</t>
  </si>
  <si>
    <t>9P21(9P21)</t>
  </si>
  <si>
    <t>9P22(9P22)</t>
  </si>
  <si>
    <t>9P23(9P23)</t>
  </si>
  <si>
    <t>9P24(9P24)</t>
  </si>
  <si>
    <t>9P25(9P25)</t>
  </si>
  <si>
    <t>9P26(9P26)</t>
  </si>
  <si>
    <t>9P27(9P27)</t>
  </si>
  <si>
    <t>9P28(9P28)</t>
  </si>
  <si>
    <t>9P29(9P29)</t>
  </si>
  <si>
    <t>彰新DS_IA</t>
  </si>
  <si>
    <t>民生線(IA28)</t>
  </si>
  <si>
    <t>北部線(IA37)</t>
  </si>
  <si>
    <t>磚瑤線(IA30)</t>
  </si>
  <si>
    <t>鐵山線(IA32)</t>
  </si>
  <si>
    <t>彰茂線(IA35)</t>
  </si>
  <si>
    <t>北安線(IA39)</t>
  </si>
  <si>
    <t>阿夷線(IA24)</t>
  </si>
  <si>
    <t>新庄線(IA29)</t>
  </si>
  <si>
    <t>犁盛線(IA33)</t>
  </si>
  <si>
    <t>成功線(IA36)</t>
  </si>
  <si>
    <t>辭修線(IA27)</t>
  </si>
  <si>
    <t>車站線(IA34)</t>
  </si>
  <si>
    <t>中山線(IA23)</t>
  </si>
  <si>
    <t>泰和線(IA26)</t>
  </si>
  <si>
    <t>大成線(IA22)</t>
  </si>
  <si>
    <t>北建線(IA38)</t>
  </si>
  <si>
    <t>北廠線(IA21)</t>
  </si>
  <si>
    <t>北美線(IA25)</t>
  </si>
  <si>
    <t>北新線(IA31)</t>
  </si>
  <si>
    <t>中圍線(IA20)</t>
  </si>
  <si>
    <t>國聖線(IA40)</t>
  </si>
  <si>
    <t>忠孝線(IA41)</t>
  </si>
  <si>
    <t>建國線(IA42)</t>
  </si>
  <si>
    <t>公園線(IA43)</t>
  </si>
  <si>
    <t>東頭線(IA44)</t>
  </si>
  <si>
    <t>牛稠線(IA45)</t>
  </si>
  <si>
    <t>茄苳線(IA46)</t>
  </si>
  <si>
    <t>卦山線(IA47)</t>
  </si>
  <si>
    <t>保警線(IA48)</t>
  </si>
  <si>
    <t>西勢線(IA49)</t>
  </si>
  <si>
    <t>鹿港SS_IB</t>
  </si>
  <si>
    <t>二港線(IB20)</t>
  </si>
  <si>
    <t>海埔線(IB22)</t>
  </si>
  <si>
    <t>下庄線(IB30)</t>
  </si>
  <si>
    <t>鹿一線(IB31)</t>
  </si>
  <si>
    <t>橋頭線(IB21)</t>
  </si>
  <si>
    <t>鹿三線(IB33)</t>
  </si>
  <si>
    <t>鹽場線(IB25)</t>
  </si>
  <si>
    <t>龍山線(IB28)</t>
  </si>
  <si>
    <t>鹿溪線(IB24)</t>
  </si>
  <si>
    <t>鹿東線(IB27)</t>
  </si>
  <si>
    <t>永豐線(IB34)</t>
  </si>
  <si>
    <t>鹿管線(IB29)</t>
  </si>
  <si>
    <t>鹿二線(IB32)</t>
  </si>
  <si>
    <t>頂厝線(IB26)</t>
  </si>
  <si>
    <t>鹿中線(IB23)</t>
  </si>
  <si>
    <t>員林SS_IC</t>
  </si>
  <si>
    <t>溪湖SS_ID</t>
  </si>
  <si>
    <t>西寮線(ID20)</t>
  </si>
  <si>
    <t>湖南線(ID23)</t>
  </si>
  <si>
    <t>溪湖線(ID28)</t>
  </si>
  <si>
    <t>湳底線(ID26)</t>
  </si>
  <si>
    <t>湖北線(ID31)</t>
  </si>
  <si>
    <t>湖中線(ID30)</t>
  </si>
  <si>
    <t>溪東線(ID24)</t>
  </si>
  <si>
    <t>二重線(ID21)</t>
  </si>
  <si>
    <t>南新線(ID29)</t>
  </si>
  <si>
    <t>東寮線(ID25)</t>
  </si>
  <si>
    <t>巫厝線(ID27)</t>
  </si>
  <si>
    <t>番婆線(ID32)</t>
  </si>
  <si>
    <t>湖西線(ID22)</t>
  </si>
  <si>
    <t>F14(F14)</t>
  </si>
  <si>
    <t>F15(F15)</t>
  </si>
  <si>
    <t>二林SS_IE</t>
  </si>
  <si>
    <t>永安線(IE25)</t>
  </si>
  <si>
    <t>溝頭線(IE24)</t>
  </si>
  <si>
    <t>中西線(IE21)</t>
  </si>
  <si>
    <t>埤北線(IE27)</t>
  </si>
  <si>
    <t>西斗線(IE22)</t>
  </si>
  <si>
    <t>北平線(IE23)</t>
  </si>
  <si>
    <t>廣西線(IE28)</t>
  </si>
  <si>
    <t>三合線(IE20)</t>
  </si>
  <si>
    <t>舊社線(IE26)</t>
  </si>
  <si>
    <t>東興線(IE29)</t>
  </si>
  <si>
    <t>溪州SS_IF</t>
  </si>
  <si>
    <t>埤頭線(IF21)</t>
  </si>
  <si>
    <t>下霸線(IF25)</t>
  </si>
  <si>
    <t>田頭線(IF30)</t>
  </si>
  <si>
    <t>溪工線(IF33)</t>
  </si>
  <si>
    <t>農場線(IF34)</t>
  </si>
  <si>
    <t>潮洋線(IF22)</t>
  </si>
  <si>
    <t>路口線(IF23)</t>
  </si>
  <si>
    <t>溪竹線(IF31)</t>
  </si>
  <si>
    <t>埤工線(IF24)</t>
  </si>
  <si>
    <t>埔尾線(IF26)</t>
  </si>
  <si>
    <t>IF35(IF35)</t>
  </si>
  <si>
    <t>IF39(IF39)</t>
  </si>
  <si>
    <t>IF37(IF37)</t>
  </si>
  <si>
    <t>IF38(IF38)</t>
  </si>
  <si>
    <t>IF36(IF36)</t>
  </si>
  <si>
    <t>#4MTR</t>
  </si>
  <si>
    <t>元埔線(IF27)</t>
  </si>
  <si>
    <t>溪斗線(IF20)</t>
  </si>
  <si>
    <t>南州線(IF28)</t>
  </si>
  <si>
    <t>溪林線(IF32)</t>
  </si>
  <si>
    <t>合興線(IF29)</t>
  </si>
  <si>
    <t>田中DS_IG</t>
  </si>
  <si>
    <t>IG30(IG30)</t>
  </si>
  <si>
    <t>IG31(IG31)</t>
  </si>
  <si>
    <t>IG32(IG32)</t>
  </si>
  <si>
    <t>IG33(IG33)</t>
  </si>
  <si>
    <t>IG34(IG34)</t>
  </si>
  <si>
    <t>IG35(IG35)</t>
  </si>
  <si>
    <t>IG36(IG36)</t>
  </si>
  <si>
    <t>IG37(IG37)</t>
  </si>
  <si>
    <t>IG38(IG38)</t>
  </si>
  <si>
    <t>IG39(IG39)</t>
  </si>
  <si>
    <t>IG40(IG40)</t>
  </si>
  <si>
    <t>IG41(IG41)</t>
  </si>
  <si>
    <t>IG42(IG42)</t>
  </si>
  <si>
    <t>IG43(IG43)</t>
  </si>
  <si>
    <t>IG44(IG44)</t>
  </si>
  <si>
    <t>IG45(IG45)</t>
  </si>
  <si>
    <t>IG46(IG46)</t>
  </si>
  <si>
    <t>IG47(IG47)</t>
  </si>
  <si>
    <t>IG48(IG48)</t>
  </si>
  <si>
    <t>IG49(IG49)</t>
  </si>
  <si>
    <t>彰西SS_IH</t>
  </si>
  <si>
    <t>西鎮線(IH27)</t>
  </si>
  <si>
    <t>西美線(IH21)</t>
  </si>
  <si>
    <t>西安線(IH25)</t>
  </si>
  <si>
    <t>下湳線(IH24)</t>
  </si>
  <si>
    <t>西溝線(IH28)</t>
  </si>
  <si>
    <t>建和線(IH33)</t>
  </si>
  <si>
    <t>中華線(IH32)</t>
  </si>
  <si>
    <t>林森線(IH31)</t>
  </si>
  <si>
    <t>平和線(IH34)</t>
  </si>
  <si>
    <t>崙平線(IH35)</t>
  </si>
  <si>
    <t>西南線(IH29)</t>
  </si>
  <si>
    <t>頂湳線(IH23)</t>
  </si>
  <si>
    <t>源埤線(IH22)</t>
  </si>
  <si>
    <t>西華線(IH26)</t>
  </si>
  <si>
    <t>後港線(IH20)</t>
  </si>
  <si>
    <t>彰南SS_II</t>
  </si>
  <si>
    <t>縣府線(II22)</t>
  </si>
  <si>
    <t>西門線(II25)</t>
  </si>
  <si>
    <t>新生線(II20)</t>
  </si>
  <si>
    <t>南興線(II26)</t>
  </si>
  <si>
    <t>南和線(II27)</t>
  </si>
  <si>
    <t>南郭線(II32)</t>
  </si>
  <si>
    <t>民權線(II34)</t>
  </si>
  <si>
    <t>虎山線(II30)</t>
  </si>
  <si>
    <t>民族線(II31)</t>
  </si>
  <si>
    <t>大埔線(II28)</t>
  </si>
  <si>
    <t>建寶線(II24)</t>
  </si>
  <si>
    <t>天祥線(II33)</t>
  </si>
  <si>
    <t>南瑤線(II21)</t>
  </si>
  <si>
    <t>口庄線(II29)</t>
  </si>
  <si>
    <t>田寮線(II23)</t>
  </si>
  <si>
    <t>和美SS_IJ</t>
  </si>
  <si>
    <t>和美線(IJ23)</t>
  </si>
  <si>
    <t>和崁線(IJ33)</t>
  </si>
  <si>
    <t>汴頭線(IJ30)</t>
  </si>
  <si>
    <t>和西線(IJ22)</t>
  </si>
  <si>
    <t>和張線(IJ34)</t>
  </si>
  <si>
    <t>和發線(IJ26)</t>
  </si>
  <si>
    <t>和南線(IJ28)</t>
  </si>
  <si>
    <t>和伸線(IJ20)</t>
  </si>
  <si>
    <t>和東線(IJ29)</t>
  </si>
  <si>
    <t>和雅線(IJ32)</t>
  </si>
  <si>
    <t>地政線(IJ31)</t>
  </si>
  <si>
    <t>溪底線(IJ24)</t>
  </si>
  <si>
    <t>下犁線(IJ25)</t>
  </si>
  <si>
    <t>頂犁線(IJ21)</t>
  </si>
  <si>
    <t>霞田線(IJ27)</t>
  </si>
  <si>
    <t>彰化DS_IK</t>
  </si>
  <si>
    <t>IK30(IK30)</t>
  </si>
  <si>
    <t>IK31(IK31)</t>
  </si>
  <si>
    <t>IK32(IK32)</t>
  </si>
  <si>
    <t>IK33(IK33)</t>
  </si>
  <si>
    <t>IK34(IK34)</t>
  </si>
  <si>
    <t>IK35(IK35)</t>
  </si>
  <si>
    <t>IK49(IK49)</t>
  </si>
  <si>
    <t>IK48(IK48)</t>
  </si>
  <si>
    <t>IK47(IK47)</t>
  </si>
  <si>
    <t>IK46(IK46)</t>
  </si>
  <si>
    <t>IK36(IK36)</t>
  </si>
  <si>
    <t>IK37(IK37)</t>
  </si>
  <si>
    <t>IK38(IK38)</t>
  </si>
  <si>
    <t>IK39(IK39)</t>
  </si>
  <si>
    <t>IK45(IK45)</t>
  </si>
  <si>
    <t>IK44(IK44)</t>
  </si>
  <si>
    <t>IK43(IK43)</t>
  </si>
  <si>
    <t>IK42(IK42)</t>
  </si>
  <si>
    <t>IK41(IK41)</t>
  </si>
  <si>
    <t>IK40(IK40)</t>
  </si>
  <si>
    <t>彰化PS_IK</t>
  </si>
  <si>
    <t>員南SS_IL</t>
  </si>
  <si>
    <t>萬年線(IL27)</t>
  </si>
  <si>
    <t>南靖線(IL22)</t>
  </si>
  <si>
    <t>經口線(IL21)</t>
  </si>
  <si>
    <t>太平線(IL23)</t>
  </si>
  <si>
    <t>中央線(IL24)</t>
  </si>
  <si>
    <t>大華線(IL32)</t>
  </si>
  <si>
    <t>瓦瑤線(IL29)</t>
  </si>
  <si>
    <t>溝皂線(IL25)</t>
  </si>
  <si>
    <t>百果線(IL20)</t>
  </si>
  <si>
    <t>大饒線(IL26)</t>
  </si>
  <si>
    <t>南門線(IL30)</t>
  </si>
  <si>
    <t>五汴線(IL28)</t>
  </si>
  <si>
    <t>莒光線(IL31)</t>
  </si>
  <si>
    <t>大竹SS_IM</t>
  </si>
  <si>
    <t>竹彰線(IM30)</t>
  </si>
  <si>
    <t>山坑線(IM29)</t>
  </si>
  <si>
    <t>牛埔線(IM26)</t>
  </si>
  <si>
    <t>大竹線(IM22)</t>
  </si>
  <si>
    <t>渡船線(IM20)</t>
  </si>
  <si>
    <t>渡橋線(IM28)</t>
  </si>
  <si>
    <t>香山線(IM27)</t>
  </si>
  <si>
    <t>福山線(IM25)</t>
  </si>
  <si>
    <t>中莊線(IM24)</t>
  </si>
  <si>
    <t>快官線(IM23)</t>
  </si>
  <si>
    <t>大東線(IM21)</t>
  </si>
  <si>
    <t>大村SS_IN</t>
  </si>
  <si>
    <t>黃厝線(IN28)</t>
  </si>
  <si>
    <t>中興線(IN24)</t>
  </si>
  <si>
    <t>內庄線(IN20)</t>
  </si>
  <si>
    <t>三芬線(IN31)</t>
  </si>
  <si>
    <t>村上線(IN29)</t>
  </si>
  <si>
    <t>大橋線(IN22)</t>
  </si>
  <si>
    <t>大村線(IN23)</t>
  </si>
  <si>
    <t>長春線(IN32)</t>
  </si>
  <si>
    <t>金墩線(IN26)</t>
  </si>
  <si>
    <t>灣口線(IN27)</t>
  </si>
  <si>
    <t>南寮線(IN34)</t>
  </si>
  <si>
    <t>上莊線(IN33)</t>
  </si>
  <si>
    <t>三春線(IN21)</t>
  </si>
  <si>
    <t>村北線(IN25)</t>
  </si>
  <si>
    <t>村宜線(IN30)</t>
  </si>
  <si>
    <t>鹿東DS_IO</t>
  </si>
  <si>
    <t>IO26(IO26)</t>
  </si>
  <si>
    <t>IO25(IO25)</t>
  </si>
  <si>
    <t>IO24(IO24)</t>
  </si>
  <si>
    <t>IO23(IO23)</t>
  </si>
  <si>
    <t>IO22(IO22)</t>
  </si>
  <si>
    <t>IO21(IO21)</t>
  </si>
  <si>
    <t>IO51(IO51)</t>
  </si>
  <si>
    <t>IO52(IO52)</t>
  </si>
  <si>
    <t>IO53(IO53)</t>
  </si>
  <si>
    <t>IO54(IO54)</t>
  </si>
  <si>
    <t>IO55(IO55)</t>
  </si>
  <si>
    <t>IO56(IO56)</t>
  </si>
  <si>
    <t>IO61(IO61)</t>
  </si>
  <si>
    <t>IO62(IO62)</t>
  </si>
  <si>
    <t>IO63(IO63)</t>
  </si>
  <si>
    <t>IO64(IO64)</t>
  </si>
  <si>
    <t>IO65(IO65)</t>
  </si>
  <si>
    <t>IO66(IO66)</t>
  </si>
  <si>
    <t>鹿威(IOW1)</t>
  </si>
  <si>
    <t>IO76(IO76)</t>
  </si>
  <si>
    <t>IO75(IO75)</t>
  </si>
  <si>
    <t>IO74(IO74)</t>
  </si>
  <si>
    <t>IO73(IO73)</t>
  </si>
  <si>
    <t>IO72(IO72)</t>
  </si>
  <si>
    <t>IO71(IO71)</t>
  </si>
  <si>
    <t>星能(IOPV1)</t>
  </si>
  <si>
    <t>福工SS_IP</t>
  </si>
  <si>
    <t>金崙線(IP29)</t>
  </si>
  <si>
    <t>福工線(IP24)</t>
  </si>
  <si>
    <t>廓仔線(IP22)</t>
  </si>
  <si>
    <t>金興線(IP21)</t>
  </si>
  <si>
    <t>番社線(IP20)</t>
  </si>
  <si>
    <t>福東線(IP31)</t>
  </si>
  <si>
    <t>福南線(IP30)</t>
  </si>
  <si>
    <t>南港線(IP28)</t>
  </si>
  <si>
    <t>三汴線(IP25)</t>
  </si>
  <si>
    <t>外埔線(IP27)</t>
  </si>
  <si>
    <t>埔崙線(IP23)</t>
  </si>
  <si>
    <t>福北線(IP26)</t>
  </si>
  <si>
    <t>福村線(IP32)</t>
  </si>
  <si>
    <t>福旗線(IP33)</t>
  </si>
  <si>
    <t>福溪線(IP34)</t>
  </si>
  <si>
    <t>彰東SS_IQ</t>
  </si>
  <si>
    <t>IQ21(IQ21)</t>
  </si>
  <si>
    <t>IQ22(IQ22)</t>
  </si>
  <si>
    <t>IQ23(IQ23)</t>
  </si>
  <si>
    <t>IQ24(IQ24)</t>
  </si>
  <si>
    <t>IQ25(IQ25)</t>
  </si>
  <si>
    <t>IQ26(IQ26)</t>
  </si>
  <si>
    <t>IQ27(IQ27)</t>
  </si>
  <si>
    <t>IQ28(IQ28)</t>
  </si>
  <si>
    <t>IQ29(IQ29)</t>
  </si>
  <si>
    <t>IQ30(IQ30)</t>
  </si>
  <si>
    <t>IQ31(IQ31)</t>
  </si>
  <si>
    <t>IQ32(IQ32)</t>
  </si>
  <si>
    <t>IQ33(IQ33)</t>
  </si>
  <si>
    <t>IQ34(IQ34)</t>
  </si>
  <si>
    <t>IQ35(IQ35)</t>
  </si>
  <si>
    <t>社頭SS_IR</t>
  </si>
  <si>
    <t>社東線(IR21)</t>
  </si>
  <si>
    <t>崙厝線(IR31)</t>
  </si>
  <si>
    <t>雅果線(IR32)</t>
  </si>
  <si>
    <t>清水線(IR33)</t>
  </si>
  <si>
    <t>美雅線(IR34)</t>
  </si>
  <si>
    <t>八堡線(IR35)</t>
  </si>
  <si>
    <t>新雅線(IR20)</t>
  </si>
  <si>
    <t>崙雅線(IR25)</t>
  </si>
  <si>
    <t>朝興線(IR26)</t>
  </si>
  <si>
    <t>社永線(IR27)</t>
  </si>
  <si>
    <t>IR37(IR37)</t>
  </si>
  <si>
    <t>IR36(IR36)</t>
  </si>
  <si>
    <t>IR38(IR38)</t>
  </si>
  <si>
    <t>IR39(IR39)</t>
  </si>
  <si>
    <t>IR40(IR40)</t>
  </si>
  <si>
    <t>社斗線(IR23)</t>
  </si>
  <si>
    <t>光雲線(IR28)</t>
  </si>
  <si>
    <t>社西線(IR22)</t>
  </si>
  <si>
    <t>圳尾線(IR29)</t>
  </si>
  <si>
    <t>枋橋線(IR24)</t>
  </si>
  <si>
    <t>草湖SS_IS</t>
  </si>
  <si>
    <t>草北線(IS20)</t>
  </si>
  <si>
    <t>竹寮線(IS21)</t>
  </si>
  <si>
    <t>趙甲線(IS22)</t>
  </si>
  <si>
    <t>建平線(IS27)</t>
  </si>
  <si>
    <t>胡厝線(IS29)</t>
  </si>
  <si>
    <t>八甲線(IS26)</t>
  </si>
  <si>
    <t>川邊線(IS25)</t>
  </si>
  <si>
    <t>草苑線(IS23)</t>
  </si>
  <si>
    <t>崙腳線(IS24)</t>
  </si>
  <si>
    <t>興海線(IS28)</t>
  </si>
  <si>
    <t>溝墘SS_IT</t>
  </si>
  <si>
    <t>嘉佃線(IT29)</t>
  </si>
  <si>
    <t>頭崙線(IT22)</t>
  </si>
  <si>
    <t>溝南線(IT34)</t>
  </si>
  <si>
    <t>馬興線(IT23)</t>
  </si>
  <si>
    <t>葉厝線(IT25)</t>
  </si>
  <si>
    <t>鎮平線(IT20)</t>
  </si>
  <si>
    <t>溝東線(IT33)</t>
  </si>
  <si>
    <t>南海線(IT27)</t>
  </si>
  <si>
    <t>棋盤線(IT24)</t>
  </si>
  <si>
    <t>溝中線(IT32)</t>
  </si>
  <si>
    <t>頂番線(IT21)</t>
  </si>
  <si>
    <t>溝圳線(IT30)</t>
  </si>
  <si>
    <t>溝北線(IT26)</t>
  </si>
  <si>
    <t>溝鹿線(IT31)</t>
  </si>
  <si>
    <t>三永線(IT28)</t>
  </si>
  <si>
    <t>員東DS_IU</t>
  </si>
  <si>
    <t>伸港SS_IV</t>
  </si>
  <si>
    <t>IV51(IV51)</t>
  </si>
  <si>
    <t>IV52(IV52)</t>
  </si>
  <si>
    <t>IV53(IV53)</t>
  </si>
  <si>
    <t>IV54(IV54)</t>
  </si>
  <si>
    <t>IV55(IV55)</t>
  </si>
  <si>
    <t>伸湖線(IV32)</t>
  </si>
  <si>
    <t>伸隆線(IV34)</t>
  </si>
  <si>
    <t>伸松線(IV35)</t>
  </si>
  <si>
    <t>伸尾線(IV33)</t>
  </si>
  <si>
    <t>伸工線(IV31)</t>
  </si>
  <si>
    <t>頂溪線(IV24)</t>
  </si>
  <si>
    <t>伸海線(IV25)</t>
  </si>
  <si>
    <t>水尾線(IV22)</t>
  </si>
  <si>
    <t>草埔線(IV21)</t>
  </si>
  <si>
    <t>伸三線(IV29)</t>
  </si>
  <si>
    <t>二水SS_IW</t>
  </si>
  <si>
    <t>大莊線(IW22)</t>
  </si>
  <si>
    <t>惠民線(IW26)</t>
  </si>
  <si>
    <t>榮光線(IW25)</t>
  </si>
  <si>
    <t>大崙線(IW24)</t>
  </si>
  <si>
    <t>華成線(IW29)</t>
  </si>
  <si>
    <t>吉安線(IW30)</t>
  </si>
  <si>
    <t>大安線(IW31)</t>
  </si>
  <si>
    <t>坑內線(IW32)</t>
  </si>
  <si>
    <t>柑園線(IW34)</t>
  </si>
  <si>
    <t>羽台線(IW33)</t>
  </si>
  <si>
    <t>南通線(IW21)</t>
  </si>
  <si>
    <t>源泉線(IW20)</t>
  </si>
  <si>
    <t>榮民線(IW27)</t>
  </si>
  <si>
    <t>大同線(IW23)</t>
  </si>
  <si>
    <t>大田線(IW28)</t>
  </si>
  <si>
    <t>北斗SS_IX</t>
  </si>
  <si>
    <t>斗裕線(IX25)</t>
  </si>
  <si>
    <t>斗永線(IX23)</t>
  </si>
  <si>
    <t>斗州線(IX26)</t>
  </si>
  <si>
    <t>斗湖線(IX30)</t>
  </si>
  <si>
    <t>文宗線(IX24)</t>
  </si>
  <si>
    <t>斗建線(IX28)</t>
  </si>
  <si>
    <t>斗圳線(IX31)</t>
  </si>
  <si>
    <t>斗興線(IX32)</t>
  </si>
  <si>
    <t>斗鳳線(IX34)</t>
  </si>
  <si>
    <t>斗溪線(IX33)</t>
  </si>
  <si>
    <t>斗海線(IX22)</t>
  </si>
  <si>
    <t>斗苑線(IX20)</t>
  </si>
  <si>
    <t>斗中線(IX21)</t>
  </si>
  <si>
    <t>斗工線(IX29)</t>
  </si>
  <si>
    <t>斗民線(IX27)</t>
  </si>
  <si>
    <t>芳苑SS_IY</t>
  </si>
  <si>
    <t>芳森線(IY31)</t>
  </si>
  <si>
    <t>芳苑線(IY21)</t>
  </si>
  <si>
    <t>芳中線(IY32)</t>
  </si>
  <si>
    <t>芳隆線(IY28)</t>
  </si>
  <si>
    <t>芳六線(IY29)</t>
  </si>
  <si>
    <t>芳路線(IY33)</t>
  </si>
  <si>
    <t>芳林線(IY34)</t>
  </si>
  <si>
    <t>芳街線(IY35)</t>
  </si>
  <si>
    <t>新街線(IY20)</t>
  </si>
  <si>
    <t>永興線(IY24)</t>
  </si>
  <si>
    <t>芳鵬線(IY27)</t>
  </si>
  <si>
    <t>芳聚線(IY26)</t>
  </si>
  <si>
    <t>芳南線(IY22)</t>
  </si>
  <si>
    <t>芳北線(IY23)</t>
  </si>
  <si>
    <t>芳麗線(IY25)</t>
  </si>
  <si>
    <t>博斯(1PVY)</t>
  </si>
  <si>
    <t>全興ES_IZ</t>
  </si>
  <si>
    <t>IZ23(IZ23)</t>
  </si>
  <si>
    <t>IZ22(IZ22)</t>
  </si>
  <si>
    <t>IZ21(IZ21)</t>
  </si>
  <si>
    <t>IZ26(IZ26)</t>
  </si>
  <si>
    <t>IZ25(IZ25)</t>
  </si>
  <si>
    <t>IZ24(IZ24)</t>
  </si>
  <si>
    <t>IZ51(IZ51)</t>
  </si>
  <si>
    <t>IZ52(IZ52)</t>
  </si>
  <si>
    <t>IZ53(IZ53)</t>
  </si>
  <si>
    <t>IZ54(IZ54)</t>
  </si>
  <si>
    <t>IZ55(IZ55)</t>
  </si>
  <si>
    <t>IZ56(IZ56)</t>
  </si>
  <si>
    <t>IZ61(IZ61)</t>
  </si>
  <si>
    <t>IZ62(IZ62)</t>
  </si>
  <si>
    <t>IZ63(IZ63)</t>
  </si>
  <si>
    <t>IZ64(IZ64)</t>
  </si>
  <si>
    <t>IZ65(IZ65)</t>
  </si>
  <si>
    <t>IZ66(IZ66)</t>
  </si>
  <si>
    <t>彰濱主變</t>
    <phoneticPr fontId="1" type="noConversion"/>
  </si>
  <si>
    <t>線西主變</t>
    <phoneticPr fontId="1" type="noConversion"/>
  </si>
  <si>
    <t>員林主變</t>
    <phoneticPr fontId="1" type="noConversion"/>
  </si>
  <si>
    <t>鹿西主變</t>
    <phoneticPr fontId="1" type="noConversion"/>
  </si>
  <si>
    <t>漢寶主變</t>
    <phoneticPr fontId="1" type="noConversion"/>
  </si>
  <si>
    <t>草港主變</t>
    <phoneticPr fontId="1" type="noConversion"/>
  </si>
  <si>
    <t>福興主變</t>
    <phoneticPr fontId="1" type="noConversion"/>
  </si>
  <si>
    <t>埔鹽主變</t>
    <phoneticPr fontId="1" type="noConversion"/>
  </si>
  <si>
    <t>大霞主變</t>
    <phoneticPr fontId="1" type="noConversion"/>
  </si>
  <si>
    <t>大城主變</t>
    <phoneticPr fontId="1" type="noConversion"/>
  </si>
  <si>
    <t>彰林主變</t>
    <phoneticPr fontId="1" type="noConversion"/>
  </si>
  <si>
    <t>彰竹主變</t>
    <phoneticPr fontId="1" type="noConversion"/>
  </si>
  <si>
    <t>花壇主變</t>
    <phoneticPr fontId="1" type="noConversion"/>
  </si>
  <si>
    <t>彰新主變</t>
    <phoneticPr fontId="1" type="noConversion"/>
  </si>
  <si>
    <t>鹿港主變</t>
    <phoneticPr fontId="1" type="noConversion"/>
  </si>
  <si>
    <t>溪湖主變</t>
    <phoneticPr fontId="1" type="noConversion"/>
  </si>
  <si>
    <t>二林主變</t>
    <phoneticPr fontId="1" type="noConversion"/>
  </si>
  <si>
    <t>溪州主變</t>
    <phoneticPr fontId="1" type="noConversion"/>
  </si>
  <si>
    <t>田中主變</t>
    <phoneticPr fontId="1" type="noConversion"/>
  </si>
  <si>
    <t>彰西主變</t>
    <phoneticPr fontId="1" type="noConversion"/>
  </si>
  <si>
    <t>彰南主變</t>
    <phoneticPr fontId="1" type="noConversion"/>
  </si>
  <si>
    <t>和美主變</t>
    <phoneticPr fontId="1" type="noConversion"/>
  </si>
  <si>
    <t>彰化主變</t>
    <phoneticPr fontId="1" type="noConversion"/>
  </si>
  <si>
    <t>員南主變</t>
    <phoneticPr fontId="1" type="noConversion"/>
  </si>
  <si>
    <t>大竹主變</t>
    <phoneticPr fontId="1" type="noConversion"/>
  </si>
  <si>
    <t>鹿東主變</t>
    <phoneticPr fontId="1" type="noConversion"/>
  </si>
  <si>
    <t>福工主變</t>
    <phoneticPr fontId="1" type="noConversion"/>
  </si>
  <si>
    <t>彰東主變</t>
    <phoneticPr fontId="1" type="noConversion"/>
  </si>
  <si>
    <t>社頭主變</t>
    <phoneticPr fontId="1" type="noConversion"/>
  </si>
  <si>
    <t>草湖主變</t>
    <phoneticPr fontId="1" type="noConversion"/>
  </si>
  <si>
    <t>溝墘主變</t>
    <phoneticPr fontId="1" type="noConversion"/>
  </si>
  <si>
    <t>員東主變</t>
    <phoneticPr fontId="1" type="noConversion"/>
  </si>
  <si>
    <t>伸港主變</t>
    <phoneticPr fontId="1" type="noConversion"/>
  </si>
  <si>
    <t>二水主變</t>
    <phoneticPr fontId="1" type="noConversion"/>
  </si>
  <si>
    <t>北斗主變</t>
    <phoneticPr fontId="1" type="noConversion"/>
  </si>
  <si>
    <t>芳苑主變</t>
    <phoneticPr fontId="1" type="noConversion"/>
  </si>
  <si>
    <t>全興主變</t>
    <phoneticPr fontId="1" type="noConversion"/>
  </si>
  <si>
    <t>G1505HD84</t>
    <phoneticPr fontId="1" type="noConversion"/>
  </si>
  <si>
    <t>9A#4DTR(A)</t>
    <phoneticPr fontId="1" type="noConversion"/>
  </si>
  <si>
    <t>9A#3DTR(A)</t>
    <phoneticPr fontId="1" type="noConversion"/>
  </si>
  <si>
    <t>9A#3DTR(A)</t>
    <phoneticPr fontId="1" type="noConversion"/>
  </si>
  <si>
    <t>9A#3DTR(B)</t>
    <phoneticPr fontId="1" type="noConversion"/>
  </si>
  <si>
    <t>9A#3DTR(B)</t>
    <phoneticPr fontId="1" type="noConversion"/>
  </si>
  <si>
    <t>9A#3DTR(A)</t>
    <phoneticPr fontId="1" type="noConversion"/>
  </si>
  <si>
    <t>轉供變電所主變</t>
    <phoneticPr fontId="1" type="noConversion"/>
  </si>
  <si>
    <t>開關操作位置</t>
    <phoneticPr fontId="1" type="noConversion"/>
  </si>
  <si>
    <t>停電饋線FDIR有無啟用</t>
    <phoneticPr fontId="1" type="noConversion"/>
  </si>
  <si>
    <t>當日電流</t>
    <phoneticPr fontId="1" type="noConversion"/>
  </si>
  <si>
    <t>9B67</t>
    <phoneticPr fontId="1" type="noConversion"/>
  </si>
  <si>
    <t>9M#2DTR(B)</t>
    <phoneticPr fontId="1" type="noConversion"/>
  </si>
  <si>
    <t>現場停送電連絡員</t>
    <phoneticPr fontId="1" type="noConversion"/>
  </si>
  <si>
    <t>G2600HC33</t>
    <phoneticPr fontId="1" type="noConversion"/>
  </si>
  <si>
    <t>停電時間</t>
    <phoneticPr fontId="1" type="noConversion"/>
  </si>
  <si>
    <t>請求號數</t>
    <phoneticPr fontId="1" type="noConversion"/>
  </si>
  <si>
    <t>現場工作負責人</t>
    <phoneticPr fontId="1" type="noConversion"/>
  </si>
  <si>
    <t>鹿巡課</t>
    <phoneticPr fontId="1" type="noConversion"/>
  </si>
  <si>
    <t>增加判斷饋線或主變電流為0</t>
    <phoneticPr fontId="1" type="noConversion"/>
  </si>
  <si>
    <t xml:space="preserve"> F16 (F16) </t>
    <phoneticPr fontId="1" type="noConversion"/>
  </si>
  <si>
    <t xml:space="preserve"> IS30 (IS30) </t>
    <phoneticPr fontId="1" type="noConversion"/>
  </si>
  <si>
    <t xml:space="preserve"> 榮光線 (IW25) </t>
    <phoneticPr fontId="1" type="noConversion"/>
  </si>
  <si>
    <t xml:space="preserve"> 大崙線 (IW24) </t>
    <phoneticPr fontId="1" type="noConversion"/>
  </si>
  <si>
    <t xml:space="preserve"> 華成線 (IW29) </t>
    <phoneticPr fontId="1" type="noConversion"/>
  </si>
  <si>
    <t xml:space="preserve"> 大安線 (IW31) </t>
    <phoneticPr fontId="1" type="noConversion"/>
  </si>
  <si>
    <t xml:space="preserve"> 羽台線 (IW33) </t>
    <phoneticPr fontId="1" type="noConversion"/>
  </si>
  <si>
    <t xml:space="preserve"> 坑內線 (IW32) </t>
    <phoneticPr fontId="1" type="noConversion"/>
  </si>
  <si>
    <t xml:space="preserve"> 南通線 (IW21) </t>
    <phoneticPr fontId="1" type="noConversion"/>
  </si>
  <si>
    <t xml:space="preserve"> 源泉線 (IW20) </t>
    <phoneticPr fontId="1" type="noConversion"/>
  </si>
  <si>
    <t xml:space="preserve"> 榮民線 (IW27) </t>
    <phoneticPr fontId="1" type="noConversion"/>
  </si>
  <si>
    <t xml:space="preserve"> 大同線 (IW23) </t>
    <phoneticPr fontId="1" type="noConversion"/>
  </si>
  <si>
    <t>0800-056105</t>
  </si>
  <si>
    <t>二巡課</t>
  </si>
  <si>
    <t>二巡課</t>
    <phoneticPr fontId="1" type="noConversion"/>
  </si>
  <si>
    <t>04-8960061</t>
    <phoneticPr fontId="1" type="noConversion"/>
  </si>
  <si>
    <t>現場停送電連絡部門</t>
    <phoneticPr fontId="1" type="noConversion"/>
  </si>
  <si>
    <t>7256461#3161</t>
    <phoneticPr fontId="1" type="noConversion"/>
  </si>
  <si>
    <t>一</t>
  </si>
  <si>
    <t>台</t>
  </si>
  <si>
    <t>停電時間日期</t>
    <phoneticPr fontId="1" type="noConversion"/>
  </si>
  <si>
    <t>9G#1DTR(A)</t>
    <phoneticPr fontId="1" type="noConversion"/>
  </si>
  <si>
    <t>停電出口開關手自動</t>
    <phoneticPr fontId="1" type="noConversion"/>
  </si>
  <si>
    <t>復電時間日期</t>
    <phoneticPr fontId="1" type="noConversion"/>
  </si>
  <si>
    <t>轉供開關
手自動</t>
    <phoneticPr fontId="1" type="noConversion"/>
  </si>
  <si>
    <t>無啟動</t>
    <phoneticPr fontId="1" type="noConversion"/>
  </si>
  <si>
    <t>G1609GB37</t>
    <phoneticPr fontId="1" type="noConversion"/>
  </si>
  <si>
    <t>G1901GD05</t>
    <phoneticPr fontId="1" type="noConversion"/>
  </si>
  <si>
    <t>轉供饋線FDIR有無啟用</t>
    <phoneticPr fontId="1" type="noConversion"/>
  </si>
  <si>
    <t>轉供開關操作
切改入位置</t>
    <phoneticPr fontId="1" type="noConversion"/>
  </si>
  <si>
    <t>工二課</t>
    <phoneticPr fontId="1" type="noConversion"/>
  </si>
  <si>
    <t>轉供主變總電流</t>
    <phoneticPr fontId="1" type="noConversion"/>
  </si>
  <si>
    <t>施工號碼</t>
    <phoneticPr fontId="1" type="noConversion"/>
  </si>
  <si>
    <t>DCIS號碼</t>
    <phoneticPr fontId="1" type="noConversion"/>
  </si>
  <si>
    <t>相關服務所</t>
    <phoneticPr fontId="1" type="noConversion"/>
  </si>
  <si>
    <t>與配電調度中心連絡員</t>
    <phoneticPr fontId="1" type="noConversion"/>
  </si>
  <si>
    <t>工作概要</t>
    <phoneticPr fontId="1" type="noConversion"/>
  </si>
  <si>
    <t>出口電桿座標</t>
    <phoneticPr fontId="1" type="noConversion"/>
  </si>
  <si>
    <t>出口開關
切開/不切開/
切開電源不OFF</t>
    <phoneticPr fontId="1" type="noConversion"/>
  </si>
  <si>
    <t>負載分割
自動化開關
入改切位置</t>
    <phoneticPr fontId="1" type="noConversion"/>
  </si>
  <si>
    <t>9J#3MTR</t>
    <phoneticPr fontId="1" type="noConversion"/>
  </si>
  <si>
    <t>G2609BE34</t>
    <phoneticPr fontId="1" type="noConversion"/>
  </si>
  <si>
    <t>IS#2MTR</t>
    <phoneticPr fontId="1" type="noConversion"/>
  </si>
  <si>
    <t>轉供後總電流</t>
    <phoneticPr fontId="1" type="noConversion"/>
  </si>
  <si>
    <t>轉供前主變電流</t>
    <phoneticPr fontId="1" type="noConversion"/>
  </si>
  <si>
    <t>轉供變電所主變</t>
    <phoneticPr fontId="11" type="noConversion"/>
  </si>
  <si>
    <t xml:space="preserve">7.轉供檢討    </t>
  </si>
  <si>
    <t>□系統永久變更</t>
    <phoneticPr fontId="11" type="noConversion"/>
  </si>
  <si>
    <t>負 載 檢 討</t>
  </si>
  <si>
    <t>要求部門</t>
  </si>
  <si>
    <t>停電控制管登部門</t>
  </si>
  <si>
    <t>經辦</t>
  </si>
  <si>
    <t>控制</t>
  </si>
  <si>
    <t>負載分割
自動化開關入改切
手自動</t>
    <phoneticPr fontId="1" type="noConversion"/>
  </si>
  <si>
    <t>自動</t>
    <phoneticPr fontId="1" type="noConversion"/>
  </si>
  <si>
    <t xml:space="preserve"> ISA0 (ISA0) </t>
    <phoneticPr fontId="1" type="noConversion"/>
  </si>
  <si>
    <t xml:space="preserve"> ISA1 (ISA1) </t>
    <phoneticPr fontId="1" type="noConversion"/>
  </si>
  <si>
    <t xml:space="preserve"> ISA2 (ISA2) </t>
    <phoneticPr fontId="1" type="noConversion"/>
  </si>
  <si>
    <t xml:space="preserve"> ISA3 (ISA3) </t>
    <phoneticPr fontId="1" type="noConversion"/>
  </si>
  <si>
    <t>▓系統當日復原</t>
  </si>
  <si>
    <t>修正架空電源不OFF，刪遙控改現場字眼</t>
    <phoneticPr fontId="1" type="noConversion"/>
  </si>
  <si>
    <t>地下開關一律電源不OFF</t>
    <phoneticPr fontId="1" type="noConversion"/>
  </si>
  <si>
    <t>IZ#2DTR</t>
    <phoneticPr fontId="1" type="noConversion"/>
  </si>
  <si>
    <t>全興#2主變壓器與饋線關聯修正</t>
    <phoneticPr fontId="1" type="noConversion"/>
  </si>
  <si>
    <t>HW032101</t>
  </si>
  <si>
    <t>#750內檢</t>
    <phoneticPr fontId="1" type="noConversion"/>
  </si>
  <si>
    <t>08:30</t>
    <phoneticPr fontId="1" type="noConversion"/>
  </si>
  <si>
    <t>16:00</t>
    <phoneticPr fontId="1" type="noConversion"/>
  </si>
  <si>
    <t>HW032101</t>
    <phoneticPr fontId="1" type="noConversion"/>
  </si>
  <si>
    <t>彰營變中111-074號</t>
    <phoneticPr fontId="1" type="noConversion"/>
  </si>
  <si>
    <t>伸港S/S#1饋線</t>
    <phoneticPr fontId="1" type="noConversion"/>
  </si>
  <si>
    <t>鹿和巡修課</t>
    <phoneticPr fontId="1" type="noConversion"/>
  </si>
  <si>
    <t>郭子凡</t>
    <phoneticPr fontId="1" type="noConversion"/>
  </si>
  <si>
    <t>0911-806800</t>
    <phoneticPr fontId="1" type="noConversion"/>
  </si>
  <si>
    <t>FDCC</t>
    <phoneticPr fontId="1" type="noConversion"/>
  </si>
  <si>
    <t>微波79423</t>
    <phoneticPr fontId="1" type="noConversion"/>
  </si>
  <si>
    <t>0800-056105</t>
    <phoneticPr fontId="1" type="noConversion"/>
  </si>
  <si>
    <t>111年3月21日   上午操作</t>
  </si>
  <si>
    <t>111年4月1日   下午操作</t>
  </si>
  <si>
    <t>預定 3/21 08:30 至  4/1 16:00</t>
    <phoneticPr fontId="1" type="noConversion"/>
  </si>
  <si>
    <t>不切開</t>
    <phoneticPr fontId="1" type="noConversion"/>
  </si>
  <si>
    <t>切開電源OFF</t>
    <phoneticPr fontId="1" type="noConversion"/>
  </si>
  <si>
    <t>VHF</t>
    <phoneticPr fontId="1" type="noConversion"/>
  </si>
  <si>
    <t>(請轄區巡修課派員配合操作)</t>
  </si>
  <si>
    <t>二</t>
  </si>
  <si>
    <t>A</t>
  </si>
  <si>
    <t>三</t>
  </si>
  <si>
    <t>四</t>
  </si>
  <si>
    <t>確認 接地線已拆除</t>
  </si>
  <si>
    <t>T:\線路課\</t>
    <phoneticPr fontId="1" type="noConversion"/>
  </si>
  <si>
    <t>相別核對改為相序核對</t>
    <phoneticPr fontId="1" type="noConversion"/>
  </si>
  <si>
    <t>自動</t>
  </si>
  <si>
    <t>_x000D_
&lt;!-- Web.Config 組態檔 --&gt;_x000D_
_x000D_
&lt;configuration&gt;_x000D_
    &lt;system.web&gt;_x000D_
        &lt;customErrors mode="RemoteOnly" defaultRedirect="mycustompage.htm"/&gt;_x000D_
    &lt;/system.web&gt;_x000D_
&lt;/configuration&gt;</t>
    <phoneticPr fontId="1" type="noConversion"/>
  </si>
  <si>
    <t>9C#3DTR(B)</t>
    <phoneticPr fontId="1" type="noConversion"/>
  </si>
  <si>
    <t>G4608CB05</t>
    <phoneticPr fontId="1" type="noConversion"/>
  </si>
  <si>
    <t>G4607EC99-S31</t>
    <phoneticPr fontId="1" type="noConversion"/>
  </si>
  <si>
    <t>IN#1MTR</t>
    <phoneticPr fontId="1" type="noConversion"/>
  </si>
  <si>
    <t>G4705EA56</t>
    <phoneticPr fontId="1" type="noConversion"/>
  </si>
  <si>
    <t>G4507HA44</t>
    <phoneticPr fontId="1" type="noConversion"/>
  </si>
  <si>
    <t>G4607FA66</t>
    <phoneticPr fontId="1" type="noConversion"/>
  </si>
  <si>
    <t>9C#3DTR(A)</t>
    <phoneticPr fontId="1" type="noConversion"/>
  </si>
  <si>
    <t>G4501BC60-S61</t>
    <phoneticPr fontId="1" type="noConversion"/>
  </si>
  <si>
    <t>G4501EE30-S21</t>
    <phoneticPr fontId="1" type="noConversion"/>
  </si>
  <si>
    <t>9C#1DTR(B)</t>
    <phoneticPr fontId="1" type="noConversion"/>
  </si>
  <si>
    <t>G4400FE07</t>
    <phoneticPr fontId="1" type="noConversion"/>
  </si>
  <si>
    <t>G4601AD21-S21</t>
    <phoneticPr fontId="1" type="noConversion"/>
  </si>
  <si>
    <t>員林D/S 9C48    線 改手動</t>
  </si>
  <si>
    <t>員東D/S IU27東羽線 改手動</t>
  </si>
  <si>
    <t>黃厝高幹56-1Y#1 (G4608CB05) 相序核對</t>
  </si>
  <si>
    <t>員林D/S 9C48    線 LCO提高</t>
  </si>
  <si>
    <t>員東D/S IU27東羽線 LCO提高</t>
  </si>
  <si>
    <t>黃厝高幹56-1Y#1 (G4608CB05) LBS切改入</t>
  </si>
  <si>
    <t>員東D/S IU27東羽線 CB 入改切</t>
  </si>
  <si>
    <t>G4607EC99-S31  入改切(出口)</t>
  </si>
  <si>
    <t>員林D/S 9C48    線 LCO復原改自動</t>
  </si>
  <si>
    <t>員東D/S IU27東羽線 LCO復原改自動</t>
  </si>
  <si>
    <t>大村S/S IN28黃厝線 改手動</t>
  </si>
  <si>
    <t>員東D/S IU28東北線 改手動</t>
  </si>
  <si>
    <t>大村S/S IN28黃厝線 LCO提高</t>
  </si>
  <si>
    <t>員東D/S IU28東北線 LCO提高</t>
  </si>
  <si>
    <t>大村S/S IN28黃厝線 LCO復原改自動</t>
  </si>
  <si>
    <t>員東D/S IU28東北線 LCO復原改自動</t>
  </si>
  <si>
    <t>山腳高幹#77 (G4607FA66) 相序核對</t>
  </si>
  <si>
    <t>山腳高幹#77 (G4607FA66) LBS切改入</t>
  </si>
  <si>
    <t>員東D/S IU28東北線 CB 入改切</t>
  </si>
  <si>
    <t>山腳高幹#40-2(G4705EA56) LBS 入改切(出口)</t>
  </si>
  <si>
    <t>員林D/S 9C43    線 改手動</t>
  </si>
  <si>
    <t>員東D/S IU30三條線 改手動</t>
  </si>
  <si>
    <t>G4501BC60-S61    相序核對</t>
  </si>
  <si>
    <t>員林D/S 9C43    線 LCO提高</t>
  </si>
  <si>
    <t>員東D/S IU30三條線 LCO提高</t>
  </si>
  <si>
    <t>G4501BC60-S61    切改入</t>
  </si>
  <si>
    <t>員東D/S IU30三條線 CB 入改切</t>
  </si>
  <si>
    <t>G4501EE30-S21  入改切(出口)</t>
  </si>
  <si>
    <t>員林D/S 9C43    線 LCO復原改自動</t>
  </si>
  <si>
    <t>員東D/S IU30三條線 LCO復原改自動</t>
  </si>
  <si>
    <t>員林D/S 9C28    線 改手動</t>
  </si>
  <si>
    <t>五</t>
  </si>
  <si>
    <t>員東D/S IU29東水線 改手動</t>
  </si>
  <si>
    <t>站前高幹#27-1 (G4400FE07) 相序核對</t>
  </si>
  <si>
    <t>員林D/S 9C28    線 LCO提高</t>
  </si>
  <si>
    <t>員東D/S IU29東水線 LCO提高</t>
  </si>
  <si>
    <t>站前高幹#27-1 (G4400FE07) LBS切改入</t>
  </si>
  <si>
    <t>員東D/S IU29東水線 CB 入改切</t>
  </si>
  <si>
    <t>G4601AD21-S21  入改切(出口)</t>
  </si>
  <si>
    <t>員林D/S 9C28    線 LCO復原改自動</t>
  </si>
  <si>
    <t>員東D/S IU29東水線 LCO復原改自動</t>
  </si>
  <si>
    <t>站前高幹#27-1</t>
    <phoneticPr fontId="1" type="noConversion"/>
  </si>
  <si>
    <t>黃厝高幹56-1Y#1</t>
    <phoneticPr fontId="1" type="noConversion"/>
  </si>
  <si>
    <t>山腳高幹#77</t>
    <phoneticPr fontId="1" type="noConversion"/>
  </si>
  <si>
    <t>正新高幹46空Y#1</t>
    <phoneticPr fontId="1" type="noConversion"/>
  </si>
  <si>
    <t>員東D/S、IU27、IU28、IU28、IU30、IU29</t>
    <phoneticPr fontId="1" type="noConversion"/>
  </si>
  <si>
    <t>CB 推入定位 保持啟斷</t>
  </si>
  <si>
    <t>員林D/S 9C28    線 LCO提高改手動</t>
  </si>
  <si>
    <t>員東D/S IU29東水線 LCO提高改手動</t>
  </si>
  <si>
    <t>G4601AD21-S21  切改入(出口)</t>
  </si>
  <si>
    <t>現場改遙控，開關操作電源ON</t>
  </si>
  <si>
    <t>員東D/S IU29東水線 CB 切改入</t>
  </si>
  <si>
    <t>站前高幹#27-1 (G4400FE07) LBS入改切</t>
  </si>
  <si>
    <t>員林D/S 9C43    線 LCO提高改手動</t>
  </si>
  <si>
    <t>員東D/S IU30三條線 LCO提高改手動</t>
  </si>
  <si>
    <t>G4501EE30-S21  切改入(出口)</t>
  </si>
  <si>
    <t>員東D/S IU30三條線 CB 切改入</t>
  </si>
  <si>
    <t>G4501BC60-S61  入改切</t>
  </si>
  <si>
    <t>員林D/S 9C48    線 LCO提高改手動</t>
  </si>
  <si>
    <t>員東D/S IU28東北線 LCO提高改手動</t>
  </si>
  <si>
    <t>山腳高幹#40-2(G4705EA56) LBS 切改入(出口)</t>
  </si>
  <si>
    <t>員東D/S IU28東北線 CB 切改入</t>
  </si>
  <si>
    <t>山腳高幹#77 (G4607FA66) LBS入改切</t>
  </si>
  <si>
    <t>大村S/S IN28黃厝線 LCO提高改手動</t>
  </si>
  <si>
    <t>正新高幹46空Y#1 (G4507HA44) LBS切改入</t>
  </si>
  <si>
    <t>黃厝高幹56-1Y#1 (G4608CB05) LBS入改切</t>
  </si>
  <si>
    <t>員東D/S IU27東羽線 LCO提高改手動</t>
  </si>
  <si>
    <t>員東D/S IU27東羽線 CB 切改入</t>
  </si>
  <si>
    <t>各饋線  Tap  請復原</t>
  </si>
  <si>
    <t>預計 16290 分 實際   分</t>
    <phoneticPr fontId="1" type="noConversion"/>
  </si>
  <si>
    <t>9C#3(B)</t>
  </si>
  <si>
    <t>IN#1</t>
  </si>
  <si>
    <t>9C#3(A)</t>
  </si>
  <si>
    <t>9C#1(B)</t>
  </si>
  <si>
    <t>自動化開關，電源OFF時加ES開關投入</t>
    <phoneticPr fontId="1" type="noConversion"/>
  </si>
  <si>
    <t>切開電源不OFF</t>
    <phoneticPr fontId="1" type="noConversion"/>
  </si>
  <si>
    <t>G4607EC99-S31 切改入(出口)</t>
  </si>
  <si>
    <t>現場改遙控</t>
  </si>
  <si>
    <t xml:space="preserve">伸港S/S#1饋線  停電  配  電  線  路  活  電  轉 供  操  作  程  序                              伸港S/S#1饋線  復電  配  電  線  路  活  電  轉 供  操  作  程  序  </t>
  </si>
  <si>
    <t>正新高幹46空Y#1 (G4507HA44) LBS改切入</t>
  </si>
  <si>
    <t>遙控改現場，開關操作電源OFF</t>
  </si>
  <si>
    <t>遙控改現場，開關操作電源不OFF</t>
  </si>
  <si>
    <t>G4607EC99-S31  ES開關投入</t>
  </si>
  <si>
    <t>G4501EE30-S21  ES開關投入</t>
  </si>
  <si>
    <t>G4601AD21-S21  ES開關投入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</si>
</sst>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_);[Red]\(0.00\)"/>
    <numFmt numFmtId="177" formatCode="0.0%"/>
    <numFmt numFmtId="178" formatCode="0.00_ "/>
    <numFmt numFmtId="179" formatCode="0_ "/>
    <numFmt numFmtId="180" formatCode="yyyy\-mm\-dd"/>
    <numFmt numFmtId="181" formatCode="h:mm;@"/>
    <numFmt numFmtId="182" formatCode="&quot;$&quot;0_);\(&quot;$&quot;0\)"/>
    <numFmt numFmtId="183" formatCode="0_);[Red]\(0\)"/>
    <numFmt numFmtId="184" formatCode="yyyy/mm/dd"/>
    <numFmt numFmtId="185" formatCode="0.000_ "/>
    <numFmt numFmtId="186" formatCode="[=0]&quot;&quot;;General"/>
  </numFmts>
  <fonts count="108">
    <font>
      <sz val="12"/>
      <color theme="1"/>
      <name val="新細明體"/>
      <family val="2"/>
      <charset val="136"/>
      <scheme val="minor"/>
    </font>
    <font>
      <sz val="9"/>
      <name val="新細明體"/>
      <family val="2"/>
      <charset val="136"/>
      <scheme val="minor"/>
    </font>
    <font>
      <sz val="16"/>
      <color theme="1"/>
      <name val="標楷體"/>
      <family val="4"/>
      <charset val="136"/>
    </font>
    <font>
      <sz val="12"/>
      <color rgb="FF000000"/>
      <name val="新細明體"/>
      <family val="1"/>
      <charset val="136"/>
      <scheme val="minor"/>
    </font>
    <font>
      <sz val="12"/>
      <name val="新細明體"/>
      <family val="1"/>
      <charset val="136"/>
    </font>
    <font>
      <b/>
      <sz val="20"/>
      <color theme="1"/>
      <name val="Arial"/>
      <family val="2"/>
    </font>
    <font>
      <b/>
      <sz val="20"/>
      <color theme="1"/>
      <name val="新細明體"/>
      <family val="1"/>
      <charset val="136"/>
    </font>
    <font>
      <b/>
      <sz val="20"/>
      <color indexed="8"/>
      <name val="Arial"/>
      <family val="2"/>
    </font>
    <font>
      <b/>
      <sz val="20"/>
      <color indexed="8"/>
      <name val="新細明體"/>
      <family val="1"/>
      <charset val="136"/>
    </font>
    <font>
      <sz val="12"/>
      <color theme="1"/>
      <name val="Arial"/>
      <family val="2"/>
    </font>
    <font>
      <b/>
      <sz val="20"/>
      <color theme="1"/>
      <name val="細明體"/>
      <family val="3"/>
      <charset val="136"/>
    </font>
    <font>
      <sz val="9"/>
      <name val="新細明體"/>
      <family val="1"/>
      <charset val="136"/>
    </font>
    <font>
      <sz val="20"/>
      <color theme="1"/>
      <name val="Arial"/>
      <family val="2"/>
    </font>
    <font>
      <sz val="20"/>
      <color indexed="8"/>
      <name val="新細明體"/>
      <family val="1"/>
      <charset val="136"/>
    </font>
    <font>
      <sz val="20"/>
      <color indexed="8"/>
      <name val="Arial"/>
      <family val="2"/>
    </font>
    <font>
      <sz val="12"/>
      <color theme="1"/>
      <name val="新細明體"/>
      <family val="1"/>
      <charset val="136"/>
    </font>
    <font>
      <sz val="11"/>
      <color theme="1"/>
      <name val="新細明體"/>
      <family val="1"/>
      <charset val="136"/>
    </font>
    <font>
      <sz val="11"/>
      <color theme="1"/>
      <name val="Arial"/>
      <family val="2"/>
    </font>
    <font>
      <sz val="11"/>
      <color indexed="8"/>
      <name val="Arial"/>
      <family val="2"/>
    </font>
    <font>
      <sz val="11"/>
      <color indexed="8"/>
      <name val="新細明體"/>
      <family val="1"/>
      <charset val="136"/>
    </font>
    <font>
      <sz val="12"/>
      <name val="細明體"/>
      <family val="3"/>
      <charset val="136"/>
    </font>
    <font>
      <sz val="12"/>
      <name val="Arial"/>
      <family val="2"/>
    </font>
    <font>
      <sz val="12"/>
      <name val="新細明體"/>
      <family val="1"/>
      <charset val="136"/>
      <scheme val="minor"/>
    </font>
    <font>
      <sz val="12"/>
      <color theme="1"/>
      <name val="新細明體"/>
      <family val="1"/>
      <charset val="136"/>
      <scheme val="minor"/>
    </font>
    <font>
      <sz val="12"/>
      <color indexed="8"/>
      <name val="新細明體"/>
      <family val="1"/>
      <charset val="136"/>
      <scheme val="minor"/>
    </font>
    <font>
      <sz val="12"/>
      <color theme="1"/>
      <name val="細明體"/>
      <family val="3"/>
      <charset val="136"/>
    </font>
    <font>
      <sz val="12"/>
      <color indexed="8"/>
      <name val="新細明體"/>
      <family val="1"/>
      <charset val="136"/>
    </font>
    <font>
      <sz val="14"/>
      <color theme="1"/>
      <name val="標楷體"/>
      <family val="4"/>
      <charset val="136"/>
    </font>
    <font>
      <sz val="16"/>
      <color theme="1"/>
      <name val="Arial"/>
      <family val="2"/>
    </font>
    <font>
      <b/>
      <sz val="9"/>
      <color indexed="81"/>
      <name val="Tahoma"/>
      <family val="2"/>
    </font>
    <font>
      <sz val="9"/>
      <color indexed="81"/>
      <name val="Tahoma"/>
      <family val="2"/>
    </font>
    <font>
      <sz val="9"/>
      <color indexed="81"/>
      <name val="細明體"/>
      <family val="3"/>
      <charset val="136"/>
    </font>
    <font>
      <b/>
      <sz val="20"/>
      <name val="Arial"/>
      <family val="2"/>
    </font>
    <font>
      <b/>
      <sz val="20"/>
      <name val="新細明體"/>
      <family val="1"/>
      <charset val="136"/>
    </font>
    <font>
      <sz val="20"/>
      <name val="Arial"/>
      <family val="2"/>
    </font>
    <font>
      <sz val="20"/>
      <name val="新細明體"/>
      <family val="1"/>
      <charset val="136"/>
    </font>
    <font>
      <sz val="11"/>
      <name val="新細明體"/>
      <family val="1"/>
      <charset val="136"/>
    </font>
    <font>
      <sz val="11"/>
      <name val="Arial"/>
      <family val="2"/>
    </font>
    <font>
      <sz val="14"/>
      <name val="Arial"/>
      <family val="2"/>
    </font>
    <font>
      <sz val="12"/>
      <color theme="1"/>
      <name val="Times New Roman"/>
      <family val="1"/>
    </font>
    <font>
      <sz val="12"/>
      <name val="新細明體"/>
      <family val="1"/>
      <charset val="136"/>
      <scheme val="major"/>
    </font>
    <font>
      <sz val="12"/>
      <name val="Times New Roman"/>
      <family val="1"/>
    </font>
    <font>
      <sz val="12"/>
      <name val="微軟正黑體"/>
      <family val="2"/>
      <charset val="136"/>
    </font>
    <font>
      <sz val="12"/>
      <color indexed="8"/>
      <name val="Arial"/>
      <family val="2"/>
    </font>
    <font>
      <sz val="14"/>
      <name val="標楷體"/>
      <family val="4"/>
      <charset val="136"/>
    </font>
    <font>
      <sz val="10"/>
      <name val="細明體"/>
      <family val="3"/>
      <charset val="136"/>
    </font>
    <font>
      <sz val="12"/>
      <color rgb="FFFF0000"/>
      <name val="新細明體"/>
      <family val="1"/>
      <charset val="136"/>
    </font>
    <font>
      <sz val="12"/>
      <name val="標楷體"/>
      <family val="4"/>
      <charset val="136"/>
    </font>
    <font>
      <b/>
      <sz val="12"/>
      <name val="標楷體"/>
      <family val="4"/>
      <charset val="136"/>
    </font>
    <font>
      <sz val="18"/>
      <color rgb="FF000000"/>
      <name val="標楷體"/>
      <family val="4"/>
      <charset val="136"/>
    </font>
    <font>
      <sz val="10"/>
      <name val="新細明體"/>
      <family val="1"/>
      <charset val="136"/>
    </font>
    <font>
      <b/>
      <sz val="12"/>
      <name val="新細明體"/>
      <family val="1"/>
      <charset val="136"/>
    </font>
    <font>
      <sz val="8"/>
      <name val="新細明體"/>
      <family val="1"/>
      <charset val="136"/>
    </font>
    <font>
      <b/>
      <sz val="12"/>
      <color indexed="8"/>
      <name val="Arial"/>
      <family val="2"/>
    </font>
    <font>
      <b/>
      <sz val="11"/>
      <name val="新細明體"/>
      <family val="1"/>
      <charset val="136"/>
    </font>
    <font>
      <sz val="12"/>
      <name val="Arial Unicode MS"/>
      <family val="1"/>
      <charset val="136"/>
    </font>
    <font>
      <b/>
      <sz val="12"/>
      <name val="Arial"/>
      <family val="2"/>
    </font>
    <font>
      <b/>
      <sz val="8"/>
      <color indexed="8"/>
      <name val="Arial"/>
      <family val="2"/>
    </font>
    <font>
      <sz val="12"/>
      <color theme="1"/>
      <name val="標楷體"/>
      <family val="4"/>
      <charset val="136"/>
    </font>
    <font>
      <sz val="11"/>
      <color theme="1"/>
      <name val="標楷體"/>
      <family val="4"/>
      <charset val="136"/>
    </font>
    <font>
      <sz val="9"/>
      <color theme="1"/>
      <name val="標楷體"/>
      <family val="4"/>
      <charset val="136"/>
    </font>
    <font>
      <sz val="10"/>
      <color theme="1"/>
      <name val="細明體"/>
      <family val="3"/>
      <charset val="136"/>
    </font>
    <font>
      <b/>
      <sz val="10"/>
      <name val="新細明體"/>
      <family val="1"/>
      <charset val="136"/>
    </font>
    <font>
      <b/>
      <sz val="8"/>
      <name val="新細明體"/>
      <family val="1"/>
      <charset val="136"/>
      <scheme val="major"/>
    </font>
    <font>
      <sz val="11"/>
      <name val="標楷體"/>
      <family val="4"/>
      <charset val="136"/>
    </font>
    <font>
      <b/>
      <sz val="28"/>
      <name val="標楷體"/>
      <family val="4"/>
      <charset val="136"/>
    </font>
    <font>
      <sz val="28"/>
      <name val="標楷體"/>
      <family val="4"/>
      <charset val="136"/>
    </font>
    <font>
      <sz val="12"/>
      <color indexed="10"/>
      <name val="Times New Roman"/>
      <family val="1"/>
    </font>
    <font>
      <sz val="14"/>
      <color indexed="10"/>
      <name val="Times New Roman"/>
      <family val="1"/>
    </font>
    <font>
      <b/>
      <sz val="12"/>
      <name val="Times New Roman"/>
      <family val="1"/>
    </font>
    <font>
      <sz val="10"/>
      <name val="Times New Roman"/>
      <family val="1"/>
    </font>
    <font>
      <b/>
      <sz val="12"/>
      <name val="細明體"/>
      <family val="3"/>
      <charset val="136"/>
    </font>
    <font>
      <sz val="12"/>
      <color indexed="9"/>
      <name val="Times New Roman"/>
      <family val="1"/>
    </font>
    <font>
      <sz val="12"/>
      <color indexed="8"/>
      <name val="Times New Roman"/>
      <family val="1"/>
    </font>
    <font>
      <sz val="12"/>
      <color indexed="8"/>
      <name val="標楷體"/>
      <family val="4"/>
      <charset val="136"/>
    </font>
    <font>
      <sz val="11"/>
      <name val="Times New Roman"/>
      <family val="1"/>
    </font>
    <font>
      <sz val="12"/>
      <color rgb="FFFF0000"/>
      <name val="Times New Roman"/>
      <family val="1"/>
    </font>
    <font>
      <sz val="6"/>
      <name val="Times New Roman"/>
      <family val="1"/>
    </font>
    <font>
      <sz val="8"/>
      <name val="Times New Roman"/>
      <family val="1"/>
    </font>
    <font>
      <sz val="11"/>
      <color indexed="8"/>
      <name val="Times New Roman"/>
      <family val="1"/>
    </font>
    <font>
      <sz val="11"/>
      <color indexed="8"/>
      <name val="標楷體"/>
      <family val="4"/>
      <charset val="136"/>
    </font>
    <font>
      <sz val="11"/>
      <name val="細明體"/>
      <family val="3"/>
      <charset val="136"/>
    </font>
    <font>
      <sz val="12"/>
      <color rgb="FFFF0000"/>
      <name val="新細明體"/>
      <family val="1"/>
      <charset val="136"/>
      <scheme val="minor"/>
    </font>
    <font>
      <b/>
      <sz val="12"/>
      <color theme="1"/>
      <name val="新細明體"/>
      <family val="1"/>
      <charset val="136"/>
      <scheme val="minor"/>
    </font>
    <font>
      <sz val="7"/>
      <name val="標楷體"/>
      <family val="4"/>
      <charset val="136"/>
    </font>
    <font>
      <b/>
      <sz val="12"/>
      <color theme="1"/>
      <name val="標楷體"/>
      <family val="4"/>
      <charset val="136"/>
    </font>
    <font>
      <sz val="16"/>
      <color rgb="FF000000"/>
      <name val="標楷體"/>
      <family val="4"/>
      <charset val="136"/>
    </font>
    <font>
      <b/>
      <sz val="14"/>
      <color theme="1"/>
      <name val="標楷體"/>
      <family val="4"/>
      <charset val="136"/>
    </font>
    <font>
      <b/>
      <sz val="16"/>
      <color theme="1"/>
      <name val="標楷體"/>
      <family val="4"/>
      <charset val="136"/>
    </font>
    <font>
      <b/>
      <sz val="18"/>
      <name val="標楷體"/>
      <family val="4"/>
      <charset val="136"/>
    </font>
    <font>
      <sz val="14"/>
      <color theme="1"/>
      <name val="新細明體"/>
      <family val="2"/>
      <charset val="136"/>
      <scheme val="minor"/>
    </font>
    <font>
      <sz val="14"/>
      <color theme="1"/>
      <name val="新細明體"/>
      <family val="1"/>
      <charset val="136"/>
      <scheme val="minor"/>
    </font>
    <font>
      <sz val="12"/>
      <color rgb="FF000000"/>
      <name val="新細明體"/>
      <family val="1"/>
      <charset val="136"/>
    </font>
    <font>
      <sz val="9"/>
      <name val="新細明體"/>
      <family val="3"/>
      <charset val="136"/>
      <scheme val="minor"/>
    </font>
    <font>
      <sz val="10"/>
      <color rgb="FFFF0000"/>
      <name val="新細明體"/>
      <family val="1"/>
      <charset val="136"/>
      <scheme val="minor"/>
    </font>
    <font>
      <sz val="11"/>
      <color rgb="FFFF0000"/>
      <name val="新細明體"/>
      <family val="1"/>
      <charset val="136"/>
      <scheme val="minor"/>
    </font>
    <font>
      <sz val="12"/>
      <color rgb="FF0000FF"/>
      <name val="新細明體"/>
      <family val="1"/>
      <charset val="136"/>
      <scheme val="minor"/>
    </font>
    <font>
      <sz val="10"/>
      <color rgb="FF0000FF"/>
      <name val="新細明體"/>
      <family val="1"/>
      <charset val="136"/>
      <scheme val="minor"/>
    </font>
    <font>
      <b/>
      <sz val="12"/>
      <color rgb="FFFF0000"/>
      <name val="新細明體"/>
      <family val="1"/>
      <charset val="136"/>
      <scheme val="minor"/>
    </font>
    <font>
      <b/>
      <sz val="10"/>
      <color rgb="FFFF0000"/>
      <name val="新細明體"/>
      <family val="1"/>
      <charset val="136"/>
      <scheme val="minor"/>
    </font>
    <font>
      <sz val="9"/>
      <color theme="1"/>
      <name val="新細明體"/>
      <family val="1"/>
      <charset val="136"/>
      <scheme val="minor"/>
    </font>
    <font>
      <sz val="9"/>
      <color rgb="FFFF0000"/>
      <name val="新細明體"/>
      <family val="1"/>
      <charset val="136"/>
      <scheme val="minor"/>
    </font>
    <font>
      <sz val="12"/>
      <color theme="0"/>
      <name val="新細明體"/>
      <family val="1"/>
      <charset val="136"/>
    </font>
    <font>
      <sz val="10"/>
      <color theme="1"/>
      <name val="標楷體"/>
      <family val="4"/>
      <charset val="136"/>
    </font>
    <font>
      <sz val="14"/>
      <color rgb="FF000000"/>
      <name val="標楷體"/>
      <family val="4"/>
      <charset val="136"/>
    </font>
    <font>
      <u/>
      <sz val="12"/>
      <color theme="10"/>
      <name val="新細明體"/>
      <family val="2"/>
      <charset val="136"/>
      <scheme val="minor"/>
    </font>
    <font>
      <sz val="11"/>
      <color indexed="81"/>
      <name val="細明體"/>
      <family val="3"/>
      <charset val="136"/>
    </font>
    <font>
      <sz val="11"/>
      <color indexed="81"/>
      <name val="Tahoma"/>
      <family val="2"/>
    </font>
  </fonts>
  <fills count="34">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B0B0FF"/>
        <bgColor indexed="64"/>
      </patternFill>
    </fill>
    <fill>
      <patternFill patternType="solid">
        <fgColor theme="0"/>
        <bgColor indexed="64"/>
      </patternFill>
    </fill>
    <fill>
      <patternFill patternType="solid">
        <fgColor rgb="FFFFFFCC"/>
        <bgColor indexed="64"/>
      </patternFill>
    </fill>
    <fill>
      <patternFill patternType="solid">
        <fgColor rgb="FF00B0F0"/>
        <bgColor indexed="64"/>
      </patternFill>
    </fill>
    <fill>
      <patternFill patternType="solid">
        <fgColor rgb="FFFFFF00"/>
        <bgColor indexed="64"/>
      </patternFill>
    </fill>
    <fill>
      <patternFill patternType="solid">
        <fgColor theme="3" tint="0.59999389629810485"/>
        <bgColor indexed="64"/>
      </patternFill>
    </fill>
    <fill>
      <patternFill patternType="solid">
        <fgColor rgb="FF7030A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7"/>
        <bgColor indexed="64"/>
      </patternFill>
    </fill>
    <fill>
      <patternFill patternType="solid">
        <fgColor theme="9"/>
        <bgColor indexed="64"/>
      </patternFill>
    </fill>
    <fill>
      <patternFill patternType="solid">
        <fgColor theme="5"/>
        <bgColor indexed="64"/>
      </patternFill>
    </fill>
    <fill>
      <patternFill patternType="solid">
        <fgColor rgb="FFFFCCFF"/>
        <bgColor indexed="64"/>
      </patternFill>
    </fill>
    <fill>
      <patternFill patternType="solid">
        <fgColor rgb="FF00FFFF"/>
        <bgColor indexed="64"/>
      </patternFill>
    </fill>
    <fill>
      <patternFill patternType="solid">
        <fgColor rgb="FFCC99FF"/>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rgb="FF99FF99"/>
        <bgColor indexed="64"/>
      </patternFill>
    </fill>
    <fill>
      <patternFill patternType="solid">
        <fgColor theme="7" tint="0.59999389629810485"/>
        <bgColor indexed="64"/>
      </patternFill>
    </fill>
    <fill>
      <patternFill patternType="solid">
        <fgColor rgb="FF00CCFF"/>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CBE9C"/>
        <bgColor indexed="64"/>
      </patternFill>
    </fill>
    <fill>
      <patternFill patternType="solid">
        <fgColor rgb="FF9CEFF8"/>
        <bgColor indexed="64"/>
      </patternFill>
    </fill>
    <fill>
      <patternFill patternType="solid">
        <fgColor theme="6" tint="0.39997558519241921"/>
        <bgColor indexed="64"/>
      </patternFill>
    </fill>
    <fill>
      <patternFill patternType="solid">
        <fgColor theme="5" tint="0.39997558519241921"/>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style="thin">
        <color indexed="64"/>
      </top>
      <bottom style="thin">
        <color indexed="64"/>
      </bottom>
      <diagonal/>
    </border>
    <border>
      <left style="thin">
        <color rgb="FF999999"/>
      </left>
      <right style="thin">
        <color rgb="FF999999"/>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double">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right/>
      <top style="thin">
        <color indexed="64"/>
      </top>
      <bottom/>
      <diagonal/>
    </border>
    <border>
      <left/>
      <right/>
      <top/>
      <bottom style="double">
        <color indexed="64"/>
      </bottom>
      <diagonal/>
    </border>
    <border>
      <left/>
      <right style="thin">
        <color indexed="64"/>
      </right>
      <top/>
      <bottom style="double">
        <color indexed="64"/>
      </bottom>
      <diagonal/>
    </border>
    <border>
      <left/>
      <right style="double">
        <color indexed="64"/>
      </right>
      <top style="thin">
        <color indexed="64"/>
      </top>
      <bottom style="double">
        <color indexed="64"/>
      </bottom>
      <diagonal/>
    </border>
    <border>
      <left/>
      <right style="thin">
        <color indexed="64"/>
      </right>
      <top/>
      <bottom/>
      <diagonal/>
    </border>
    <border>
      <left/>
      <right/>
      <top style="thin">
        <color rgb="FF999999"/>
      </top>
      <bottom style="thin">
        <color rgb="FF999999"/>
      </bottom>
      <diagonal/>
    </border>
    <border>
      <left style="double">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double">
        <color indexed="64"/>
      </left>
      <right style="thin">
        <color indexed="64"/>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style="thin">
        <color indexed="64"/>
      </right>
      <top/>
      <bottom/>
      <diagonal/>
    </border>
    <border>
      <left style="double">
        <color indexed="64"/>
      </left>
      <right style="thin">
        <color indexed="64"/>
      </right>
      <top style="thin">
        <color indexed="64"/>
      </top>
      <bottom/>
      <diagonal/>
    </border>
    <border>
      <left/>
      <right style="double">
        <color indexed="64"/>
      </right>
      <top style="thin">
        <color indexed="64"/>
      </top>
      <bottom/>
      <diagonal/>
    </border>
    <border>
      <left style="double">
        <color indexed="64"/>
      </left>
      <right style="thin">
        <color indexed="64"/>
      </right>
      <top/>
      <bottom style="thin">
        <color indexed="64"/>
      </bottom>
      <diagonal/>
    </border>
    <border>
      <left/>
      <right style="double">
        <color indexed="64"/>
      </right>
      <top/>
      <bottom style="thin">
        <color indexed="64"/>
      </bottom>
      <diagonal/>
    </border>
    <border>
      <left style="thin">
        <color indexed="64"/>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indexed="64"/>
      </left>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auto="1"/>
      </right>
      <top style="medium">
        <color indexed="64"/>
      </top>
      <bottom style="medium">
        <color indexed="64"/>
      </bottom>
      <diagonal/>
    </border>
    <border>
      <left/>
      <right style="medium">
        <color indexed="64"/>
      </right>
      <top style="medium">
        <color indexed="64"/>
      </top>
      <bottom style="medium">
        <color indexed="64"/>
      </bottom>
      <diagonal/>
    </border>
  </borders>
  <cellStyleXfs count="10">
    <xf numFmtId="0" fontId="0" fillId="0" borderId="0">
      <alignment vertical="center"/>
    </xf>
    <xf numFmtId="0" fontId="4" fillId="0" borderId="0"/>
    <xf numFmtId="0" fontId="4" fillId="0" borderId="0"/>
    <xf numFmtId="0" fontId="4" fillId="0" borderId="0">
      <alignment vertical="center"/>
    </xf>
    <xf numFmtId="0" fontId="4" fillId="0" borderId="0"/>
    <xf numFmtId="9" fontId="4" fillId="0" borderId="0" applyFont="0" applyFill="0" applyBorder="0" applyAlignment="0" applyProtection="0">
      <alignment vertical="center"/>
    </xf>
    <xf numFmtId="0" fontId="4" fillId="0" borderId="0"/>
    <xf numFmtId="0" fontId="41" fillId="0" borderId="0"/>
    <xf numFmtId="0" fontId="23" fillId="0" borderId="0">
      <alignment vertical="center"/>
    </xf>
    <xf numFmtId="0" fontId="105" fillId="0" borderId="0" applyNumberFormat="0" applyFill="0" applyBorder="0" applyAlignment="0" applyProtection="0">
      <alignment vertical="center"/>
    </xf>
  </cellStyleXfs>
  <cellXfs count="959">
    <xf numFmtId="0" fontId="0" fillId="0" borderId="0" xfId="0">
      <alignment vertical="center"/>
    </xf>
    <xf numFmtId="0" fontId="2"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5" fillId="0" borderId="0" xfId="1" applyFont="1" applyAlignment="1">
      <alignment horizontal="left" vertical="center"/>
    </xf>
    <xf numFmtId="0" fontId="5" fillId="0" borderId="0" xfId="1" applyFont="1" applyAlignment="1">
      <alignment horizontal="center" vertical="center"/>
    </xf>
    <xf numFmtId="0" fontId="6" fillId="0" borderId="0" xfId="1" applyFont="1" applyAlignment="1">
      <alignment horizontal="left" vertical="center"/>
    </xf>
    <xf numFmtId="0" fontId="9" fillId="0" borderId="0" xfId="1" applyFont="1" applyAlignment="1">
      <alignment horizontal="center" vertical="center"/>
    </xf>
    <xf numFmtId="0" fontId="10" fillId="0" borderId="0" xfId="1" applyFont="1" applyAlignment="1">
      <alignment horizontal="center" vertical="center"/>
    </xf>
    <xf numFmtId="176" fontId="17" fillId="0" borderId="1" xfId="1" applyNumberFormat="1" applyFont="1" applyBorder="1" applyAlignment="1">
      <alignment horizontal="center" vertical="center" wrapText="1"/>
    </xf>
    <xf numFmtId="176" fontId="17" fillId="0" borderId="8" xfId="1" applyNumberFormat="1" applyFont="1" applyBorder="1" applyAlignment="1">
      <alignment horizontal="center" vertical="center" wrapText="1"/>
    </xf>
    <xf numFmtId="0" fontId="16" fillId="0" borderId="8" xfId="1" applyFont="1" applyBorder="1" applyAlignment="1">
      <alignment horizontal="center" vertical="center"/>
    </xf>
    <xf numFmtId="0" fontId="16" fillId="0" borderId="8" xfId="1" applyFont="1" applyBorder="1" applyAlignment="1">
      <alignment horizontal="center" vertical="center" wrapText="1"/>
    </xf>
    <xf numFmtId="176" fontId="16" fillId="0" borderId="8" xfId="1" applyNumberFormat="1" applyFont="1" applyBorder="1" applyAlignment="1">
      <alignment horizontal="center" vertical="center" wrapText="1"/>
    </xf>
    <xf numFmtId="0" fontId="16" fillId="0" borderId="2" xfId="1" applyFont="1" applyBorder="1" applyAlignment="1">
      <alignment horizontal="center" vertical="center" wrapText="1"/>
    </xf>
    <xf numFmtId="177" fontId="16" fillId="0" borderId="8" xfId="1" applyNumberFormat="1" applyFont="1" applyBorder="1" applyAlignment="1">
      <alignment horizontal="center" vertical="center" wrapText="1"/>
    </xf>
    <xf numFmtId="0" fontId="20" fillId="0" borderId="0" xfId="1" applyFont="1" applyAlignment="1">
      <alignment horizontal="center" vertical="center" wrapText="1"/>
    </xf>
    <xf numFmtId="0" fontId="21" fillId="0" borderId="0" xfId="1" applyFont="1" applyAlignment="1">
      <alignment horizontal="center" vertical="center"/>
    </xf>
    <xf numFmtId="0" fontId="20" fillId="0" borderId="0" xfId="1" applyFont="1" applyAlignment="1">
      <alignment horizontal="center" vertical="center"/>
    </xf>
    <xf numFmtId="0" fontId="9" fillId="0" borderId="10" xfId="1" applyFont="1" applyBorder="1" applyAlignment="1">
      <alignment horizontal="center" vertical="center" wrapText="1"/>
    </xf>
    <xf numFmtId="0" fontId="22" fillId="0" borderId="11" xfId="1" applyFont="1" applyBorder="1" applyAlignment="1">
      <alignment horizontal="center" vertical="center"/>
    </xf>
    <xf numFmtId="176" fontId="22" fillId="0" borderId="12" xfId="1" applyNumberFormat="1" applyFont="1" applyBorder="1" applyAlignment="1">
      <alignment horizontal="center" vertical="center"/>
    </xf>
    <xf numFmtId="0" fontId="22" fillId="0" borderId="12" xfId="1" applyFont="1" applyBorder="1" applyAlignment="1">
      <alignment horizontal="center" vertical="center"/>
    </xf>
    <xf numFmtId="0" fontId="23" fillId="0" borderId="12" xfId="1" applyFont="1" applyBorder="1" applyAlignment="1">
      <alignment horizontal="center" vertical="center"/>
    </xf>
    <xf numFmtId="176" fontId="23" fillId="0" borderId="12" xfId="1" applyNumberFormat="1" applyFont="1" applyBorder="1" applyAlignment="1">
      <alignment horizontal="center" vertical="center"/>
    </xf>
    <xf numFmtId="178" fontId="22" fillId="0" borderId="12" xfId="1" applyNumberFormat="1" applyFont="1" applyBorder="1" applyAlignment="1">
      <alignment horizontal="center" vertical="center"/>
    </xf>
    <xf numFmtId="10" fontId="22" fillId="0" borderId="12" xfId="2" applyNumberFormat="1" applyFont="1" applyBorder="1" applyAlignment="1">
      <alignment vertical="center"/>
    </xf>
    <xf numFmtId="178" fontId="22" fillId="0" borderId="12" xfId="2" applyNumberFormat="1" applyFont="1" applyBorder="1" applyAlignment="1">
      <alignment horizontal="center" vertical="center"/>
    </xf>
    <xf numFmtId="10" fontId="22" fillId="0" borderId="12" xfId="2" applyNumberFormat="1" applyFont="1" applyBorder="1" applyAlignment="1">
      <alignment horizontal="center" vertical="center"/>
    </xf>
    <xf numFmtId="0" fontId="24" fillId="0" borderId="11" xfId="3" applyFont="1" applyBorder="1" applyAlignment="1">
      <alignment horizontal="left" vertical="center" wrapText="1"/>
    </xf>
    <xf numFmtId="0" fontId="23" fillId="0" borderId="11" xfId="4" applyFont="1" applyBorder="1" applyAlignment="1">
      <alignment horizontal="center" vertical="center" wrapText="1"/>
    </xf>
    <xf numFmtId="0" fontId="23" fillId="0" borderId="13" xfId="1" applyFont="1" applyBorder="1" applyAlignment="1">
      <alignment horizontal="center" vertical="center"/>
    </xf>
    <xf numFmtId="0" fontId="21" fillId="0" borderId="0" xfId="1" applyFont="1" applyAlignment="1">
      <alignment horizontal="center" vertical="center" wrapText="1"/>
    </xf>
    <xf numFmtId="0" fontId="9" fillId="0" borderId="14" xfId="1" applyFont="1" applyBorder="1" applyAlignment="1">
      <alignment horizontal="center" vertical="center"/>
    </xf>
    <xf numFmtId="0" fontId="22" fillId="0" borderId="1" xfId="1" applyFont="1" applyBorder="1" applyAlignment="1">
      <alignment horizontal="center" vertical="center"/>
    </xf>
    <xf numFmtId="176" fontId="22" fillId="0" borderId="2" xfId="1" applyNumberFormat="1" applyFont="1" applyBorder="1" applyAlignment="1">
      <alignment horizontal="center" vertical="center"/>
    </xf>
    <xf numFmtId="0" fontId="23" fillId="0" borderId="2" xfId="1" applyFont="1" applyBorder="1" applyAlignment="1">
      <alignment horizontal="center" vertical="center"/>
    </xf>
    <xf numFmtId="176" fontId="23" fillId="0" borderId="2" xfId="1" applyNumberFormat="1" applyFont="1" applyBorder="1" applyAlignment="1">
      <alignment horizontal="center" vertical="center"/>
    </xf>
    <xf numFmtId="178" fontId="22" fillId="0" borderId="2" xfId="1" applyNumberFormat="1" applyFont="1" applyBorder="1" applyAlignment="1">
      <alignment horizontal="center" vertical="center"/>
    </xf>
    <xf numFmtId="10" fontId="22" fillId="0" borderId="2" xfId="2" applyNumberFormat="1" applyFont="1" applyBorder="1" applyAlignment="1">
      <alignment vertical="center"/>
    </xf>
    <xf numFmtId="178" fontId="22" fillId="0" borderId="2" xfId="2" applyNumberFormat="1" applyFont="1" applyBorder="1" applyAlignment="1">
      <alignment horizontal="center" vertical="center"/>
    </xf>
    <xf numFmtId="10" fontId="22" fillId="0" borderId="2" xfId="2" applyNumberFormat="1" applyFont="1" applyBorder="1" applyAlignment="1">
      <alignment horizontal="center" vertical="center"/>
    </xf>
    <xf numFmtId="0" fontId="23" fillId="0" borderId="1" xfId="3" applyFont="1" applyBorder="1" applyAlignment="1">
      <alignment horizontal="left" vertical="center" wrapText="1"/>
    </xf>
    <xf numFmtId="0" fontId="15" fillId="0" borderId="1" xfId="4" applyFont="1" applyBorder="1" applyAlignment="1">
      <alignment horizontal="center" vertical="center" wrapText="1"/>
    </xf>
    <xf numFmtId="0" fontId="23" fillId="0" borderId="1" xfId="4" applyFont="1" applyBorder="1" applyAlignment="1">
      <alignment horizontal="center" vertical="center" wrapText="1"/>
    </xf>
    <xf numFmtId="0" fontId="15" fillId="0" borderId="15" xfId="1" applyFont="1" applyBorder="1" applyAlignment="1">
      <alignment horizontal="center" vertical="center"/>
    </xf>
    <xf numFmtId="178" fontId="9" fillId="0" borderId="16" xfId="1" applyNumberFormat="1" applyFont="1" applyBorder="1" applyAlignment="1">
      <alignment horizontal="center" vertical="center"/>
    </xf>
    <xf numFmtId="0" fontId="24" fillId="0" borderId="1" xfId="3" applyFont="1" applyBorder="1" applyAlignment="1">
      <alignment horizontal="left" vertical="center" wrapText="1"/>
    </xf>
    <xf numFmtId="0" fontId="9" fillId="0" borderId="1" xfId="1" applyFont="1" applyBorder="1" applyAlignment="1">
      <alignment horizontal="center" vertical="center"/>
    </xf>
    <xf numFmtId="0" fontId="23" fillId="0" borderId="1" xfId="4" applyFont="1" applyBorder="1" applyAlignment="1">
      <alignment horizontal="center" vertical="center"/>
    </xf>
    <xf numFmtId="0" fontId="23" fillId="0" borderId="1" xfId="1" applyFont="1" applyBorder="1" applyAlignment="1">
      <alignment horizontal="center" vertical="center"/>
    </xf>
    <xf numFmtId="0" fontId="25" fillId="0" borderId="1" xfId="1" applyFont="1" applyBorder="1" applyAlignment="1">
      <alignment horizontal="center" vertical="center"/>
    </xf>
    <xf numFmtId="0" fontId="4" fillId="0" borderId="1" xfId="3" applyBorder="1" applyAlignment="1">
      <alignment horizontal="left" vertical="center" wrapText="1"/>
    </xf>
    <xf numFmtId="0" fontId="4" fillId="0" borderId="1" xfId="3" applyBorder="1" applyAlignment="1">
      <alignment horizontal="center" vertical="center"/>
    </xf>
    <xf numFmtId="0" fontId="9" fillId="0" borderId="16" xfId="1" applyFont="1" applyBorder="1" applyAlignment="1">
      <alignment horizontal="center" vertical="center"/>
    </xf>
    <xf numFmtId="176" fontId="22" fillId="0" borderId="1" xfId="1" applyNumberFormat="1" applyFont="1" applyBorder="1" applyAlignment="1">
      <alignment horizontal="center" vertical="center"/>
    </xf>
    <xf numFmtId="0" fontId="23" fillId="0" borderId="15" xfId="1" applyFont="1" applyBorder="1" applyAlignment="1">
      <alignment horizontal="center" vertical="center"/>
    </xf>
    <xf numFmtId="0" fontId="9" fillId="0" borderId="17" xfId="1" applyFont="1" applyBorder="1" applyAlignment="1">
      <alignment horizontal="center" vertical="center"/>
    </xf>
    <xf numFmtId="0" fontId="22" fillId="0" borderId="8" xfId="1" applyFont="1" applyBorder="1" applyAlignment="1">
      <alignment horizontal="center" vertical="center"/>
    </xf>
    <xf numFmtId="176" fontId="22" fillId="0" borderId="8" xfId="1" applyNumberFormat="1" applyFont="1" applyBorder="1" applyAlignment="1">
      <alignment horizontal="center" vertical="center"/>
    </xf>
    <xf numFmtId="0" fontId="23" fillId="0" borderId="8" xfId="1" applyFont="1" applyBorder="1" applyAlignment="1">
      <alignment horizontal="center" vertical="center"/>
    </xf>
    <xf numFmtId="176" fontId="23" fillId="0" borderId="8" xfId="1" applyNumberFormat="1" applyFont="1" applyBorder="1" applyAlignment="1">
      <alignment horizontal="center" vertical="center"/>
    </xf>
    <xf numFmtId="178" fontId="22" fillId="0" borderId="8" xfId="1" applyNumberFormat="1" applyFont="1" applyBorder="1" applyAlignment="1">
      <alignment horizontal="center" vertical="center"/>
    </xf>
    <xf numFmtId="10" fontId="22" fillId="0" borderId="8" xfId="2" applyNumberFormat="1" applyFont="1" applyBorder="1" applyAlignment="1">
      <alignment vertical="center"/>
    </xf>
    <xf numFmtId="178" fontId="22" fillId="0" borderId="8" xfId="2" applyNumberFormat="1" applyFont="1" applyBorder="1" applyAlignment="1">
      <alignment horizontal="center" vertical="center"/>
    </xf>
    <xf numFmtId="10" fontId="22" fillId="0" borderId="8" xfId="2" applyNumberFormat="1" applyFont="1" applyBorder="1" applyAlignment="1">
      <alignment horizontal="center" vertical="center"/>
    </xf>
    <xf numFmtId="0" fontId="24" fillId="0" borderId="8" xfId="3" applyFont="1" applyBorder="1" applyAlignment="1">
      <alignment horizontal="left" vertical="center" wrapText="1"/>
    </xf>
    <xf numFmtId="0" fontId="23" fillId="0" borderId="8" xfId="4" applyFont="1" applyBorder="1" applyAlignment="1">
      <alignment horizontal="center" vertical="center" wrapText="1"/>
    </xf>
    <xf numFmtId="0" fontId="23" fillId="0" borderId="18" xfId="1" applyFont="1" applyBorder="1" applyAlignment="1">
      <alignment horizontal="center" vertical="center"/>
    </xf>
    <xf numFmtId="0" fontId="9" fillId="0" borderId="16" xfId="1" applyFont="1" applyBorder="1" applyAlignment="1">
      <alignment horizontal="center" vertical="center" wrapText="1"/>
    </xf>
    <xf numFmtId="0" fontId="23" fillId="0" borderId="19" xfId="1" applyFont="1" applyBorder="1" applyAlignment="1">
      <alignment horizontal="center" vertical="center"/>
    </xf>
    <xf numFmtId="0" fontId="24" fillId="0" borderId="19" xfId="3" applyFont="1" applyBorder="1" applyAlignment="1">
      <alignment vertical="center" wrapText="1"/>
    </xf>
    <xf numFmtId="0" fontId="23" fillId="0" borderId="19" xfId="4" applyFont="1" applyBorder="1" applyAlignment="1">
      <alignment vertical="center" wrapText="1"/>
    </xf>
    <xf numFmtId="0" fontId="23" fillId="0" borderId="19" xfId="4" applyFont="1" applyBorder="1" applyAlignment="1">
      <alignment horizontal="center" vertical="center" wrapText="1"/>
    </xf>
    <xf numFmtId="0" fontId="23" fillId="0" borderId="20" xfId="1" applyFont="1" applyBorder="1" applyAlignment="1">
      <alignment horizontal="center" vertical="center"/>
    </xf>
    <xf numFmtId="177" fontId="23" fillId="0" borderId="1" xfId="1" applyNumberFormat="1" applyFont="1" applyBorder="1" applyAlignment="1">
      <alignment horizontal="center" vertical="center" wrapText="1"/>
    </xf>
    <xf numFmtId="177" fontId="23" fillId="0" borderId="1" xfId="1" applyNumberFormat="1" applyFont="1" applyBorder="1" applyAlignment="1">
      <alignment horizontal="left" vertical="center" wrapText="1"/>
    </xf>
    <xf numFmtId="0" fontId="23" fillId="0" borderId="1" xfId="4" applyFont="1" applyBorder="1" applyAlignment="1">
      <alignment vertical="center" wrapText="1"/>
    </xf>
    <xf numFmtId="0" fontId="3" fillId="0" borderId="1" xfId="3" applyFont="1" applyBorder="1" applyAlignment="1">
      <alignment horizontal="left" vertical="center" wrapText="1"/>
    </xf>
    <xf numFmtId="0" fontId="22" fillId="0" borderId="15" xfId="1" applyFont="1" applyBorder="1" applyAlignment="1">
      <alignment horizontal="center" vertical="center"/>
    </xf>
    <xf numFmtId="0" fontId="9" fillId="0" borderId="21" xfId="1" applyFont="1" applyBorder="1" applyAlignment="1">
      <alignment horizontal="center" vertical="center"/>
    </xf>
    <xf numFmtId="176" fontId="22" fillId="0" borderId="11" xfId="1" applyNumberFormat="1" applyFont="1" applyBorder="1" applyAlignment="1">
      <alignment horizontal="center" vertical="center"/>
    </xf>
    <xf numFmtId="176" fontId="23" fillId="0" borderId="11" xfId="1" applyNumberFormat="1" applyFont="1" applyBorder="1" applyAlignment="1">
      <alignment horizontal="center" vertical="center"/>
    </xf>
    <xf numFmtId="178" fontId="22" fillId="0" borderId="11" xfId="1" applyNumberFormat="1" applyFont="1" applyBorder="1" applyAlignment="1">
      <alignment horizontal="center" vertical="center"/>
    </xf>
    <xf numFmtId="10" fontId="22" fillId="0" borderId="11" xfId="2" applyNumberFormat="1" applyFont="1" applyBorder="1" applyAlignment="1">
      <alignment vertical="center"/>
    </xf>
    <xf numFmtId="178" fontId="22" fillId="0" borderId="11" xfId="2" applyNumberFormat="1" applyFont="1" applyBorder="1" applyAlignment="1">
      <alignment horizontal="center" vertical="center"/>
    </xf>
    <xf numFmtId="10" fontId="22" fillId="0" borderId="11" xfId="2" applyNumberFormat="1" applyFont="1" applyBorder="1" applyAlignment="1">
      <alignment horizontal="center" vertical="center"/>
    </xf>
    <xf numFmtId="0" fontId="24" fillId="0" borderId="12" xfId="3" applyFont="1" applyBorder="1" applyAlignment="1">
      <alignment vertical="center" wrapText="1"/>
    </xf>
    <xf numFmtId="0" fontId="22" fillId="0" borderId="12" xfId="4" applyFont="1" applyBorder="1" applyAlignment="1">
      <alignment horizontal="center" vertical="center" wrapText="1"/>
    </xf>
    <xf numFmtId="0" fontId="22" fillId="0" borderId="2" xfId="1" applyFont="1" applyBorder="1" applyAlignment="1">
      <alignment horizontal="center" vertical="center"/>
    </xf>
    <xf numFmtId="178" fontId="22" fillId="0" borderId="1" xfId="1" applyNumberFormat="1" applyFont="1" applyBorder="1" applyAlignment="1">
      <alignment horizontal="center" vertical="center"/>
    </xf>
    <xf numFmtId="10" fontId="22" fillId="0" borderId="1" xfId="2" applyNumberFormat="1" applyFont="1" applyBorder="1" applyAlignment="1">
      <alignment vertical="center"/>
    </xf>
    <xf numFmtId="178" fontId="22" fillId="0" borderId="1" xfId="2" applyNumberFormat="1" applyFont="1" applyBorder="1" applyAlignment="1">
      <alignment horizontal="center" vertical="center"/>
    </xf>
    <xf numFmtId="10" fontId="22" fillId="0" borderId="1" xfId="2" applyNumberFormat="1" applyFont="1" applyBorder="1" applyAlignment="1">
      <alignment horizontal="center" vertical="center"/>
    </xf>
    <xf numFmtId="0" fontId="24" fillId="0" borderId="2" xfId="3" applyFont="1" applyBorder="1" applyAlignment="1">
      <alignment vertical="center" wrapText="1"/>
    </xf>
    <xf numFmtId="0" fontId="22" fillId="0" borderId="2" xfId="4" applyFont="1" applyBorder="1" applyAlignment="1">
      <alignment horizontal="center" vertical="center" wrapText="1"/>
    </xf>
    <xf numFmtId="0" fontId="22" fillId="0" borderId="22" xfId="1" applyFont="1" applyBorder="1" applyAlignment="1">
      <alignment horizontal="center" vertical="center"/>
    </xf>
    <xf numFmtId="176" fontId="23" fillId="0" borderId="1" xfId="1" applyNumberFormat="1" applyFont="1" applyBorder="1" applyAlignment="1">
      <alignment horizontal="center" vertical="center"/>
    </xf>
    <xf numFmtId="0" fontId="23" fillId="0" borderId="9" xfId="1" applyFont="1" applyBorder="1" applyAlignment="1">
      <alignment horizontal="center" vertical="center"/>
    </xf>
    <xf numFmtId="178" fontId="23" fillId="0" borderId="1" xfId="2" applyNumberFormat="1" applyFont="1" applyBorder="1" applyAlignment="1">
      <alignment horizontal="center" vertical="center"/>
    </xf>
    <xf numFmtId="0" fontId="24" fillId="0" borderId="2" xfId="3" applyFont="1" applyBorder="1" applyAlignment="1">
      <alignment horizontal="center" vertical="center" wrapText="1"/>
    </xf>
    <xf numFmtId="10" fontId="23" fillId="0" borderId="2" xfId="2" applyNumberFormat="1" applyFont="1" applyBorder="1" applyAlignment="1">
      <alignment horizontal="center" vertical="center"/>
    </xf>
    <xf numFmtId="178" fontId="23" fillId="0" borderId="2" xfId="2" applyNumberFormat="1" applyFont="1" applyBorder="1" applyAlignment="1">
      <alignment horizontal="center" vertical="center"/>
    </xf>
    <xf numFmtId="0" fontId="22" fillId="0" borderId="2" xfId="4" applyFont="1" applyBorder="1" applyAlignment="1">
      <alignment horizontal="left" vertical="center" wrapText="1"/>
    </xf>
    <xf numFmtId="178" fontId="23" fillId="0" borderId="8" xfId="1" applyNumberFormat="1" applyFont="1" applyBorder="1" applyAlignment="1">
      <alignment horizontal="center" vertical="center"/>
    </xf>
    <xf numFmtId="10" fontId="23" fillId="0" borderId="8" xfId="2" applyNumberFormat="1" applyFont="1" applyBorder="1" applyAlignment="1">
      <alignment horizontal="center" vertical="center"/>
    </xf>
    <xf numFmtId="178" fontId="23" fillId="0" borderId="8" xfId="2" applyNumberFormat="1" applyFont="1" applyBorder="1" applyAlignment="1">
      <alignment horizontal="center" vertical="center"/>
    </xf>
    <xf numFmtId="0" fontId="24" fillId="0" borderId="8" xfId="3" applyFont="1" applyBorder="1" applyAlignment="1">
      <alignment vertical="center" wrapText="1"/>
    </xf>
    <xf numFmtId="0" fontId="23" fillId="0" borderId="8" xfId="4" applyFont="1" applyBorder="1" applyAlignment="1">
      <alignment horizontal="left" vertical="center" wrapText="1"/>
    </xf>
    <xf numFmtId="0" fontId="9" fillId="0" borderId="0" xfId="1" applyFont="1" applyAlignment="1">
      <alignment horizontal="left" vertical="center"/>
    </xf>
    <xf numFmtId="0" fontId="27" fillId="0" borderId="0" xfId="1" applyFont="1" applyAlignment="1">
      <alignment horizontal="center" vertical="center"/>
    </xf>
    <xf numFmtId="176" fontId="27" fillId="0" borderId="0" xfId="1" applyNumberFormat="1" applyFont="1" applyAlignment="1">
      <alignment horizontal="center" vertical="center"/>
    </xf>
    <xf numFmtId="0" fontId="27" fillId="0" borderId="0" xfId="1" applyFont="1" applyAlignment="1">
      <alignment horizontal="left" vertical="center"/>
    </xf>
    <xf numFmtId="177" fontId="27" fillId="0" borderId="0" xfId="1" applyNumberFormat="1" applyFont="1" applyAlignment="1">
      <alignment horizontal="center" vertical="center"/>
    </xf>
    <xf numFmtId="0" fontId="27" fillId="0" borderId="0" xfId="1" applyFont="1" applyAlignment="1">
      <alignment horizontal="center" vertical="center" wrapText="1"/>
    </xf>
    <xf numFmtId="0" fontId="28" fillId="0" borderId="0" xfId="1" applyFont="1" applyAlignment="1">
      <alignment horizontal="center" vertical="center"/>
    </xf>
    <xf numFmtId="176" fontId="28" fillId="0" borderId="0" xfId="1" applyNumberFormat="1" applyFont="1" applyAlignment="1">
      <alignment horizontal="center" vertical="center"/>
    </xf>
    <xf numFmtId="176" fontId="9" fillId="0" borderId="0" xfId="1" applyNumberFormat="1" applyFont="1" applyAlignment="1">
      <alignment horizontal="center" vertical="center"/>
    </xf>
    <xf numFmtId="177" fontId="9" fillId="0" borderId="0" xfId="1" applyNumberFormat="1" applyFont="1" applyAlignment="1">
      <alignment horizontal="center" vertical="center"/>
    </xf>
    <xf numFmtId="177" fontId="28" fillId="0" borderId="0" xfId="1" applyNumberFormat="1" applyFont="1" applyAlignment="1">
      <alignment horizontal="center" vertical="center"/>
    </xf>
    <xf numFmtId="0" fontId="28" fillId="0" borderId="0" xfId="1" applyFont="1" applyAlignment="1">
      <alignment horizontal="left" vertical="center"/>
    </xf>
    <xf numFmtId="0" fontId="32" fillId="0" borderId="0" xfId="1" applyFont="1" applyAlignment="1">
      <alignment horizontal="left" vertical="center"/>
    </xf>
    <xf numFmtId="0" fontId="32" fillId="0" borderId="0" xfId="1" applyFont="1" applyAlignment="1">
      <alignment horizontal="center" vertical="center"/>
    </xf>
    <xf numFmtId="0" fontId="33" fillId="0" borderId="0" xfId="1" applyFont="1" applyAlignment="1">
      <alignment horizontal="left" vertical="center"/>
    </xf>
    <xf numFmtId="176" fontId="37" fillId="0" borderId="11" xfId="1" applyNumberFormat="1" applyFont="1" applyBorder="1" applyAlignment="1">
      <alignment horizontal="center" vertical="center" wrapText="1"/>
    </xf>
    <xf numFmtId="176" fontId="37" fillId="0" borderId="2" xfId="1" applyNumberFormat="1" applyFont="1" applyBorder="1" applyAlignment="1">
      <alignment horizontal="center" vertical="center" wrapText="1"/>
    </xf>
    <xf numFmtId="0" fontId="36" fillId="0" borderId="2" xfId="1" applyFont="1" applyBorder="1" applyAlignment="1">
      <alignment horizontal="center" vertical="center"/>
    </xf>
    <xf numFmtId="0" fontId="36" fillId="0" borderId="2" xfId="1" applyFont="1" applyBorder="1" applyAlignment="1">
      <alignment horizontal="center" vertical="center" wrapText="1"/>
    </xf>
    <xf numFmtId="176" fontId="36" fillId="0" borderId="2" xfId="1" applyNumberFormat="1" applyFont="1" applyBorder="1" applyAlignment="1">
      <alignment horizontal="center" vertical="center" wrapText="1"/>
    </xf>
    <xf numFmtId="177" fontId="36" fillId="0" borderId="2" xfId="1" applyNumberFormat="1" applyFont="1" applyBorder="1" applyAlignment="1">
      <alignment horizontal="center" vertical="center" wrapText="1"/>
    </xf>
    <xf numFmtId="0" fontId="21" fillId="0" borderId="10" xfId="1" applyFont="1" applyBorder="1" applyAlignment="1">
      <alignment horizontal="center" vertical="center" wrapText="1"/>
    </xf>
    <xf numFmtId="0" fontId="38" fillId="0" borderId="11" xfId="1" applyFont="1" applyBorder="1" applyAlignment="1">
      <alignment horizontal="center" vertical="center"/>
    </xf>
    <xf numFmtId="176" fontId="21" fillId="0" borderId="12" xfId="1" applyNumberFormat="1" applyFont="1" applyBorder="1" applyAlignment="1">
      <alignment horizontal="center" vertical="center"/>
    </xf>
    <xf numFmtId="0" fontId="38" fillId="6" borderId="11" xfId="1" applyFont="1" applyFill="1" applyBorder="1" applyAlignment="1">
      <alignment horizontal="center" vertical="center"/>
    </xf>
    <xf numFmtId="0" fontId="21" fillId="0" borderId="12" xfId="1" applyFont="1" applyBorder="1" applyAlignment="1">
      <alignment vertical="center"/>
    </xf>
    <xf numFmtId="176" fontId="9" fillId="0" borderId="11" xfId="1" applyNumberFormat="1" applyFont="1" applyBorder="1" applyAlignment="1">
      <alignment horizontal="center" vertical="center"/>
    </xf>
    <xf numFmtId="178" fontId="9" fillId="0" borderId="11" xfId="1" applyNumberFormat="1" applyFont="1" applyBorder="1" applyAlignment="1">
      <alignment horizontal="center" vertical="center"/>
    </xf>
    <xf numFmtId="10" fontId="39" fillId="0" borderId="11" xfId="2" applyNumberFormat="1" applyFont="1" applyBorder="1" applyAlignment="1">
      <alignment horizontal="center" vertical="center"/>
    </xf>
    <xf numFmtId="178" fontId="39" fillId="0" borderId="11" xfId="2" applyNumberFormat="1" applyFont="1" applyBorder="1" applyAlignment="1">
      <alignment horizontal="center" vertical="center"/>
    </xf>
    <xf numFmtId="177" fontId="40" fillId="0" borderId="12" xfId="1" applyNumberFormat="1" applyFont="1" applyBorder="1" applyAlignment="1">
      <alignment vertical="center"/>
    </xf>
    <xf numFmtId="0" fontId="21" fillId="0" borderId="12" xfId="4" applyFont="1" applyBorder="1" applyAlignment="1">
      <alignment vertical="center" wrapText="1"/>
    </xf>
    <xf numFmtId="0" fontId="4" fillId="0" borderId="13" xfId="1" applyBorder="1" applyAlignment="1">
      <alignment vertical="center"/>
    </xf>
    <xf numFmtId="0" fontId="21" fillId="0" borderId="14" xfId="1" applyFont="1" applyBorder="1" applyAlignment="1">
      <alignment horizontal="center" vertical="center"/>
    </xf>
    <xf numFmtId="0" fontId="38" fillId="0" borderId="1" xfId="1" applyFont="1" applyBorder="1" applyAlignment="1">
      <alignment horizontal="center" vertical="center"/>
    </xf>
    <xf numFmtId="176" fontId="21" fillId="0" borderId="1" xfId="1" applyNumberFormat="1" applyFont="1" applyBorder="1" applyAlignment="1">
      <alignment horizontal="center" vertical="center"/>
    </xf>
    <xf numFmtId="0" fontId="21" fillId="0" borderId="2" xfId="1" applyFont="1" applyBorder="1" applyAlignment="1">
      <alignment vertical="center"/>
    </xf>
    <xf numFmtId="176" fontId="21" fillId="0" borderId="2" xfId="1" applyNumberFormat="1" applyFont="1" applyBorder="1" applyAlignment="1">
      <alignment vertical="center"/>
    </xf>
    <xf numFmtId="178" fontId="21" fillId="0" borderId="2" xfId="1" applyNumberFormat="1" applyFont="1" applyBorder="1" applyAlignment="1">
      <alignment vertical="center"/>
    </xf>
    <xf numFmtId="10" fontId="41" fillId="0" borderId="2" xfId="2" applyNumberFormat="1" applyFont="1" applyBorder="1" applyAlignment="1">
      <alignment vertical="center"/>
    </xf>
    <xf numFmtId="178" fontId="41" fillId="0" borderId="2" xfId="2" applyNumberFormat="1" applyFont="1" applyBorder="1" applyAlignment="1">
      <alignment vertical="center"/>
    </xf>
    <xf numFmtId="177" fontId="40" fillId="0" borderId="2" xfId="1" applyNumberFormat="1" applyFont="1" applyBorder="1" applyAlignment="1">
      <alignment vertical="center"/>
    </xf>
    <xf numFmtId="0" fontId="21" fillId="0" borderId="2" xfId="4" applyFont="1" applyBorder="1" applyAlignment="1">
      <alignment vertical="center" wrapText="1"/>
    </xf>
    <xf numFmtId="0" fontId="4" fillId="0" borderId="22" xfId="1" applyBorder="1" applyAlignment="1">
      <alignment vertical="center"/>
    </xf>
    <xf numFmtId="178" fontId="21" fillId="0" borderId="14" xfId="1" applyNumberFormat="1" applyFont="1" applyBorder="1" applyAlignment="1">
      <alignment horizontal="center" vertical="center"/>
    </xf>
    <xf numFmtId="0" fontId="21" fillId="0" borderId="9" xfId="1" applyFont="1" applyBorder="1" applyAlignment="1">
      <alignment vertical="center"/>
    </xf>
    <xf numFmtId="176" fontId="21" fillId="0" borderId="9" xfId="1" applyNumberFormat="1" applyFont="1" applyBorder="1" applyAlignment="1">
      <alignment vertical="center"/>
    </xf>
    <xf numFmtId="178" fontId="21" fillId="0" borderId="9" xfId="1" applyNumberFormat="1" applyFont="1" applyBorder="1" applyAlignment="1">
      <alignment vertical="center"/>
    </xf>
    <xf numFmtId="10" fontId="39" fillId="0" borderId="9" xfId="2" applyNumberFormat="1" applyFont="1" applyBorder="1" applyAlignment="1">
      <alignment horizontal="center" vertical="center"/>
    </xf>
    <xf numFmtId="178" fontId="41" fillId="0" borderId="9" xfId="2" applyNumberFormat="1" applyFont="1" applyBorder="1" applyAlignment="1">
      <alignment vertical="center"/>
    </xf>
    <xf numFmtId="177" fontId="40" fillId="0" borderId="9" xfId="1" applyNumberFormat="1" applyFont="1" applyBorder="1" applyAlignment="1">
      <alignment vertical="center"/>
    </xf>
    <xf numFmtId="0" fontId="21" fillId="0" borderId="9" xfId="4" applyFont="1" applyBorder="1" applyAlignment="1">
      <alignment vertical="center" wrapText="1"/>
    </xf>
    <xf numFmtId="0" fontId="0" fillId="0" borderId="27" xfId="1" applyFont="1" applyBorder="1" applyAlignment="1">
      <alignment vertical="center"/>
    </xf>
    <xf numFmtId="10" fontId="41" fillId="0" borderId="9" xfId="2" applyNumberFormat="1" applyFont="1" applyBorder="1" applyAlignment="1">
      <alignment vertical="center"/>
    </xf>
    <xf numFmtId="0" fontId="4" fillId="0" borderId="27" xfId="1" applyBorder="1" applyAlignment="1">
      <alignment vertical="center"/>
    </xf>
    <xf numFmtId="0" fontId="21" fillId="0" borderId="28" xfId="1" applyFont="1" applyBorder="1" applyAlignment="1">
      <alignment horizontal="center" vertical="center"/>
    </xf>
    <xf numFmtId="0" fontId="38" fillId="0" borderId="2" xfId="1" applyFont="1" applyBorder="1" applyAlignment="1">
      <alignment horizontal="center" vertical="center"/>
    </xf>
    <xf numFmtId="176" fontId="21" fillId="0" borderId="26" xfId="1" applyNumberFormat="1" applyFont="1" applyBorder="1" applyAlignment="1">
      <alignment horizontal="center" vertical="center"/>
    </xf>
    <xf numFmtId="0" fontId="21" fillId="0" borderId="26" xfId="1" applyFont="1" applyBorder="1" applyAlignment="1">
      <alignment vertical="center"/>
    </xf>
    <xf numFmtId="176" fontId="21" fillId="0" borderId="26" xfId="1" applyNumberFormat="1" applyFont="1" applyBorder="1" applyAlignment="1">
      <alignment vertical="center"/>
    </xf>
    <xf numFmtId="178" fontId="21" fillId="0" borderId="26" xfId="1" applyNumberFormat="1" applyFont="1" applyBorder="1" applyAlignment="1">
      <alignment vertical="center"/>
    </xf>
    <xf numFmtId="10" fontId="41" fillId="0" borderId="26" xfId="2" applyNumberFormat="1" applyFont="1" applyBorder="1" applyAlignment="1">
      <alignment vertical="center"/>
    </xf>
    <xf numFmtId="178" fontId="41" fillId="0" borderId="26" xfId="2" applyNumberFormat="1" applyFont="1" applyBorder="1" applyAlignment="1">
      <alignment vertical="center"/>
    </xf>
    <xf numFmtId="177" fontId="40" fillId="0" borderId="26" xfId="1" applyNumberFormat="1" applyFont="1" applyBorder="1" applyAlignment="1">
      <alignment vertical="center"/>
    </xf>
    <xf numFmtId="0" fontId="21" fillId="0" borderId="26" xfId="4" applyFont="1" applyBorder="1" applyAlignment="1">
      <alignment vertical="center" wrapText="1"/>
    </xf>
    <xf numFmtId="0" fontId="4" fillId="0" borderId="29" xfId="1" applyBorder="1" applyAlignment="1">
      <alignment vertical="center"/>
    </xf>
    <xf numFmtId="176" fontId="21" fillId="0" borderId="11" xfId="1" applyNumberFormat="1" applyFont="1" applyBorder="1" applyAlignment="1">
      <alignment horizontal="center" vertical="center"/>
    </xf>
    <xf numFmtId="176" fontId="21" fillId="0" borderId="12" xfId="1" applyNumberFormat="1" applyFont="1" applyBorder="1" applyAlignment="1">
      <alignment vertical="center"/>
    </xf>
    <xf numFmtId="178" fontId="21" fillId="0" borderId="12" xfId="1" applyNumberFormat="1" applyFont="1" applyBorder="1" applyAlignment="1">
      <alignment vertical="center"/>
    </xf>
    <xf numFmtId="178" fontId="41" fillId="0" borderId="12" xfId="2" applyNumberFormat="1" applyFont="1" applyBorder="1" applyAlignment="1">
      <alignment vertical="center"/>
    </xf>
    <xf numFmtId="177" fontId="21" fillId="0" borderId="12" xfId="1" applyNumberFormat="1" applyFont="1" applyBorder="1" applyAlignment="1">
      <alignment vertical="center"/>
    </xf>
    <xf numFmtId="0" fontId="20" fillId="0" borderId="12" xfId="4" applyFont="1" applyBorder="1" applyAlignment="1">
      <alignment vertical="center" wrapText="1"/>
    </xf>
    <xf numFmtId="0" fontId="21" fillId="0" borderId="12" xfId="4" applyFont="1" applyBorder="1" applyAlignment="1">
      <alignment horizontal="center" vertical="center" wrapText="1"/>
    </xf>
    <xf numFmtId="0" fontId="0" fillId="0" borderId="13" xfId="1" applyFont="1" applyBorder="1" applyAlignment="1">
      <alignment horizontal="center" vertical="center"/>
    </xf>
    <xf numFmtId="177" fontId="21" fillId="0" borderId="9" xfId="1" applyNumberFormat="1" applyFont="1" applyBorder="1" applyAlignment="1">
      <alignment vertical="center"/>
    </xf>
    <xf numFmtId="0" fontId="20" fillId="0" borderId="9" xfId="4" applyFont="1" applyBorder="1" applyAlignment="1">
      <alignment vertical="center" wrapText="1"/>
    </xf>
    <xf numFmtId="0" fontId="21" fillId="0" borderId="9" xfId="4" applyFont="1" applyBorder="1" applyAlignment="1">
      <alignment horizontal="center" vertical="center" wrapText="1"/>
    </xf>
    <xf numFmtId="0" fontId="4" fillId="0" borderId="27" xfId="1" applyBorder="1" applyAlignment="1">
      <alignment horizontal="center" vertical="center"/>
    </xf>
    <xf numFmtId="177" fontId="21" fillId="0" borderId="2" xfId="1" applyNumberFormat="1" applyFont="1" applyBorder="1" applyAlignment="1">
      <alignment vertical="center"/>
    </xf>
    <xf numFmtId="0" fontId="20" fillId="0" borderId="2" xfId="4" applyFont="1" applyBorder="1" applyAlignment="1">
      <alignment vertical="center" wrapText="1"/>
    </xf>
    <xf numFmtId="0" fontId="21" fillId="0" borderId="2" xfId="4" applyFont="1" applyBorder="1" applyAlignment="1">
      <alignment horizontal="center" vertical="center" wrapText="1"/>
    </xf>
    <xf numFmtId="0" fontId="4" fillId="0" borderId="22" xfId="1" applyBorder="1" applyAlignment="1">
      <alignment horizontal="center" vertical="center"/>
    </xf>
    <xf numFmtId="0" fontId="0" fillId="0" borderId="27" xfId="1" applyFont="1" applyBorder="1" applyAlignment="1">
      <alignment horizontal="center" vertical="center"/>
    </xf>
    <xf numFmtId="0" fontId="38" fillId="0" borderId="8" xfId="1" applyFont="1" applyBorder="1" applyAlignment="1">
      <alignment horizontal="center" vertical="center"/>
    </xf>
    <xf numFmtId="176" fontId="21" fillId="0" borderId="8" xfId="1" applyNumberFormat="1" applyFont="1" applyBorder="1" applyAlignment="1">
      <alignment horizontal="center" vertical="center"/>
    </xf>
    <xf numFmtId="177" fontId="21" fillId="0" borderId="26" xfId="1" applyNumberFormat="1" applyFont="1" applyBorder="1" applyAlignment="1">
      <alignment vertical="center"/>
    </xf>
    <xf numFmtId="0" fontId="20" fillId="0" borderId="26" xfId="4" applyFont="1" applyBorder="1" applyAlignment="1">
      <alignment vertical="center" wrapText="1"/>
    </xf>
    <xf numFmtId="0" fontId="21" fillId="0" borderId="26" xfId="4" applyFont="1" applyBorder="1" applyAlignment="1">
      <alignment horizontal="center" vertical="center" wrapText="1"/>
    </xf>
    <xf numFmtId="0" fontId="4" fillId="0" borderId="29" xfId="1" applyBorder="1" applyAlignment="1">
      <alignment horizontal="center" vertical="center"/>
    </xf>
    <xf numFmtId="0" fontId="4" fillId="0" borderId="13" xfId="1" applyBorder="1" applyAlignment="1">
      <alignment horizontal="center" vertical="center"/>
    </xf>
    <xf numFmtId="0" fontId="21" fillId="0" borderId="2" xfId="1" applyFont="1" applyBorder="1" applyAlignment="1">
      <alignment horizontal="center" vertical="center" wrapText="1"/>
    </xf>
    <xf numFmtId="0" fontId="21" fillId="0" borderId="33" xfId="1" applyFont="1" applyBorder="1" applyAlignment="1">
      <alignment horizontal="center" vertical="center"/>
    </xf>
    <xf numFmtId="176" fontId="21" fillId="0" borderId="33" xfId="1" applyNumberFormat="1" applyFont="1" applyBorder="1" applyAlignment="1">
      <alignment horizontal="center" vertical="center"/>
    </xf>
    <xf numFmtId="0" fontId="21" fillId="0" borderId="33" xfId="1" applyFont="1" applyBorder="1" applyAlignment="1">
      <alignment horizontal="left" vertical="center"/>
    </xf>
    <xf numFmtId="177" fontId="21" fillId="0" borderId="33" xfId="1" applyNumberFormat="1" applyFont="1" applyBorder="1" applyAlignment="1">
      <alignment horizontal="center" vertical="center"/>
    </xf>
    <xf numFmtId="0" fontId="21" fillId="0" borderId="1" xfId="1" applyFont="1" applyBorder="1" applyAlignment="1">
      <alignment vertical="center" wrapText="1"/>
    </xf>
    <xf numFmtId="0" fontId="21" fillId="0" borderId="1" xfId="1" applyFont="1" applyBorder="1" applyAlignment="1">
      <alignment horizontal="center" vertical="center"/>
    </xf>
    <xf numFmtId="0" fontId="4" fillId="0" borderId="1" xfId="1" applyBorder="1" applyAlignment="1">
      <alignment horizontal="center" vertical="center"/>
    </xf>
    <xf numFmtId="0" fontId="21" fillId="0" borderId="9" xfId="1" applyFont="1" applyBorder="1" applyAlignment="1">
      <alignment horizontal="center" vertical="center"/>
    </xf>
    <xf numFmtId="0" fontId="43" fillId="0" borderId="1" xfId="4" applyFont="1" applyBorder="1" applyAlignment="1">
      <alignment horizontal="left" vertical="center" wrapText="1"/>
    </xf>
    <xf numFmtId="177" fontId="21" fillId="0" borderId="1" xfId="5" applyNumberFormat="1" applyFont="1" applyFill="1" applyBorder="1" applyAlignment="1">
      <alignment horizontal="center" vertical="center"/>
    </xf>
    <xf numFmtId="0" fontId="21" fillId="0" borderId="1" xfId="1" applyFont="1" applyBorder="1" applyAlignment="1">
      <alignment horizontal="left" vertical="center" wrapText="1"/>
    </xf>
    <xf numFmtId="178" fontId="21" fillId="0" borderId="9" xfId="1" applyNumberFormat="1" applyFont="1" applyBorder="1" applyAlignment="1">
      <alignment horizontal="center" vertical="center"/>
    </xf>
    <xf numFmtId="0" fontId="21" fillId="0" borderId="19" xfId="1" applyFont="1" applyBorder="1" applyAlignment="1">
      <alignment horizontal="center" vertical="center"/>
    </xf>
    <xf numFmtId="0" fontId="21" fillId="0" borderId="0" xfId="1" applyFont="1" applyAlignment="1">
      <alignment horizontal="left" vertical="center"/>
    </xf>
    <xf numFmtId="0" fontId="44" fillId="0" borderId="0" xfId="1" applyFont="1" applyAlignment="1">
      <alignment horizontal="center" vertical="center"/>
    </xf>
    <xf numFmtId="176" fontId="44" fillId="0" borderId="0" xfId="1" applyNumberFormat="1" applyFont="1" applyAlignment="1">
      <alignment horizontal="center" vertical="center"/>
    </xf>
    <xf numFmtId="0" fontId="44" fillId="0" borderId="0" xfId="1" applyFont="1" applyAlignment="1">
      <alignment horizontal="left" vertical="center"/>
    </xf>
    <xf numFmtId="177" fontId="44" fillId="0" borderId="0" xfId="1" applyNumberFormat="1" applyFont="1" applyAlignment="1">
      <alignment horizontal="center" vertical="center"/>
    </xf>
    <xf numFmtId="0" fontId="44" fillId="0" borderId="0" xfId="1" applyFont="1" applyAlignment="1">
      <alignment horizontal="center" vertical="center" wrapText="1"/>
    </xf>
    <xf numFmtId="176" fontId="21" fillId="0" borderId="0" xfId="1" applyNumberFormat="1" applyFont="1" applyAlignment="1">
      <alignment horizontal="center" vertical="center"/>
    </xf>
    <xf numFmtId="177" fontId="21" fillId="0" borderId="0" xfId="1" applyNumberFormat="1" applyFont="1" applyAlignment="1">
      <alignment horizontal="center" vertical="center"/>
    </xf>
    <xf numFmtId="0" fontId="4" fillId="0" borderId="0" xfId="3">
      <alignment vertical="center"/>
    </xf>
    <xf numFmtId="0" fontId="4" fillId="0" borderId="0" xfId="3" applyAlignment="1">
      <alignment horizontal="center" vertical="center"/>
    </xf>
    <xf numFmtId="179" fontId="4" fillId="0" borderId="0" xfId="3" applyNumberFormat="1" applyAlignment="1">
      <alignment horizontal="center" vertical="center"/>
    </xf>
    <xf numFmtId="0" fontId="45" fillId="5" borderId="3" xfId="3" applyFont="1" applyFill="1" applyBorder="1" applyAlignment="1">
      <alignment horizontal="center" vertical="center" wrapText="1"/>
    </xf>
    <xf numFmtId="179" fontId="4" fillId="0" borderId="1" xfId="3" applyNumberFormat="1" applyBorder="1" applyAlignment="1">
      <alignment horizontal="center" vertical="center"/>
    </xf>
    <xf numFmtId="0" fontId="4" fillId="0" borderId="31" xfId="3" applyBorder="1" applyAlignment="1">
      <alignment horizontal="center" vertical="center"/>
    </xf>
    <xf numFmtId="0" fontId="4" fillId="7" borderId="31" xfId="3" applyFill="1" applyBorder="1" applyAlignment="1">
      <alignment horizontal="center" vertical="center"/>
    </xf>
    <xf numFmtId="0" fontId="4" fillId="7" borderId="0" xfId="3" applyFill="1">
      <alignment vertical="center"/>
    </xf>
    <xf numFmtId="0" fontId="45" fillId="5" borderId="34" xfId="3" applyFont="1" applyFill="1" applyBorder="1" applyAlignment="1">
      <alignment horizontal="center" vertical="center" wrapText="1"/>
    </xf>
    <xf numFmtId="49" fontId="4" fillId="0" borderId="1" xfId="6" applyNumberFormat="1" applyBorder="1" applyAlignment="1">
      <alignment horizontal="center" vertical="center"/>
    </xf>
    <xf numFmtId="49" fontId="4" fillId="0" borderId="1" xfId="6" applyNumberFormat="1" applyBorder="1" applyAlignment="1">
      <alignment horizontal="center" vertical="center" wrapText="1"/>
    </xf>
    <xf numFmtId="49" fontId="4" fillId="0" borderId="1" xfId="3" applyNumberFormat="1" applyBorder="1" applyAlignment="1">
      <alignment horizontal="center" vertical="center"/>
    </xf>
    <xf numFmtId="178" fontId="4" fillId="0" borderId="0" xfId="3" applyNumberFormat="1" applyAlignment="1">
      <alignment horizontal="center" vertical="center"/>
    </xf>
    <xf numFmtId="179" fontId="46" fillId="0" borderId="0" xfId="3" applyNumberFormat="1" applyFont="1" applyAlignment="1">
      <alignment horizontal="center" vertical="center"/>
    </xf>
    <xf numFmtId="0" fontId="4" fillId="0" borderId="0" xfId="6"/>
    <xf numFmtId="0" fontId="47" fillId="0" borderId="35" xfId="6" applyFont="1" applyBorder="1" applyAlignment="1">
      <alignment horizontal="center"/>
    </xf>
    <xf numFmtId="0" fontId="47" fillId="0" borderId="35" xfId="6" applyFont="1" applyBorder="1" applyAlignment="1">
      <alignment horizontal="left"/>
    </xf>
    <xf numFmtId="0" fontId="4" fillId="0" borderId="0" xfId="6" applyAlignment="1">
      <alignment horizontal="center"/>
    </xf>
    <xf numFmtId="49" fontId="4" fillId="0" borderId="44" xfId="3" applyNumberFormat="1" applyBorder="1" applyAlignment="1">
      <alignment horizontal="left" vertical="center"/>
    </xf>
    <xf numFmtId="49" fontId="4" fillId="0" borderId="2" xfId="3" applyNumberFormat="1" applyBorder="1" applyAlignment="1">
      <alignment horizontal="center" vertical="center"/>
    </xf>
    <xf numFmtId="49" fontId="4" fillId="0" borderId="46" xfId="3" applyNumberFormat="1" applyBorder="1" applyAlignment="1">
      <alignment horizontal="center" vertical="center" wrapText="1"/>
    </xf>
    <xf numFmtId="0" fontId="2" fillId="0" borderId="0" xfId="0" applyFont="1" applyAlignment="1">
      <alignment horizontal="center" vertical="center"/>
    </xf>
    <xf numFmtId="21" fontId="4" fillId="0" borderId="0" xfId="3" applyNumberFormat="1">
      <alignment vertical="center"/>
    </xf>
    <xf numFmtId="49" fontId="33" fillId="0" borderId="0" xfId="3" applyNumberFormat="1" applyFont="1" applyAlignment="1">
      <alignment horizontal="left" vertical="center"/>
    </xf>
    <xf numFmtId="49" fontId="4" fillId="0" borderId="0" xfId="3" applyNumberFormat="1">
      <alignment vertical="center"/>
    </xf>
    <xf numFmtId="49" fontId="52" fillId="0" borderId="1" xfId="3" applyNumberFormat="1" applyFont="1" applyBorder="1">
      <alignment vertical="center"/>
    </xf>
    <xf numFmtId="49" fontId="54" fillId="0" borderId="55" xfId="3" applyNumberFormat="1" applyFont="1" applyBorder="1" applyAlignment="1">
      <alignment vertical="center" wrapText="1"/>
    </xf>
    <xf numFmtId="49" fontId="51" fillId="0" borderId="55" xfId="3" applyNumberFormat="1" applyFont="1" applyBorder="1" applyAlignment="1">
      <alignment vertical="center" wrapText="1"/>
    </xf>
    <xf numFmtId="0" fontId="27" fillId="2" borderId="1" xfId="0" applyFont="1" applyFill="1" applyBorder="1" applyAlignment="1">
      <alignment horizontal="center" vertical="center"/>
    </xf>
    <xf numFmtId="0" fontId="27" fillId="2" borderId="1" xfId="0" applyFont="1" applyFill="1" applyBorder="1" applyAlignment="1">
      <alignment vertical="center" wrapText="1"/>
    </xf>
    <xf numFmtId="0" fontId="2" fillId="0" borderId="1" xfId="0" applyFont="1" applyBorder="1" applyAlignment="1">
      <alignment horizontal="center" vertical="center"/>
    </xf>
    <xf numFmtId="0" fontId="27" fillId="2" borderId="1" xfId="0" applyFont="1" applyFill="1" applyBorder="1" applyAlignment="1">
      <alignment horizontal="center" vertical="center" wrapText="1"/>
    </xf>
    <xf numFmtId="20" fontId="2" fillId="0" borderId="0" xfId="0" applyNumberFormat="1" applyFont="1" applyAlignment="1">
      <alignment horizontal="center" vertical="center"/>
    </xf>
    <xf numFmtId="0" fontId="4" fillId="0" borderId="0" xfId="3" applyAlignment="1">
      <alignment horizontal="left" vertical="center"/>
    </xf>
    <xf numFmtId="14" fontId="0" fillId="0" borderId="0" xfId="0" applyNumberFormat="1">
      <alignment vertical="center"/>
    </xf>
    <xf numFmtId="0" fontId="61" fillId="5" borderId="3" xfId="0" applyFont="1" applyFill="1" applyBorder="1" applyAlignment="1">
      <alignment horizontal="center" vertical="center" wrapText="1"/>
    </xf>
    <xf numFmtId="0" fontId="62" fillId="0" borderId="1" xfId="3" applyFont="1" applyBorder="1" applyAlignment="1">
      <alignment horizontal="center" vertical="center"/>
    </xf>
    <xf numFmtId="0" fontId="63" fillId="0" borderId="33" xfId="3" applyFont="1" applyBorder="1" applyAlignment="1">
      <alignment horizontal="center" vertical="center"/>
    </xf>
    <xf numFmtId="0" fontId="0" fillId="4" borderId="1" xfId="0" applyFill="1" applyBorder="1">
      <alignment vertical="center"/>
    </xf>
    <xf numFmtId="0" fontId="41" fillId="0" borderId="0" xfId="7" applyAlignment="1">
      <alignment horizontal="center"/>
    </xf>
    <xf numFmtId="0" fontId="41" fillId="0" borderId="0" xfId="7"/>
    <xf numFmtId="182" fontId="41" fillId="0" borderId="0" xfId="7" applyNumberFormat="1" applyProtection="1">
      <protection locked="0"/>
    </xf>
    <xf numFmtId="0" fontId="41" fillId="0" borderId="0" xfId="7" applyProtection="1">
      <protection locked="0"/>
    </xf>
    <xf numFmtId="183" fontId="41" fillId="0" borderId="0" xfId="7" applyNumberFormat="1" applyProtection="1">
      <protection locked="0"/>
    </xf>
    <xf numFmtId="182" fontId="67" fillId="0" borderId="0" xfId="7" applyNumberFormat="1" applyFont="1" applyAlignment="1" applyProtection="1">
      <alignment vertical="center" wrapText="1"/>
      <protection locked="0"/>
    </xf>
    <xf numFmtId="0" fontId="68" fillId="0" borderId="0" xfId="7" applyFont="1" applyAlignment="1">
      <alignment horizontal="center"/>
    </xf>
    <xf numFmtId="0" fontId="69" fillId="0" borderId="59" xfId="7" applyFont="1" applyBorder="1" applyProtection="1">
      <protection locked="0"/>
    </xf>
    <xf numFmtId="0" fontId="69" fillId="6" borderId="59" xfId="7" applyFont="1" applyFill="1" applyBorder="1" applyProtection="1">
      <protection locked="0"/>
    </xf>
    <xf numFmtId="0" fontId="41" fillId="6" borderId="59" xfId="7" applyFill="1" applyBorder="1"/>
    <xf numFmtId="0" fontId="69" fillId="6" borderId="60" xfId="7" applyFont="1" applyFill="1" applyBorder="1" applyProtection="1">
      <protection locked="0"/>
    </xf>
    <xf numFmtId="0" fontId="69" fillId="6" borderId="61" xfId="7" applyFont="1" applyFill="1" applyBorder="1" applyProtection="1">
      <protection locked="0"/>
    </xf>
    <xf numFmtId="182" fontId="69" fillId="6" borderId="59" xfId="7" applyNumberFormat="1" applyFont="1" applyFill="1" applyBorder="1" applyProtection="1">
      <protection locked="0"/>
    </xf>
    <xf numFmtId="0" fontId="41" fillId="6" borderId="59" xfId="7" applyFill="1" applyBorder="1" applyAlignment="1">
      <alignment horizontal="center"/>
    </xf>
    <xf numFmtId="0" fontId="69" fillId="6" borderId="59" xfId="7" applyFont="1" applyFill="1" applyBorder="1" applyAlignment="1" applyProtection="1">
      <alignment horizontal="center"/>
      <protection locked="0"/>
    </xf>
    <xf numFmtId="0" fontId="41" fillId="0" borderId="62" xfId="7" applyBorder="1" applyAlignment="1">
      <alignment horizontal="center"/>
    </xf>
    <xf numFmtId="0" fontId="41" fillId="6" borderId="60" xfId="7" applyFill="1" applyBorder="1" applyAlignment="1">
      <alignment horizontal="center"/>
    </xf>
    <xf numFmtId="0" fontId="41" fillId="0" borderId="60" xfId="7" applyBorder="1" applyAlignment="1">
      <alignment horizontal="center"/>
    </xf>
    <xf numFmtId="0" fontId="41" fillId="0" borderId="59" xfId="7" applyBorder="1" applyAlignment="1">
      <alignment horizontal="center"/>
    </xf>
    <xf numFmtId="0" fontId="69" fillId="0" borderId="9" xfId="7" applyFont="1" applyBorder="1" applyProtection="1">
      <protection locked="0"/>
    </xf>
    <xf numFmtId="0" fontId="69" fillId="6" borderId="9" xfId="7" applyFont="1" applyFill="1" applyBorder="1" applyProtection="1">
      <protection locked="0"/>
    </xf>
    <xf numFmtId="0" fontId="69" fillId="6" borderId="9" xfId="7" applyFont="1" applyFill="1" applyBorder="1" applyAlignment="1">
      <alignment horizontal="center"/>
    </xf>
    <xf numFmtId="0" fontId="69" fillId="6" borderId="31" xfId="7" applyFont="1" applyFill="1" applyBorder="1" applyProtection="1">
      <protection locked="0"/>
    </xf>
    <xf numFmtId="0" fontId="69" fillId="6" borderId="64" xfId="7" applyFont="1" applyFill="1" applyBorder="1" applyProtection="1">
      <protection locked="0"/>
    </xf>
    <xf numFmtId="0" fontId="69" fillId="6" borderId="9" xfId="7" applyFont="1" applyFill="1" applyBorder="1" applyAlignment="1" applyProtection="1">
      <alignment horizontal="center"/>
      <protection locked="0"/>
    </xf>
    <xf numFmtId="182" fontId="69" fillId="6" borderId="9" xfId="7" applyNumberFormat="1" applyFont="1" applyFill="1" applyBorder="1" applyProtection="1">
      <protection locked="0"/>
    </xf>
    <xf numFmtId="0" fontId="69" fillId="0" borderId="44" xfId="7" applyFont="1" applyBorder="1" applyAlignment="1">
      <alignment horizontal="center"/>
    </xf>
    <xf numFmtId="0" fontId="69" fillId="6" borderId="31" xfId="7" applyFont="1" applyFill="1" applyBorder="1" applyAlignment="1">
      <alignment horizontal="center"/>
    </xf>
    <xf numFmtId="0" fontId="69" fillId="0" borderId="31" xfId="7" applyFont="1" applyBorder="1" applyAlignment="1">
      <alignment horizontal="center"/>
    </xf>
    <xf numFmtId="0" fontId="69" fillId="0" borderId="9" xfId="7" applyFont="1" applyBorder="1" applyAlignment="1">
      <alignment horizontal="center"/>
    </xf>
    <xf numFmtId="0" fontId="69" fillId="6" borderId="9" xfId="7" applyFont="1" applyFill="1" applyBorder="1" applyAlignment="1" applyProtection="1">
      <alignment horizontal="left"/>
      <protection locked="0"/>
    </xf>
    <xf numFmtId="0" fontId="69" fillId="0" borderId="19" xfId="7" applyFont="1" applyBorder="1" applyAlignment="1">
      <alignment horizontal="center"/>
    </xf>
    <xf numFmtId="0" fontId="69" fillId="0" borderId="65" xfId="7" applyFont="1" applyBorder="1" applyProtection="1">
      <protection locked="0"/>
    </xf>
    <xf numFmtId="0" fontId="69" fillId="0" borderId="2" xfId="7" applyFont="1" applyBorder="1" applyAlignment="1" applyProtection="1">
      <alignment horizontal="left"/>
      <protection locked="0"/>
    </xf>
    <xf numFmtId="0" fontId="41" fillId="0" borderId="2" xfId="7" applyBorder="1" applyProtection="1">
      <protection locked="0"/>
    </xf>
    <xf numFmtId="0" fontId="69" fillId="0" borderId="2" xfId="7" applyFont="1" applyBorder="1" applyAlignment="1">
      <alignment horizontal="center"/>
    </xf>
    <xf numFmtId="0" fontId="41" fillId="0" borderId="2" xfId="7" applyBorder="1" applyAlignment="1" applyProtection="1">
      <alignment horizontal="left"/>
      <protection locked="0"/>
    </xf>
    <xf numFmtId="0" fontId="41" fillId="0" borderId="2" xfId="7" applyBorder="1" applyAlignment="1" applyProtection="1">
      <alignment horizontal="center"/>
      <protection locked="0"/>
    </xf>
    <xf numFmtId="0" fontId="41" fillId="0" borderId="2" xfId="7" applyBorder="1" applyAlignment="1">
      <alignment horizontal="center"/>
    </xf>
    <xf numFmtId="0" fontId="41" fillId="0" borderId="66" xfId="7" applyBorder="1" applyAlignment="1">
      <alignment horizontal="center"/>
    </xf>
    <xf numFmtId="0" fontId="41" fillId="0" borderId="38" xfId="7" applyBorder="1" applyAlignment="1">
      <alignment horizontal="center"/>
    </xf>
    <xf numFmtId="0" fontId="41" fillId="0" borderId="39" xfId="7" applyBorder="1" applyAlignment="1">
      <alignment horizontal="center"/>
    </xf>
    <xf numFmtId="0" fontId="41" fillId="0" borderId="67" xfId="7" applyBorder="1" applyAlignment="1" applyProtection="1">
      <alignment horizontal="center"/>
      <protection locked="0"/>
    </xf>
    <xf numFmtId="0" fontId="41" fillId="0" borderId="19" xfId="7" applyBorder="1" applyAlignment="1" applyProtection="1">
      <alignment horizontal="center"/>
      <protection locked="0"/>
    </xf>
    <xf numFmtId="0" fontId="41" fillId="0" borderId="19" xfId="7" applyBorder="1" applyProtection="1">
      <protection locked="0"/>
    </xf>
    <xf numFmtId="0" fontId="41" fillId="0" borderId="19" xfId="7" applyBorder="1" applyAlignment="1">
      <alignment horizontal="center"/>
    </xf>
    <xf numFmtId="0" fontId="69" fillId="0" borderId="19" xfId="7" applyFont="1" applyBorder="1" applyAlignment="1" applyProtection="1">
      <alignment horizontal="left"/>
      <protection locked="0"/>
    </xf>
    <xf numFmtId="0" fontId="41" fillId="0" borderId="19" xfId="7" quotePrefix="1" applyBorder="1" applyAlignment="1" applyProtection="1">
      <alignment horizontal="left"/>
      <protection locked="0"/>
    </xf>
    <xf numFmtId="0" fontId="69" fillId="0" borderId="19" xfId="7" applyFont="1" applyBorder="1" applyProtection="1">
      <protection locked="0"/>
    </xf>
    <xf numFmtId="0" fontId="72" fillId="0" borderId="19" xfId="7" applyFont="1" applyBorder="1" applyAlignment="1">
      <alignment horizontal="center"/>
    </xf>
    <xf numFmtId="0" fontId="73" fillId="0" borderId="68" xfId="7" applyFont="1" applyBorder="1" applyAlignment="1">
      <alignment horizontal="center"/>
    </xf>
    <xf numFmtId="0" fontId="73" fillId="0" borderId="46" xfId="7" applyFont="1" applyBorder="1" applyAlignment="1">
      <alignment horizontal="center"/>
    </xf>
    <xf numFmtId="0" fontId="73" fillId="0" borderId="19" xfId="7" applyFont="1" applyBorder="1" applyAlignment="1">
      <alignment horizontal="center"/>
    </xf>
    <xf numFmtId="0" fontId="73" fillId="0" borderId="45" xfId="7" applyFont="1" applyBorder="1" applyAlignment="1">
      <alignment horizontal="center"/>
    </xf>
    <xf numFmtId="0" fontId="41" fillId="0" borderId="64" xfId="7" applyBorder="1" applyAlignment="1" applyProtection="1">
      <alignment horizontal="left"/>
      <protection locked="0"/>
    </xf>
    <xf numFmtId="0" fontId="41" fillId="0" borderId="9" xfId="7" applyBorder="1" applyAlignment="1" applyProtection="1">
      <alignment horizontal="left"/>
      <protection locked="0"/>
    </xf>
    <xf numFmtId="0" fontId="41" fillId="8" borderId="9" xfId="7" applyFill="1" applyBorder="1" applyAlignment="1">
      <alignment horizontal="center"/>
    </xf>
    <xf numFmtId="0" fontId="41" fillId="0" borderId="9" xfId="7" applyBorder="1" applyProtection="1">
      <protection locked="0"/>
    </xf>
    <xf numFmtId="0" fontId="41" fillId="0" borderId="9" xfId="7" applyBorder="1" applyAlignment="1" applyProtection="1">
      <alignment horizontal="center"/>
      <protection locked="0"/>
    </xf>
    <xf numFmtId="0" fontId="41" fillId="8" borderId="31" xfId="7" applyFill="1" applyBorder="1" applyAlignment="1" applyProtection="1">
      <alignment horizontal="left"/>
      <protection locked="0"/>
    </xf>
    <xf numFmtId="0" fontId="41" fillId="0" borderId="9" xfId="7" quotePrefix="1" applyBorder="1" applyAlignment="1" applyProtection="1">
      <alignment horizontal="left"/>
      <protection locked="0"/>
    </xf>
    <xf numFmtId="0" fontId="41" fillId="8" borderId="55" xfId="7" applyFill="1" applyBorder="1" applyAlignment="1" applyProtection="1">
      <alignment horizontal="left"/>
      <protection locked="0"/>
    </xf>
    <xf numFmtId="182" fontId="41" fillId="0" borderId="9" xfId="7" applyNumberFormat="1" applyBorder="1" applyAlignment="1" applyProtection="1">
      <alignment horizontal="center"/>
      <protection locked="0"/>
    </xf>
    <xf numFmtId="0" fontId="41" fillId="0" borderId="31" xfId="7" applyBorder="1" applyAlignment="1" applyProtection="1">
      <alignment horizontal="left"/>
      <protection locked="0"/>
    </xf>
    <xf numFmtId="0" fontId="41" fillId="6" borderId="64" xfId="7" applyFill="1" applyBorder="1" applyAlignment="1" applyProtection="1">
      <alignment horizontal="left"/>
      <protection locked="0"/>
    </xf>
    <xf numFmtId="0" fontId="41" fillId="8" borderId="9" xfId="7" applyFill="1" applyBorder="1" applyAlignment="1" applyProtection="1">
      <alignment horizontal="center"/>
      <protection locked="0"/>
    </xf>
    <xf numFmtId="182" fontId="41" fillId="0" borderId="9" xfId="7" applyNumberFormat="1" applyBorder="1" applyProtection="1">
      <protection locked="0"/>
    </xf>
    <xf numFmtId="182" fontId="41" fillId="8" borderId="9" xfId="7" applyNumberFormat="1" applyFill="1" applyBorder="1" applyProtection="1">
      <protection locked="0"/>
    </xf>
    <xf numFmtId="182" fontId="41" fillId="8" borderId="9" xfId="7" applyNumberFormat="1" applyFill="1" applyBorder="1" applyAlignment="1" applyProtection="1">
      <alignment horizontal="center"/>
      <protection locked="0"/>
    </xf>
    <xf numFmtId="0" fontId="39" fillId="8" borderId="9" xfId="7" applyFont="1" applyFill="1" applyBorder="1" applyAlignment="1" applyProtection="1">
      <alignment horizontal="center"/>
      <protection locked="0"/>
    </xf>
    <xf numFmtId="0" fontId="39" fillId="3" borderId="9" xfId="7" applyFont="1" applyFill="1" applyBorder="1" applyAlignment="1" applyProtection="1">
      <alignment horizontal="center"/>
      <protection locked="0"/>
    </xf>
    <xf numFmtId="0" fontId="41" fillId="9" borderId="9" xfId="7" applyFill="1" applyBorder="1" applyAlignment="1">
      <alignment horizontal="center"/>
    </xf>
    <xf numFmtId="0" fontId="41" fillId="0" borderId="9" xfId="7" applyBorder="1" applyAlignment="1">
      <alignment horizontal="center"/>
    </xf>
    <xf numFmtId="0" fontId="41" fillId="8" borderId="44" xfId="7" applyFill="1" applyBorder="1" applyAlignment="1">
      <alignment horizontal="center"/>
    </xf>
    <xf numFmtId="0" fontId="41" fillId="3" borderId="55" xfId="7" applyFill="1" applyBorder="1" applyAlignment="1">
      <alignment horizontal="center"/>
    </xf>
    <xf numFmtId="0" fontId="41" fillId="8" borderId="55" xfId="7" applyFill="1" applyBorder="1" applyAlignment="1">
      <alignment horizontal="center"/>
    </xf>
    <xf numFmtId="0" fontId="41" fillId="0" borderId="55" xfId="7" applyBorder="1" applyAlignment="1" applyProtection="1">
      <alignment horizontal="left"/>
      <protection locked="0"/>
    </xf>
    <xf numFmtId="0" fontId="39" fillId="0" borderId="9" xfId="7" applyFont="1" applyBorder="1" applyAlignment="1" applyProtection="1">
      <alignment horizontal="center"/>
      <protection locked="0"/>
    </xf>
    <xf numFmtId="0" fontId="41" fillId="0" borderId="9" xfId="7" applyBorder="1" applyAlignment="1" applyProtection="1">
      <alignment horizontal="center" vertical="center"/>
      <protection locked="0"/>
    </xf>
    <xf numFmtId="0" fontId="39" fillId="9" borderId="44" xfId="7" applyFont="1" applyFill="1" applyBorder="1" applyAlignment="1">
      <alignment horizontal="center"/>
    </xf>
    <xf numFmtId="0" fontId="41" fillId="6" borderId="55" xfId="7" applyFill="1" applyBorder="1" applyAlignment="1">
      <alignment horizontal="center"/>
    </xf>
    <xf numFmtId="0" fontId="73" fillId="0" borderId="9" xfId="7" applyFont="1" applyBorder="1" applyAlignment="1">
      <alignment horizontal="center"/>
    </xf>
    <xf numFmtId="0" fontId="39" fillId="8" borderId="44" xfId="7" applyFont="1" applyFill="1" applyBorder="1" applyAlignment="1">
      <alignment horizontal="center"/>
    </xf>
    <xf numFmtId="0" fontId="41" fillId="9" borderId="55" xfId="7" applyFill="1" applyBorder="1" applyAlignment="1">
      <alignment horizontal="center"/>
    </xf>
    <xf numFmtId="0" fontId="41" fillId="0" borderId="55" xfId="7" applyBorder="1" applyAlignment="1">
      <alignment horizontal="center"/>
    </xf>
    <xf numFmtId="0" fontId="41" fillId="8" borderId="9" xfId="7" applyFill="1" applyBorder="1" applyAlignment="1" applyProtection="1">
      <alignment horizontal="left"/>
      <protection locked="0"/>
    </xf>
    <xf numFmtId="182" fontId="41" fillId="9" borderId="9" xfId="7" applyNumberFormat="1" applyFill="1" applyBorder="1" applyProtection="1">
      <protection locked="0"/>
    </xf>
    <xf numFmtId="0" fontId="69" fillId="0" borderId="9" xfId="7" applyFont="1" applyBorder="1" applyAlignment="1" applyProtection="1">
      <alignment horizontal="center" vertical="center"/>
      <protection locked="0"/>
    </xf>
    <xf numFmtId="0" fontId="41" fillId="8" borderId="64" xfId="7" applyFill="1" applyBorder="1" applyAlignment="1" applyProtection="1">
      <alignment horizontal="left"/>
      <protection locked="0"/>
    </xf>
    <xf numFmtId="0" fontId="73" fillId="0" borderId="44" xfId="7" applyFont="1" applyBorder="1" applyAlignment="1">
      <alignment horizontal="center"/>
    </xf>
    <xf numFmtId="0" fontId="73" fillId="0" borderId="55" xfId="7" applyFont="1" applyBorder="1" applyAlignment="1">
      <alignment horizontal="center"/>
    </xf>
    <xf numFmtId="0" fontId="69" fillId="0" borderId="9" xfId="7" applyFont="1" applyBorder="1" applyAlignment="1" applyProtection="1">
      <alignment horizontal="left"/>
      <protection locked="0"/>
    </xf>
    <xf numFmtId="0" fontId="41" fillId="0" borderId="9" xfId="7" applyBorder="1"/>
    <xf numFmtId="0" fontId="41" fillId="0" borderId="19" xfId="7" applyBorder="1"/>
    <xf numFmtId="0" fontId="39" fillId="0" borderId="9" xfId="7" applyFont="1" applyBorder="1" applyAlignment="1" applyProtection="1">
      <alignment horizontal="center" vertical="center"/>
      <protection locked="0"/>
    </xf>
    <xf numFmtId="0" fontId="41" fillId="9" borderId="44" xfId="7" applyFill="1" applyBorder="1" applyAlignment="1">
      <alignment horizontal="center"/>
    </xf>
    <xf numFmtId="0" fontId="41" fillId="0" borderId="64" xfId="7" quotePrefix="1" applyBorder="1" applyAlignment="1" applyProtection="1">
      <alignment horizontal="left"/>
      <protection locked="0"/>
    </xf>
    <xf numFmtId="0" fontId="41" fillId="0" borderId="67" xfId="7" quotePrefix="1" applyBorder="1" applyAlignment="1" applyProtection="1">
      <alignment horizontal="left"/>
      <protection locked="0"/>
    </xf>
    <xf numFmtId="0" fontId="41" fillId="0" borderId="46" xfId="7" applyBorder="1" applyAlignment="1" applyProtection="1">
      <alignment horizontal="left"/>
      <protection locked="0"/>
    </xf>
    <xf numFmtId="0" fontId="75" fillId="8" borderId="19" xfId="7" applyFont="1" applyFill="1" applyBorder="1" applyAlignment="1" applyProtection="1">
      <alignment horizontal="left" vertical="center"/>
      <protection locked="0"/>
    </xf>
    <xf numFmtId="0" fontId="41" fillId="0" borderId="19" xfId="7" applyBorder="1" applyAlignment="1" applyProtection="1">
      <alignment horizontal="center" vertical="center"/>
      <protection locked="0"/>
    </xf>
    <xf numFmtId="0" fontId="41" fillId="0" borderId="19" xfId="7" applyBorder="1" applyAlignment="1" applyProtection="1">
      <alignment horizontal="left"/>
      <protection locked="0"/>
    </xf>
    <xf numFmtId="0" fontId="69" fillId="0" borderId="64" xfId="7" applyFont="1" applyBorder="1" applyAlignment="1" applyProtection="1">
      <alignment horizontal="left"/>
      <protection locked="0"/>
    </xf>
    <xf numFmtId="0" fontId="69" fillId="0" borderId="2" xfId="7" applyFont="1" applyBorder="1" applyProtection="1">
      <protection locked="0"/>
    </xf>
    <xf numFmtId="0" fontId="41" fillId="0" borderId="2" xfId="7" quotePrefix="1" applyBorder="1" applyAlignment="1" applyProtection="1">
      <alignment horizontal="left"/>
      <protection locked="0"/>
    </xf>
    <xf numFmtId="0" fontId="41" fillId="0" borderId="38" xfId="7" quotePrefix="1" applyBorder="1" applyAlignment="1" applyProtection="1">
      <alignment horizontal="left"/>
      <protection locked="0"/>
    </xf>
    <xf numFmtId="0" fontId="41" fillId="0" borderId="39" xfId="7" quotePrefix="1" applyBorder="1" applyAlignment="1" applyProtection="1">
      <alignment horizontal="left"/>
      <protection locked="0"/>
    </xf>
    <xf numFmtId="0" fontId="41" fillId="0" borderId="31" xfId="7" applyBorder="1" applyProtection="1">
      <protection locked="0"/>
    </xf>
    <xf numFmtId="0" fontId="41" fillId="6" borderId="65" xfId="7" quotePrefix="1" applyFill="1" applyBorder="1" applyAlignment="1" applyProtection="1">
      <alignment horizontal="left"/>
      <protection locked="0"/>
    </xf>
    <xf numFmtId="0" fontId="69" fillId="0" borderId="55" xfId="7" applyFont="1" applyBorder="1" applyAlignment="1" applyProtection="1">
      <alignment horizontal="center" vertical="center"/>
      <protection locked="0"/>
    </xf>
    <xf numFmtId="0" fontId="69" fillId="0" borderId="55" xfId="7" applyFont="1" applyBorder="1" applyProtection="1">
      <protection locked="0"/>
    </xf>
    <xf numFmtId="0" fontId="41" fillId="0" borderId="64" xfId="7" applyBorder="1" applyAlignment="1" applyProtection="1">
      <alignment horizontal="center"/>
      <protection locked="0"/>
    </xf>
    <xf numFmtId="0" fontId="41" fillId="6" borderId="9" xfId="7" quotePrefix="1" applyFill="1" applyBorder="1" applyAlignment="1" applyProtection="1">
      <alignment horizontal="left"/>
      <protection locked="0"/>
    </xf>
    <xf numFmtId="0" fontId="41" fillId="0" borderId="31" xfId="7" quotePrefix="1" applyBorder="1" applyAlignment="1" applyProtection="1">
      <alignment horizontal="left"/>
      <protection locked="0"/>
    </xf>
    <xf numFmtId="0" fontId="41" fillId="0" borderId="55" xfId="7" quotePrefix="1" applyBorder="1" applyAlignment="1" applyProtection="1">
      <alignment horizontal="left"/>
      <protection locked="0"/>
    </xf>
    <xf numFmtId="0" fontId="41" fillId="6" borderId="64" xfId="7" quotePrefix="1" applyFill="1" applyBorder="1" applyAlignment="1" applyProtection="1">
      <alignment horizontal="left"/>
      <protection locked="0"/>
    </xf>
    <xf numFmtId="0" fontId="41" fillId="0" borderId="55" xfId="7" applyBorder="1" applyAlignment="1" applyProtection="1">
      <alignment horizontal="center" vertical="center"/>
      <protection locked="0"/>
    </xf>
    <xf numFmtId="0" fontId="41" fillId="9" borderId="9" xfId="7" applyFill="1" applyBorder="1" applyAlignment="1" applyProtection="1">
      <alignment horizontal="center"/>
      <protection locked="0"/>
    </xf>
    <xf numFmtId="0" fontId="69" fillId="0" borderId="0" xfId="7" applyFont="1" applyProtection="1">
      <protection locked="0"/>
    </xf>
    <xf numFmtId="0" fontId="69" fillId="0" borderId="31" xfId="7" applyFont="1" applyBorder="1" applyProtection="1">
      <protection locked="0"/>
    </xf>
    <xf numFmtId="0" fontId="41" fillId="0" borderId="55" xfId="7" applyBorder="1" applyProtection="1">
      <protection locked="0"/>
    </xf>
    <xf numFmtId="0" fontId="41" fillId="6" borderId="9" xfId="7" applyFill="1" applyBorder="1" applyAlignment="1" applyProtection="1">
      <alignment horizontal="left"/>
      <protection locked="0"/>
    </xf>
    <xf numFmtId="0" fontId="41" fillId="8" borderId="9" xfId="7" applyFill="1" applyBorder="1" applyAlignment="1" applyProtection="1">
      <alignment horizontal="center" vertical="center"/>
      <protection locked="0"/>
    </xf>
    <xf numFmtId="0" fontId="41" fillId="0" borderId="0" xfId="7" applyAlignment="1" applyProtection="1">
      <alignment horizontal="center"/>
      <protection locked="0"/>
    </xf>
    <xf numFmtId="0" fontId="41" fillId="0" borderId="55" xfId="7" applyBorder="1" applyAlignment="1" applyProtection="1">
      <alignment horizontal="center"/>
      <protection locked="0"/>
    </xf>
    <xf numFmtId="0" fontId="41" fillId="10" borderId="9" xfId="7" applyFill="1" applyBorder="1" applyAlignment="1" applyProtection="1">
      <alignment horizontal="center" vertical="center"/>
      <protection locked="0"/>
    </xf>
    <xf numFmtId="0" fontId="41" fillId="0" borderId="63" xfId="7" applyBorder="1"/>
    <xf numFmtId="0" fontId="41" fillId="0" borderId="64" xfId="7" applyBorder="1" applyProtection="1">
      <protection locked="0"/>
    </xf>
    <xf numFmtId="0" fontId="41" fillId="6" borderId="0" xfId="7" applyFill="1"/>
    <xf numFmtId="0" fontId="39" fillId="9" borderId="9" xfId="7" applyFont="1" applyFill="1" applyBorder="1" applyAlignment="1" applyProtection="1">
      <alignment horizontal="center"/>
      <protection locked="0"/>
    </xf>
    <xf numFmtId="0" fontId="41" fillId="9" borderId="19" xfId="7" applyFill="1" applyBorder="1" applyAlignment="1">
      <alignment horizontal="center"/>
    </xf>
    <xf numFmtId="0" fontId="41" fillId="0" borderId="45" xfId="7" applyBorder="1" applyAlignment="1" applyProtection="1">
      <alignment horizontal="left"/>
      <protection locked="0"/>
    </xf>
    <xf numFmtId="0" fontId="41" fillId="6" borderId="67" xfId="7" applyFill="1" applyBorder="1" applyAlignment="1" applyProtection="1">
      <alignment horizontal="left"/>
      <protection locked="0"/>
    </xf>
    <xf numFmtId="0" fontId="41" fillId="8" borderId="19" xfId="7" applyFill="1" applyBorder="1" applyAlignment="1" applyProtection="1">
      <alignment horizontal="left"/>
      <protection locked="0"/>
    </xf>
    <xf numFmtId="182" fontId="41" fillId="0" borderId="19" xfId="7" applyNumberFormat="1" applyBorder="1" applyProtection="1">
      <protection locked="0"/>
    </xf>
    <xf numFmtId="0" fontId="41" fillId="0" borderId="45" xfId="7" applyBorder="1" applyAlignment="1" applyProtection="1">
      <alignment horizontal="center" vertical="center"/>
      <protection locked="0"/>
    </xf>
    <xf numFmtId="0" fontId="41" fillId="0" borderId="45" xfId="7" applyBorder="1" applyProtection="1">
      <protection locked="0"/>
    </xf>
    <xf numFmtId="0" fontId="41" fillId="0" borderId="68" xfId="7" applyBorder="1" applyAlignment="1">
      <alignment horizontal="center"/>
    </xf>
    <xf numFmtId="0" fontId="41" fillId="0" borderId="45" xfId="7" applyBorder="1" applyAlignment="1">
      <alignment horizontal="center"/>
    </xf>
    <xf numFmtId="0" fontId="69" fillId="0" borderId="64" xfId="7" applyFont="1" applyBorder="1" applyProtection="1">
      <protection locked="0"/>
    </xf>
    <xf numFmtId="0" fontId="41" fillId="0" borderId="2" xfId="7" applyBorder="1"/>
    <xf numFmtId="0" fontId="41" fillId="0" borderId="38" xfId="7" applyBorder="1" applyProtection="1">
      <protection locked="0"/>
    </xf>
    <xf numFmtId="0" fontId="41" fillId="0" borderId="66" xfId="7" applyBorder="1"/>
    <xf numFmtId="0" fontId="41" fillId="0" borderId="39" xfId="7" applyBorder="1"/>
    <xf numFmtId="0" fontId="70" fillId="0" borderId="9" xfId="7" applyFont="1" applyBorder="1" applyAlignment="1" applyProtection="1">
      <alignment horizontal="left"/>
      <protection locked="0"/>
    </xf>
    <xf numFmtId="182" fontId="41" fillId="0" borderId="9" xfId="7" applyNumberFormat="1" applyBorder="1" applyAlignment="1" applyProtection="1">
      <alignment horizontal="left"/>
      <protection locked="0"/>
    </xf>
    <xf numFmtId="0" fontId="41" fillId="0" borderId="55" xfId="7" applyBorder="1"/>
    <xf numFmtId="0" fontId="41" fillId="0" borderId="44" xfId="7" applyBorder="1"/>
    <xf numFmtId="182" fontId="41" fillId="0" borderId="55" xfId="7" applyNumberFormat="1" applyBorder="1" applyAlignment="1" applyProtection="1">
      <alignment horizontal="center"/>
      <protection locked="0"/>
    </xf>
    <xf numFmtId="182" fontId="41" fillId="0" borderId="9" xfId="7" quotePrefix="1" applyNumberFormat="1" applyBorder="1" applyAlignment="1" applyProtection="1">
      <alignment horizontal="left"/>
      <protection locked="0"/>
    </xf>
    <xf numFmtId="0" fontId="39" fillId="9" borderId="9" xfId="7" applyFont="1" applyFill="1" applyBorder="1" applyAlignment="1" applyProtection="1">
      <alignment horizontal="center" vertical="center"/>
      <protection locked="0"/>
    </xf>
    <xf numFmtId="0" fontId="41" fillId="0" borderId="31" xfId="7" applyBorder="1"/>
    <xf numFmtId="0" fontId="41" fillId="0" borderId="69" xfId="7" applyBorder="1"/>
    <xf numFmtId="0" fontId="41" fillId="0" borderId="0" xfId="7" applyAlignment="1">
      <alignment horizontal="left"/>
    </xf>
    <xf numFmtId="0" fontId="39" fillId="8" borderId="9" xfId="7" applyFont="1" applyFill="1" applyBorder="1" applyAlignment="1" applyProtection="1">
      <alignment horizontal="center" vertical="center"/>
      <protection locked="0"/>
    </xf>
    <xf numFmtId="0" fontId="41" fillId="0" borderId="69" xfId="7" applyBorder="1" applyAlignment="1">
      <alignment horizontal="center"/>
    </xf>
    <xf numFmtId="0" fontId="39" fillId="3" borderId="9" xfId="7" applyFont="1" applyFill="1" applyBorder="1" applyAlignment="1" applyProtection="1">
      <alignment horizontal="center" vertical="center"/>
      <protection locked="0"/>
    </xf>
    <xf numFmtId="0" fontId="4" fillId="0" borderId="0" xfId="6" applyAlignment="1">
      <alignment vertical="center"/>
    </xf>
    <xf numFmtId="0" fontId="41" fillId="0" borderId="9" xfId="7" applyBorder="1" applyAlignment="1">
      <alignment horizontal="right"/>
    </xf>
    <xf numFmtId="0" fontId="76" fillId="0" borderId="9" xfId="6" applyFont="1" applyBorder="1" applyAlignment="1">
      <alignment horizontal="center" vertical="center"/>
    </xf>
    <xf numFmtId="0" fontId="41" fillId="0" borderId="64" xfId="7" applyBorder="1"/>
    <xf numFmtId="0" fontId="78" fillId="0" borderId="9" xfId="7" applyFont="1" applyBorder="1" applyAlignment="1" applyProtection="1">
      <alignment horizontal="left" vertical="top"/>
      <protection locked="0"/>
    </xf>
    <xf numFmtId="0" fontId="41" fillId="0" borderId="67" xfId="7" applyBorder="1" applyAlignment="1" applyProtection="1">
      <alignment horizontal="left"/>
      <protection locked="0"/>
    </xf>
    <xf numFmtId="0" fontId="41" fillId="0" borderId="35" xfId="7" applyBorder="1"/>
    <xf numFmtId="0" fontId="41" fillId="6" borderId="68" xfId="7" applyFill="1" applyBorder="1"/>
    <xf numFmtId="182" fontId="41" fillId="0" borderId="19" xfId="7" quotePrefix="1" applyNumberFormat="1" applyBorder="1" applyAlignment="1" applyProtection="1">
      <alignment horizontal="left"/>
      <protection locked="0"/>
    </xf>
    <xf numFmtId="0" fontId="41" fillId="0" borderId="68" xfId="7" applyBorder="1"/>
    <xf numFmtId="0" fontId="41" fillId="0" borderId="45" xfId="7" applyBorder="1"/>
    <xf numFmtId="182" fontId="69" fillId="0" borderId="63" xfId="7" applyNumberFormat="1" applyFont="1" applyBorder="1" applyProtection="1">
      <protection locked="0"/>
    </xf>
    <xf numFmtId="182" fontId="75" fillId="0" borderId="0" xfId="7" applyNumberFormat="1" applyFont="1" applyProtection="1">
      <protection locked="0"/>
    </xf>
    <xf numFmtId="182" fontId="75" fillId="0" borderId="0" xfId="7" quotePrefix="1" applyNumberFormat="1" applyFont="1" applyProtection="1">
      <protection locked="0"/>
    </xf>
    <xf numFmtId="0" fontId="75" fillId="0" borderId="0" xfId="7" applyFont="1" applyAlignment="1">
      <alignment horizontal="center"/>
    </xf>
    <xf numFmtId="182" fontId="79" fillId="0" borderId="0" xfId="7" applyNumberFormat="1" applyFont="1" applyProtection="1">
      <protection locked="0"/>
    </xf>
    <xf numFmtId="0" fontId="75" fillId="0" borderId="0" xfId="7" applyFont="1" applyAlignment="1" applyProtection="1">
      <alignment horizontal="left"/>
      <protection locked="0"/>
    </xf>
    <xf numFmtId="0" fontId="75" fillId="0" borderId="0" xfId="7" applyFont="1" applyProtection="1">
      <protection locked="0"/>
    </xf>
    <xf numFmtId="0" fontId="21" fillId="8" borderId="0" xfId="7" applyFont="1" applyFill="1" applyAlignment="1" applyProtection="1">
      <alignment horizontal="left"/>
      <protection locked="0"/>
    </xf>
    <xf numFmtId="0" fontId="51" fillId="0" borderId="0" xfId="6" applyFont="1" applyAlignment="1">
      <alignment horizontal="left" vertical="top"/>
    </xf>
    <xf numFmtId="0" fontId="82" fillId="0" borderId="0" xfId="6" applyFont="1"/>
    <xf numFmtId="0" fontId="46" fillId="0" borderId="0" xfId="6" applyFont="1"/>
    <xf numFmtId="0" fontId="41" fillId="0" borderId="0" xfId="7" applyAlignment="1">
      <alignment horizontal="left" vertical="center"/>
    </xf>
    <xf numFmtId="0" fontId="41" fillId="0" borderId="0" xfId="7" applyAlignment="1">
      <alignment horizontal="right"/>
    </xf>
    <xf numFmtId="182" fontId="41" fillId="0" borderId="63" xfId="7" applyNumberFormat="1" applyBorder="1" applyProtection="1">
      <protection locked="0"/>
    </xf>
    <xf numFmtId="49" fontId="75" fillId="0" borderId="0" xfId="7" applyNumberFormat="1" applyFont="1" applyProtection="1">
      <protection locked="0"/>
    </xf>
    <xf numFmtId="0" fontId="75" fillId="0" borderId="0" xfId="7" applyFont="1"/>
    <xf numFmtId="0" fontId="4" fillId="9" borderId="0" xfId="6" applyFill="1" applyAlignment="1">
      <alignment vertical="center"/>
    </xf>
    <xf numFmtId="0" fontId="83" fillId="0" borderId="0" xfId="6" applyFont="1" applyAlignment="1">
      <alignment vertical="center"/>
    </xf>
    <xf numFmtId="183" fontId="41" fillId="0" borderId="0" xfId="7" applyNumberFormat="1"/>
    <xf numFmtId="182" fontId="41" fillId="0" borderId="70" xfId="7" applyNumberFormat="1" applyBorder="1" applyProtection="1">
      <protection locked="0"/>
    </xf>
    <xf numFmtId="182" fontId="75" fillId="0" borderId="52" xfId="7" applyNumberFormat="1" applyFont="1" applyBorder="1" applyProtection="1">
      <protection locked="0"/>
    </xf>
    <xf numFmtId="182" fontId="75" fillId="0" borderId="52" xfId="7" quotePrefix="1" applyNumberFormat="1" applyFont="1" applyBorder="1" applyProtection="1">
      <protection locked="0"/>
    </xf>
    <xf numFmtId="0" fontId="75" fillId="0" borderId="52" xfId="7" applyFont="1" applyBorder="1"/>
    <xf numFmtId="0" fontId="41" fillId="0" borderId="52" xfId="7" applyBorder="1"/>
    <xf numFmtId="0" fontId="41" fillId="0" borderId="52" xfId="7" applyBorder="1" applyAlignment="1">
      <alignment horizontal="left"/>
    </xf>
    <xf numFmtId="49" fontId="75" fillId="0" borderId="52" xfId="7" applyNumberFormat="1" applyFont="1" applyBorder="1" applyProtection="1">
      <protection locked="0"/>
    </xf>
    <xf numFmtId="49" fontId="75" fillId="0" borderId="52" xfId="7" applyNumberFormat="1" applyFont="1" applyBorder="1" applyAlignment="1" applyProtection="1">
      <alignment horizontal="center"/>
      <protection locked="0"/>
    </xf>
    <xf numFmtId="0" fontId="75" fillId="0" borderId="52" xfId="7" applyFont="1" applyBorder="1" applyAlignment="1" applyProtection="1">
      <alignment horizontal="center"/>
      <protection locked="0"/>
    </xf>
    <xf numFmtId="49" fontId="41" fillId="0" borderId="52" xfId="7" applyNumberFormat="1" applyBorder="1" applyProtection="1">
      <protection locked="0"/>
    </xf>
    <xf numFmtId="0" fontId="4" fillId="0" borderId="52" xfId="6" applyBorder="1" applyAlignment="1">
      <alignment vertical="center"/>
    </xf>
    <xf numFmtId="183" fontId="41" fillId="0" borderId="52" xfId="7" applyNumberFormat="1" applyBorder="1" applyAlignment="1">
      <alignment horizontal="left"/>
    </xf>
    <xf numFmtId="0" fontId="41" fillId="0" borderId="52" xfId="7" applyBorder="1" applyAlignment="1">
      <alignment horizontal="center"/>
    </xf>
    <xf numFmtId="0" fontId="41" fillId="0" borderId="71" xfId="7" applyBorder="1" applyAlignment="1">
      <alignment horizontal="center" vertical="center"/>
    </xf>
    <xf numFmtId="183" fontId="41" fillId="0" borderId="0" xfId="7" applyNumberFormat="1" applyAlignment="1">
      <alignment horizontal="center" vertical="center"/>
    </xf>
    <xf numFmtId="0" fontId="41" fillId="0" borderId="0" xfId="7" applyAlignment="1">
      <alignment horizontal="right" vertical="center"/>
    </xf>
    <xf numFmtId="0" fontId="41" fillId="0" borderId="0" xfId="7" applyAlignment="1">
      <alignment horizontal="center" vertical="center"/>
    </xf>
    <xf numFmtId="182" fontId="75" fillId="0" borderId="0" xfId="7" applyNumberFormat="1" applyFont="1" applyAlignment="1" applyProtection="1">
      <alignment horizontal="left"/>
      <protection locked="0"/>
    </xf>
    <xf numFmtId="0" fontId="0" fillId="4" borderId="1" xfId="0" applyFill="1" applyBorder="1" applyAlignment="1">
      <alignment horizontal="center" vertical="center"/>
    </xf>
    <xf numFmtId="14" fontId="2" fillId="0" borderId="0" xfId="0" applyNumberFormat="1" applyFont="1">
      <alignment vertical="center"/>
    </xf>
    <xf numFmtId="14" fontId="4" fillId="0" borderId="0" xfId="3" applyNumberFormat="1">
      <alignment vertical="center"/>
    </xf>
    <xf numFmtId="0" fontId="0" fillId="0" borderId="0" xfId="0" applyAlignment="1">
      <alignment horizontal="center" vertical="center"/>
    </xf>
    <xf numFmtId="0" fontId="59" fillId="2" borderId="1" xfId="0" applyFont="1" applyFill="1" applyBorder="1" applyAlignment="1">
      <alignment horizontal="center" vertical="center" wrapText="1"/>
    </xf>
    <xf numFmtId="49" fontId="4" fillId="0" borderId="36" xfId="3" applyNumberFormat="1" applyBorder="1" applyAlignment="1">
      <alignment horizontal="center" vertical="center"/>
    </xf>
    <xf numFmtId="49" fontId="4" fillId="0" borderId="33" xfId="3" applyNumberFormat="1" applyBorder="1" applyAlignment="1">
      <alignment horizontal="center" vertical="center"/>
    </xf>
    <xf numFmtId="49" fontId="4" fillId="0" borderId="19" xfId="3" applyNumberFormat="1" applyBorder="1" applyAlignment="1">
      <alignment horizontal="center" vertical="center"/>
    </xf>
    <xf numFmtId="49" fontId="4" fillId="0" borderId="0" xfId="3" applyNumberFormat="1" applyAlignment="1">
      <alignment horizontal="center" vertical="center"/>
    </xf>
    <xf numFmtId="49" fontId="4" fillId="0" borderId="36" xfId="3" applyNumberFormat="1" applyBorder="1" applyAlignment="1">
      <alignment horizontal="left" vertical="center"/>
    </xf>
    <xf numFmtId="49" fontId="4" fillId="0" borderId="33" xfId="3" applyNumberFormat="1" applyBorder="1" applyAlignment="1">
      <alignment horizontal="left" vertical="center"/>
    </xf>
    <xf numFmtId="49" fontId="4" fillId="0" borderId="0" xfId="3" applyNumberFormat="1" applyAlignment="1">
      <alignment horizontal="left" vertical="center"/>
    </xf>
    <xf numFmtId="14" fontId="2" fillId="0" borderId="0" xfId="0" applyNumberFormat="1" applyFont="1" applyAlignment="1">
      <alignment horizontal="center" vertical="center"/>
    </xf>
    <xf numFmtId="181" fontId="2" fillId="0" borderId="0" xfId="0" applyNumberFormat="1" applyFont="1" applyAlignment="1">
      <alignment horizontal="center" vertical="center"/>
    </xf>
    <xf numFmtId="0" fontId="85" fillId="0" borderId="0" xfId="0" applyFont="1">
      <alignment vertical="center"/>
    </xf>
    <xf numFmtId="0" fontId="27" fillId="4" borderId="1" xfId="0" applyFont="1" applyFill="1" applyBorder="1">
      <alignment vertical="center"/>
    </xf>
    <xf numFmtId="178" fontId="4" fillId="0" borderId="0" xfId="3" applyNumberFormat="1">
      <alignment vertical="center"/>
    </xf>
    <xf numFmtId="176" fontId="57" fillId="0" borderId="1" xfId="3" applyNumberFormat="1" applyFont="1" applyBorder="1" applyAlignment="1">
      <alignment horizontal="center" vertical="center"/>
    </xf>
    <xf numFmtId="0" fontId="58" fillId="4" borderId="1" xfId="0" applyFont="1" applyFill="1" applyBorder="1" applyAlignment="1">
      <alignment horizontal="center" vertical="center"/>
    </xf>
    <xf numFmtId="0" fontId="0" fillId="0" borderId="1" xfId="0" applyBorder="1">
      <alignment vertical="center"/>
    </xf>
    <xf numFmtId="0" fontId="47" fillId="0" borderId="0" xfId="6" applyFont="1"/>
    <xf numFmtId="0" fontId="0" fillId="0" borderId="0" xfId="0" applyAlignment="1">
      <alignment horizontal="left" vertical="center"/>
    </xf>
    <xf numFmtId="0" fontId="47" fillId="0" borderId="35" xfId="6" applyFont="1" applyBorder="1" applyAlignment="1">
      <alignment horizontal="right"/>
    </xf>
    <xf numFmtId="0" fontId="47" fillId="0" borderId="1" xfId="6" applyFont="1" applyBorder="1" applyAlignment="1">
      <alignment horizontal="center"/>
    </xf>
    <xf numFmtId="0" fontId="47" fillId="0" borderId="36" xfId="6" applyFont="1" applyBorder="1" applyAlignment="1">
      <alignment horizontal="center"/>
    </xf>
    <xf numFmtId="0" fontId="47" fillId="0" borderId="33" xfId="6" applyFont="1" applyBorder="1" applyAlignment="1">
      <alignment horizontal="center"/>
    </xf>
    <xf numFmtId="0" fontId="47" fillId="0" borderId="1" xfId="6" applyFont="1" applyBorder="1"/>
    <xf numFmtId="0" fontId="47" fillId="0" borderId="36" xfId="6" applyFont="1" applyBorder="1"/>
    <xf numFmtId="0" fontId="47" fillId="0" borderId="33" xfId="6" applyFont="1" applyBorder="1" applyAlignment="1">
      <alignment horizontal="right"/>
    </xf>
    <xf numFmtId="0" fontId="47" fillId="0" borderId="33" xfId="6" applyFont="1" applyBorder="1"/>
    <xf numFmtId="0" fontId="47" fillId="0" borderId="36" xfId="6" applyFont="1" applyBorder="1" applyAlignment="1">
      <alignment horizontal="left"/>
    </xf>
    <xf numFmtId="0" fontId="64" fillId="0" borderId="33" xfId="6" applyFont="1" applyBorder="1" applyAlignment="1">
      <alignment horizontal="center"/>
    </xf>
    <xf numFmtId="0" fontId="64" fillId="0" borderId="1" xfId="6" applyFont="1" applyBorder="1"/>
    <xf numFmtId="0" fontId="48" fillId="0" borderId="1" xfId="6" applyFont="1" applyBorder="1"/>
    <xf numFmtId="0" fontId="64" fillId="0" borderId="33" xfId="6" applyFont="1" applyBorder="1"/>
    <xf numFmtId="0" fontId="47" fillId="0" borderId="1" xfId="6" applyFont="1" applyBorder="1" applyAlignment="1">
      <alignment horizontal="right"/>
    </xf>
    <xf numFmtId="0" fontId="47" fillId="0" borderId="31" xfId="6" applyFont="1" applyBorder="1"/>
    <xf numFmtId="0" fontId="47" fillId="0" borderId="33" xfId="6" applyFont="1" applyBorder="1" applyAlignment="1">
      <alignment horizontal="left"/>
    </xf>
    <xf numFmtId="0" fontId="0" fillId="3" borderId="1" xfId="0" applyFill="1" applyBorder="1">
      <alignment vertical="center"/>
    </xf>
    <xf numFmtId="0" fontId="0" fillId="9" borderId="1" xfId="0" applyFill="1" applyBorder="1">
      <alignment vertical="center"/>
    </xf>
    <xf numFmtId="0" fontId="0" fillId="11" borderId="1" xfId="0" applyFill="1" applyBorder="1">
      <alignment vertical="center"/>
    </xf>
    <xf numFmtId="0" fontId="0" fillId="14" borderId="1" xfId="0" applyFill="1" applyBorder="1">
      <alignment vertical="center"/>
    </xf>
    <xf numFmtId="0" fontId="0" fillId="13" borderId="1" xfId="0" applyFill="1" applyBorder="1">
      <alignment vertical="center"/>
    </xf>
    <xf numFmtId="0" fontId="0" fillId="15" borderId="1" xfId="0" applyFill="1" applyBorder="1">
      <alignment vertical="center"/>
    </xf>
    <xf numFmtId="0" fontId="0" fillId="16" borderId="1" xfId="0" applyFill="1" applyBorder="1">
      <alignment vertical="center"/>
    </xf>
    <xf numFmtId="0" fontId="0" fillId="8" borderId="1" xfId="0" applyFill="1" applyBorder="1">
      <alignment vertical="center"/>
    </xf>
    <xf numFmtId="0" fontId="88" fillId="12" borderId="1" xfId="0" applyFont="1" applyFill="1" applyBorder="1" applyAlignment="1">
      <alignment horizontal="center" vertical="center"/>
    </xf>
    <xf numFmtId="0" fontId="90" fillId="3" borderId="1" xfId="0" applyFont="1" applyFill="1" applyBorder="1" applyAlignment="1">
      <alignment horizontal="center" vertical="center"/>
    </xf>
    <xf numFmtId="14" fontId="91" fillId="3" borderId="1" xfId="0" applyNumberFormat="1" applyFont="1" applyFill="1" applyBorder="1" applyAlignment="1">
      <alignment horizontal="center" vertical="center"/>
    </xf>
    <xf numFmtId="0" fontId="0" fillId="0" borderId="1" xfId="0" applyBorder="1" applyAlignment="1">
      <alignment horizontal="center" vertical="center"/>
    </xf>
    <xf numFmtId="0" fontId="4" fillId="0" borderId="1" xfId="3" applyBorder="1">
      <alignment vertical="center"/>
    </xf>
    <xf numFmtId="0" fontId="87" fillId="0" borderId="1" xfId="0" applyFont="1" applyBorder="1" applyAlignment="1">
      <alignment horizontal="center" vertical="center"/>
    </xf>
    <xf numFmtId="0" fontId="87" fillId="0" borderId="1" xfId="0" applyFont="1" applyBorder="1" applyAlignment="1">
      <alignment horizontal="left" vertical="center" wrapText="1"/>
    </xf>
    <xf numFmtId="0" fontId="85" fillId="0" borderId="1" xfId="0" applyFont="1" applyBorder="1" applyAlignment="1">
      <alignment horizontal="center" vertical="center" wrapText="1"/>
    </xf>
    <xf numFmtId="0" fontId="87" fillId="0" borderId="1" xfId="0" applyFont="1" applyBorder="1" applyAlignment="1">
      <alignment horizontal="center" vertical="center" wrapText="1"/>
    </xf>
    <xf numFmtId="0" fontId="87" fillId="0" borderId="1" xfId="0" applyFont="1" applyBorder="1" applyAlignment="1">
      <alignment horizontal="left" vertical="center"/>
    </xf>
    <xf numFmtId="0" fontId="85" fillId="0" borderId="1" xfId="0" applyFont="1" applyBorder="1" applyAlignment="1">
      <alignment horizontal="center" vertical="center"/>
    </xf>
    <xf numFmtId="0" fontId="27" fillId="0" borderId="0" xfId="0" applyFont="1" applyAlignment="1">
      <alignment horizontal="center" vertical="center"/>
    </xf>
    <xf numFmtId="0" fontId="23" fillId="0" borderId="1" xfId="0" applyFont="1" applyBorder="1" applyAlignment="1">
      <alignment horizontal="center" vertical="center"/>
    </xf>
    <xf numFmtId="0" fontId="23" fillId="18" borderId="1" xfId="0" applyFont="1" applyFill="1" applyBorder="1" applyAlignment="1">
      <alignment horizontal="left" vertical="center"/>
    </xf>
    <xf numFmtId="0" fontId="23" fillId="0" borderId="1" xfId="8" applyBorder="1" applyAlignment="1">
      <alignment horizontal="left" vertical="center"/>
    </xf>
    <xf numFmtId="0" fontId="23" fillId="0" borderId="1" xfId="8" applyBorder="1" applyAlignment="1">
      <alignment horizontal="left" vertical="center" wrapText="1"/>
    </xf>
    <xf numFmtId="0" fontId="23" fillId="6" borderId="1" xfId="8" applyFill="1" applyBorder="1">
      <alignment vertical="center"/>
    </xf>
    <xf numFmtId="0" fontId="23" fillId="0" borderId="1" xfId="0" applyFont="1" applyBorder="1" applyAlignment="1">
      <alignment horizontal="left" vertical="center" shrinkToFit="1"/>
    </xf>
    <xf numFmtId="0" fontId="23" fillId="0" borderId="1" xfId="0" applyFont="1" applyBorder="1" applyAlignment="1">
      <alignment horizontal="center"/>
    </xf>
    <xf numFmtId="0" fontId="83" fillId="0" borderId="0" xfId="0" applyFont="1" applyAlignment="1">
      <alignment horizontal="left" vertical="center" shrinkToFit="1"/>
    </xf>
    <xf numFmtId="0" fontId="83" fillId="0" borderId="0" xfId="0" applyFont="1">
      <alignment vertical="center"/>
    </xf>
    <xf numFmtId="0" fontId="23" fillId="9" borderId="0" xfId="0" applyFont="1" applyFill="1">
      <alignment vertical="center"/>
    </xf>
    <xf numFmtId="0" fontId="23" fillId="0" borderId="0" xfId="0" applyFont="1">
      <alignment vertical="center"/>
    </xf>
    <xf numFmtId="0" fontId="23" fillId="19" borderId="0" xfId="0" applyFont="1" applyFill="1">
      <alignment vertical="center"/>
    </xf>
    <xf numFmtId="0" fontId="23" fillId="20" borderId="1" xfId="8" applyFill="1" applyBorder="1">
      <alignment vertical="center"/>
    </xf>
    <xf numFmtId="0" fontId="23" fillId="20" borderId="0" xfId="0" applyFont="1" applyFill="1">
      <alignment vertical="center"/>
    </xf>
    <xf numFmtId="0" fontId="23" fillId="0" borderId="1" xfId="0" applyFont="1" applyBorder="1" applyAlignment="1">
      <alignment shrinkToFit="1"/>
    </xf>
    <xf numFmtId="0" fontId="23" fillId="0" borderId="0" xfId="0" applyFont="1" applyAlignment="1">
      <alignment horizontal="left" vertical="center"/>
    </xf>
    <xf numFmtId="0" fontId="94" fillId="0" borderId="1" xfId="0" applyFont="1" applyBorder="1" applyAlignment="1">
      <alignment horizontal="left" vertical="center" wrapText="1"/>
    </xf>
    <xf numFmtId="0" fontId="94" fillId="0" borderId="1" xfId="8" applyFont="1" applyBorder="1" applyAlignment="1">
      <alignment horizontal="left" vertical="center" wrapText="1"/>
    </xf>
    <xf numFmtId="0" fontId="23" fillId="21" borderId="1" xfId="0" applyFont="1" applyFill="1" applyBorder="1" applyAlignment="1">
      <alignment horizontal="left" vertical="center"/>
    </xf>
    <xf numFmtId="0" fontId="95" fillId="0" borderId="1" xfId="8" applyFont="1" applyBorder="1" applyAlignment="1">
      <alignment horizontal="left" vertical="center" wrapText="1" shrinkToFit="1"/>
    </xf>
    <xf numFmtId="0" fontId="23" fillId="22" borderId="1" xfId="0" applyFont="1" applyFill="1" applyBorder="1" applyAlignment="1">
      <alignment horizontal="left" vertical="center"/>
    </xf>
    <xf numFmtId="0" fontId="96" fillId="0" borderId="1" xfId="0" applyFont="1" applyBorder="1" applyAlignment="1">
      <alignment horizontal="left" vertical="center" wrapText="1" shrinkToFit="1"/>
    </xf>
    <xf numFmtId="0" fontId="23" fillId="4" borderId="1" xfId="0" applyFont="1" applyFill="1" applyBorder="1" applyAlignment="1">
      <alignment horizontal="left" vertical="center"/>
    </xf>
    <xf numFmtId="0" fontId="82" fillId="0" borderId="1" xfId="8" applyFont="1" applyBorder="1" applyAlignment="1">
      <alignment horizontal="left" vertical="center" wrapText="1"/>
    </xf>
    <xf numFmtId="0" fontId="23" fillId="23" borderId="1" xfId="0" applyFont="1" applyFill="1" applyBorder="1" applyAlignment="1">
      <alignment horizontal="left" vertical="center"/>
    </xf>
    <xf numFmtId="0" fontId="22" fillId="0" borderId="1" xfId="0" applyFont="1" applyBorder="1" applyAlignment="1">
      <alignment horizontal="left" vertical="center"/>
    </xf>
    <xf numFmtId="0" fontId="23" fillId="9" borderId="1" xfId="8" applyFill="1" applyBorder="1">
      <alignment vertical="center"/>
    </xf>
    <xf numFmtId="0" fontId="23" fillId="3" borderId="1" xfId="0" applyFont="1" applyFill="1" applyBorder="1" applyAlignment="1">
      <alignment horizontal="left" vertical="center"/>
    </xf>
    <xf numFmtId="0" fontId="23" fillId="6" borderId="1" xfId="0" applyFont="1" applyFill="1" applyBorder="1" applyAlignment="1">
      <alignment horizontal="left" vertical="center" shrinkToFit="1"/>
    </xf>
    <xf numFmtId="0" fontId="23" fillId="24" borderId="1" xfId="0" applyFont="1" applyFill="1" applyBorder="1" applyAlignment="1">
      <alignment horizontal="left" vertical="center"/>
    </xf>
    <xf numFmtId="0" fontId="22" fillId="0" borderId="0" xfId="0" applyFont="1" applyAlignment="1">
      <alignment horizontal="left" vertical="center" shrinkToFit="1"/>
    </xf>
    <xf numFmtId="0" fontId="96" fillId="0" borderId="0" xfId="0" applyFont="1" applyAlignment="1">
      <alignment horizontal="left" vertical="center" shrinkToFit="1"/>
    </xf>
    <xf numFmtId="0" fontId="96" fillId="0" borderId="0" xfId="0" applyFont="1" applyAlignment="1">
      <alignment horizontal="center"/>
    </xf>
    <xf numFmtId="0" fontId="97" fillId="0" borderId="0" xfId="0" applyFont="1" applyAlignment="1">
      <alignment horizontal="center"/>
    </xf>
    <xf numFmtId="0" fontId="23" fillId="25" borderId="1" xfId="0" applyFont="1" applyFill="1" applyBorder="1" applyAlignment="1">
      <alignment horizontal="left" vertical="center"/>
    </xf>
    <xf numFmtId="0" fontId="98" fillId="0" borderId="0" xfId="0" applyFont="1" applyAlignment="1">
      <alignment horizontal="center"/>
    </xf>
    <xf numFmtId="0" fontId="23" fillId="0" borderId="1" xfId="8" applyBorder="1">
      <alignment vertical="center"/>
    </xf>
    <xf numFmtId="0" fontId="99" fillId="0" borderId="0" xfId="0" applyFont="1" applyAlignment="1">
      <alignment horizontal="center"/>
    </xf>
    <xf numFmtId="0" fontId="100" fillId="0" borderId="1" xfId="8" applyFont="1" applyBorder="1" applyAlignment="1">
      <alignment horizontal="left" vertical="center"/>
    </xf>
    <xf numFmtId="0" fontId="23" fillId="26" borderId="1" xfId="0" applyFont="1" applyFill="1" applyBorder="1" applyAlignment="1">
      <alignment horizontal="left" vertical="center"/>
    </xf>
    <xf numFmtId="0" fontId="23" fillId="27" borderId="1" xfId="0" applyFont="1" applyFill="1" applyBorder="1" applyAlignment="1">
      <alignment horizontal="left" vertical="center"/>
    </xf>
    <xf numFmtId="0" fontId="101" fillId="0" borderId="1" xfId="0" applyFont="1" applyBorder="1" applyAlignment="1">
      <alignment horizontal="left" vertical="center" wrapText="1"/>
    </xf>
    <xf numFmtId="0" fontId="23" fillId="28" borderId="1" xfId="0" applyFont="1" applyFill="1" applyBorder="1" applyAlignment="1">
      <alignment horizontal="left" vertical="center"/>
    </xf>
    <xf numFmtId="0" fontId="23" fillId="19" borderId="1" xfId="8" applyFill="1" applyBorder="1">
      <alignment vertical="center"/>
    </xf>
    <xf numFmtId="0" fontId="22" fillId="0" borderId="1" xfId="0" applyFont="1" applyBorder="1" applyAlignment="1">
      <alignment horizontal="left" vertical="center" wrapText="1" shrinkToFit="1"/>
    </xf>
    <xf numFmtId="0" fontId="23" fillId="29" borderId="1" xfId="0" applyFont="1" applyFill="1" applyBorder="1" applyAlignment="1">
      <alignment horizontal="left" vertical="center"/>
    </xf>
    <xf numFmtId="0" fontId="96" fillId="0" borderId="0" xfId="8" applyFont="1">
      <alignment vertical="center"/>
    </xf>
    <xf numFmtId="0" fontId="23" fillId="0" borderId="1" xfId="0" applyFont="1" applyBorder="1" applyAlignment="1">
      <alignment horizontal="left" vertical="center"/>
    </xf>
    <xf numFmtId="0" fontId="96" fillId="0" borderId="0" xfId="0" applyFont="1" applyAlignment="1">
      <alignment horizontal="left"/>
    </xf>
    <xf numFmtId="0" fontId="23" fillId="8" borderId="1" xfId="0" applyFont="1" applyFill="1" applyBorder="1" applyAlignment="1">
      <alignment horizontal="left" vertical="center"/>
    </xf>
    <xf numFmtId="0" fontId="98" fillId="0" borderId="0" xfId="0" applyFont="1" applyAlignment="1">
      <alignment horizontal="left" vertical="center" shrinkToFit="1"/>
    </xf>
    <xf numFmtId="0" fontId="94" fillId="0" borderId="1" xfId="8" applyFont="1" applyBorder="1" applyAlignment="1">
      <alignment horizontal="left" vertical="center" wrapText="1" shrinkToFit="1"/>
    </xf>
    <xf numFmtId="0" fontId="22" fillId="0" borderId="1" xfId="0" applyFont="1" applyBorder="1" applyAlignment="1">
      <alignment horizontal="left" vertical="center" wrapText="1"/>
    </xf>
    <xf numFmtId="0" fontId="22" fillId="0" borderId="1" xfId="0" applyFont="1" applyBorder="1" applyAlignment="1">
      <alignment horizontal="left" vertical="center" shrinkToFit="1"/>
    </xf>
    <xf numFmtId="0" fontId="22" fillId="0" borderId="1" xfId="0" applyFont="1" applyBorder="1" applyAlignment="1">
      <alignment horizontal="center"/>
    </xf>
    <xf numFmtId="0" fontId="96" fillId="0" borderId="31" xfId="8" applyFont="1" applyBorder="1" applyAlignment="1">
      <alignment horizontal="left" vertical="center"/>
    </xf>
    <xf numFmtId="0" fontId="23" fillId="30" borderId="1" xfId="0" applyFont="1" applyFill="1" applyBorder="1" applyAlignment="1">
      <alignment horizontal="left" vertical="center"/>
    </xf>
    <xf numFmtId="0" fontId="23" fillId="31" borderId="1" xfId="0" applyFont="1" applyFill="1" applyBorder="1" applyAlignment="1">
      <alignment horizontal="left" vertical="center"/>
    </xf>
    <xf numFmtId="0" fontId="96" fillId="0" borderId="0" xfId="0" applyFont="1">
      <alignment vertical="center"/>
    </xf>
    <xf numFmtId="0" fontId="23" fillId="32" borderId="1" xfId="0" applyFont="1" applyFill="1" applyBorder="1" applyAlignment="1">
      <alignment horizontal="left" vertical="center"/>
    </xf>
    <xf numFmtId="0" fontId="23" fillId="33" borderId="1" xfId="0" applyFont="1" applyFill="1" applyBorder="1" applyAlignment="1">
      <alignment horizontal="left" vertical="center"/>
    </xf>
    <xf numFmtId="0" fontId="23" fillId="0" borderId="0" xfId="0" applyFont="1" applyAlignment="1">
      <alignment horizontal="center" vertical="center"/>
    </xf>
    <xf numFmtId="0" fontId="23" fillId="0" borderId="0" xfId="0" applyFont="1" applyAlignment="1">
      <alignment vertical="center" wrapText="1"/>
    </xf>
    <xf numFmtId="49" fontId="102" fillId="0" borderId="0" xfId="3" applyNumberFormat="1" applyFont="1" applyAlignment="1">
      <alignment horizontal="left" vertical="center"/>
    </xf>
    <xf numFmtId="0" fontId="2" fillId="3" borderId="28" xfId="0" applyFont="1" applyFill="1" applyBorder="1" applyAlignment="1">
      <alignment horizontal="center" vertical="center"/>
    </xf>
    <xf numFmtId="0" fontId="2" fillId="3" borderId="26" xfId="0" applyFont="1" applyFill="1" applyBorder="1" applyAlignment="1">
      <alignment horizontal="center" vertical="center"/>
    </xf>
    <xf numFmtId="14" fontId="2" fillId="3" borderId="72" xfId="0" applyNumberFormat="1" applyFont="1" applyFill="1" applyBorder="1" applyAlignment="1">
      <alignment horizontal="center" vertical="center"/>
    </xf>
    <xf numFmtId="0" fontId="2" fillId="4" borderId="73" xfId="0" applyFont="1" applyFill="1" applyBorder="1" applyAlignment="1">
      <alignment horizontal="center" vertical="center"/>
    </xf>
    <xf numFmtId="0" fontId="2" fillId="4" borderId="74" xfId="0" applyFont="1" applyFill="1" applyBorder="1">
      <alignment vertical="center"/>
    </xf>
    <xf numFmtId="0" fontId="2" fillId="4" borderId="75" xfId="0" applyFont="1" applyFill="1" applyBorder="1">
      <alignment vertical="center"/>
    </xf>
    <xf numFmtId="0" fontId="0" fillId="9" borderId="36" xfId="0" applyFill="1" applyBorder="1">
      <alignment vertical="center"/>
    </xf>
    <xf numFmtId="0" fontId="0" fillId="17" borderId="1" xfId="0" applyFill="1" applyBorder="1">
      <alignment vertical="center"/>
    </xf>
    <xf numFmtId="0" fontId="0" fillId="0" borderId="0" xfId="0" applyAlignment="1">
      <alignment vertical="center" wrapText="1"/>
    </xf>
    <xf numFmtId="14" fontId="0" fillId="9" borderId="0" xfId="0" applyNumberFormat="1" applyFill="1" applyAlignment="1">
      <alignment horizontal="left" vertical="center"/>
    </xf>
    <xf numFmtId="186" fontId="62" fillId="0" borderId="1" xfId="3" applyNumberFormat="1" applyFont="1" applyBorder="1" applyAlignment="1">
      <alignment horizontal="center" vertical="center"/>
    </xf>
    <xf numFmtId="186" fontId="63" fillId="0" borderId="33" xfId="3" applyNumberFormat="1" applyFont="1" applyBorder="1" applyAlignment="1">
      <alignment horizontal="center" vertical="center"/>
    </xf>
    <xf numFmtId="49" fontId="4" fillId="0" borderId="37" xfId="3" applyNumberFormat="1" applyBorder="1" applyAlignment="1">
      <alignment horizontal="center" vertical="center"/>
    </xf>
    <xf numFmtId="0" fontId="45" fillId="5" borderId="4" xfId="3" applyFont="1" applyFill="1" applyBorder="1" applyAlignment="1">
      <alignment horizontal="center" vertical="center" wrapText="1"/>
    </xf>
    <xf numFmtId="0" fontId="45" fillId="5" borderId="5" xfId="3" applyFont="1" applyFill="1" applyBorder="1" applyAlignment="1">
      <alignment horizontal="center" vertical="center" wrapText="1"/>
    </xf>
    <xf numFmtId="183" fontId="62" fillId="0" borderId="1" xfId="3" applyNumberFormat="1" applyFont="1" applyBorder="1" applyAlignment="1">
      <alignment horizontal="center" vertical="center"/>
    </xf>
    <xf numFmtId="0" fontId="58" fillId="0" borderId="1" xfId="6" applyFont="1" applyBorder="1"/>
    <xf numFmtId="0" fontId="58" fillId="0" borderId="1" xfId="6" applyFont="1" applyBorder="1" applyAlignment="1">
      <alignment horizontal="center"/>
    </xf>
    <xf numFmtId="0" fontId="58" fillId="0" borderId="36" xfId="6" applyFont="1" applyBorder="1" applyAlignment="1">
      <alignment horizontal="center"/>
    </xf>
    <xf numFmtId="0" fontId="58" fillId="0" borderId="33" xfId="6" applyFont="1" applyBorder="1" applyAlignment="1">
      <alignment horizontal="center"/>
    </xf>
    <xf numFmtId="0" fontId="58" fillId="0" borderId="0" xfId="6" applyFont="1"/>
    <xf numFmtId="0" fontId="58" fillId="0" borderId="36" xfId="6" applyFont="1" applyBorder="1"/>
    <xf numFmtId="0" fontId="58" fillId="0" borderId="33" xfId="6" applyFont="1" applyBorder="1" applyAlignment="1">
      <alignment horizontal="right"/>
    </xf>
    <xf numFmtId="0" fontId="58" fillId="0" borderId="33" xfId="6" applyFont="1" applyBorder="1"/>
    <xf numFmtId="0" fontId="58" fillId="0" borderId="35" xfId="6" applyFont="1" applyBorder="1"/>
    <xf numFmtId="20" fontId="58" fillId="0" borderId="35" xfId="6" applyNumberFormat="1" applyFont="1" applyBorder="1" applyAlignment="1">
      <alignment horizontal="left"/>
    </xf>
    <xf numFmtId="0" fontId="58" fillId="0" borderId="35" xfId="6" applyFont="1" applyBorder="1" applyAlignment="1">
      <alignment horizontal="center"/>
    </xf>
    <xf numFmtId="0" fontId="58" fillId="0" borderId="35" xfId="6" applyFont="1" applyBorder="1" applyAlignment="1">
      <alignment horizontal="left"/>
    </xf>
    <xf numFmtId="179" fontId="2" fillId="0" borderId="1" xfId="0" applyNumberFormat="1" applyFont="1" applyBorder="1" applyAlignment="1">
      <alignment horizontal="center" vertical="center"/>
    </xf>
    <xf numFmtId="179" fontId="2" fillId="4" borderId="1" xfId="0" applyNumberFormat="1" applyFont="1" applyFill="1" applyBorder="1" applyAlignment="1">
      <alignment horizontal="center" vertical="center"/>
    </xf>
    <xf numFmtId="49" fontId="4" fillId="9" borderId="1" xfId="6" applyNumberFormat="1" applyFill="1" applyBorder="1" applyAlignment="1">
      <alignment horizontal="center" vertical="center"/>
    </xf>
    <xf numFmtId="49" fontId="4" fillId="9" borderId="1" xfId="6" applyNumberFormat="1" applyFill="1" applyBorder="1" applyAlignment="1">
      <alignment horizontal="center" vertical="center" wrapText="1"/>
    </xf>
    <xf numFmtId="49" fontId="4" fillId="9" borderId="1" xfId="3" applyNumberFormat="1" applyFill="1" applyBorder="1" applyAlignment="1">
      <alignment horizontal="center" vertical="center"/>
    </xf>
    <xf numFmtId="0" fontId="4" fillId="9" borderId="0" xfId="3" applyFill="1">
      <alignment vertical="center"/>
    </xf>
    <xf numFmtId="0" fontId="4" fillId="9" borderId="1" xfId="3" applyFill="1" applyBorder="1" applyAlignment="1">
      <alignment horizontal="center" vertical="center"/>
    </xf>
    <xf numFmtId="179" fontId="4" fillId="9" borderId="1" xfId="3" applyNumberFormat="1" applyFill="1" applyBorder="1" applyAlignment="1">
      <alignment horizontal="center" vertical="center"/>
    </xf>
    <xf numFmtId="0" fontId="4" fillId="9" borderId="0" xfId="3" applyFill="1" applyAlignment="1">
      <alignment horizontal="center" vertical="center"/>
    </xf>
    <xf numFmtId="0" fontId="0" fillId="9" borderId="0" xfId="0" applyFill="1">
      <alignment vertical="center"/>
    </xf>
    <xf numFmtId="0" fontId="0" fillId="9" borderId="0" xfId="0" applyFill="1" applyAlignment="1">
      <alignment horizontal="center" vertical="center"/>
    </xf>
    <xf numFmtId="0" fontId="4" fillId="9" borderId="1" xfId="3" applyFill="1" applyBorder="1">
      <alignment vertical="center"/>
    </xf>
    <xf numFmtId="0" fontId="2" fillId="2" borderId="1" xfId="0" applyFont="1" applyFill="1" applyBorder="1" applyAlignment="1">
      <alignment horizontal="center" vertical="center" wrapText="1"/>
    </xf>
    <xf numFmtId="21" fontId="0" fillId="0" borderId="0" xfId="0" applyNumberFormat="1">
      <alignment vertical="center"/>
    </xf>
    <xf numFmtId="0" fontId="2" fillId="2" borderId="1" xfId="0" applyFont="1" applyFill="1" applyBorder="1" applyAlignment="1">
      <alignment horizontal="center" vertical="center"/>
    </xf>
    <xf numFmtId="185" fontId="0" fillId="0" borderId="0" xfId="0" applyNumberFormat="1">
      <alignment vertical="center"/>
    </xf>
    <xf numFmtId="20" fontId="47" fillId="0" borderId="35" xfId="6" applyNumberFormat="1" applyFont="1" applyBorder="1" applyAlignment="1">
      <alignment horizontal="left"/>
    </xf>
    <xf numFmtId="0" fontId="0" fillId="3" borderId="0" xfId="0" applyFill="1">
      <alignment vertical="center"/>
    </xf>
    <xf numFmtId="0" fontId="105" fillId="0" borderId="0" xfId="9">
      <alignment vertical="center"/>
    </xf>
    <xf numFmtId="0" fontId="103" fillId="0" borderId="1" xfId="0" applyFont="1" applyBorder="1">
      <alignment vertical="center"/>
    </xf>
    <xf numFmtId="0" fontId="58" fillId="0" borderId="1" xfId="0" applyFont="1" applyBorder="1">
      <alignment vertical="center"/>
    </xf>
    <xf numFmtId="14" fontId="58" fillId="0" borderId="1" xfId="0" applyNumberFormat="1" applyFont="1" applyBorder="1">
      <alignment vertical="center"/>
    </xf>
    <xf numFmtId="49" fontId="0" fillId="0" borderId="0" xfId="0" applyNumberFormat="1">
      <alignment vertical="center"/>
    </xf>
    <xf numFmtId="179" fontId="0" fillId="0" borderId="0" xfId="0" applyNumberFormat="1">
      <alignment vertical="center"/>
    </xf>
    <xf numFmtId="0" fontId="58" fillId="0" borderId="36" xfId="6" applyFont="1" applyBorder="1" applyAlignment="1">
      <alignment horizontal="center" shrinkToFit="1"/>
    </xf>
    <xf numFmtId="0" fontId="58" fillId="0" borderId="0" xfId="6" applyFont="1" applyAlignment="1">
      <alignment horizontal="center" shrinkToFit="1"/>
    </xf>
    <xf numFmtId="0" fontId="58" fillId="0" borderId="36" xfId="6" applyFont="1" applyBorder="1" applyAlignment="1">
      <alignment horizontal="left" shrinkToFit="1"/>
    </xf>
    <xf numFmtId="0" fontId="58" fillId="0" borderId="1" xfId="6" applyFont="1" applyBorder="1" applyAlignment="1">
      <alignment horizontal="center" shrinkToFit="1"/>
    </xf>
    <xf numFmtId="0" fontId="58" fillId="0" borderId="36" xfId="6" applyFont="1" applyBorder="1" applyAlignment="1">
      <alignment shrinkToFit="1"/>
    </xf>
    <xf numFmtId="0" fontId="58" fillId="0" borderId="33" xfId="6" applyFont="1" applyBorder="1" applyAlignment="1">
      <alignment shrinkToFit="1"/>
    </xf>
    <xf numFmtId="0" fontId="58" fillId="0" borderId="19" xfId="6" applyFont="1" applyBorder="1" applyAlignment="1">
      <alignment shrinkToFit="1"/>
    </xf>
    <xf numFmtId="0" fontId="58" fillId="0" borderId="0" xfId="6" applyFont="1" applyAlignment="1">
      <alignment shrinkToFit="1"/>
    </xf>
    <xf numFmtId="0" fontId="58" fillId="0" borderId="33" xfId="6" applyFont="1" applyBorder="1" applyAlignment="1">
      <alignment horizontal="center" shrinkToFit="1"/>
    </xf>
    <xf numFmtId="0" fontId="58" fillId="0" borderId="1" xfId="6" applyFont="1" applyBorder="1" applyAlignment="1">
      <alignment shrinkToFit="1"/>
    </xf>
    <xf numFmtId="0" fontId="58" fillId="0" borderId="33" xfId="6" applyFont="1" applyBorder="1" applyAlignment="1">
      <alignment vertical="center" shrinkToFit="1"/>
    </xf>
    <xf numFmtId="0" fontId="85" fillId="0" borderId="1" xfId="6" applyFont="1" applyBorder="1" applyAlignment="1">
      <alignment shrinkToFit="1"/>
    </xf>
    <xf numFmtId="0" fontId="58" fillId="0" borderId="1" xfId="6" applyFont="1" applyBorder="1" applyAlignment="1">
      <alignment horizontal="right" shrinkToFit="1"/>
    </xf>
    <xf numFmtId="0" fontId="58" fillId="0" borderId="33" xfId="6" applyFont="1" applyBorder="1" applyAlignment="1">
      <alignment horizontal="left" shrinkToFit="1"/>
    </xf>
    <xf numFmtId="0" fontId="58" fillId="0" borderId="9" xfId="6" applyFont="1" applyBorder="1" applyAlignment="1">
      <alignment shrinkToFit="1"/>
    </xf>
    <xf numFmtId="0" fontId="58" fillId="0" borderId="0" xfId="6" applyFont="1" applyAlignment="1">
      <alignment horizontal="right" shrinkToFit="1"/>
    </xf>
    <xf numFmtId="0" fontId="58" fillId="0" borderId="33" xfId="6" applyFont="1" applyBorder="1" applyAlignment="1">
      <alignment horizontal="right" shrinkToFit="1"/>
    </xf>
    <xf numFmtId="179" fontId="0" fillId="3" borderId="0" xfId="0" applyNumberFormat="1" applyFill="1">
      <alignment vertical="center"/>
    </xf>
    <xf numFmtId="0" fontId="85" fillId="0" borderId="19" xfId="6" applyFont="1" applyBorder="1" applyAlignment="1">
      <alignment shrinkToFit="1"/>
    </xf>
    <xf numFmtId="0" fontId="47" fillId="0" borderId="0" xfId="6" applyFont="1" applyAlignment="1">
      <alignment horizontal="center"/>
    </xf>
    <xf numFmtId="0" fontId="58" fillId="0" borderId="0" xfId="6" applyFont="1" applyAlignment="1">
      <alignment horizontal="center"/>
    </xf>
    <xf numFmtId="0" fontId="47" fillId="0" borderId="35" xfId="6" applyFont="1" applyBorder="1"/>
    <xf numFmtId="0" fontId="85" fillId="0" borderId="33" xfId="6" applyFont="1" applyBorder="1" applyAlignment="1">
      <alignment horizontal="right" shrinkToFit="1"/>
    </xf>
    <xf numFmtId="0" fontId="85" fillId="0" borderId="33" xfId="6" applyFont="1" applyBorder="1" applyAlignment="1">
      <alignment horizontal="left" shrinkToFit="1"/>
    </xf>
    <xf numFmtId="0" fontId="51" fillId="0" borderId="0" xfId="6" applyFont="1"/>
    <xf numFmtId="49" fontId="4" fillId="0" borderId="76" xfId="3" applyNumberFormat="1" applyBorder="1" applyAlignment="1">
      <alignment horizontal="left" vertical="center"/>
    </xf>
    <xf numFmtId="49" fontId="4" fillId="0" borderId="79" xfId="3" applyNumberFormat="1" applyBorder="1" applyAlignment="1">
      <alignment horizontal="left" vertical="center"/>
    </xf>
    <xf numFmtId="49" fontId="4" fillId="0" borderId="80" xfId="3" applyNumberFormat="1" applyBorder="1" applyAlignment="1">
      <alignment horizontal="left" vertical="center"/>
    </xf>
    <xf numFmtId="186" fontId="63" fillId="0" borderId="77" xfId="3" applyNumberFormat="1" applyFont="1" applyBorder="1" applyAlignment="1">
      <alignment horizontal="center" vertical="center"/>
    </xf>
    <xf numFmtId="186" fontId="63" fillId="0" borderId="39" xfId="3" applyNumberFormat="1" applyFont="1" applyBorder="1" applyAlignment="1">
      <alignment horizontal="center" vertical="center"/>
    </xf>
    <xf numFmtId="186" fontId="63" fillId="0" borderId="0" xfId="3" applyNumberFormat="1" applyFont="1" applyAlignment="1">
      <alignment horizontal="center" vertical="center"/>
    </xf>
    <xf numFmtId="0" fontId="58" fillId="0" borderId="36" xfId="6" applyFont="1" applyBorder="1" applyAlignment="1">
      <alignment horizontal="center" vertical="center" shrinkToFit="1"/>
    </xf>
    <xf numFmtId="0" fontId="58" fillId="0" borderId="1" xfId="6" applyFont="1" applyBorder="1" applyAlignment="1">
      <alignment horizontal="center" vertical="center" shrinkToFit="1"/>
    </xf>
    <xf numFmtId="0" fontId="4" fillId="0" borderId="0" xfId="6" applyAlignment="1">
      <alignment horizontal="center" vertical="center"/>
    </xf>
    <xf numFmtId="0" fontId="2" fillId="3" borderId="80" xfId="0" applyFont="1" applyFill="1" applyBorder="1" applyAlignment="1">
      <alignment horizontal="center" vertical="center"/>
    </xf>
    <xf numFmtId="0" fontId="2" fillId="4" borderId="80" xfId="0" applyFont="1" applyFill="1" applyBorder="1" applyAlignment="1">
      <alignment horizontal="center" vertical="center"/>
    </xf>
    <xf numFmtId="0" fontId="58" fillId="3" borderId="80" xfId="0" applyFont="1" applyFill="1" applyBorder="1" applyAlignment="1">
      <alignment horizontal="center" vertical="center"/>
    </xf>
    <xf numFmtId="0" fontId="59" fillId="4" borderId="80" xfId="0" applyFont="1" applyFill="1" applyBorder="1">
      <alignment vertical="center"/>
    </xf>
    <xf numFmtId="0" fontId="58" fillId="4" borderId="80" xfId="0" applyFont="1" applyFill="1" applyBorder="1">
      <alignment vertical="center"/>
    </xf>
    <xf numFmtId="0" fontId="103" fillId="3" borderId="80" xfId="0" applyFont="1" applyFill="1" applyBorder="1" applyAlignment="1">
      <alignment horizontal="center" vertical="center"/>
    </xf>
    <xf numFmtId="4" fontId="2" fillId="3" borderId="80" xfId="0" applyNumberFormat="1" applyFont="1" applyFill="1" applyBorder="1" applyAlignment="1">
      <alignment horizontal="center" vertical="center"/>
    </xf>
    <xf numFmtId="0" fontId="2" fillId="3" borderId="82" xfId="0" applyFont="1" applyFill="1" applyBorder="1" applyAlignment="1">
      <alignment horizontal="center" vertical="center"/>
    </xf>
    <xf numFmtId="0" fontId="2" fillId="3" borderId="15" xfId="0" applyFont="1" applyFill="1" applyBorder="1" applyAlignment="1">
      <alignment horizontal="center" vertical="center"/>
    </xf>
    <xf numFmtId="0" fontId="27" fillId="4" borderId="80" xfId="0" applyFont="1" applyFill="1" applyBorder="1">
      <alignment vertical="center"/>
    </xf>
    <xf numFmtId="0" fontId="2" fillId="3" borderId="25" xfId="0" applyFont="1" applyFill="1" applyBorder="1" applyAlignment="1">
      <alignment horizontal="center" vertical="center"/>
    </xf>
    <xf numFmtId="0" fontId="2" fillId="3" borderId="8" xfId="0" applyFont="1" applyFill="1" applyBorder="1" applyAlignment="1">
      <alignment horizontal="center" vertical="center"/>
    </xf>
    <xf numFmtId="0" fontId="2" fillId="4" borderId="8" xfId="0" applyFont="1" applyFill="1" applyBorder="1" applyAlignment="1">
      <alignment horizontal="center" vertical="center"/>
    </xf>
    <xf numFmtId="0" fontId="58" fillId="3" borderId="8" xfId="0" applyFont="1" applyFill="1" applyBorder="1" applyAlignment="1">
      <alignment horizontal="center" vertical="center"/>
    </xf>
    <xf numFmtId="0" fontId="27" fillId="4" borderId="8" xfId="0" applyFont="1" applyFill="1" applyBorder="1">
      <alignment vertical="center"/>
    </xf>
    <xf numFmtId="0" fontId="103" fillId="3" borderId="8" xfId="0" applyFont="1" applyFill="1" applyBorder="1" applyAlignment="1">
      <alignment horizontal="center" vertical="center"/>
    </xf>
    <xf numFmtId="0" fontId="58" fillId="4" borderId="8" xfId="0" applyFont="1" applyFill="1" applyBorder="1">
      <alignment vertical="center"/>
    </xf>
    <xf numFmtId="0" fontId="2" fillId="3" borderId="18" xfId="0" applyFont="1" applyFill="1" applyBorder="1" applyAlignment="1">
      <alignment horizontal="center" vertical="center"/>
    </xf>
    <xf numFmtId="0" fontId="27" fillId="2" borderId="25" xfId="0" applyFont="1" applyFill="1" applyBorder="1" applyAlignment="1">
      <alignment horizontal="center" vertical="center"/>
    </xf>
    <xf numFmtId="0" fontId="27" fillId="2" borderId="8" xfId="0" applyFont="1" applyFill="1" applyBorder="1" applyAlignment="1">
      <alignment horizontal="center" vertical="center"/>
    </xf>
    <xf numFmtId="20" fontId="2" fillId="3" borderId="18" xfId="0" applyNumberFormat="1" applyFont="1" applyFill="1" applyBorder="1" applyAlignment="1">
      <alignment horizontal="center" vertical="center"/>
    </xf>
    <xf numFmtId="14" fontId="2" fillId="3" borderId="14" xfId="0" applyNumberFormat="1" applyFont="1" applyFill="1" applyBorder="1" applyAlignment="1">
      <alignment horizontal="center" vertical="center"/>
    </xf>
    <xf numFmtId="184" fontId="2" fillId="3" borderId="9" xfId="0" applyNumberFormat="1" applyFont="1" applyFill="1" applyBorder="1" applyAlignment="1">
      <alignment horizontal="center" vertical="center"/>
    </xf>
    <xf numFmtId="49" fontId="2" fillId="3" borderId="9" xfId="0" applyNumberFormat="1" applyFont="1" applyFill="1" applyBorder="1" applyAlignment="1">
      <alignment horizontal="center" vertical="center"/>
    </xf>
    <xf numFmtId="20" fontId="2" fillId="3" borderId="19" xfId="0" applyNumberFormat="1" applyFont="1" applyFill="1" applyBorder="1" applyAlignment="1">
      <alignment horizontal="center" vertical="center"/>
    </xf>
    <xf numFmtId="0" fontId="27" fillId="2" borderId="73" xfId="0" applyFont="1" applyFill="1" applyBorder="1" applyAlignment="1">
      <alignment horizontal="center" vertical="center"/>
    </xf>
    <xf numFmtId="0" fontId="27" fillId="2" borderId="74" xfId="0" applyFont="1" applyFill="1" applyBorder="1" applyAlignment="1">
      <alignment horizontal="center" vertical="center"/>
    </xf>
    <xf numFmtId="0" fontId="27" fillId="2" borderId="75" xfId="0" applyFont="1" applyFill="1" applyBorder="1" applyAlignment="1">
      <alignment horizontal="center" vertical="center"/>
    </xf>
    <xf numFmtId="20" fontId="2" fillId="3" borderId="9" xfId="0" applyNumberFormat="1" applyFont="1" applyFill="1" applyBorder="1" applyAlignment="1">
      <alignment horizontal="center" vertical="center"/>
    </xf>
    <xf numFmtId="20" fontId="60" fillId="3" borderId="9" xfId="0" applyNumberFormat="1" applyFont="1" applyFill="1" applyBorder="1" applyAlignment="1">
      <alignment horizontal="center" vertical="center"/>
    </xf>
    <xf numFmtId="0" fontId="2" fillId="3" borderId="27" xfId="0" quotePrefix="1" applyFont="1" applyFill="1" applyBorder="1" applyAlignment="1">
      <alignment horizontal="center" vertical="center"/>
    </xf>
    <xf numFmtId="14" fontId="59" fillId="3" borderId="86" xfId="0" applyNumberFormat="1" applyFont="1" applyFill="1" applyBorder="1">
      <alignment vertical="center"/>
    </xf>
    <xf numFmtId="14" fontId="60" fillId="3" borderId="19" xfId="0" applyNumberFormat="1" applyFont="1" applyFill="1" applyBorder="1">
      <alignment vertical="center"/>
    </xf>
    <xf numFmtId="14" fontId="2" fillId="3" borderId="19" xfId="0" applyNumberFormat="1" applyFont="1" applyFill="1" applyBorder="1" applyAlignment="1">
      <alignment horizontal="center" vertical="center"/>
    </xf>
    <xf numFmtId="14" fontId="58" fillId="3" borderId="19" xfId="0" applyNumberFormat="1" applyFont="1" applyFill="1" applyBorder="1" applyAlignment="1">
      <alignment horizontal="center" vertical="center"/>
    </xf>
    <xf numFmtId="14" fontId="58" fillId="3" borderId="20" xfId="0" applyNumberFormat="1" applyFont="1" applyFill="1" applyBorder="1" applyAlignment="1">
      <alignment horizontal="center" vertical="center"/>
    </xf>
    <xf numFmtId="0" fontId="27" fillId="2" borderId="87" xfId="0" applyFont="1" applyFill="1" applyBorder="1" applyAlignment="1">
      <alignment horizontal="center" vertical="center"/>
    </xf>
    <xf numFmtId="0" fontId="2" fillId="3" borderId="86" xfId="0" applyFont="1" applyFill="1" applyBorder="1" applyAlignment="1">
      <alignment horizontal="center" vertical="center"/>
    </xf>
    <xf numFmtId="0" fontId="2" fillId="3" borderId="19" xfId="0" applyFont="1" applyFill="1" applyBorder="1" applyAlignment="1">
      <alignment horizontal="center" vertical="center"/>
    </xf>
    <xf numFmtId="0" fontId="2" fillId="4" borderId="19" xfId="0" applyFont="1" applyFill="1" applyBorder="1" applyAlignment="1">
      <alignment horizontal="center" vertical="center"/>
    </xf>
    <xf numFmtId="0" fontId="58" fillId="3" borderId="19" xfId="0" applyFont="1" applyFill="1" applyBorder="1" applyAlignment="1">
      <alignment horizontal="center" vertical="center"/>
    </xf>
    <xf numFmtId="0" fontId="59" fillId="4" borderId="19" xfId="0" applyFont="1" applyFill="1" applyBorder="1">
      <alignment vertical="center"/>
    </xf>
    <xf numFmtId="0" fontId="58" fillId="4" borderId="19" xfId="0" applyFont="1" applyFill="1" applyBorder="1">
      <alignment vertical="center"/>
    </xf>
    <xf numFmtId="3" fontId="2" fillId="3" borderId="19" xfId="0" applyNumberFormat="1" applyFont="1" applyFill="1" applyBorder="1" applyAlignment="1">
      <alignment horizontal="center" vertical="center"/>
    </xf>
    <xf numFmtId="0" fontId="2" fillId="3" borderId="20" xfId="0" applyFont="1" applyFill="1" applyBorder="1" applyAlignment="1">
      <alignment horizontal="center" vertical="center"/>
    </xf>
    <xf numFmtId="0" fontId="27" fillId="2" borderId="74" xfId="0" applyFont="1" applyFill="1" applyBorder="1" applyAlignment="1">
      <alignment vertical="center" wrapText="1"/>
    </xf>
    <xf numFmtId="0" fontId="27" fillId="2" borderId="74" xfId="0" applyFont="1" applyFill="1" applyBorder="1" applyAlignment="1">
      <alignment horizontal="center" vertical="center" wrapText="1"/>
    </xf>
    <xf numFmtId="0" fontId="59" fillId="2" borderId="74" xfId="0" applyFont="1" applyFill="1" applyBorder="1" applyAlignment="1">
      <alignment horizontal="center" vertical="center" wrapText="1"/>
    </xf>
    <xf numFmtId="0" fontId="2" fillId="2" borderId="74" xfId="0" applyFont="1" applyFill="1" applyBorder="1" applyAlignment="1">
      <alignment horizontal="center" vertical="center" wrapText="1"/>
    </xf>
    <xf numFmtId="0" fontId="60" fillId="2" borderId="74" xfId="0" applyFont="1" applyFill="1" applyBorder="1" applyAlignment="1">
      <alignment horizontal="center" vertical="center" wrapText="1"/>
    </xf>
    <xf numFmtId="0" fontId="59" fillId="2" borderId="75" xfId="0" applyFont="1" applyFill="1" applyBorder="1" applyAlignment="1">
      <alignment horizontal="center" vertical="center" wrapText="1"/>
    </xf>
    <xf numFmtId="0" fontId="58" fillId="2" borderId="74" xfId="0" applyFont="1" applyFill="1" applyBorder="1" applyAlignment="1">
      <alignment horizontal="center" vertical="center" wrapText="1"/>
    </xf>
    <xf numFmtId="0" fontId="27" fillId="2" borderId="87" xfId="0" applyFont="1" applyFill="1" applyBorder="1" applyAlignment="1">
      <alignment horizontal="center" vertical="center"/>
    </xf>
    <xf numFmtId="0" fontId="27" fillId="2" borderId="88" xfId="0" applyFont="1" applyFill="1" applyBorder="1" applyAlignment="1">
      <alignment horizontal="center" vertical="center"/>
    </xf>
    <xf numFmtId="0" fontId="27" fillId="2" borderId="89" xfId="0" applyFont="1" applyFill="1" applyBorder="1" applyAlignment="1">
      <alignment horizontal="center" vertical="center"/>
    </xf>
    <xf numFmtId="14" fontId="58" fillId="3" borderId="83" xfId="0" applyNumberFormat="1" applyFont="1" applyFill="1" applyBorder="1">
      <alignment vertical="center"/>
    </xf>
    <xf numFmtId="0" fontId="0" fillId="0" borderId="84" xfId="0" applyBorder="1">
      <alignment vertical="center"/>
    </xf>
    <xf numFmtId="0" fontId="0" fillId="0" borderId="85" xfId="0" applyBorder="1">
      <alignment vertical="center"/>
    </xf>
    <xf numFmtId="0" fontId="47" fillId="0" borderId="0" xfId="6" applyFont="1" applyAlignment="1">
      <alignment horizontal="center"/>
    </xf>
    <xf numFmtId="0" fontId="0" fillId="0" borderId="0" xfId="0" applyAlignment="1"/>
    <xf numFmtId="0" fontId="58" fillId="0" borderId="0" xfId="6" applyFont="1" applyAlignment="1">
      <alignment horizontal="center"/>
    </xf>
    <xf numFmtId="0" fontId="58" fillId="0" borderId="0" xfId="0" applyFont="1" applyAlignment="1"/>
    <xf numFmtId="49" fontId="4" fillId="0" borderId="38" xfId="3" applyNumberFormat="1" applyBorder="1" applyAlignment="1">
      <alignment horizontal="center" vertical="center"/>
    </xf>
    <xf numFmtId="49" fontId="4" fillId="0" borderId="39" xfId="3" applyNumberFormat="1" applyBorder="1" applyAlignment="1">
      <alignment horizontal="center" vertical="center"/>
    </xf>
    <xf numFmtId="49" fontId="4" fillId="0" borderId="31" xfId="3" applyNumberFormat="1" applyBorder="1" applyAlignment="1">
      <alignment horizontal="left" vertical="center"/>
    </xf>
    <xf numFmtId="49" fontId="4" fillId="0" borderId="55" xfId="3" applyNumberFormat="1" applyBorder="1" applyAlignment="1">
      <alignment horizontal="left" vertical="center"/>
    </xf>
    <xf numFmtId="49" fontId="4" fillId="0" borderId="46" xfId="3" applyNumberFormat="1" applyBorder="1" applyAlignment="1">
      <alignment horizontal="left" vertical="center"/>
    </xf>
    <xf numFmtId="49" fontId="4" fillId="0" borderId="45" xfId="3" applyNumberFormat="1" applyBorder="1" applyAlignment="1">
      <alignment horizontal="left" vertical="center"/>
    </xf>
    <xf numFmtId="49" fontId="4" fillId="0" borderId="0" xfId="3" applyNumberFormat="1" applyAlignment="1">
      <alignment horizontal="left" vertical="center"/>
    </xf>
    <xf numFmtId="49" fontId="4" fillId="0" borderId="36" xfId="3" applyNumberFormat="1" applyBorder="1" applyAlignment="1">
      <alignment horizontal="center" vertical="center"/>
    </xf>
    <xf numFmtId="49" fontId="4" fillId="0" borderId="33" xfId="3" applyNumberFormat="1" applyBorder="1" applyAlignment="1">
      <alignment horizontal="center" vertical="center"/>
    </xf>
    <xf numFmtId="49" fontId="4" fillId="0" borderId="51" xfId="3" applyNumberFormat="1" applyBorder="1" applyAlignment="1">
      <alignment horizontal="center" vertical="center"/>
    </xf>
    <xf numFmtId="49" fontId="4" fillId="0" borderId="35" xfId="3" applyNumberFormat="1" applyBorder="1" applyAlignment="1">
      <alignment horizontal="left" vertical="center"/>
    </xf>
    <xf numFmtId="0" fontId="4" fillId="0" borderId="39" xfId="3" applyBorder="1" applyAlignment="1">
      <alignment horizontal="center" vertical="center"/>
    </xf>
    <xf numFmtId="0" fontId="4" fillId="0" borderId="31" xfId="3" applyBorder="1" applyAlignment="1">
      <alignment horizontal="left" vertical="center"/>
    </xf>
    <xf numFmtId="0" fontId="4" fillId="0" borderId="55" xfId="3" applyBorder="1" applyAlignment="1">
      <alignment horizontal="left" vertical="center"/>
    </xf>
    <xf numFmtId="0" fontId="4" fillId="0" borderId="46" xfId="3" applyBorder="1" applyAlignment="1">
      <alignment horizontal="left" vertical="center"/>
    </xf>
    <xf numFmtId="0" fontId="4" fillId="0" borderId="45" xfId="3" applyBorder="1" applyAlignment="1">
      <alignment horizontal="left" vertical="center"/>
    </xf>
    <xf numFmtId="0" fontId="4" fillId="0" borderId="51" xfId="3" applyBorder="1" applyAlignment="1">
      <alignment horizontal="center" vertical="center"/>
    </xf>
    <xf numFmtId="0" fontId="4" fillId="0" borderId="0" xfId="3" applyAlignment="1">
      <alignment horizontal="left" vertical="center"/>
    </xf>
    <xf numFmtId="0" fontId="4" fillId="0" borderId="35" xfId="3" applyBorder="1" applyAlignment="1">
      <alignment horizontal="left" vertical="center"/>
    </xf>
    <xf numFmtId="49" fontId="4" fillId="0" borderId="31" xfId="3" applyNumberFormat="1" applyBorder="1" applyAlignment="1">
      <alignment horizontal="center" vertical="center"/>
    </xf>
    <xf numFmtId="49" fontId="4" fillId="0" borderId="55" xfId="3" applyNumberFormat="1" applyBorder="1" applyAlignment="1">
      <alignment horizontal="center" vertical="center"/>
    </xf>
    <xf numFmtId="49" fontId="4" fillId="0" borderId="46" xfId="3" applyNumberFormat="1" applyBorder="1" applyAlignment="1">
      <alignment horizontal="center" vertical="center"/>
    </xf>
    <xf numFmtId="49" fontId="4" fillId="0" borderId="45" xfId="3" applyNumberFormat="1" applyBorder="1" applyAlignment="1">
      <alignment horizontal="center" vertical="center"/>
    </xf>
    <xf numFmtId="49" fontId="4" fillId="0" borderId="37" xfId="3" applyNumberFormat="1" applyBorder="1" applyAlignment="1">
      <alignment horizontal="center" vertical="center"/>
    </xf>
    <xf numFmtId="0" fontId="4" fillId="0" borderId="37" xfId="3" applyBorder="1" applyAlignment="1">
      <alignment horizontal="center" vertical="center"/>
    </xf>
    <xf numFmtId="0" fontId="4" fillId="0" borderId="33" xfId="3" applyBorder="1" applyAlignment="1">
      <alignment horizontal="center" vertical="center"/>
    </xf>
    <xf numFmtId="49" fontId="4" fillId="0" borderId="2" xfId="3" applyNumberFormat="1" applyBorder="1" applyAlignment="1">
      <alignment horizontal="center" vertical="center" wrapText="1"/>
    </xf>
    <xf numFmtId="49" fontId="4" fillId="0" borderId="9" xfId="3" applyNumberFormat="1" applyBorder="1" applyAlignment="1">
      <alignment horizontal="center" vertical="center" wrapText="1"/>
    </xf>
    <xf numFmtId="49" fontId="4" fillId="0" borderId="19" xfId="3" applyNumberFormat="1" applyBorder="1" applyAlignment="1">
      <alignment horizontal="center" vertical="center" wrapText="1"/>
    </xf>
    <xf numFmtId="49" fontId="4" fillId="0" borderId="0" xfId="3" applyNumberFormat="1" applyAlignment="1">
      <alignment horizontal="center" vertical="center"/>
    </xf>
    <xf numFmtId="49" fontId="4" fillId="0" borderId="35" xfId="3" applyNumberFormat="1" applyBorder="1" applyAlignment="1">
      <alignment horizontal="center" vertical="center"/>
    </xf>
    <xf numFmtId="0" fontId="53" fillId="0" borderId="36" xfId="3" applyFont="1" applyBorder="1" applyAlignment="1">
      <alignment horizontal="center" vertical="center" shrinkToFit="1"/>
    </xf>
    <xf numFmtId="0" fontId="53" fillId="0" borderId="33" xfId="3" applyFont="1" applyBorder="1" applyAlignment="1">
      <alignment horizontal="center" vertical="center" shrinkToFit="1"/>
    </xf>
    <xf numFmtId="0" fontId="55" fillId="0" borderId="36" xfId="3" applyFont="1" applyBorder="1" applyAlignment="1">
      <alignment horizontal="center" vertical="center"/>
    </xf>
    <xf numFmtId="0" fontId="55" fillId="0" borderId="37" xfId="3" applyFont="1" applyBorder="1" applyAlignment="1">
      <alignment horizontal="center" vertical="center"/>
    </xf>
    <xf numFmtId="0" fontId="55" fillId="0" borderId="33" xfId="3" applyFont="1" applyBorder="1" applyAlignment="1">
      <alignment horizontal="center" vertical="center"/>
    </xf>
    <xf numFmtId="20" fontId="4" fillId="0" borderId="38" xfId="3" applyNumberFormat="1" applyBorder="1" applyAlignment="1">
      <alignment horizontal="center" vertical="center"/>
    </xf>
    <xf numFmtId="0" fontId="4" fillId="0" borderId="31" xfId="3" applyBorder="1" applyAlignment="1">
      <alignment horizontal="center" vertical="center"/>
    </xf>
    <xf numFmtId="0" fontId="4" fillId="0" borderId="0" xfId="3" applyAlignment="1">
      <alignment horizontal="center" vertical="center"/>
    </xf>
    <xf numFmtId="0" fontId="4" fillId="0" borderId="55" xfId="3" applyBorder="1" applyAlignment="1">
      <alignment horizontal="center" vertical="center"/>
    </xf>
    <xf numFmtId="0" fontId="4" fillId="0" borderId="46" xfId="3" applyBorder="1" applyAlignment="1">
      <alignment horizontal="center" vertical="center"/>
    </xf>
    <xf numFmtId="0" fontId="4" fillId="0" borderId="35" xfId="3" applyBorder="1" applyAlignment="1">
      <alignment horizontal="center" vertical="center"/>
    </xf>
    <xf numFmtId="0" fontId="4" fillId="0" borderId="45" xfId="3" applyBorder="1" applyAlignment="1">
      <alignment horizontal="center" vertical="center"/>
    </xf>
    <xf numFmtId="49" fontId="4" fillId="0" borderId="36" xfId="3" applyNumberFormat="1" applyBorder="1" applyAlignment="1">
      <alignment horizontal="left" vertical="center"/>
    </xf>
    <xf numFmtId="49" fontId="4" fillId="0" borderId="37" xfId="3" applyNumberFormat="1" applyBorder="1" applyAlignment="1">
      <alignment horizontal="left" vertical="center"/>
    </xf>
    <xf numFmtId="49" fontId="4" fillId="0" borderId="33" xfId="3" applyNumberFormat="1" applyBorder="1" applyAlignment="1">
      <alignment horizontal="left" vertical="center"/>
    </xf>
    <xf numFmtId="49" fontId="52" fillId="0" borderId="36" xfId="3" applyNumberFormat="1" applyFont="1" applyBorder="1" applyAlignment="1">
      <alignment horizontal="center" vertical="center"/>
    </xf>
    <xf numFmtId="49" fontId="52" fillId="0" borderId="33" xfId="3" applyNumberFormat="1" applyFont="1" applyBorder="1" applyAlignment="1">
      <alignment horizontal="center" vertical="center"/>
    </xf>
    <xf numFmtId="14" fontId="51" fillId="0" borderId="0" xfId="3" applyNumberFormat="1" applyFont="1" applyAlignment="1">
      <alignment horizontal="left" vertical="center"/>
    </xf>
    <xf numFmtId="0" fontId="51" fillId="0" borderId="0" xfId="3" applyFont="1" applyAlignment="1">
      <alignment horizontal="left" vertical="center"/>
    </xf>
    <xf numFmtId="14" fontId="4" fillId="0" borderId="38" xfId="3" applyNumberFormat="1" applyBorder="1" applyAlignment="1">
      <alignment horizontal="center" vertical="center"/>
    </xf>
    <xf numFmtId="14" fontId="36" fillId="0" borderId="38" xfId="3" applyNumberFormat="1" applyFont="1" applyBorder="1" applyAlignment="1">
      <alignment horizontal="center" vertical="center"/>
    </xf>
    <xf numFmtId="0" fontId="36" fillId="0" borderId="51" xfId="3" applyFont="1" applyBorder="1" applyAlignment="1">
      <alignment horizontal="center" vertical="center"/>
    </xf>
    <xf numFmtId="0" fontId="36" fillId="0" borderId="39" xfId="3" applyFont="1" applyBorder="1" applyAlignment="1">
      <alignment horizontal="center" vertical="center"/>
    </xf>
    <xf numFmtId="0" fontId="36" fillId="0" borderId="46" xfId="3" applyFont="1" applyBorder="1" applyAlignment="1">
      <alignment horizontal="center" vertical="center"/>
    </xf>
    <xf numFmtId="0" fontId="36" fillId="0" borderId="35" xfId="3" applyFont="1" applyBorder="1" applyAlignment="1">
      <alignment horizontal="center" vertical="center"/>
    </xf>
    <xf numFmtId="0" fontId="36" fillId="0" borderId="45" xfId="3" applyFont="1" applyBorder="1" applyAlignment="1">
      <alignment horizontal="center" vertical="center"/>
    </xf>
    <xf numFmtId="14" fontId="4" fillId="0" borderId="38" xfId="3" applyNumberFormat="1" applyBorder="1" applyAlignment="1">
      <alignment horizontal="center" vertical="center" wrapText="1"/>
    </xf>
    <xf numFmtId="0" fontId="4" fillId="0" borderId="51" xfId="3" applyBorder="1" applyAlignment="1">
      <alignment horizontal="center" vertical="center" wrapText="1"/>
    </xf>
    <xf numFmtId="0" fontId="4" fillId="0" borderId="39" xfId="3" applyBorder="1" applyAlignment="1">
      <alignment horizontal="center" vertical="center" wrapText="1"/>
    </xf>
    <xf numFmtId="0" fontId="4" fillId="0" borderId="46" xfId="3" applyBorder="1" applyAlignment="1">
      <alignment horizontal="center" vertical="center" wrapText="1"/>
    </xf>
    <xf numFmtId="0" fontId="4" fillId="0" borderId="35" xfId="3" applyBorder="1" applyAlignment="1">
      <alignment horizontal="center" vertical="center" wrapText="1"/>
    </xf>
    <xf numFmtId="0" fontId="4" fillId="0" borderId="45" xfId="3" applyBorder="1" applyAlignment="1">
      <alignment horizontal="center" vertical="center" wrapText="1"/>
    </xf>
    <xf numFmtId="14" fontId="50" fillId="0" borderId="38" xfId="3" applyNumberFormat="1" applyFont="1" applyBorder="1" applyAlignment="1">
      <alignment horizontal="center" vertical="center"/>
    </xf>
    <xf numFmtId="0" fontId="50" fillId="0" borderId="51" xfId="3" applyFont="1" applyBorder="1" applyAlignment="1">
      <alignment horizontal="center" vertical="center"/>
    </xf>
    <xf numFmtId="0" fontId="50" fillId="0" borderId="39" xfId="3" applyFont="1" applyBorder="1" applyAlignment="1">
      <alignment horizontal="center" vertical="center"/>
    </xf>
    <xf numFmtId="0" fontId="50" fillId="0" borderId="46" xfId="3" applyFont="1" applyBorder="1" applyAlignment="1">
      <alignment horizontal="center" vertical="center"/>
    </xf>
    <xf numFmtId="0" fontId="50" fillId="0" borderId="35" xfId="3" applyFont="1" applyBorder="1" applyAlignment="1">
      <alignment horizontal="center" vertical="center"/>
    </xf>
    <xf numFmtId="0" fontId="50" fillId="0" borderId="45" xfId="3" applyFont="1" applyBorder="1" applyAlignment="1">
      <alignment horizontal="center" vertical="center"/>
    </xf>
    <xf numFmtId="49" fontId="19" fillId="0" borderId="38" xfId="3" applyNumberFormat="1" applyFont="1" applyBorder="1" applyAlignment="1">
      <alignment horizontal="center" vertical="center" wrapText="1"/>
    </xf>
    <xf numFmtId="49" fontId="19" fillId="0" borderId="39" xfId="3" applyNumberFormat="1" applyFont="1" applyBorder="1" applyAlignment="1">
      <alignment horizontal="center" vertical="center" wrapText="1"/>
    </xf>
    <xf numFmtId="49" fontId="19" fillId="0" borderId="46" xfId="3" applyNumberFormat="1" applyFont="1" applyBorder="1" applyAlignment="1">
      <alignment horizontal="center" vertical="center" wrapText="1"/>
    </xf>
    <xf numFmtId="49" fontId="19" fillId="0" borderId="45" xfId="3" applyNumberFormat="1" applyFont="1" applyBorder="1" applyAlignment="1">
      <alignment horizontal="center" vertical="center" wrapText="1"/>
    </xf>
    <xf numFmtId="49" fontId="26" fillId="0" borderId="51" xfId="3" applyNumberFormat="1" applyFont="1" applyBorder="1" applyAlignment="1">
      <alignment horizontal="center" vertical="center"/>
    </xf>
    <xf numFmtId="49" fontId="26" fillId="0" borderId="39" xfId="3" applyNumberFormat="1" applyFont="1" applyBorder="1" applyAlignment="1">
      <alignment horizontal="center" vertical="center"/>
    </xf>
    <xf numFmtId="49" fontId="19" fillId="0" borderId="38" xfId="3" applyNumberFormat="1" applyFont="1" applyBorder="1" applyAlignment="1">
      <alignment horizontal="center" vertical="center"/>
    </xf>
    <xf numFmtId="49" fontId="19" fillId="0" borderId="51" xfId="3" applyNumberFormat="1" applyFont="1" applyBorder="1" applyAlignment="1">
      <alignment horizontal="center" vertical="center"/>
    </xf>
    <xf numFmtId="49" fontId="19" fillId="0" borderId="39" xfId="3" applyNumberFormat="1" applyFont="1" applyBorder="1" applyAlignment="1">
      <alignment horizontal="center" vertical="center"/>
    </xf>
    <xf numFmtId="49" fontId="19" fillId="0" borderId="46" xfId="3" applyNumberFormat="1" applyFont="1" applyBorder="1" applyAlignment="1">
      <alignment horizontal="center" vertical="center"/>
    </xf>
    <xf numFmtId="49" fontId="19" fillId="0" borderId="35" xfId="3" applyNumberFormat="1" applyFont="1" applyBorder="1" applyAlignment="1">
      <alignment horizontal="center" vertical="center"/>
    </xf>
    <xf numFmtId="49" fontId="19" fillId="0" borderId="45" xfId="3" applyNumberFormat="1" applyFont="1" applyBorder="1" applyAlignment="1">
      <alignment horizontal="center" vertical="center"/>
    </xf>
    <xf numFmtId="49" fontId="36" fillId="0" borderId="38" xfId="3" applyNumberFormat="1" applyFont="1" applyBorder="1" applyAlignment="1">
      <alignment horizontal="center" vertical="center"/>
    </xf>
    <xf numFmtId="49" fontId="36" fillId="0" borderId="51" xfId="3" applyNumberFormat="1" applyFont="1" applyBorder="1" applyAlignment="1">
      <alignment horizontal="center" vertical="center"/>
    </xf>
    <xf numFmtId="49" fontId="36" fillId="0" borderId="39" xfId="3" applyNumberFormat="1" applyFont="1" applyBorder="1" applyAlignment="1">
      <alignment horizontal="center" vertical="center"/>
    </xf>
    <xf numFmtId="49" fontId="26" fillId="0" borderId="35" xfId="3" applyNumberFormat="1" applyFont="1" applyBorder="1" applyAlignment="1">
      <alignment horizontal="center" vertical="center"/>
    </xf>
    <xf numFmtId="49" fontId="26" fillId="0" borderId="45" xfId="3" applyNumberFormat="1" applyFont="1" applyBorder="1" applyAlignment="1">
      <alignment horizontal="center" vertical="center"/>
    </xf>
    <xf numFmtId="49" fontId="36" fillId="0" borderId="46" xfId="3" applyNumberFormat="1" applyFont="1" applyBorder="1" applyAlignment="1">
      <alignment horizontal="center" vertical="center"/>
    </xf>
    <xf numFmtId="49" fontId="36" fillId="0" borderId="35" xfId="3" applyNumberFormat="1" applyFont="1" applyBorder="1" applyAlignment="1">
      <alignment horizontal="center" vertical="center"/>
    </xf>
    <xf numFmtId="49" fontId="36" fillId="0" borderId="45" xfId="3" applyNumberFormat="1" applyFont="1" applyBorder="1" applyAlignment="1">
      <alignment horizontal="center" vertical="center"/>
    </xf>
    <xf numFmtId="14" fontId="26" fillId="0" borderId="38" xfId="3" applyNumberFormat="1" applyFont="1" applyBorder="1" applyAlignment="1">
      <alignment horizontal="center" vertical="center" wrapText="1"/>
    </xf>
    <xf numFmtId="0" fontId="26" fillId="0" borderId="39" xfId="3" applyFont="1" applyBorder="1" applyAlignment="1">
      <alignment horizontal="center" vertical="center" wrapText="1"/>
    </xf>
    <xf numFmtId="0" fontId="26" fillId="0" borderId="46" xfId="3" applyFont="1" applyBorder="1" applyAlignment="1">
      <alignment horizontal="center" vertical="center" wrapText="1"/>
    </xf>
    <xf numFmtId="0" fontId="26" fillId="0" borderId="45" xfId="3" applyFont="1" applyBorder="1" applyAlignment="1">
      <alignment horizontal="center" vertical="center" wrapText="1"/>
    </xf>
    <xf numFmtId="49" fontId="26" fillId="0" borderId="38" xfId="3" applyNumberFormat="1" applyFont="1" applyBorder="1" applyAlignment="1">
      <alignment horizontal="center" vertical="center"/>
    </xf>
    <xf numFmtId="49" fontId="26" fillId="0" borderId="46" xfId="3" applyNumberFormat="1" applyFont="1" applyBorder="1" applyAlignment="1">
      <alignment horizontal="center" vertical="center"/>
    </xf>
    <xf numFmtId="0" fontId="36" fillId="0" borderId="38" xfId="3" applyFont="1" applyBorder="1" applyAlignment="1">
      <alignment horizontal="center" vertical="center"/>
    </xf>
    <xf numFmtId="49" fontId="4" fillId="0" borderId="36" xfId="3" applyNumberFormat="1" applyBorder="1" applyAlignment="1">
      <alignment horizontal="center" vertical="distributed"/>
    </xf>
    <xf numFmtId="49" fontId="4" fillId="0" borderId="37" xfId="3" applyNumberFormat="1" applyBorder="1" applyAlignment="1">
      <alignment horizontal="center" vertical="distributed"/>
    </xf>
    <xf numFmtId="49" fontId="4" fillId="0" borderId="33" xfId="3" applyNumberFormat="1" applyBorder="1" applyAlignment="1">
      <alignment horizontal="center" vertical="distributed"/>
    </xf>
    <xf numFmtId="49" fontId="36" fillId="0" borderId="36" xfId="3" applyNumberFormat="1" applyFont="1" applyBorder="1" applyAlignment="1">
      <alignment horizontal="center" vertical="center"/>
    </xf>
    <xf numFmtId="49" fontId="36" fillId="0" borderId="37" xfId="3" applyNumberFormat="1" applyFont="1" applyBorder="1" applyAlignment="1">
      <alignment horizontal="center" vertical="center"/>
    </xf>
    <xf numFmtId="49" fontId="36" fillId="0" borderId="33" xfId="3" applyNumberFormat="1" applyFont="1" applyBorder="1" applyAlignment="1">
      <alignment horizontal="center" vertical="center"/>
    </xf>
    <xf numFmtId="49" fontId="4" fillId="0" borderId="51" xfId="3" applyNumberFormat="1" applyBorder="1" applyAlignment="1">
      <alignment horizontal="center" vertical="center" wrapText="1"/>
    </xf>
    <xf numFmtId="49" fontId="4" fillId="0" borderId="39" xfId="3" applyNumberFormat="1" applyBorder="1" applyAlignment="1">
      <alignment horizontal="center" vertical="center" wrapText="1"/>
    </xf>
    <xf numFmtId="49" fontId="4" fillId="0" borderId="52" xfId="3" applyNumberFormat="1" applyBorder="1" applyAlignment="1">
      <alignment horizontal="center" vertical="center" wrapText="1"/>
    </xf>
    <xf numFmtId="49" fontId="4" fillId="0" borderId="53" xfId="3" applyNumberFormat="1" applyBorder="1" applyAlignment="1">
      <alignment horizontal="center" vertical="center" wrapText="1"/>
    </xf>
    <xf numFmtId="49" fontId="4" fillId="0" borderId="1" xfId="3" applyNumberFormat="1" applyBorder="1" applyAlignment="1">
      <alignment horizontal="center" vertical="center"/>
    </xf>
    <xf numFmtId="49" fontId="4" fillId="0" borderId="50" xfId="3" applyNumberFormat="1" applyBorder="1" applyAlignment="1">
      <alignment horizontal="center" vertical="center"/>
    </xf>
    <xf numFmtId="49" fontId="50" fillId="0" borderId="40" xfId="3" applyNumberFormat="1" applyFont="1" applyBorder="1" applyAlignment="1">
      <alignment horizontal="center" vertical="center"/>
    </xf>
    <xf numFmtId="0" fontId="4" fillId="0" borderId="40" xfId="3" applyBorder="1" applyAlignment="1">
      <alignment horizontal="center" vertical="center"/>
    </xf>
    <xf numFmtId="20" fontId="84" fillId="0" borderId="41" xfId="3" applyNumberFormat="1" applyFont="1" applyBorder="1" applyAlignment="1">
      <alignment horizontal="center" vertical="center"/>
    </xf>
    <xf numFmtId="0" fontId="84" fillId="0" borderId="42" xfId="3" applyFont="1" applyBorder="1" applyAlignment="1">
      <alignment horizontal="center" vertical="center"/>
    </xf>
    <xf numFmtId="0" fontId="84" fillId="0" borderId="43" xfId="3" applyFont="1" applyBorder="1" applyAlignment="1">
      <alignment horizontal="center" vertical="center"/>
    </xf>
    <xf numFmtId="20" fontId="4" fillId="0" borderId="40" xfId="3" applyNumberFormat="1" applyBorder="1" applyAlignment="1">
      <alignment horizontal="center" vertical="center"/>
    </xf>
    <xf numFmtId="14" fontId="50" fillId="0" borderId="40" xfId="3" applyNumberFormat="1" applyFont="1" applyBorder="1" applyAlignment="1">
      <alignment horizontal="center" vertical="center" shrinkToFit="1"/>
    </xf>
    <xf numFmtId="0" fontId="50" fillId="0" borderId="40" xfId="3" applyFont="1" applyBorder="1" applyAlignment="1">
      <alignment horizontal="center" vertical="center" shrinkToFit="1"/>
    </xf>
    <xf numFmtId="180" fontId="4" fillId="0" borderId="41" xfId="3" applyNumberFormat="1" applyBorder="1" applyAlignment="1" applyProtection="1">
      <alignment horizontal="center" vertical="center"/>
      <protection locked="0"/>
    </xf>
    <xf numFmtId="180" fontId="4" fillId="0" borderId="42" xfId="3" applyNumberFormat="1" applyBorder="1" applyAlignment="1" applyProtection="1">
      <alignment horizontal="center" vertical="center"/>
      <protection locked="0"/>
    </xf>
    <xf numFmtId="180" fontId="4" fillId="0" borderId="43" xfId="3" applyNumberFormat="1" applyBorder="1" applyAlignment="1" applyProtection="1">
      <alignment horizontal="center" vertical="center"/>
      <protection locked="0"/>
    </xf>
    <xf numFmtId="179" fontId="4" fillId="0" borderId="41" xfId="3" applyNumberFormat="1" applyBorder="1" applyAlignment="1">
      <alignment horizontal="center" vertical="center"/>
    </xf>
    <xf numFmtId="179" fontId="4" fillId="0" borderId="42" xfId="3" applyNumberFormat="1" applyBorder="1" applyAlignment="1">
      <alignment horizontal="center" vertical="center"/>
    </xf>
    <xf numFmtId="179" fontId="4" fillId="0" borderId="54" xfId="3" applyNumberFormat="1" applyBorder="1" applyAlignment="1">
      <alignment horizontal="center" vertical="center"/>
    </xf>
    <xf numFmtId="0" fontId="4" fillId="0" borderId="48" xfId="3" applyBorder="1" applyAlignment="1">
      <alignment horizontal="left" vertical="center"/>
    </xf>
    <xf numFmtId="0" fontId="0" fillId="0" borderId="48" xfId="0" applyBorder="1" applyAlignment="1">
      <alignment horizontal="left" vertical="center"/>
    </xf>
    <xf numFmtId="49" fontId="4" fillId="0" borderId="79" xfId="3" applyNumberFormat="1" applyBorder="1" applyAlignment="1">
      <alignment horizontal="left" vertical="center"/>
    </xf>
    <xf numFmtId="0" fontId="0" fillId="0" borderId="79" xfId="0" applyBorder="1" applyAlignment="1">
      <alignment horizontal="left" vertical="center"/>
    </xf>
    <xf numFmtId="49" fontId="4" fillId="0" borderId="76" xfId="3" applyNumberFormat="1" applyBorder="1" applyAlignment="1">
      <alignment horizontal="left" vertical="center"/>
    </xf>
    <xf numFmtId="0" fontId="0" fillId="0" borderId="76" xfId="0" applyBorder="1" applyAlignment="1">
      <alignment horizontal="left" vertical="center"/>
    </xf>
    <xf numFmtId="14" fontId="4" fillId="0" borderId="35" xfId="3" applyNumberFormat="1" applyBorder="1" applyAlignment="1">
      <alignment horizontal="left" vertical="center" shrinkToFit="1"/>
    </xf>
    <xf numFmtId="0" fontId="4" fillId="0" borderId="35" xfId="3" applyBorder="1" applyAlignment="1">
      <alignment horizontal="left" vertical="center" shrinkToFit="1"/>
    </xf>
    <xf numFmtId="49" fontId="4" fillId="0" borderId="19" xfId="3" applyNumberFormat="1" applyBorder="1" applyAlignment="1">
      <alignment horizontal="center" vertical="center"/>
    </xf>
    <xf numFmtId="49" fontId="4" fillId="0" borderId="47" xfId="3" applyNumberFormat="1" applyBorder="1" applyAlignment="1">
      <alignment horizontal="center" vertical="center"/>
    </xf>
    <xf numFmtId="49" fontId="4" fillId="0" borderId="48" xfId="3" applyNumberFormat="1" applyBorder="1" applyAlignment="1">
      <alignment horizontal="center" vertical="center"/>
    </xf>
    <xf numFmtId="49" fontId="4" fillId="0" borderId="49" xfId="3" applyNumberFormat="1" applyBorder="1" applyAlignment="1">
      <alignment horizontal="center" vertical="center"/>
    </xf>
    <xf numFmtId="49" fontId="4" fillId="0" borderId="1" xfId="3" applyNumberFormat="1" applyBorder="1" applyAlignment="1">
      <alignment horizontal="left" vertical="center"/>
    </xf>
    <xf numFmtId="49" fontId="4" fillId="0" borderId="80" xfId="3" applyNumberFormat="1" applyBorder="1" applyAlignment="1">
      <alignment horizontal="left" vertical="center"/>
    </xf>
    <xf numFmtId="0" fontId="0" fillId="0" borderId="80" xfId="0" applyBorder="1" applyAlignment="1">
      <alignment horizontal="left" vertical="center"/>
    </xf>
    <xf numFmtId="49" fontId="4" fillId="0" borderId="81" xfId="3" applyNumberFormat="1" applyBorder="1" applyAlignment="1">
      <alignment horizontal="left" vertical="center"/>
    </xf>
    <xf numFmtId="0" fontId="0" fillId="0" borderId="78" xfId="0" applyBorder="1" applyAlignment="1">
      <alignment horizontal="left" vertical="center"/>
    </xf>
    <xf numFmtId="0" fontId="44" fillId="0" borderId="0" xfId="6" applyFont="1" applyAlignment="1">
      <alignment horizontal="center"/>
    </xf>
    <xf numFmtId="0" fontId="47" fillId="0" borderId="35" xfId="6" applyFont="1" applyBorder="1"/>
    <xf numFmtId="0" fontId="0" fillId="8" borderId="0" xfId="0" applyFill="1" applyAlignment="1">
      <alignment horizontal="center" vertical="center"/>
    </xf>
    <xf numFmtId="0" fontId="0" fillId="2" borderId="1" xfId="0" applyFill="1" applyBorder="1" applyAlignment="1">
      <alignment horizontal="center" vertical="center"/>
    </xf>
    <xf numFmtId="0" fontId="0" fillId="0" borderId="0" xfId="0" applyAlignment="1">
      <alignment horizontal="center" vertical="center"/>
    </xf>
    <xf numFmtId="0" fontId="0" fillId="17" borderId="35" xfId="0" applyFill="1" applyBorder="1" applyAlignment="1">
      <alignment horizontal="center" vertical="center"/>
    </xf>
    <xf numFmtId="0" fontId="87" fillId="0" borderId="31" xfId="0" applyFont="1" applyBorder="1" applyAlignment="1">
      <alignment horizontal="center" vertical="center"/>
    </xf>
    <xf numFmtId="0" fontId="87" fillId="0" borderId="0" xfId="0" applyFont="1" applyAlignment="1">
      <alignment horizontal="center" vertical="center"/>
    </xf>
    <xf numFmtId="0" fontId="15" fillId="0" borderId="0" xfId="1" applyFont="1" applyAlignment="1">
      <alignment horizontal="left" vertical="center"/>
    </xf>
    <xf numFmtId="0" fontId="9" fillId="0" borderId="0" xfId="1" applyFont="1" applyAlignment="1">
      <alignment horizontal="left" vertical="center"/>
    </xf>
    <xf numFmtId="0" fontId="9" fillId="0" borderId="0" xfId="1" applyFont="1" applyAlignment="1">
      <alignment horizontal="left" vertical="center" wrapText="1"/>
    </xf>
    <xf numFmtId="0" fontId="12" fillId="0" borderId="0" xfId="1" applyFont="1" applyAlignment="1">
      <alignment horizontal="center" vertical="center"/>
    </xf>
    <xf numFmtId="0" fontId="15" fillId="0" borderId="1" xfId="1" applyFont="1" applyBorder="1" applyAlignment="1">
      <alignment horizontal="center" vertical="center" wrapText="1"/>
    </xf>
    <xf numFmtId="0" fontId="9" fillId="0" borderId="8" xfId="1" applyFont="1" applyBorder="1" applyAlignment="1">
      <alignment horizontal="center" vertical="center"/>
    </xf>
    <xf numFmtId="0" fontId="16" fillId="0" borderId="1" xfId="1" applyFont="1" applyBorder="1" applyAlignment="1">
      <alignment horizontal="center" vertical="center" wrapText="1"/>
    </xf>
    <xf numFmtId="0" fontId="17" fillId="0" borderId="2" xfId="1" applyFont="1" applyBorder="1" applyAlignment="1">
      <alignment horizontal="center" vertical="center" wrapText="1"/>
    </xf>
    <xf numFmtId="0" fontId="17" fillId="0" borderId="1" xfId="1" applyFont="1" applyBorder="1" applyAlignment="1">
      <alignment horizontal="center" vertical="center" wrapText="1"/>
    </xf>
    <xf numFmtId="0" fontId="15" fillId="0" borderId="1" xfId="1" applyFont="1" applyBorder="1" applyAlignment="1">
      <alignment horizontal="center" vertical="center"/>
    </xf>
    <xf numFmtId="0" fontId="9" fillId="0" borderId="1" xfId="1" applyFont="1" applyBorder="1" applyAlignment="1">
      <alignment horizontal="center" vertical="center"/>
    </xf>
    <xf numFmtId="0" fontId="16" fillId="0" borderId="1" xfId="1" applyFont="1" applyBorder="1" applyAlignment="1">
      <alignment horizontal="left" vertical="center"/>
    </xf>
    <xf numFmtId="0" fontId="17" fillId="0" borderId="2" xfId="1" applyFont="1" applyBorder="1" applyAlignment="1">
      <alignment horizontal="left" vertical="center"/>
    </xf>
    <xf numFmtId="0" fontId="15" fillId="0" borderId="2" xfId="1" applyFont="1" applyBorder="1" applyAlignment="1">
      <alignment horizontal="center" vertical="center" wrapText="1"/>
    </xf>
    <xf numFmtId="0" fontId="9" fillId="0" borderId="9" xfId="1" applyFont="1" applyBorder="1" applyAlignment="1">
      <alignment horizontal="center" vertical="center" wrapText="1"/>
    </xf>
    <xf numFmtId="0" fontId="21" fillId="0" borderId="0" xfId="1" applyFont="1" applyAlignment="1">
      <alignment horizontal="left" vertical="center" wrapText="1"/>
    </xf>
    <xf numFmtId="0" fontId="21" fillId="0" borderId="0" xfId="1" applyFont="1" applyAlignment="1">
      <alignment horizontal="left" vertical="center"/>
    </xf>
    <xf numFmtId="176" fontId="21" fillId="0" borderId="12" xfId="1" applyNumberFormat="1" applyFont="1" applyBorder="1" applyAlignment="1">
      <alignment horizontal="center" vertical="center"/>
    </xf>
    <xf numFmtId="176" fontId="21" fillId="0" borderId="9" xfId="1" applyNumberFormat="1" applyFont="1" applyBorder="1" applyAlignment="1">
      <alignment horizontal="center" vertical="center"/>
    </xf>
    <xf numFmtId="176" fontId="21" fillId="0" borderId="26" xfId="1" applyNumberFormat="1" applyFont="1" applyBorder="1" applyAlignment="1">
      <alignment horizontal="center" vertical="center"/>
    </xf>
    <xf numFmtId="177" fontId="21" fillId="0" borderId="30" xfId="1" applyNumberFormat="1" applyFont="1" applyBorder="1" applyAlignment="1">
      <alignment horizontal="center" vertical="center"/>
    </xf>
    <xf numFmtId="177" fontId="21" fillId="0" borderId="31" xfId="1" applyNumberFormat="1" applyFont="1" applyBorder="1" applyAlignment="1">
      <alignment horizontal="center" vertical="center"/>
    </xf>
    <xf numFmtId="177" fontId="21" fillId="0" borderId="32" xfId="1" applyNumberFormat="1" applyFont="1" applyBorder="1" applyAlignment="1">
      <alignment horizontal="center" vertical="center"/>
    </xf>
    <xf numFmtId="0" fontId="21" fillId="0" borderId="12" xfId="1" applyFont="1" applyBorder="1" applyAlignment="1">
      <alignment horizontal="left" vertical="center"/>
    </xf>
    <xf numFmtId="0" fontId="21" fillId="0" borderId="9" xfId="1" applyFont="1" applyBorder="1" applyAlignment="1">
      <alignment horizontal="left" vertical="center"/>
    </xf>
    <xf numFmtId="0" fontId="21" fillId="0" borderId="26" xfId="1" applyFont="1" applyBorder="1" applyAlignment="1">
      <alignment horizontal="left" vertical="center"/>
    </xf>
    <xf numFmtId="0" fontId="21" fillId="0" borderId="12" xfId="4" applyFont="1" applyBorder="1" applyAlignment="1">
      <alignment horizontal="center" vertical="center" wrapText="1"/>
    </xf>
    <xf numFmtId="0" fontId="21" fillId="0" borderId="9" xfId="4" applyFont="1" applyBorder="1" applyAlignment="1">
      <alignment horizontal="center" vertical="center" wrapText="1"/>
    </xf>
    <xf numFmtId="0" fontId="21" fillId="0" borderId="26" xfId="4" applyFont="1" applyBorder="1" applyAlignment="1">
      <alignment horizontal="center" vertical="center" wrapText="1"/>
    </xf>
    <xf numFmtId="0" fontId="0" fillId="0" borderId="0" xfId="1" applyFont="1" applyAlignment="1">
      <alignment horizontal="left" vertical="center"/>
    </xf>
    <xf numFmtId="0" fontId="21" fillId="0" borderId="12" xfId="1" applyFont="1" applyBorder="1" applyAlignment="1">
      <alignment horizontal="center" vertical="center"/>
    </xf>
    <xf numFmtId="0" fontId="21" fillId="0" borderId="9" xfId="1" applyFont="1" applyBorder="1" applyAlignment="1">
      <alignment horizontal="center" vertical="center"/>
    </xf>
    <xf numFmtId="0" fontId="21" fillId="0" borderId="26" xfId="1" applyFont="1" applyBorder="1" applyAlignment="1">
      <alignment horizontal="center" vertical="center"/>
    </xf>
    <xf numFmtId="178" fontId="21" fillId="0" borderId="12" xfId="1" applyNumberFormat="1" applyFont="1" applyBorder="1" applyAlignment="1">
      <alignment horizontal="center" vertical="center"/>
    </xf>
    <xf numFmtId="178" fontId="21" fillId="0" borderId="9" xfId="1" applyNumberFormat="1" applyFont="1" applyBorder="1" applyAlignment="1">
      <alignment horizontal="center" vertical="center"/>
    </xf>
    <xf numFmtId="178" fontId="21" fillId="0" borderId="26" xfId="1" applyNumberFormat="1" applyFont="1" applyBorder="1" applyAlignment="1">
      <alignment horizontal="center" vertical="center"/>
    </xf>
    <xf numFmtId="177" fontId="21" fillId="0" borderId="12" xfId="1" applyNumberFormat="1" applyFont="1" applyBorder="1" applyAlignment="1">
      <alignment horizontal="center" vertical="center"/>
    </xf>
    <xf numFmtId="177" fontId="21" fillId="0" borderId="9" xfId="1" applyNumberFormat="1" applyFont="1" applyBorder="1" applyAlignment="1">
      <alignment horizontal="center" vertical="center"/>
    </xf>
    <xf numFmtId="177" fontId="21" fillId="0" borderId="26" xfId="1" applyNumberFormat="1" applyFont="1" applyBorder="1" applyAlignment="1">
      <alignment horizontal="center" vertical="center"/>
    </xf>
    <xf numFmtId="0" fontId="34" fillId="0" borderId="0" xfId="1" applyFont="1" applyAlignment="1">
      <alignment horizontal="center" vertical="center"/>
    </xf>
    <xf numFmtId="0" fontId="4" fillId="0" borderId="23" xfId="1" applyBorder="1" applyAlignment="1">
      <alignment horizontal="center" vertical="center" wrapText="1"/>
    </xf>
    <xf numFmtId="0" fontId="21" fillId="0" borderId="25" xfId="1" applyFont="1" applyBorder="1" applyAlignment="1">
      <alignment horizontal="center" vertical="center"/>
    </xf>
    <xf numFmtId="0" fontId="36" fillId="0" borderId="11" xfId="1" applyFont="1" applyBorder="1" applyAlignment="1">
      <alignment horizontal="center" vertical="center" wrapText="1"/>
    </xf>
    <xf numFmtId="0" fontId="37" fillId="0" borderId="2" xfId="1" applyFont="1" applyBorder="1" applyAlignment="1">
      <alignment horizontal="center" vertical="center" wrapText="1"/>
    </xf>
    <xf numFmtId="0" fontId="37" fillId="0" borderId="11" xfId="1" applyFont="1" applyBorder="1" applyAlignment="1">
      <alignment horizontal="center" vertical="center" wrapText="1"/>
    </xf>
    <xf numFmtId="0" fontId="4" fillId="0" borderId="11" xfId="1" applyBorder="1" applyAlignment="1">
      <alignment horizontal="center" vertical="center"/>
    </xf>
    <xf numFmtId="0" fontId="21" fillId="0" borderId="11" xfId="1" applyFont="1" applyBorder="1" applyAlignment="1">
      <alignment horizontal="center" vertical="center"/>
    </xf>
    <xf numFmtId="0" fontId="36" fillId="0" borderId="12" xfId="1" applyFont="1" applyBorder="1" applyAlignment="1">
      <alignment horizontal="center" vertical="center"/>
    </xf>
    <xf numFmtId="0" fontId="37" fillId="0" borderId="26" xfId="1" applyFont="1" applyBorder="1" applyAlignment="1">
      <alignment horizontal="center" vertical="center"/>
    </xf>
    <xf numFmtId="0" fontId="37" fillId="0" borderId="8" xfId="1" applyFont="1" applyBorder="1" applyAlignment="1">
      <alignment horizontal="center" vertical="center" wrapText="1"/>
    </xf>
    <xf numFmtId="0" fontId="4" fillId="0" borderId="12" xfId="1" applyBorder="1" applyAlignment="1">
      <alignment horizontal="center" vertical="center" wrapText="1"/>
    </xf>
    <xf numFmtId="0" fontId="21" fillId="0" borderId="26" xfId="1" applyFont="1" applyBorder="1" applyAlignment="1">
      <alignment horizontal="center" vertical="center" wrapText="1"/>
    </xf>
    <xf numFmtId="0" fontId="36" fillId="0" borderId="24" xfId="1" applyFont="1" applyBorder="1" applyAlignment="1">
      <alignment horizontal="center" vertical="center" wrapText="1"/>
    </xf>
    <xf numFmtId="0" fontId="37" fillId="0" borderId="18" xfId="1" applyFont="1" applyBorder="1" applyAlignment="1">
      <alignment horizontal="center" vertical="center" wrapText="1"/>
    </xf>
    <xf numFmtId="0" fontId="41" fillId="0" borderId="0" xfId="7" applyAlignment="1">
      <alignment horizontal="center"/>
    </xf>
    <xf numFmtId="182" fontId="75" fillId="0" borderId="0" xfId="7" applyNumberFormat="1" applyFont="1" applyAlignment="1" applyProtection="1">
      <alignment horizontal="left" vertical="center"/>
      <protection locked="0"/>
    </xf>
    <xf numFmtId="0" fontId="75" fillId="0" borderId="52" xfId="7" applyFont="1" applyBorder="1" applyAlignment="1">
      <alignment horizontal="left"/>
    </xf>
    <xf numFmtId="182" fontId="65" fillId="0" borderId="0" xfId="7" applyNumberFormat="1" applyFont="1" applyAlignment="1" applyProtection="1">
      <alignment horizontal="center" vertical="center" wrapText="1"/>
      <protection locked="0"/>
    </xf>
    <xf numFmtId="0" fontId="66" fillId="0" borderId="0" xfId="7" applyFont="1" applyAlignment="1">
      <alignment horizontal="center" vertical="center" wrapText="1"/>
    </xf>
    <xf numFmtId="0" fontId="41" fillId="0" borderId="0" xfId="7" applyAlignment="1">
      <alignment horizontal="right"/>
    </xf>
    <xf numFmtId="0" fontId="41" fillId="0" borderId="0" xfId="6" applyFont="1" applyAlignment="1">
      <alignment horizontal="right"/>
    </xf>
    <xf numFmtId="0" fontId="69" fillId="0" borderId="57" xfId="7" applyFont="1" applyBorder="1" applyAlignment="1" applyProtection="1">
      <alignment horizontal="center" wrapText="1"/>
      <protection locked="0"/>
    </xf>
    <xf numFmtId="0" fontId="69" fillId="0" borderId="58" xfId="7" applyFont="1" applyBorder="1" applyAlignment="1" applyProtection="1">
      <alignment horizontal="center" wrapText="1"/>
      <protection locked="0"/>
    </xf>
    <xf numFmtId="0" fontId="69" fillId="0" borderId="63" xfId="7" applyFont="1" applyBorder="1" applyAlignment="1" applyProtection="1">
      <alignment horizontal="center" wrapText="1"/>
      <protection locked="0"/>
    </xf>
    <xf numFmtId="0" fontId="69" fillId="0" borderId="55" xfId="7" applyFont="1" applyBorder="1" applyAlignment="1" applyProtection="1">
      <alignment horizontal="center" wrapText="1"/>
      <protection locked="0"/>
    </xf>
    <xf numFmtId="182" fontId="75" fillId="0" borderId="0" xfId="7" applyNumberFormat="1" applyFont="1" applyAlignment="1" applyProtection="1">
      <alignment horizontal="left"/>
      <protection locked="0"/>
    </xf>
    <xf numFmtId="0" fontId="61" fillId="5" borderId="6" xfId="0" applyFont="1" applyFill="1" applyBorder="1" applyAlignment="1">
      <alignment horizontal="center" vertical="center" wrapText="1"/>
    </xf>
    <xf numFmtId="0" fontId="61" fillId="5" borderId="56" xfId="0" applyFont="1" applyFill="1" applyBorder="1" applyAlignment="1">
      <alignment horizontal="center" vertical="center" wrapText="1"/>
    </xf>
    <xf numFmtId="0" fontId="61" fillId="5" borderId="7" xfId="0" applyFont="1" applyFill="1" applyBorder="1" applyAlignment="1">
      <alignment horizontal="center" vertical="center" wrapText="1"/>
    </xf>
    <xf numFmtId="0" fontId="61" fillId="5" borderId="4" xfId="0" applyFont="1" applyFill="1" applyBorder="1" applyAlignment="1">
      <alignment horizontal="center" vertical="center" wrapText="1"/>
    </xf>
    <xf numFmtId="0" fontId="61" fillId="5" borderId="5" xfId="0" applyFont="1" applyFill="1" applyBorder="1" applyAlignment="1">
      <alignment horizontal="center" vertical="center" wrapText="1"/>
    </xf>
    <xf numFmtId="0" fontId="4" fillId="2" borderId="36" xfId="3" applyFill="1" applyBorder="1" applyAlignment="1">
      <alignment horizontal="center" vertical="center"/>
    </xf>
    <xf numFmtId="0" fontId="4" fillId="2" borderId="37" xfId="3" applyFill="1" applyBorder="1" applyAlignment="1">
      <alignment horizontal="center" vertical="center"/>
    </xf>
    <xf numFmtId="0" fontId="4" fillId="2" borderId="33" xfId="3" applyFill="1" applyBorder="1" applyAlignment="1">
      <alignment horizontal="center" vertical="center"/>
    </xf>
    <xf numFmtId="0" fontId="45" fillId="5" borderId="4" xfId="3" applyFont="1" applyFill="1" applyBorder="1" applyAlignment="1">
      <alignment horizontal="center" vertical="center" wrapText="1"/>
    </xf>
    <xf numFmtId="0" fontId="45" fillId="5" borderId="5" xfId="3" applyFont="1" applyFill="1" applyBorder="1" applyAlignment="1">
      <alignment horizontal="center" vertical="center" wrapText="1"/>
    </xf>
    <xf numFmtId="0" fontId="45" fillId="5" borderId="6" xfId="3" applyFont="1" applyFill="1" applyBorder="1" applyAlignment="1">
      <alignment horizontal="center" vertical="center" wrapText="1"/>
    </xf>
    <xf numFmtId="0" fontId="45" fillId="5" borderId="7" xfId="3" applyFont="1" applyFill="1" applyBorder="1" applyAlignment="1">
      <alignment horizontal="center" vertical="center" wrapText="1"/>
    </xf>
  </cellXfs>
  <cellStyles count="10">
    <cellStyle name="一般" xfId="0" builtinId="0"/>
    <cellStyle name="一般 2" xfId="3" xr:uid="{00000000-0005-0000-0000-000001000000}"/>
    <cellStyle name="一般 2 2" xfId="7" xr:uid="{00000000-0005-0000-0000-000002000000}"/>
    <cellStyle name="一般 5" xfId="6" xr:uid="{00000000-0005-0000-0000-000003000000}"/>
    <cellStyle name="一般 5 2" xfId="8" xr:uid="{00000000-0005-0000-0000-000004000000}"/>
    <cellStyle name="一般_96主變全停(煌)" xfId="4" xr:uid="{00000000-0005-0000-0000-000005000000}"/>
    <cellStyle name="一般_IH-102年彰西變電所轉供計畫表_1011016" xfId="1" xr:uid="{00000000-0005-0000-0000-000006000000}"/>
    <cellStyle name="一般_Sheet1" xfId="2" xr:uid="{00000000-0005-0000-0000-000007000000}"/>
    <cellStyle name="百分比 2" xfId="5" xr:uid="{00000000-0005-0000-0000-000008000000}"/>
    <cellStyle name="超連結" xfId="9" builtinId="8"/>
  </cellStyles>
  <dxfs count="354">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FF0000"/>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ont>
        <color rgb="FF9C0006"/>
      </font>
    </dxf>
    <dxf>
      <font>
        <color rgb="FF9C0006"/>
      </font>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200025</xdr:colOff>
          <xdr:row>0</xdr:row>
          <xdr:rowOff>57150</xdr:rowOff>
        </xdr:from>
        <xdr:to>
          <xdr:col>9</xdr:col>
          <xdr:colOff>257175</xdr:colOff>
          <xdr:row>1</xdr:row>
          <xdr:rowOff>228600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0000-000001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600" b="0" i="0" u="none" strike="noStrike" baseline="0">
                  <a:solidFill>
                    <a:srgbClr val="000000"/>
                  </a:solidFill>
                  <a:latin typeface="標楷體"/>
                  <a:ea typeface="標楷體"/>
                </a:rPr>
                <a:t>1.更新資料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3</xdr:row>
          <xdr:rowOff>9525</xdr:rowOff>
        </xdr:from>
        <xdr:to>
          <xdr:col>9</xdr:col>
          <xdr:colOff>266700</xdr:colOff>
          <xdr:row>4</xdr:row>
          <xdr:rowOff>190500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0000-0000024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800" b="0" i="0" u="none" strike="noStrike" baseline="0">
                  <a:solidFill>
                    <a:srgbClr val="000000"/>
                  </a:solidFill>
                  <a:latin typeface="標楷體"/>
                  <a:ea typeface="標楷體"/>
                </a:rPr>
                <a:t>3.査桿號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438150</xdr:colOff>
          <xdr:row>3</xdr:row>
          <xdr:rowOff>19050</xdr:rowOff>
        </xdr:from>
        <xdr:to>
          <xdr:col>10</xdr:col>
          <xdr:colOff>885825</xdr:colOff>
          <xdr:row>4</xdr:row>
          <xdr:rowOff>180975</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00000000-0008-0000-0000-000003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600" b="0" i="0" u="none" strike="noStrike" baseline="0">
                  <a:solidFill>
                    <a:srgbClr val="000000"/>
                  </a:solidFill>
                  <a:latin typeface="標楷體"/>
                  <a:ea typeface="標楷體"/>
                </a:rPr>
                <a:t>4.填操作程序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1428750</xdr:colOff>
          <xdr:row>3</xdr:row>
          <xdr:rowOff>19050</xdr:rowOff>
        </xdr:from>
        <xdr:to>
          <xdr:col>11</xdr:col>
          <xdr:colOff>1238250</xdr:colOff>
          <xdr:row>4</xdr:row>
          <xdr:rowOff>161925</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0000-000004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0" i="0" u="none" strike="noStrike" baseline="0">
                  <a:solidFill>
                    <a:srgbClr val="000000"/>
                  </a:solidFill>
                  <a:latin typeface="標楷體"/>
                  <a:ea typeface="標楷體"/>
                </a:rPr>
                <a:t>饋線分佈圖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466725</xdr:colOff>
          <xdr:row>0</xdr:row>
          <xdr:rowOff>57150</xdr:rowOff>
        </xdr:from>
        <xdr:to>
          <xdr:col>10</xdr:col>
          <xdr:colOff>885825</xdr:colOff>
          <xdr:row>1</xdr:row>
          <xdr:rowOff>228600</xdr:rowOff>
        </xdr:to>
        <xdr:sp macro="" textlink="">
          <xdr:nvSpPr>
            <xdr:cNvPr id="83973" name="Button 5" hidden="1">
              <a:extLst>
                <a:ext uri="{63B3BB69-23CF-44E3-9099-C40C66FF867C}">
                  <a14:compatExt spid="_x0000_s83973"/>
                </a:ext>
                <a:ext uri="{FF2B5EF4-FFF2-40B4-BE49-F238E27FC236}">
                  <a16:creationId xmlns:a16="http://schemas.microsoft.com/office/drawing/2014/main" id="{00000000-0008-0000-0000-000005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0" i="0" u="none" strike="noStrike" baseline="0">
                  <a:solidFill>
                    <a:srgbClr val="000000"/>
                  </a:solidFill>
                  <a:latin typeface="標楷體"/>
                  <a:ea typeface="標楷體"/>
                </a:rPr>
                <a:t>2.填出口電桿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5</xdr:row>
          <xdr:rowOff>9525</xdr:rowOff>
        </xdr:from>
        <xdr:to>
          <xdr:col>0</xdr:col>
          <xdr:colOff>1266825</xdr:colOff>
          <xdr:row>5</xdr:row>
          <xdr:rowOff>257175</xdr:rowOff>
        </xdr:to>
        <xdr:sp macro="" textlink="">
          <xdr:nvSpPr>
            <xdr:cNvPr id="83974" name="Button 6" hidden="1">
              <a:extLst>
                <a:ext uri="{63B3BB69-23CF-44E3-9099-C40C66FF867C}">
                  <a14:compatExt spid="_x0000_s83974"/>
                </a:ext>
                <a:ext uri="{FF2B5EF4-FFF2-40B4-BE49-F238E27FC236}">
                  <a16:creationId xmlns:a16="http://schemas.microsoft.com/office/drawing/2014/main" id="{00000000-0008-0000-0000-000006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清除資料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952500</xdr:colOff>
          <xdr:row>58</xdr:row>
          <xdr:rowOff>47625</xdr:rowOff>
        </xdr:from>
        <xdr:to>
          <xdr:col>11</xdr:col>
          <xdr:colOff>47625</xdr:colOff>
          <xdr:row>59</xdr:row>
          <xdr:rowOff>228600</xdr:rowOff>
        </xdr:to>
        <xdr:sp macro="" textlink="">
          <xdr:nvSpPr>
            <xdr:cNvPr id="84128" name="Button 160" hidden="1">
              <a:extLst>
                <a:ext uri="{63B3BB69-23CF-44E3-9099-C40C66FF867C}">
                  <a14:compatExt spid="_x0000_s84128"/>
                </a:ext>
                <a:ext uri="{FF2B5EF4-FFF2-40B4-BE49-F238E27FC236}">
                  <a16:creationId xmlns:a16="http://schemas.microsoft.com/office/drawing/2014/main" id="{00000000-0008-0000-0000-0000A0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600" b="0" i="0" u="none" strike="noStrike" baseline="0">
                  <a:solidFill>
                    <a:srgbClr val="000000"/>
                  </a:solidFill>
                  <a:latin typeface="標楷體"/>
                  <a:ea typeface="標楷體"/>
                </a:rPr>
                <a:t>手動計算電流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933450</xdr:colOff>
          <xdr:row>56</xdr:row>
          <xdr:rowOff>9525</xdr:rowOff>
        </xdr:from>
        <xdr:to>
          <xdr:col>11</xdr:col>
          <xdr:colOff>28575</xdr:colOff>
          <xdr:row>57</xdr:row>
          <xdr:rowOff>104775</xdr:rowOff>
        </xdr:to>
        <xdr:sp macro="" textlink="">
          <xdr:nvSpPr>
            <xdr:cNvPr id="84162" name="Button 194" hidden="1">
              <a:extLst>
                <a:ext uri="{63B3BB69-23CF-44E3-9099-C40C66FF867C}">
                  <a14:compatExt spid="_x0000_s84162"/>
                </a:ext>
                <a:ext uri="{FF2B5EF4-FFF2-40B4-BE49-F238E27FC236}">
                  <a16:creationId xmlns:a16="http://schemas.microsoft.com/office/drawing/2014/main" id="{00000000-0008-0000-0000-0000C2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600" b="0" i="0" u="none" strike="noStrike" baseline="0">
                  <a:solidFill>
                    <a:srgbClr val="000000"/>
                  </a:solidFill>
                  <a:latin typeface="標楷體"/>
                  <a:ea typeface="標楷體"/>
                </a:rPr>
                <a:t>計算電流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1238250</xdr:colOff>
          <xdr:row>0</xdr:row>
          <xdr:rowOff>57150</xdr:rowOff>
        </xdr:from>
        <xdr:to>
          <xdr:col>11</xdr:col>
          <xdr:colOff>1295400</xdr:colOff>
          <xdr:row>1</xdr:row>
          <xdr:rowOff>247650</xdr:rowOff>
        </xdr:to>
        <xdr:sp macro="" textlink="">
          <xdr:nvSpPr>
            <xdr:cNvPr id="108558" name="Button 2062" hidden="1">
              <a:extLst>
                <a:ext uri="{63B3BB69-23CF-44E3-9099-C40C66FF867C}">
                  <a14:compatExt spid="_x0000_s108558"/>
                </a:ext>
                <a:ext uri="{FF2B5EF4-FFF2-40B4-BE49-F238E27FC236}">
                  <a16:creationId xmlns:a16="http://schemas.microsoft.com/office/drawing/2014/main" id="{00000000-0008-0000-0000-00000E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0" i="0" u="none" strike="noStrike" baseline="0">
                  <a:solidFill>
                    <a:srgbClr val="000000"/>
                  </a:solidFill>
                  <a:latin typeface="標楷體"/>
                  <a:ea typeface="標楷體"/>
                </a:rPr>
                <a:t>開啟出口電桿表</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15</xdr:col>
      <xdr:colOff>120675</xdr:colOff>
      <xdr:row>0</xdr:row>
      <xdr:rowOff>114300</xdr:rowOff>
    </xdr:from>
    <xdr:ext cx="1127712" cy="674106"/>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5026050" y="114300"/>
          <a:ext cx="1127712" cy="674106"/>
        </a:xfrm>
        <a:prstGeom prst="rect">
          <a:avLst/>
        </a:prstGeom>
        <a:noFill/>
        <a:ln w="9525">
          <a:noFill/>
          <a:miter lim="800000"/>
          <a:headEnd/>
          <a:tailEnd/>
        </a:ln>
      </xdr:spPr>
      <xdr:txBody>
        <a:bodyPr wrap="none" lIns="27432" tIns="41148" rIns="27432" bIns="0" anchor="t" upright="1">
          <a:spAutoFit/>
        </a:bodyPr>
        <a:lstStyle/>
        <a:p>
          <a:pPr algn="ctr" rtl="0">
            <a:defRPr sz="1000"/>
          </a:pPr>
          <a:r>
            <a:rPr lang="zh-TW" altLang="en-US" sz="1800" b="1" i="0" u="none" strike="noStrike" baseline="0">
              <a:solidFill>
                <a:srgbClr val="000000"/>
              </a:solidFill>
              <a:latin typeface="新細明體"/>
              <a:ea typeface="新細明體"/>
            </a:rPr>
            <a:t>工作停電</a:t>
          </a:r>
        </a:p>
        <a:p>
          <a:pPr algn="ctr" rtl="0">
            <a:defRPr sz="1000"/>
          </a:pPr>
          <a:r>
            <a:rPr lang="zh-TW" altLang="en-US" sz="1800" b="1" i="0" u="none" strike="noStrike" baseline="0">
              <a:solidFill>
                <a:srgbClr val="000000"/>
              </a:solidFill>
              <a:latin typeface="新細明體"/>
              <a:ea typeface="新細明體"/>
            </a:rPr>
            <a:t>無停電</a:t>
          </a:r>
        </a:p>
      </xdr:txBody>
    </xdr:sp>
    <xdr:clientData/>
  </xdr:oneCellAnchor>
  <xdr:twoCellAnchor editAs="oneCell">
    <xdr:from>
      <xdr:col>30</xdr:col>
      <xdr:colOff>38100</xdr:colOff>
      <xdr:row>1</xdr:row>
      <xdr:rowOff>335280</xdr:rowOff>
    </xdr:from>
    <xdr:to>
      <xdr:col>30</xdr:col>
      <xdr:colOff>106680</xdr:colOff>
      <xdr:row>2</xdr:row>
      <xdr:rowOff>106680</xdr:rowOff>
    </xdr:to>
    <xdr:sp macro="" textlink="">
      <xdr:nvSpPr>
        <xdr:cNvPr id="3" name="Text Box 3">
          <a:extLst>
            <a:ext uri="{FF2B5EF4-FFF2-40B4-BE49-F238E27FC236}">
              <a16:creationId xmlns:a16="http://schemas.microsoft.com/office/drawing/2014/main" id="{00000000-0008-0000-0300-000003000000}"/>
            </a:ext>
          </a:extLst>
        </xdr:cNvPr>
        <xdr:cNvSpPr txBox="1">
          <a:spLocks noChangeArrowheads="1"/>
        </xdr:cNvSpPr>
      </xdr:nvSpPr>
      <xdr:spPr bwMode="auto">
        <a:xfrm>
          <a:off x="10229850" y="544830"/>
          <a:ext cx="6858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31</xdr:col>
      <xdr:colOff>76200</xdr:colOff>
      <xdr:row>11</xdr:row>
      <xdr:rowOff>121920</xdr:rowOff>
    </xdr:from>
    <xdr:to>
      <xdr:col>31</xdr:col>
      <xdr:colOff>144780</xdr:colOff>
      <xdr:row>12</xdr:row>
      <xdr:rowOff>160020</xdr:rowOff>
    </xdr:to>
    <xdr:sp macro="" textlink="">
      <xdr:nvSpPr>
        <xdr:cNvPr id="4" name="Text Box 5">
          <a:extLst>
            <a:ext uri="{FF2B5EF4-FFF2-40B4-BE49-F238E27FC236}">
              <a16:creationId xmlns:a16="http://schemas.microsoft.com/office/drawing/2014/main" id="{00000000-0008-0000-0300-000004000000}"/>
            </a:ext>
          </a:extLst>
        </xdr:cNvPr>
        <xdr:cNvSpPr txBox="1">
          <a:spLocks noChangeArrowheads="1"/>
        </xdr:cNvSpPr>
      </xdr:nvSpPr>
      <xdr:spPr bwMode="auto">
        <a:xfrm>
          <a:off x="10620375" y="2846070"/>
          <a:ext cx="6858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28</xdr:col>
      <xdr:colOff>53340</xdr:colOff>
      <xdr:row>2</xdr:row>
      <xdr:rowOff>91440</xdr:rowOff>
    </xdr:from>
    <xdr:to>
      <xdr:col>28</xdr:col>
      <xdr:colOff>121920</xdr:colOff>
      <xdr:row>3</xdr:row>
      <xdr:rowOff>106680</xdr:rowOff>
    </xdr:to>
    <xdr:sp macro="" textlink="">
      <xdr:nvSpPr>
        <xdr:cNvPr id="5" name="Text Box 8">
          <a:extLst>
            <a:ext uri="{FF2B5EF4-FFF2-40B4-BE49-F238E27FC236}">
              <a16:creationId xmlns:a16="http://schemas.microsoft.com/office/drawing/2014/main" id="{00000000-0008-0000-0300-000005000000}"/>
            </a:ext>
          </a:extLst>
        </xdr:cNvPr>
        <xdr:cNvSpPr txBox="1">
          <a:spLocks noChangeArrowheads="1"/>
        </xdr:cNvSpPr>
      </xdr:nvSpPr>
      <xdr:spPr bwMode="auto">
        <a:xfrm>
          <a:off x="9540240" y="777240"/>
          <a:ext cx="68580" cy="2533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28</xdr:col>
      <xdr:colOff>257175</xdr:colOff>
      <xdr:row>8</xdr:row>
      <xdr:rowOff>139064</xdr:rowOff>
    </xdr:from>
    <xdr:to>
      <xdr:col>32</xdr:col>
      <xdr:colOff>502877</xdr:colOff>
      <xdr:row>53</xdr:row>
      <xdr:rowOff>22632</xdr:rowOff>
    </xdr:to>
    <xdr:sp macro="" textlink="">
      <xdr:nvSpPr>
        <xdr:cNvPr id="6" name="Text Box 11">
          <a:extLst>
            <a:ext uri="{FF2B5EF4-FFF2-40B4-BE49-F238E27FC236}">
              <a16:creationId xmlns:a16="http://schemas.microsoft.com/office/drawing/2014/main" id="{00000000-0008-0000-0300-000006000000}"/>
            </a:ext>
          </a:extLst>
        </xdr:cNvPr>
        <xdr:cNvSpPr txBox="1">
          <a:spLocks noChangeArrowheads="1"/>
        </xdr:cNvSpPr>
      </xdr:nvSpPr>
      <xdr:spPr bwMode="auto">
        <a:xfrm>
          <a:off x="9744075" y="2215514"/>
          <a:ext cx="1655402" cy="9322843"/>
        </a:xfrm>
        <a:prstGeom prst="rect">
          <a:avLst/>
        </a:prstGeom>
        <a:noFill/>
        <a:ln w="9525">
          <a:noFill/>
          <a:miter lim="800000"/>
          <a:headEnd/>
          <a:tailEnd/>
        </a:ln>
      </xdr:spPr>
      <xdr:txBody>
        <a:bodyPr vertOverflow="clip" vert="wordArtVertRtl" wrap="square" lIns="91440" tIns="45720" rIns="91440" bIns="45720" anchor="t" upright="1"/>
        <a:lstStyle/>
        <a:p>
          <a:pPr algn="l" rtl="0">
            <a:defRPr sz="1000"/>
          </a:pPr>
          <a:r>
            <a:rPr lang="en-US" altLang="zh-TW" sz="800" b="0" i="0" u="none" strike="noStrike" baseline="0">
              <a:solidFill>
                <a:srgbClr val="000000"/>
              </a:solidFill>
              <a:latin typeface="Times New Roman"/>
              <a:cs typeface="Times New Roman"/>
            </a:rPr>
            <a:t>8.</a:t>
          </a:r>
          <a:r>
            <a:rPr lang="zh-TW" altLang="en-US" sz="800" b="0" i="0" u="none" strike="noStrike" baseline="0">
              <a:solidFill>
                <a:srgbClr val="000000"/>
              </a:solidFill>
              <a:latin typeface="細明體"/>
              <a:ea typeface="細明體"/>
            </a:rPr>
            <a:t>本表日期時間桿號</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地點</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經管登後，若有異動，應由要求部門課長、經理核章。</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7.</a:t>
          </a:r>
          <a:r>
            <a:rPr lang="zh-TW" altLang="en-US" sz="800" b="0" i="0" u="none" strike="noStrike" baseline="0">
              <a:solidFill>
                <a:srgbClr val="000000"/>
              </a:solidFill>
              <a:latin typeface="細明體"/>
              <a:ea typeface="細明體"/>
            </a:rPr>
            <a:t>現場工作負責人為承攬商時應加註○○承攬商。</a:t>
          </a:r>
          <a:endParaRPr lang="zh-TW" altLang="en-US" sz="800" b="0" i="0" u="none" strike="noStrike" baseline="0">
            <a:solidFill>
              <a:srgbClr val="000000"/>
            </a:solidFill>
            <a:latin typeface="Times New Roman"/>
            <a:cs typeface="Times New Roman"/>
          </a:endParaRPr>
        </a:p>
        <a:p>
          <a:pPr algn="l" rtl="0">
            <a:defRPr sz="1000"/>
          </a:pPr>
          <a:r>
            <a:rPr lang="zh-TW" altLang="en-US" sz="800" b="0" i="0" u="none" strike="noStrike" baseline="0">
              <a:solidFill>
                <a:srgbClr val="000000"/>
              </a:solidFill>
              <a:latin typeface="Times New Roman"/>
              <a:cs typeface="Times New Roman"/>
            </a:rPr>
            <a:t>  </a:t>
          </a:r>
          <a:r>
            <a:rPr lang="zh-TW" altLang="en-US" sz="800" b="0" i="0" u="none" strike="noStrike" baseline="0">
              <a:solidFill>
                <a:srgbClr val="000000"/>
              </a:solidFill>
              <a:latin typeface="細明體"/>
              <a:ea typeface="細明體"/>
            </a:rPr>
            <a:t>並列</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影</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印乙份送控制管登部門輸入電腦。</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6.</a:t>
          </a:r>
          <a:r>
            <a:rPr lang="zh-TW" altLang="en-US" sz="800" b="0" i="0" u="none" strike="noStrike" baseline="0">
              <a:solidFill>
                <a:srgbClr val="000000"/>
              </a:solidFill>
              <a:latin typeface="細明體"/>
              <a:ea typeface="細明體"/>
            </a:rPr>
            <a:t>實際停電</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無停電日期及時間等資料，應於完工後翌日中午</a:t>
          </a:r>
          <a:r>
            <a:rPr lang="en-US" altLang="zh-TW" sz="800" b="0" i="0" u="none" strike="noStrike" baseline="0">
              <a:solidFill>
                <a:srgbClr val="000000"/>
              </a:solidFill>
              <a:latin typeface="Times New Roman"/>
              <a:cs typeface="Times New Roman"/>
            </a:rPr>
            <a:t>12</a:t>
          </a:r>
          <a:r>
            <a:rPr lang="zh-TW" altLang="en-US" sz="800" b="0" i="0" u="none" strike="noStrike" baseline="0">
              <a:solidFill>
                <a:srgbClr val="000000"/>
              </a:solidFill>
              <a:latin typeface="細明體"/>
              <a:ea typeface="細明體"/>
            </a:rPr>
            <a:t>時前，由要求部門按實際停電日期及時間填入欄位，</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5.</a:t>
          </a:r>
          <a:r>
            <a:rPr lang="zh-TW" altLang="en-US" sz="800" b="0" i="0" u="none" strike="noStrike" baseline="0">
              <a:solidFill>
                <a:srgbClr val="000000"/>
              </a:solidFill>
              <a:latin typeface="細明體"/>
              <a:ea typeface="細明體"/>
            </a:rPr>
            <a:t>電驛調整及系統永久變更時，應會規劃部門。</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4.</a:t>
          </a:r>
          <a:r>
            <a:rPr lang="zh-TW" altLang="en-US" sz="800" b="0" i="0" u="none" strike="noStrike" baseline="0">
              <a:solidFill>
                <a:srgbClr val="000000"/>
              </a:solidFill>
              <a:latin typeface="細明體"/>
              <a:ea typeface="細明體"/>
            </a:rPr>
            <a:t>本表請按配電系統事故停電、工作停電統計制度說明辦理。</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3.</a:t>
          </a:r>
          <a:r>
            <a:rPr lang="zh-TW" altLang="en-US" sz="800" b="0" i="0" u="none" strike="noStrike" baseline="0">
              <a:solidFill>
                <a:srgbClr val="000000"/>
              </a:solidFill>
              <a:latin typeface="細明體"/>
              <a:ea typeface="細明體"/>
            </a:rPr>
            <a:t>為維護社會秩序，於通知用戶時，應同時通知各管區派出所及村里長，請廣為宣傳及加強地區治安巡邏。</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2.</a:t>
          </a:r>
          <a:r>
            <a:rPr lang="zh-TW" altLang="en-US" sz="800" b="0" i="0" u="none" strike="noStrike" baseline="0">
              <a:solidFill>
                <a:srgbClr val="000000"/>
              </a:solidFill>
              <a:latin typeface="細明體"/>
              <a:ea typeface="細明體"/>
            </a:rPr>
            <a:t>如因施工影響交通號誌之運作，於通知用戶時，應同時以傳訊方式並確認通知當地主管交通號誌機關</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如交通局</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a:t>
          </a:r>
          <a:endParaRPr lang="zh-TW" altLang="en-US" sz="800" b="0" i="0" u="none" strike="noStrike" baseline="0">
            <a:solidFill>
              <a:srgbClr val="000000"/>
            </a:solidFill>
            <a:latin typeface="Times New Roman"/>
            <a:cs typeface="Times New Roman"/>
          </a:endParaRPr>
        </a:p>
        <a:p>
          <a:pPr algn="l" rtl="0">
            <a:lnSpc>
              <a:spcPts val="800"/>
            </a:lnSpc>
            <a:defRPr sz="1000"/>
          </a:pPr>
          <a:r>
            <a:rPr lang="zh-TW" altLang="en-US" sz="800" b="0" i="0" u="none" strike="noStrike" baseline="0">
              <a:solidFill>
                <a:srgbClr val="000000"/>
              </a:solidFill>
              <a:latin typeface="Times New Roman"/>
              <a:cs typeface="Times New Roman"/>
            </a:rPr>
            <a:t>  </a:t>
          </a:r>
          <a:r>
            <a:rPr lang="zh-TW" altLang="en-US" sz="800" b="0" i="0" u="none" strike="noStrike" baseline="0">
              <a:solidFill>
                <a:srgbClr val="000000"/>
              </a:solidFill>
              <a:latin typeface="細明體"/>
              <a:ea typeface="細明體"/>
            </a:rPr>
            <a:t>務課、巡修課</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通知施工部門夜間作業時路燈改接</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、線路課、新供課、服務所。</a:t>
          </a:r>
          <a:endParaRPr lang="zh-TW" altLang="en-US" sz="800" b="0" i="0" u="none" strike="noStrike" baseline="0">
            <a:solidFill>
              <a:srgbClr val="000000"/>
            </a:solidFill>
            <a:latin typeface="Times New Roman"/>
            <a:cs typeface="Times New Roman"/>
          </a:endParaRPr>
        </a:p>
        <a:p>
          <a:pPr algn="l" rtl="0">
            <a:lnSpc>
              <a:spcPts val="900"/>
            </a:lnSpc>
            <a:defRPr sz="1000"/>
          </a:pPr>
          <a:r>
            <a:rPr lang="en-US" altLang="zh-TW" sz="800" b="0" i="0" u="none" strike="noStrike" baseline="0">
              <a:solidFill>
                <a:srgbClr val="000000"/>
              </a:solidFill>
              <a:latin typeface="Times New Roman"/>
              <a:cs typeface="Times New Roman"/>
            </a:rPr>
            <a:t>1.</a:t>
          </a:r>
          <a:r>
            <a:rPr lang="zh-TW" altLang="en-US" sz="800" b="0" i="0" u="none" strike="noStrike" baseline="0">
              <a:solidFill>
                <a:srgbClr val="000000"/>
              </a:solidFill>
              <a:latin typeface="細明體"/>
              <a:ea typeface="細明體"/>
            </a:rPr>
            <a:t>本表列</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影</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印五份陳核後，正本存要求部門，其餘於工作實施三天前分送相關部門：發變電所、配電調度中心、工</a:t>
          </a:r>
          <a:endParaRPr lang="zh-TW" altLang="en-US" sz="800" b="0" i="0" u="none" strike="noStrike" baseline="0">
            <a:solidFill>
              <a:srgbClr val="000000"/>
            </a:solidFill>
            <a:latin typeface="Times New Roman"/>
            <a:cs typeface="Times New Roman"/>
          </a:endParaRPr>
        </a:p>
        <a:p>
          <a:pPr algn="l" rtl="0">
            <a:lnSpc>
              <a:spcPts val="800"/>
            </a:lnSpc>
            <a:defRPr sz="1000"/>
          </a:pPr>
          <a:endParaRPr lang="zh-TW" altLang="en-US" sz="800" b="0" i="0" u="none" strike="noStrike" baseline="0">
            <a:solidFill>
              <a:srgbClr val="000000"/>
            </a:solidFill>
            <a:latin typeface="Times New Roman"/>
            <a:cs typeface="Times New Roman"/>
          </a:endParaRPr>
        </a:p>
      </xdr:txBody>
    </xdr:sp>
    <xdr:clientData/>
  </xdr:twoCellAnchor>
  <xdr:twoCellAnchor>
    <xdr:from>
      <xdr:col>28</xdr:col>
      <xdr:colOff>262890</xdr:colOff>
      <xdr:row>7</xdr:row>
      <xdr:rowOff>11430</xdr:rowOff>
    </xdr:from>
    <xdr:to>
      <xdr:col>32</xdr:col>
      <xdr:colOff>462804</xdr:colOff>
      <xdr:row>8</xdr:row>
      <xdr:rowOff>163830</xdr:rowOff>
    </xdr:to>
    <xdr:sp macro="" textlink="">
      <xdr:nvSpPr>
        <xdr:cNvPr id="7" name="Text Box 12">
          <a:extLst>
            <a:ext uri="{FF2B5EF4-FFF2-40B4-BE49-F238E27FC236}">
              <a16:creationId xmlns:a16="http://schemas.microsoft.com/office/drawing/2014/main" id="{00000000-0008-0000-0300-000007000000}"/>
            </a:ext>
          </a:extLst>
        </xdr:cNvPr>
        <xdr:cNvSpPr txBox="1">
          <a:spLocks noChangeArrowheads="1"/>
        </xdr:cNvSpPr>
      </xdr:nvSpPr>
      <xdr:spPr bwMode="auto">
        <a:xfrm>
          <a:off x="9749790" y="1878330"/>
          <a:ext cx="1609614" cy="361950"/>
        </a:xfrm>
        <a:prstGeom prst="rect">
          <a:avLst/>
        </a:prstGeom>
        <a:noFill/>
        <a:ln w="9525">
          <a:noFill/>
          <a:miter lim="800000"/>
          <a:headEnd/>
          <a:tailEnd/>
        </a:ln>
      </xdr:spPr>
      <xdr:txBody>
        <a:bodyPr vertOverflow="clip" wrap="square" lIns="91440" tIns="45720" rIns="91440" bIns="45720" anchor="t" upright="1"/>
        <a:lstStyle/>
        <a:p>
          <a:pPr algn="ctr" rtl="0">
            <a:lnSpc>
              <a:spcPts val="1200"/>
            </a:lnSpc>
            <a:defRPr sz="1000"/>
          </a:pPr>
          <a:r>
            <a:rPr lang="zh-TW" altLang="en-US" sz="1100" b="0" i="0" u="none" strike="noStrike" baseline="0">
              <a:solidFill>
                <a:srgbClr val="000000"/>
              </a:solidFill>
              <a:latin typeface="Times New Roman"/>
              <a:cs typeface="Times New Roman"/>
            </a:rPr>
            <a:t>    </a:t>
          </a:r>
          <a:r>
            <a:rPr lang="zh-TW" altLang="en-US" sz="1100" b="0" i="0" u="none" strike="noStrike" baseline="0">
              <a:solidFill>
                <a:srgbClr val="000000"/>
              </a:solidFill>
              <a:latin typeface="新細明體"/>
              <a:ea typeface="新細明體"/>
            </a:rPr>
            <a:t>說</a:t>
          </a:r>
          <a:r>
            <a:rPr lang="zh-TW" altLang="en-US" sz="1100" b="0" i="0" u="none" strike="noStrike" baseline="0">
              <a:solidFill>
                <a:srgbClr val="000000"/>
              </a:solidFill>
              <a:latin typeface="Times New Roman"/>
              <a:cs typeface="Times New Roman"/>
            </a:rPr>
            <a:t>       </a:t>
          </a:r>
          <a:r>
            <a:rPr lang="zh-TW" altLang="en-US" sz="1100" b="0" i="0" u="none" strike="noStrike" baseline="0">
              <a:solidFill>
                <a:srgbClr val="000000"/>
              </a:solidFill>
              <a:latin typeface="新細明體"/>
              <a:ea typeface="新細明體"/>
            </a:rPr>
            <a:t>明</a:t>
          </a:r>
          <a:endParaRPr lang="zh-TW" altLang="en-US" sz="1100" b="0" i="0" u="none" strike="noStrike" baseline="0">
            <a:solidFill>
              <a:srgbClr val="000000"/>
            </a:solidFill>
            <a:latin typeface="Times New Roman"/>
            <a:cs typeface="Times New Roman"/>
          </a:endParaRPr>
        </a:p>
        <a:p>
          <a:pPr algn="ctr" rtl="0">
            <a:lnSpc>
              <a:spcPts val="1000"/>
            </a:lnSpc>
            <a:defRPr sz="1000"/>
          </a:pPr>
          <a:endParaRPr lang="zh-TW" altLang="en-US" sz="1100" b="0" i="0" u="none" strike="noStrike" baseline="0">
            <a:solidFill>
              <a:srgbClr val="000000"/>
            </a:solidFill>
            <a:latin typeface="Times New Roman"/>
            <a:cs typeface="Times New Roman"/>
          </a:endParaRPr>
        </a:p>
      </xdr:txBody>
    </xdr:sp>
    <xdr:clientData/>
  </xdr:twoCellAnchor>
  <xdr:twoCellAnchor>
    <xdr:from>
      <xdr:col>30</xdr:col>
      <xdr:colOff>83819</xdr:colOff>
      <xdr:row>1</xdr:row>
      <xdr:rowOff>200025</xdr:rowOff>
    </xdr:from>
    <xdr:to>
      <xdr:col>32</xdr:col>
      <xdr:colOff>37959</xdr:colOff>
      <xdr:row>5</xdr:row>
      <xdr:rowOff>49571</xdr:rowOff>
    </xdr:to>
    <xdr:sp macro="" textlink="">
      <xdr:nvSpPr>
        <xdr:cNvPr id="8" name="Text Box 11">
          <a:extLst>
            <a:ext uri="{FF2B5EF4-FFF2-40B4-BE49-F238E27FC236}">
              <a16:creationId xmlns:a16="http://schemas.microsoft.com/office/drawing/2014/main" id="{00000000-0008-0000-0300-000008000000}"/>
            </a:ext>
          </a:extLst>
        </xdr:cNvPr>
        <xdr:cNvSpPr txBox="1">
          <a:spLocks noChangeArrowheads="1"/>
        </xdr:cNvSpPr>
      </xdr:nvSpPr>
      <xdr:spPr bwMode="auto">
        <a:xfrm>
          <a:off x="10275569" y="409575"/>
          <a:ext cx="658990" cy="1068746"/>
        </a:xfrm>
        <a:prstGeom prst="rect">
          <a:avLst/>
        </a:prstGeom>
        <a:noFill/>
        <a:ln w="9525">
          <a:noFill/>
          <a:miter lim="800000"/>
          <a:headEnd/>
          <a:tailEnd/>
        </a:ln>
      </xdr:spPr>
      <xdr:txBody>
        <a:bodyPr vertOverflow="clip" vert="wordArtVertRtl" wrap="square" lIns="91440" tIns="45720" rIns="91440" bIns="45720" anchor="t" upright="1"/>
        <a:lstStyle/>
        <a:p>
          <a:pPr algn="l" rtl="0">
            <a:defRPr sz="1000"/>
          </a:pPr>
          <a:r>
            <a:rPr lang="zh-TW" altLang="en-US" sz="800" b="0" i="0" u="none" strike="noStrike" baseline="0">
              <a:solidFill>
                <a:srgbClr val="000000"/>
              </a:solidFill>
              <a:latin typeface="Times New Roman"/>
              <a:cs typeface="Times New Roman"/>
            </a:rPr>
            <a:t>本案應附</a:t>
          </a:r>
          <a:endParaRPr lang="en-US" altLang="zh-TW" sz="800" b="0" i="0" u="none" strike="noStrike" baseline="0">
            <a:solidFill>
              <a:srgbClr val="000000"/>
            </a:solidFill>
            <a:latin typeface="Times New Roman"/>
            <a:cs typeface="Times New Roman"/>
          </a:endParaRPr>
        </a:p>
        <a:p>
          <a:pPr algn="l" rtl="0">
            <a:defRPr sz="1000"/>
          </a:pPr>
          <a:r>
            <a:rPr lang="zh-TW" altLang="en-US" sz="800" b="0" i="0" u="none" strike="noStrike" baseline="0">
              <a:solidFill>
                <a:srgbClr val="000000"/>
              </a:solidFill>
              <a:latin typeface="Times New Roman"/>
              <a:cs typeface="Times New Roman"/>
            </a:rPr>
            <a:t>□切換報告。</a:t>
          </a:r>
          <a:endParaRPr lang="en-US" altLang="zh-TW" sz="800" b="0" i="0" u="none" strike="noStrike" baseline="0">
            <a:solidFill>
              <a:srgbClr val="000000"/>
            </a:solidFill>
            <a:latin typeface="Times New Roman"/>
            <a:cs typeface="Times New Roman"/>
          </a:endParaRPr>
        </a:p>
        <a:p>
          <a:pPr algn="l" rtl="0">
            <a:lnSpc>
              <a:spcPts val="900"/>
            </a:lnSpc>
            <a:defRPr sz="1000"/>
          </a:pPr>
          <a:r>
            <a:rPr lang="zh-TW" altLang="en-US" sz="800" b="0" i="0" u="none" strike="noStrike" baseline="0">
              <a:solidFill>
                <a:srgbClr val="000000"/>
              </a:solidFill>
              <a:latin typeface="Times New Roman"/>
              <a:cs typeface="Times New Roman"/>
            </a:rPr>
            <a:t>□表格二  張。  </a:t>
          </a:r>
        </a:p>
      </xdr:txBody>
    </xdr:sp>
    <xdr:clientData/>
  </xdr:twoCellAnchor>
  <xdr:twoCellAnchor>
    <xdr:from>
      <xdr:col>15</xdr:col>
      <xdr:colOff>163830</xdr:colOff>
      <xdr:row>1</xdr:row>
      <xdr:rowOff>76200</xdr:rowOff>
    </xdr:from>
    <xdr:to>
      <xdr:col>18</xdr:col>
      <xdr:colOff>140970</xdr:colOff>
      <xdr:row>1</xdr:row>
      <xdr:rowOff>83820</xdr:rowOff>
    </xdr:to>
    <xdr:cxnSp macro="">
      <xdr:nvCxnSpPr>
        <xdr:cNvPr id="9" name="直線接點 8">
          <a:extLst>
            <a:ext uri="{FF2B5EF4-FFF2-40B4-BE49-F238E27FC236}">
              <a16:creationId xmlns:a16="http://schemas.microsoft.com/office/drawing/2014/main" id="{00000000-0008-0000-0300-000009000000}"/>
            </a:ext>
          </a:extLst>
        </xdr:cNvPr>
        <xdr:cNvCxnSpPr/>
      </xdr:nvCxnSpPr>
      <xdr:spPr>
        <a:xfrm flipV="1">
          <a:off x="5069205" y="285750"/>
          <a:ext cx="1034415" cy="762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3713</xdr:colOff>
      <xdr:row>64</xdr:row>
      <xdr:rowOff>204977</xdr:rowOff>
    </xdr:from>
    <xdr:to>
      <xdr:col>17</xdr:col>
      <xdr:colOff>4053</xdr:colOff>
      <xdr:row>69</xdr:row>
      <xdr:rowOff>1380</xdr:rowOff>
    </xdr:to>
    <xdr:cxnSp macro="">
      <xdr:nvCxnSpPr>
        <xdr:cNvPr id="10" name="直線接點 9">
          <a:extLst>
            <a:ext uri="{FF2B5EF4-FFF2-40B4-BE49-F238E27FC236}">
              <a16:creationId xmlns:a16="http://schemas.microsoft.com/office/drawing/2014/main" id="{00000000-0008-0000-0300-00000A000000}"/>
            </a:ext>
          </a:extLst>
        </xdr:cNvPr>
        <xdr:cNvCxnSpPr/>
      </xdr:nvCxnSpPr>
      <xdr:spPr>
        <a:xfrm>
          <a:off x="2746913" y="14016227"/>
          <a:ext cx="2867365" cy="844153"/>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190500</xdr:colOff>
          <xdr:row>0</xdr:row>
          <xdr:rowOff>104775</xdr:rowOff>
        </xdr:from>
        <xdr:to>
          <xdr:col>4</xdr:col>
          <xdr:colOff>142875</xdr:colOff>
          <xdr:row>1</xdr:row>
          <xdr:rowOff>171450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6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209550</xdr:colOff>
          <xdr:row>0</xdr:row>
          <xdr:rowOff>76200</xdr:rowOff>
        </xdr:from>
        <xdr:to>
          <xdr:col>6</xdr:col>
          <xdr:colOff>600075</xdr:colOff>
          <xdr:row>2</xdr:row>
          <xdr:rowOff>28575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查詢</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彰化區處" id="{CF948C9F-80F3-4EEF-9EE0-9C77BBD6DBF7}" userId="S::106093@taipower365.onmicrosoft.com::a74272d1-5830-46b2-993d-f5aa5ad764c8" providerId="AD"/>
</personList>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12-11T07:00:17.66" personId="{CF948C9F-80F3-4EEF-9EE0-9C77BBD6DBF7}" id="{4E1BA589-B5E1-4701-9133-33EF58DBF0E0}">
    <text>填HW+停電月+停電日+編號</text>
  </threadedComment>
  <threadedComment ref="H1" dT="2021-12-11T06:55:32.09" personId="{CF948C9F-80F3-4EEF-9EE0-9C77BBD6DBF7}" id="{CA2AD8A4-0060-4B66-A737-AD82AFBED21E}">
    <text>請填停電當日日期，第二件請標02</text>
  </threadedComment>
  <threadedComment ref="G7" dT="2021-11-01T01:12:20.76" personId="{CF948C9F-80F3-4EEF-9EE0-9C77BBD6DBF7}" id="{0955E770-0601-4BF5-8B98-7B23A128A0CC}">
    <text>請確認出口電桿是否正確，若為地下開關，請至T:\線路課\出口電桿.XLSX 增加開關編號如G3329GD2835-S21 (-S21) ，更新後再執行2.填出口電桿</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0"/>
  <dimension ref="A1:AB97"/>
  <sheetViews>
    <sheetView showGridLines="0" tabSelected="1" zoomScale="85" zoomScaleNormal="85" workbookViewId="0">
      <selection activeCell="G16" sqref="G16"/>
    </sheetView>
  </sheetViews>
  <sheetFormatPr defaultRowHeight="16.5"/>
  <cols>
    <col min="1" max="1" width="18" bestFit="1" customWidth="1"/>
    <col min="2" max="2" width="20.375" customWidth="1"/>
    <col min="3" max="3" width="21.875" customWidth="1"/>
    <col min="4" max="4" width="23.375" customWidth="1"/>
    <col min="5" max="5" width="17.375" customWidth="1"/>
    <col min="6" max="6" width="24" customWidth="1"/>
    <col min="7" max="7" width="21.25" customWidth="1"/>
    <col min="8" max="8" width="19.5" customWidth="1"/>
    <col min="9" max="9" width="26.375" customWidth="1"/>
    <col min="10" max="10" width="14.125" customWidth="1"/>
    <col min="11" max="11" width="19.125" customWidth="1"/>
    <col min="12" max="12" width="20.5" customWidth="1"/>
    <col min="13" max="15" width="17.5" customWidth="1"/>
    <col min="17" max="18" width="0" hidden="1" customWidth="1"/>
    <col min="22" max="22" width="13" customWidth="1"/>
    <col min="25" max="26" width="9" style="467"/>
  </cols>
  <sheetData>
    <row r="1" spans="1:28" ht="20.25" thickBot="1">
      <c r="A1" s="697" t="s">
        <v>3</v>
      </c>
      <c r="B1" s="698" t="s">
        <v>10169</v>
      </c>
      <c r="C1" s="698" t="s">
        <v>10144</v>
      </c>
      <c r="D1" s="698" t="s">
        <v>10172</v>
      </c>
      <c r="E1" s="698" t="s">
        <v>10172</v>
      </c>
      <c r="F1" s="698" t="s">
        <v>10145</v>
      </c>
      <c r="G1" s="698" t="s">
        <v>10181</v>
      </c>
      <c r="H1" s="699" t="s">
        <v>10182</v>
      </c>
    </row>
    <row r="2" spans="1:28" ht="21.75" thickBot="1">
      <c r="A2" s="693">
        <v>44646</v>
      </c>
      <c r="B2" s="694">
        <v>44641</v>
      </c>
      <c r="C2" s="695" t="s">
        <v>10215</v>
      </c>
      <c r="D2" s="694">
        <v>44652</v>
      </c>
      <c r="E2" s="695" t="s">
        <v>10216</v>
      </c>
      <c r="F2" s="700" t="s">
        <v>10217</v>
      </c>
      <c r="G2" s="701" t="s">
        <v>10218</v>
      </c>
      <c r="H2" s="702">
        <v>1110321</v>
      </c>
    </row>
    <row r="3" spans="1:28" ht="20.25" thickBot="1">
      <c r="A3" s="697" t="s">
        <v>762</v>
      </c>
      <c r="B3" s="708" t="s">
        <v>10183</v>
      </c>
      <c r="C3" s="724" t="s">
        <v>10146</v>
      </c>
      <c r="D3" s="725"/>
      <c r="E3" s="724" t="s">
        <v>10184</v>
      </c>
      <c r="F3" s="725"/>
      <c r="G3" s="724" t="s">
        <v>10142</v>
      </c>
      <c r="H3" s="726"/>
      <c r="I3" s="521"/>
    </row>
    <row r="4" spans="1:28" ht="21">
      <c r="A4" s="703" t="s">
        <v>10219</v>
      </c>
      <c r="B4" s="704" t="s">
        <v>10220</v>
      </c>
      <c r="C4" s="705" t="s">
        <v>10221</v>
      </c>
      <c r="D4" s="705" t="s">
        <v>10222</v>
      </c>
      <c r="E4" s="705" t="s">
        <v>10223</v>
      </c>
      <c r="F4" s="706" t="s">
        <v>10224</v>
      </c>
      <c r="G4" s="696" t="s">
        <v>10147</v>
      </c>
      <c r="H4" s="707" t="s">
        <v>10225</v>
      </c>
      <c r="I4" s="465"/>
      <c r="L4" s="632"/>
    </row>
    <row r="5" spans="1:28" ht="21.75" thickBot="1">
      <c r="A5" s="690" t="s">
        <v>10185</v>
      </c>
      <c r="B5" s="727" t="s">
        <v>10214</v>
      </c>
      <c r="C5" s="728"/>
      <c r="D5" s="728"/>
      <c r="E5" s="728"/>
      <c r="F5" s="729"/>
      <c r="G5" s="691" t="s">
        <v>2638</v>
      </c>
      <c r="H5" s="692" t="s">
        <v>10179</v>
      </c>
      <c r="I5" s="465"/>
    </row>
    <row r="6" spans="1:28" ht="21.75" thickBot="1">
      <c r="A6" s="465"/>
      <c r="B6" s="465"/>
      <c r="C6" s="477"/>
      <c r="D6" s="476"/>
      <c r="E6" s="252"/>
      <c r="F6" s="252"/>
      <c r="G6" s="252"/>
      <c r="H6" s="252"/>
    </row>
    <row r="7" spans="1:28" ht="48" thickBot="1">
      <c r="A7" s="697" t="s">
        <v>3211</v>
      </c>
      <c r="B7" s="698" t="s">
        <v>3212</v>
      </c>
      <c r="C7" s="717" t="s">
        <v>10136</v>
      </c>
      <c r="D7" s="718" t="s">
        <v>10178</v>
      </c>
      <c r="E7" s="719" t="s">
        <v>10173</v>
      </c>
      <c r="F7" s="718" t="s">
        <v>761</v>
      </c>
      <c r="G7" s="720" t="s">
        <v>10186</v>
      </c>
      <c r="H7" s="718" t="s">
        <v>761</v>
      </c>
      <c r="I7" s="723" t="s">
        <v>10171</v>
      </c>
      <c r="J7" s="721" t="s">
        <v>10187</v>
      </c>
      <c r="K7" s="719" t="s">
        <v>10188</v>
      </c>
      <c r="L7" s="718" t="s">
        <v>761</v>
      </c>
      <c r="M7" s="719" t="s">
        <v>10202</v>
      </c>
      <c r="N7" s="719" t="s">
        <v>5525</v>
      </c>
      <c r="O7" s="722" t="s">
        <v>5526</v>
      </c>
      <c r="Q7" s="468" t="s">
        <v>2632</v>
      </c>
      <c r="R7" s="468" t="s">
        <v>2633</v>
      </c>
      <c r="Y7"/>
      <c r="Z7"/>
      <c r="AA7" s="468" t="s">
        <v>2748</v>
      </c>
      <c r="AB7" s="468" t="s">
        <v>2749</v>
      </c>
    </row>
    <row r="8" spans="1:28" ht="21">
      <c r="A8" s="709" t="s">
        <v>9355</v>
      </c>
      <c r="B8" s="710" t="s">
        <v>9012</v>
      </c>
      <c r="C8" s="711" t="s">
        <v>10242</v>
      </c>
      <c r="D8" s="710" t="s">
        <v>10243</v>
      </c>
      <c r="E8" s="712" t="s">
        <v>10203</v>
      </c>
      <c r="F8" s="713" t="s">
        <v>10297</v>
      </c>
      <c r="G8" s="711" t="s">
        <v>10244</v>
      </c>
      <c r="H8" s="714" t="s">
        <v>10244</v>
      </c>
      <c r="I8" s="712" t="s">
        <v>10203</v>
      </c>
      <c r="J8" s="677" t="s">
        <v>10330</v>
      </c>
      <c r="K8" s="710"/>
      <c r="L8" s="714"/>
      <c r="M8" s="712"/>
      <c r="N8" s="715"/>
      <c r="O8" s="716"/>
      <c r="Q8" s="482"/>
      <c r="R8" s="482"/>
      <c r="Y8"/>
      <c r="Z8"/>
      <c r="AA8" s="482">
        <f>_xlfn.IFNA(VLOOKUP(總表!A8,用戶!A1:D700,4,0),"")</f>
        <v>1731</v>
      </c>
      <c r="AB8" s="467"/>
    </row>
    <row r="9" spans="1:28" ht="21">
      <c r="A9" s="679" t="s">
        <v>9356</v>
      </c>
      <c r="B9" s="672" t="s">
        <v>2879</v>
      </c>
      <c r="C9" s="673" t="s">
        <v>10245</v>
      </c>
      <c r="D9" s="710" t="s">
        <v>10243</v>
      </c>
      <c r="E9" s="674" t="s">
        <v>10203</v>
      </c>
      <c r="F9" s="675" t="s">
        <v>10297</v>
      </c>
      <c r="G9" s="673" t="s">
        <v>10246</v>
      </c>
      <c r="H9" s="676" t="s">
        <v>4008</v>
      </c>
      <c r="I9" s="674" t="s">
        <v>10203</v>
      </c>
      <c r="J9" s="677" t="s">
        <v>10229</v>
      </c>
      <c r="K9" s="672" t="s">
        <v>10247</v>
      </c>
      <c r="L9" s="676" t="s">
        <v>10299</v>
      </c>
      <c r="M9" s="674" t="s">
        <v>10240</v>
      </c>
      <c r="N9" s="672">
        <v>16599</v>
      </c>
      <c r="O9" s="680">
        <v>7498</v>
      </c>
      <c r="Q9" s="482"/>
      <c r="R9" s="482"/>
      <c r="Y9"/>
      <c r="Z9"/>
      <c r="AA9" s="482">
        <f>_xlfn.IFNA(VLOOKUP(總表!A9,用戶!A2:D701,4,0),"")</f>
        <v>3124</v>
      </c>
      <c r="AB9" s="467"/>
    </row>
    <row r="10" spans="1:28" ht="21">
      <c r="A10" s="679" t="s">
        <v>9356</v>
      </c>
      <c r="B10" s="672" t="s">
        <v>9012</v>
      </c>
      <c r="C10" s="673" t="s">
        <v>10242</v>
      </c>
      <c r="D10" s="672" t="s">
        <v>10248</v>
      </c>
      <c r="E10" s="674" t="s">
        <v>10203</v>
      </c>
      <c r="F10" s="675" t="s">
        <v>10298</v>
      </c>
      <c r="G10" s="673" t="s">
        <v>10246</v>
      </c>
      <c r="H10" s="676" t="s">
        <v>4008</v>
      </c>
      <c r="I10" s="674" t="s">
        <v>10203</v>
      </c>
      <c r="J10" s="677" t="s">
        <v>10230</v>
      </c>
      <c r="K10" s="672"/>
      <c r="L10" s="676"/>
      <c r="M10" s="672"/>
      <c r="N10" s="678"/>
      <c r="O10" s="680"/>
      <c r="Q10" s="482"/>
      <c r="R10" s="482"/>
      <c r="Y10"/>
      <c r="Z10"/>
      <c r="AA10" s="482">
        <f>_xlfn.IFNA(VLOOKUP(總表!A10,用戶!A3:D702,4,0),"")</f>
        <v>3124</v>
      </c>
      <c r="AB10" s="467"/>
    </row>
    <row r="11" spans="1:28" ht="21">
      <c r="A11" s="679" t="s">
        <v>1967</v>
      </c>
      <c r="B11" s="672" t="s">
        <v>9008</v>
      </c>
      <c r="C11" s="673" t="s">
        <v>10249</v>
      </c>
      <c r="D11" s="672" t="s">
        <v>10250</v>
      </c>
      <c r="E11" s="674" t="s">
        <v>10203</v>
      </c>
      <c r="F11" s="675" t="s">
        <v>10250</v>
      </c>
      <c r="G11" s="673" t="s">
        <v>10251</v>
      </c>
      <c r="H11" s="676" t="s">
        <v>10251</v>
      </c>
      <c r="I11" s="674" t="s">
        <v>10203</v>
      </c>
      <c r="J11" s="677" t="s">
        <v>10230</v>
      </c>
      <c r="K11" s="672"/>
      <c r="L11" s="676"/>
      <c r="M11" s="674"/>
      <c r="N11" s="672"/>
      <c r="O11" s="680"/>
      <c r="Q11" s="482"/>
      <c r="R11" s="482"/>
      <c r="Y11"/>
      <c r="Z11"/>
      <c r="AA11" s="482"/>
      <c r="AB11" s="467"/>
    </row>
    <row r="12" spans="1:28" ht="21">
      <c r="A12" s="679" t="s">
        <v>9357</v>
      </c>
      <c r="B12" s="672" t="s">
        <v>1925</v>
      </c>
      <c r="C12" s="673" t="s">
        <v>10252</v>
      </c>
      <c r="D12" s="672" t="s">
        <v>10253</v>
      </c>
      <c r="E12" s="674" t="s">
        <v>10203</v>
      </c>
      <c r="F12" s="675" t="s">
        <v>10296</v>
      </c>
      <c r="G12" s="673" t="s">
        <v>10254</v>
      </c>
      <c r="H12" s="676" t="s">
        <v>10254</v>
      </c>
      <c r="I12" s="674" t="s">
        <v>10203</v>
      </c>
      <c r="J12" s="677" t="s">
        <v>10230</v>
      </c>
      <c r="K12" s="672"/>
      <c r="L12" s="676"/>
      <c r="M12" s="674"/>
      <c r="N12" s="678"/>
      <c r="O12" s="680"/>
      <c r="Q12" s="482"/>
      <c r="R12" s="482"/>
      <c r="Y12"/>
      <c r="Z12"/>
      <c r="AA12" s="482"/>
      <c r="AB12" s="467"/>
    </row>
    <row r="13" spans="1:28" ht="22.9" customHeight="1">
      <c r="A13" s="679"/>
      <c r="B13" s="672"/>
      <c r="C13" s="673"/>
      <c r="D13" s="672"/>
      <c r="E13" s="674"/>
      <c r="F13" s="675"/>
      <c r="G13" s="673"/>
      <c r="H13" s="676"/>
      <c r="I13" s="674"/>
      <c r="J13" s="677"/>
      <c r="K13" s="672"/>
      <c r="L13" s="676"/>
      <c r="M13" s="674"/>
      <c r="N13" s="672"/>
      <c r="O13" s="680"/>
      <c r="Q13" s="482"/>
      <c r="R13" s="482"/>
      <c r="Y13"/>
      <c r="Z13"/>
      <c r="AA13" s="482"/>
      <c r="AB13" s="467"/>
    </row>
    <row r="14" spans="1:28" ht="21">
      <c r="A14" s="679"/>
      <c r="B14" s="672"/>
      <c r="C14" s="673"/>
      <c r="D14" s="672"/>
      <c r="E14" s="674"/>
      <c r="F14" s="675"/>
      <c r="G14" s="673"/>
      <c r="H14" s="676"/>
      <c r="I14" s="674"/>
      <c r="J14" s="677"/>
      <c r="K14" s="672"/>
      <c r="L14" s="676"/>
      <c r="M14" s="674"/>
      <c r="N14" s="672"/>
      <c r="O14" s="680"/>
      <c r="Q14" s="482"/>
      <c r="R14" s="482"/>
      <c r="Y14"/>
      <c r="Z14"/>
      <c r="AA14" s="482"/>
      <c r="AB14" s="467"/>
    </row>
    <row r="15" spans="1:28" ht="21">
      <c r="A15" s="679"/>
      <c r="B15" s="672"/>
      <c r="C15" s="673"/>
      <c r="D15" s="672"/>
      <c r="E15" s="674"/>
      <c r="F15" s="675"/>
      <c r="G15" s="673"/>
      <c r="H15" s="676"/>
      <c r="I15" s="674"/>
      <c r="J15" s="677"/>
      <c r="K15" s="672"/>
      <c r="L15" s="676"/>
      <c r="M15" s="674"/>
      <c r="N15" s="672"/>
      <c r="O15" s="680"/>
      <c r="Q15" s="482"/>
      <c r="R15" s="482"/>
      <c r="Y15"/>
      <c r="Z15"/>
      <c r="AA15" s="482"/>
      <c r="AB15" s="467"/>
    </row>
    <row r="16" spans="1:28" ht="21">
      <c r="A16" s="679"/>
      <c r="B16" s="672"/>
      <c r="C16" s="673"/>
      <c r="D16" s="672"/>
      <c r="E16" s="674"/>
      <c r="F16" s="675"/>
      <c r="G16" s="673"/>
      <c r="H16" s="676"/>
      <c r="I16" s="674"/>
      <c r="J16" s="677"/>
      <c r="K16" s="672"/>
      <c r="L16" s="676"/>
      <c r="M16" s="674"/>
      <c r="N16" s="672"/>
      <c r="O16" s="680"/>
      <c r="Q16" s="482"/>
      <c r="R16" s="482"/>
      <c r="Y16"/>
      <c r="Z16"/>
      <c r="AA16" s="482"/>
      <c r="AB16" s="467"/>
    </row>
    <row r="17" spans="1:28" ht="21">
      <c r="A17" s="679"/>
      <c r="B17" s="672"/>
      <c r="C17" s="673"/>
      <c r="D17" s="672"/>
      <c r="E17" s="674"/>
      <c r="F17" s="675"/>
      <c r="G17" s="673"/>
      <c r="H17" s="676"/>
      <c r="I17" s="674"/>
      <c r="J17" s="677"/>
      <c r="K17" s="672"/>
      <c r="L17" s="676"/>
      <c r="M17" s="674"/>
      <c r="N17" s="672"/>
      <c r="O17" s="680"/>
      <c r="Q17" s="482"/>
      <c r="R17" s="482"/>
      <c r="Y17"/>
      <c r="Z17"/>
      <c r="AA17" s="482"/>
      <c r="AB17" s="467"/>
    </row>
    <row r="18" spans="1:28" ht="21">
      <c r="A18" s="679"/>
      <c r="B18" s="672"/>
      <c r="C18" s="673"/>
      <c r="D18" s="672"/>
      <c r="E18" s="674"/>
      <c r="F18" s="675"/>
      <c r="G18" s="673"/>
      <c r="H18" s="676"/>
      <c r="I18" s="674"/>
      <c r="J18" s="677"/>
      <c r="K18" s="672"/>
      <c r="L18" s="676"/>
      <c r="M18" s="674"/>
      <c r="N18" s="672"/>
      <c r="O18" s="680"/>
      <c r="Q18" s="482"/>
      <c r="R18" s="482"/>
      <c r="Y18"/>
      <c r="Z18"/>
      <c r="AA18" s="482"/>
      <c r="AB18" s="467"/>
    </row>
    <row r="19" spans="1:28" ht="21">
      <c r="A19" s="679"/>
      <c r="B19" s="672"/>
      <c r="C19" s="673"/>
      <c r="D19" s="672"/>
      <c r="E19" s="674"/>
      <c r="F19" s="675"/>
      <c r="G19" s="673"/>
      <c r="H19" s="676"/>
      <c r="I19" s="674"/>
      <c r="J19" s="677"/>
      <c r="K19" s="672"/>
      <c r="L19" s="676"/>
      <c r="M19" s="674"/>
      <c r="N19" s="672"/>
      <c r="O19" s="680"/>
      <c r="Q19" s="482"/>
      <c r="R19" s="482"/>
      <c r="Y19"/>
      <c r="Z19"/>
      <c r="AA19" s="482"/>
      <c r="AB19" s="467"/>
    </row>
    <row r="20" spans="1:28" ht="21">
      <c r="A20" s="679"/>
      <c r="B20" s="672"/>
      <c r="C20" s="673"/>
      <c r="D20" s="672"/>
      <c r="E20" s="674"/>
      <c r="F20" s="675"/>
      <c r="G20" s="673"/>
      <c r="H20" s="676"/>
      <c r="I20" s="674"/>
      <c r="J20" s="677"/>
      <c r="K20" s="672"/>
      <c r="L20" s="676"/>
      <c r="M20" s="674"/>
      <c r="N20" s="672"/>
      <c r="O20" s="680"/>
      <c r="Q20" s="482"/>
      <c r="R20" s="482"/>
      <c r="Y20"/>
      <c r="Z20"/>
      <c r="AA20" s="482"/>
      <c r="AB20" s="467"/>
    </row>
    <row r="21" spans="1:28" ht="21">
      <c r="A21" s="679"/>
      <c r="B21" s="672"/>
      <c r="C21" s="673"/>
      <c r="D21" s="672"/>
      <c r="E21" s="674"/>
      <c r="F21" s="675"/>
      <c r="G21" s="673"/>
      <c r="H21" s="676"/>
      <c r="I21" s="674"/>
      <c r="J21" s="677"/>
      <c r="K21" s="672"/>
      <c r="L21" s="676"/>
      <c r="M21" s="674"/>
      <c r="N21" s="672"/>
      <c r="O21" s="680"/>
      <c r="Q21" s="482"/>
      <c r="R21" s="482"/>
      <c r="Y21"/>
      <c r="Z21"/>
      <c r="AA21" s="482"/>
      <c r="AB21" s="467"/>
    </row>
    <row r="22" spans="1:28" ht="21">
      <c r="A22" s="679"/>
      <c r="B22" s="672"/>
      <c r="C22" s="673"/>
      <c r="D22" s="672"/>
      <c r="E22" s="674"/>
      <c r="F22" s="675"/>
      <c r="G22" s="673"/>
      <c r="H22" s="676"/>
      <c r="I22" s="674"/>
      <c r="J22" s="677"/>
      <c r="K22" s="672"/>
      <c r="L22" s="676"/>
      <c r="M22" s="674"/>
      <c r="N22" s="672"/>
      <c r="O22" s="680"/>
      <c r="Q22" s="482"/>
      <c r="R22" s="482"/>
      <c r="Y22"/>
      <c r="Z22"/>
      <c r="AA22" s="482"/>
      <c r="AB22" s="467"/>
    </row>
    <row r="23" spans="1:28" ht="21">
      <c r="A23" s="679"/>
      <c r="B23" s="672"/>
      <c r="C23" s="673"/>
      <c r="D23" s="672"/>
      <c r="E23" s="674"/>
      <c r="F23" s="675"/>
      <c r="G23" s="673"/>
      <c r="H23" s="676"/>
      <c r="I23" s="674"/>
      <c r="J23" s="677"/>
      <c r="K23" s="672"/>
      <c r="L23" s="676"/>
      <c r="M23" s="674"/>
      <c r="N23" s="672"/>
      <c r="O23" s="680"/>
      <c r="Q23" s="482"/>
      <c r="R23" s="482"/>
      <c r="Y23"/>
      <c r="Z23"/>
      <c r="AA23" s="482"/>
      <c r="AB23" s="467"/>
    </row>
    <row r="24" spans="1:28" ht="21">
      <c r="A24" s="679"/>
      <c r="B24" s="672"/>
      <c r="C24" s="673"/>
      <c r="D24" s="672"/>
      <c r="E24" s="674"/>
      <c r="F24" s="675"/>
      <c r="G24" s="673"/>
      <c r="H24" s="676"/>
      <c r="I24" s="674"/>
      <c r="J24" s="677"/>
      <c r="K24" s="672"/>
      <c r="L24" s="676"/>
      <c r="M24" s="674"/>
      <c r="N24" s="672"/>
      <c r="O24" s="680"/>
      <c r="Q24" s="482"/>
      <c r="R24" s="482"/>
      <c r="Y24"/>
      <c r="Z24"/>
      <c r="AA24" s="482"/>
      <c r="AB24" s="467"/>
    </row>
    <row r="25" spans="1:28" ht="21">
      <c r="A25" s="679"/>
      <c r="B25" s="672"/>
      <c r="C25" s="673"/>
      <c r="D25" s="672"/>
      <c r="E25" s="674"/>
      <c r="F25" s="675"/>
      <c r="G25" s="673"/>
      <c r="H25" s="676"/>
      <c r="I25" s="674"/>
      <c r="J25" s="677"/>
      <c r="K25" s="672"/>
      <c r="L25" s="676"/>
      <c r="M25" s="674"/>
      <c r="N25" s="672"/>
      <c r="O25" s="680"/>
      <c r="Q25" s="482" t="str">
        <f>IF(A25="","",IFERROR(VLOOKUP(A25,#REF!,2,0),"有啟動"))</f>
        <v/>
      </c>
      <c r="R25" s="482" t="str">
        <f>IF(B25="","",IFERROR(VLOOKUP(B25,#REF!,2,0),"有啟動"))</f>
        <v/>
      </c>
      <c r="Y25"/>
      <c r="Z25"/>
      <c r="AA25" s="482" t="str">
        <f>_xlfn.IFNA(VLOOKUP(總表!A25,用戶!A18:D717,4,0),"")</f>
        <v/>
      </c>
      <c r="AB25" s="467"/>
    </row>
    <row r="26" spans="1:28" ht="21">
      <c r="A26" s="679"/>
      <c r="B26" s="672"/>
      <c r="C26" s="673"/>
      <c r="D26" s="672"/>
      <c r="E26" s="674"/>
      <c r="F26" s="675"/>
      <c r="G26" s="673"/>
      <c r="H26" s="676"/>
      <c r="I26" s="674"/>
      <c r="J26" s="677"/>
      <c r="K26" s="672"/>
      <c r="L26" s="676"/>
      <c r="M26" s="674"/>
      <c r="N26" s="672"/>
      <c r="O26" s="680"/>
      <c r="Q26" s="482" t="str">
        <f>IF(A26="","",IFERROR(VLOOKUP(A26,#REF!,2,0),"有啟動"))</f>
        <v/>
      </c>
      <c r="R26" s="482" t="str">
        <f>IF(B26="","",IFERROR(VLOOKUP(B26,#REF!,2,0),"有啟動"))</f>
        <v/>
      </c>
      <c r="Y26"/>
      <c r="Z26"/>
      <c r="AA26" s="482" t="str">
        <f>_xlfn.IFNA(VLOOKUP(總表!A26,用戶!A19:D718,4,0),"")</f>
        <v/>
      </c>
      <c r="AB26" s="467"/>
    </row>
    <row r="27" spans="1:28" ht="21">
      <c r="A27" s="679"/>
      <c r="B27" s="672"/>
      <c r="C27" s="673"/>
      <c r="D27" s="672"/>
      <c r="E27" s="674"/>
      <c r="F27" s="675"/>
      <c r="G27" s="673"/>
      <c r="H27" s="676"/>
      <c r="I27" s="674"/>
      <c r="J27" s="677"/>
      <c r="K27" s="672"/>
      <c r="L27" s="676"/>
      <c r="M27" s="674"/>
      <c r="N27" s="672"/>
      <c r="O27" s="680"/>
      <c r="Q27" s="482" t="str">
        <f>IF(A27="","",IFERROR(VLOOKUP(A27,#REF!,2,0),"有啟動"))</f>
        <v/>
      </c>
      <c r="R27" s="482" t="str">
        <f>IF(B27="","",IFERROR(VLOOKUP(B27,#REF!,2,0),"有啟動"))</f>
        <v/>
      </c>
      <c r="Y27"/>
      <c r="Z27"/>
      <c r="AA27" s="482" t="str">
        <f>_xlfn.IFNA(VLOOKUP(總表!A27,用戶!A20:D719,4,0),"")</f>
        <v/>
      </c>
      <c r="AB27" s="467"/>
    </row>
    <row r="28" spans="1:28" ht="21">
      <c r="A28" s="679"/>
      <c r="B28" s="672"/>
      <c r="C28" s="673"/>
      <c r="D28" s="672"/>
      <c r="E28" s="674"/>
      <c r="F28" s="675"/>
      <c r="G28" s="673"/>
      <c r="H28" s="676"/>
      <c r="I28" s="674"/>
      <c r="J28" s="677"/>
      <c r="K28" s="672"/>
      <c r="L28" s="676"/>
      <c r="M28" s="674"/>
      <c r="N28" s="672"/>
      <c r="O28" s="680"/>
      <c r="Q28" s="482"/>
      <c r="R28" s="482"/>
      <c r="Y28"/>
      <c r="Z28"/>
      <c r="AA28" s="482"/>
      <c r="AB28" s="467"/>
    </row>
    <row r="29" spans="1:28" ht="21">
      <c r="A29" s="679"/>
      <c r="B29" s="672"/>
      <c r="C29" s="673"/>
      <c r="D29" s="672"/>
      <c r="E29" s="674"/>
      <c r="F29" s="675"/>
      <c r="G29" s="673"/>
      <c r="H29" s="676"/>
      <c r="I29" s="674"/>
      <c r="J29" s="677"/>
      <c r="K29" s="672"/>
      <c r="L29" s="676"/>
      <c r="M29" s="674"/>
      <c r="N29" s="672"/>
      <c r="O29" s="680"/>
      <c r="Q29" s="482" t="str">
        <f>IF(A29="","",IFERROR(VLOOKUP(A29,#REF!,2,0),"有啟動"))</f>
        <v/>
      </c>
      <c r="R29" s="482" t="str">
        <f>IF(B29="","",IFERROR(VLOOKUP(B29,#REF!,2,0),"有啟動"))</f>
        <v/>
      </c>
      <c r="Y29"/>
      <c r="Z29"/>
      <c r="AA29" s="482" t="str">
        <f>_xlfn.IFNA(VLOOKUP(總表!A29,用戶!A22:D721,4,0),"")</f>
        <v/>
      </c>
      <c r="AB29" s="467"/>
    </row>
    <row r="30" spans="1:28" ht="21">
      <c r="A30" s="679"/>
      <c r="B30" s="672"/>
      <c r="C30" s="673"/>
      <c r="D30" s="672"/>
      <c r="E30" s="674"/>
      <c r="F30" s="675"/>
      <c r="G30" s="673"/>
      <c r="H30" s="676"/>
      <c r="I30" s="674"/>
      <c r="J30" s="677"/>
      <c r="K30" s="672"/>
      <c r="L30" s="676"/>
      <c r="M30" s="674"/>
      <c r="N30" s="672"/>
      <c r="O30" s="680"/>
      <c r="Q30" s="482" t="str">
        <f>IF(A30="","",IFERROR(VLOOKUP(A30,#REF!,2,0),"有啟動"))</f>
        <v/>
      </c>
      <c r="R30" s="482" t="str">
        <f>IF(B30="","",IFERROR(VLOOKUP(B30,#REF!,2,0),"有啟動"))</f>
        <v/>
      </c>
      <c r="Y30"/>
      <c r="Z30"/>
      <c r="AA30" s="482" t="str">
        <f>_xlfn.IFNA(VLOOKUP(總表!A30,用戶!A23:D722,4,0),"")</f>
        <v/>
      </c>
      <c r="AB30" s="467"/>
    </row>
    <row r="31" spans="1:28" ht="21">
      <c r="A31" s="679"/>
      <c r="B31" s="672"/>
      <c r="C31" s="673"/>
      <c r="D31" s="672"/>
      <c r="E31" s="674"/>
      <c r="F31" s="675"/>
      <c r="G31" s="673"/>
      <c r="H31" s="676"/>
      <c r="I31" s="674"/>
      <c r="J31" s="677"/>
      <c r="K31" s="672"/>
      <c r="L31" s="676"/>
      <c r="M31" s="674"/>
      <c r="N31" s="672"/>
      <c r="O31" s="680"/>
      <c r="Q31" s="482" t="str">
        <f>IF(A31="","",IFERROR(VLOOKUP(A31,#REF!,2,0),"有啟動"))</f>
        <v/>
      </c>
      <c r="R31" s="482" t="str">
        <f>IF(B31="","",IFERROR(VLOOKUP(B31,#REF!,2,0),"有啟動"))</f>
        <v/>
      </c>
      <c r="Y31"/>
      <c r="Z31"/>
      <c r="AA31" s="482" t="str">
        <f>_xlfn.IFNA(VLOOKUP(總表!A31,用戶!A24:D723,4,0),"")</f>
        <v/>
      </c>
      <c r="AB31" s="467"/>
    </row>
    <row r="32" spans="1:28" ht="21">
      <c r="A32" s="679"/>
      <c r="B32" s="672"/>
      <c r="C32" s="673"/>
      <c r="D32" s="672"/>
      <c r="E32" s="674"/>
      <c r="F32" s="675"/>
      <c r="G32" s="673"/>
      <c r="H32" s="676"/>
      <c r="I32" s="674"/>
      <c r="J32" s="677"/>
      <c r="K32" s="672"/>
      <c r="L32" s="676"/>
      <c r="M32" s="674"/>
      <c r="N32" s="672"/>
      <c r="O32" s="680"/>
      <c r="Q32" s="482"/>
      <c r="R32" s="482"/>
      <c r="Y32"/>
      <c r="Z32"/>
      <c r="AA32" s="482"/>
      <c r="AB32" s="467"/>
    </row>
    <row r="33" spans="1:28" ht="21">
      <c r="A33" s="679"/>
      <c r="B33" s="672"/>
      <c r="C33" s="673"/>
      <c r="D33" s="672"/>
      <c r="E33" s="674"/>
      <c r="F33" s="675"/>
      <c r="G33" s="673"/>
      <c r="H33" s="676"/>
      <c r="I33" s="674"/>
      <c r="J33" s="677"/>
      <c r="K33" s="672"/>
      <c r="L33" s="676"/>
      <c r="M33" s="674"/>
      <c r="N33" s="672"/>
      <c r="O33" s="680"/>
      <c r="Q33" s="482"/>
      <c r="R33" s="482"/>
      <c r="Y33"/>
      <c r="Z33"/>
      <c r="AA33" s="482"/>
      <c r="AB33" s="467"/>
    </row>
    <row r="34" spans="1:28" ht="21">
      <c r="A34" s="679"/>
      <c r="B34" s="672"/>
      <c r="C34" s="673"/>
      <c r="D34" s="672"/>
      <c r="E34" s="674"/>
      <c r="F34" s="675"/>
      <c r="G34" s="673"/>
      <c r="H34" s="676"/>
      <c r="I34" s="674"/>
      <c r="J34" s="677"/>
      <c r="K34" s="672"/>
      <c r="L34" s="676"/>
      <c r="M34" s="674"/>
      <c r="N34" s="672"/>
      <c r="O34" s="680"/>
      <c r="Q34" s="482"/>
      <c r="R34" s="482"/>
      <c r="Y34"/>
      <c r="Z34"/>
      <c r="AA34" s="482"/>
      <c r="AB34" s="467"/>
    </row>
    <row r="35" spans="1:28" ht="21">
      <c r="A35" s="679"/>
      <c r="B35" s="672"/>
      <c r="C35" s="673"/>
      <c r="D35" s="672"/>
      <c r="E35" s="674"/>
      <c r="F35" s="681"/>
      <c r="G35" s="673"/>
      <c r="H35" s="681"/>
      <c r="I35" s="674"/>
      <c r="J35" s="677"/>
      <c r="K35" s="672"/>
      <c r="L35" s="676"/>
      <c r="M35" s="674"/>
      <c r="N35" s="672"/>
      <c r="O35" s="680"/>
      <c r="Q35" s="482" t="str">
        <f>IF(A35="","",IFERROR(VLOOKUP(A35,#REF!,2,0),"有啟動"))</f>
        <v/>
      </c>
      <c r="R35" s="482" t="str">
        <f>IF(B35="","",IFERROR(VLOOKUP(B35,#REF!,2,0),"有啟動"))</f>
        <v/>
      </c>
      <c r="Y35"/>
      <c r="Z35"/>
      <c r="AA35" s="482" t="str">
        <f>_xlfn.IFNA(VLOOKUP(總表!A35,用戶!A28:D727,4,0),"")</f>
        <v/>
      </c>
      <c r="AB35" s="467"/>
    </row>
    <row r="36" spans="1:28" ht="21">
      <c r="A36" s="679"/>
      <c r="B36" s="672"/>
      <c r="C36" s="673"/>
      <c r="D36" s="672"/>
      <c r="E36" s="674"/>
      <c r="F36" s="681"/>
      <c r="G36" s="673"/>
      <c r="H36" s="681"/>
      <c r="I36" s="674"/>
      <c r="J36" s="677"/>
      <c r="K36" s="672"/>
      <c r="L36" s="676"/>
      <c r="M36" s="674"/>
      <c r="N36" s="672"/>
      <c r="O36" s="680"/>
      <c r="Q36" s="482" t="str">
        <f>IF(A36="","",IFERROR(VLOOKUP(A36,#REF!,2,0),"有啟動"))</f>
        <v/>
      </c>
      <c r="R36" s="482" t="str">
        <f>IF(B36="","",IFERROR(VLOOKUP(B36,#REF!,2,0),"有啟動"))</f>
        <v/>
      </c>
      <c r="Y36"/>
      <c r="Z36"/>
      <c r="AA36" s="482" t="str">
        <f>_xlfn.IFNA(VLOOKUP(總表!A36,用戶!A29:D728,4,0),"")</f>
        <v/>
      </c>
      <c r="AB36" s="467"/>
    </row>
    <row r="37" spans="1:28" ht="21">
      <c r="A37" s="679"/>
      <c r="B37" s="672"/>
      <c r="C37" s="673"/>
      <c r="D37" s="672"/>
      <c r="E37" s="674"/>
      <c r="F37" s="681"/>
      <c r="G37" s="673"/>
      <c r="H37" s="681"/>
      <c r="I37" s="674"/>
      <c r="J37" s="677"/>
      <c r="K37" s="672"/>
      <c r="L37" s="676"/>
      <c r="M37" s="674"/>
      <c r="N37" s="672"/>
      <c r="O37" s="680"/>
      <c r="Q37" s="482" t="str">
        <f>IF(A37="","",IFERROR(VLOOKUP(A37,#REF!,2,0),"有啟動"))</f>
        <v/>
      </c>
      <c r="R37" s="482" t="str">
        <f>IF(B37="","",IFERROR(VLOOKUP(B37,#REF!,2,0),"有啟動"))</f>
        <v/>
      </c>
      <c r="Y37"/>
      <c r="Z37"/>
      <c r="AA37" s="482" t="str">
        <f>_xlfn.IFNA(VLOOKUP(總表!A37,用戶!A30:D729,4,0),"")</f>
        <v/>
      </c>
      <c r="AB37" s="467"/>
    </row>
    <row r="38" spans="1:28" ht="21">
      <c r="A38" s="679"/>
      <c r="B38" s="672"/>
      <c r="C38" s="673"/>
      <c r="D38" s="672"/>
      <c r="E38" s="674"/>
      <c r="F38" s="681"/>
      <c r="G38" s="673"/>
      <c r="H38" s="681"/>
      <c r="I38" s="674"/>
      <c r="J38" s="677"/>
      <c r="K38" s="672"/>
      <c r="L38" s="676"/>
      <c r="M38" s="674"/>
      <c r="N38" s="672"/>
      <c r="O38" s="680"/>
      <c r="Q38" s="482" t="str">
        <f>IF(A38="","",IFERROR(VLOOKUP(A38,#REF!,2,0),"有啟動"))</f>
        <v/>
      </c>
      <c r="R38" s="482" t="str">
        <f>IF(B38="","",IFERROR(VLOOKUP(B38,#REF!,2,0),"有啟動"))</f>
        <v/>
      </c>
      <c r="Y38"/>
      <c r="Z38"/>
      <c r="AA38" s="482" t="str">
        <f>_xlfn.IFNA(VLOOKUP(總表!A38,用戶!A31:D730,4,0),"")</f>
        <v/>
      </c>
      <c r="AB38" s="467"/>
    </row>
    <row r="39" spans="1:28" ht="21">
      <c r="A39" s="679"/>
      <c r="B39" s="672"/>
      <c r="C39" s="673"/>
      <c r="D39" s="672"/>
      <c r="E39" s="674"/>
      <c r="F39" s="681"/>
      <c r="G39" s="673"/>
      <c r="H39" s="681"/>
      <c r="I39" s="674"/>
      <c r="J39" s="677"/>
      <c r="K39" s="672"/>
      <c r="L39" s="676"/>
      <c r="M39" s="674"/>
      <c r="N39" s="672"/>
      <c r="O39" s="680"/>
      <c r="Q39" s="482" t="str">
        <f>IF(A39="","",IFERROR(VLOOKUP(A39,#REF!,2,0),"有啟動"))</f>
        <v/>
      </c>
      <c r="R39" s="482" t="str">
        <f>IF(B39="","",IFERROR(VLOOKUP(B39,#REF!,2,0),"有啟動"))</f>
        <v/>
      </c>
      <c r="Y39"/>
      <c r="Z39"/>
      <c r="AA39" s="482" t="str">
        <f>_xlfn.IFNA(VLOOKUP(總表!A39,用戶!A32:D731,4,0),"")</f>
        <v/>
      </c>
      <c r="AB39" s="467"/>
    </row>
    <row r="40" spans="1:28" ht="21">
      <c r="A40" s="679"/>
      <c r="B40" s="672"/>
      <c r="C40" s="673"/>
      <c r="D40" s="672"/>
      <c r="E40" s="674"/>
      <c r="F40" s="681"/>
      <c r="G40" s="673"/>
      <c r="H40" s="681"/>
      <c r="I40" s="674"/>
      <c r="J40" s="677"/>
      <c r="K40" s="672"/>
      <c r="L40" s="676"/>
      <c r="M40" s="674"/>
      <c r="N40" s="672"/>
      <c r="O40" s="680"/>
      <c r="Q40" s="482" t="str">
        <f>IF(A40="","",IFERROR(VLOOKUP(A40,#REF!,2,0),"有啟動"))</f>
        <v/>
      </c>
      <c r="R40" s="482" t="str">
        <f>IF(B40="","",IFERROR(VLOOKUP(B40,#REF!,2,0),"有啟動"))</f>
        <v/>
      </c>
      <c r="Y40"/>
      <c r="Z40"/>
      <c r="AA40" s="482" t="str">
        <f>_xlfn.IFNA(VLOOKUP(總表!A40,用戶!A33:D732,4,0),"")</f>
        <v/>
      </c>
      <c r="AB40" s="467"/>
    </row>
    <row r="41" spans="1:28" ht="21">
      <c r="A41" s="679"/>
      <c r="B41" s="672"/>
      <c r="C41" s="673"/>
      <c r="D41" s="672"/>
      <c r="E41" s="674"/>
      <c r="F41" s="681"/>
      <c r="G41" s="673"/>
      <c r="H41" s="681"/>
      <c r="I41" s="674"/>
      <c r="J41" s="677"/>
      <c r="K41" s="672"/>
      <c r="L41" s="676"/>
      <c r="M41" s="674"/>
      <c r="N41" s="672"/>
      <c r="O41" s="680"/>
      <c r="Q41" s="482" t="str">
        <f>IF(A41="","",IFERROR(VLOOKUP(A41,#REF!,2,0),"有啟動"))</f>
        <v/>
      </c>
      <c r="R41" s="482" t="str">
        <f>IF(B41="","",IFERROR(VLOOKUP(B41,#REF!,2,0),"有啟動"))</f>
        <v/>
      </c>
      <c r="Y41"/>
      <c r="Z41"/>
      <c r="AA41" s="482" t="str">
        <f>_xlfn.IFNA(VLOOKUP(總表!A41,用戶!A34:D733,4,0),"")</f>
        <v/>
      </c>
      <c r="AB41" s="467"/>
    </row>
    <row r="42" spans="1:28" ht="21">
      <c r="A42" s="679"/>
      <c r="B42" s="672"/>
      <c r="C42" s="673"/>
      <c r="D42" s="672"/>
      <c r="E42" s="674"/>
      <c r="F42" s="681"/>
      <c r="G42" s="673"/>
      <c r="H42" s="681"/>
      <c r="I42" s="674"/>
      <c r="J42" s="677"/>
      <c r="K42" s="672"/>
      <c r="L42" s="676"/>
      <c r="M42" s="674"/>
      <c r="N42" s="672"/>
      <c r="O42" s="680"/>
      <c r="Q42" s="482" t="str">
        <f>IF(A42="","",IFERROR(VLOOKUP(A42,#REF!,2,0),"有啟動"))</f>
        <v/>
      </c>
      <c r="R42" s="482" t="str">
        <f>IF(B42="","",IFERROR(VLOOKUP(B42,#REF!,2,0),"有啟動"))</f>
        <v/>
      </c>
      <c r="Y42"/>
      <c r="Z42"/>
      <c r="AA42" s="482" t="str">
        <f>_xlfn.IFNA(VLOOKUP(總表!A42,用戶!A35:D734,4,0),"")</f>
        <v/>
      </c>
      <c r="AB42" s="467"/>
    </row>
    <row r="43" spans="1:28" ht="21">
      <c r="A43" s="679"/>
      <c r="B43" s="672"/>
      <c r="C43" s="673"/>
      <c r="D43" s="672"/>
      <c r="E43" s="674"/>
      <c r="F43" s="681"/>
      <c r="G43" s="673"/>
      <c r="H43" s="681"/>
      <c r="I43" s="674"/>
      <c r="J43" s="677"/>
      <c r="K43" s="672"/>
      <c r="L43" s="676"/>
      <c r="M43" s="674"/>
      <c r="N43" s="672"/>
      <c r="O43" s="680"/>
      <c r="Q43" s="482" t="str">
        <f>IF(A43="","",IFERROR(VLOOKUP(A43,#REF!,2,0),"有啟動"))</f>
        <v/>
      </c>
      <c r="R43" s="482" t="str">
        <f>IF(B43="","",IFERROR(VLOOKUP(B43,#REF!,2,0),"有啟動"))</f>
        <v/>
      </c>
      <c r="Y43"/>
      <c r="Z43"/>
      <c r="AA43" s="482" t="str">
        <f>_xlfn.IFNA(VLOOKUP(總表!A43,用戶!A36:D735,4,0),"")</f>
        <v/>
      </c>
      <c r="AB43" s="467"/>
    </row>
    <row r="44" spans="1:28" ht="21">
      <c r="A44" s="679"/>
      <c r="B44" s="672"/>
      <c r="C44" s="673"/>
      <c r="D44" s="672"/>
      <c r="E44" s="674"/>
      <c r="F44" s="681"/>
      <c r="G44" s="673"/>
      <c r="H44" s="681"/>
      <c r="I44" s="674"/>
      <c r="J44" s="677"/>
      <c r="K44" s="672"/>
      <c r="L44" s="676"/>
      <c r="M44" s="674"/>
      <c r="N44" s="672"/>
      <c r="O44" s="680"/>
      <c r="Q44" s="482" t="str">
        <f>IF(A44="","",IFERROR(VLOOKUP(A44,#REF!,2,0),"有啟動"))</f>
        <v/>
      </c>
      <c r="R44" s="482" t="str">
        <f>IF(B44="","",IFERROR(VLOOKUP(B44,#REF!,2,0),"有啟動"))</f>
        <v/>
      </c>
      <c r="Y44"/>
      <c r="Z44"/>
      <c r="AA44" s="482" t="str">
        <f>_xlfn.IFNA(VLOOKUP(總表!A44,用戶!A37:D736,4,0),"")</f>
        <v/>
      </c>
      <c r="AB44" s="467"/>
    </row>
    <row r="45" spans="1:28" ht="21">
      <c r="A45" s="679"/>
      <c r="B45" s="672"/>
      <c r="C45" s="673"/>
      <c r="D45" s="672"/>
      <c r="E45" s="674"/>
      <c r="F45" s="681"/>
      <c r="G45" s="673"/>
      <c r="H45" s="681"/>
      <c r="I45" s="674"/>
      <c r="J45" s="677"/>
      <c r="K45" s="672"/>
      <c r="L45" s="676"/>
      <c r="M45" s="674"/>
      <c r="N45" s="672"/>
      <c r="O45" s="680"/>
      <c r="Q45" s="482" t="str">
        <f>IF(A45="","",IFERROR(VLOOKUP(A45,#REF!,2,0),"有啟動"))</f>
        <v/>
      </c>
      <c r="R45" s="482" t="str">
        <f>IF(B45="","",IFERROR(VLOOKUP(B45,#REF!,2,0),"有啟動"))</f>
        <v/>
      </c>
      <c r="Y45"/>
      <c r="Z45"/>
      <c r="AA45" s="482" t="str">
        <f>_xlfn.IFNA(VLOOKUP(總表!A45,用戶!A38:D737,4,0),"")</f>
        <v/>
      </c>
      <c r="AB45" s="467"/>
    </row>
    <row r="46" spans="1:28" ht="21">
      <c r="A46" s="679"/>
      <c r="B46" s="672"/>
      <c r="C46" s="673"/>
      <c r="D46" s="672"/>
      <c r="E46" s="674"/>
      <c r="F46" s="681"/>
      <c r="G46" s="673"/>
      <c r="H46" s="681"/>
      <c r="I46" s="674"/>
      <c r="J46" s="677"/>
      <c r="K46" s="672"/>
      <c r="L46" s="676"/>
      <c r="M46" s="674"/>
      <c r="N46" s="672"/>
      <c r="O46" s="680"/>
      <c r="Q46" s="482" t="str">
        <f>IF(A46="","",IFERROR(VLOOKUP(A46,#REF!,2,0),"有啟動"))</f>
        <v/>
      </c>
      <c r="R46" s="482" t="str">
        <f>IF(B46="","",IFERROR(VLOOKUP(B46,#REF!,2,0),"有啟動"))</f>
        <v/>
      </c>
      <c r="Y46"/>
      <c r="Z46"/>
      <c r="AA46" s="482" t="str">
        <f>_xlfn.IFNA(VLOOKUP(總表!A46,用戶!A39:D738,4,0),"")</f>
        <v/>
      </c>
      <c r="AB46" s="467"/>
    </row>
    <row r="47" spans="1:28" ht="21.75" thickBot="1">
      <c r="A47" s="682"/>
      <c r="B47" s="683"/>
      <c r="C47" s="684"/>
      <c r="D47" s="683"/>
      <c r="E47" s="685"/>
      <c r="F47" s="686"/>
      <c r="G47" s="684"/>
      <c r="H47" s="686"/>
      <c r="I47" s="685"/>
      <c r="J47" s="687"/>
      <c r="K47" s="683"/>
      <c r="L47" s="688"/>
      <c r="M47" s="685"/>
      <c r="N47" s="683"/>
      <c r="O47" s="689"/>
      <c r="Q47" s="482" t="str">
        <f>IF(A47="","",IFERROR(VLOOKUP(A47,#REF!,2,0),"有啟動"))</f>
        <v/>
      </c>
      <c r="R47" s="482" t="str">
        <f>IF(B47="","",IFERROR(VLOOKUP(B47,#REF!,2,0),"有啟動"))</f>
        <v/>
      </c>
      <c r="Y47"/>
      <c r="Z47"/>
      <c r="AA47" s="482" t="str">
        <f>_xlfn.IFNA(VLOOKUP(總表!A47,用戶!A40:D739,4,0),"")</f>
        <v/>
      </c>
      <c r="AB47" s="467"/>
    </row>
    <row r="48" spans="1:28" ht="21">
      <c r="A48" s="241"/>
      <c r="B48" s="241"/>
      <c r="C48" s="241"/>
      <c r="D48" s="241"/>
      <c r="Y48" s="467">
        <f>SUM(AA8:AA47)</f>
        <v>7979</v>
      </c>
    </row>
    <row r="49" spans="1:15" ht="31.5" hidden="1">
      <c r="A49" s="248" t="s">
        <v>3211</v>
      </c>
      <c r="B49" s="248" t="s">
        <v>3212</v>
      </c>
      <c r="C49" s="249" t="s">
        <v>10136</v>
      </c>
      <c r="D49" s="251" t="s">
        <v>10137</v>
      </c>
      <c r="E49" s="251" t="s">
        <v>761</v>
      </c>
      <c r="F49" s="468" t="s">
        <v>5551</v>
      </c>
      <c r="G49" s="251" t="s">
        <v>761</v>
      </c>
      <c r="H49" s="468" t="s">
        <v>10138</v>
      </c>
      <c r="I49" s="468" t="s">
        <v>10177</v>
      </c>
      <c r="M49" s="627"/>
      <c r="N49" s="627"/>
      <c r="O49" s="627"/>
    </row>
    <row r="50" spans="1:15" ht="21" hidden="1">
      <c r="A50" s="1" t="s">
        <v>753</v>
      </c>
      <c r="B50" s="1" t="s">
        <v>88</v>
      </c>
      <c r="C50" s="1" t="s">
        <v>10189</v>
      </c>
      <c r="D50" s="1" t="s">
        <v>10190</v>
      </c>
      <c r="E50" s="479" t="s">
        <v>5574</v>
      </c>
      <c r="F50" s="1" t="s">
        <v>2043</v>
      </c>
      <c r="G50" s="479" t="s">
        <v>5574</v>
      </c>
      <c r="H50" s="464" t="s">
        <v>10174</v>
      </c>
      <c r="I50" s="464" t="s">
        <v>5604</v>
      </c>
    </row>
    <row r="51" spans="1:15" ht="21" hidden="1">
      <c r="A51" s="1" t="s">
        <v>9030</v>
      </c>
      <c r="B51" s="1" t="s">
        <v>89</v>
      </c>
      <c r="C51" s="1" t="s">
        <v>10141</v>
      </c>
      <c r="D51" s="1" t="s">
        <v>10143</v>
      </c>
      <c r="E51" s="479" t="s">
        <v>5589</v>
      </c>
      <c r="F51" s="1" t="s">
        <v>10143</v>
      </c>
      <c r="G51" s="479" t="s">
        <v>5589</v>
      </c>
      <c r="H51" s="464" t="s">
        <v>5604</v>
      </c>
      <c r="I51" s="464" t="s">
        <v>5604</v>
      </c>
    </row>
    <row r="52" spans="1:15" ht="21" hidden="1">
      <c r="A52" s="1" t="s">
        <v>9031</v>
      </c>
      <c r="B52" s="1" t="s">
        <v>90</v>
      </c>
      <c r="C52" s="1" t="s">
        <v>10170</v>
      </c>
      <c r="D52" s="1" t="s">
        <v>10175</v>
      </c>
      <c r="E52" s="479" t="s">
        <v>5605</v>
      </c>
      <c r="F52" s="1" t="s">
        <v>10175</v>
      </c>
      <c r="G52" s="479" t="s">
        <v>5605</v>
      </c>
      <c r="H52" s="464" t="s">
        <v>5604</v>
      </c>
      <c r="I52" s="464" t="s">
        <v>5604</v>
      </c>
    </row>
    <row r="53" spans="1:15" ht="21" hidden="1">
      <c r="A53" s="1" t="s">
        <v>9032</v>
      </c>
      <c r="B53" s="1" t="s">
        <v>91</v>
      </c>
      <c r="C53" s="1" t="s">
        <v>10170</v>
      </c>
      <c r="D53" s="1" t="s">
        <v>10129</v>
      </c>
      <c r="E53" s="479" t="s">
        <v>5620</v>
      </c>
      <c r="F53" s="1" t="s">
        <v>10129</v>
      </c>
      <c r="G53" s="479" t="s">
        <v>5620</v>
      </c>
      <c r="H53" s="464" t="s">
        <v>5604</v>
      </c>
      <c r="I53" s="464" t="s">
        <v>5604</v>
      </c>
    </row>
    <row r="54" spans="1:15" ht="21" hidden="1">
      <c r="A54" s="1" t="s">
        <v>9033</v>
      </c>
      <c r="B54" s="1" t="s">
        <v>92</v>
      </c>
      <c r="C54" s="1" t="s">
        <v>10191</v>
      </c>
      <c r="D54" s="1" t="s">
        <v>10176</v>
      </c>
      <c r="E54" s="479" t="s">
        <v>1064</v>
      </c>
      <c r="F54" s="1" t="s">
        <v>10176</v>
      </c>
      <c r="G54" s="479" t="s">
        <v>1064</v>
      </c>
      <c r="H54" s="464" t="s">
        <v>5604</v>
      </c>
      <c r="I54" s="464" t="s">
        <v>5604</v>
      </c>
    </row>
    <row r="55" spans="1:15" hidden="1">
      <c r="F55" s="627"/>
      <c r="G55" s="627"/>
      <c r="J55" s="627"/>
    </row>
    <row r="56" spans="1:15" ht="16.5" customHeight="1">
      <c r="F56" s="627"/>
      <c r="G56" s="627"/>
      <c r="J56" s="627"/>
    </row>
    <row r="57" spans="1:15" ht="29.25" customHeight="1">
      <c r="A57" s="628" t="s">
        <v>3211</v>
      </c>
      <c r="B57" s="628" t="s">
        <v>10139</v>
      </c>
      <c r="C57" s="628" t="s">
        <v>3212</v>
      </c>
      <c r="D57" s="628" t="s">
        <v>10139</v>
      </c>
      <c r="E57" s="248" t="s">
        <v>10192</v>
      </c>
      <c r="F57" s="626" t="s">
        <v>10136</v>
      </c>
      <c r="G57" s="248" t="s">
        <v>10193</v>
      </c>
      <c r="H57" s="248" t="s">
        <v>10180</v>
      </c>
      <c r="I57" s="628" t="s">
        <v>3318</v>
      </c>
      <c r="J57" s="627"/>
    </row>
    <row r="58" spans="1:15" ht="21">
      <c r="A58" s="2" t="s">
        <v>9355</v>
      </c>
      <c r="B58" s="614">
        <v>81</v>
      </c>
      <c r="C58" s="2" t="s">
        <v>9012</v>
      </c>
      <c r="D58" s="614">
        <v>112</v>
      </c>
      <c r="E58" s="615">
        <v>193</v>
      </c>
      <c r="F58" s="2" t="s">
        <v>10242</v>
      </c>
      <c r="G58" s="614">
        <v>571</v>
      </c>
      <c r="H58" s="614">
        <v>652</v>
      </c>
      <c r="I58" s="633"/>
      <c r="J58" s="241"/>
    </row>
    <row r="59" spans="1:15" ht="21">
      <c r="A59" s="2" t="s">
        <v>9356</v>
      </c>
      <c r="B59" s="614">
        <v>70.467377552864605</v>
      </c>
      <c r="C59" s="2" t="s">
        <v>2879</v>
      </c>
      <c r="D59" s="614">
        <v>264</v>
      </c>
      <c r="E59" s="615">
        <v>334.467377552865</v>
      </c>
      <c r="F59" s="2" t="s">
        <v>10245</v>
      </c>
      <c r="G59" s="614">
        <v>631</v>
      </c>
      <c r="H59" s="614">
        <v>701.46737755286495</v>
      </c>
      <c r="I59" s="633"/>
    </row>
    <row r="60" spans="1:15" ht="21">
      <c r="A60" s="2" t="s">
        <v>9356</v>
      </c>
      <c r="B60" s="614">
        <v>85.532622447135395</v>
      </c>
      <c r="C60" s="2" t="s">
        <v>9012</v>
      </c>
      <c r="D60" s="614">
        <v>193</v>
      </c>
      <c r="E60" s="615">
        <v>278.532622447135</v>
      </c>
      <c r="F60" s="2" t="s">
        <v>10242</v>
      </c>
      <c r="G60" s="614">
        <v>652</v>
      </c>
      <c r="H60" s="614">
        <v>737.53262244713505</v>
      </c>
      <c r="I60" s="633"/>
      <c r="K60" s="637"/>
    </row>
    <row r="61" spans="1:15" ht="21">
      <c r="A61" s="2" t="s">
        <v>1967</v>
      </c>
      <c r="B61" s="614">
        <v>86</v>
      </c>
      <c r="C61" s="2" t="s">
        <v>9008</v>
      </c>
      <c r="D61" s="614">
        <v>132</v>
      </c>
      <c r="E61" s="615">
        <v>218</v>
      </c>
      <c r="F61" s="2" t="s">
        <v>10249</v>
      </c>
      <c r="G61" s="614">
        <v>484</v>
      </c>
      <c r="H61" s="614">
        <v>570</v>
      </c>
      <c r="I61" s="633"/>
    </row>
    <row r="62" spans="1:15" ht="21">
      <c r="A62" s="2" t="s">
        <v>9357</v>
      </c>
      <c r="B62" s="614">
        <v>145</v>
      </c>
      <c r="C62" s="2" t="s">
        <v>1925</v>
      </c>
      <c r="D62" s="614">
        <v>144</v>
      </c>
      <c r="E62" s="615">
        <v>289</v>
      </c>
      <c r="F62" s="2" t="s">
        <v>10252</v>
      </c>
      <c r="G62" s="614">
        <v>405</v>
      </c>
      <c r="H62" s="614">
        <v>550</v>
      </c>
      <c r="I62" s="633"/>
      <c r="J62" s="629"/>
    </row>
    <row r="63" spans="1:15" ht="21">
      <c r="A63" s="2"/>
      <c r="B63" s="614"/>
      <c r="C63" s="2"/>
      <c r="D63" s="614"/>
      <c r="E63" s="615"/>
      <c r="F63" s="2"/>
      <c r="G63" s="614"/>
      <c r="H63" s="614"/>
      <c r="I63" s="633"/>
      <c r="J63" s="627"/>
    </row>
    <row r="64" spans="1:15" ht="21">
      <c r="A64" s="2"/>
      <c r="B64" s="614"/>
      <c r="C64" s="2"/>
      <c r="D64" s="614"/>
      <c r="E64" s="615"/>
      <c r="F64" s="2"/>
      <c r="G64" s="614"/>
      <c r="H64" s="614"/>
      <c r="I64" s="633"/>
      <c r="J64" s="627"/>
    </row>
    <row r="65" spans="1:10" ht="21">
      <c r="A65" s="2"/>
      <c r="B65" s="614"/>
      <c r="C65" s="2"/>
      <c r="D65" s="614"/>
      <c r="E65" s="615"/>
      <c r="F65" s="2"/>
      <c r="G65" s="614"/>
      <c r="H65" s="614"/>
      <c r="I65" s="633"/>
      <c r="J65" s="627"/>
    </row>
    <row r="66" spans="1:10" ht="21">
      <c r="A66" s="2"/>
      <c r="B66" s="614"/>
      <c r="C66" s="2"/>
      <c r="D66" s="614"/>
      <c r="E66" s="615"/>
      <c r="F66" s="2"/>
      <c r="G66" s="614"/>
      <c r="H66" s="614"/>
      <c r="I66" s="633"/>
      <c r="J66" s="627"/>
    </row>
    <row r="67" spans="1:10" ht="21">
      <c r="A67" s="2"/>
      <c r="B67" s="614"/>
      <c r="C67" s="2"/>
      <c r="D67" s="614"/>
      <c r="E67" s="615"/>
      <c r="F67" s="2"/>
      <c r="G67" s="614"/>
      <c r="H67" s="614"/>
      <c r="I67" s="633"/>
      <c r="J67" s="627"/>
    </row>
    <row r="68" spans="1:10" ht="21">
      <c r="A68" s="2"/>
      <c r="B68" s="614"/>
      <c r="C68" s="2"/>
      <c r="D68" s="614"/>
      <c r="E68" s="615"/>
      <c r="F68" s="2"/>
      <c r="G68" s="614"/>
      <c r="H68" s="614"/>
      <c r="I68" s="633"/>
      <c r="J68" s="627"/>
    </row>
    <row r="69" spans="1:10" ht="21">
      <c r="A69" s="2"/>
      <c r="B69" s="614"/>
      <c r="C69" s="2"/>
      <c r="D69" s="614"/>
      <c r="E69" s="615"/>
      <c r="F69" s="2"/>
      <c r="G69" s="614"/>
      <c r="H69" s="614"/>
      <c r="I69" s="633"/>
      <c r="J69" s="627"/>
    </row>
    <row r="70" spans="1:10" ht="21">
      <c r="A70" s="2"/>
      <c r="B70" s="614"/>
      <c r="C70" s="2"/>
      <c r="D70" s="614"/>
      <c r="E70" s="615"/>
      <c r="F70" s="2"/>
      <c r="G70" s="614"/>
      <c r="H70" s="614"/>
      <c r="I70" s="633"/>
      <c r="J70" s="627"/>
    </row>
    <row r="71" spans="1:10" ht="21">
      <c r="A71" s="2"/>
      <c r="B71" s="614"/>
      <c r="C71" s="2"/>
      <c r="D71" s="614"/>
      <c r="E71" s="615"/>
      <c r="F71" s="2"/>
      <c r="G71" s="614"/>
      <c r="H71" s="614"/>
      <c r="I71" s="633"/>
      <c r="J71" s="627"/>
    </row>
    <row r="72" spans="1:10" ht="21">
      <c r="A72" s="2"/>
      <c r="B72" s="614"/>
      <c r="C72" s="2"/>
      <c r="D72" s="614"/>
      <c r="E72" s="615"/>
      <c r="F72" s="2"/>
      <c r="G72" s="614"/>
      <c r="H72" s="614"/>
      <c r="I72" s="633"/>
      <c r="J72" s="627"/>
    </row>
    <row r="73" spans="1:10" ht="21">
      <c r="A73" s="2"/>
      <c r="B73" s="614"/>
      <c r="C73" s="2"/>
      <c r="D73" s="614"/>
      <c r="E73" s="615"/>
      <c r="F73" s="2"/>
      <c r="G73" s="614"/>
      <c r="H73" s="614"/>
      <c r="I73" s="633"/>
      <c r="J73" s="627"/>
    </row>
    <row r="74" spans="1:10" ht="21">
      <c r="A74" s="2"/>
      <c r="B74" s="614"/>
      <c r="C74" s="2"/>
      <c r="D74" s="614"/>
      <c r="E74" s="615"/>
      <c r="F74" s="2"/>
      <c r="G74" s="614"/>
      <c r="H74" s="614"/>
      <c r="I74" s="633"/>
      <c r="J74" s="627"/>
    </row>
    <row r="75" spans="1:10" ht="21">
      <c r="A75" s="2"/>
      <c r="B75" s="614"/>
      <c r="C75" s="2"/>
      <c r="D75" s="614"/>
      <c r="E75" s="615"/>
      <c r="F75" s="2"/>
      <c r="G75" s="614"/>
      <c r="H75" s="614"/>
      <c r="I75" s="633"/>
    </row>
    <row r="76" spans="1:10" ht="21">
      <c r="A76" s="2"/>
      <c r="B76" s="614"/>
      <c r="C76" s="2"/>
      <c r="D76" s="614"/>
      <c r="E76" s="615"/>
      <c r="F76" s="2"/>
      <c r="G76" s="614"/>
      <c r="H76" s="614"/>
      <c r="I76" s="633"/>
      <c r="J76" s="627"/>
    </row>
    <row r="77" spans="1:10" ht="21">
      <c r="A77" s="2"/>
      <c r="B77" s="614"/>
      <c r="C77" s="2"/>
      <c r="D77" s="614"/>
      <c r="E77" s="615"/>
      <c r="F77" s="2"/>
      <c r="G77" s="614"/>
      <c r="H77" s="614"/>
      <c r="I77" s="633"/>
      <c r="J77" s="627"/>
    </row>
    <row r="78" spans="1:10" ht="21">
      <c r="A78" s="2"/>
      <c r="B78" s="614"/>
      <c r="C78" s="2"/>
      <c r="D78" s="614"/>
      <c r="E78" s="615"/>
      <c r="F78" s="2"/>
      <c r="G78" s="614"/>
      <c r="H78" s="614"/>
      <c r="I78" s="633"/>
      <c r="J78" s="627"/>
    </row>
    <row r="79" spans="1:10" ht="21">
      <c r="A79" s="2"/>
      <c r="B79" s="614"/>
      <c r="C79" s="2"/>
      <c r="D79" s="614"/>
      <c r="E79" s="615"/>
      <c r="F79" s="2"/>
      <c r="G79" s="614"/>
      <c r="H79" s="614"/>
      <c r="I79" s="633"/>
      <c r="J79" s="627"/>
    </row>
    <row r="80" spans="1:10" ht="21">
      <c r="A80" s="2"/>
      <c r="B80" s="614"/>
      <c r="C80" s="2"/>
      <c r="D80" s="614"/>
      <c r="E80" s="615"/>
      <c r="F80" s="2"/>
      <c r="G80" s="614"/>
      <c r="H80" s="614"/>
      <c r="I80" s="633"/>
    </row>
    <row r="81" spans="1:9" ht="21">
      <c r="A81" s="2"/>
      <c r="B81" s="614"/>
      <c r="C81" s="2"/>
      <c r="D81" s="614"/>
      <c r="E81" s="615"/>
      <c r="F81" s="2"/>
      <c r="G81" s="614"/>
      <c r="H81" s="614"/>
      <c r="I81" s="633"/>
    </row>
    <row r="82" spans="1:9" ht="21">
      <c r="A82" s="2"/>
      <c r="B82" s="614"/>
      <c r="C82" s="2"/>
      <c r="D82" s="614"/>
      <c r="E82" s="615"/>
      <c r="F82" s="2"/>
      <c r="G82" s="614"/>
      <c r="H82" s="614"/>
      <c r="I82" s="633"/>
    </row>
    <row r="83" spans="1:9" ht="21">
      <c r="A83" s="2"/>
      <c r="B83" s="614"/>
      <c r="C83" s="2"/>
      <c r="D83" s="614"/>
      <c r="E83" s="615"/>
      <c r="F83" s="2"/>
      <c r="G83" s="614"/>
      <c r="H83" s="614"/>
      <c r="I83" s="633"/>
    </row>
    <row r="84" spans="1:9" ht="21">
      <c r="A84" s="2"/>
      <c r="B84" s="614"/>
      <c r="C84" s="2"/>
      <c r="D84" s="614"/>
      <c r="E84" s="615"/>
      <c r="F84" s="2"/>
      <c r="G84" s="614"/>
      <c r="H84" s="614"/>
      <c r="I84" s="633"/>
    </row>
    <row r="85" spans="1:9" ht="21">
      <c r="A85" s="2"/>
      <c r="B85" s="614"/>
      <c r="C85" s="2"/>
      <c r="D85" s="614"/>
      <c r="E85" s="615"/>
      <c r="F85" s="2"/>
      <c r="G85" s="614"/>
      <c r="H85" s="614"/>
      <c r="I85" s="633"/>
    </row>
    <row r="86" spans="1:9" ht="21">
      <c r="A86" s="2"/>
      <c r="B86" s="614"/>
      <c r="C86" s="2"/>
      <c r="D86" s="614"/>
      <c r="E86" s="615"/>
      <c r="F86" s="2"/>
      <c r="G86" s="614"/>
      <c r="H86" s="614"/>
      <c r="I86" s="633"/>
    </row>
    <row r="87" spans="1:9" ht="21">
      <c r="A87" s="2"/>
      <c r="B87" s="614"/>
      <c r="C87" s="2"/>
      <c r="D87" s="614"/>
      <c r="E87" s="615"/>
      <c r="F87" s="2"/>
      <c r="G87" s="614"/>
      <c r="H87" s="614"/>
      <c r="I87" s="633"/>
    </row>
    <row r="88" spans="1:9" ht="21">
      <c r="A88" s="2"/>
      <c r="B88" s="614"/>
      <c r="C88" s="2"/>
      <c r="D88" s="614"/>
      <c r="E88" s="615"/>
      <c r="F88" s="2"/>
      <c r="G88" s="614"/>
      <c r="H88" s="614"/>
      <c r="I88" s="633"/>
    </row>
    <row r="89" spans="1:9" ht="21">
      <c r="A89" s="2"/>
      <c r="B89" s="614"/>
      <c r="C89" s="2"/>
      <c r="D89" s="614"/>
      <c r="E89" s="615"/>
      <c r="F89" s="2"/>
      <c r="G89" s="614"/>
      <c r="H89" s="614"/>
      <c r="I89" s="633"/>
    </row>
    <row r="90" spans="1:9" ht="21">
      <c r="A90" s="2"/>
      <c r="B90" s="614"/>
      <c r="C90" s="2"/>
      <c r="D90" s="614"/>
      <c r="E90" s="615"/>
      <c r="F90" s="2"/>
      <c r="G90" s="614"/>
      <c r="H90" s="614"/>
      <c r="I90" s="633"/>
    </row>
    <row r="91" spans="1:9" ht="21">
      <c r="A91" s="2"/>
      <c r="B91" s="614"/>
      <c r="C91" s="2"/>
      <c r="D91" s="614"/>
      <c r="E91" s="615"/>
      <c r="F91" s="2"/>
      <c r="G91" s="614"/>
      <c r="H91" s="614"/>
      <c r="I91" s="633"/>
    </row>
    <row r="92" spans="1:9" ht="21">
      <c r="A92" s="2"/>
      <c r="B92" s="614"/>
      <c r="C92" s="2"/>
      <c r="D92" s="614"/>
      <c r="E92" s="615"/>
      <c r="F92" s="2"/>
      <c r="G92" s="614"/>
      <c r="H92" s="614"/>
      <c r="I92" s="633"/>
    </row>
    <row r="93" spans="1:9" ht="21">
      <c r="A93" s="2"/>
      <c r="B93" s="614"/>
      <c r="C93" s="2"/>
      <c r="D93" s="614"/>
      <c r="E93" s="615"/>
      <c r="F93" s="2"/>
      <c r="G93" s="614"/>
      <c r="H93" s="614"/>
      <c r="I93" s="633"/>
    </row>
    <row r="94" spans="1:9" ht="21">
      <c r="A94" s="2"/>
      <c r="B94" s="614"/>
      <c r="C94" s="2"/>
      <c r="D94" s="614"/>
      <c r="E94" s="615"/>
      <c r="F94" s="2"/>
      <c r="G94" s="614"/>
      <c r="H94" s="614"/>
      <c r="I94" s="633"/>
    </row>
    <row r="95" spans="1:9" ht="21">
      <c r="A95" s="2"/>
      <c r="B95" s="614"/>
      <c r="C95" s="2"/>
      <c r="D95" s="614"/>
      <c r="E95" s="615"/>
      <c r="F95" s="2"/>
      <c r="G95" s="614"/>
      <c r="H95" s="614"/>
      <c r="I95" s="633"/>
    </row>
    <row r="96" spans="1:9" ht="21">
      <c r="A96" s="2"/>
      <c r="B96" s="614"/>
      <c r="C96" s="2"/>
      <c r="D96" s="614"/>
      <c r="E96" s="615"/>
      <c r="F96" s="2"/>
      <c r="G96" s="614"/>
      <c r="H96" s="614"/>
      <c r="I96" s="633"/>
    </row>
    <row r="97" spans="1:9" ht="21">
      <c r="A97" s="2"/>
      <c r="B97" s="614"/>
      <c r="C97" s="2"/>
      <c r="D97" s="614"/>
      <c r="E97" s="615"/>
      <c r="F97" s="2"/>
      <c r="G97" s="614"/>
      <c r="H97" s="614"/>
      <c r="I97" s="633"/>
    </row>
  </sheetData>
  <sheetProtection formatCells="0" formatColumns="0" formatRows="0" insertColumns="0" insertRows="0" deleteColumns="0" deleteRows="0"/>
  <protectedRanges>
    <protectedRange sqref="A2:H2 A4:H4 B5:F5 H5 I9 K8:K47 A8:B47 D8:E47" name="範圍1"/>
  </protectedRanges>
  <mergeCells count="4">
    <mergeCell ref="C3:D3"/>
    <mergeCell ref="E3:F3"/>
    <mergeCell ref="G3:H3"/>
    <mergeCell ref="B5:F5"/>
  </mergeCells>
  <phoneticPr fontId="1" type="noConversion"/>
  <conditionalFormatting sqref="Q8:Q26 Q28:Q47">
    <cfRule type="containsText" dxfId="353" priority="20" operator="containsText" text="有啟動">
      <formula>NOT(ISERROR(SEARCH("有啟動",Q8)))</formula>
    </cfRule>
  </conditionalFormatting>
  <conditionalFormatting sqref="Q8:Q26 Q28:Q47">
    <cfRule type="containsText" dxfId="352" priority="19" operator="containsText" text="無啟動">
      <formula>NOT(ISERROR(SEARCH("無啟動",Q8)))</formula>
    </cfRule>
  </conditionalFormatting>
  <conditionalFormatting sqref="Q8:Q26 Q28:Q47">
    <cfRule type="containsText" dxfId="351" priority="18" operator="containsText" text="未供電">
      <formula>NOT(ISERROR(SEARCH("未供電",Q8)))</formula>
    </cfRule>
  </conditionalFormatting>
  <conditionalFormatting sqref="R8:R26 R28:R47">
    <cfRule type="containsText" dxfId="350" priority="17" operator="containsText" text="有啟動">
      <formula>NOT(ISERROR(SEARCH("有啟動",R8)))</formula>
    </cfRule>
  </conditionalFormatting>
  <conditionalFormatting sqref="R8:R26 R28:R47">
    <cfRule type="containsText" dxfId="349" priority="16" operator="containsText" text="無啟動">
      <formula>NOT(ISERROR(SEARCH("無啟動",R8)))</formula>
    </cfRule>
  </conditionalFormatting>
  <conditionalFormatting sqref="R8:R26 R28:R47">
    <cfRule type="containsText" dxfId="348" priority="15" operator="containsText" text="未供電">
      <formula>NOT(ISERROR(SEARCH("未供電",R8)))</formula>
    </cfRule>
  </conditionalFormatting>
  <conditionalFormatting sqref="I50:I54">
    <cfRule type="containsText" dxfId="347" priority="14" operator="containsText" text="有啟動">
      <formula>NOT(ISERROR(SEARCH("有啟動",I50)))</formula>
    </cfRule>
  </conditionalFormatting>
  <conditionalFormatting sqref="I50:I54">
    <cfRule type="containsText" dxfId="346" priority="13" operator="containsText" text="無啟動">
      <formula>NOT(ISERROR(SEARCH("無啟動",I50)))</formula>
    </cfRule>
  </conditionalFormatting>
  <conditionalFormatting sqref="I50:I54">
    <cfRule type="containsText" dxfId="345" priority="12" operator="containsText" text="未供電">
      <formula>NOT(ISERROR(SEARCH("未供電",I50)))</formula>
    </cfRule>
  </conditionalFormatting>
  <conditionalFormatting sqref="H50:H54">
    <cfRule type="containsText" dxfId="344" priority="11" operator="containsText" text="有啟動">
      <formula>NOT(ISERROR(SEARCH("有啟動",H50)))</formula>
    </cfRule>
  </conditionalFormatting>
  <conditionalFormatting sqref="H50:H54">
    <cfRule type="containsText" dxfId="343" priority="10" operator="containsText" text="無啟動">
      <formula>NOT(ISERROR(SEARCH("無啟動",H50)))</formula>
    </cfRule>
  </conditionalFormatting>
  <conditionalFormatting sqref="H50:H54">
    <cfRule type="containsText" dxfId="342" priority="9" operator="containsText" text="未供電">
      <formula>NOT(ISERROR(SEARCH("未供電",H50)))</formula>
    </cfRule>
  </conditionalFormatting>
  <conditionalFormatting sqref="E58:E97">
    <cfRule type="cellIs" dxfId="341" priority="8" operator="greaterThan">
      <formula>350</formula>
    </cfRule>
  </conditionalFormatting>
  <conditionalFormatting sqref="H58:H97">
    <cfRule type="cellIs" dxfId="340" priority="7" operator="greaterThan">
      <formula>1000</formula>
    </cfRule>
  </conditionalFormatting>
  <conditionalFormatting sqref="Q27">
    <cfRule type="containsText" dxfId="339" priority="6" operator="containsText" text="有啟動">
      <formula>NOT(ISERROR(SEARCH("有啟動",Q27)))</formula>
    </cfRule>
  </conditionalFormatting>
  <conditionalFormatting sqref="Q27">
    <cfRule type="containsText" dxfId="338" priority="5" operator="containsText" text="無啟動">
      <formula>NOT(ISERROR(SEARCH("無啟動",Q27)))</formula>
    </cfRule>
  </conditionalFormatting>
  <conditionalFormatting sqref="Q27">
    <cfRule type="containsText" dxfId="337" priority="4" operator="containsText" text="未供電">
      <formula>NOT(ISERROR(SEARCH("未供電",Q27)))</formula>
    </cfRule>
  </conditionalFormatting>
  <conditionalFormatting sqref="R27">
    <cfRule type="containsText" dxfId="336" priority="3" operator="containsText" text="有啟動">
      <formula>NOT(ISERROR(SEARCH("有啟動",R27)))</formula>
    </cfRule>
  </conditionalFormatting>
  <conditionalFormatting sqref="R27">
    <cfRule type="containsText" dxfId="335" priority="2" operator="containsText" text="無啟動">
      <formula>NOT(ISERROR(SEARCH("無啟動",R27)))</formula>
    </cfRule>
  </conditionalFormatting>
  <conditionalFormatting sqref="R27">
    <cfRule type="containsText" dxfId="334" priority="1" operator="containsText" text="未供電">
      <formula>NOT(ISERROR(SEARCH("未供電",R27)))</formula>
    </cfRule>
  </conditionalFormatting>
  <dataValidations count="4">
    <dataValidation allowBlank="1" showInputMessage="1" showErrorMessage="1" sqref="B18:B19 B8 B15:B16 B21:B23" xr:uid="{00000000-0002-0000-0000-000000000000}"/>
    <dataValidation type="list" allowBlank="1" showInputMessage="1" showErrorMessage="1" sqref="M11:M47 M8:M9 I8:I47 E8:E47" xr:uid="{00000000-0002-0000-0000-000002000000}">
      <formula1>"手動,自動"</formula1>
    </dataValidation>
    <dataValidation type="list" allowBlank="1" showInputMessage="1" showErrorMessage="1" sqref="J8:J47" xr:uid="{2781EFAD-47B6-4D2D-B22E-CCB624453C22}">
      <formula1>"切開電源OFF,不切開,切開電源不OFF"</formula1>
    </dataValidation>
    <dataValidation type="date" operator="lessThan" allowBlank="1" showInputMessage="1" showErrorMessage="1" sqref="A2" xr:uid="{A48DF87D-E17E-4844-B90F-A5242DBE49BC}">
      <formula1>TODAY()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最大電流日報表新版.最大電流日報表新版">
                <anchor moveWithCells="1" sizeWithCells="1">
                  <from>
                    <xdr:col>8</xdr:col>
                    <xdr:colOff>200025</xdr:colOff>
                    <xdr:row>0</xdr:row>
                    <xdr:rowOff>57150</xdr:rowOff>
                  </from>
                  <to>
                    <xdr:col>9</xdr:col>
                    <xdr:colOff>257175</xdr:colOff>
                    <xdr:row>1</xdr:row>
                    <xdr:rowOff>228600</xdr:rowOff>
                  </to>
                </anchor>
              </controlPr>
            </control>
          </mc:Choice>
        </mc:AlternateContent>
        <mc:AlternateContent xmlns:mc="http://schemas.openxmlformats.org/markup-compatibility/2006">
          <mc:Choice Requires="x14">
            <control shapeId="83970" r:id="rId5" name="Button 2">
              <controlPr defaultSize="0" print="0" autoFill="0" autoPict="0" macro="[0]!爬桿號_chrome">
                <anchor moveWithCells="1" sizeWithCells="1">
                  <from>
                    <xdr:col>8</xdr:col>
                    <xdr:colOff>228600</xdr:colOff>
                    <xdr:row>3</xdr:row>
                    <xdr:rowOff>9525</xdr:rowOff>
                  </from>
                  <to>
                    <xdr:col>9</xdr:col>
                    <xdr:colOff>266700</xdr:colOff>
                    <xdr:row>4</xdr:row>
                    <xdr:rowOff>190500</xdr:rowOff>
                  </to>
                </anchor>
              </controlPr>
            </control>
          </mc:Choice>
        </mc:AlternateContent>
        <mc:AlternateContent xmlns:mc="http://schemas.openxmlformats.org/markup-compatibility/2006">
          <mc:Choice Requires="x14">
            <control shapeId="83971" r:id="rId6" name="Button 3">
              <controlPr defaultSize="0" print="0" autoFill="0" autoPict="0" macro="[0]!轉供流程">
                <anchor moveWithCells="1" sizeWithCells="1">
                  <from>
                    <xdr:col>9</xdr:col>
                    <xdr:colOff>438150</xdr:colOff>
                    <xdr:row>3</xdr:row>
                    <xdr:rowOff>19050</xdr:rowOff>
                  </from>
                  <to>
                    <xdr:col>10</xdr:col>
                    <xdr:colOff>885825</xdr:colOff>
                    <xdr:row>4</xdr:row>
                    <xdr:rowOff>180975</xdr:rowOff>
                  </to>
                </anchor>
              </controlPr>
            </control>
          </mc:Choice>
        </mc:AlternateContent>
        <mc:AlternateContent xmlns:mc="http://schemas.openxmlformats.org/markup-compatibility/2006">
          <mc:Choice Requires="x14">
            <control shapeId="83972" r:id="rId7" name="Button 4">
              <controlPr defaultSize="0" print="0" autoFill="0" autoPict="0" macro="[0]!饋線分佈圖">
                <anchor moveWithCells="1" sizeWithCells="1">
                  <from>
                    <xdr:col>10</xdr:col>
                    <xdr:colOff>1428750</xdr:colOff>
                    <xdr:row>3</xdr:row>
                    <xdr:rowOff>19050</xdr:rowOff>
                  </from>
                  <to>
                    <xdr:col>11</xdr:col>
                    <xdr:colOff>1238250</xdr:colOff>
                    <xdr:row>4</xdr:row>
                    <xdr:rowOff>161925</xdr:rowOff>
                  </to>
                </anchor>
              </controlPr>
            </control>
          </mc:Choice>
        </mc:AlternateContent>
        <mc:AlternateContent xmlns:mc="http://schemas.openxmlformats.org/markup-compatibility/2006">
          <mc:Choice Requires="x14">
            <control shapeId="83973" r:id="rId8" name="Button 5">
              <controlPr defaultSize="0" print="0" autoFill="0" autoPict="0" macro="[0]!出口電桿">
                <anchor moveWithCells="1" sizeWithCells="1">
                  <from>
                    <xdr:col>9</xdr:col>
                    <xdr:colOff>466725</xdr:colOff>
                    <xdr:row>0</xdr:row>
                    <xdr:rowOff>57150</xdr:rowOff>
                  </from>
                  <to>
                    <xdr:col>10</xdr:col>
                    <xdr:colOff>885825</xdr:colOff>
                    <xdr:row>1</xdr:row>
                    <xdr:rowOff>228600</xdr:rowOff>
                  </to>
                </anchor>
              </controlPr>
            </control>
          </mc:Choice>
        </mc:AlternateContent>
        <mc:AlternateContent xmlns:mc="http://schemas.openxmlformats.org/markup-compatibility/2006">
          <mc:Choice Requires="x14">
            <control shapeId="83974" r:id="rId9" name="Button 6">
              <controlPr defaultSize="0" print="0" autoFill="0" autoPict="0" macro="[0]!清除饋線資料">
                <anchor moveWithCells="1" sizeWithCells="1">
                  <from>
                    <xdr:col>0</xdr:col>
                    <xdr:colOff>85725</xdr:colOff>
                    <xdr:row>5</xdr:row>
                    <xdr:rowOff>9525</xdr:rowOff>
                  </from>
                  <to>
                    <xdr:col>0</xdr:col>
                    <xdr:colOff>1266825</xdr:colOff>
                    <xdr:row>5</xdr:row>
                    <xdr:rowOff>257175</xdr:rowOff>
                  </to>
                </anchor>
              </controlPr>
            </control>
          </mc:Choice>
        </mc:AlternateContent>
        <mc:AlternateContent xmlns:mc="http://schemas.openxmlformats.org/markup-compatibility/2006">
          <mc:Choice Requires="x14">
            <control shapeId="84128" r:id="rId10" name="Button 160">
              <controlPr defaultSize="0" print="0" autoFill="0" autoPict="0" macro="[0]!手動計算電流">
                <anchor moveWithCells="1" sizeWithCells="1">
                  <from>
                    <xdr:col>9</xdr:col>
                    <xdr:colOff>952500</xdr:colOff>
                    <xdr:row>58</xdr:row>
                    <xdr:rowOff>47625</xdr:rowOff>
                  </from>
                  <to>
                    <xdr:col>11</xdr:col>
                    <xdr:colOff>47625</xdr:colOff>
                    <xdr:row>59</xdr:row>
                    <xdr:rowOff>228600</xdr:rowOff>
                  </to>
                </anchor>
              </controlPr>
            </control>
          </mc:Choice>
        </mc:AlternateContent>
        <mc:AlternateContent xmlns:mc="http://schemas.openxmlformats.org/markup-compatibility/2006">
          <mc:Choice Requires="x14">
            <control shapeId="84162" r:id="rId11" name="Button 194">
              <controlPr defaultSize="0" print="0" autoFill="0" autoPict="0" macro="[0]!重新計算電流">
                <anchor moveWithCells="1" sizeWithCells="1">
                  <from>
                    <xdr:col>9</xdr:col>
                    <xdr:colOff>933450</xdr:colOff>
                    <xdr:row>56</xdr:row>
                    <xdr:rowOff>9525</xdr:rowOff>
                  </from>
                  <to>
                    <xdr:col>11</xdr:col>
                    <xdr:colOff>28575</xdr:colOff>
                    <xdr:row>57</xdr:row>
                    <xdr:rowOff>104775</xdr:rowOff>
                  </to>
                </anchor>
              </controlPr>
            </control>
          </mc:Choice>
        </mc:AlternateContent>
        <mc:AlternateContent xmlns:mc="http://schemas.openxmlformats.org/markup-compatibility/2006">
          <mc:Choice Requires="x14">
            <control shapeId="108558" r:id="rId12" name="Button 2062">
              <controlPr defaultSize="0" print="0" autoFill="0" autoPict="0" macro="[0]!open_出口電桿">
                <anchor moveWithCells="1" sizeWithCells="1">
                  <from>
                    <xdr:col>10</xdr:col>
                    <xdr:colOff>1238250</xdr:colOff>
                    <xdr:row>0</xdr:row>
                    <xdr:rowOff>57150</xdr:rowOff>
                  </from>
                  <to>
                    <xdr:col>11</xdr:col>
                    <xdr:colOff>1295400</xdr:colOff>
                    <xdr:row>1</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DATA!$AB$3:$AB$829</xm:f>
          </x14:formula1>
          <xm:sqref>A35:B47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1"/>
  <dimension ref="A1:AY93"/>
  <sheetViews>
    <sheetView showGridLines="0" view="pageBreakPreview" zoomScale="85" zoomScaleNormal="100" zoomScaleSheetLayoutView="85" workbookViewId="0">
      <selection activeCell="Q20" sqref="Q20"/>
    </sheetView>
  </sheetViews>
  <sheetFormatPr defaultColWidth="8.875" defaultRowHeight="16.5"/>
  <cols>
    <col min="1" max="1" width="5.75" style="234" customWidth="1"/>
    <col min="2" max="2" width="2.75" style="237" customWidth="1"/>
    <col min="3" max="3" width="4.125" style="237" customWidth="1"/>
    <col min="4" max="4" width="43.375" style="234" customWidth="1"/>
    <col min="5" max="5" width="5.75" style="234" customWidth="1"/>
    <col min="6" max="6" width="2.75" style="234" customWidth="1"/>
    <col min="7" max="7" width="3.25" style="234" customWidth="1"/>
    <col min="8" max="8" width="42" style="234" customWidth="1"/>
    <col min="9" max="9" width="3.5" style="234" customWidth="1"/>
    <col min="10" max="10" width="5.75" style="234" customWidth="1"/>
    <col min="11" max="11" width="3.875" style="234" customWidth="1"/>
    <col min="12" max="12" width="2.75" style="234" customWidth="1"/>
    <col min="13" max="13" width="39.25" style="234" customWidth="1"/>
    <col min="14" max="14" width="5.75" style="234" customWidth="1"/>
    <col min="15" max="15" width="3.875" style="234" customWidth="1"/>
    <col min="16" max="16" width="2.75" style="234" customWidth="1"/>
    <col min="17" max="17" width="38.75" style="234" customWidth="1"/>
    <col min="18" max="18" width="9" style="671" customWidth="1"/>
    <col min="19" max="20" width="3.5" style="234" bestFit="1" customWidth="1"/>
    <col min="21" max="21" width="40.75" style="234" customWidth="1"/>
    <col min="22" max="22" width="4.5" style="234" bestFit="1" customWidth="1"/>
    <col min="23" max="23" width="3.5" style="234" bestFit="1" customWidth="1"/>
    <col min="24" max="24" width="3.125" style="234" customWidth="1"/>
    <col min="25" max="25" width="41.375" style="234" customWidth="1"/>
    <col min="26" max="26" width="2.5" style="234" customWidth="1"/>
    <col min="27" max="27" width="4.5" style="671" bestFit="1" customWidth="1"/>
    <col min="28" max="28" width="5.5" style="234" bestFit="1" customWidth="1"/>
    <col min="29" max="29" width="3.5" style="234" bestFit="1" customWidth="1"/>
    <col min="30" max="30" width="42.125" style="234" customWidth="1"/>
    <col min="31" max="31" width="5.5" style="671" customWidth="1"/>
    <col min="32" max="32" width="5.375" style="234" customWidth="1"/>
    <col min="33" max="33" width="3.125" style="234" customWidth="1"/>
    <col min="34" max="34" width="35.5" style="234" customWidth="1"/>
    <col min="35" max="16384" width="8.875" style="234"/>
  </cols>
  <sheetData>
    <row r="1" spans="1:51">
      <c r="A1" s="730" t="s">
        <v>10333</v>
      </c>
      <c r="B1" s="730"/>
      <c r="C1" s="730"/>
      <c r="D1" s="730"/>
      <c r="E1" s="730"/>
      <c r="F1" s="730"/>
      <c r="G1" s="730"/>
      <c r="H1" s="730"/>
      <c r="I1" s="731"/>
      <c r="J1" s="731"/>
      <c r="K1" s="731"/>
      <c r="L1" s="731"/>
      <c r="M1" s="731"/>
      <c r="N1" s="731"/>
      <c r="O1" s="731"/>
      <c r="P1" s="731"/>
      <c r="Q1" s="731"/>
      <c r="R1" s="730"/>
      <c r="S1" s="730"/>
      <c r="T1" s="730"/>
      <c r="U1" s="730"/>
      <c r="V1" s="730"/>
      <c r="W1" s="730"/>
      <c r="X1" s="730"/>
      <c r="Y1" s="730"/>
      <c r="Z1" s="731"/>
      <c r="AA1" s="731"/>
      <c r="AB1" s="731"/>
      <c r="AC1" s="731"/>
      <c r="AD1" s="731"/>
      <c r="AE1" s="731"/>
      <c r="AF1" s="731"/>
      <c r="AG1" s="731"/>
      <c r="AH1" s="731"/>
      <c r="AI1" s="730"/>
      <c r="AJ1" s="730"/>
      <c r="AK1" s="730"/>
      <c r="AL1" s="730"/>
      <c r="AM1" s="730"/>
      <c r="AN1" s="730"/>
      <c r="AO1" s="730"/>
      <c r="AP1" s="730"/>
      <c r="AQ1" s="731"/>
      <c r="AR1" s="731"/>
      <c r="AS1" s="731"/>
      <c r="AT1" s="731"/>
      <c r="AU1" s="731"/>
      <c r="AV1" s="731"/>
      <c r="AW1" s="731"/>
      <c r="AX1" s="731"/>
      <c r="AY1" s="731"/>
    </row>
    <row r="2" spans="1:51">
      <c r="A2" s="659" t="s">
        <v>244</v>
      </c>
      <c r="B2" s="659"/>
      <c r="C2" s="657"/>
      <c r="D2" s="630" t="s">
        <v>10213</v>
      </c>
      <c r="E2" s="659" t="s">
        <v>245</v>
      </c>
      <c r="F2" s="484"/>
      <c r="G2" s="484"/>
      <c r="H2" s="235" t="s">
        <v>10226</v>
      </c>
      <c r="I2" s="484"/>
      <c r="J2" s="659" t="s">
        <v>244</v>
      </c>
      <c r="K2" s="235"/>
      <c r="L2" s="484"/>
      <c r="M2" s="630" t="s">
        <v>10213</v>
      </c>
      <c r="N2" s="236" t="s">
        <v>245</v>
      </c>
      <c r="O2" s="236"/>
      <c r="P2" s="484"/>
      <c r="Q2" s="235" t="s">
        <v>10227</v>
      </c>
      <c r="R2" s="659"/>
      <c r="S2" s="659"/>
      <c r="T2" s="657"/>
      <c r="U2" s="630"/>
      <c r="V2" s="659"/>
      <c r="W2" s="484"/>
      <c r="X2" s="484"/>
      <c r="Y2" s="235"/>
      <c r="Z2" s="484"/>
      <c r="AA2" s="659"/>
      <c r="AB2" s="235"/>
      <c r="AC2" s="484"/>
      <c r="AD2" s="630"/>
      <c r="AE2" s="236"/>
      <c r="AF2" s="236"/>
      <c r="AG2" s="484"/>
      <c r="AH2" s="235"/>
      <c r="AI2" s="659"/>
      <c r="AJ2" s="659"/>
      <c r="AK2" s="657"/>
      <c r="AL2" s="630"/>
      <c r="AM2" s="659"/>
      <c r="AN2" s="484"/>
      <c r="AO2" s="484"/>
      <c r="AP2" s="235"/>
      <c r="AQ2" s="484"/>
      <c r="AR2" s="659"/>
      <c r="AS2" s="235"/>
      <c r="AT2" s="484"/>
      <c r="AU2" s="630"/>
      <c r="AV2" s="236"/>
      <c r="AW2" s="236"/>
      <c r="AX2" s="484"/>
      <c r="AY2" s="235"/>
    </row>
    <row r="3" spans="1:51">
      <c r="A3" s="603" t="s">
        <v>246</v>
      </c>
      <c r="B3" s="604" t="s">
        <v>247</v>
      </c>
      <c r="C3" s="605" t="s">
        <v>248</v>
      </c>
      <c r="D3" s="605" t="s">
        <v>2637</v>
      </c>
      <c r="E3" s="603" t="s">
        <v>246</v>
      </c>
      <c r="F3" s="604" t="s">
        <v>247</v>
      </c>
      <c r="G3" s="608" t="s">
        <v>248</v>
      </c>
      <c r="H3" s="605" t="s">
        <v>2637</v>
      </c>
      <c r="I3" s="606"/>
      <c r="J3" s="602" t="s">
        <v>246</v>
      </c>
      <c r="K3" s="607" t="s">
        <v>247</v>
      </c>
      <c r="L3" s="608" t="s">
        <v>248</v>
      </c>
      <c r="M3" s="605" t="s">
        <v>2637</v>
      </c>
      <c r="N3" s="602" t="s">
        <v>246</v>
      </c>
      <c r="O3" s="607" t="s">
        <v>247</v>
      </c>
      <c r="P3" s="609" t="s">
        <v>248</v>
      </c>
      <c r="Q3" s="605" t="s">
        <v>2637</v>
      </c>
      <c r="R3" s="603"/>
      <c r="S3" s="604"/>
      <c r="T3" s="605"/>
      <c r="U3" s="605"/>
      <c r="V3" s="603"/>
      <c r="W3" s="604"/>
      <c r="X3" s="608"/>
      <c r="Y3" s="605"/>
      <c r="Z3" s="606"/>
      <c r="AA3" s="602"/>
      <c r="AB3" s="607"/>
      <c r="AC3" s="608"/>
      <c r="AD3" s="605"/>
      <c r="AE3" s="602"/>
      <c r="AF3" s="607"/>
      <c r="AG3" s="609"/>
      <c r="AH3" s="605"/>
      <c r="AI3" s="603"/>
      <c r="AJ3" s="604"/>
      <c r="AK3" s="605"/>
      <c r="AL3" s="605"/>
      <c r="AM3" s="603"/>
      <c r="AN3" s="604"/>
      <c r="AO3" s="608"/>
      <c r="AP3" s="605"/>
      <c r="AQ3" s="606"/>
      <c r="AR3" s="602"/>
      <c r="AS3" s="607"/>
      <c r="AT3" s="608"/>
      <c r="AU3" s="605"/>
      <c r="AV3" s="602"/>
      <c r="AW3" s="607"/>
      <c r="AX3" s="609"/>
      <c r="AY3" s="605"/>
    </row>
    <row r="4" spans="1:51">
      <c r="A4" s="638">
        <v>351</v>
      </c>
      <c r="B4" s="638"/>
      <c r="C4" s="653">
        <v>1</v>
      </c>
      <c r="D4" s="640" t="s">
        <v>2635</v>
      </c>
      <c r="E4" s="641">
        <v>351</v>
      </c>
      <c r="F4" s="642" t="s">
        <v>10236</v>
      </c>
      <c r="G4" s="654">
        <v>1</v>
      </c>
      <c r="H4" s="644" t="s">
        <v>10275</v>
      </c>
      <c r="I4" s="645"/>
      <c r="J4" s="641">
        <v>351</v>
      </c>
      <c r="K4" s="638"/>
      <c r="L4" s="654">
        <v>1</v>
      </c>
      <c r="M4" s="647" t="s">
        <v>10237</v>
      </c>
      <c r="N4" s="641">
        <v>351</v>
      </c>
      <c r="O4" s="638" t="s">
        <v>10236</v>
      </c>
      <c r="P4" s="643">
        <v>1</v>
      </c>
      <c r="Q4" s="647" t="s">
        <v>10318</v>
      </c>
      <c r="R4" s="669"/>
      <c r="S4" s="638"/>
      <c r="T4" s="653"/>
      <c r="U4" s="640"/>
      <c r="V4" s="641"/>
      <c r="W4" s="642"/>
      <c r="X4" s="660"/>
      <c r="Y4" s="644"/>
      <c r="Z4" s="645"/>
      <c r="AA4" s="670"/>
      <c r="AB4" s="638"/>
      <c r="AC4" s="654"/>
      <c r="AD4" s="647"/>
      <c r="AE4" s="670"/>
      <c r="AF4" s="638"/>
      <c r="AG4" s="643"/>
      <c r="AH4" s="647"/>
      <c r="AI4" s="638"/>
      <c r="AJ4" s="638"/>
      <c r="AK4" s="653"/>
      <c r="AL4" s="640"/>
      <c r="AM4" s="641"/>
      <c r="AN4" s="642"/>
      <c r="AO4" s="654"/>
      <c r="AP4" s="644"/>
      <c r="AQ4" s="645"/>
      <c r="AR4" s="641"/>
      <c r="AS4" s="638"/>
      <c r="AT4" s="654"/>
      <c r="AU4" s="647"/>
      <c r="AV4" s="641"/>
      <c r="AW4" s="638"/>
      <c r="AX4" s="643"/>
      <c r="AY4" s="647"/>
    </row>
    <row r="5" spans="1:51">
      <c r="A5" s="642"/>
      <c r="B5" s="638"/>
      <c r="C5" s="654">
        <v>2</v>
      </c>
      <c r="D5" s="640" t="s">
        <v>2636</v>
      </c>
      <c r="E5" s="641">
        <v>351</v>
      </c>
      <c r="F5" s="638"/>
      <c r="G5" s="654">
        <v>2</v>
      </c>
      <c r="H5" s="644" t="s">
        <v>10276</v>
      </c>
      <c r="I5" s="645"/>
      <c r="J5" s="641"/>
      <c r="K5" s="638"/>
      <c r="L5" s="654">
        <v>2</v>
      </c>
      <c r="M5" s="647" t="s">
        <v>10300</v>
      </c>
      <c r="N5" s="641">
        <v>351</v>
      </c>
      <c r="O5" s="638"/>
      <c r="P5" s="643">
        <v>2</v>
      </c>
      <c r="Q5" s="647" t="s">
        <v>10314</v>
      </c>
      <c r="R5" s="669"/>
      <c r="S5" s="638"/>
      <c r="T5" s="654"/>
      <c r="U5" s="640"/>
      <c r="V5" s="641"/>
      <c r="W5" s="638"/>
      <c r="X5" s="654"/>
      <c r="Y5" s="644"/>
      <c r="Z5" s="645"/>
      <c r="AA5" s="670"/>
      <c r="AB5" s="638"/>
      <c r="AC5" s="654"/>
      <c r="AD5" s="647"/>
      <c r="AE5" s="670"/>
      <c r="AF5" s="638"/>
      <c r="AG5" s="643"/>
      <c r="AH5" s="647"/>
      <c r="AI5" s="642"/>
      <c r="AJ5" s="638"/>
      <c r="AK5" s="654"/>
      <c r="AL5" s="640"/>
      <c r="AM5" s="641"/>
      <c r="AN5" s="638"/>
      <c r="AO5" s="654"/>
      <c r="AP5" s="644"/>
      <c r="AQ5" s="645"/>
      <c r="AR5" s="641"/>
      <c r="AS5" s="638"/>
      <c r="AT5" s="654"/>
      <c r="AU5" s="647"/>
      <c r="AV5" s="641"/>
      <c r="AW5" s="638"/>
      <c r="AX5" s="643"/>
      <c r="AY5" s="647"/>
    </row>
    <row r="6" spans="1:51">
      <c r="A6" s="641"/>
      <c r="B6" s="638"/>
      <c r="C6" s="654">
        <v>3</v>
      </c>
      <c r="D6" s="647" t="s">
        <v>5538</v>
      </c>
      <c r="E6" s="641" t="s">
        <v>10168</v>
      </c>
      <c r="F6" s="638"/>
      <c r="G6" s="654">
        <v>3</v>
      </c>
      <c r="H6" s="647" t="s">
        <v>10277</v>
      </c>
      <c r="I6" s="645"/>
      <c r="J6" s="641"/>
      <c r="K6" s="638"/>
      <c r="L6" s="654"/>
      <c r="M6" s="647" t="s">
        <v>10301</v>
      </c>
      <c r="N6" s="641">
        <v>353</v>
      </c>
      <c r="O6" s="638" t="s">
        <v>10234</v>
      </c>
      <c r="P6" s="643">
        <v>3</v>
      </c>
      <c r="Q6" s="647" t="s">
        <v>10319</v>
      </c>
      <c r="R6" s="670"/>
      <c r="S6" s="638"/>
      <c r="T6" s="654"/>
      <c r="U6" s="647"/>
      <c r="V6" s="641"/>
      <c r="W6" s="638"/>
      <c r="X6" s="654"/>
      <c r="Y6" s="647"/>
      <c r="Z6" s="645"/>
      <c r="AA6" s="670"/>
      <c r="AB6" s="638"/>
      <c r="AC6" s="654"/>
      <c r="AD6" s="647"/>
      <c r="AE6" s="670"/>
      <c r="AF6" s="638"/>
      <c r="AG6" s="643"/>
      <c r="AH6" s="647"/>
      <c r="AI6" s="641"/>
      <c r="AJ6" s="638"/>
      <c r="AK6" s="654"/>
      <c r="AL6" s="647"/>
      <c r="AM6" s="641"/>
      <c r="AN6" s="638"/>
      <c r="AO6" s="654"/>
      <c r="AP6" s="647"/>
      <c r="AQ6" s="645"/>
      <c r="AR6" s="641"/>
      <c r="AS6" s="638"/>
      <c r="AT6" s="654"/>
      <c r="AU6" s="647"/>
      <c r="AV6" s="641"/>
      <c r="AW6" s="638"/>
      <c r="AX6" s="643"/>
      <c r="AY6" s="647"/>
    </row>
    <row r="7" spans="1:51">
      <c r="A7" s="641"/>
      <c r="B7" s="638"/>
      <c r="C7" s="646"/>
      <c r="D7" s="647"/>
      <c r="E7" s="641">
        <v>351</v>
      </c>
      <c r="F7" s="638"/>
      <c r="G7" s="654">
        <v>4</v>
      </c>
      <c r="H7" s="647" t="s">
        <v>10278</v>
      </c>
      <c r="I7" s="645"/>
      <c r="J7" s="641"/>
      <c r="K7" s="638"/>
      <c r="L7" s="654">
        <v>3</v>
      </c>
      <c r="M7" s="647" t="s">
        <v>5538</v>
      </c>
      <c r="N7" s="641">
        <v>353</v>
      </c>
      <c r="O7" s="638" t="s">
        <v>10234</v>
      </c>
      <c r="P7" s="643">
        <v>4</v>
      </c>
      <c r="Q7" s="647" t="s">
        <v>10320</v>
      </c>
      <c r="R7" s="670"/>
      <c r="S7" s="638"/>
      <c r="T7" s="646"/>
      <c r="U7" s="647"/>
      <c r="V7" s="641"/>
      <c r="W7" s="638"/>
      <c r="X7" s="654"/>
      <c r="Y7" s="647"/>
      <c r="Z7" s="645"/>
      <c r="AA7" s="670"/>
      <c r="AB7" s="638"/>
      <c r="AC7" s="654"/>
      <c r="AD7" s="647"/>
      <c r="AE7" s="670"/>
      <c r="AF7" s="638"/>
      <c r="AG7" s="643"/>
      <c r="AH7" s="647"/>
      <c r="AI7" s="641"/>
      <c r="AJ7" s="638"/>
      <c r="AK7" s="646"/>
      <c r="AL7" s="647"/>
      <c r="AM7" s="641"/>
      <c r="AN7" s="638"/>
      <c r="AO7" s="654"/>
      <c r="AP7" s="647"/>
      <c r="AQ7" s="645"/>
      <c r="AR7" s="641"/>
      <c r="AS7" s="638"/>
      <c r="AT7" s="654"/>
      <c r="AU7" s="647"/>
      <c r="AV7" s="641"/>
      <c r="AW7" s="638"/>
      <c r="AX7" s="643"/>
      <c r="AY7" s="647"/>
    </row>
    <row r="8" spans="1:51">
      <c r="A8" s="641">
        <v>351</v>
      </c>
      <c r="B8" s="638" t="s">
        <v>10167</v>
      </c>
      <c r="C8" s="643">
        <v>1</v>
      </c>
      <c r="D8" s="647" t="s">
        <v>10255</v>
      </c>
      <c r="E8" s="641">
        <v>351</v>
      </c>
      <c r="F8" s="638"/>
      <c r="G8" s="654">
        <v>5</v>
      </c>
      <c r="H8" s="647" t="s">
        <v>10279</v>
      </c>
      <c r="I8" s="645"/>
      <c r="J8" s="641"/>
      <c r="K8" s="638"/>
      <c r="L8" s="654"/>
      <c r="M8" s="647"/>
      <c r="N8" s="641">
        <v>351</v>
      </c>
      <c r="O8" s="642"/>
      <c r="P8" s="643">
        <v>5</v>
      </c>
      <c r="Q8" s="644" t="s">
        <v>10269</v>
      </c>
      <c r="R8" s="670"/>
      <c r="S8" s="638"/>
      <c r="T8" s="643"/>
      <c r="U8" s="647"/>
      <c r="V8" s="641"/>
      <c r="W8" s="638"/>
      <c r="X8" s="654"/>
      <c r="Y8" s="647"/>
      <c r="Z8" s="645"/>
      <c r="AA8" s="670"/>
      <c r="AB8" s="638"/>
      <c r="AC8" s="654"/>
      <c r="AD8" s="647"/>
      <c r="AE8" s="670"/>
      <c r="AF8" s="642"/>
      <c r="AG8" s="643"/>
      <c r="AH8" s="644"/>
      <c r="AI8" s="641"/>
      <c r="AJ8" s="638"/>
      <c r="AK8" s="643"/>
      <c r="AL8" s="647"/>
      <c r="AM8" s="641"/>
      <c r="AN8" s="638"/>
      <c r="AO8" s="654"/>
      <c r="AP8" s="647"/>
      <c r="AQ8" s="645"/>
      <c r="AR8" s="641"/>
      <c r="AS8" s="638"/>
      <c r="AT8" s="654"/>
      <c r="AU8" s="647"/>
      <c r="AV8" s="641"/>
      <c r="AW8" s="642"/>
      <c r="AX8" s="643"/>
      <c r="AY8" s="644"/>
    </row>
    <row r="9" spans="1:51">
      <c r="A9" s="641">
        <v>351</v>
      </c>
      <c r="B9" s="638"/>
      <c r="C9" s="643">
        <v>2</v>
      </c>
      <c r="D9" s="647" t="s">
        <v>10256</v>
      </c>
      <c r="E9" s="641">
        <v>353</v>
      </c>
      <c r="F9" s="638" t="s">
        <v>10234</v>
      </c>
      <c r="G9" s="654">
        <v>6</v>
      </c>
      <c r="H9" s="647" t="s">
        <v>10280</v>
      </c>
      <c r="I9" s="645"/>
      <c r="J9" s="641">
        <v>351</v>
      </c>
      <c r="K9" s="638" t="s">
        <v>10167</v>
      </c>
      <c r="L9" s="654">
        <v>1</v>
      </c>
      <c r="M9" s="647" t="s">
        <v>10302</v>
      </c>
      <c r="N9" s="641">
        <v>351</v>
      </c>
      <c r="O9" s="638"/>
      <c r="P9" s="643">
        <v>6</v>
      </c>
      <c r="Q9" s="644" t="s">
        <v>10270</v>
      </c>
      <c r="R9" s="670"/>
      <c r="S9" s="638"/>
      <c r="T9" s="643"/>
      <c r="U9" s="647"/>
      <c r="V9" s="641"/>
      <c r="W9" s="638"/>
      <c r="X9" s="654"/>
      <c r="Y9" s="647"/>
      <c r="Z9" s="645"/>
      <c r="AA9" s="670"/>
      <c r="AB9" s="638"/>
      <c r="AC9" s="654"/>
      <c r="AD9" s="647"/>
      <c r="AE9" s="670"/>
      <c r="AF9" s="638"/>
      <c r="AG9" s="643"/>
      <c r="AH9" s="644"/>
      <c r="AI9" s="641"/>
      <c r="AJ9" s="638"/>
      <c r="AK9" s="643"/>
      <c r="AL9" s="647"/>
      <c r="AM9" s="641"/>
      <c r="AN9" s="638"/>
      <c r="AO9" s="654"/>
      <c r="AP9" s="647"/>
      <c r="AQ9" s="645"/>
      <c r="AR9" s="641"/>
      <c r="AS9" s="638"/>
      <c r="AT9" s="654"/>
      <c r="AU9" s="647"/>
      <c r="AV9" s="641"/>
      <c r="AW9" s="638"/>
      <c r="AX9" s="643"/>
      <c r="AY9" s="644"/>
    </row>
    <row r="10" spans="1:51">
      <c r="A10" s="641" t="s">
        <v>10168</v>
      </c>
      <c r="B10" s="638"/>
      <c r="C10" s="643">
        <v>3</v>
      </c>
      <c r="D10" s="647" t="s">
        <v>10257</v>
      </c>
      <c r="E10" s="641">
        <v>351</v>
      </c>
      <c r="F10" s="638"/>
      <c r="G10" s="654">
        <v>7</v>
      </c>
      <c r="H10" s="647" t="s">
        <v>10281</v>
      </c>
      <c r="I10" s="645"/>
      <c r="J10" s="641">
        <v>351</v>
      </c>
      <c r="K10" s="638"/>
      <c r="L10" s="654">
        <v>2</v>
      </c>
      <c r="M10" s="647" t="s">
        <v>10303</v>
      </c>
      <c r="N10" s="641"/>
      <c r="O10" s="638"/>
      <c r="P10" s="646"/>
      <c r="Q10" s="649" t="s">
        <v>10232</v>
      </c>
      <c r="R10" s="670"/>
      <c r="S10" s="638"/>
      <c r="T10" s="643"/>
      <c r="U10" s="647"/>
      <c r="V10" s="641"/>
      <c r="W10" s="638"/>
      <c r="X10" s="654"/>
      <c r="Y10" s="647"/>
      <c r="Z10" s="645"/>
      <c r="AA10" s="670"/>
      <c r="AB10" s="638"/>
      <c r="AC10" s="654"/>
      <c r="AD10" s="647"/>
      <c r="AE10" s="670"/>
      <c r="AF10" s="638"/>
      <c r="AG10" s="646"/>
      <c r="AH10" s="647"/>
      <c r="AI10" s="641"/>
      <c r="AJ10" s="638"/>
      <c r="AK10" s="643"/>
      <c r="AL10" s="647"/>
      <c r="AM10" s="641"/>
      <c r="AN10" s="638"/>
      <c r="AO10" s="654"/>
      <c r="AP10" s="647"/>
      <c r="AQ10" s="645"/>
      <c r="AR10" s="641"/>
      <c r="AS10" s="638"/>
      <c r="AT10" s="654"/>
      <c r="AU10" s="647"/>
      <c r="AV10" s="641"/>
      <c r="AW10" s="638"/>
      <c r="AX10" s="646"/>
      <c r="AY10" s="647"/>
    </row>
    <row r="11" spans="1:51">
      <c r="A11" s="641">
        <v>351</v>
      </c>
      <c r="B11" s="638"/>
      <c r="C11" s="643">
        <v>4</v>
      </c>
      <c r="D11" s="647" t="s">
        <v>10258</v>
      </c>
      <c r="E11" s="641">
        <v>353</v>
      </c>
      <c r="F11" s="638" t="s">
        <v>10234</v>
      </c>
      <c r="G11" s="654">
        <v>8</v>
      </c>
      <c r="H11" s="647" t="s">
        <v>10282</v>
      </c>
      <c r="I11" s="645"/>
      <c r="J11" s="641">
        <v>353</v>
      </c>
      <c r="K11" s="638" t="s">
        <v>10234</v>
      </c>
      <c r="L11" s="654">
        <v>3</v>
      </c>
      <c r="M11" s="647" t="s">
        <v>10304</v>
      </c>
      <c r="N11" s="641"/>
      <c r="O11" s="638"/>
      <c r="P11" s="646"/>
      <c r="Q11" s="647"/>
      <c r="R11" s="670"/>
      <c r="S11" s="638"/>
      <c r="T11" s="643"/>
      <c r="U11" s="647"/>
      <c r="V11" s="641"/>
      <c r="W11" s="638"/>
      <c r="X11" s="654"/>
      <c r="Y11" s="647"/>
      <c r="Z11" s="645"/>
      <c r="AA11" s="670"/>
      <c r="AB11" s="638"/>
      <c r="AC11" s="654"/>
      <c r="AD11" s="647"/>
      <c r="AE11" s="670"/>
      <c r="AF11" s="638"/>
      <c r="AG11" s="646"/>
      <c r="AH11" s="647"/>
      <c r="AI11" s="641"/>
      <c r="AJ11" s="638"/>
      <c r="AK11" s="643"/>
      <c r="AL11" s="647"/>
      <c r="AM11" s="641"/>
      <c r="AN11" s="638"/>
      <c r="AO11" s="654"/>
      <c r="AP11" s="647"/>
      <c r="AQ11" s="645"/>
      <c r="AR11" s="641"/>
      <c r="AS11" s="638"/>
      <c r="AT11" s="654"/>
      <c r="AU11" s="647"/>
      <c r="AV11" s="641"/>
      <c r="AW11" s="638"/>
      <c r="AX11" s="646"/>
      <c r="AY11" s="647"/>
    </row>
    <row r="12" spans="1:51">
      <c r="A12" s="641">
        <v>351</v>
      </c>
      <c r="B12" s="638"/>
      <c r="C12" s="643">
        <v>5</v>
      </c>
      <c r="D12" s="647" t="s">
        <v>10259</v>
      </c>
      <c r="E12" s="641" t="s">
        <v>10168</v>
      </c>
      <c r="F12" s="638"/>
      <c r="G12" s="654">
        <v>9</v>
      </c>
      <c r="H12" s="647" t="s">
        <v>10338</v>
      </c>
      <c r="I12" s="645"/>
      <c r="J12" s="641" t="s">
        <v>10168</v>
      </c>
      <c r="K12" s="642"/>
      <c r="L12" s="654"/>
      <c r="M12" s="644" t="s">
        <v>10305</v>
      </c>
      <c r="N12" s="641">
        <v>351</v>
      </c>
      <c r="O12" s="638" t="s">
        <v>10286</v>
      </c>
      <c r="P12" s="646">
        <v>1</v>
      </c>
      <c r="Q12" s="647" t="s">
        <v>10313</v>
      </c>
      <c r="R12" s="670"/>
      <c r="S12" s="638"/>
      <c r="T12" s="643"/>
      <c r="U12" s="647"/>
      <c r="V12" s="641"/>
      <c r="W12" s="638"/>
      <c r="X12" s="654"/>
      <c r="Y12" s="647"/>
      <c r="Z12" s="645"/>
      <c r="AA12" s="670"/>
      <c r="AB12" s="642"/>
      <c r="AC12" s="654"/>
      <c r="AD12" s="644"/>
      <c r="AE12" s="670"/>
      <c r="AF12" s="638"/>
      <c r="AG12" s="646"/>
      <c r="AH12" s="647"/>
      <c r="AI12" s="641"/>
      <c r="AJ12" s="638"/>
      <c r="AK12" s="643"/>
      <c r="AL12" s="647"/>
      <c r="AM12" s="641"/>
      <c r="AN12" s="638"/>
      <c r="AO12" s="654"/>
      <c r="AP12" s="647"/>
      <c r="AQ12" s="645"/>
      <c r="AR12" s="641"/>
      <c r="AS12" s="642"/>
      <c r="AT12" s="654"/>
      <c r="AU12" s="644"/>
      <c r="AV12" s="641"/>
      <c r="AW12" s="638"/>
      <c r="AX12" s="646"/>
      <c r="AY12" s="647"/>
    </row>
    <row r="13" spans="1:51">
      <c r="A13" s="641">
        <v>353</v>
      </c>
      <c r="B13" s="638" t="s">
        <v>10234</v>
      </c>
      <c r="C13" s="643">
        <v>6</v>
      </c>
      <c r="D13" s="647" t="s">
        <v>10260</v>
      </c>
      <c r="E13" s="641" t="s">
        <v>10168</v>
      </c>
      <c r="F13" s="642"/>
      <c r="G13" s="654"/>
      <c r="H13" s="647" t="s">
        <v>10335</v>
      </c>
      <c r="I13" s="645"/>
      <c r="J13" s="641">
        <v>351</v>
      </c>
      <c r="K13" s="638"/>
      <c r="L13" s="654">
        <v>4</v>
      </c>
      <c r="M13" s="644" t="s">
        <v>10306</v>
      </c>
      <c r="N13" s="641">
        <v>351</v>
      </c>
      <c r="O13" s="638"/>
      <c r="P13" s="646">
        <v>2</v>
      </c>
      <c r="Q13" s="647" t="s">
        <v>10321</v>
      </c>
      <c r="R13" s="670"/>
      <c r="S13" s="638"/>
      <c r="T13" s="643"/>
      <c r="U13" s="649"/>
      <c r="V13" s="641"/>
      <c r="W13" s="642"/>
      <c r="X13" s="654"/>
      <c r="Y13" s="649"/>
      <c r="Z13" s="645"/>
      <c r="AA13" s="670"/>
      <c r="AB13" s="638"/>
      <c r="AC13" s="654"/>
      <c r="AD13" s="656"/>
      <c r="AE13" s="670"/>
      <c r="AF13" s="638"/>
      <c r="AG13" s="646"/>
      <c r="AH13" s="649"/>
      <c r="AI13" s="641"/>
      <c r="AJ13" s="638"/>
      <c r="AK13" s="643"/>
      <c r="AL13" s="647"/>
      <c r="AM13" s="641"/>
      <c r="AN13" s="642"/>
      <c r="AO13" s="654"/>
      <c r="AP13" s="647"/>
      <c r="AQ13" s="645"/>
      <c r="AR13" s="641"/>
      <c r="AS13" s="638"/>
      <c r="AT13" s="654"/>
      <c r="AU13" s="656"/>
      <c r="AV13" s="641"/>
      <c r="AW13" s="638"/>
      <c r="AX13" s="646"/>
      <c r="AY13" s="649"/>
    </row>
    <row r="14" spans="1:51">
      <c r="A14" s="641">
        <v>351</v>
      </c>
      <c r="B14" s="638"/>
      <c r="C14" s="643">
        <v>7</v>
      </c>
      <c r="D14" s="647" t="s">
        <v>10261</v>
      </c>
      <c r="E14" s="650">
        <v>351</v>
      </c>
      <c r="F14" s="638"/>
      <c r="G14" s="654">
        <v>10</v>
      </c>
      <c r="H14" s="644" t="s">
        <v>10283</v>
      </c>
      <c r="I14" s="645"/>
      <c r="J14" s="641">
        <v>353</v>
      </c>
      <c r="K14" s="638" t="s">
        <v>10234</v>
      </c>
      <c r="L14" s="654">
        <v>5</v>
      </c>
      <c r="M14" s="647" t="s">
        <v>10307</v>
      </c>
      <c r="N14" s="641" t="s">
        <v>10168</v>
      </c>
      <c r="O14" s="638" t="s">
        <v>10234</v>
      </c>
      <c r="P14" s="646">
        <v>3</v>
      </c>
      <c r="Q14" s="647" t="s">
        <v>10331</v>
      </c>
      <c r="R14" s="670"/>
      <c r="S14" s="638"/>
      <c r="T14" s="643"/>
      <c r="U14" s="649"/>
      <c r="V14" s="650"/>
      <c r="W14" s="638"/>
      <c r="X14" s="654"/>
      <c r="Y14" s="656"/>
      <c r="Z14" s="645"/>
      <c r="AA14" s="670"/>
      <c r="AB14" s="638"/>
      <c r="AC14" s="654"/>
      <c r="AD14" s="647"/>
      <c r="AE14" s="670"/>
      <c r="AF14" s="638"/>
      <c r="AG14" s="646"/>
      <c r="AH14" s="647"/>
      <c r="AI14" s="641"/>
      <c r="AJ14" s="638"/>
      <c r="AK14" s="643"/>
      <c r="AL14" s="647"/>
      <c r="AM14" s="650"/>
      <c r="AN14" s="638"/>
      <c r="AO14" s="654"/>
      <c r="AP14" s="644"/>
      <c r="AQ14" s="645"/>
      <c r="AR14" s="641"/>
      <c r="AS14" s="638"/>
      <c r="AT14" s="654"/>
      <c r="AU14" s="647"/>
      <c r="AV14" s="641"/>
      <c r="AW14" s="638"/>
      <c r="AX14" s="646"/>
      <c r="AY14" s="647"/>
    </row>
    <row r="15" spans="1:51">
      <c r="A15" s="641">
        <v>353</v>
      </c>
      <c r="B15" s="638" t="s">
        <v>10234</v>
      </c>
      <c r="C15" s="643">
        <v>8</v>
      </c>
      <c r="D15" s="647" t="s">
        <v>10262</v>
      </c>
      <c r="E15" s="641">
        <v>351</v>
      </c>
      <c r="F15" s="642"/>
      <c r="G15" s="654">
        <v>11</v>
      </c>
      <c r="H15" s="644" t="s">
        <v>10284</v>
      </c>
      <c r="I15" s="645"/>
      <c r="J15" s="641">
        <v>351</v>
      </c>
      <c r="K15" s="638"/>
      <c r="L15" s="654">
        <v>6</v>
      </c>
      <c r="M15" s="651" t="s">
        <v>10294</v>
      </c>
      <c r="N15" s="641" t="s">
        <v>10168</v>
      </c>
      <c r="O15" s="638"/>
      <c r="P15" s="646"/>
      <c r="Q15" s="647" t="s">
        <v>10332</v>
      </c>
      <c r="R15" s="670"/>
      <c r="S15" s="638"/>
      <c r="T15" s="643"/>
      <c r="U15" s="649"/>
      <c r="V15" s="641"/>
      <c r="W15" s="642"/>
      <c r="X15" s="654"/>
      <c r="Y15" s="656"/>
      <c r="Z15" s="645"/>
      <c r="AA15" s="670"/>
      <c r="AB15" s="638"/>
      <c r="AC15" s="654"/>
      <c r="AD15" s="661"/>
      <c r="AE15" s="670"/>
      <c r="AF15" s="638"/>
      <c r="AG15" s="646"/>
      <c r="AH15" s="647"/>
      <c r="AI15" s="641"/>
      <c r="AJ15" s="638"/>
      <c r="AK15" s="643"/>
      <c r="AL15" s="647"/>
      <c r="AM15" s="641"/>
      <c r="AN15" s="642"/>
      <c r="AO15" s="654"/>
      <c r="AP15" s="656"/>
      <c r="AQ15" s="645"/>
      <c r="AR15" s="641"/>
      <c r="AS15" s="638"/>
      <c r="AT15" s="654"/>
      <c r="AU15" s="651"/>
      <c r="AV15" s="641"/>
      <c r="AW15" s="638"/>
      <c r="AX15" s="646"/>
      <c r="AY15" s="647"/>
    </row>
    <row r="16" spans="1:51">
      <c r="A16" s="641" t="s">
        <v>10168</v>
      </c>
      <c r="B16" s="642"/>
      <c r="C16" s="643">
        <v>9</v>
      </c>
      <c r="D16" s="647" t="s">
        <v>10337</v>
      </c>
      <c r="E16" s="641"/>
      <c r="F16" s="638"/>
      <c r="G16" s="654"/>
      <c r="H16" s="656" t="s">
        <v>10232</v>
      </c>
      <c r="I16" s="645"/>
      <c r="J16" s="641">
        <v>351</v>
      </c>
      <c r="K16" s="638"/>
      <c r="L16" s="643">
        <v>7</v>
      </c>
      <c r="M16" s="647" t="s">
        <v>10295</v>
      </c>
      <c r="N16" s="641">
        <v>351</v>
      </c>
      <c r="O16" s="638"/>
      <c r="P16" s="646">
        <v>4</v>
      </c>
      <c r="Q16" s="647" t="s">
        <v>10322</v>
      </c>
      <c r="R16" s="670"/>
      <c r="S16" s="642"/>
      <c r="T16" s="643"/>
      <c r="U16" s="647"/>
      <c r="V16" s="641"/>
      <c r="W16" s="638"/>
      <c r="X16" s="654"/>
      <c r="Y16" s="644"/>
      <c r="Z16" s="645"/>
      <c r="AA16" s="670"/>
      <c r="AB16" s="638"/>
      <c r="AC16" s="643"/>
      <c r="AD16" s="647"/>
      <c r="AE16" s="670"/>
      <c r="AF16" s="638"/>
      <c r="AG16" s="646"/>
      <c r="AH16" s="647"/>
      <c r="AI16" s="641"/>
      <c r="AJ16" s="642"/>
      <c r="AK16" s="643"/>
      <c r="AL16" s="647"/>
      <c r="AM16" s="641"/>
      <c r="AN16" s="638"/>
      <c r="AO16" s="654"/>
      <c r="AP16" s="644"/>
      <c r="AQ16" s="645"/>
      <c r="AR16" s="641"/>
      <c r="AS16" s="638"/>
      <c r="AT16" s="643"/>
      <c r="AU16" s="647"/>
      <c r="AV16" s="641"/>
      <c r="AW16" s="638"/>
      <c r="AX16" s="646"/>
      <c r="AY16" s="647"/>
    </row>
    <row r="17" spans="1:51">
      <c r="A17" s="641" t="s">
        <v>10168</v>
      </c>
      <c r="B17" s="642"/>
      <c r="C17" s="643"/>
      <c r="D17" s="647" t="s">
        <v>10336</v>
      </c>
      <c r="E17" s="641"/>
      <c r="F17" s="638"/>
      <c r="G17" s="654"/>
      <c r="H17" s="647"/>
      <c r="I17" s="645"/>
      <c r="J17" s="641"/>
      <c r="K17" s="638"/>
      <c r="L17" s="654"/>
      <c r="M17" s="649" t="s">
        <v>10232</v>
      </c>
      <c r="N17" s="641">
        <v>353</v>
      </c>
      <c r="O17" s="638" t="s">
        <v>10234</v>
      </c>
      <c r="P17" s="646">
        <v>5</v>
      </c>
      <c r="Q17" s="606" t="s">
        <v>10320</v>
      </c>
      <c r="R17" s="670"/>
      <c r="S17" s="642"/>
      <c r="T17" s="643"/>
      <c r="U17" s="647"/>
      <c r="V17" s="641"/>
      <c r="W17" s="638"/>
      <c r="X17" s="654"/>
      <c r="Y17" s="647"/>
      <c r="Z17" s="645"/>
      <c r="AA17" s="670"/>
      <c r="AB17" s="638"/>
      <c r="AC17" s="654"/>
      <c r="AD17" s="647"/>
      <c r="AE17" s="670"/>
      <c r="AF17" s="638"/>
      <c r="AG17" s="646"/>
      <c r="AH17" s="647"/>
      <c r="AI17" s="641"/>
      <c r="AJ17" s="642"/>
      <c r="AK17" s="643"/>
      <c r="AL17" s="647"/>
      <c r="AM17" s="641"/>
      <c r="AN17" s="638"/>
      <c r="AO17" s="654"/>
      <c r="AP17" s="647"/>
      <c r="AQ17" s="645"/>
      <c r="AR17" s="641"/>
      <c r="AS17" s="638"/>
      <c r="AT17" s="654"/>
      <c r="AU17" s="647"/>
      <c r="AV17" s="641"/>
      <c r="AW17" s="638"/>
      <c r="AX17" s="646"/>
      <c r="AY17" s="647"/>
    </row>
    <row r="18" spans="1:51">
      <c r="A18" s="641">
        <v>351</v>
      </c>
      <c r="B18" s="642"/>
      <c r="C18" s="643">
        <v>10</v>
      </c>
      <c r="D18" s="644" t="s">
        <v>10263</v>
      </c>
      <c r="E18" s="641">
        <v>351</v>
      </c>
      <c r="F18" s="638" t="s">
        <v>10286</v>
      </c>
      <c r="G18" s="654">
        <v>1</v>
      </c>
      <c r="H18" s="647" t="s">
        <v>10285</v>
      </c>
      <c r="I18" s="645"/>
      <c r="J18" s="641"/>
      <c r="K18" s="638"/>
      <c r="L18" s="654"/>
      <c r="M18" s="647"/>
      <c r="N18" s="641">
        <v>351</v>
      </c>
      <c r="O18" s="638"/>
      <c r="P18" s="646">
        <v>6</v>
      </c>
      <c r="Q18" s="647" t="s">
        <v>10263</v>
      </c>
      <c r="R18" s="670"/>
      <c r="S18" s="642"/>
      <c r="T18" s="643"/>
      <c r="U18" s="644"/>
      <c r="V18" s="641"/>
      <c r="W18" s="638"/>
      <c r="X18" s="654"/>
      <c r="Y18" s="647"/>
      <c r="Z18" s="645"/>
      <c r="AA18" s="670"/>
      <c r="AB18" s="638"/>
      <c r="AC18" s="654"/>
      <c r="AD18" s="647"/>
      <c r="AE18" s="670"/>
      <c r="AF18" s="638"/>
      <c r="AG18" s="646"/>
      <c r="AH18" s="647"/>
      <c r="AI18" s="641"/>
      <c r="AJ18" s="642"/>
      <c r="AK18" s="643"/>
      <c r="AL18" s="644"/>
      <c r="AM18" s="641"/>
      <c r="AN18" s="638"/>
      <c r="AO18" s="654"/>
      <c r="AP18" s="647"/>
      <c r="AQ18" s="645"/>
      <c r="AR18" s="641"/>
      <c r="AS18" s="638"/>
      <c r="AT18" s="654"/>
      <c r="AU18" s="647"/>
      <c r="AV18" s="641"/>
      <c r="AW18" s="638"/>
      <c r="AX18" s="646"/>
      <c r="AY18" s="647"/>
    </row>
    <row r="19" spans="1:51">
      <c r="A19" s="641">
        <v>351</v>
      </c>
      <c r="B19" s="638"/>
      <c r="C19" s="643">
        <v>11</v>
      </c>
      <c r="D19" s="644" t="s">
        <v>10264</v>
      </c>
      <c r="E19" s="641">
        <v>351</v>
      </c>
      <c r="F19" s="638"/>
      <c r="G19" s="654">
        <v>2</v>
      </c>
      <c r="H19" s="647" t="s">
        <v>10287</v>
      </c>
      <c r="I19" s="645"/>
      <c r="J19" s="641">
        <v>351</v>
      </c>
      <c r="K19" s="638" t="s">
        <v>10233</v>
      </c>
      <c r="L19" s="654">
        <v>1</v>
      </c>
      <c r="M19" s="647" t="s">
        <v>10308</v>
      </c>
      <c r="N19" s="641">
        <v>351</v>
      </c>
      <c r="O19" s="638"/>
      <c r="P19" s="646">
        <v>7</v>
      </c>
      <c r="Q19" s="647" t="s">
        <v>10264</v>
      </c>
      <c r="R19" s="670"/>
      <c r="S19" s="638"/>
      <c r="T19" s="643"/>
      <c r="U19" s="656"/>
      <c r="V19" s="641"/>
      <c r="W19" s="638"/>
      <c r="X19" s="654"/>
      <c r="Y19" s="647"/>
      <c r="Z19" s="645"/>
      <c r="AA19" s="670"/>
      <c r="AB19" s="638"/>
      <c r="AC19" s="654"/>
      <c r="AD19" s="647"/>
      <c r="AE19" s="670"/>
      <c r="AF19" s="638"/>
      <c r="AG19" s="646"/>
      <c r="AH19" s="647"/>
      <c r="AI19" s="641"/>
      <c r="AJ19" s="638"/>
      <c r="AK19" s="643"/>
      <c r="AL19" s="656"/>
      <c r="AM19" s="641"/>
      <c r="AN19" s="638"/>
      <c r="AO19" s="654"/>
      <c r="AP19" s="647"/>
      <c r="AQ19" s="645"/>
      <c r="AR19" s="641"/>
      <c r="AS19" s="638"/>
      <c r="AT19" s="654"/>
      <c r="AU19" s="647"/>
      <c r="AV19" s="641"/>
      <c r="AW19" s="638"/>
      <c r="AX19" s="646"/>
      <c r="AY19" s="647"/>
    </row>
    <row r="20" spans="1:51">
      <c r="A20" s="641"/>
      <c r="B20" s="638"/>
      <c r="C20" s="654"/>
      <c r="D20" s="649" t="s">
        <v>10232</v>
      </c>
      <c r="E20" s="641" t="s">
        <v>10168</v>
      </c>
      <c r="F20" s="638"/>
      <c r="G20" s="654">
        <v>3</v>
      </c>
      <c r="H20" s="647" t="s">
        <v>10288</v>
      </c>
      <c r="I20" s="645"/>
      <c r="J20" s="641">
        <v>351</v>
      </c>
      <c r="K20" s="638"/>
      <c r="L20" s="654">
        <v>2</v>
      </c>
      <c r="M20" s="647" t="s">
        <v>10309</v>
      </c>
      <c r="N20" s="641"/>
      <c r="O20" s="638"/>
      <c r="P20" s="646"/>
      <c r="Q20" s="649" t="s">
        <v>10232</v>
      </c>
      <c r="R20" s="670"/>
      <c r="S20" s="638"/>
      <c r="T20" s="654"/>
      <c r="U20" s="647"/>
      <c r="V20" s="641"/>
      <c r="W20" s="638"/>
      <c r="X20" s="654"/>
      <c r="Y20" s="647"/>
      <c r="Z20" s="645"/>
      <c r="AA20" s="670"/>
      <c r="AB20" s="638"/>
      <c r="AC20" s="654"/>
      <c r="AD20" s="647"/>
      <c r="AE20" s="670"/>
      <c r="AF20" s="638"/>
      <c r="AG20" s="646"/>
      <c r="AH20" s="647"/>
      <c r="AI20" s="641"/>
      <c r="AJ20" s="638"/>
      <c r="AK20" s="654"/>
      <c r="AL20" s="647"/>
      <c r="AM20" s="641"/>
      <c r="AN20" s="638"/>
      <c r="AO20" s="654"/>
      <c r="AP20" s="647"/>
      <c r="AQ20" s="645"/>
      <c r="AR20" s="641"/>
      <c r="AS20" s="638"/>
      <c r="AT20" s="654"/>
      <c r="AU20" s="647"/>
      <c r="AV20" s="641"/>
      <c r="AW20" s="638"/>
      <c r="AX20" s="646"/>
      <c r="AY20" s="647"/>
    </row>
    <row r="21" spans="1:51">
      <c r="A21" s="641"/>
      <c r="B21" s="638"/>
      <c r="C21" s="654"/>
      <c r="D21" s="647"/>
      <c r="E21" s="641">
        <v>351</v>
      </c>
      <c r="F21" s="638"/>
      <c r="G21" s="654">
        <v>4</v>
      </c>
      <c r="H21" s="647" t="s">
        <v>10289</v>
      </c>
      <c r="I21" s="645"/>
      <c r="J21" s="641">
        <v>353</v>
      </c>
      <c r="K21" s="638" t="s">
        <v>10234</v>
      </c>
      <c r="L21" s="654">
        <v>3</v>
      </c>
      <c r="M21" s="647" t="s">
        <v>10310</v>
      </c>
      <c r="N21" s="641"/>
      <c r="O21" s="638"/>
      <c r="P21" s="646"/>
      <c r="Q21" s="647"/>
      <c r="R21" s="670"/>
      <c r="S21" s="638"/>
      <c r="T21" s="654"/>
      <c r="U21" s="647"/>
      <c r="V21" s="641"/>
      <c r="W21" s="638"/>
      <c r="X21" s="654"/>
      <c r="Y21" s="647"/>
      <c r="Z21" s="645"/>
      <c r="AA21" s="670"/>
      <c r="AB21" s="638"/>
      <c r="AC21" s="654"/>
      <c r="AD21" s="647"/>
      <c r="AE21" s="670"/>
      <c r="AF21" s="638"/>
      <c r="AG21" s="646"/>
      <c r="AH21" s="647"/>
      <c r="AI21" s="641"/>
      <c r="AJ21" s="638"/>
      <c r="AK21" s="654"/>
      <c r="AL21" s="647"/>
      <c r="AM21" s="641"/>
      <c r="AN21" s="638"/>
      <c r="AO21" s="654"/>
      <c r="AP21" s="647"/>
      <c r="AQ21" s="645"/>
      <c r="AR21" s="641"/>
      <c r="AS21" s="638"/>
      <c r="AT21" s="654"/>
      <c r="AU21" s="647"/>
      <c r="AV21" s="641"/>
      <c r="AW21" s="638"/>
      <c r="AX21" s="646"/>
      <c r="AY21" s="647"/>
    </row>
    <row r="22" spans="1:51">
      <c r="A22" s="641">
        <v>351</v>
      </c>
      <c r="B22" s="638" t="s">
        <v>10233</v>
      </c>
      <c r="C22" s="654">
        <v>1</v>
      </c>
      <c r="D22" s="647" t="s">
        <v>10265</v>
      </c>
      <c r="E22" s="641">
        <v>351</v>
      </c>
      <c r="F22" s="638"/>
      <c r="G22" s="654">
        <v>5</v>
      </c>
      <c r="H22" s="647" t="s">
        <v>10290</v>
      </c>
      <c r="I22" s="645"/>
      <c r="J22" s="641" t="s">
        <v>10168</v>
      </c>
      <c r="K22" s="638"/>
      <c r="L22" s="654"/>
      <c r="M22" s="647" t="s">
        <v>10305</v>
      </c>
      <c r="N22" s="641">
        <v>351</v>
      </c>
      <c r="O22" s="638"/>
      <c r="P22" s="646">
        <v>1</v>
      </c>
      <c r="Q22" s="651" t="s">
        <v>10323</v>
      </c>
      <c r="R22" s="670"/>
      <c r="S22" s="638"/>
      <c r="T22" s="654"/>
      <c r="U22" s="647"/>
      <c r="V22" s="641"/>
      <c r="W22" s="638"/>
      <c r="X22" s="654"/>
      <c r="Y22" s="647"/>
      <c r="Z22" s="645"/>
      <c r="AA22" s="670"/>
      <c r="AB22" s="638"/>
      <c r="AC22" s="654"/>
      <c r="AD22" s="647"/>
      <c r="AE22" s="670"/>
      <c r="AF22" s="638"/>
      <c r="AG22" s="646"/>
      <c r="AH22" s="651"/>
      <c r="AI22" s="641"/>
      <c r="AJ22" s="638"/>
      <c r="AK22" s="654"/>
      <c r="AL22" s="647"/>
      <c r="AM22" s="641"/>
      <c r="AN22" s="638"/>
      <c r="AO22" s="654"/>
      <c r="AP22" s="647"/>
      <c r="AQ22" s="645"/>
      <c r="AR22" s="641"/>
      <c r="AS22" s="638"/>
      <c r="AT22" s="654"/>
      <c r="AU22" s="647"/>
      <c r="AV22" s="641"/>
      <c r="AW22" s="638"/>
      <c r="AX22" s="646"/>
      <c r="AY22" s="651"/>
    </row>
    <row r="23" spans="1:51">
      <c r="A23" s="641">
        <v>351</v>
      </c>
      <c r="B23" s="638"/>
      <c r="C23" s="654">
        <v>2</v>
      </c>
      <c r="D23" s="647" t="s">
        <v>10266</v>
      </c>
      <c r="E23" s="641">
        <v>353</v>
      </c>
      <c r="F23" s="638" t="s">
        <v>10234</v>
      </c>
      <c r="G23" s="654">
        <v>6</v>
      </c>
      <c r="H23" s="647" t="s">
        <v>10291</v>
      </c>
      <c r="I23" s="645"/>
      <c r="J23" s="641">
        <v>351</v>
      </c>
      <c r="K23" s="638"/>
      <c r="L23" s="643">
        <v>4</v>
      </c>
      <c r="M23" s="647" t="s">
        <v>10311</v>
      </c>
      <c r="N23" s="641"/>
      <c r="O23" s="638"/>
      <c r="P23" s="646"/>
      <c r="Q23" s="651"/>
      <c r="R23" s="670"/>
      <c r="S23" s="638"/>
      <c r="T23" s="654"/>
      <c r="U23" s="647"/>
      <c r="V23" s="641"/>
      <c r="W23" s="638"/>
      <c r="X23" s="654"/>
      <c r="Y23" s="647"/>
      <c r="Z23" s="645"/>
      <c r="AA23" s="670"/>
      <c r="AB23" s="638"/>
      <c r="AC23" s="643"/>
      <c r="AD23" s="647"/>
      <c r="AE23" s="670"/>
      <c r="AF23" s="638"/>
      <c r="AG23" s="646"/>
      <c r="AH23" s="651"/>
      <c r="AI23" s="641"/>
      <c r="AJ23" s="638"/>
      <c r="AK23" s="654"/>
      <c r="AL23" s="647"/>
      <c r="AM23" s="641"/>
      <c r="AN23" s="638"/>
      <c r="AO23" s="654"/>
      <c r="AP23" s="647"/>
      <c r="AQ23" s="645"/>
      <c r="AR23" s="641"/>
      <c r="AS23" s="638"/>
      <c r="AT23" s="643"/>
      <c r="AU23" s="647"/>
      <c r="AV23" s="641"/>
      <c r="AW23" s="638"/>
      <c r="AX23" s="646"/>
      <c r="AY23" s="651"/>
    </row>
    <row r="24" spans="1:51">
      <c r="A24" s="641" t="s">
        <v>10168</v>
      </c>
      <c r="B24" s="638"/>
      <c r="C24" s="654">
        <v>3</v>
      </c>
      <c r="D24" s="647" t="s">
        <v>10257</v>
      </c>
      <c r="E24" s="641">
        <v>351</v>
      </c>
      <c r="F24" s="638"/>
      <c r="G24" s="654">
        <v>7</v>
      </c>
      <c r="H24" s="647" t="s">
        <v>10292</v>
      </c>
      <c r="I24" s="645"/>
      <c r="J24" s="641">
        <v>353</v>
      </c>
      <c r="K24" s="642" t="s">
        <v>10234</v>
      </c>
      <c r="L24" s="643">
        <v>5</v>
      </c>
      <c r="M24" s="644" t="s">
        <v>10312</v>
      </c>
      <c r="N24" s="641"/>
      <c r="O24" s="638"/>
      <c r="P24" s="646"/>
      <c r="Q24" s="651"/>
      <c r="R24" s="670"/>
      <c r="S24" s="638"/>
      <c r="T24" s="654"/>
      <c r="U24" s="649"/>
      <c r="V24" s="641"/>
      <c r="W24" s="638"/>
      <c r="X24" s="654"/>
      <c r="Y24" s="649"/>
      <c r="Z24" s="645"/>
      <c r="AA24" s="670"/>
      <c r="AB24" s="642"/>
      <c r="AC24" s="643"/>
      <c r="AD24" s="656"/>
      <c r="AE24" s="670"/>
      <c r="AF24" s="638"/>
      <c r="AG24" s="646"/>
      <c r="AH24" s="661"/>
      <c r="AI24" s="641"/>
      <c r="AJ24" s="638"/>
      <c r="AK24" s="654"/>
      <c r="AL24" s="647"/>
      <c r="AM24" s="641"/>
      <c r="AN24" s="638"/>
      <c r="AO24" s="654"/>
      <c r="AP24" s="647"/>
      <c r="AQ24" s="645"/>
      <c r="AR24" s="641"/>
      <c r="AS24" s="642"/>
      <c r="AT24" s="643"/>
      <c r="AU24" s="656"/>
      <c r="AV24" s="641"/>
      <c r="AW24" s="638"/>
      <c r="AX24" s="646"/>
      <c r="AY24" s="651"/>
    </row>
    <row r="25" spans="1:51">
      <c r="A25" s="641">
        <v>351</v>
      </c>
      <c r="B25" s="638"/>
      <c r="C25" s="654">
        <v>4</v>
      </c>
      <c r="D25" s="647" t="s">
        <v>10267</v>
      </c>
      <c r="E25" s="641">
        <v>353</v>
      </c>
      <c r="F25" s="638" t="s">
        <v>10234</v>
      </c>
      <c r="G25" s="654">
        <v>8</v>
      </c>
      <c r="H25" s="647" t="s">
        <v>10293</v>
      </c>
      <c r="I25" s="645"/>
      <c r="J25" s="641">
        <v>351</v>
      </c>
      <c r="K25" s="638"/>
      <c r="L25" s="654">
        <v>6</v>
      </c>
      <c r="M25" s="644" t="s">
        <v>10283</v>
      </c>
      <c r="N25" s="641"/>
      <c r="O25" s="638"/>
      <c r="P25" s="646"/>
      <c r="Q25" s="647"/>
      <c r="R25" s="670"/>
      <c r="S25" s="638"/>
      <c r="T25" s="654"/>
      <c r="U25" s="649"/>
      <c r="V25" s="641"/>
      <c r="W25" s="638"/>
      <c r="X25" s="654"/>
      <c r="Y25" s="649"/>
      <c r="Z25" s="645"/>
      <c r="AA25" s="670"/>
      <c r="AB25" s="638"/>
      <c r="AC25" s="654"/>
      <c r="AD25" s="644"/>
      <c r="AE25" s="670"/>
      <c r="AF25" s="638"/>
      <c r="AG25" s="646"/>
      <c r="AH25" s="647"/>
      <c r="AI25" s="641"/>
      <c r="AJ25" s="638"/>
      <c r="AK25" s="654"/>
      <c r="AL25" s="647"/>
      <c r="AM25" s="641"/>
      <c r="AN25" s="638"/>
      <c r="AO25" s="654"/>
      <c r="AP25" s="647"/>
      <c r="AQ25" s="645"/>
      <c r="AR25" s="641"/>
      <c r="AS25" s="638"/>
      <c r="AT25" s="654"/>
      <c r="AU25" s="644"/>
      <c r="AV25" s="641"/>
      <c r="AW25" s="638"/>
      <c r="AX25" s="646"/>
      <c r="AY25" s="647"/>
    </row>
    <row r="26" spans="1:51">
      <c r="A26" s="641">
        <v>351</v>
      </c>
      <c r="B26" s="638"/>
      <c r="C26" s="654">
        <v>5</v>
      </c>
      <c r="D26" s="647" t="s">
        <v>10268</v>
      </c>
      <c r="E26" s="641" t="s">
        <v>10168</v>
      </c>
      <c r="F26" s="638"/>
      <c r="G26" s="654">
        <v>9</v>
      </c>
      <c r="H26" s="647" t="s">
        <v>10339</v>
      </c>
      <c r="I26" s="645"/>
      <c r="J26" s="641">
        <v>351</v>
      </c>
      <c r="K26" s="638"/>
      <c r="L26" s="654">
        <v>7</v>
      </c>
      <c r="M26" s="647" t="s">
        <v>10284</v>
      </c>
      <c r="N26" s="650"/>
      <c r="O26" s="638"/>
      <c r="P26" s="646"/>
      <c r="Q26" s="647"/>
      <c r="R26" s="670"/>
      <c r="S26" s="638"/>
      <c r="T26" s="654"/>
      <c r="U26" s="649"/>
      <c r="V26" s="641"/>
      <c r="W26" s="638"/>
      <c r="X26" s="654"/>
      <c r="Y26" s="649"/>
      <c r="Z26" s="645"/>
      <c r="AA26" s="670"/>
      <c r="AB26" s="638"/>
      <c r="AC26" s="654"/>
      <c r="AD26" s="649"/>
      <c r="AE26" s="670"/>
      <c r="AF26" s="638"/>
      <c r="AG26" s="646"/>
      <c r="AH26" s="647"/>
      <c r="AI26" s="641"/>
      <c r="AJ26" s="638"/>
      <c r="AK26" s="654"/>
      <c r="AL26" s="647"/>
      <c r="AM26" s="641"/>
      <c r="AN26" s="638"/>
      <c r="AO26" s="654"/>
      <c r="AP26" s="649"/>
      <c r="AQ26" s="645"/>
      <c r="AR26" s="641"/>
      <c r="AS26" s="638"/>
      <c r="AT26" s="654"/>
      <c r="AU26" s="647"/>
      <c r="AV26" s="650"/>
      <c r="AW26" s="638"/>
      <c r="AX26" s="646"/>
      <c r="AY26" s="647"/>
    </row>
    <row r="27" spans="1:51">
      <c r="A27" s="641">
        <v>353</v>
      </c>
      <c r="B27" s="638" t="s">
        <v>10234</v>
      </c>
      <c r="C27" s="654">
        <v>6</v>
      </c>
      <c r="D27" s="647" t="s">
        <v>10260</v>
      </c>
      <c r="E27" s="641" t="s">
        <v>10168</v>
      </c>
      <c r="F27" s="638"/>
      <c r="G27" s="654"/>
      <c r="H27" s="647" t="s">
        <v>10335</v>
      </c>
      <c r="I27" s="645"/>
      <c r="J27" s="641"/>
      <c r="K27" s="638"/>
      <c r="L27" s="654"/>
      <c r="M27" s="649" t="s">
        <v>10232</v>
      </c>
      <c r="N27" s="641"/>
      <c r="O27" s="638"/>
      <c r="P27" s="646"/>
      <c r="Q27" s="647"/>
      <c r="R27" s="670"/>
      <c r="S27" s="638"/>
      <c r="T27" s="654"/>
      <c r="U27" s="649"/>
      <c r="V27" s="641"/>
      <c r="W27" s="638"/>
      <c r="X27" s="654"/>
      <c r="Y27" s="649"/>
      <c r="Z27" s="645"/>
      <c r="AA27" s="670"/>
      <c r="AB27" s="638"/>
      <c r="AC27" s="654"/>
      <c r="AD27" s="647"/>
      <c r="AE27" s="670"/>
      <c r="AF27" s="638"/>
      <c r="AG27" s="646"/>
      <c r="AH27" s="647"/>
      <c r="AI27" s="641"/>
      <c r="AJ27" s="638"/>
      <c r="AK27" s="654"/>
      <c r="AL27" s="647"/>
      <c r="AM27" s="641"/>
      <c r="AN27" s="638"/>
      <c r="AO27" s="654"/>
      <c r="AP27" s="647"/>
      <c r="AQ27" s="645"/>
      <c r="AR27" s="641"/>
      <c r="AS27" s="638"/>
      <c r="AT27" s="654"/>
      <c r="AU27" s="647"/>
      <c r="AV27" s="641"/>
      <c r="AW27" s="638"/>
      <c r="AX27" s="646"/>
      <c r="AY27" s="647"/>
    </row>
    <row r="28" spans="1:51">
      <c r="A28" s="641">
        <v>353</v>
      </c>
      <c r="B28" s="638" t="s">
        <v>10234</v>
      </c>
      <c r="C28" s="654">
        <v>7</v>
      </c>
      <c r="D28" s="647" t="s">
        <v>10334</v>
      </c>
      <c r="E28" s="641">
        <v>351</v>
      </c>
      <c r="F28" s="642"/>
      <c r="G28" s="654">
        <v>10</v>
      </c>
      <c r="H28" s="647" t="s">
        <v>10294</v>
      </c>
      <c r="I28" s="645"/>
      <c r="J28" s="641"/>
      <c r="K28" s="638"/>
      <c r="L28" s="654"/>
      <c r="M28" s="647"/>
      <c r="N28" s="641"/>
      <c r="O28" s="638"/>
      <c r="P28" s="646"/>
      <c r="Q28" s="647"/>
      <c r="R28" s="670"/>
      <c r="S28" s="638"/>
      <c r="T28" s="654"/>
      <c r="U28" s="649"/>
      <c r="V28" s="641"/>
      <c r="W28" s="642"/>
      <c r="X28" s="654"/>
      <c r="Y28" s="649"/>
      <c r="Z28" s="645"/>
      <c r="AA28" s="670"/>
      <c r="AB28" s="638"/>
      <c r="AC28" s="654"/>
      <c r="AD28" s="647"/>
      <c r="AE28" s="670"/>
      <c r="AF28" s="638"/>
      <c r="AG28" s="646"/>
      <c r="AH28" s="647"/>
      <c r="AI28" s="641"/>
      <c r="AJ28" s="638"/>
      <c r="AK28" s="654"/>
      <c r="AL28" s="647"/>
      <c r="AM28" s="641"/>
      <c r="AN28" s="642"/>
      <c r="AO28" s="654"/>
      <c r="AP28" s="647"/>
      <c r="AQ28" s="645"/>
      <c r="AR28" s="641"/>
      <c r="AS28" s="638"/>
      <c r="AT28" s="654"/>
      <c r="AU28" s="647"/>
      <c r="AV28" s="641"/>
      <c r="AW28" s="638"/>
      <c r="AX28" s="646"/>
      <c r="AY28" s="647"/>
    </row>
    <row r="29" spans="1:51">
      <c r="A29" s="641">
        <v>351</v>
      </c>
      <c r="B29" s="638"/>
      <c r="C29" s="654">
        <v>8</v>
      </c>
      <c r="D29" s="647" t="s">
        <v>10269</v>
      </c>
      <c r="E29" s="641">
        <v>351</v>
      </c>
      <c r="F29" s="638"/>
      <c r="G29" s="654">
        <v>11</v>
      </c>
      <c r="H29" s="647" t="s">
        <v>10295</v>
      </c>
      <c r="I29" s="645"/>
      <c r="J29" s="641">
        <v>351</v>
      </c>
      <c r="K29" s="638" t="s">
        <v>10235</v>
      </c>
      <c r="L29" s="654">
        <v>1</v>
      </c>
      <c r="M29" s="647" t="s">
        <v>10313</v>
      </c>
      <c r="N29" s="641"/>
      <c r="O29" s="638"/>
      <c r="P29" s="646"/>
      <c r="Q29" s="647"/>
      <c r="R29" s="670"/>
      <c r="S29" s="638"/>
      <c r="T29" s="654"/>
      <c r="U29" s="647"/>
      <c r="V29" s="641"/>
      <c r="W29" s="638"/>
      <c r="X29" s="654"/>
      <c r="Y29" s="647"/>
      <c r="Z29" s="645"/>
      <c r="AA29" s="670"/>
      <c r="AB29" s="638"/>
      <c r="AC29" s="654"/>
      <c r="AD29" s="647"/>
      <c r="AE29" s="670"/>
      <c r="AF29" s="638"/>
      <c r="AG29" s="646"/>
      <c r="AH29" s="647"/>
      <c r="AI29" s="641"/>
      <c r="AJ29" s="638"/>
      <c r="AK29" s="654"/>
      <c r="AL29" s="647"/>
      <c r="AM29" s="641"/>
      <c r="AN29" s="638"/>
      <c r="AO29" s="654"/>
      <c r="AP29" s="647"/>
      <c r="AQ29" s="645"/>
      <c r="AR29" s="641"/>
      <c r="AS29" s="638"/>
      <c r="AT29" s="654"/>
      <c r="AU29" s="647"/>
      <c r="AV29" s="641"/>
      <c r="AW29" s="638"/>
      <c r="AX29" s="646"/>
      <c r="AY29" s="647"/>
    </row>
    <row r="30" spans="1:51">
      <c r="A30" s="641">
        <v>351</v>
      </c>
      <c r="B30" s="638"/>
      <c r="C30" s="654">
        <v>9</v>
      </c>
      <c r="D30" s="647" t="s">
        <v>10270</v>
      </c>
      <c r="E30" s="641"/>
      <c r="F30" s="638"/>
      <c r="G30" s="654"/>
      <c r="H30" s="649" t="s">
        <v>10232</v>
      </c>
      <c r="I30" s="645"/>
      <c r="J30" s="641">
        <v>351</v>
      </c>
      <c r="K30" s="638"/>
      <c r="L30" s="654">
        <v>2</v>
      </c>
      <c r="M30" s="647" t="s">
        <v>10314</v>
      </c>
      <c r="N30" s="641"/>
      <c r="O30" s="638"/>
      <c r="P30" s="646"/>
      <c r="Q30" s="647"/>
      <c r="R30" s="670"/>
      <c r="S30" s="638"/>
      <c r="T30" s="654"/>
      <c r="U30" s="649"/>
      <c r="V30" s="641"/>
      <c r="W30" s="638"/>
      <c r="X30" s="654"/>
      <c r="Y30" s="647"/>
      <c r="Z30" s="645"/>
      <c r="AA30" s="670"/>
      <c r="AB30" s="638"/>
      <c r="AC30" s="654"/>
      <c r="AD30" s="647"/>
      <c r="AE30" s="670"/>
      <c r="AF30" s="638"/>
      <c r="AG30" s="646"/>
      <c r="AH30" s="647"/>
      <c r="AI30" s="641"/>
      <c r="AJ30" s="638"/>
      <c r="AK30" s="654"/>
      <c r="AL30" s="649"/>
      <c r="AM30" s="641"/>
      <c r="AN30" s="638"/>
      <c r="AO30" s="654"/>
      <c r="AP30" s="647"/>
      <c r="AQ30" s="645"/>
      <c r="AR30" s="641"/>
      <c r="AS30" s="638"/>
      <c r="AT30" s="654"/>
      <c r="AU30" s="647"/>
      <c r="AV30" s="641"/>
      <c r="AW30" s="638"/>
      <c r="AX30" s="646"/>
      <c r="AY30" s="647"/>
    </row>
    <row r="31" spans="1:51">
      <c r="A31" s="641"/>
      <c r="B31" s="642"/>
      <c r="C31" s="654"/>
      <c r="D31" s="649" t="s">
        <v>10232</v>
      </c>
      <c r="E31" s="641"/>
      <c r="F31" s="638"/>
      <c r="G31" s="654"/>
      <c r="H31" s="647"/>
      <c r="I31" s="645"/>
      <c r="J31" s="641">
        <v>353</v>
      </c>
      <c r="K31" s="638" t="s">
        <v>10234</v>
      </c>
      <c r="L31" s="654">
        <v>3</v>
      </c>
      <c r="M31" s="647" t="s">
        <v>10315</v>
      </c>
      <c r="N31" s="641"/>
      <c r="O31" s="638"/>
      <c r="P31" s="646"/>
      <c r="Q31" s="647"/>
      <c r="R31" s="670"/>
      <c r="S31" s="642"/>
      <c r="T31" s="654"/>
      <c r="U31" s="647"/>
      <c r="V31" s="641"/>
      <c r="W31" s="638"/>
      <c r="X31" s="654"/>
      <c r="Y31" s="647"/>
      <c r="Z31" s="645"/>
      <c r="AA31" s="670"/>
      <c r="AB31" s="638"/>
      <c r="AC31" s="654"/>
      <c r="AD31" s="647"/>
      <c r="AE31" s="670"/>
      <c r="AF31" s="638"/>
      <c r="AG31" s="646"/>
      <c r="AH31" s="647"/>
      <c r="AI31" s="641"/>
      <c r="AJ31" s="642"/>
      <c r="AK31" s="654"/>
      <c r="AL31" s="647"/>
      <c r="AM31" s="641"/>
      <c r="AN31" s="638"/>
      <c r="AO31" s="654"/>
      <c r="AP31" s="647"/>
      <c r="AQ31" s="645"/>
      <c r="AR31" s="641"/>
      <c r="AS31" s="638"/>
      <c r="AT31" s="654"/>
      <c r="AU31" s="647"/>
      <c r="AV31" s="641"/>
      <c r="AW31" s="638"/>
      <c r="AX31" s="646"/>
      <c r="AY31" s="647"/>
    </row>
    <row r="32" spans="1:51">
      <c r="A32" s="641"/>
      <c r="B32" s="638"/>
      <c r="C32" s="654"/>
      <c r="D32" s="647"/>
      <c r="E32" s="641"/>
      <c r="F32" s="638"/>
      <c r="G32" s="654"/>
      <c r="H32" s="647"/>
      <c r="I32" s="645"/>
      <c r="J32" s="641" t="s">
        <v>10168</v>
      </c>
      <c r="K32" s="638"/>
      <c r="L32" s="643"/>
      <c r="M32" s="647" t="s">
        <v>10305</v>
      </c>
      <c r="N32" s="641"/>
      <c r="O32" s="638"/>
      <c r="P32" s="646"/>
      <c r="Q32" s="647"/>
      <c r="R32" s="670"/>
      <c r="S32" s="638"/>
      <c r="T32" s="654"/>
      <c r="U32" s="647"/>
      <c r="V32" s="641"/>
      <c r="W32" s="638"/>
      <c r="X32" s="654"/>
      <c r="Y32" s="647"/>
      <c r="Z32" s="645"/>
      <c r="AA32" s="670"/>
      <c r="AB32" s="638"/>
      <c r="AC32" s="643"/>
      <c r="AD32" s="647"/>
      <c r="AE32" s="670"/>
      <c r="AF32" s="638"/>
      <c r="AG32" s="646"/>
      <c r="AH32" s="647"/>
      <c r="AI32" s="641"/>
      <c r="AJ32" s="638"/>
      <c r="AK32" s="654"/>
      <c r="AL32" s="647"/>
      <c r="AM32" s="641"/>
      <c r="AN32" s="638"/>
      <c r="AO32" s="654"/>
      <c r="AP32" s="647"/>
      <c r="AQ32" s="645"/>
      <c r="AR32" s="641"/>
      <c r="AS32" s="638"/>
      <c r="AT32" s="643"/>
      <c r="AU32" s="647"/>
      <c r="AV32" s="641"/>
      <c r="AW32" s="638"/>
      <c r="AX32" s="646"/>
      <c r="AY32" s="647"/>
    </row>
    <row r="33" spans="1:51">
      <c r="A33" s="641">
        <v>351</v>
      </c>
      <c r="B33" s="642" t="s">
        <v>10235</v>
      </c>
      <c r="C33" s="654">
        <v>1</v>
      </c>
      <c r="D33" s="644" t="s">
        <v>10255</v>
      </c>
      <c r="E33" s="641"/>
      <c r="F33" s="638"/>
      <c r="G33" s="654"/>
      <c r="H33" s="647"/>
      <c r="I33" s="645"/>
      <c r="J33" s="641">
        <v>351</v>
      </c>
      <c r="K33" s="638"/>
      <c r="L33" s="643">
        <v>4</v>
      </c>
      <c r="M33" s="647" t="s">
        <v>10316</v>
      </c>
      <c r="N33" s="641"/>
      <c r="O33" s="638"/>
      <c r="P33" s="646"/>
      <c r="Q33" s="647"/>
      <c r="R33" s="670"/>
      <c r="S33" s="642"/>
      <c r="T33" s="654"/>
      <c r="U33" s="644"/>
      <c r="V33" s="641"/>
      <c r="W33" s="638"/>
      <c r="X33" s="654"/>
      <c r="Y33" s="647"/>
      <c r="Z33" s="645"/>
      <c r="AA33" s="670"/>
      <c r="AB33" s="638"/>
      <c r="AC33" s="643"/>
      <c r="AD33" s="647"/>
      <c r="AE33" s="670"/>
      <c r="AF33" s="638"/>
      <c r="AG33" s="646"/>
      <c r="AH33" s="647"/>
      <c r="AI33" s="641"/>
      <c r="AJ33" s="642"/>
      <c r="AK33" s="654"/>
      <c r="AL33" s="644"/>
      <c r="AM33" s="641"/>
      <c r="AN33" s="638"/>
      <c r="AO33" s="654"/>
      <c r="AP33" s="647"/>
      <c r="AQ33" s="645"/>
      <c r="AR33" s="641"/>
      <c r="AS33" s="638"/>
      <c r="AT33" s="643"/>
      <c r="AU33" s="647"/>
      <c r="AV33" s="641"/>
      <c r="AW33" s="638"/>
      <c r="AX33" s="646"/>
      <c r="AY33" s="647"/>
    </row>
    <row r="34" spans="1:51">
      <c r="A34" s="641">
        <v>351</v>
      </c>
      <c r="B34" s="638"/>
      <c r="C34" s="654">
        <v>2</v>
      </c>
      <c r="D34" s="644" t="s">
        <v>10266</v>
      </c>
      <c r="E34" s="641"/>
      <c r="F34" s="638"/>
      <c r="G34" s="654"/>
      <c r="H34" s="647"/>
      <c r="I34" s="645"/>
      <c r="J34" s="641">
        <v>353</v>
      </c>
      <c r="K34" s="638" t="s">
        <v>10234</v>
      </c>
      <c r="L34" s="643">
        <v>5</v>
      </c>
      <c r="M34" s="647" t="s">
        <v>10317</v>
      </c>
      <c r="N34" s="641"/>
      <c r="O34" s="638"/>
      <c r="P34" s="646"/>
      <c r="Q34" s="647"/>
      <c r="R34" s="670"/>
      <c r="S34" s="638"/>
      <c r="T34" s="654"/>
      <c r="U34" s="644"/>
      <c r="V34" s="641"/>
      <c r="W34" s="638"/>
      <c r="X34" s="654"/>
      <c r="Y34" s="647"/>
      <c r="Z34" s="645"/>
      <c r="AA34" s="670"/>
      <c r="AB34" s="638"/>
      <c r="AC34" s="643"/>
      <c r="AD34" s="647"/>
      <c r="AE34" s="670"/>
      <c r="AF34" s="638"/>
      <c r="AG34" s="646"/>
      <c r="AH34" s="647"/>
      <c r="AI34" s="641"/>
      <c r="AJ34" s="638"/>
      <c r="AK34" s="654"/>
      <c r="AL34" s="644"/>
      <c r="AM34" s="641"/>
      <c r="AN34" s="638"/>
      <c r="AO34" s="654"/>
      <c r="AP34" s="647"/>
      <c r="AQ34" s="645"/>
      <c r="AR34" s="641"/>
      <c r="AS34" s="638"/>
      <c r="AT34" s="643"/>
      <c r="AU34" s="647"/>
      <c r="AV34" s="641"/>
      <c r="AW34" s="638"/>
      <c r="AX34" s="646"/>
      <c r="AY34" s="647"/>
    </row>
    <row r="35" spans="1:51">
      <c r="A35" s="641" t="s">
        <v>10168</v>
      </c>
      <c r="B35" s="638"/>
      <c r="C35" s="654">
        <v>3</v>
      </c>
      <c r="D35" s="647" t="s">
        <v>10271</v>
      </c>
      <c r="E35" s="641"/>
      <c r="F35" s="638"/>
      <c r="G35" s="654"/>
      <c r="H35" s="647"/>
      <c r="I35" s="645"/>
      <c r="J35" s="641">
        <v>351</v>
      </c>
      <c r="K35" s="638"/>
      <c r="L35" s="643">
        <v>6</v>
      </c>
      <c r="M35" s="647" t="s">
        <v>10263</v>
      </c>
      <c r="N35" s="641"/>
      <c r="O35" s="638"/>
      <c r="P35" s="646"/>
      <c r="Q35" s="647"/>
      <c r="R35" s="670"/>
      <c r="S35" s="638"/>
      <c r="T35" s="654"/>
      <c r="U35" s="649"/>
      <c r="V35" s="641"/>
      <c r="W35" s="638"/>
      <c r="X35" s="654"/>
      <c r="Y35" s="649"/>
      <c r="Z35" s="645"/>
      <c r="AA35" s="670"/>
      <c r="AB35" s="638"/>
      <c r="AC35" s="643"/>
      <c r="AD35" s="649"/>
      <c r="AE35" s="670"/>
      <c r="AF35" s="638"/>
      <c r="AG35" s="646"/>
      <c r="AH35" s="649"/>
      <c r="AI35" s="641"/>
      <c r="AJ35" s="638"/>
      <c r="AK35" s="654"/>
      <c r="AL35" s="647"/>
      <c r="AM35" s="641"/>
      <c r="AN35" s="638"/>
      <c r="AO35" s="654"/>
      <c r="AP35" s="647"/>
      <c r="AQ35" s="645"/>
      <c r="AR35" s="641"/>
      <c r="AS35" s="638"/>
      <c r="AT35" s="643"/>
      <c r="AU35" s="647"/>
      <c r="AV35" s="641"/>
      <c r="AW35" s="638"/>
      <c r="AX35" s="646"/>
      <c r="AY35" s="647"/>
    </row>
    <row r="36" spans="1:51">
      <c r="A36" s="641">
        <v>351</v>
      </c>
      <c r="B36" s="638"/>
      <c r="C36" s="654">
        <v>4</v>
      </c>
      <c r="D36" s="647" t="s">
        <v>10258</v>
      </c>
      <c r="E36" s="641"/>
      <c r="F36" s="638"/>
      <c r="G36" s="654"/>
      <c r="H36" s="647"/>
      <c r="I36" s="645"/>
      <c r="J36" s="641">
        <v>351</v>
      </c>
      <c r="K36" s="642"/>
      <c r="L36" s="643">
        <v>7</v>
      </c>
      <c r="M36" s="644" t="s">
        <v>10270</v>
      </c>
      <c r="N36" s="641"/>
      <c r="O36" s="638"/>
      <c r="P36" s="646"/>
      <c r="Q36" s="647"/>
      <c r="R36" s="670"/>
      <c r="S36" s="638"/>
      <c r="T36" s="654"/>
      <c r="U36" s="647"/>
      <c r="V36" s="641"/>
      <c r="W36" s="638"/>
      <c r="X36" s="654"/>
      <c r="Y36" s="647"/>
      <c r="Z36" s="645"/>
      <c r="AA36" s="670"/>
      <c r="AB36" s="642"/>
      <c r="AC36" s="643"/>
      <c r="AD36" s="644"/>
      <c r="AE36" s="670"/>
      <c r="AF36" s="638"/>
      <c r="AG36" s="646"/>
      <c r="AH36" s="647"/>
      <c r="AI36" s="641"/>
      <c r="AJ36" s="638"/>
      <c r="AK36" s="654"/>
      <c r="AL36" s="647"/>
      <c r="AM36" s="641"/>
      <c r="AN36" s="638"/>
      <c r="AO36" s="654"/>
      <c r="AP36" s="647"/>
      <c r="AQ36" s="645"/>
      <c r="AR36" s="641"/>
      <c r="AS36" s="642"/>
      <c r="AT36" s="643"/>
      <c r="AU36" s="644"/>
      <c r="AV36" s="641"/>
      <c r="AW36" s="638"/>
      <c r="AX36" s="646"/>
      <c r="AY36" s="647"/>
    </row>
    <row r="37" spans="1:51">
      <c r="A37" s="641">
        <v>351</v>
      </c>
      <c r="B37" s="638"/>
      <c r="C37" s="654">
        <v>5</v>
      </c>
      <c r="D37" s="647" t="s">
        <v>10268</v>
      </c>
      <c r="E37" s="641"/>
      <c r="F37" s="638"/>
      <c r="G37" s="654"/>
      <c r="H37" s="647"/>
      <c r="I37" s="645"/>
      <c r="J37" s="641"/>
      <c r="K37" s="638"/>
      <c r="L37" s="643"/>
      <c r="M37" s="656" t="s">
        <v>10232</v>
      </c>
      <c r="N37" s="641"/>
      <c r="O37" s="638"/>
      <c r="P37" s="646"/>
      <c r="Q37" s="647"/>
      <c r="R37" s="670"/>
      <c r="S37" s="638"/>
      <c r="T37" s="654"/>
      <c r="U37" s="649"/>
      <c r="V37" s="641"/>
      <c r="W37" s="638"/>
      <c r="X37" s="654"/>
      <c r="Y37" s="649"/>
      <c r="Z37" s="645"/>
      <c r="AA37" s="670"/>
      <c r="AB37" s="638"/>
      <c r="AC37" s="643"/>
      <c r="AD37" s="656"/>
      <c r="AE37" s="670"/>
      <c r="AF37" s="638"/>
      <c r="AG37" s="646"/>
      <c r="AH37" s="647"/>
      <c r="AI37" s="641"/>
      <c r="AJ37" s="638"/>
      <c r="AK37" s="654"/>
      <c r="AL37" s="647"/>
      <c r="AM37" s="641"/>
      <c r="AN37" s="638"/>
      <c r="AO37" s="654"/>
      <c r="AP37" s="647"/>
      <c r="AQ37" s="645"/>
      <c r="AR37" s="641"/>
      <c r="AS37" s="638"/>
      <c r="AT37" s="643"/>
      <c r="AU37" s="656"/>
      <c r="AV37" s="641"/>
      <c r="AW37" s="638"/>
      <c r="AX37" s="646"/>
      <c r="AY37" s="647"/>
    </row>
    <row r="38" spans="1:51">
      <c r="A38" s="641">
        <v>353</v>
      </c>
      <c r="B38" s="638" t="s">
        <v>10234</v>
      </c>
      <c r="C38" s="654">
        <v>6</v>
      </c>
      <c r="D38" s="647" t="s">
        <v>10272</v>
      </c>
      <c r="E38" s="641"/>
      <c r="F38" s="638"/>
      <c r="G38" s="654"/>
      <c r="H38" s="647"/>
      <c r="I38" s="645"/>
      <c r="J38" s="641"/>
      <c r="K38" s="638"/>
      <c r="L38" s="646"/>
      <c r="M38" s="647"/>
      <c r="N38" s="641"/>
      <c r="O38" s="638"/>
      <c r="P38" s="646"/>
      <c r="Q38" s="647"/>
      <c r="R38" s="670"/>
      <c r="S38" s="638"/>
      <c r="T38" s="654"/>
      <c r="U38" s="649"/>
      <c r="V38" s="641"/>
      <c r="W38" s="638"/>
      <c r="X38" s="654"/>
      <c r="Y38" s="647"/>
      <c r="Z38" s="645"/>
      <c r="AA38" s="670"/>
      <c r="AB38" s="638"/>
      <c r="AC38" s="646"/>
      <c r="AD38" s="647"/>
      <c r="AE38" s="670"/>
      <c r="AF38" s="638"/>
      <c r="AG38" s="646"/>
      <c r="AH38" s="647"/>
      <c r="AI38" s="641"/>
      <c r="AJ38" s="638"/>
      <c r="AK38" s="654"/>
      <c r="AL38" s="647"/>
      <c r="AM38" s="641"/>
      <c r="AN38" s="638"/>
      <c r="AO38" s="654"/>
      <c r="AP38" s="647"/>
      <c r="AQ38" s="645"/>
      <c r="AR38" s="641"/>
      <c r="AS38" s="638"/>
      <c r="AT38" s="646"/>
      <c r="AU38" s="647"/>
      <c r="AV38" s="641"/>
      <c r="AW38" s="638"/>
      <c r="AX38" s="646"/>
      <c r="AY38" s="647"/>
    </row>
    <row r="39" spans="1:51">
      <c r="A39" s="641">
        <v>351</v>
      </c>
      <c r="B39" s="638"/>
      <c r="C39" s="654">
        <v>7</v>
      </c>
      <c r="D39" s="647" t="s">
        <v>10273</v>
      </c>
      <c r="E39" s="641"/>
      <c r="F39" s="638"/>
      <c r="G39" s="654"/>
      <c r="H39" s="647"/>
      <c r="I39" s="645"/>
      <c r="J39" s="641"/>
      <c r="K39" s="638"/>
      <c r="L39" s="646"/>
      <c r="M39" s="647"/>
      <c r="N39" s="641"/>
      <c r="O39" s="638"/>
      <c r="P39" s="646"/>
      <c r="Q39" s="647"/>
      <c r="R39" s="670"/>
      <c r="S39" s="638"/>
      <c r="T39" s="654"/>
      <c r="U39" s="649"/>
      <c r="V39" s="641"/>
      <c r="W39" s="638"/>
      <c r="X39" s="654"/>
      <c r="Y39" s="649"/>
      <c r="Z39" s="645"/>
      <c r="AA39" s="670"/>
      <c r="AB39" s="638"/>
      <c r="AC39" s="646"/>
      <c r="AD39" s="647"/>
      <c r="AE39" s="670"/>
      <c r="AF39" s="638"/>
      <c r="AG39" s="646"/>
      <c r="AH39" s="647"/>
      <c r="AI39" s="641"/>
      <c r="AJ39" s="638"/>
      <c r="AK39" s="654"/>
      <c r="AL39" s="647"/>
      <c r="AM39" s="641"/>
      <c r="AN39" s="638"/>
      <c r="AO39" s="654"/>
      <c r="AP39" s="649"/>
      <c r="AQ39" s="645"/>
      <c r="AR39" s="641"/>
      <c r="AS39" s="638"/>
      <c r="AT39" s="646"/>
      <c r="AU39" s="647"/>
      <c r="AV39" s="641"/>
      <c r="AW39" s="638"/>
      <c r="AX39" s="646"/>
      <c r="AY39" s="647"/>
    </row>
    <row r="40" spans="1:51">
      <c r="A40" s="641">
        <v>353</v>
      </c>
      <c r="B40" s="638"/>
      <c r="C40" s="654"/>
      <c r="D40" s="647" t="s">
        <v>10274</v>
      </c>
      <c r="E40" s="641"/>
      <c r="F40" s="638"/>
      <c r="G40" s="654"/>
      <c r="H40" s="647"/>
      <c r="I40" s="645"/>
      <c r="J40" s="641"/>
      <c r="K40" s="638"/>
      <c r="L40" s="646"/>
      <c r="M40" s="647"/>
      <c r="N40" s="641"/>
      <c r="O40" s="638"/>
      <c r="P40" s="646"/>
      <c r="Q40" s="647"/>
      <c r="R40" s="670"/>
      <c r="S40" s="638"/>
      <c r="T40" s="654"/>
      <c r="U40" s="649"/>
      <c r="V40" s="641"/>
      <c r="W40" s="638"/>
      <c r="X40" s="654"/>
      <c r="Y40" s="647"/>
      <c r="Z40" s="645"/>
      <c r="AA40" s="670"/>
      <c r="AB40" s="638"/>
      <c r="AC40" s="646"/>
      <c r="AD40" s="647"/>
      <c r="AE40" s="670"/>
      <c r="AF40" s="638"/>
      <c r="AG40" s="646"/>
      <c r="AH40" s="647"/>
      <c r="AI40" s="641"/>
      <c r="AJ40" s="638"/>
      <c r="AK40" s="654"/>
      <c r="AL40" s="647"/>
      <c r="AM40" s="641"/>
      <c r="AN40" s="638"/>
      <c r="AO40" s="654"/>
      <c r="AP40" s="647"/>
      <c r="AQ40" s="645"/>
      <c r="AR40" s="641"/>
      <c r="AS40" s="638"/>
      <c r="AT40" s="646"/>
      <c r="AU40" s="647"/>
      <c r="AV40" s="641"/>
      <c r="AW40" s="638"/>
      <c r="AX40" s="646"/>
      <c r="AY40" s="647"/>
    </row>
    <row r="41" spans="1:51">
      <c r="A41" s="641" t="s">
        <v>10168</v>
      </c>
      <c r="B41" s="638"/>
      <c r="C41" s="654"/>
      <c r="D41" s="647" t="s">
        <v>10335</v>
      </c>
      <c r="E41" s="641"/>
      <c r="F41" s="638"/>
      <c r="G41" s="654"/>
      <c r="H41" s="647"/>
      <c r="I41" s="645"/>
      <c r="J41" s="641"/>
      <c r="K41" s="638"/>
      <c r="L41" s="646"/>
      <c r="M41" s="647"/>
      <c r="N41" s="641"/>
      <c r="O41" s="638"/>
      <c r="P41" s="646"/>
      <c r="Q41" s="647"/>
      <c r="R41" s="670"/>
      <c r="S41" s="638"/>
      <c r="T41" s="654"/>
      <c r="U41" s="649"/>
      <c r="V41" s="641"/>
      <c r="W41" s="638"/>
      <c r="X41" s="654"/>
      <c r="Y41" s="647"/>
      <c r="Z41" s="645"/>
      <c r="AA41" s="670"/>
      <c r="AB41" s="638"/>
      <c r="AC41" s="646"/>
      <c r="AD41" s="647"/>
      <c r="AE41" s="670"/>
      <c r="AF41" s="638"/>
      <c r="AG41" s="646"/>
      <c r="AH41" s="647"/>
      <c r="AI41" s="641"/>
      <c r="AJ41" s="638"/>
      <c r="AK41" s="654"/>
      <c r="AL41" s="649"/>
      <c r="AM41" s="641"/>
      <c r="AN41" s="638"/>
      <c r="AO41" s="654"/>
      <c r="AP41" s="647"/>
      <c r="AQ41" s="645"/>
      <c r="AR41" s="641"/>
      <c r="AS41" s="638"/>
      <c r="AT41" s="646"/>
      <c r="AU41" s="647"/>
      <c r="AV41" s="641"/>
      <c r="AW41" s="638"/>
      <c r="AX41" s="646"/>
      <c r="AY41" s="647"/>
    </row>
    <row r="42" spans="1:51">
      <c r="A42" s="641">
        <v>351</v>
      </c>
      <c r="B42" s="638"/>
      <c r="C42" s="654">
        <v>8</v>
      </c>
      <c r="D42" s="647" t="s">
        <v>10263</v>
      </c>
      <c r="E42" s="641"/>
      <c r="F42" s="638"/>
      <c r="G42" s="654"/>
      <c r="H42" s="647"/>
      <c r="I42" s="645"/>
      <c r="J42" s="641"/>
      <c r="K42" s="638"/>
      <c r="L42" s="646"/>
      <c r="M42" s="647"/>
      <c r="N42" s="641"/>
      <c r="O42" s="638"/>
      <c r="P42" s="646"/>
      <c r="Q42" s="647"/>
      <c r="R42" s="670"/>
      <c r="S42" s="638"/>
      <c r="T42" s="654"/>
      <c r="U42" s="647"/>
      <c r="V42" s="641"/>
      <c r="W42" s="638"/>
      <c r="X42" s="654"/>
      <c r="Y42" s="647"/>
      <c r="Z42" s="645"/>
      <c r="AA42" s="670"/>
      <c r="AB42" s="638"/>
      <c r="AC42" s="646"/>
      <c r="AD42" s="647"/>
      <c r="AE42" s="670"/>
      <c r="AF42" s="638"/>
      <c r="AG42" s="646"/>
      <c r="AH42" s="647"/>
      <c r="AI42" s="641"/>
      <c r="AJ42" s="638"/>
      <c r="AK42" s="654"/>
      <c r="AL42" s="647"/>
      <c r="AM42" s="641"/>
      <c r="AN42" s="638"/>
      <c r="AO42" s="654"/>
      <c r="AP42" s="647"/>
      <c r="AQ42" s="645"/>
      <c r="AR42" s="641"/>
      <c r="AS42" s="638"/>
      <c r="AT42" s="646"/>
      <c r="AU42" s="647"/>
      <c r="AV42" s="641"/>
      <c r="AW42" s="638"/>
      <c r="AX42" s="646"/>
      <c r="AY42" s="647"/>
    </row>
    <row r="43" spans="1:51">
      <c r="A43" s="641">
        <v>351</v>
      </c>
      <c r="B43" s="638"/>
      <c r="C43" s="654">
        <v>9</v>
      </c>
      <c r="D43" s="647" t="s">
        <v>10270</v>
      </c>
      <c r="E43" s="641"/>
      <c r="F43" s="638"/>
      <c r="G43" s="654"/>
      <c r="H43" s="647"/>
      <c r="I43" s="645"/>
      <c r="J43" s="641"/>
      <c r="K43" s="638"/>
      <c r="L43" s="646"/>
      <c r="M43" s="651"/>
      <c r="N43" s="641"/>
      <c r="O43" s="638"/>
      <c r="P43" s="646"/>
      <c r="Q43" s="647"/>
      <c r="R43" s="670"/>
      <c r="S43" s="638"/>
      <c r="T43" s="654"/>
      <c r="U43" s="647"/>
      <c r="V43" s="641"/>
      <c r="W43" s="638"/>
      <c r="X43" s="654"/>
      <c r="Y43" s="647"/>
      <c r="Z43" s="645"/>
      <c r="AA43" s="670"/>
      <c r="AB43" s="638"/>
      <c r="AC43" s="646"/>
      <c r="AD43" s="651"/>
      <c r="AE43" s="670"/>
      <c r="AF43" s="638"/>
      <c r="AG43" s="646"/>
      <c r="AH43" s="647"/>
      <c r="AI43" s="641"/>
      <c r="AJ43" s="638"/>
      <c r="AK43" s="654"/>
      <c r="AL43" s="647"/>
      <c r="AM43" s="641"/>
      <c r="AN43" s="638"/>
      <c r="AO43" s="654"/>
      <c r="AP43" s="647"/>
      <c r="AQ43" s="645"/>
      <c r="AR43" s="641"/>
      <c r="AS43" s="638"/>
      <c r="AT43" s="646"/>
      <c r="AU43" s="651"/>
      <c r="AV43" s="641"/>
      <c r="AW43" s="638"/>
      <c r="AX43" s="646"/>
      <c r="AY43" s="647"/>
    </row>
    <row r="44" spans="1:51">
      <c r="A44" s="641"/>
      <c r="B44" s="642"/>
      <c r="C44" s="654"/>
      <c r="D44" s="649" t="s">
        <v>10232</v>
      </c>
      <c r="E44" s="641"/>
      <c r="F44" s="638"/>
      <c r="G44" s="654"/>
      <c r="H44" s="647"/>
      <c r="I44" s="652"/>
      <c r="J44" s="641"/>
      <c r="K44" s="638"/>
      <c r="L44" s="646"/>
      <c r="M44" s="651"/>
      <c r="N44" s="641"/>
      <c r="O44" s="638"/>
      <c r="P44" s="646"/>
      <c r="Q44" s="647"/>
      <c r="R44" s="670"/>
      <c r="S44" s="642"/>
      <c r="T44" s="654"/>
      <c r="U44" s="647"/>
      <c r="V44" s="641"/>
      <c r="W44" s="638"/>
      <c r="X44" s="654"/>
      <c r="Y44" s="647"/>
      <c r="Z44" s="652"/>
      <c r="AA44" s="670"/>
      <c r="AB44" s="638"/>
      <c r="AC44" s="646"/>
      <c r="AD44" s="651"/>
      <c r="AE44" s="670"/>
      <c r="AF44" s="638"/>
      <c r="AG44" s="646"/>
      <c r="AH44" s="647"/>
      <c r="AI44" s="641"/>
      <c r="AJ44" s="642"/>
      <c r="AK44" s="654"/>
      <c r="AL44" s="647"/>
      <c r="AM44" s="641"/>
      <c r="AN44" s="638"/>
      <c r="AO44" s="654"/>
      <c r="AP44" s="647"/>
      <c r="AQ44" s="652"/>
      <c r="AR44" s="641"/>
      <c r="AS44" s="638"/>
      <c r="AT44" s="646"/>
      <c r="AU44" s="651"/>
      <c r="AV44" s="641"/>
      <c r="AW44" s="638"/>
      <c r="AX44" s="646"/>
      <c r="AY44" s="647"/>
    </row>
    <row r="45" spans="1:51">
      <c r="A45" s="641"/>
      <c r="B45" s="638"/>
      <c r="C45" s="646"/>
      <c r="D45" s="647"/>
      <c r="E45" s="641"/>
      <c r="F45" s="642"/>
      <c r="G45" s="654"/>
      <c r="H45" s="647"/>
      <c r="I45" s="652"/>
      <c r="J45" s="641"/>
      <c r="K45" s="638"/>
      <c r="L45" s="646"/>
      <c r="M45" s="651"/>
      <c r="N45" s="647"/>
      <c r="O45" s="642"/>
      <c r="P45" s="643"/>
      <c r="Q45" s="647"/>
      <c r="R45" s="670"/>
      <c r="S45" s="638"/>
      <c r="T45" s="646"/>
      <c r="U45" s="649"/>
      <c r="V45" s="641"/>
      <c r="W45" s="642"/>
      <c r="X45" s="654"/>
      <c r="Y45" s="647"/>
      <c r="Z45" s="652"/>
      <c r="AA45" s="670"/>
      <c r="AB45" s="638"/>
      <c r="AC45" s="646"/>
      <c r="AD45" s="651"/>
      <c r="AE45" s="670"/>
      <c r="AF45" s="642"/>
      <c r="AG45" s="643"/>
      <c r="AH45" s="647"/>
      <c r="AI45" s="641"/>
      <c r="AJ45" s="638"/>
      <c r="AK45" s="646"/>
      <c r="AL45" s="647"/>
      <c r="AM45" s="641"/>
      <c r="AN45" s="642"/>
      <c r="AO45" s="654"/>
      <c r="AP45" s="647"/>
      <c r="AQ45" s="652"/>
      <c r="AR45" s="641"/>
      <c r="AS45" s="638"/>
      <c r="AT45" s="646"/>
      <c r="AU45" s="651"/>
      <c r="AV45" s="647"/>
      <c r="AW45" s="642"/>
      <c r="AX45" s="643"/>
      <c r="AY45" s="647"/>
    </row>
    <row r="46" spans="1:51">
      <c r="A46" s="641"/>
      <c r="B46" s="638"/>
      <c r="C46" s="646"/>
      <c r="D46" s="647"/>
      <c r="E46" s="647"/>
      <c r="F46" s="642"/>
      <c r="G46" s="643"/>
      <c r="H46" s="647"/>
      <c r="I46" s="652"/>
      <c r="J46" s="647"/>
      <c r="K46" s="642"/>
      <c r="L46" s="643"/>
      <c r="M46" s="647"/>
      <c r="N46" s="647"/>
      <c r="O46" s="642"/>
      <c r="P46" s="643"/>
      <c r="Q46" s="647"/>
      <c r="R46" s="670"/>
      <c r="S46" s="638"/>
      <c r="T46" s="646"/>
      <c r="U46" s="649"/>
      <c r="V46" s="647"/>
      <c r="W46" s="642"/>
      <c r="X46" s="643"/>
      <c r="Y46" s="647"/>
      <c r="Z46" s="652"/>
      <c r="AA46" s="670"/>
      <c r="AB46" s="642"/>
      <c r="AC46" s="643"/>
      <c r="AD46" s="649"/>
      <c r="AE46" s="670"/>
      <c r="AF46" s="642"/>
      <c r="AG46" s="643"/>
      <c r="AH46" s="649"/>
      <c r="AI46" s="641"/>
      <c r="AJ46" s="638"/>
      <c r="AK46" s="646"/>
      <c r="AL46" s="647"/>
      <c r="AM46" s="647"/>
      <c r="AN46" s="642"/>
      <c r="AO46" s="643"/>
      <c r="AP46" s="647"/>
      <c r="AQ46" s="652"/>
      <c r="AR46" s="647"/>
      <c r="AS46" s="642"/>
      <c r="AT46" s="643"/>
      <c r="AU46" s="647"/>
      <c r="AV46" s="647"/>
      <c r="AW46" s="642"/>
      <c r="AX46" s="643"/>
      <c r="AY46" s="647"/>
    </row>
    <row r="47" spans="1:51">
      <c r="A47" s="732"/>
      <c r="B47" s="732"/>
      <c r="C47" s="732"/>
      <c r="D47" s="732"/>
      <c r="E47" s="732"/>
      <c r="F47" s="732"/>
      <c r="G47" s="732"/>
      <c r="H47" s="732"/>
      <c r="I47" s="732"/>
      <c r="J47" s="732"/>
      <c r="K47" s="732"/>
      <c r="L47" s="732"/>
      <c r="M47" s="732"/>
      <c r="N47" s="732"/>
      <c r="O47" s="732"/>
      <c r="P47" s="732"/>
      <c r="Q47" s="732"/>
      <c r="R47" s="732"/>
      <c r="S47" s="732"/>
      <c r="T47" s="732"/>
      <c r="U47" s="732"/>
      <c r="V47" s="732"/>
      <c r="W47" s="732"/>
      <c r="X47" s="732"/>
      <c r="Y47" s="732"/>
      <c r="Z47" s="732"/>
      <c r="AA47" s="732"/>
      <c r="AB47" s="732"/>
      <c r="AC47" s="732"/>
      <c r="AD47" s="732"/>
      <c r="AE47" s="732"/>
      <c r="AF47" s="732"/>
      <c r="AG47" s="732"/>
      <c r="AH47" s="732"/>
      <c r="AI47" s="732"/>
      <c r="AJ47" s="732"/>
      <c r="AK47" s="732"/>
      <c r="AL47" s="732"/>
      <c r="AM47" s="732"/>
      <c r="AN47" s="732"/>
      <c r="AO47" s="732"/>
      <c r="AP47" s="732"/>
      <c r="AQ47" s="733"/>
      <c r="AR47" s="733"/>
      <c r="AS47" s="733"/>
      <c r="AT47" s="733"/>
      <c r="AU47" s="733"/>
      <c r="AV47" s="733"/>
      <c r="AW47" s="733"/>
      <c r="AX47" s="733"/>
      <c r="AY47" s="733"/>
    </row>
    <row r="48" spans="1:51">
      <c r="A48" s="610"/>
      <c r="B48" s="610"/>
      <c r="C48" s="658"/>
      <c r="D48" s="611"/>
      <c r="E48" s="610"/>
      <c r="F48" s="606"/>
      <c r="G48" s="606"/>
      <c r="H48" s="612"/>
      <c r="I48" s="606"/>
      <c r="J48" s="613"/>
      <c r="K48" s="612"/>
      <c r="L48" s="606"/>
      <c r="M48" s="611"/>
      <c r="N48" s="613"/>
      <c r="O48" s="613"/>
      <c r="P48" s="606"/>
      <c r="Q48" s="612"/>
      <c r="R48" s="610"/>
      <c r="S48" s="610"/>
      <c r="T48" s="658"/>
      <c r="U48" s="611"/>
      <c r="V48" s="610"/>
      <c r="W48" s="606"/>
      <c r="X48" s="606"/>
      <c r="Y48" s="612"/>
      <c r="Z48" s="606"/>
      <c r="AA48" s="613"/>
      <c r="AB48" s="612"/>
      <c r="AC48" s="606"/>
      <c r="AD48" s="611"/>
      <c r="AE48" s="613"/>
      <c r="AF48" s="613"/>
      <c r="AG48" s="606"/>
      <c r="AH48" s="612"/>
      <c r="AI48" s="610"/>
      <c r="AJ48" s="610"/>
      <c r="AK48" s="658"/>
      <c r="AL48" s="611"/>
      <c r="AM48" s="610"/>
      <c r="AN48" s="606"/>
      <c r="AO48" s="606"/>
      <c r="AP48" s="612"/>
      <c r="AQ48" s="606"/>
      <c r="AR48" s="613"/>
      <c r="AS48" s="612"/>
      <c r="AT48" s="606"/>
      <c r="AU48" s="611"/>
      <c r="AV48" s="613"/>
      <c r="AW48" s="613"/>
      <c r="AX48" s="606"/>
      <c r="AY48" s="612"/>
    </row>
    <row r="49" spans="1:51">
      <c r="A49" s="603"/>
      <c r="B49" s="604"/>
      <c r="C49" s="605"/>
      <c r="D49" s="605"/>
      <c r="E49" s="603"/>
      <c r="F49" s="604"/>
      <c r="G49" s="605"/>
      <c r="H49" s="605"/>
      <c r="I49" s="606"/>
      <c r="J49" s="602"/>
      <c r="K49" s="607"/>
      <c r="L49" s="608"/>
      <c r="M49" s="605"/>
      <c r="N49" s="602"/>
      <c r="O49" s="607"/>
      <c r="P49" s="609"/>
      <c r="Q49" s="605"/>
      <c r="R49" s="603"/>
      <c r="S49" s="604"/>
      <c r="T49" s="605"/>
      <c r="U49" s="605"/>
      <c r="V49" s="603"/>
      <c r="W49" s="604"/>
      <c r="X49" s="605"/>
      <c r="Y49" s="605"/>
      <c r="Z49" s="606"/>
      <c r="AA49" s="602"/>
      <c r="AB49" s="607"/>
      <c r="AC49" s="608"/>
      <c r="AD49" s="605"/>
      <c r="AE49" s="602"/>
      <c r="AF49" s="607"/>
      <c r="AG49" s="609"/>
      <c r="AH49" s="605"/>
      <c r="AI49" s="603"/>
      <c r="AJ49" s="604"/>
      <c r="AK49" s="605"/>
      <c r="AL49" s="605"/>
      <c r="AM49" s="603"/>
      <c r="AN49" s="604"/>
      <c r="AO49" s="605"/>
      <c r="AP49" s="605"/>
      <c r="AQ49" s="606"/>
      <c r="AR49" s="602"/>
      <c r="AS49" s="607"/>
      <c r="AT49" s="608"/>
      <c r="AU49" s="605"/>
      <c r="AV49" s="602"/>
      <c r="AW49" s="607"/>
      <c r="AX49" s="609"/>
      <c r="AY49" s="605"/>
    </row>
    <row r="50" spans="1:51">
      <c r="A50" s="638"/>
      <c r="B50" s="638"/>
      <c r="C50" s="639"/>
      <c r="D50" s="640"/>
      <c r="E50" s="641"/>
      <c r="F50" s="642"/>
      <c r="G50" s="643"/>
      <c r="H50" s="644"/>
      <c r="I50" s="645"/>
      <c r="J50" s="641"/>
      <c r="K50" s="638"/>
      <c r="L50" s="646"/>
      <c r="M50" s="647"/>
      <c r="N50" s="641"/>
      <c r="O50" s="638"/>
      <c r="P50" s="643"/>
      <c r="Q50" s="647"/>
      <c r="R50" s="669"/>
      <c r="S50" s="638"/>
      <c r="T50" s="639"/>
      <c r="U50" s="640"/>
      <c r="V50" s="641"/>
      <c r="W50" s="642"/>
      <c r="X50" s="643"/>
      <c r="Y50" s="644"/>
      <c r="Z50" s="645"/>
      <c r="AA50" s="670"/>
      <c r="AB50" s="638"/>
      <c r="AC50" s="646"/>
      <c r="AD50" s="647"/>
      <c r="AE50" s="670"/>
      <c r="AF50" s="638"/>
      <c r="AG50" s="643"/>
      <c r="AH50" s="647"/>
      <c r="AI50" s="638"/>
      <c r="AJ50" s="638"/>
      <c r="AK50" s="639"/>
      <c r="AL50" s="640"/>
      <c r="AM50" s="641"/>
      <c r="AN50" s="642"/>
      <c r="AO50" s="643"/>
      <c r="AP50" s="644"/>
      <c r="AQ50" s="645"/>
      <c r="AR50" s="641"/>
      <c r="AS50" s="638"/>
      <c r="AT50" s="646"/>
      <c r="AU50" s="647"/>
      <c r="AV50" s="641"/>
      <c r="AW50" s="638"/>
      <c r="AX50" s="643"/>
      <c r="AY50" s="647"/>
    </row>
    <row r="51" spans="1:51">
      <c r="A51" s="642"/>
      <c r="B51" s="638"/>
      <c r="C51" s="646"/>
      <c r="D51" s="640"/>
      <c r="E51" s="641"/>
      <c r="F51" s="638"/>
      <c r="G51" s="643"/>
      <c r="H51" s="644"/>
      <c r="I51" s="645"/>
      <c r="J51" s="641"/>
      <c r="K51" s="638"/>
      <c r="L51" s="643"/>
      <c r="M51" s="647"/>
      <c r="N51" s="641"/>
      <c r="O51" s="638"/>
      <c r="P51" s="643"/>
      <c r="Q51" s="647"/>
      <c r="R51" s="669"/>
      <c r="S51" s="638"/>
      <c r="T51" s="646"/>
      <c r="U51" s="640"/>
      <c r="V51" s="641"/>
      <c r="W51" s="638"/>
      <c r="X51" s="643"/>
      <c r="Y51" s="644"/>
      <c r="Z51" s="645"/>
      <c r="AA51" s="670"/>
      <c r="AB51" s="638"/>
      <c r="AC51" s="643"/>
      <c r="AD51" s="647"/>
      <c r="AE51" s="670"/>
      <c r="AF51" s="638"/>
      <c r="AG51" s="643"/>
      <c r="AH51" s="647"/>
      <c r="AI51" s="642"/>
      <c r="AJ51" s="638"/>
      <c r="AK51" s="646"/>
      <c r="AL51" s="640"/>
      <c r="AM51" s="641"/>
      <c r="AN51" s="638"/>
      <c r="AO51" s="643"/>
      <c r="AP51" s="644"/>
      <c r="AQ51" s="645"/>
      <c r="AR51" s="641"/>
      <c r="AS51" s="638"/>
      <c r="AT51" s="643"/>
      <c r="AU51" s="647"/>
      <c r="AV51" s="641"/>
      <c r="AW51" s="638"/>
      <c r="AX51" s="643"/>
      <c r="AY51" s="647"/>
    </row>
    <row r="52" spans="1:51">
      <c r="A52" s="641"/>
      <c r="B52" s="638"/>
      <c r="C52" s="646"/>
      <c r="D52" s="647"/>
      <c r="E52" s="641"/>
      <c r="F52" s="638"/>
      <c r="G52" s="643"/>
      <c r="H52" s="647"/>
      <c r="I52" s="645"/>
      <c r="J52" s="641"/>
      <c r="K52" s="638"/>
      <c r="L52" s="643"/>
      <c r="M52" s="647"/>
      <c r="N52" s="641"/>
      <c r="O52" s="638"/>
      <c r="P52" s="643"/>
      <c r="Q52" s="647"/>
      <c r="R52" s="670"/>
      <c r="S52" s="638"/>
      <c r="T52" s="646"/>
      <c r="U52" s="647"/>
      <c r="V52" s="641"/>
      <c r="W52" s="638"/>
      <c r="X52" s="643"/>
      <c r="Y52" s="647"/>
      <c r="Z52" s="645"/>
      <c r="AA52" s="670"/>
      <c r="AB52" s="638"/>
      <c r="AC52" s="643"/>
      <c r="AD52" s="647"/>
      <c r="AE52" s="670"/>
      <c r="AF52" s="638"/>
      <c r="AG52" s="643"/>
      <c r="AH52" s="647"/>
      <c r="AI52" s="641"/>
      <c r="AJ52" s="638"/>
      <c r="AK52" s="646"/>
      <c r="AL52" s="647"/>
      <c r="AM52" s="641"/>
      <c r="AN52" s="638"/>
      <c r="AO52" s="643"/>
      <c r="AP52" s="647"/>
      <c r="AQ52" s="645"/>
      <c r="AR52" s="641"/>
      <c r="AS52" s="638"/>
      <c r="AT52" s="643"/>
      <c r="AU52" s="647"/>
      <c r="AV52" s="641"/>
      <c r="AW52" s="638"/>
      <c r="AX52" s="643"/>
      <c r="AY52" s="647"/>
    </row>
    <row r="53" spans="1:51">
      <c r="A53" s="641"/>
      <c r="B53" s="638"/>
      <c r="C53" s="646"/>
      <c r="D53" s="647"/>
      <c r="E53" s="641"/>
      <c r="F53" s="638"/>
      <c r="G53" s="643"/>
      <c r="H53" s="647"/>
      <c r="I53" s="645"/>
      <c r="J53" s="641"/>
      <c r="K53" s="638"/>
      <c r="L53" s="643"/>
      <c r="M53" s="647"/>
      <c r="N53" s="641"/>
      <c r="O53" s="638"/>
      <c r="P53" s="643"/>
      <c r="Q53" s="647"/>
      <c r="R53" s="670"/>
      <c r="S53" s="638"/>
      <c r="T53" s="646"/>
      <c r="U53" s="649"/>
      <c r="V53" s="641"/>
      <c r="W53" s="638"/>
      <c r="X53" s="643"/>
      <c r="Y53" s="647"/>
      <c r="Z53" s="645"/>
      <c r="AA53" s="670"/>
      <c r="AB53" s="638"/>
      <c r="AC53" s="643"/>
      <c r="AD53" s="647"/>
      <c r="AE53" s="670"/>
      <c r="AF53" s="638"/>
      <c r="AG53" s="643"/>
      <c r="AH53" s="647"/>
      <c r="AI53" s="641"/>
      <c r="AJ53" s="638"/>
      <c r="AK53" s="646"/>
      <c r="AL53" s="647"/>
      <c r="AM53" s="641"/>
      <c r="AN53" s="638"/>
      <c r="AO53" s="643"/>
      <c r="AP53" s="647"/>
      <c r="AQ53" s="645"/>
      <c r="AR53" s="641"/>
      <c r="AS53" s="638"/>
      <c r="AT53" s="643"/>
      <c r="AU53" s="647"/>
      <c r="AV53" s="641"/>
      <c r="AW53" s="638"/>
      <c r="AX53" s="643"/>
      <c r="AY53" s="647"/>
    </row>
    <row r="54" spans="1:51">
      <c r="A54" s="641"/>
      <c r="B54" s="638"/>
      <c r="C54" s="646"/>
      <c r="D54" s="647"/>
      <c r="E54" s="641"/>
      <c r="F54" s="638"/>
      <c r="G54" s="643"/>
      <c r="H54" s="647"/>
      <c r="I54" s="645"/>
      <c r="J54" s="641"/>
      <c r="K54" s="638"/>
      <c r="L54" s="643"/>
      <c r="M54" s="647"/>
      <c r="N54" s="641"/>
      <c r="O54" s="642"/>
      <c r="P54" s="643"/>
      <c r="Q54" s="644"/>
      <c r="R54" s="670"/>
      <c r="S54" s="638"/>
      <c r="T54" s="646"/>
      <c r="U54" s="647"/>
      <c r="V54" s="641"/>
      <c r="W54" s="638"/>
      <c r="X54" s="643"/>
      <c r="Y54" s="647"/>
      <c r="Z54" s="645"/>
      <c r="AA54" s="670"/>
      <c r="AB54" s="638"/>
      <c r="AC54" s="643"/>
      <c r="AD54" s="647"/>
      <c r="AE54" s="670"/>
      <c r="AF54" s="642"/>
      <c r="AG54" s="643"/>
      <c r="AH54" s="644"/>
      <c r="AI54" s="641"/>
      <c r="AJ54" s="638"/>
      <c r="AK54" s="646"/>
      <c r="AL54" s="647"/>
      <c r="AM54" s="641"/>
      <c r="AN54" s="638"/>
      <c r="AO54" s="643"/>
      <c r="AP54" s="647"/>
      <c r="AQ54" s="645"/>
      <c r="AR54" s="641"/>
      <c r="AS54" s="638"/>
      <c r="AT54" s="643"/>
      <c r="AU54" s="647"/>
      <c r="AV54" s="641"/>
      <c r="AW54" s="642"/>
      <c r="AX54" s="643"/>
      <c r="AY54" s="644"/>
    </row>
    <row r="55" spans="1:51">
      <c r="A55" s="641"/>
      <c r="B55" s="638"/>
      <c r="C55" s="646"/>
      <c r="D55" s="647"/>
      <c r="E55" s="641"/>
      <c r="F55" s="638"/>
      <c r="G55" s="643"/>
      <c r="H55" s="647"/>
      <c r="I55" s="645"/>
      <c r="J55" s="641"/>
      <c r="K55" s="638"/>
      <c r="L55" s="643"/>
      <c r="M55" s="647"/>
      <c r="N55" s="641"/>
      <c r="O55" s="638"/>
      <c r="P55" s="643"/>
      <c r="Q55" s="644"/>
      <c r="R55" s="670"/>
      <c r="S55" s="638"/>
      <c r="T55" s="646"/>
      <c r="U55" s="647"/>
      <c r="V55" s="641"/>
      <c r="W55" s="638"/>
      <c r="X55" s="643"/>
      <c r="Y55" s="647"/>
      <c r="Z55" s="645"/>
      <c r="AA55" s="670"/>
      <c r="AB55" s="638"/>
      <c r="AC55" s="643"/>
      <c r="AD55" s="647"/>
      <c r="AE55" s="670"/>
      <c r="AF55" s="638"/>
      <c r="AG55" s="643"/>
      <c r="AH55" s="644"/>
      <c r="AI55" s="641"/>
      <c r="AJ55" s="638"/>
      <c r="AK55" s="646"/>
      <c r="AL55" s="647"/>
      <c r="AM55" s="641"/>
      <c r="AN55" s="638"/>
      <c r="AO55" s="643"/>
      <c r="AP55" s="647"/>
      <c r="AQ55" s="645"/>
      <c r="AR55" s="641"/>
      <c r="AS55" s="638"/>
      <c r="AT55" s="643"/>
      <c r="AU55" s="647"/>
      <c r="AV55" s="641"/>
      <c r="AW55" s="638"/>
      <c r="AX55" s="643"/>
      <c r="AY55" s="644"/>
    </row>
    <row r="56" spans="1:51">
      <c r="A56" s="641"/>
      <c r="B56" s="638"/>
      <c r="C56" s="648"/>
      <c r="D56" s="647"/>
      <c r="E56" s="641"/>
      <c r="F56" s="638"/>
      <c r="G56" s="643"/>
      <c r="H56" s="647"/>
      <c r="I56" s="645"/>
      <c r="J56" s="641"/>
      <c r="K56" s="638"/>
      <c r="L56" s="643"/>
      <c r="M56" s="647"/>
      <c r="N56" s="641"/>
      <c r="O56" s="638"/>
      <c r="P56" s="646"/>
      <c r="Q56" s="647"/>
      <c r="R56" s="670"/>
      <c r="S56" s="638"/>
      <c r="T56" s="648"/>
      <c r="U56" s="647"/>
      <c r="V56" s="641"/>
      <c r="W56" s="638"/>
      <c r="X56" s="643"/>
      <c r="Y56" s="647"/>
      <c r="Z56" s="645"/>
      <c r="AA56" s="670"/>
      <c r="AB56" s="638"/>
      <c r="AC56" s="643"/>
      <c r="AD56" s="647"/>
      <c r="AE56" s="670"/>
      <c r="AF56" s="638"/>
      <c r="AG56" s="646"/>
      <c r="AH56" s="647"/>
      <c r="AI56" s="641"/>
      <c r="AJ56" s="638"/>
      <c r="AK56" s="648"/>
      <c r="AL56" s="647"/>
      <c r="AM56" s="641"/>
      <c r="AN56" s="638"/>
      <c r="AO56" s="643"/>
      <c r="AP56" s="647"/>
      <c r="AQ56" s="645"/>
      <c r="AR56" s="641"/>
      <c r="AS56" s="638"/>
      <c r="AT56" s="643"/>
      <c r="AU56" s="647"/>
      <c r="AV56" s="641"/>
      <c r="AW56" s="638"/>
      <c r="AX56" s="646"/>
      <c r="AY56" s="647"/>
    </row>
    <row r="57" spans="1:51">
      <c r="A57" s="641"/>
      <c r="B57" s="638"/>
      <c r="C57" s="648"/>
      <c r="D57" s="647"/>
      <c r="E57" s="641"/>
      <c r="F57" s="638"/>
      <c r="G57" s="643"/>
      <c r="H57" s="647"/>
      <c r="I57" s="645"/>
      <c r="J57" s="641"/>
      <c r="K57" s="638"/>
      <c r="L57" s="643"/>
      <c r="M57" s="647"/>
      <c r="N57" s="641"/>
      <c r="O57" s="638"/>
      <c r="P57" s="646"/>
      <c r="Q57" s="647"/>
      <c r="R57" s="670"/>
      <c r="S57" s="638"/>
      <c r="T57" s="648"/>
      <c r="U57" s="649"/>
      <c r="V57" s="641"/>
      <c r="W57" s="638"/>
      <c r="X57" s="643"/>
      <c r="Y57" s="649"/>
      <c r="Z57" s="645"/>
      <c r="AA57" s="670"/>
      <c r="AB57" s="638"/>
      <c r="AC57" s="643"/>
      <c r="AD57" s="649"/>
      <c r="AE57" s="670"/>
      <c r="AF57" s="638"/>
      <c r="AG57" s="646"/>
      <c r="AH57" s="649"/>
      <c r="AI57" s="641"/>
      <c r="AJ57" s="638"/>
      <c r="AK57" s="648"/>
      <c r="AL57" s="647"/>
      <c r="AM57" s="641"/>
      <c r="AN57" s="638"/>
      <c r="AO57" s="643"/>
      <c r="AP57" s="649"/>
      <c r="AQ57" s="645"/>
      <c r="AR57" s="641"/>
      <c r="AS57" s="638"/>
      <c r="AT57" s="643"/>
      <c r="AU57" s="649"/>
      <c r="AV57" s="641"/>
      <c r="AW57" s="638"/>
      <c r="AX57" s="646"/>
      <c r="AY57" s="647"/>
    </row>
    <row r="58" spans="1:51">
      <c r="A58" s="641"/>
      <c r="B58" s="638"/>
      <c r="C58" s="648"/>
      <c r="D58" s="647"/>
      <c r="E58" s="641"/>
      <c r="F58" s="638"/>
      <c r="G58" s="643"/>
      <c r="H58" s="647"/>
      <c r="I58" s="645"/>
      <c r="J58" s="641"/>
      <c r="K58" s="642"/>
      <c r="L58" s="643"/>
      <c r="M58" s="644"/>
      <c r="N58" s="641"/>
      <c r="O58" s="638"/>
      <c r="P58" s="646"/>
      <c r="Q58" s="647"/>
      <c r="R58" s="670"/>
      <c r="S58" s="638"/>
      <c r="T58" s="648"/>
      <c r="U58" s="649"/>
      <c r="V58" s="641"/>
      <c r="W58" s="638"/>
      <c r="X58" s="643"/>
      <c r="Y58" s="649"/>
      <c r="Z58" s="645"/>
      <c r="AA58" s="670"/>
      <c r="AB58" s="642"/>
      <c r="AC58" s="643"/>
      <c r="AD58" s="644"/>
      <c r="AE58" s="670"/>
      <c r="AF58" s="638"/>
      <c r="AG58" s="646"/>
      <c r="AH58" s="647"/>
      <c r="AI58" s="641"/>
      <c r="AJ58" s="638"/>
      <c r="AK58" s="648"/>
      <c r="AL58" s="647"/>
      <c r="AM58" s="641"/>
      <c r="AN58" s="638"/>
      <c r="AO58" s="643"/>
      <c r="AP58" s="647"/>
      <c r="AQ58" s="645"/>
      <c r="AR58" s="641"/>
      <c r="AS58" s="642"/>
      <c r="AT58" s="643"/>
      <c r="AU58" s="644"/>
      <c r="AV58" s="641"/>
      <c r="AW58" s="638"/>
      <c r="AX58" s="646"/>
      <c r="AY58" s="647"/>
    </row>
    <row r="59" spans="1:51">
      <c r="A59" s="641"/>
      <c r="B59" s="638"/>
      <c r="C59" s="648"/>
      <c r="D59" s="647"/>
      <c r="E59" s="641"/>
      <c r="F59" s="642"/>
      <c r="G59" s="643"/>
      <c r="H59" s="649"/>
      <c r="I59" s="645"/>
      <c r="J59" s="641"/>
      <c r="K59" s="638"/>
      <c r="L59" s="643"/>
      <c r="M59" s="644"/>
      <c r="N59" s="641"/>
      <c r="O59" s="638"/>
      <c r="P59" s="646"/>
      <c r="Q59" s="647"/>
      <c r="R59" s="670"/>
      <c r="S59" s="638"/>
      <c r="T59" s="648"/>
      <c r="U59" s="649"/>
      <c r="V59" s="641"/>
      <c r="W59" s="642"/>
      <c r="X59" s="643"/>
      <c r="Y59" s="649"/>
      <c r="Z59" s="645"/>
      <c r="AA59" s="670"/>
      <c r="AB59" s="638"/>
      <c r="AC59" s="643"/>
      <c r="AD59" s="656"/>
      <c r="AE59" s="670"/>
      <c r="AF59" s="638"/>
      <c r="AG59" s="646"/>
      <c r="AH59" s="647"/>
      <c r="AI59" s="641"/>
      <c r="AJ59" s="638"/>
      <c r="AK59" s="648"/>
      <c r="AL59" s="647"/>
      <c r="AM59" s="641"/>
      <c r="AN59" s="642"/>
      <c r="AO59" s="643"/>
      <c r="AP59" s="647"/>
      <c r="AQ59" s="645"/>
      <c r="AR59" s="641"/>
      <c r="AS59" s="638"/>
      <c r="AT59" s="643"/>
      <c r="AU59" s="644"/>
      <c r="AV59" s="641"/>
      <c r="AW59" s="638"/>
      <c r="AX59" s="646"/>
      <c r="AY59" s="647"/>
    </row>
    <row r="60" spans="1:51">
      <c r="A60" s="641"/>
      <c r="B60" s="642"/>
      <c r="C60" s="648"/>
      <c r="D60" s="647"/>
      <c r="E60" s="650"/>
      <c r="F60" s="638"/>
      <c r="G60" s="643"/>
      <c r="H60" s="644"/>
      <c r="I60" s="645"/>
      <c r="J60" s="641"/>
      <c r="K60" s="638"/>
      <c r="L60" s="646"/>
      <c r="M60" s="647"/>
      <c r="N60" s="641"/>
      <c r="O60" s="638"/>
      <c r="P60" s="646"/>
      <c r="Q60" s="647"/>
      <c r="R60" s="670"/>
      <c r="S60" s="642"/>
      <c r="T60" s="648"/>
      <c r="U60" s="647"/>
      <c r="V60" s="650"/>
      <c r="W60" s="638"/>
      <c r="X60" s="643"/>
      <c r="Y60" s="644"/>
      <c r="Z60" s="645"/>
      <c r="AA60" s="670"/>
      <c r="AB60" s="638"/>
      <c r="AC60" s="646"/>
      <c r="AD60" s="647"/>
      <c r="AE60" s="670"/>
      <c r="AF60" s="638"/>
      <c r="AG60" s="646"/>
      <c r="AH60" s="647"/>
      <c r="AI60" s="641"/>
      <c r="AJ60" s="642"/>
      <c r="AK60" s="648"/>
      <c r="AL60" s="647"/>
      <c r="AM60" s="650"/>
      <c r="AN60" s="638"/>
      <c r="AO60" s="643"/>
      <c r="AP60" s="644"/>
      <c r="AQ60" s="645"/>
      <c r="AR60" s="641"/>
      <c r="AS60" s="638"/>
      <c r="AT60" s="646"/>
      <c r="AU60" s="647"/>
      <c r="AV60" s="641"/>
      <c r="AW60" s="638"/>
      <c r="AX60" s="646"/>
      <c r="AY60" s="647"/>
    </row>
    <row r="61" spans="1:51">
      <c r="A61" s="641"/>
      <c r="B61" s="642"/>
      <c r="C61" s="648"/>
      <c r="D61" s="647"/>
      <c r="E61" s="641"/>
      <c r="F61" s="642"/>
      <c r="G61" s="643"/>
      <c r="H61" s="644"/>
      <c r="I61" s="645"/>
      <c r="J61" s="641"/>
      <c r="K61" s="638"/>
      <c r="L61" s="646"/>
      <c r="M61" s="651"/>
      <c r="N61" s="641"/>
      <c r="O61" s="638"/>
      <c r="P61" s="646"/>
      <c r="Q61" s="647"/>
      <c r="R61" s="670"/>
      <c r="S61" s="642"/>
      <c r="T61" s="648"/>
      <c r="U61" s="649"/>
      <c r="V61" s="641"/>
      <c r="W61" s="642"/>
      <c r="X61" s="643"/>
      <c r="Y61" s="644"/>
      <c r="Z61" s="645"/>
      <c r="AA61" s="670"/>
      <c r="AB61" s="638"/>
      <c r="AC61" s="646"/>
      <c r="AD61" s="651"/>
      <c r="AE61" s="670"/>
      <c r="AF61" s="638"/>
      <c r="AG61" s="646"/>
      <c r="AH61" s="647"/>
      <c r="AI61" s="641"/>
      <c r="AJ61" s="642"/>
      <c r="AK61" s="648"/>
      <c r="AL61" s="647"/>
      <c r="AM61" s="641"/>
      <c r="AN61" s="642"/>
      <c r="AO61" s="643"/>
      <c r="AP61" s="644"/>
      <c r="AQ61" s="645"/>
      <c r="AR61" s="641"/>
      <c r="AS61" s="638"/>
      <c r="AT61" s="646"/>
      <c r="AU61" s="651"/>
      <c r="AV61" s="641"/>
      <c r="AW61" s="638"/>
      <c r="AX61" s="646"/>
      <c r="AY61" s="647"/>
    </row>
    <row r="62" spans="1:51">
      <c r="A62" s="641"/>
      <c r="B62" s="642"/>
      <c r="C62" s="648"/>
      <c r="D62" s="644"/>
      <c r="E62" s="641"/>
      <c r="F62" s="638"/>
      <c r="G62" s="643"/>
      <c r="H62" s="644"/>
      <c r="I62" s="645"/>
      <c r="J62" s="641"/>
      <c r="K62" s="638"/>
      <c r="L62" s="643"/>
      <c r="M62" s="647"/>
      <c r="N62" s="641"/>
      <c r="O62" s="638"/>
      <c r="P62" s="646"/>
      <c r="Q62" s="647"/>
      <c r="R62" s="670"/>
      <c r="S62" s="642"/>
      <c r="T62" s="648"/>
      <c r="U62" s="656"/>
      <c r="V62" s="641"/>
      <c r="W62" s="638"/>
      <c r="X62" s="643"/>
      <c r="Y62" s="644"/>
      <c r="Z62" s="645"/>
      <c r="AA62" s="670"/>
      <c r="AB62" s="638"/>
      <c r="AC62" s="643"/>
      <c r="AD62" s="647"/>
      <c r="AE62" s="670"/>
      <c r="AF62" s="638"/>
      <c r="AG62" s="646"/>
      <c r="AH62" s="647"/>
      <c r="AI62" s="641"/>
      <c r="AJ62" s="642"/>
      <c r="AK62" s="648"/>
      <c r="AL62" s="656"/>
      <c r="AM62" s="641"/>
      <c r="AN62" s="638"/>
      <c r="AO62" s="643"/>
      <c r="AP62" s="644"/>
      <c r="AQ62" s="645"/>
      <c r="AR62" s="641"/>
      <c r="AS62" s="638"/>
      <c r="AT62" s="643"/>
      <c r="AU62" s="647"/>
      <c r="AV62" s="641"/>
      <c r="AW62" s="638"/>
      <c r="AX62" s="646"/>
      <c r="AY62" s="647"/>
    </row>
    <row r="63" spans="1:51">
      <c r="A63" s="641"/>
      <c r="B63" s="638"/>
      <c r="C63" s="648"/>
      <c r="D63" s="644"/>
      <c r="E63" s="641"/>
      <c r="F63" s="638"/>
      <c r="G63" s="643"/>
      <c r="H63" s="647"/>
      <c r="I63" s="645"/>
      <c r="J63" s="641"/>
      <c r="K63" s="638"/>
      <c r="L63" s="643"/>
      <c r="M63" s="647"/>
      <c r="N63" s="641"/>
      <c r="O63" s="638"/>
      <c r="P63" s="646"/>
      <c r="Q63" s="647"/>
      <c r="R63" s="670"/>
      <c r="S63" s="638"/>
      <c r="T63" s="648"/>
      <c r="U63" s="644"/>
      <c r="V63" s="641"/>
      <c r="W63" s="638"/>
      <c r="X63" s="643"/>
      <c r="Y63" s="647"/>
      <c r="Z63" s="645"/>
      <c r="AA63" s="670"/>
      <c r="AB63" s="638"/>
      <c r="AC63" s="643"/>
      <c r="AD63" s="647"/>
      <c r="AE63" s="670"/>
      <c r="AF63" s="638"/>
      <c r="AG63" s="646"/>
      <c r="AH63" s="647"/>
      <c r="AI63" s="641"/>
      <c r="AJ63" s="638"/>
      <c r="AK63" s="648"/>
      <c r="AL63" s="644"/>
      <c r="AM63" s="641"/>
      <c r="AN63" s="638"/>
      <c r="AO63" s="643"/>
      <c r="AP63" s="647"/>
      <c r="AQ63" s="645"/>
      <c r="AR63" s="641"/>
      <c r="AS63" s="638"/>
      <c r="AT63" s="643"/>
      <c r="AU63" s="647"/>
      <c r="AV63" s="641"/>
      <c r="AW63" s="638"/>
      <c r="AX63" s="646"/>
      <c r="AY63" s="647"/>
    </row>
    <row r="64" spans="1:51">
      <c r="A64" s="641"/>
      <c r="B64" s="638"/>
      <c r="C64" s="648"/>
      <c r="D64" s="649"/>
      <c r="E64" s="641"/>
      <c r="F64" s="638"/>
      <c r="G64" s="643"/>
      <c r="H64" s="647"/>
      <c r="I64" s="645"/>
      <c r="J64" s="641"/>
      <c r="K64" s="638"/>
      <c r="L64" s="643"/>
      <c r="M64" s="647"/>
      <c r="N64" s="641"/>
      <c r="O64" s="638"/>
      <c r="P64" s="646"/>
      <c r="Q64" s="647"/>
      <c r="R64" s="670"/>
      <c r="S64" s="638"/>
      <c r="T64" s="648"/>
      <c r="U64" s="647"/>
      <c r="V64" s="641"/>
      <c r="W64" s="638"/>
      <c r="X64" s="643"/>
      <c r="Y64" s="647"/>
      <c r="Z64" s="645"/>
      <c r="AA64" s="670"/>
      <c r="AB64" s="638"/>
      <c r="AC64" s="643"/>
      <c r="AD64" s="647"/>
      <c r="AE64" s="670"/>
      <c r="AF64" s="638"/>
      <c r="AG64" s="646"/>
      <c r="AH64" s="647"/>
      <c r="AI64" s="641"/>
      <c r="AJ64" s="638"/>
      <c r="AK64" s="648"/>
      <c r="AL64" s="647"/>
      <c r="AM64" s="641"/>
      <c r="AN64" s="638"/>
      <c r="AO64" s="643"/>
      <c r="AP64" s="647"/>
      <c r="AQ64" s="645"/>
      <c r="AR64" s="641"/>
      <c r="AS64" s="638"/>
      <c r="AT64" s="643"/>
      <c r="AU64" s="647"/>
      <c r="AV64" s="641"/>
      <c r="AW64" s="638"/>
      <c r="AX64" s="646"/>
      <c r="AY64" s="647"/>
    </row>
    <row r="65" spans="1:51">
      <c r="A65" s="641"/>
      <c r="B65" s="638"/>
      <c r="C65" s="648"/>
      <c r="D65" s="647"/>
      <c r="E65" s="641"/>
      <c r="F65" s="638"/>
      <c r="G65" s="643"/>
      <c r="H65" s="647"/>
      <c r="I65" s="645"/>
      <c r="J65" s="641"/>
      <c r="K65" s="638"/>
      <c r="L65" s="646"/>
      <c r="M65" s="647"/>
      <c r="N65" s="641"/>
      <c r="O65" s="638"/>
      <c r="P65" s="646"/>
      <c r="Q65" s="647"/>
      <c r="R65" s="670"/>
      <c r="S65" s="638"/>
      <c r="T65" s="648"/>
      <c r="U65" s="649"/>
      <c r="V65" s="641"/>
      <c r="W65" s="638"/>
      <c r="X65" s="643"/>
      <c r="Y65" s="647"/>
      <c r="Z65" s="645"/>
      <c r="AA65" s="670"/>
      <c r="AB65" s="638"/>
      <c r="AC65" s="646"/>
      <c r="AD65" s="649"/>
      <c r="AE65" s="670"/>
      <c r="AF65" s="638"/>
      <c r="AG65" s="646"/>
      <c r="AH65" s="647"/>
      <c r="AI65" s="641"/>
      <c r="AJ65" s="638"/>
      <c r="AK65" s="648"/>
      <c r="AL65" s="647"/>
      <c r="AM65" s="641"/>
      <c r="AN65" s="638"/>
      <c r="AO65" s="643"/>
      <c r="AP65" s="647"/>
      <c r="AQ65" s="645"/>
      <c r="AR65" s="641"/>
      <c r="AS65" s="638"/>
      <c r="AT65" s="646"/>
      <c r="AU65" s="649"/>
      <c r="AV65" s="641"/>
      <c r="AW65" s="638"/>
      <c r="AX65" s="646"/>
      <c r="AY65" s="647"/>
    </row>
    <row r="66" spans="1:51">
      <c r="A66" s="641"/>
      <c r="B66" s="638"/>
      <c r="C66" s="648"/>
      <c r="D66" s="647"/>
      <c r="E66" s="641"/>
      <c r="F66" s="638"/>
      <c r="G66" s="643"/>
      <c r="H66" s="647"/>
      <c r="I66" s="645"/>
      <c r="J66" s="641"/>
      <c r="K66" s="638"/>
      <c r="L66" s="643"/>
      <c r="M66" s="647"/>
      <c r="N66" s="641"/>
      <c r="O66" s="638"/>
      <c r="P66" s="646"/>
      <c r="Q66" s="647"/>
      <c r="R66" s="670"/>
      <c r="S66" s="638"/>
      <c r="T66" s="648"/>
      <c r="U66" s="647"/>
      <c r="V66" s="641"/>
      <c r="W66" s="638"/>
      <c r="X66" s="643"/>
      <c r="Y66" s="647"/>
      <c r="Z66" s="645"/>
      <c r="AA66" s="670"/>
      <c r="AB66" s="638"/>
      <c r="AC66" s="643"/>
      <c r="AD66" s="647"/>
      <c r="AE66" s="670"/>
      <c r="AF66" s="638"/>
      <c r="AG66" s="646"/>
      <c r="AH66" s="647"/>
      <c r="AI66" s="641"/>
      <c r="AJ66" s="638"/>
      <c r="AK66" s="648"/>
      <c r="AL66" s="647"/>
      <c r="AM66" s="641"/>
      <c r="AN66" s="638"/>
      <c r="AO66" s="643"/>
      <c r="AP66" s="647"/>
      <c r="AQ66" s="645"/>
      <c r="AR66" s="641"/>
      <c r="AS66" s="638"/>
      <c r="AT66" s="643"/>
      <c r="AU66" s="647"/>
      <c r="AV66" s="641"/>
      <c r="AW66" s="638"/>
      <c r="AX66" s="646"/>
      <c r="AY66" s="647"/>
    </row>
    <row r="67" spans="1:51">
      <c r="A67" s="641"/>
      <c r="B67" s="638"/>
      <c r="C67" s="648"/>
      <c r="D67" s="647"/>
      <c r="E67" s="641"/>
      <c r="F67" s="638"/>
      <c r="G67" s="643"/>
      <c r="H67" s="647"/>
      <c r="I67" s="645"/>
      <c r="J67" s="641"/>
      <c r="K67" s="638"/>
      <c r="L67" s="643"/>
      <c r="M67" s="647"/>
      <c r="N67" s="641"/>
      <c r="O67" s="638"/>
      <c r="P67" s="646"/>
      <c r="Q67" s="647"/>
      <c r="R67" s="670"/>
      <c r="S67" s="638"/>
      <c r="T67" s="648"/>
      <c r="U67" s="649"/>
      <c r="V67" s="641"/>
      <c r="W67" s="638"/>
      <c r="X67" s="643"/>
      <c r="Y67" s="649"/>
      <c r="Z67" s="645"/>
      <c r="AA67" s="670"/>
      <c r="AB67" s="638"/>
      <c r="AC67" s="643"/>
      <c r="AD67" s="647"/>
      <c r="AE67" s="670"/>
      <c r="AF67" s="638"/>
      <c r="AG67" s="646"/>
      <c r="AH67" s="649"/>
      <c r="AI67" s="641"/>
      <c r="AJ67" s="638"/>
      <c r="AK67" s="648"/>
      <c r="AL67" s="647"/>
      <c r="AM67" s="641"/>
      <c r="AN67" s="638"/>
      <c r="AO67" s="643"/>
      <c r="AP67" s="649"/>
      <c r="AQ67" s="645"/>
      <c r="AR67" s="641"/>
      <c r="AS67" s="638"/>
      <c r="AT67" s="643"/>
      <c r="AU67" s="647"/>
      <c r="AV67" s="641"/>
      <c r="AW67" s="638"/>
      <c r="AX67" s="646"/>
      <c r="AY67" s="647"/>
    </row>
    <row r="68" spans="1:51">
      <c r="A68" s="641"/>
      <c r="B68" s="638"/>
      <c r="C68" s="648"/>
      <c r="D68" s="647"/>
      <c r="E68" s="641"/>
      <c r="F68" s="638"/>
      <c r="G68" s="643"/>
      <c r="H68" s="647"/>
      <c r="I68" s="645"/>
      <c r="J68" s="641"/>
      <c r="K68" s="638"/>
      <c r="L68" s="643"/>
      <c r="M68" s="647"/>
      <c r="N68" s="641"/>
      <c r="O68" s="638"/>
      <c r="P68" s="646"/>
      <c r="Q68" s="651"/>
      <c r="R68" s="670"/>
      <c r="S68" s="638"/>
      <c r="T68" s="648"/>
      <c r="U68" s="649"/>
      <c r="V68" s="641"/>
      <c r="W68" s="638"/>
      <c r="X68" s="643"/>
      <c r="Y68" s="647"/>
      <c r="Z68" s="645"/>
      <c r="AA68" s="670"/>
      <c r="AB68" s="638"/>
      <c r="AC68" s="643"/>
      <c r="AD68" s="647"/>
      <c r="AE68" s="670"/>
      <c r="AF68" s="638"/>
      <c r="AG68" s="646"/>
      <c r="AH68" s="651"/>
      <c r="AI68" s="641"/>
      <c r="AJ68" s="638"/>
      <c r="AK68" s="648"/>
      <c r="AL68" s="647"/>
      <c r="AM68" s="641"/>
      <c r="AN68" s="638"/>
      <c r="AO68" s="643"/>
      <c r="AP68" s="647"/>
      <c r="AQ68" s="645"/>
      <c r="AR68" s="641"/>
      <c r="AS68" s="638"/>
      <c r="AT68" s="643"/>
      <c r="AU68" s="647"/>
      <c r="AV68" s="641"/>
      <c r="AW68" s="638"/>
      <c r="AX68" s="646"/>
      <c r="AY68" s="651"/>
    </row>
    <row r="69" spans="1:51">
      <c r="A69" s="641"/>
      <c r="B69" s="638"/>
      <c r="C69" s="648"/>
      <c r="D69" s="647"/>
      <c r="E69" s="641"/>
      <c r="F69" s="638"/>
      <c r="G69" s="643"/>
      <c r="H69" s="649"/>
      <c r="I69" s="645"/>
      <c r="J69" s="641"/>
      <c r="K69" s="638"/>
      <c r="L69" s="643"/>
      <c r="M69" s="647"/>
      <c r="N69" s="641"/>
      <c r="O69" s="638"/>
      <c r="P69" s="646"/>
      <c r="Q69" s="651"/>
      <c r="R69" s="670"/>
      <c r="S69" s="638"/>
      <c r="T69" s="648"/>
      <c r="U69" s="649"/>
      <c r="V69" s="641"/>
      <c r="W69" s="638"/>
      <c r="X69" s="643"/>
      <c r="Y69" s="647"/>
      <c r="Z69" s="645"/>
      <c r="AA69" s="670"/>
      <c r="AB69" s="638"/>
      <c r="AC69" s="643"/>
      <c r="AD69" s="647"/>
      <c r="AE69" s="670"/>
      <c r="AF69" s="638"/>
      <c r="AG69" s="646"/>
      <c r="AH69" s="651"/>
      <c r="AI69" s="641"/>
      <c r="AJ69" s="638"/>
      <c r="AK69" s="648"/>
      <c r="AL69" s="647"/>
      <c r="AM69" s="641"/>
      <c r="AN69" s="638"/>
      <c r="AO69" s="643"/>
      <c r="AP69" s="647"/>
      <c r="AQ69" s="645"/>
      <c r="AR69" s="641"/>
      <c r="AS69" s="638"/>
      <c r="AT69" s="643"/>
      <c r="AU69" s="647"/>
      <c r="AV69" s="641"/>
      <c r="AW69" s="638"/>
      <c r="AX69" s="646"/>
      <c r="AY69" s="651"/>
    </row>
    <row r="70" spans="1:51">
      <c r="A70" s="641"/>
      <c r="B70" s="638"/>
      <c r="C70" s="648"/>
      <c r="D70" s="647"/>
      <c r="E70" s="641"/>
      <c r="F70" s="638"/>
      <c r="G70" s="643"/>
      <c r="H70" s="647"/>
      <c r="I70" s="645"/>
      <c r="J70" s="641"/>
      <c r="K70" s="642"/>
      <c r="L70" s="643"/>
      <c r="M70" s="644"/>
      <c r="N70" s="641"/>
      <c r="O70" s="638"/>
      <c r="P70" s="646"/>
      <c r="Q70" s="651"/>
      <c r="R70" s="670"/>
      <c r="S70" s="638"/>
      <c r="T70" s="648"/>
      <c r="U70" s="647"/>
      <c r="V70" s="641"/>
      <c r="W70" s="638"/>
      <c r="X70" s="643"/>
      <c r="Y70" s="647"/>
      <c r="Z70" s="645"/>
      <c r="AA70" s="670"/>
      <c r="AB70" s="642"/>
      <c r="AC70" s="643"/>
      <c r="AD70" s="644"/>
      <c r="AE70" s="670"/>
      <c r="AF70" s="638"/>
      <c r="AG70" s="646"/>
      <c r="AH70" s="651"/>
      <c r="AI70" s="641"/>
      <c r="AJ70" s="638"/>
      <c r="AK70" s="648"/>
      <c r="AL70" s="647"/>
      <c r="AM70" s="641"/>
      <c r="AN70" s="638"/>
      <c r="AO70" s="643"/>
      <c r="AP70" s="647"/>
      <c r="AQ70" s="645"/>
      <c r="AR70" s="641"/>
      <c r="AS70" s="642"/>
      <c r="AT70" s="643"/>
      <c r="AU70" s="644"/>
      <c r="AV70" s="641"/>
      <c r="AW70" s="638"/>
      <c r="AX70" s="646"/>
      <c r="AY70" s="651"/>
    </row>
    <row r="71" spans="1:51">
      <c r="A71" s="641"/>
      <c r="B71" s="638"/>
      <c r="C71" s="648"/>
      <c r="D71" s="647"/>
      <c r="E71" s="641"/>
      <c r="F71" s="638"/>
      <c r="G71" s="643"/>
      <c r="H71" s="647"/>
      <c r="I71" s="645"/>
      <c r="J71" s="641"/>
      <c r="K71" s="638"/>
      <c r="L71" s="643"/>
      <c r="M71" s="644"/>
      <c r="N71" s="641"/>
      <c r="O71" s="638"/>
      <c r="P71" s="646"/>
      <c r="Q71" s="647"/>
      <c r="R71" s="670"/>
      <c r="S71" s="638"/>
      <c r="T71" s="648"/>
      <c r="U71" s="649"/>
      <c r="V71" s="641"/>
      <c r="W71" s="638"/>
      <c r="X71" s="643"/>
      <c r="Y71" s="647"/>
      <c r="Z71" s="645"/>
      <c r="AA71" s="670"/>
      <c r="AB71" s="638"/>
      <c r="AC71" s="643"/>
      <c r="AD71" s="644"/>
      <c r="AE71" s="670"/>
      <c r="AF71" s="638"/>
      <c r="AG71" s="646"/>
      <c r="AH71" s="647"/>
      <c r="AI71" s="641"/>
      <c r="AJ71" s="638"/>
      <c r="AK71" s="648"/>
      <c r="AL71" s="647"/>
      <c r="AM71" s="641"/>
      <c r="AN71" s="638"/>
      <c r="AO71" s="643"/>
      <c r="AP71" s="647"/>
      <c r="AQ71" s="645"/>
      <c r="AR71" s="641"/>
      <c r="AS71" s="638"/>
      <c r="AT71" s="643"/>
      <c r="AU71" s="644"/>
      <c r="AV71" s="641"/>
      <c r="AW71" s="638"/>
      <c r="AX71" s="646"/>
      <c r="AY71" s="647"/>
    </row>
    <row r="72" spans="1:51">
      <c r="A72" s="641"/>
      <c r="B72" s="638"/>
      <c r="C72" s="648"/>
      <c r="D72" s="647"/>
      <c r="E72" s="641"/>
      <c r="F72" s="638"/>
      <c r="G72" s="643"/>
      <c r="H72" s="647"/>
      <c r="I72" s="645"/>
      <c r="J72" s="641"/>
      <c r="K72" s="638"/>
      <c r="L72" s="646"/>
      <c r="M72" s="647"/>
      <c r="N72" s="650"/>
      <c r="O72" s="638"/>
      <c r="P72" s="646"/>
      <c r="Q72" s="647"/>
      <c r="R72" s="670"/>
      <c r="S72" s="638"/>
      <c r="T72" s="648"/>
      <c r="U72" s="649"/>
      <c r="V72" s="641"/>
      <c r="W72" s="638"/>
      <c r="X72" s="643"/>
      <c r="Y72" s="647"/>
      <c r="Z72" s="645"/>
      <c r="AA72" s="670"/>
      <c r="AB72" s="638"/>
      <c r="AC72" s="646"/>
      <c r="AD72" s="647"/>
      <c r="AE72" s="670"/>
      <c r="AF72" s="638"/>
      <c r="AG72" s="646"/>
      <c r="AH72" s="647"/>
      <c r="AI72" s="641"/>
      <c r="AJ72" s="638"/>
      <c r="AK72" s="648"/>
      <c r="AL72" s="649"/>
      <c r="AM72" s="641"/>
      <c r="AN72" s="638"/>
      <c r="AO72" s="643"/>
      <c r="AP72" s="647"/>
      <c r="AQ72" s="645"/>
      <c r="AR72" s="641"/>
      <c r="AS72" s="638"/>
      <c r="AT72" s="646"/>
      <c r="AU72" s="647"/>
      <c r="AV72" s="650"/>
      <c r="AW72" s="638"/>
      <c r="AX72" s="646"/>
      <c r="AY72" s="647"/>
    </row>
    <row r="73" spans="1:51">
      <c r="A73" s="641"/>
      <c r="B73" s="638"/>
      <c r="C73" s="648"/>
      <c r="D73" s="647"/>
      <c r="E73" s="641"/>
      <c r="F73" s="638"/>
      <c r="G73" s="643"/>
      <c r="H73" s="647"/>
      <c r="I73" s="645"/>
      <c r="J73" s="641"/>
      <c r="K73" s="638"/>
      <c r="L73" s="646"/>
      <c r="M73" s="647"/>
      <c r="N73" s="641"/>
      <c r="O73" s="638"/>
      <c r="P73" s="646"/>
      <c r="Q73" s="647"/>
      <c r="R73" s="670"/>
      <c r="S73" s="638"/>
      <c r="T73" s="648"/>
      <c r="U73" s="649"/>
      <c r="V73" s="641"/>
      <c r="W73" s="638"/>
      <c r="X73" s="643"/>
      <c r="Y73" s="647"/>
      <c r="Z73" s="645"/>
      <c r="AA73" s="670"/>
      <c r="AB73" s="638"/>
      <c r="AC73" s="646"/>
      <c r="AD73" s="647"/>
      <c r="AE73" s="670"/>
      <c r="AF73" s="638"/>
      <c r="AG73" s="646"/>
      <c r="AH73" s="647"/>
      <c r="AI73" s="641"/>
      <c r="AJ73" s="638"/>
      <c r="AK73" s="648"/>
      <c r="AL73" s="647"/>
      <c r="AM73" s="641"/>
      <c r="AN73" s="638"/>
      <c r="AO73" s="643"/>
      <c r="AP73" s="647"/>
      <c r="AQ73" s="645"/>
      <c r="AR73" s="641"/>
      <c r="AS73" s="638"/>
      <c r="AT73" s="646"/>
      <c r="AU73" s="647"/>
      <c r="AV73" s="641"/>
      <c r="AW73" s="638"/>
      <c r="AX73" s="646"/>
      <c r="AY73" s="647"/>
    </row>
    <row r="74" spans="1:51">
      <c r="A74" s="641"/>
      <c r="B74" s="638"/>
      <c r="C74" s="648"/>
      <c r="D74" s="649"/>
      <c r="E74" s="641"/>
      <c r="F74" s="642"/>
      <c r="G74" s="643"/>
      <c r="H74" s="647"/>
      <c r="I74" s="645"/>
      <c r="J74" s="641"/>
      <c r="K74" s="638"/>
      <c r="L74" s="643"/>
      <c r="M74" s="647"/>
      <c r="N74" s="641"/>
      <c r="O74" s="638"/>
      <c r="P74" s="646"/>
      <c r="Q74" s="647"/>
      <c r="R74" s="670"/>
      <c r="S74" s="638"/>
      <c r="T74" s="648"/>
      <c r="U74" s="647"/>
      <c r="V74" s="641"/>
      <c r="W74" s="642"/>
      <c r="X74" s="643"/>
      <c r="Y74" s="647"/>
      <c r="Z74" s="645"/>
      <c r="AA74" s="670"/>
      <c r="AB74" s="638"/>
      <c r="AC74" s="643"/>
      <c r="AD74" s="647"/>
      <c r="AE74" s="670"/>
      <c r="AF74" s="638"/>
      <c r="AG74" s="646"/>
      <c r="AH74" s="647"/>
      <c r="AI74" s="641"/>
      <c r="AJ74" s="638"/>
      <c r="AK74" s="648"/>
      <c r="AL74" s="647"/>
      <c r="AM74" s="641"/>
      <c r="AN74" s="642"/>
      <c r="AO74" s="643"/>
      <c r="AP74" s="647"/>
      <c r="AQ74" s="645"/>
      <c r="AR74" s="641"/>
      <c r="AS74" s="638"/>
      <c r="AT74" s="643"/>
      <c r="AU74" s="647"/>
      <c r="AV74" s="641"/>
      <c r="AW74" s="638"/>
      <c r="AX74" s="646"/>
      <c r="AY74" s="647"/>
    </row>
    <row r="75" spans="1:51">
      <c r="A75" s="641"/>
      <c r="B75" s="642"/>
      <c r="C75" s="648"/>
      <c r="D75" s="647"/>
      <c r="E75" s="641"/>
      <c r="F75" s="638"/>
      <c r="G75" s="643"/>
      <c r="H75" s="647"/>
      <c r="I75" s="645"/>
      <c r="J75" s="641"/>
      <c r="K75" s="638"/>
      <c r="L75" s="643"/>
      <c r="M75" s="647"/>
      <c r="N75" s="641"/>
      <c r="O75" s="638"/>
      <c r="P75" s="646"/>
      <c r="Q75" s="647"/>
      <c r="R75" s="670"/>
      <c r="S75" s="642"/>
      <c r="T75" s="648"/>
      <c r="U75" s="649"/>
      <c r="V75" s="641"/>
      <c r="W75" s="638"/>
      <c r="X75" s="643"/>
      <c r="Y75" s="649"/>
      <c r="Z75" s="645"/>
      <c r="AA75" s="670"/>
      <c r="AB75" s="638"/>
      <c r="AC75" s="643"/>
      <c r="AD75" s="649"/>
      <c r="AE75" s="670"/>
      <c r="AF75" s="638"/>
      <c r="AG75" s="646"/>
      <c r="AH75" s="649"/>
      <c r="AI75" s="641"/>
      <c r="AJ75" s="642"/>
      <c r="AK75" s="648"/>
      <c r="AL75" s="647"/>
      <c r="AM75" s="641"/>
      <c r="AN75" s="638"/>
      <c r="AO75" s="643"/>
      <c r="AP75" s="649"/>
      <c r="AQ75" s="645"/>
      <c r="AR75" s="641"/>
      <c r="AS75" s="638"/>
      <c r="AT75" s="643"/>
      <c r="AU75" s="649"/>
      <c r="AV75" s="641"/>
      <c r="AW75" s="638"/>
      <c r="AX75" s="646"/>
      <c r="AY75" s="647"/>
    </row>
    <row r="76" spans="1:51">
      <c r="A76" s="641"/>
      <c r="B76" s="638"/>
      <c r="C76" s="648"/>
      <c r="D76" s="647"/>
      <c r="E76" s="641"/>
      <c r="F76" s="638"/>
      <c r="G76" s="643"/>
      <c r="H76" s="647"/>
      <c r="I76" s="645"/>
      <c r="J76" s="641"/>
      <c r="K76" s="638"/>
      <c r="L76" s="643"/>
      <c r="M76" s="647"/>
      <c r="N76" s="641"/>
      <c r="O76" s="638"/>
      <c r="P76" s="646"/>
      <c r="Q76" s="647"/>
      <c r="R76" s="670"/>
      <c r="S76" s="638"/>
      <c r="T76" s="648"/>
      <c r="U76" s="649"/>
      <c r="V76" s="641"/>
      <c r="W76" s="638"/>
      <c r="X76" s="643"/>
      <c r="Y76" s="647"/>
      <c r="Z76" s="645"/>
      <c r="AA76" s="670"/>
      <c r="AB76" s="638"/>
      <c r="AC76" s="643"/>
      <c r="AD76" s="647"/>
      <c r="AE76" s="670"/>
      <c r="AF76" s="638"/>
      <c r="AG76" s="646"/>
      <c r="AH76" s="647"/>
      <c r="AI76" s="641"/>
      <c r="AJ76" s="638"/>
      <c r="AK76" s="648"/>
      <c r="AL76" s="647"/>
      <c r="AM76" s="641"/>
      <c r="AN76" s="638"/>
      <c r="AO76" s="643"/>
      <c r="AP76" s="647"/>
      <c r="AQ76" s="645"/>
      <c r="AR76" s="641"/>
      <c r="AS76" s="638"/>
      <c r="AT76" s="643"/>
      <c r="AU76" s="647"/>
      <c r="AV76" s="641"/>
      <c r="AW76" s="638"/>
      <c r="AX76" s="646"/>
      <c r="AY76" s="647"/>
    </row>
    <row r="77" spans="1:51">
      <c r="A77" s="641"/>
      <c r="B77" s="642"/>
      <c r="C77" s="648"/>
      <c r="D77" s="644"/>
      <c r="E77" s="641"/>
      <c r="F77" s="638"/>
      <c r="G77" s="643"/>
      <c r="H77" s="649"/>
      <c r="I77" s="645"/>
      <c r="J77" s="641"/>
      <c r="K77" s="638"/>
      <c r="L77" s="646"/>
      <c r="M77" s="647"/>
      <c r="N77" s="641"/>
      <c r="O77" s="638"/>
      <c r="P77" s="646"/>
      <c r="Q77" s="647"/>
      <c r="R77" s="670"/>
      <c r="S77" s="642"/>
      <c r="T77" s="648"/>
      <c r="U77" s="644"/>
      <c r="V77" s="641"/>
      <c r="W77" s="638"/>
      <c r="X77" s="643"/>
      <c r="Y77" s="647"/>
      <c r="Z77" s="645"/>
      <c r="AA77" s="670"/>
      <c r="AB77" s="638"/>
      <c r="AC77" s="646"/>
      <c r="AD77" s="647"/>
      <c r="AE77" s="670"/>
      <c r="AF77" s="638"/>
      <c r="AG77" s="646"/>
      <c r="AH77" s="647"/>
      <c r="AI77" s="641"/>
      <c r="AJ77" s="642"/>
      <c r="AK77" s="648"/>
      <c r="AL77" s="644"/>
      <c r="AM77" s="641"/>
      <c r="AN77" s="638"/>
      <c r="AO77" s="643"/>
      <c r="AP77" s="647"/>
      <c r="AQ77" s="645"/>
      <c r="AR77" s="641"/>
      <c r="AS77" s="638"/>
      <c r="AT77" s="646"/>
      <c r="AU77" s="647"/>
      <c r="AV77" s="641"/>
      <c r="AW77" s="638"/>
      <c r="AX77" s="646"/>
      <c r="AY77" s="647"/>
    </row>
    <row r="78" spans="1:51">
      <c r="A78" s="641"/>
      <c r="B78" s="638"/>
      <c r="C78" s="648"/>
      <c r="D78" s="644"/>
      <c r="E78" s="641"/>
      <c r="F78" s="638"/>
      <c r="G78" s="643"/>
      <c r="H78" s="647"/>
      <c r="I78" s="645"/>
      <c r="J78" s="641"/>
      <c r="K78" s="638"/>
      <c r="L78" s="643"/>
      <c r="M78" s="647"/>
      <c r="N78" s="641"/>
      <c r="O78" s="638"/>
      <c r="P78" s="646"/>
      <c r="Q78" s="647"/>
      <c r="R78" s="670"/>
      <c r="S78" s="638"/>
      <c r="T78" s="648"/>
      <c r="U78" s="644"/>
      <c r="V78" s="641"/>
      <c r="W78" s="638"/>
      <c r="X78" s="643"/>
      <c r="Y78" s="647"/>
      <c r="Z78" s="645"/>
      <c r="AA78" s="670"/>
      <c r="AB78" s="638"/>
      <c r="AC78" s="643"/>
      <c r="AD78" s="647"/>
      <c r="AE78" s="670"/>
      <c r="AF78" s="638"/>
      <c r="AG78" s="646"/>
      <c r="AH78" s="647"/>
      <c r="AI78" s="641"/>
      <c r="AJ78" s="638"/>
      <c r="AK78" s="648"/>
      <c r="AL78" s="644"/>
      <c r="AM78" s="641"/>
      <c r="AN78" s="638"/>
      <c r="AO78" s="643"/>
      <c r="AP78" s="647"/>
      <c r="AQ78" s="645"/>
      <c r="AR78" s="641"/>
      <c r="AS78" s="638"/>
      <c r="AT78" s="643"/>
      <c r="AU78" s="647"/>
      <c r="AV78" s="641"/>
      <c r="AW78" s="638"/>
      <c r="AX78" s="646"/>
      <c r="AY78" s="647"/>
    </row>
    <row r="79" spans="1:51">
      <c r="A79" s="641"/>
      <c r="B79" s="638"/>
      <c r="C79" s="648"/>
      <c r="D79" s="647"/>
      <c r="E79" s="641"/>
      <c r="F79" s="638"/>
      <c r="G79" s="643"/>
      <c r="H79" s="647"/>
      <c r="I79" s="645"/>
      <c r="J79" s="641"/>
      <c r="K79" s="638"/>
      <c r="L79" s="643"/>
      <c r="M79" s="647"/>
      <c r="N79" s="641"/>
      <c r="O79" s="638"/>
      <c r="P79" s="646"/>
      <c r="Q79" s="647"/>
      <c r="R79" s="670"/>
      <c r="S79" s="638"/>
      <c r="T79" s="648"/>
      <c r="U79" s="647"/>
      <c r="V79" s="641"/>
      <c r="W79" s="638"/>
      <c r="X79" s="643"/>
      <c r="Y79" s="647"/>
      <c r="Z79" s="645"/>
      <c r="AA79" s="670"/>
      <c r="AB79" s="638"/>
      <c r="AC79" s="643"/>
      <c r="AD79" s="647"/>
      <c r="AE79" s="670"/>
      <c r="AF79" s="638"/>
      <c r="AG79" s="646"/>
      <c r="AH79" s="647"/>
      <c r="AI79" s="641"/>
      <c r="AJ79" s="638"/>
      <c r="AK79" s="648"/>
      <c r="AL79" s="647"/>
      <c r="AM79" s="641"/>
      <c r="AN79" s="638"/>
      <c r="AO79" s="643"/>
      <c r="AP79" s="647"/>
      <c r="AQ79" s="645"/>
      <c r="AR79" s="641"/>
      <c r="AS79" s="638"/>
      <c r="AT79" s="643"/>
      <c r="AU79" s="647"/>
      <c r="AV79" s="641"/>
      <c r="AW79" s="638"/>
      <c r="AX79" s="646"/>
      <c r="AY79" s="647"/>
    </row>
    <row r="80" spans="1:51">
      <c r="A80" s="641"/>
      <c r="B80" s="638"/>
      <c r="C80" s="648"/>
      <c r="D80" s="647"/>
      <c r="E80" s="641"/>
      <c r="F80" s="638"/>
      <c r="G80" s="643"/>
      <c r="H80" s="647"/>
      <c r="I80" s="645"/>
      <c r="J80" s="641"/>
      <c r="K80" s="638"/>
      <c r="L80" s="643"/>
      <c r="M80" s="647"/>
      <c r="N80" s="641"/>
      <c r="O80" s="638"/>
      <c r="P80" s="646"/>
      <c r="Q80" s="647"/>
      <c r="R80" s="670"/>
      <c r="S80" s="638"/>
      <c r="T80" s="648"/>
      <c r="U80" s="649"/>
      <c r="V80" s="641"/>
      <c r="W80" s="638"/>
      <c r="X80" s="643"/>
      <c r="Y80" s="647"/>
      <c r="Z80" s="645"/>
      <c r="AA80" s="670"/>
      <c r="AB80" s="638"/>
      <c r="AC80" s="643"/>
      <c r="AD80" s="647"/>
      <c r="AE80" s="670"/>
      <c r="AF80" s="638"/>
      <c r="AG80" s="646"/>
      <c r="AH80" s="647"/>
      <c r="AI80" s="641"/>
      <c r="AJ80" s="638"/>
      <c r="AK80" s="648"/>
      <c r="AL80" s="649"/>
      <c r="AM80" s="641"/>
      <c r="AN80" s="638"/>
      <c r="AO80" s="643"/>
      <c r="AP80" s="647"/>
      <c r="AQ80" s="645"/>
      <c r="AR80" s="641"/>
      <c r="AS80" s="638"/>
      <c r="AT80" s="643"/>
      <c r="AU80" s="647"/>
      <c r="AV80" s="641"/>
      <c r="AW80" s="638"/>
      <c r="AX80" s="646"/>
      <c r="AY80" s="647"/>
    </row>
    <row r="81" spans="1:51">
      <c r="A81" s="641"/>
      <c r="B81" s="638"/>
      <c r="C81" s="648"/>
      <c r="D81" s="647"/>
      <c r="E81" s="641"/>
      <c r="F81" s="638"/>
      <c r="G81" s="646"/>
      <c r="H81" s="647"/>
      <c r="I81" s="645"/>
      <c r="J81" s="641"/>
      <c r="K81" s="638"/>
      <c r="L81" s="643"/>
      <c r="M81" s="647"/>
      <c r="N81" s="641"/>
      <c r="O81" s="638"/>
      <c r="P81" s="646"/>
      <c r="Q81" s="647"/>
      <c r="R81" s="670"/>
      <c r="S81" s="638"/>
      <c r="T81" s="648"/>
      <c r="U81" s="649"/>
      <c r="V81" s="641"/>
      <c r="W81" s="638"/>
      <c r="X81" s="646"/>
      <c r="Y81" s="647"/>
      <c r="Z81" s="645"/>
      <c r="AA81" s="670"/>
      <c r="AB81" s="638"/>
      <c r="AC81" s="643"/>
      <c r="AD81" s="647"/>
      <c r="AE81" s="670"/>
      <c r="AF81" s="638"/>
      <c r="AG81" s="646"/>
      <c r="AH81" s="647"/>
      <c r="AI81" s="641"/>
      <c r="AJ81" s="638"/>
      <c r="AK81" s="648"/>
      <c r="AL81" s="647"/>
      <c r="AM81" s="641"/>
      <c r="AN81" s="638"/>
      <c r="AO81" s="646"/>
      <c r="AP81" s="647"/>
      <c r="AQ81" s="645"/>
      <c r="AR81" s="641"/>
      <c r="AS81" s="638"/>
      <c r="AT81" s="643"/>
      <c r="AU81" s="647"/>
      <c r="AV81" s="641"/>
      <c r="AW81" s="638"/>
      <c r="AX81" s="646"/>
      <c r="AY81" s="647"/>
    </row>
    <row r="82" spans="1:51">
      <c r="A82" s="641"/>
      <c r="B82" s="638"/>
      <c r="C82" s="648"/>
      <c r="D82" s="647"/>
      <c r="E82" s="641"/>
      <c r="F82" s="638"/>
      <c r="G82" s="646"/>
      <c r="H82" s="647"/>
      <c r="I82" s="645"/>
      <c r="J82" s="641"/>
      <c r="K82" s="642"/>
      <c r="L82" s="643"/>
      <c r="M82" s="644"/>
      <c r="N82" s="641"/>
      <c r="O82" s="638"/>
      <c r="P82" s="646"/>
      <c r="Q82" s="647"/>
      <c r="R82" s="670"/>
      <c r="S82" s="638"/>
      <c r="T82" s="648"/>
      <c r="U82" s="647"/>
      <c r="V82" s="641"/>
      <c r="W82" s="638"/>
      <c r="X82" s="646"/>
      <c r="Y82" s="647"/>
      <c r="Z82" s="645"/>
      <c r="AA82" s="670"/>
      <c r="AB82" s="642"/>
      <c r="AC82" s="643"/>
      <c r="AD82" s="644"/>
      <c r="AE82" s="670"/>
      <c r="AF82" s="638"/>
      <c r="AG82" s="646"/>
      <c r="AH82" s="647"/>
      <c r="AI82" s="641"/>
      <c r="AJ82" s="638"/>
      <c r="AK82" s="648"/>
      <c r="AL82" s="647"/>
      <c r="AM82" s="641"/>
      <c r="AN82" s="638"/>
      <c r="AO82" s="646"/>
      <c r="AP82" s="647"/>
      <c r="AQ82" s="645"/>
      <c r="AR82" s="641"/>
      <c r="AS82" s="642"/>
      <c r="AT82" s="643"/>
      <c r="AU82" s="644"/>
      <c r="AV82" s="641"/>
      <c r="AW82" s="638"/>
      <c r="AX82" s="646"/>
      <c r="AY82" s="647"/>
    </row>
    <row r="83" spans="1:51">
      <c r="A83" s="641"/>
      <c r="B83" s="638"/>
      <c r="C83" s="648"/>
      <c r="D83" s="647"/>
      <c r="E83" s="641"/>
      <c r="F83" s="638"/>
      <c r="G83" s="646"/>
      <c r="H83" s="647"/>
      <c r="I83" s="645"/>
      <c r="J83" s="641"/>
      <c r="K83" s="638"/>
      <c r="L83" s="643"/>
      <c r="M83" s="644"/>
      <c r="N83" s="641"/>
      <c r="O83" s="638"/>
      <c r="P83" s="646"/>
      <c r="Q83" s="647"/>
      <c r="R83" s="670"/>
      <c r="S83" s="638"/>
      <c r="T83" s="648"/>
      <c r="U83" s="647"/>
      <c r="V83" s="641"/>
      <c r="W83" s="638"/>
      <c r="X83" s="646"/>
      <c r="Y83" s="649"/>
      <c r="Z83" s="645"/>
      <c r="AA83" s="670"/>
      <c r="AB83" s="638"/>
      <c r="AC83" s="643"/>
      <c r="AD83" s="644"/>
      <c r="AE83" s="670"/>
      <c r="AF83" s="638"/>
      <c r="AG83" s="646"/>
      <c r="AH83" s="649"/>
      <c r="AI83" s="641"/>
      <c r="AJ83" s="638"/>
      <c r="AK83" s="648"/>
      <c r="AL83" s="647"/>
      <c r="AM83" s="641"/>
      <c r="AN83" s="638"/>
      <c r="AO83" s="646"/>
      <c r="AP83" s="647"/>
      <c r="AQ83" s="645"/>
      <c r="AR83" s="641"/>
      <c r="AS83" s="638"/>
      <c r="AT83" s="643"/>
      <c r="AU83" s="644"/>
      <c r="AV83" s="641"/>
      <c r="AW83" s="638"/>
      <c r="AX83" s="646"/>
      <c r="AY83" s="647"/>
    </row>
    <row r="84" spans="1:51">
      <c r="A84" s="641"/>
      <c r="B84" s="638"/>
      <c r="C84" s="648"/>
      <c r="D84" s="649"/>
      <c r="E84" s="641"/>
      <c r="F84" s="638"/>
      <c r="G84" s="646"/>
      <c r="H84" s="647"/>
      <c r="I84" s="645"/>
      <c r="J84" s="641"/>
      <c r="K84" s="638"/>
      <c r="L84" s="646"/>
      <c r="M84" s="647"/>
      <c r="N84" s="641"/>
      <c r="O84" s="638"/>
      <c r="P84" s="646"/>
      <c r="Q84" s="647"/>
      <c r="R84" s="670"/>
      <c r="S84" s="638"/>
      <c r="T84" s="648"/>
      <c r="U84" s="649"/>
      <c r="V84" s="641"/>
      <c r="W84" s="638"/>
      <c r="X84" s="646"/>
      <c r="Y84" s="647"/>
      <c r="Z84" s="645"/>
      <c r="AA84" s="670"/>
      <c r="AB84" s="638"/>
      <c r="AC84" s="646"/>
      <c r="AD84" s="647"/>
      <c r="AE84" s="670"/>
      <c r="AF84" s="638"/>
      <c r="AG84" s="646"/>
      <c r="AH84" s="647"/>
      <c r="AI84" s="641"/>
      <c r="AJ84" s="638"/>
      <c r="AK84" s="648"/>
      <c r="AL84" s="647"/>
      <c r="AM84" s="641"/>
      <c r="AN84" s="638"/>
      <c r="AO84" s="646"/>
      <c r="AP84" s="647"/>
      <c r="AQ84" s="645"/>
      <c r="AR84" s="641"/>
      <c r="AS84" s="638"/>
      <c r="AT84" s="646"/>
      <c r="AU84" s="647"/>
      <c r="AV84" s="641"/>
      <c r="AW84" s="638"/>
      <c r="AX84" s="646"/>
      <c r="AY84" s="647"/>
    </row>
    <row r="85" spans="1:51">
      <c r="A85" s="641"/>
      <c r="B85" s="638"/>
      <c r="C85" s="648"/>
      <c r="D85" s="647"/>
      <c r="E85" s="641"/>
      <c r="F85" s="638"/>
      <c r="G85" s="646"/>
      <c r="H85" s="647"/>
      <c r="I85" s="645"/>
      <c r="J85" s="641"/>
      <c r="K85" s="638"/>
      <c r="L85" s="646"/>
      <c r="M85" s="647"/>
      <c r="N85" s="641"/>
      <c r="O85" s="638"/>
      <c r="P85" s="646"/>
      <c r="Q85" s="647"/>
      <c r="R85" s="670"/>
      <c r="S85" s="638"/>
      <c r="T85" s="648"/>
      <c r="U85" s="649"/>
      <c r="V85" s="641"/>
      <c r="W85" s="638"/>
      <c r="X85" s="646"/>
      <c r="Y85" s="649"/>
      <c r="Z85" s="645"/>
      <c r="AA85" s="670"/>
      <c r="AB85" s="638"/>
      <c r="AC85" s="646"/>
      <c r="AD85" s="647"/>
      <c r="AE85" s="670"/>
      <c r="AF85" s="638"/>
      <c r="AG85" s="646"/>
      <c r="AH85" s="647"/>
      <c r="AI85" s="641"/>
      <c r="AJ85" s="638"/>
      <c r="AK85" s="648"/>
      <c r="AL85" s="647"/>
      <c r="AM85" s="641"/>
      <c r="AN85" s="638"/>
      <c r="AO85" s="646"/>
      <c r="AP85" s="649"/>
      <c r="AQ85" s="645"/>
      <c r="AR85" s="641"/>
      <c r="AS85" s="638"/>
      <c r="AT85" s="646"/>
      <c r="AU85" s="647"/>
      <c r="AV85" s="641"/>
      <c r="AW85" s="638"/>
      <c r="AX85" s="646"/>
      <c r="AY85" s="647"/>
    </row>
    <row r="86" spans="1:51">
      <c r="A86" s="641"/>
      <c r="B86" s="638"/>
      <c r="C86" s="643"/>
      <c r="D86" s="647"/>
      <c r="E86" s="641"/>
      <c r="F86" s="638"/>
      <c r="G86" s="646"/>
      <c r="H86" s="647"/>
      <c r="I86" s="645"/>
      <c r="J86" s="641"/>
      <c r="K86" s="638"/>
      <c r="L86" s="646"/>
      <c r="M86" s="647"/>
      <c r="N86" s="641"/>
      <c r="O86" s="638"/>
      <c r="P86" s="646"/>
      <c r="Q86" s="647"/>
      <c r="R86" s="670"/>
      <c r="S86" s="638"/>
      <c r="T86" s="643"/>
      <c r="U86" s="647"/>
      <c r="V86" s="641"/>
      <c r="W86" s="638"/>
      <c r="X86" s="646"/>
      <c r="Y86" s="647"/>
      <c r="Z86" s="645"/>
      <c r="AA86" s="670"/>
      <c r="AB86" s="638"/>
      <c r="AC86" s="646"/>
      <c r="AD86" s="647"/>
      <c r="AE86" s="670"/>
      <c r="AF86" s="638"/>
      <c r="AG86" s="646"/>
      <c r="AH86" s="647"/>
      <c r="AI86" s="641"/>
      <c r="AJ86" s="638"/>
      <c r="AK86" s="643"/>
      <c r="AL86" s="647"/>
      <c r="AM86" s="641"/>
      <c r="AN86" s="638"/>
      <c r="AO86" s="646"/>
      <c r="AP86" s="647"/>
      <c r="AQ86" s="645"/>
      <c r="AR86" s="641"/>
      <c r="AS86" s="638"/>
      <c r="AT86" s="646"/>
      <c r="AU86" s="647"/>
      <c r="AV86" s="641"/>
      <c r="AW86" s="638"/>
      <c r="AX86" s="646"/>
      <c r="AY86" s="647"/>
    </row>
    <row r="87" spans="1:51">
      <c r="A87" s="641"/>
      <c r="B87" s="638"/>
      <c r="C87" s="646"/>
      <c r="D87" s="647"/>
      <c r="E87" s="641"/>
      <c r="F87" s="638"/>
      <c r="G87" s="646"/>
      <c r="H87" s="649"/>
      <c r="I87" s="645"/>
      <c r="J87" s="641"/>
      <c r="K87" s="638"/>
      <c r="L87" s="646"/>
      <c r="M87" s="647"/>
      <c r="N87" s="641"/>
      <c r="O87" s="638"/>
      <c r="P87" s="646"/>
      <c r="Q87" s="647"/>
      <c r="R87" s="670"/>
      <c r="S87" s="638"/>
      <c r="T87" s="646"/>
      <c r="U87" s="647"/>
      <c r="V87" s="641"/>
      <c r="W87" s="638"/>
      <c r="X87" s="646"/>
      <c r="Y87" s="647"/>
      <c r="Z87" s="645"/>
      <c r="AA87" s="670"/>
      <c r="AB87" s="638"/>
      <c r="AC87" s="646"/>
      <c r="AD87" s="647"/>
      <c r="AE87" s="670"/>
      <c r="AF87" s="638"/>
      <c r="AG87" s="646"/>
      <c r="AH87" s="647"/>
      <c r="AI87" s="641"/>
      <c r="AJ87" s="638"/>
      <c r="AK87" s="646"/>
      <c r="AL87" s="647"/>
      <c r="AM87" s="641"/>
      <c r="AN87" s="638"/>
      <c r="AO87" s="646"/>
      <c r="AP87" s="647"/>
      <c r="AQ87" s="645"/>
      <c r="AR87" s="641"/>
      <c r="AS87" s="638"/>
      <c r="AT87" s="646"/>
      <c r="AU87" s="647"/>
      <c r="AV87" s="641"/>
      <c r="AW87" s="638"/>
      <c r="AX87" s="646"/>
      <c r="AY87" s="647"/>
    </row>
    <row r="88" spans="1:51">
      <c r="A88" s="641"/>
      <c r="B88" s="638"/>
      <c r="C88" s="646"/>
      <c r="D88" s="647"/>
      <c r="E88" s="641"/>
      <c r="F88" s="638"/>
      <c r="G88" s="646"/>
      <c r="H88" s="647"/>
      <c r="I88" s="645"/>
      <c r="J88" s="641"/>
      <c r="K88" s="638"/>
      <c r="L88" s="646"/>
      <c r="M88" s="647"/>
      <c r="N88" s="641"/>
      <c r="O88" s="638"/>
      <c r="P88" s="646"/>
      <c r="Q88" s="647"/>
      <c r="R88" s="670"/>
      <c r="S88" s="638"/>
      <c r="T88" s="646"/>
      <c r="U88" s="647"/>
      <c r="V88" s="641"/>
      <c r="W88" s="638"/>
      <c r="X88" s="646"/>
      <c r="Y88" s="647"/>
      <c r="Z88" s="645"/>
      <c r="AA88" s="670"/>
      <c r="AB88" s="638"/>
      <c r="AC88" s="646"/>
      <c r="AD88" s="647"/>
      <c r="AE88" s="670"/>
      <c r="AF88" s="638"/>
      <c r="AG88" s="646"/>
      <c r="AH88" s="647"/>
      <c r="AI88" s="641"/>
      <c r="AJ88" s="638"/>
      <c r="AK88" s="646"/>
      <c r="AL88" s="647"/>
      <c r="AM88" s="641"/>
      <c r="AN88" s="638"/>
      <c r="AO88" s="646"/>
      <c r="AP88" s="647"/>
      <c r="AQ88" s="645"/>
      <c r="AR88" s="641"/>
      <c r="AS88" s="638"/>
      <c r="AT88" s="646"/>
      <c r="AU88" s="647"/>
      <c r="AV88" s="641"/>
      <c r="AW88" s="638"/>
      <c r="AX88" s="646"/>
      <c r="AY88" s="647"/>
    </row>
    <row r="89" spans="1:51">
      <c r="A89" s="641"/>
      <c r="B89" s="638"/>
      <c r="C89" s="646"/>
      <c r="D89" s="647"/>
      <c r="E89" s="641"/>
      <c r="F89" s="638"/>
      <c r="G89" s="646"/>
      <c r="H89" s="647"/>
      <c r="I89" s="645"/>
      <c r="J89" s="641"/>
      <c r="K89" s="638"/>
      <c r="L89" s="646"/>
      <c r="M89" s="651"/>
      <c r="N89" s="641"/>
      <c r="O89" s="638"/>
      <c r="P89" s="646"/>
      <c r="Q89" s="647"/>
      <c r="R89" s="670"/>
      <c r="S89" s="638"/>
      <c r="T89" s="646"/>
      <c r="U89" s="647"/>
      <c r="V89" s="641"/>
      <c r="W89" s="638"/>
      <c r="X89" s="646"/>
      <c r="Y89" s="647"/>
      <c r="Z89" s="645"/>
      <c r="AA89" s="670"/>
      <c r="AB89" s="638"/>
      <c r="AC89" s="646"/>
      <c r="AD89" s="651"/>
      <c r="AE89" s="670"/>
      <c r="AF89" s="638"/>
      <c r="AG89" s="646"/>
      <c r="AH89" s="647"/>
      <c r="AI89" s="641"/>
      <c r="AJ89" s="638"/>
      <c r="AK89" s="646"/>
      <c r="AL89" s="647"/>
      <c r="AM89" s="641"/>
      <c r="AN89" s="638"/>
      <c r="AO89" s="646"/>
      <c r="AP89" s="647"/>
      <c r="AQ89" s="645"/>
      <c r="AR89" s="641"/>
      <c r="AS89" s="638"/>
      <c r="AT89" s="646"/>
      <c r="AU89" s="651"/>
      <c r="AV89" s="641"/>
      <c r="AW89" s="638"/>
      <c r="AX89" s="646"/>
      <c r="AY89" s="647"/>
    </row>
    <row r="90" spans="1:51">
      <c r="A90" s="641"/>
      <c r="B90" s="642"/>
      <c r="C90" s="643"/>
      <c r="D90" s="647"/>
      <c r="E90" s="641"/>
      <c r="F90" s="638"/>
      <c r="G90" s="646"/>
      <c r="H90" s="647"/>
      <c r="I90" s="652"/>
      <c r="J90" s="641"/>
      <c r="K90" s="638"/>
      <c r="L90" s="646"/>
      <c r="M90" s="651"/>
      <c r="N90" s="641"/>
      <c r="O90" s="638"/>
      <c r="P90" s="646"/>
      <c r="Q90" s="647"/>
      <c r="R90" s="670"/>
      <c r="S90" s="642"/>
      <c r="T90" s="643"/>
      <c r="U90" s="647"/>
      <c r="V90" s="641"/>
      <c r="W90" s="638"/>
      <c r="X90" s="646"/>
      <c r="Y90" s="647"/>
      <c r="Z90" s="652"/>
      <c r="AA90" s="670"/>
      <c r="AB90" s="638"/>
      <c r="AC90" s="646"/>
      <c r="AD90" s="651"/>
      <c r="AE90" s="670"/>
      <c r="AF90" s="638"/>
      <c r="AG90" s="646"/>
      <c r="AH90" s="647"/>
      <c r="AI90" s="641"/>
      <c r="AJ90" s="642"/>
      <c r="AK90" s="643"/>
      <c r="AL90" s="647"/>
      <c r="AM90" s="641"/>
      <c r="AN90" s="638"/>
      <c r="AO90" s="646"/>
      <c r="AP90" s="647"/>
      <c r="AQ90" s="652"/>
      <c r="AR90" s="641"/>
      <c r="AS90" s="638"/>
      <c r="AT90" s="646"/>
      <c r="AU90" s="651"/>
      <c r="AV90" s="641"/>
      <c r="AW90" s="638"/>
      <c r="AX90" s="646"/>
      <c r="AY90" s="647"/>
    </row>
    <row r="91" spans="1:51">
      <c r="A91" s="641"/>
      <c r="B91" s="638"/>
      <c r="C91" s="646"/>
      <c r="D91" s="647"/>
      <c r="E91" s="641"/>
      <c r="F91" s="642"/>
      <c r="G91" s="643"/>
      <c r="H91" s="647"/>
      <c r="I91" s="652"/>
      <c r="J91" s="641"/>
      <c r="K91" s="638"/>
      <c r="L91" s="646"/>
      <c r="M91" s="651"/>
      <c r="N91" s="647"/>
      <c r="O91" s="642"/>
      <c r="P91" s="643"/>
      <c r="Q91" s="647"/>
      <c r="R91" s="670"/>
      <c r="S91" s="638"/>
      <c r="T91" s="646"/>
      <c r="U91" s="647"/>
      <c r="V91" s="641"/>
      <c r="W91" s="642"/>
      <c r="X91" s="643"/>
      <c r="Y91" s="647"/>
      <c r="Z91" s="652"/>
      <c r="AA91" s="670"/>
      <c r="AB91" s="638"/>
      <c r="AC91" s="646"/>
      <c r="AD91" s="651"/>
      <c r="AE91" s="670"/>
      <c r="AF91" s="642"/>
      <c r="AG91" s="643"/>
      <c r="AH91" s="647"/>
      <c r="AI91" s="641"/>
      <c r="AJ91" s="638"/>
      <c r="AK91" s="646"/>
      <c r="AL91" s="647"/>
      <c r="AM91" s="641"/>
      <c r="AN91" s="642"/>
      <c r="AO91" s="643"/>
      <c r="AP91" s="647"/>
      <c r="AQ91" s="652"/>
      <c r="AR91" s="641"/>
      <c r="AS91" s="638"/>
      <c r="AT91" s="646"/>
      <c r="AU91" s="651"/>
      <c r="AV91" s="647"/>
      <c r="AW91" s="642"/>
      <c r="AX91" s="643"/>
      <c r="AY91" s="647"/>
    </row>
    <row r="92" spans="1:51">
      <c r="A92" s="641"/>
      <c r="B92" s="638"/>
      <c r="C92" s="646"/>
      <c r="D92" s="647"/>
      <c r="E92" s="647"/>
      <c r="F92" s="642"/>
      <c r="G92" s="643"/>
      <c r="H92" s="647"/>
      <c r="I92" s="652"/>
      <c r="J92" s="647"/>
      <c r="K92" s="642"/>
      <c r="L92" s="643"/>
      <c r="M92" s="647"/>
      <c r="N92" s="647"/>
      <c r="O92" s="642"/>
      <c r="P92" s="643"/>
      <c r="Q92" s="647"/>
      <c r="R92" s="670"/>
      <c r="S92" s="638"/>
      <c r="T92" s="646"/>
      <c r="U92" s="647"/>
      <c r="V92" s="647"/>
      <c r="W92" s="642"/>
      <c r="X92" s="643"/>
      <c r="Y92" s="647"/>
      <c r="Z92" s="652"/>
      <c r="AA92" s="670"/>
      <c r="AB92" s="642"/>
      <c r="AC92" s="643"/>
      <c r="AD92" s="647"/>
      <c r="AE92" s="670"/>
      <c r="AF92" s="642"/>
      <c r="AG92" s="643"/>
      <c r="AH92" s="647"/>
      <c r="AI92" s="641"/>
      <c r="AJ92" s="638"/>
      <c r="AK92" s="646"/>
      <c r="AL92" s="647"/>
      <c r="AM92" s="647"/>
      <c r="AN92" s="642"/>
      <c r="AO92" s="643"/>
      <c r="AP92" s="647"/>
      <c r="AQ92" s="652"/>
      <c r="AR92" s="647"/>
      <c r="AS92" s="642"/>
      <c r="AT92" s="643"/>
      <c r="AU92" s="647"/>
      <c r="AV92" s="647"/>
      <c r="AW92" s="642"/>
      <c r="AX92" s="643"/>
      <c r="AY92" s="647"/>
    </row>
    <row r="93" spans="1:51">
      <c r="Q93" s="662"/>
      <c r="T93" s="662"/>
      <c r="AH93" s="662"/>
    </row>
  </sheetData>
  <mergeCells count="6">
    <mergeCell ref="A1:Q1"/>
    <mergeCell ref="A47:Q47"/>
    <mergeCell ref="R1:AH1"/>
    <mergeCell ref="R47:AH47"/>
    <mergeCell ref="AI1:AY1"/>
    <mergeCell ref="AI47:AY47"/>
  </mergeCells>
  <phoneticPr fontId="1" type="noConversion"/>
  <pageMargins left="0.39370078740157483" right="0" top="0.39370078740157483" bottom="0" header="0" footer="0"/>
  <pageSetup paperSize="8" scale="94" orientation="landscape" r:id="rId1"/>
  <headerFooter alignWithMargins="0"/>
  <rowBreaks count="1" manualBreakCount="1">
    <brk id="46" max="16"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4"/>
  <dimension ref="A1:H702"/>
  <sheetViews>
    <sheetView topLeftCell="A337" workbookViewId="0">
      <selection activeCell="A348" sqref="A1:A1048576"/>
    </sheetView>
  </sheetViews>
  <sheetFormatPr defaultRowHeight="16.5"/>
  <cols>
    <col min="1" max="1" width="10.5" bestFit="1" customWidth="1"/>
    <col min="2" max="2" width="19.125" customWidth="1"/>
    <col min="3" max="3" width="17.75" bestFit="1" customWidth="1"/>
    <col min="4" max="4" width="12.875" bestFit="1" customWidth="1"/>
    <col min="6" max="6" width="10.5" bestFit="1" customWidth="1"/>
  </cols>
  <sheetData>
    <row r="1" spans="1:6" ht="396">
      <c r="A1" s="594" t="s">
        <v>10241</v>
      </c>
      <c r="B1" t="s">
        <v>358</v>
      </c>
      <c r="C1" t="s">
        <v>358</v>
      </c>
      <c r="D1">
        <v>0</v>
      </c>
      <c r="F1">
        <v>44646</v>
      </c>
    </row>
    <row r="2" spans="1:6">
      <c r="A2" t="s">
        <v>8972</v>
      </c>
      <c r="B2" t="s">
        <v>358</v>
      </c>
      <c r="C2" t="s">
        <v>358</v>
      </c>
      <c r="D2">
        <v>0</v>
      </c>
    </row>
    <row r="3" spans="1:6">
      <c r="A3" t="s">
        <v>8973</v>
      </c>
      <c r="B3" t="s">
        <v>358</v>
      </c>
      <c r="C3" t="s">
        <v>358</v>
      </c>
      <c r="D3">
        <v>0</v>
      </c>
    </row>
    <row r="4" spans="1:6">
      <c r="A4" t="s">
        <v>8974</v>
      </c>
      <c r="B4" t="s">
        <v>358</v>
      </c>
      <c r="C4" t="s">
        <v>358</v>
      </c>
      <c r="D4">
        <v>0</v>
      </c>
    </row>
    <row r="5" spans="1:6">
      <c r="A5" t="s">
        <v>1990</v>
      </c>
      <c r="B5">
        <v>3</v>
      </c>
      <c r="C5">
        <v>1</v>
      </c>
      <c r="D5">
        <v>4</v>
      </c>
    </row>
    <row r="6" spans="1:6">
      <c r="A6" t="s">
        <v>8975</v>
      </c>
      <c r="B6">
        <v>3</v>
      </c>
      <c r="C6">
        <v>7</v>
      </c>
      <c r="D6">
        <v>10</v>
      </c>
    </row>
    <row r="7" spans="1:6">
      <c r="A7" t="s">
        <v>8976</v>
      </c>
      <c r="B7">
        <v>2</v>
      </c>
      <c r="C7">
        <v>6</v>
      </c>
      <c r="D7">
        <v>8</v>
      </c>
    </row>
    <row r="8" spans="1:6">
      <c r="A8" t="s">
        <v>8977</v>
      </c>
      <c r="B8" t="s">
        <v>358</v>
      </c>
      <c r="C8" t="s">
        <v>358</v>
      </c>
      <c r="D8">
        <v>0</v>
      </c>
    </row>
    <row r="9" spans="1:6">
      <c r="A9" t="s">
        <v>8978</v>
      </c>
      <c r="B9" t="s">
        <v>358</v>
      </c>
      <c r="C9" t="s">
        <v>358</v>
      </c>
      <c r="D9">
        <v>0</v>
      </c>
    </row>
    <row r="10" spans="1:6">
      <c r="A10" t="s">
        <v>1992</v>
      </c>
      <c r="B10" t="s">
        <v>358</v>
      </c>
      <c r="C10" t="s">
        <v>358</v>
      </c>
      <c r="D10">
        <v>0</v>
      </c>
    </row>
    <row r="11" spans="1:6">
      <c r="A11" t="s">
        <v>8979</v>
      </c>
      <c r="B11">
        <v>2</v>
      </c>
      <c r="C11">
        <v>4</v>
      </c>
      <c r="D11">
        <v>6</v>
      </c>
    </row>
    <row r="12" spans="1:6">
      <c r="A12" t="s">
        <v>8980</v>
      </c>
      <c r="B12">
        <v>1</v>
      </c>
      <c r="C12">
        <v>2</v>
      </c>
      <c r="D12">
        <v>3</v>
      </c>
    </row>
    <row r="13" spans="1:6">
      <c r="A13" t="s">
        <v>8981</v>
      </c>
      <c r="B13">
        <v>28</v>
      </c>
      <c r="C13">
        <v>5</v>
      </c>
      <c r="D13">
        <v>33</v>
      </c>
    </row>
    <row r="14" spans="1:6">
      <c r="A14" t="s">
        <v>1915</v>
      </c>
      <c r="B14">
        <v>0</v>
      </c>
      <c r="C14">
        <v>1</v>
      </c>
      <c r="D14">
        <v>1</v>
      </c>
    </row>
    <row r="15" spans="1:6">
      <c r="A15" t="s">
        <v>8982</v>
      </c>
      <c r="B15">
        <v>9</v>
      </c>
      <c r="C15">
        <v>5</v>
      </c>
      <c r="D15">
        <v>14</v>
      </c>
    </row>
    <row r="16" spans="1:6">
      <c r="A16" t="s">
        <v>8983</v>
      </c>
      <c r="B16">
        <v>7</v>
      </c>
      <c r="C16">
        <v>2</v>
      </c>
      <c r="D16">
        <v>9</v>
      </c>
    </row>
    <row r="17" spans="1:4">
      <c r="A17" t="s">
        <v>8984</v>
      </c>
      <c r="B17">
        <v>31</v>
      </c>
      <c r="C17">
        <v>6</v>
      </c>
      <c r="D17">
        <v>37</v>
      </c>
    </row>
    <row r="18" spans="1:4">
      <c r="A18" t="s">
        <v>8985</v>
      </c>
      <c r="B18">
        <v>1</v>
      </c>
      <c r="C18">
        <v>2</v>
      </c>
      <c r="D18">
        <v>3</v>
      </c>
    </row>
    <row r="19" spans="1:4">
      <c r="A19" t="s">
        <v>8986</v>
      </c>
      <c r="B19" t="s">
        <v>358</v>
      </c>
      <c r="C19" t="s">
        <v>358</v>
      </c>
      <c r="D19">
        <v>0</v>
      </c>
    </row>
    <row r="20" spans="1:4">
      <c r="A20" t="s">
        <v>8987</v>
      </c>
      <c r="B20" t="s">
        <v>358</v>
      </c>
      <c r="C20" t="s">
        <v>358</v>
      </c>
      <c r="D20">
        <v>0</v>
      </c>
    </row>
    <row r="21" spans="1:4">
      <c r="A21" t="s">
        <v>2750</v>
      </c>
      <c r="B21">
        <v>9</v>
      </c>
      <c r="C21">
        <v>11</v>
      </c>
      <c r="D21">
        <v>20</v>
      </c>
    </row>
    <row r="22" spans="1:4">
      <c r="A22" t="s">
        <v>8988</v>
      </c>
      <c r="B22">
        <v>53</v>
      </c>
      <c r="C22">
        <v>12</v>
      </c>
      <c r="D22">
        <v>65</v>
      </c>
    </row>
    <row r="23" spans="1:4">
      <c r="A23" t="s">
        <v>8989</v>
      </c>
      <c r="B23">
        <v>15</v>
      </c>
      <c r="C23">
        <v>9</v>
      </c>
      <c r="D23">
        <v>24</v>
      </c>
    </row>
    <row r="24" spans="1:4">
      <c r="A24" t="s">
        <v>8990</v>
      </c>
      <c r="B24">
        <v>15</v>
      </c>
      <c r="C24">
        <v>5</v>
      </c>
      <c r="D24">
        <v>20</v>
      </c>
    </row>
    <row r="25" spans="1:4">
      <c r="A25" t="s">
        <v>2751</v>
      </c>
      <c r="B25">
        <v>8</v>
      </c>
      <c r="C25">
        <v>11</v>
      </c>
      <c r="D25">
        <v>19</v>
      </c>
    </row>
    <row r="26" spans="1:4">
      <c r="A26" t="s">
        <v>2752</v>
      </c>
      <c r="B26">
        <v>8</v>
      </c>
      <c r="C26">
        <v>3</v>
      </c>
      <c r="D26">
        <v>11</v>
      </c>
    </row>
    <row r="27" spans="1:4">
      <c r="A27" t="s">
        <v>8991</v>
      </c>
      <c r="B27">
        <v>24</v>
      </c>
      <c r="C27">
        <v>15</v>
      </c>
      <c r="D27">
        <v>39</v>
      </c>
    </row>
    <row r="28" spans="1:4">
      <c r="A28" t="s">
        <v>8992</v>
      </c>
      <c r="B28">
        <v>6</v>
      </c>
      <c r="C28">
        <v>5</v>
      </c>
      <c r="D28">
        <v>11</v>
      </c>
    </row>
    <row r="29" spans="1:4">
      <c r="A29" t="s">
        <v>8993</v>
      </c>
      <c r="B29">
        <v>28</v>
      </c>
      <c r="C29">
        <v>15</v>
      </c>
      <c r="D29">
        <v>43</v>
      </c>
    </row>
    <row r="30" spans="1:4">
      <c r="A30" t="s">
        <v>8994</v>
      </c>
      <c r="B30" t="s">
        <v>358</v>
      </c>
      <c r="C30" t="s">
        <v>358</v>
      </c>
      <c r="D30">
        <v>0</v>
      </c>
    </row>
    <row r="31" spans="1:4">
      <c r="A31" t="s">
        <v>10140</v>
      </c>
      <c r="B31" t="s">
        <v>358</v>
      </c>
      <c r="C31" t="s">
        <v>358</v>
      </c>
      <c r="D31">
        <v>0</v>
      </c>
    </row>
    <row r="32" spans="1:4">
      <c r="A32" t="s">
        <v>2753</v>
      </c>
      <c r="B32">
        <v>862</v>
      </c>
      <c r="C32">
        <v>2</v>
      </c>
      <c r="D32">
        <v>864</v>
      </c>
    </row>
    <row r="33" spans="1:4">
      <c r="A33" t="s">
        <v>1921</v>
      </c>
      <c r="B33" t="s">
        <v>358</v>
      </c>
      <c r="C33" t="s">
        <v>358</v>
      </c>
      <c r="D33">
        <v>0</v>
      </c>
    </row>
    <row r="34" spans="1:4">
      <c r="A34" t="s">
        <v>2754</v>
      </c>
      <c r="B34">
        <v>2085</v>
      </c>
      <c r="C34">
        <v>1</v>
      </c>
      <c r="D34">
        <v>2086</v>
      </c>
    </row>
    <row r="35" spans="1:4">
      <c r="A35" t="s">
        <v>8995</v>
      </c>
      <c r="B35">
        <v>5904</v>
      </c>
      <c r="C35">
        <v>5</v>
      </c>
      <c r="D35">
        <v>5909</v>
      </c>
    </row>
    <row r="36" spans="1:4">
      <c r="A36" t="s">
        <v>8996</v>
      </c>
      <c r="B36">
        <v>1958</v>
      </c>
      <c r="C36">
        <v>3</v>
      </c>
      <c r="D36">
        <v>1961</v>
      </c>
    </row>
    <row r="37" spans="1:4">
      <c r="A37" t="s">
        <v>1923</v>
      </c>
      <c r="B37">
        <v>140</v>
      </c>
      <c r="C37" t="s">
        <v>358</v>
      </c>
      <c r="D37">
        <v>140</v>
      </c>
    </row>
    <row r="38" spans="1:4">
      <c r="A38" t="s">
        <v>2755</v>
      </c>
      <c r="B38">
        <v>4651</v>
      </c>
      <c r="C38">
        <v>4</v>
      </c>
      <c r="D38">
        <v>4655</v>
      </c>
    </row>
    <row r="39" spans="1:4">
      <c r="A39" t="s">
        <v>8997</v>
      </c>
      <c r="B39">
        <v>874</v>
      </c>
      <c r="C39">
        <v>8</v>
      </c>
      <c r="D39">
        <v>882</v>
      </c>
    </row>
    <row r="40" spans="1:4">
      <c r="A40" t="s">
        <v>1925</v>
      </c>
      <c r="B40">
        <v>3105</v>
      </c>
      <c r="C40">
        <v>1</v>
      </c>
      <c r="D40">
        <v>3106</v>
      </c>
    </row>
    <row r="41" spans="1:4">
      <c r="A41" t="s">
        <v>8998</v>
      </c>
      <c r="B41">
        <v>3495</v>
      </c>
      <c r="C41">
        <v>5</v>
      </c>
      <c r="D41">
        <v>3500</v>
      </c>
    </row>
    <row r="42" spans="1:4">
      <c r="A42" t="s">
        <v>2004</v>
      </c>
      <c r="B42">
        <v>1556</v>
      </c>
      <c r="C42">
        <v>1</v>
      </c>
      <c r="D42">
        <v>1557</v>
      </c>
    </row>
    <row r="43" spans="1:4">
      <c r="A43" t="s">
        <v>8999</v>
      </c>
      <c r="B43">
        <v>4887</v>
      </c>
      <c r="C43">
        <v>2</v>
      </c>
      <c r="D43">
        <v>4889</v>
      </c>
    </row>
    <row r="44" spans="1:4">
      <c r="A44" t="s">
        <v>2005</v>
      </c>
      <c r="B44">
        <v>2781</v>
      </c>
      <c r="C44">
        <v>1</v>
      </c>
      <c r="D44">
        <v>2782</v>
      </c>
    </row>
    <row r="45" spans="1:4">
      <c r="A45" t="s">
        <v>9000</v>
      </c>
      <c r="B45">
        <v>1172</v>
      </c>
      <c r="C45" t="s">
        <v>358</v>
      </c>
      <c r="D45">
        <v>1172</v>
      </c>
    </row>
    <row r="46" spans="1:4">
      <c r="A46" t="s">
        <v>9001</v>
      </c>
      <c r="B46">
        <v>3613</v>
      </c>
      <c r="C46">
        <v>12</v>
      </c>
      <c r="D46">
        <v>3625</v>
      </c>
    </row>
    <row r="47" spans="1:4">
      <c r="A47" t="s">
        <v>2006</v>
      </c>
      <c r="B47">
        <v>336</v>
      </c>
      <c r="C47">
        <v>3</v>
      </c>
      <c r="D47">
        <v>339</v>
      </c>
    </row>
    <row r="48" spans="1:4">
      <c r="A48" t="s">
        <v>9002</v>
      </c>
      <c r="B48">
        <v>4191</v>
      </c>
      <c r="C48">
        <v>1</v>
      </c>
      <c r="D48">
        <v>4192</v>
      </c>
    </row>
    <row r="49" spans="1:8">
      <c r="A49" t="s">
        <v>9003</v>
      </c>
      <c r="B49">
        <v>1800</v>
      </c>
      <c r="C49">
        <v>4</v>
      </c>
      <c r="D49">
        <v>1804</v>
      </c>
    </row>
    <row r="50" spans="1:8">
      <c r="A50" t="s">
        <v>9004</v>
      </c>
      <c r="B50">
        <v>729</v>
      </c>
      <c r="C50">
        <v>2</v>
      </c>
      <c r="D50">
        <v>731</v>
      </c>
    </row>
    <row r="51" spans="1:8">
      <c r="A51" t="s">
        <v>9005</v>
      </c>
      <c r="B51">
        <v>4266</v>
      </c>
      <c r="C51">
        <v>1</v>
      </c>
      <c r="D51">
        <v>4267</v>
      </c>
    </row>
    <row r="52" spans="1:8">
      <c r="A52" t="s">
        <v>9006</v>
      </c>
      <c r="B52">
        <v>2205</v>
      </c>
      <c r="C52">
        <v>4</v>
      </c>
      <c r="D52">
        <v>2209</v>
      </c>
    </row>
    <row r="53" spans="1:8">
      <c r="A53" t="s">
        <v>9007</v>
      </c>
      <c r="B53">
        <v>3042</v>
      </c>
      <c r="C53">
        <v>4</v>
      </c>
      <c r="D53">
        <v>3046</v>
      </c>
    </row>
    <row r="54" spans="1:8">
      <c r="A54" t="s">
        <v>2008</v>
      </c>
      <c r="B54" t="s">
        <v>358</v>
      </c>
      <c r="C54" t="s">
        <v>358</v>
      </c>
      <c r="D54">
        <v>0</v>
      </c>
    </row>
    <row r="55" spans="1:8">
      <c r="A55" t="s">
        <v>9008</v>
      </c>
      <c r="B55">
        <v>2180</v>
      </c>
      <c r="C55">
        <v>6</v>
      </c>
      <c r="D55">
        <v>2186</v>
      </c>
    </row>
    <row r="56" spans="1:8">
      <c r="A56" t="s">
        <v>9009</v>
      </c>
      <c r="B56">
        <v>4526</v>
      </c>
      <c r="C56">
        <v>7</v>
      </c>
      <c r="D56">
        <v>4533</v>
      </c>
    </row>
    <row r="57" spans="1:8">
      <c r="A57" t="s">
        <v>2011</v>
      </c>
      <c r="B57" s="637">
        <v>381</v>
      </c>
      <c r="C57" t="s">
        <v>358</v>
      </c>
      <c r="D57" s="637">
        <v>381</v>
      </c>
      <c r="E57" s="637"/>
      <c r="G57" s="637"/>
      <c r="H57" s="637"/>
    </row>
    <row r="58" spans="1:8">
      <c r="A58" t="s">
        <v>9010</v>
      </c>
      <c r="B58" s="637">
        <v>1557</v>
      </c>
      <c r="C58">
        <v>2</v>
      </c>
      <c r="D58" s="637">
        <v>1559</v>
      </c>
      <c r="E58" s="637"/>
      <c r="G58" s="637"/>
      <c r="H58" s="637"/>
    </row>
    <row r="59" spans="1:8">
      <c r="A59" t="s">
        <v>9011</v>
      </c>
      <c r="B59" s="637">
        <v>4854</v>
      </c>
      <c r="C59">
        <v>1</v>
      </c>
      <c r="D59" s="637">
        <v>4855</v>
      </c>
      <c r="E59" s="637"/>
      <c r="G59" s="637"/>
      <c r="H59" s="637"/>
    </row>
    <row r="60" spans="1:8">
      <c r="A60" t="s">
        <v>9012</v>
      </c>
      <c r="B60" s="637">
        <v>693</v>
      </c>
      <c r="C60">
        <v>6</v>
      </c>
      <c r="D60" s="637">
        <v>699</v>
      </c>
      <c r="E60" s="637"/>
      <c r="G60" s="637"/>
      <c r="H60" s="637"/>
    </row>
    <row r="61" spans="1:8">
      <c r="A61" t="s">
        <v>9013</v>
      </c>
      <c r="B61" s="637">
        <v>834</v>
      </c>
      <c r="C61">
        <v>2</v>
      </c>
      <c r="D61" s="637">
        <v>836</v>
      </c>
      <c r="E61" s="637"/>
      <c r="G61" s="637"/>
      <c r="H61" s="637"/>
    </row>
    <row r="62" spans="1:8">
      <c r="A62" t="s">
        <v>2756</v>
      </c>
      <c r="B62" s="637">
        <v>3</v>
      </c>
      <c r="C62">
        <v>8</v>
      </c>
      <c r="D62" s="637">
        <v>11</v>
      </c>
      <c r="E62" s="637"/>
      <c r="G62" s="637"/>
      <c r="H62" s="637"/>
    </row>
    <row r="63" spans="1:8">
      <c r="A63" t="s">
        <v>9014</v>
      </c>
      <c r="B63" s="637">
        <v>25</v>
      </c>
      <c r="C63">
        <v>17</v>
      </c>
      <c r="D63" s="637">
        <v>42</v>
      </c>
      <c r="E63" s="637"/>
      <c r="G63" s="637"/>
      <c r="H63" s="637"/>
    </row>
    <row r="64" spans="1:8">
      <c r="A64" t="s">
        <v>9015</v>
      </c>
      <c r="B64" s="637">
        <v>30</v>
      </c>
      <c r="C64">
        <v>21</v>
      </c>
      <c r="D64" s="637">
        <v>51</v>
      </c>
      <c r="E64" s="637"/>
      <c r="G64" s="637"/>
      <c r="H64" s="637"/>
    </row>
    <row r="65" spans="1:8">
      <c r="A65" t="s">
        <v>9016</v>
      </c>
      <c r="B65" s="637">
        <v>7</v>
      </c>
      <c r="C65">
        <v>5</v>
      </c>
      <c r="D65" s="637">
        <v>12</v>
      </c>
      <c r="E65" s="637"/>
      <c r="G65" s="637"/>
      <c r="H65" s="637"/>
    </row>
    <row r="66" spans="1:8">
      <c r="A66" t="s">
        <v>9017</v>
      </c>
      <c r="B66" s="637">
        <v>4</v>
      </c>
      <c r="C66">
        <v>1</v>
      </c>
      <c r="D66" s="637">
        <v>5</v>
      </c>
      <c r="E66" s="637"/>
      <c r="G66" s="637"/>
      <c r="H66" s="637"/>
    </row>
    <row r="67" spans="1:8">
      <c r="A67" t="s">
        <v>9018</v>
      </c>
      <c r="B67" s="637">
        <v>7</v>
      </c>
      <c r="C67">
        <v>7</v>
      </c>
      <c r="D67" s="637">
        <v>14</v>
      </c>
      <c r="E67" s="637"/>
      <c r="G67" s="637"/>
      <c r="H67" s="637"/>
    </row>
    <row r="68" spans="1:8">
      <c r="A68" t="s">
        <v>9019</v>
      </c>
      <c r="B68" s="637">
        <v>1</v>
      </c>
      <c r="C68">
        <v>11</v>
      </c>
      <c r="D68" s="637">
        <v>12</v>
      </c>
      <c r="E68" s="637"/>
      <c r="G68" s="637"/>
      <c r="H68" s="637"/>
    </row>
    <row r="69" spans="1:8">
      <c r="A69" t="s">
        <v>9020</v>
      </c>
      <c r="B69" s="637">
        <v>6</v>
      </c>
      <c r="C69">
        <v>11</v>
      </c>
      <c r="D69" s="637">
        <v>17</v>
      </c>
      <c r="E69" s="637"/>
      <c r="G69" s="637"/>
      <c r="H69" s="637"/>
    </row>
    <row r="70" spans="1:8">
      <c r="A70" t="s">
        <v>2757</v>
      </c>
      <c r="B70" s="637" t="s">
        <v>358</v>
      </c>
      <c r="C70">
        <v>1</v>
      </c>
      <c r="D70" s="637">
        <v>1</v>
      </c>
      <c r="E70" s="637"/>
      <c r="G70" s="637"/>
      <c r="H70" s="637"/>
    </row>
    <row r="71" spans="1:8">
      <c r="A71" t="s">
        <v>9021</v>
      </c>
      <c r="B71" s="637" t="s">
        <v>358</v>
      </c>
      <c r="C71">
        <v>1</v>
      </c>
      <c r="D71" s="637">
        <v>1</v>
      </c>
      <c r="E71" s="637"/>
      <c r="G71" s="637"/>
      <c r="H71" s="637"/>
    </row>
    <row r="72" spans="1:8">
      <c r="A72" t="s">
        <v>9022</v>
      </c>
      <c r="B72" s="637">
        <v>4</v>
      </c>
      <c r="C72">
        <v>6</v>
      </c>
      <c r="D72" s="637">
        <v>10</v>
      </c>
      <c r="E72" s="637"/>
      <c r="G72" s="637"/>
      <c r="H72" s="637"/>
    </row>
    <row r="73" spans="1:8">
      <c r="A73" t="s">
        <v>9023</v>
      </c>
      <c r="B73" s="637">
        <v>12</v>
      </c>
      <c r="C73">
        <v>7</v>
      </c>
      <c r="D73" s="637">
        <v>19</v>
      </c>
      <c r="E73" s="637"/>
      <c r="G73" s="637"/>
      <c r="H73" s="637"/>
    </row>
    <row r="74" spans="1:8">
      <c r="A74" t="s">
        <v>9024</v>
      </c>
      <c r="B74" s="637">
        <v>0</v>
      </c>
      <c r="C74">
        <v>2</v>
      </c>
      <c r="D74" s="637">
        <v>2</v>
      </c>
      <c r="E74" s="637"/>
      <c r="G74" s="637"/>
      <c r="H74" s="637"/>
    </row>
    <row r="75" spans="1:8">
      <c r="A75" t="s">
        <v>9025</v>
      </c>
      <c r="B75" s="637">
        <v>17</v>
      </c>
      <c r="C75">
        <v>3</v>
      </c>
      <c r="D75" s="637">
        <v>20</v>
      </c>
      <c r="E75" s="637"/>
      <c r="G75" s="637"/>
      <c r="H75" s="637"/>
    </row>
    <row r="76" spans="1:8">
      <c r="A76" t="s">
        <v>9026</v>
      </c>
      <c r="B76" s="637">
        <v>0</v>
      </c>
      <c r="C76">
        <v>2</v>
      </c>
      <c r="D76" s="637">
        <v>2</v>
      </c>
      <c r="E76" s="637"/>
      <c r="G76" s="637"/>
      <c r="H76" s="637"/>
    </row>
    <row r="77" spans="1:8">
      <c r="A77" t="s">
        <v>9027</v>
      </c>
      <c r="B77" s="637">
        <v>5</v>
      </c>
      <c r="C77">
        <v>2</v>
      </c>
      <c r="D77" s="637">
        <v>7</v>
      </c>
      <c r="E77" s="637"/>
      <c r="G77" s="637"/>
      <c r="H77" s="637"/>
    </row>
    <row r="78" spans="1:8">
      <c r="A78" t="s">
        <v>2758</v>
      </c>
      <c r="B78" s="637">
        <v>505</v>
      </c>
      <c r="C78">
        <v>1</v>
      </c>
      <c r="D78" s="637">
        <v>506</v>
      </c>
      <c r="E78" s="637"/>
      <c r="G78" s="637"/>
      <c r="H78" s="637"/>
    </row>
    <row r="79" spans="1:8">
      <c r="A79" t="s">
        <v>9028</v>
      </c>
      <c r="B79" s="637">
        <v>369</v>
      </c>
      <c r="C79">
        <v>5</v>
      </c>
      <c r="D79" s="637">
        <v>374</v>
      </c>
      <c r="E79" s="637"/>
      <c r="G79" s="637"/>
      <c r="H79" s="637"/>
    </row>
    <row r="80" spans="1:8">
      <c r="A80" t="s">
        <v>91</v>
      </c>
      <c r="B80" s="637">
        <v>1676</v>
      </c>
      <c r="C80">
        <v>1</v>
      </c>
      <c r="D80" s="637">
        <v>1677</v>
      </c>
      <c r="E80" s="637"/>
      <c r="G80" s="637"/>
      <c r="H80" s="637"/>
    </row>
    <row r="81" spans="1:8">
      <c r="A81" t="s">
        <v>9029</v>
      </c>
      <c r="B81" s="637">
        <v>1831</v>
      </c>
      <c r="C81" t="s">
        <v>358</v>
      </c>
      <c r="D81" s="637">
        <v>1831</v>
      </c>
      <c r="E81" s="637"/>
      <c r="G81" s="637"/>
      <c r="H81" s="637"/>
    </row>
    <row r="82" spans="1:8">
      <c r="A82" t="s">
        <v>90</v>
      </c>
      <c r="B82" s="637">
        <v>440</v>
      </c>
      <c r="C82" t="s">
        <v>358</v>
      </c>
      <c r="D82" s="637">
        <v>440</v>
      </c>
      <c r="E82" s="637"/>
      <c r="G82" s="637"/>
      <c r="H82" s="637"/>
    </row>
    <row r="83" spans="1:8">
      <c r="A83" t="s">
        <v>753</v>
      </c>
      <c r="B83" s="637">
        <v>47</v>
      </c>
      <c r="C83">
        <v>1</v>
      </c>
      <c r="D83" s="637">
        <v>48</v>
      </c>
      <c r="E83" s="637"/>
      <c r="G83" s="637"/>
      <c r="H83" s="637"/>
    </row>
    <row r="84" spans="1:8">
      <c r="A84" t="s">
        <v>9030</v>
      </c>
      <c r="B84" s="637">
        <v>1393</v>
      </c>
      <c r="C84" t="s">
        <v>358</v>
      </c>
      <c r="D84" s="637">
        <v>1393</v>
      </c>
      <c r="E84" s="637"/>
      <c r="G84" s="637"/>
      <c r="H84" s="637"/>
    </row>
    <row r="85" spans="1:8">
      <c r="A85" t="s">
        <v>9031</v>
      </c>
      <c r="B85" s="637">
        <v>58</v>
      </c>
      <c r="C85" t="s">
        <v>358</v>
      </c>
      <c r="D85" s="637">
        <v>58</v>
      </c>
      <c r="E85" s="637"/>
      <c r="G85" s="637"/>
      <c r="H85" s="637"/>
    </row>
    <row r="86" spans="1:8">
      <c r="A86" t="s">
        <v>9032</v>
      </c>
      <c r="B86" s="637">
        <v>948</v>
      </c>
      <c r="C86">
        <v>0</v>
      </c>
      <c r="D86" s="637">
        <v>948</v>
      </c>
      <c r="E86" s="637"/>
      <c r="G86" s="637"/>
      <c r="H86" s="637"/>
    </row>
    <row r="87" spans="1:8">
      <c r="A87" t="s">
        <v>9033</v>
      </c>
      <c r="B87" s="637">
        <v>21</v>
      </c>
      <c r="C87" t="s">
        <v>358</v>
      </c>
      <c r="D87" s="637">
        <v>21</v>
      </c>
      <c r="E87" s="637"/>
      <c r="G87" s="637"/>
      <c r="H87" s="637"/>
    </row>
    <row r="88" spans="1:8">
      <c r="A88" t="s">
        <v>9034</v>
      </c>
      <c r="B88" s="637">
        <v>642</v>
      </c>
      <c r="C88" t="s">
        <v>358</v>
      </c>
      <c r="D88" s="637">
        <v>642</v>
      </c>
      <c r="E88" s="637"/>
      <c r="G88" s="637"/>
      <c r="H88" s="637"/>
    </row>
    <row r="89" spans="1:8">
      <c r="A89" t="s">
        <v>9035</v>
      </c>
      <c r="B89" s="637">
        <v>320</v>
      </c>
      <c r="C89" t="s">
        <v>358</v>
      </c>
      <c r="D89" s="637">
        <v>320</v>
      </c>
      <c r="E89" s="637"/>
      <c r="G89" s="637"/>
      <c r="H89" s="637"/>
    </row>
    <row r="90" spans="1:8">
      <c r="A90" t="s">
        <v>9036</v>
      </c>
      <c r="B90" s="637">
        <v>1269</v>
      </c>
      <c r="C90">
        <v>2</v>
      </c>
      <c r="D90" s="637">
        <v>1271</v>
      </c>
      <c r="E90" s="637"/>
      <c r="G90" s="637"/>
      <c r="H90" s="637"/>
    </row>
    <row r="91" spans="1:8">
      <c r="A91" t="s">
        <v>9037</v>
      </c>
      <c r="B91" s="637">
        <v>80</v>
      </c>
      <c r="C91" t="s">
        <v>358</v>
      </c>
      <c r="D91" s="637">
        <v>80</v>
      </c>
      <c r="E91" s="637"/>
      <c r="G91" s="637"/>
      <c r="H91" s="637"/>
    </row>
    <row r="92" spans="1:8">
      <c r="A92" t="s">
        <v>9038</v>
      </c>
      <c r="B92" s="637">
        <v>3570</v>
      </c>
      <c r="C92">
        <v>1</v>
      </c>
      <c r="D92" s="637">
        <v>3571</v>
      </c>
      <c r="E92" s="637"/>
      <c r="G92" s="637"/>
      <c r="H92" s="637"/>
    </row>
    <row r="93" spans="1:8">
      <c r="A93" t="s">
        <v>9039</v>
      </c>
      <c r="B93" s="637">
        <v>2754</v>
      </c>
      <c r="C93">
        <v>3</v>
      </c>
      <c r="D93" s="637">
        <v>2757</v>
      </c>
      <c r="E93" s="637"/>
      <c r="G93" s="637"/>
      <c r="H93" s="637"/>
    </row>
    <row r="94" spans="1:8">
      <c r="A94" t="s">
        <v>9040</v>
      </c>
      <c r="B94" s="637">
        <v>463</v>
      </c>
      <c r="C94">
        <v>2</v>
      </c>
      <c r="D94" s="637">
        <v>465</v>
      </c>
      <c r="E94" s="637"/>
      <c r="G94" s="637"/>
      <c r="H94" s="637"/>
    </row>
    <row r="95" spans="1:8">
      <c r="A95" t="s">
        <v>9041</v>
      </c>
      <c r="B95" s="637">
        <v>1069</v>
      </c>
      <c r="C95">
        <v>5</v>
      </c>
      <c r="D95" s="637">
        <v>1074</v>
      </c>
      <c r="E95" s="637"/>
      <c r="G95" s="637"/>
      <c r="H95" s="637"/>
    </row>
    <row r="96" spans="1:8">
      <c r="A96" t="s">
        <v>9042</v>
      </c>
      <c r="B96" s="637">
        <v>3421</v>
      </c>
      <c r="C96">
        <v>4</v>
      </c>
      <c r="D96" s="637">
        <v>3425</v>
      </c>
      <c r="E96" s="637"/>
      <c r="G96" s="637"/>
      <c r="H96" s="637"/>
    </row>
    <row r="97" spans="1:4">
      <c r="A97" t="s">
        <v>2759</v>
      </c>
      <c r="B97">
        <v>1979</v>
      </c>
      <c r="C97">
        <v>6</v>
      </c>
      <c r="D97">
        <v>1985</v>
      </c>
    </row>
    <row r="98" spans="1:4">
      <c r="A98" t="s">
        <v>9043</v>
      </c>
      <c r="B98" t="s">
        <v>358</v>
      </c>
      <c r="C98" t="s">
        <v>358</v>
      </c>
      <c r="D98">
        <v>0</v>
      </c>
    </row>
    <row r="99" spans="1:4">
      <c r="A99" t="s">
        <v>9044</v>
      </c>
      <c r="B99" t="s">
        <v>358</v>
      </c>
      <c r="C99" t="s">
        <v>358</v>
      </c>
      <c r="D99">
        <v>0</v>
      </c>
    </row>
    <row r="100" spans="1:4">
      <c r="A100" t="s">
        <v>9045</v>
      </c>
      <c r="B100" t="s">
        <v>358</v>
      </c>
      <c r="C100" t="s">
        <v>358</v>
      </c>
      <c r="D100">
        <v>0</v>
      </c>
    </row>
    <row r="101" spans="1:4">
      <c r="A101" t="s">
        <v>9046</v>
      </c>
      <c r="B101" t="s">
        <v>358</v>
      </c>
      <c r="C101" t="s">
        <v>358</v>
      </c>
      <c r="D101">
        <v>0</v>
      </c>
    </row>
    <row r="102" spans="1:4">
      <c r="A102" t="s">
        <v>2760</v>
      </c>
      <c r="B102">
        <v>1347</v>
      </c>
      <c r="C102">
        <v>8</v>
      </c>
      <c r="D102">
        <v>1355</v>
      </c>
    </row>
    <row r="103" spans="1:4">
      <c r="A103" t="s">
        <v>9047</v>
      </c>
      <c r="B103">
        <v>1852</v>
      </c>
      <c r="C103">
        <v>1</v>
      </c>
      <c r="D103">
        <v>1853</v>
      </c>
    </row>
    <row r="104" spans="1:4">
      <c r="A104" t="s">
        <v>9048</v>
      </c>
      <c r="B104">
        <v>146</v>
      </c>
      <c r="C104" t="s">
        <v>358</v>
      </c>
      <c r="D104">
        <v>146</v>
      </c>
    </row>
    <row r="105" spans="1:4">
      <c r="A105" t="s">
        <v>2761</v>
      </c>
      <c r="B105">
        <v>48</v>
      </c>
      <c r="C105">
        <v>1</v>
      </c>
      <c r="D105">
        <v>49</v>
      </c>
    </row>
    <row r="106" spans="1:4">
      <c r="A106" t="s">
        <v>9049</v>
      </c>
      <c r="B106">
        <v>290</v>
      </c>
      <c r="C106">
        <v>1</v>
      </c>
      <c r="D106">
        <v>291</v>
      </c>
    </row>
    <row r="107" spans="1:4">
      <c r="A107" t="s">
        <v>9050</v>
      </c>
      <c r="B107">
        <v>2346</v>
      </c>
      <c r="C107">
        <v>6</v>
      </c>
      <c r="D107">
        <v>2352</v>
      </c>
    </row>
    <row r="108" spans="1:4">
      <c r="A108" t="s">
        <v>2762</v>
      </c>
      <c r="B108">
        <v>911</v>
      </c>
      <c r="C108">
        <v>1</v>
      </c>
      <c r="D108">
        <v>912</v>
      </c>
    </row>
    <row r="109" spans="1:4">
      <c r="A109" t="s">
        <v>2763</v>
      </c>
      <c r="B109">
        <v>1530</v>
      </c>
      <c r="C109">
        <v>3</v>
      </c>
      <c r="D109">
        <v>1533</v>
      </c>
    </row>
    <row r="110" spans="1:4">
      <c r="A110" t="s">
        <v>9051</v>
      </c>
      <c r="B110">
        <v>5751</v>
      </c>
      <c r="C110">
        <v>2</v>
      </c>
      <c r="D110">
        <v>5753</v>
      </c>
    </row>
    <row r="111" spans="1:4">
      <c r="A111" t="s">
        <v>9052</v>
      </c>
      <c r="B111" t="s">
        <v>358</v>
      </c>
      <c r="C111" t="s">
        <v>358</v>
      </c>
      <c r="D111">
        <v>0</v>
      </c>
    </row>
    <row r="112" spans="1:4">
      <c r="A112" t="s">
        <v>2764</v>
      </c>
      <c r="B112">
        <v>4145</v>
      </c>
      <c r="C112">
        <v>4</v>
      </c>
      <c r="D112">
        <v>4149</v>
      </c>
    </row>
    <row r="113" spans="1:4">
      <c r="A113" t="s">
        <v>9053</v>
      </c>
      <c r="B113">
        <v>468</v>
      </c>
      <c r="C113">
        <v>1</v>
      </c>
      <c r="D113">
        <v>469</v>
      </c>
    </row>
    <row r="114" spans="1:4">
      <c r="A114" t="s">
        <v>9054</v>
      </c>
      <c r="B114">
        <v>1974</v>
      </c>
      <c r="C114">
        <v>2</v>
      </c>
      <c r="D114">
        <v>1976</v>
      </c>
    </row>
    <row r="115" spans="1:4">
      <c r="A115" t="s">
        <v>9055</v>
      </c>
      <c r="B115">
        <v>1109</v>
      </c>
      <c r="C115">
        <v>0</v>
      </c>
      <c r="D115">
        <v>1109</v>
      </c>
    </row>
    <row r="116" spans="1:4">
      <c r="A116" t="s">
        <v>9056</v>
      </c>
      <c r="B116">
        <v>2365</v>
      </c>
      <c r="C116">
        <v>1</v>
      </c>
      <c r="D116">
        <v>2366</v>
      </c>
    </row>
    <row r="117" spans="1:4">
      <c r="A117" t="s">
        <v>9057</v>
      </c>
      <c r="B117">
        <v>1986</v>
      </c>
      <c r="C117">
        <v>2</v>
      </c>
      <c r="D117">
        <v>1988</v>
      </c>
    </row>
    <row r="118" spans="1:4">
      <c r="A118" t="s">
        <v>9058</v>
      </c>
      <c r="B118">
        <v>830</v>
      </c>
      <c r="C118">
        <v>9</v>
      </c>
      <c r="D118">
        <v>839</v>
      </c>
    </row>
    <row r="119" spans="1:4">
      <c r="A119" t="s">
        <v>9059</v>
      </c>
      <c r="B119">
        <v>1758</v>
      </c>
      <c r="C119">
        <v>3</v>
      </c>
      <c r="D119">
        <v>1761</v>
      </c>
    </row>
    <row r="120" spans="1:4">
      <c r="A120" t="s">
        <v>9060</v>
      </c>
      <c r="B120">
        <v>1133</v>
      </c>
      <c r="C120">
        <v>4</v>
      </c>
      <c r="D120">
        <v>1137</v>
      </c>
    </row>
    <row r="121" spans="1:4">
      <c r="A121" t="s">
        <v>9061</v>
      </c>
      <c r="B121" t="s">
        <v>358</v>
      </c>
      <c r="C121" t="s">
        <v>358</v>
      </c>
      <c r="D121">
        <v>0</v>
      </c>
    </row>
    <row r="122" spans="1:4">
      <c r="A122" t="s">
        <v>2765</v>
      </c>
      <c r="B122">
        <v>1863</v>
      </c>
      <c r="C122">
        <v>1</v>
      </c>
      <c r="D122">
        <v>1864</v>
      </c>
    </row>
    <row r="123" spans="1:4">
      <c r="A123" t="s">
        <v>9062</v>
      </c>
      <c r="B123">
        <v>2279</v>
      </c>
      <c r="C123">
        <v>7</v>
      </c>
      <c r="D123">
        <v>2286</v>
      </c>
    </row>
    <row r="124" spans="1:4">
      <c r="A124" t="s">
        <v>9063</v>
      </c>
      <c r="B124">
        <v>2748</v>
      </c>
      <c r="C124">
        <v>6</v>
      </c>
      <c r="D124">
        <v>2754</v>
      </c>
    </row>
    <row r="125" spans="1:4">
      <c r="A125" t="s">
        <v>9064</v>
      </c>
      <c r="B125">
        <v>2137</v>
      </c>
      <c r="C125">
        <v>5</v>
      </c>
      <c r="D125">
        <v>2142</v>
      </c>
    </row>
    <row r="126" spans="1:4">
      <c r="A126" t="s">
        <v>9065</v>
      </c>
      <c r="B126">
        <v>1344</v>
      </c>
      <c r="C126">
        <v>1</v>
      </c>
      <c r="D126">
        <v>1345</v>
      </c>
    </row>
    <row r="127" spans="1:4">
      <c r="A127" t="s">
        <v>2766</v>
      </c>
      <c r="B127">
        <v>2761</v>
      </c>
      <c r="C127">
        <v>1</v>
      </c>
      <c r="D127">
        <v>2762</v>
      </c>
    </row>
    <row r="128" spans="1:4">
      <c r="A128" t="s">
        <v>2767</v>
      </c>
      <c r="B128">
        <v>18</v>
      </c>
      <c r="C128">
        <v>1</v>
      </c>
      <c r="D128">
        <v>19</v>
      </c>
    </row>
    <row r="129" spans="1:4">
      <c r="A129" t="s">
        <v>8970</v>
      </c>
      <c r="B129">
        <v>1602</v>
      </c>
      <c r="C129">
        <v>0</v>
      </c>
      <c r="D129">
        <v>1602</v>
      </c>
    </row>
    <row r="130" spans="1:4">
      <c r="A130" t="s">
        <v>2768</v>
      </c>
      <c r="B130">
        <v>2992</v>
      </c>
      <c r="C130">
        <v>6</v>
      </c>
      <c r="D130">
        <v>2998</v>
      </c>
    </row>
    <row r="131" spans="1:4">
      <c r="A131" t="s">
        <v>9066</v>
      </c>
      <c r="B131">
        <v>4252</v>
      </c>
      <c r="C131" t="s">
        <v>358</v>
      </c>
      <c r="D131">
        <v>4252</v>
      </c>
    </row>
    <row r="132" spans="1:4">
      <c r="A132" t="s">
        <v>9067</v>
      </c>
      <c r="B132">
        <v>1111</v>
      </c>
      <c r="C132">
        <v>2</v>
      </c>
      <c r="D132">
        <v>1113</v>
      </c>
    </row>
    <row r="133" spans="1:4">
      <c r="A133" t="s">
        <v>2039</v>
      </c>
      <c r="B133">
        <v>216</v>
      </c>
      <c r="C133">
        <v>1</v>
      </c>
      <c r="D133">
        <v>217</v>
      </c>
    </row>
    <row r="134" spans="1:4">
      <c r="A134" t="s">
        <v>9068</v>
      </c>
      <c r="B134">
        <v>2614</v>
      </c>
      <c r="C134">
        <v>1</v>
      </c>
      <c r="D134">
        <v>2615</v>
      </c>
    </row>
    <row r="135" spans="1:4">
      <c r="A135" t="s">
        <v>9069</v>
      </c>
      <c r="B135">
        <v>2608</v>
      </c>
      <c r="C135">
        <v>8</v>
      </c>
      <c r="D135">
        <v>2616</v>
      </c>
    </row>
    <row r="136" spans="1:4">
      <c r="A136" t="s">
        <v>9070</v>
      </c>
      <c r="B136">
        <v>1063</v>
      </c>
      <c r="C136">
        <v>4</v>
      </c>
      <c r="D136">
        <v>1067</v>
      </c>
    </row>
    <row r="137" spans="1:4">
      <c r="A137" t="s">
        <v>9071</v>
      </c>
      <c r="B137">
        <v>1904</v>
      </c>
      <c r="C137">
        <v>4</v>
      </c>
      <c r="D137">
        <v>1908</v>
      </c>
    </row>
    <row r="138" spans="1:4">
      <c r="A138" t="s">
        <v>2769</v>
      </c>
      <c r="B138">
        <v>1670</v>
      </c>
      <c r="C138">
        <v>3</v>
      </c>
      <c r="D138">
        <v>1673</v>
      </c>
    </row>
    <row r="139" spans="1:4">
      <c r="A139" t="s">
        <v>9072</v>
      </c>
      <c r="B139">
        <v>1999</v>
      </c>
      <c r="C139">
        <v>2</v>
      </c>
      <c r="D139">
        <v>2001</v>
      </c>
    </row>
    <row r="140" spans="1:4">
      <c r="A140" t="s">
        <v>9073</v>
      </c>
      <c r="B140">
        <v>976</v>
      </c>
      <c r="C140">
        <v>2</v>
      </c>
      <c r="D140">
        <v>978</v>
      </c>
    </row>
    <row r="141" spans="1:4">
      <c r="A141" t="s">
        <v>9074</v>
      </c>
      <c r="B141">
        <v>970</v>
      </c>
      <c r="C141">
        <v>1</v>
      </c>
      <c r="D141">
        <v>971</v>
      </c>
    </row>
    <row r="142" spans="1:4">
      <c r="A142" t="s">
        <v>2770</v>
      </c>
      <c r="B142">
        <v>907</v>
      </c>
      <c r="C142">
        <v>3</v>
      </c>
      <c r="D142">
        <v>910</v>
      </c>
    </row>
    <row r="143" spans="1:4">
      <c r="A143" t="s">
        <v>9075</v>
      </c>
      <c r="B143">
        <v>3197</v>
      </c>
      <c r="C143">
        <v>11</v>
      </c>
      <c r="D143">
        <v>3208</v>
      </c>
    </row>
    <row r="144" spans="1:4">
      <c r="A144" t="s">
        <v>9076</v>
      </c>
      <c r="B144">
        <v>1915</v>
      </c>
      <c r="C144" t="s">
        <v>358</v>
      </c>
      <c r="D144">
        <v>1915</v>
      </c>
    </row>
    <row r="145" spans="1:4">
      <c r="A145" t="s">
        <v>9077</v>
      </c>
      <c r="B145">
        <v>1392</v>
      </c>
      <c r="C145">
        <v>1</v>
      </c>
      <c r="D145">
        <v>1393</v>
      </c>
    </row>
    <row r="146" spans="1:4">
      <c r="A146" t="s">
        <v>9078</v>
      </c>
      <c r="B146">
        <v>2328</v>
      </c>
      <c r="C146">
        <v>1</v>
      </c>
      <c r="D146">
        <v>2329</v>
      </c>
    </row>
    <row r="147" spans="1:4">
      <c r="A147" t="s">
        <v>2771</v>
      </c>
      <c r="B147">
        <v>3670</v>
      </c>
      <c r="C147">
        <v>3</v>
      </c>
      <c r="D147">
        <v>3673</v>
      </c>
    </row>
    <row r="148" spans="1:4">
      <c r="A148" t="s">
        <v>9079</v>
      </c>
      <c r="B148">
        <v>4902</v>
      </c>
      <c r="C148">
        <v>7</v>
      </c>
      <c r="D148">
        <v>4909</v>
      </c>
    </row>
    <row r="149" spans="1:4">
      <c r="A149" t="s">
        <v>9080</v>
      </c>
      <c r="B149">
        <v>949</v>
      </c>
      <c r="C149">
        <v>1</v>
      </c>
      <c r="D149">
        <v>950</v>
      </c>
    </row>
    <row r="150" spans="1:4">
      <c r="A150" t="s">
        <v>9081</v>
      </c>
      <c r="B150">
        <v>1947</v>
      </c>
      <c r="C150">
        <v>2</v>
      </c>
      <c r="D150">
        <v>1949</v>
      </c>
    </row>
    <row r="151" spans="1:4">
      <c r="A151" t="s">
        <v>9082</v>
      </c>
      <c r="B151">
        <v>505</v>
      </c>
      <c r="C151" t="s">
        <v>358</v>
      </c>
      <c r="D151">
        <v>505</v>
      </c>
    </row>
    <row r="152" spans="1:4">
      <c r="A152" t="s">
        <v>2772</v>
      </c>
      <c r="B152">
        <v>1384</v>
      </c>
      <c r="C152" t="s">
        <v>358</v>
      </c>
      <c r="D152">
        <v>1384</v>
      </c>
    </row>
    <row r="153" spans="1:4">
      <c r="A153" t="s">
        <v>9083</v>
      </c>
      <c r="B153">
        <v>238</v>
      </c>
      <c r="C153">
        <v>1</v>
      </c>
      <c r="D153">
        <v>239</v>
      </c>
    </row>
    <row r="154" spans="1:4">
      <c r="A154" t="s">
        <v>9084</v>
      </c>
      <c r="B154">
        <v>595</v>
      </c>
      <c r="C154">
        <v>3</v>
      </c>
      <c r="D154">
        <v>598</v>
      </c>
    </row>
    <row r="155" spans="1:4">
      <c r="A155" t="s">
        <v>88</v>
      </c>
      <c r="B155">
        <v>210</v>
      </c>
      <c r="C155" t="s">
        <v>358</v>
      </c>
      <c r="D155">
        <v>210</v>
      </c>
    </row>
    <row r="156" spans="1:4">
      <c r="A156" t="s">
        <v>9085</v>
      </c>
      <c r="B156">
        <v>3164</v>
      </c>
      <c r="C156">
        <v>8</v>
      </c>
      <c r="D156">
        <v>3172</v>
      </c>
    </row>
    <row r="157" spans="1:4">
      <c r="A157" t="s">
        <v>9086</v>
      </c>
      <c r="B157">
        <v>179</v>
      </c>
      <c r="C157">
        <v>2</v>
      </c>
      <c r="D157">
        <v>181</v>
      </c>
    </row>
    <row r="158" spans="1:4">
      <c r="A158" t="s">
        <v>9087</v>
      </c>
      <c r="B158">
        <v>1931</v>
      </c>
      <c r="C158">
        <v>3</v>
      </c>
      <c r="D158">
        <v>1934</v>
      </c>
    </row>
    <row r="159" spans="1:4">
      <c r="A159" t="s">
        <v>9088</v>
      </c>
      <c r="B159">
        <v>2176</v>
      </c>
      <c r="C159">
        <v>6</v>
      </c>
      <c r="D159">
        <v>2182</v>
      </c>
    </row>
    <row r="160" spans="1:4">
      <c r="A160" t="s">
        <v>9089</v>
      </c>
      <c r="B160">
        <v>617</v>
      </c>
      <c r="C160">
        <v>0</v>
      </c>
      <c r="D160">
        <v>617</v>
      </c>
    </row>
    <row r="161" spans="1:4">
      <c r="A161" t="s">
        <v>9090</v>
      </c>
      <c r="B161">
        <v>3689</v>
      </c>
      <c r="C161">
        <v>3</v>
      </c>
      <c r="D161">
        <v>3692</v>
      </c>
    </row>
    <row r="162" spans="1:4">
      <c r="A162" t="s">
        <v>9091</v>
      </c>
      <c r="B162">
        <v>439</v>
      </c>
      <c r="C162">
        <v>1</v>
      </c>
      <c r="D162">
        <v>440</v>
      </c>
    </row>
    <row r="163" spans="1:4">
      <c r="A163" t="s">
        <v>9092</v>
      </c>
      <c r="B163">
        <v>729</v>
      </c>
      <c r="C163">
        <v>7</v>
      </c>
      <c r="D163">
        <v>736</v>
      </c>
    </row>
    <row r="164" spans="1:4">
      <c r="A164" t="s">
        <v>9093</v>
      </c>
      <c r="B164">
        <v>591</v>
      </c>
      <c r="C164">
        <v>3</v>
      </c>
      <c r="D164">
        <v>594</v>
      </c>
    </row>
    <row r="165" spans="1:4">
      <c r="A165" t="s">
        <v>9094</v>
      </c>
      <c r="B165">
        <v>1383</v>
      </c>
      <c r="C165">
        <v>2</v>
      </c>
      <c r="D165">
        <v>1385</v>
      </c>
    </row>
    <row r="166" spans="1:4">
      <c r="A166" t="s">
        <v>9095</v>
      </c>
      <c r="B166">
        <v>2349</v>
      </c>
      <c r="C166">
        <v>2</v>
      </c>
      <c r="D166">
        <v>2351</v>
      </c>
    </row>
    <row r="167" spans="1:4">
      <c r="A167" t="s">
        <v>9096</v>
      </c>
      <c r="B167">
        <v>235</v>
      </c>
      <c r="C167">
        <v>2</v>
      </c>
      <c r="D167">
        <v>237</v>
      </c>
    </row>
    <row r="168" spans="1:4">
      <c r="A168" t="s">
        <v>9097</v>
      </c>
      <c r="B168">
        <v>1127</v>
      </c>
      <c r="C168">
        <v>1</v>
      </c>
      <c r="D168">
        <v>1128</v>
      </c>
    </row>
    <row r="169" spans="1:4">
      <c r="A169" t="s">
        <v>9098</v>
      </c>
      <c r="B169">
        <v>505</v>
      </c>
      <c r="C169">
        <v>4</v>
      </c>
      <c r="D169">
        <v>509</v>
      </c>
    </row>
    <row r="170" spans="1:4">
      <c r="A170" t="s">
        <v>9099</v>
      </c>
      <c r="B170">
        <v>3488</v>
      </c>
      <c r="C170">
        <v>2</v>
      </c>
      <c r="D170">
        <v>3490</v>
      </c>
    </row>
    <row r="171" spans="1:4">
      <c r="A171" t="s">
        <v>9100</v>
      </c>
      <c r="B171">
        <v>1599</v>
      </c>
      <c r="C171">
        <v>2</v>
      </c>
      <c r="D171">
        <v>1601</v>
      </c>
    </row>
    <row r="172" spans="1:4">
      <c r="A172" t="s">
        <v>9101</v>
      </c>
      <c r="B172">
        <v>783</v>
      </c>
      <c r="C172">
        <v>0</v>
      </c>
      <c r="D172">
        <v>783</v>
      </c>
    </row>
    <row r="173" spans="1:4">
      <c r="A173" t="s">
        <v>9102</v>
      </c>
      <c r="B173">
        <v>3621</v>
      </c>
      <c r="C173">
        <v>1</v>
      </c>
      <c r="D173">
        <v>3622</v>
      </c>
    </row>
    <row r="174" spans="1:4">
      <c r="A174" t="s">
        <v>9103</v>
      </c>
      <c r="B174">
        <v>1295</v>
      </c>
      <c r="C174">
        <v>3</v>
      </c>
      <c r="D174">
        <v>1298</v>
      </c>
    </row>
    <row r="175" spans="1:4">
      <c r="A175" t="s">
        <v>9104</v>
      </c>
      <c r="B175">
        <v>1526</v>
      </c>
      <c r="C175">
        <v>5</v>
      </c>
      <c r="D175">
        <v>1531</v>
      </c>
    </row>
    <row r="176" spans="1:4">
      <c r="A176" t="s">
        <v>9105</v>
      </c>
      <c r="B176">
        <v>1942</v>
      </c>
      <c r="C176">
        <v>3</v>
      </c>
      <c r="D176">
        <v>1945</v>
      </c>
    </row>
    <row r="177" spans="1:4">
      <c r="A177" t="s">
        <v>1933</v>
      </c>
      <c r="B177">
        <v>621</v>
      </c>
      <c r="C177" t="s">
        <v>358</v>
      </c>
      <c r="D177">
        <v>621</v>
      </c>
    </row>
    <row r="178" spans="1:4">
      <c r="A178" t="s">
        <v>9106</v>
      </c>
      <c r="B178">
        <v>628</v>
      </c>
      <c r="C178" t="s">
        <v>358</v>
      </c>
      <c r="D178">
        <v>628</v>
      </c>
    </row>
    <row r="179" spans="1:4">
      <c r="A179" t="s">
        <v>9107</v>
      </c>
      <c r="B179">
        <v>2722</v>
      </c>
      <c r="C179">
        <v>2</v>
      </c>
      <c r="D179">
        <v>2724</v>
      </c>
    </row>
    <row r="180" spans="1:4">
      <c r="A180" t="s">
        <v>9108</v>
      </c>
      <c r="B180">
        <v>954</v>
      </c>
      <c r="C180">
        <v>2</v>
      </c>
      <c r="D180">
        <v>956</v>
      </c>
    </row>
    <row r="181" spans="1:4">
      <c r="A181" t="s">
        <v>9109</v>
      </c>
      <c r="B181">
        <v>369</v>
      </c>
      <c r="C181" t="s">
        <v>358</v>
      </c>
      <c r="D181">
        <v>369</v>
      </c>
    </row>
    <row r="182" spans="1:4">
      <c r="A182" t="s">
        <v>9110</v>
      </c>
      <c r="B182" t="s">
        <v>358</v>
      </c>
      <c r="C182" t="s">
        <v>358</v>
      </c>
      <c r="D182">
        <v>0</v>
      </c>
    </row>
    <row r="183" spans="1:4">
      <c r="A183" t="s">
        <v>9111</v>
      </c>
      <c r="B183">
        <v>644</v>
      </c>
      <c r="C183" t="s">
        <v>358</v>
      </c>
      <c r="D183">
        <v>644</v>
      </c>
    </row>
    <row r="184" spans="1:4">
      <c r="A184" t="s">
        <v>9112</v>
      </c>
      <c r="B184">
        <v>989</v>
      </c>
      <c r="C184" t="s">
        <v>358</v>
      </c>
      <c r="D184">
        <v>989</v>
      </c>
    </row>
    <row r="185" spans="1:4">
      <c r="A185" t="s">
        <v>9113</v>
      </c>
      <c r="B185">
        <v>1634</v>
      </c>
      <c r="C185">
        <v>1</v>
      </c>
      <c r="D185">
        <v>1635</v>
      </c>
    </row>
    <row r="186" spans="1:4">
      <c r="A186" t="s">
        <v>9114</v>
      </c>
      <c r="B186">
        <v>392</v>
      </c>
      <c r="C186" t="s">
        <v>358</v>
      </c>
      <c r="D186">
        <v>392</v>
      </c>
    </row>
    <row r="187" spans="1:4">
      <c r="A187" t="s">
        <v>2018</v>
      </c>
      <c r="B187">
        <v>1000</v>
      </c>
      <c r="C187" t="s">
        <v>358</v>
      </c>
      <c r="D187">
        <v>1000</v>
      </c>
    </row>
    <row r="188" spans="1:4">
      <c r="A188" t="s">
        <v>9115</v>
      </c>
      <c r="B188" t="s">
        <v>358</v>
      </c>
      <c r="C188" t="s">
        <v>358</v>
      </c>
      <c r="D188">
        <v>0</v>
      </c>
    </row>
    <row r="189" spans="1:4">
      <c r="A189" t="s">
        <v>9116</v>
      </c>
      <c r="B189" t="s">
        <v>358</v>
      </c>
      <c r="C189" t="s">
        <v>358</v>
      </c>
      <c r="D189">
        <v>0</v>
      </c>
    </row>
    <row r="190" spans="1:4">
      <c r="A190" t="s">
        <v>9117</v>
      </c>
      <c r="B190">
        <v>912</v>
      </c>
      <c r="C190" t="s">
        <v>358</v>
      </c>
      <c r="D190">
        <v>912</v>
      </c>
    </row>
    <row r="191" spans="1:4">
      <c r="A191" t="s">
        <v>9118</v>
      </c>
      <c r="B191">
        <v>2477</v>
      </c>
      <c r="C191">
        <v>1</v>
      </c>
      <c r="D191">
        <v>2478</v>
      </c>
    </row>
    <row r="192" spans="1:4">
      <c r="A192" t="s">
        <v>9119</v>
      </c>
      <c r="B192">
        <v>824</v>
      </c>
      <c r="C192" t="s">
        <v>358</v>
      </c>
      <c r="D192">
        <v>824</v>
      </c>
    </row>
    <row r="193" spans="1:4">
      <c r="A193" t="s">
        <v>9120</v>
      </c>
      <c r="B193">
        <v>2186</v>
      </c>
      <c r="C193" t="s">
        <v>358</v>
      </c>
      <c r="D193">
        <v>2186</v>
      </c>
    </row>
    <row r="194" spans="1:4">
      <c r="A194" t="s">
        <v>9121</v>
      </c>
      <c r="B194">
        <v>708</v>
      </c>
      <c r="C194" t="s">
        <v>358</v>
      </c>
      <c r="D194">
        <v>708</v>
      </c>
    </row>
    <row r="195" spans="1:4">
      <c r="A195" t="s">
        <v>9122</v>
      </c>
      <c r="B195">
        <v>223</v>
      </c>
      <c r="C195">
        <v>2</v>
      </c>
      <c r="D195">
        <v>225</v>
      </c>
    </row>
    <row r="196" spans="1:4">
      <c r="A196" t="s">
        <v>9123</v>
      </c>
      <c r="B196">
        <v>1707</v>
      </c>
      <c r="C196">
        <v>2</v>
      </c>
      <c r="D196">
        <v>1709</v>
      </c>
    </row>
    <row r="197" spans="1:4">
      <c r="A197" t="s">
        <v>2773</v>
      </c>
      <c r="B197">
        <v>3382</v>
      </c>
      <c r="C197">
        <v>2</v>
      </c>
      <c r="D197">
        <v>3384</v>
      </c>
    </row>
    <row r="198" spans="1:4">
      <c r="A198" t="s">
        <v>9124</v>
      </c>
      <c r="B198">
        <v>1713</v>
      </c>
      <c r="C198">
        <v>0</v>
      </c>
      <c r="D198">
        <v>1713</v>
      </c>
    </row>
    <row r="199" spans="1:4">
      <c r="A199" t="s">
        <v>9125</v>
      </c>
      <c r="B199">
        <v>1012</v>
      </c>
      <c r="C199">
        <v>2</v>
      </c>
      <c r="D199">
        <v>1014</v>
      </c>
    </row>
    <row r="200" spans="1:4">
      <c r="A200" t="s">
        <v>9126</v>
      </c>
      <c r="B200">
        <v>659</v>
      </c>
      <c r="C200">
        <v>2</v>
      </c>
      <c r="D200">
        <v>661</v>
      </c>
    </row>
    <row r="201" spans="1:4">
      <c r="A201" t="s">
        <v>9127</v>
      </c>
      <c r="B201">
        <v>1456</v>
      </c>
      <c r="C201">
        <v>1</v>
      </c>
      <c r="D201">
        <v>1457</v>
      </c>
    </row>
    <row r="202" spans="1:4">
      <c r="A202" t="s">
        <v>9128</v>
      </c>
      <c r="B202">
        <v>1377</v>
      </c>
      <c r="C202">
        <v>4</v>
      </c>
      <c r="D202">
        <v>1381</v>
      </c>
    </row>
    <row r="203" spans="1:4">
      <c r="A203" t="s">
        <v>9129</v>
      </c>
      <c r="B203">
        <v>3665</v>
      </c>
      <c r="C203">
        <v>1</v>
      </c>
      <c r="D203">
        <v>3666</v>
      </c>
    </row>
    <row r="204" spans="1:4">
      <c r="A204" t="s">
        <v>9130</v>
      </c>
      <c r="B204">
        <v>3028</v>
      </c>
      <c r="C204">
        <v>4</v>
      </c>
      <c r="D204">
        <v>3032</v>
      </c>
    </row>
    <row r="205" spans="1:4">
      <c r="A205" t="s">
        <v>9131</v>
      </c>
      <c r="B205">
        <v>4111</v>
      </c>
      <c r="C205">
        <v>2</v>
      </c>
      <c r="D205">
        <v>4113</v>
      </c>
    </row>
    <row r="206" spans="1:4">
      <c r="A206" t="s">
        <v>89</v>
      </c>
      <c r="B206">
        <v>514</v>
      </c>
      <c r="C206">
        <v>1</v>
      </c>
      <c r="D206">
        <v>515</v>
      </c>
    </row>
    <row r="207" spans="1:4">
      <c r="A207" t="s">
        <v>9132</v>
      </c>
      <c r="B207">
        <v>3552</v>
      </c>
      <c r="C207">
        <v>6</v>
      </c>
      <c r="D207">
        <v>3558</v>
      </c>
    </row>
    <row r="208" spans="1:4">
      <c r="A208" t="s">
        <v>9133</v>
      </c>
      <c r="B208">
        <v>638</v>
      </c>
      <c r="C208">
        <v>1</v>
      </c>
      <c r="D208">
        <v>639</v>
      </c>
    </row>
    <row r="209" spans="1:4">
      <c r="A209" t="s">
        <v>9134</v>
      </c>
      <c r="B209">
        <v>1971</v>
      </c>
      <c r="C209">
        <v>9</v>
      </c>
      <c r="D209">
        <v>1980</v>
      </c>
    </row>
    <row r="210" spans="1:4">
      <c r="A210" t="s">
        <v>2028</v>
      </c>
      <c r="B210">
        <v>34</v>
      </c>
      <c r="C210">
        <v>2</v>
      </c>
      <c r="D210">
        <v>36</v>
      </c>
    </row>
    <row r="211" spans="1:4">
      <c r="A211" t="s">
        <v>9135</v>
      </c>
      <c r="B211">
        <v>350</v>
      </c>
      <c r="C211">
        <v>17</v>
      </c>
      <c r="D211">
        <v>367</v>
      </c>
    </row>
    <row r="212" spans="1:4">
      <c r="A212" t="s">
        <v>9136</v>
      </c>
      <c r="B212">
        <v>1107</v>
      </c>
      <c r="C212" t="s">
        <v>358</v>
      </c>
      <c r="D212">
        <v>1107</v>
      </c>
    </row>
    <row r="213" spans="1:4">
      <c r="A213" t="s">
        <v>9137</v>
      </c>
      <c r="B213">
        <v>1837</v>
      </c>
      <c r="C213">
        <v>4</v>
      </c>
      <c r="D213">
        <v>1841</v>
      </c>
    </row>
    <row r="214" spans="1:4">
      <c r="A214" t="s">
        <v>9138</v>
      </c>
      <c r="B214">
        <v>4906</v>
      </c>
      <c r="C214">
        <v>3</v>
      </c>
      <c r="D214">
        <v>4909</v>
      </c>
    </row>
    <row r="215" spans="1:4">
      <c r="A215" t="s">
        <v>9139</v>
      </c>
      <c r="B215">
        <v>5086</v>
      </c>
      <c r="C215">
        <v>2</v>
      </c>
      <c r="D215">
        <v>5088</v>
      </c>
    </row>
    <row r="216" spans="1:4">
      <c r="A216" t="s">
        <v>9140</v>
      </c>
      <c r="B216">
        <v>1240</v>
      </c>
      <c r="C216" t="s">
        <v>358</v>
      </c>
      <c r="D216">
        <v>1240</v>
      </c>
    </row>
    <row r="217" spans="1:4">
      <c r="A217" t="s">
        <v>9141</v>
      </c>
      <c r="B217" t="s">
        <v>358</v>
      </c>
      <c r="C217" t="s">
        <v>358</v>
      </c>
      <c r="D217">
        <v>0</v>
      </c>
    </row>
    <row r="218" spans="1:4">
      <c r="A218" t="s">
        <v>2774</v>
      </c>
      <c r="B218">
        <v>1671</v>
      </c>
      <c r="C218">
        <v>4</v>
      </c>
      <c r="D218">
        <v>1675</v>
      </c>
    </row>
    <row r="219" spans="1:4">
      <c r="A219" t="s">
        <v>2775</v>
      </c>
      <c r="B219">
        <v>2961</v>
      </c>
      <c r="C219">
        <v>6</v>
      </c>
      <c r="D219">
        <v>2967</v>
      </c>
    </row>
    <row r="220" spans="1:4">
      <c r="A220" t="s">
        <v>2776</v>
      </c>
      <c r="B220">
        <v>660</v>
      </c>
      <c r="C220">
        <v>3</v>
      </c>
      <c r="D220">
        <v>663</v>
      </c>
    </row>
    <row r="221" spans="1:4">
      <c r="A221" t="s">
        <v>9142</v>
      </c>
      <c r="B221">
        <v>589</v>
      </c>
      <c r="C221" t="s">
        <v>358</v>
      </c>
      <c r="D221">
        <v>589</v>
      </c>
    </row>
    <row r="222" spans="1:4">
      <c r="A222" t="s">
        <v>2777</v>
      </c>
      <c r="B222">
        <v>1242</v>
      </c>
      <c r="C222">
        <v>2</v>
      </c>
      <c r="D222">
        <v>1244</v>
      </c>
    </row>
    <row r="223" spans="1:4">
      <c r="A223" t="s">
        <v>2030</v>
      </c>
      <c r="B223">
        <v>2386</v>
      </c>
      <c r="C223">
        <v>1</v>
      </c>
      <c r="D223">
        <v>2387</v>
      </c>
    </row>
    <row r="224" spans="1:4">
      <c r="A224" t="s">
        <v>9143</v>
      </c>
      <c r="B224">
        <v>2694</v>
      </c>
      <c r="C224">
        <v>7</v>
      </c>
      <c r="D224">
        <v>2701</v>
      </c>
    </row>
    <row r="225" spans="1:4">
      <c r="A225" t="s">
        <v>9144</v>
      </c>
      <c r="B225">
        <v>330</v>
      </c>
      <c r="C225">
        <v>5</v>
      </c>
      <c r="D225">
        <v>335</v>
      </c>
    </row>
    <row r="226" spans="1:4">
      <c r="A226" t="s">
        <v>9145</v>
      </c>
      <c r="B226">
        <v>173</v>
      </c>
      <c r="C226">
        <v>2</v>
      </c>
      <c r="D226">
        <v>175</v>
      </c>
    </row>
    <row r="227" spans="1:4">
      <c r="A227" t="s">
        <v>9146</v>
      </c>
      <c r="B227">
        <v>131</v>
      </c>
      <c r="C227">
        <v>1</v>
      </c>
      <c r="D227">
        <v>132</v>
      </c>
    </row>
    <row r="228" spans="1:4">
      <c r="A228" t="s">
        <v>9147</v>
      </c>
      <c r="B228">
        <v>2290</v>
      </c>
      <c r="C228">
        <v>2</v>
      </c>
      <c r="D228">
        <v>2292</v>
      </c>
    </row>
    <row r="229" spans="1:4">
      <c r="A229" t="s">
        <v>9148</v>
      </c>
      <c r="B229">
        <v>1329</v>
      </c>
      <c r="C229">
        <v>7</v>
      </c>
      <c r="D229">
        <v>1336</v>
      </c>
    </row>
    <row r="230" spans="1:4">
      <c r="A230" t="s">
        <v>9149</v>
      </c>
      <c r="B230">
        <v>2201</v>
      </c>
      <c r="C230">
        <v>2</v>
      </c>
      <c r="D230">
        <v>2203</v>
      </c>
    </row>
    <row r="231" spans="1:4">
      <c r="A231" t="s">
        <v>2032</v>
      </c>
      <c r="B231" t="s">
        <v>358</v>
      </c>
      <c r="C231" t="s">
        <v>358</v>
      </c>
      <c r="D231">
        <v>0</v>
      </c>
    </row>
    <row r="232" spans="1:4">
      <c r="A232" t="s">
        <v>9150</v>
      </c>
      <c r="B232">
        <v>360</v>
      </c>
      <c r="C232">
        <v>1</v>
      </c>
      <c r="D232">
        <v>361</v>
      </c>
    </row>
    <row r="233" spans="1:4">
      <c r="A233" t="s">
        <v>9151</v>
      </c>
      <c r="B233">
        <v>955</v>
      </c>
      <c r="C233">
        <v>11</v>
      </c>
      <c r="D233">
        <v>966</v>
      </c>
    </row>
    <row r="234" spans="1:4">
      <c r="A234" t="s">
        <v>9152</v>
      </c>
      <c r="B234">
        <v>1865</v>
      </c>
      <c r="C234">
        <v>4</v>
      </c>
      <c r="D234">
        <v>1869</v>
      </c>
    </row>
    <row r="235" spans="1:4">
      <c r="A235" t="s">
        <v>9153</v>
      </c>
      <c r="B235">
        <v>1712</v>
      </c>
      <c r="C235">
        <v>3</v>
      </c>
      <c r="D235">
        <v>1715</v>
      </c>
    </row>
    <row r="236" spans="1:4">
      <c r="A236" t="s">
        <v>9154</v>
      </c>
      <c r="B236">
        <v>1135</v>
      </c>
      <c r="C236" t="s">
        <v>358</v>
      </c>
      <c r="D236">
        <v>1135</v>
      </c>
    </row>
    <row r="237" spans="1:4">
      <c r="A237" t="s">
        <v>2036</v>
      </c>
      <c r="B237">
        <v>2662</v>
      </c>
      <c r="C237">
        <v>4</v>
      </c>
      <c r="D237">
        <v>2666</v>
      </c>
    </row>
    <row r="238" spans="1:4">
      <c r="A238" t="s">
        <v>9155</v>
      </c>
      <c r="B238">
        <v>1865</v>
      </c>
      <c r="C238">
        <v>1</v>
      </c>
      <c r="D238">
        <v>1866</v>
      </c>
    </row>
    <row r="239" spans="1:4">
      <c r="A239" t="s">
        <v>9156</v>
      </c>
      <c r="B239">
        <v>110</v>
      </c>
      <c r="C239">
        <v>1</v>
      </c>
      <c r="D239">
        <v>111</v>
      </c>
    </row>
    <row r="240" spans="1:4">
      <c r="A240" t="s">
        <v>9157</v>
      </c>
      <c r="B240">
        <v>841</v>
      </c>
      <c r="C240">
        <v>1</v>
      </c>
      <c r="D240">
        <v>842</v>
      </c>
    </row>
    <row r="241" spans="1:4">
      <c r="A241" t="s">
        <v>9158</v>
      </c>
      <c r="B241">
        <v>206</v>
      </c>
      <c r="C241">
        <v>3</v>
      </c>
      <c r="D241">
        <v>209</v>
      </c>
    </row>
    <row r="242" spans="1:4">
      <c r="A242" t="s">
        <v>2778</v>
      </c>
      <c r="B242">
        <v>2277</v>
      </c>
      <c r="C242">
        <v>6</v>
      </c>
      <c r="D242">
        <v>2283</v>
      </c>
    </row>
    <row r="243" spans="1:4">
      <c r="A243" t="s">
        <v>1873</v>
      </c>
      <c r="B243">
        <v>689</v>
      </c>
      <c r="C243">
        <v>2</v>
      </c>
      <c r="D243">
        <v>691</v>
      </c>
    </row>
    <row r="244" spans="1:4">
      <c r="A244" t="s">
        <v>2779</v>
      </c>
      <c r="B244">
        <v>1097</v>
      </c>
      <c r="C244">
        <v>4</v>
      </c>
      <c r="D244">
        <v>1101</v>
      </c>
    </row>
    <row r="245" spans="1:4">
      <c r="A245" t="s">
        <v>9159</v>
      </c>
      <c r="B245">
        <v>3317</v>
      </c>
      <c r="C245">
        <v>1</v>
      </c>
      <c r="D245">
        <v>3318</v>
      </c>
    </row>
    <row r="246" spans="1:4">
      <c r="A246" t="s">
        <v>2780</v>
      </c>
      <c r="B246">
        <v>3892</v>
      </c>
      <c r="C246">
        <v>1</v>
      </c>
      <c r="D246">
        <v>3893</v>
      </c>
    </row>
    <row r="247" spans="1:4">
      <c r="A247" t="s">
        <v>2781</v>
      </c>
      <c r="B247">
        <v>2050</v>
      </c>
      <c r="C247">
        <v>2</v>
      </c>
      <c r="D247">
        <v>2052</v>
      </c>
    </row>
    <row r="248" spans="1:4">
      <c r="A248" t="s">
        <v>2782</v>
      </c>
      <c r="B248">
        <v>5347</v>
      </c>
      <c r="C248">
        <v>2</v>
      </c>
      <c r="D248">
        <v>5349</v>
      </c>
    </row>
    <row r="249" spans="1:4">
      <c r="A249" t="s">
        <v>2783</v>
      </c>
      <c r="B249">
        <v>3238</v>
      </c>
      <c r="C249">
        <v>3</v>
      </c>
      <c r="D249">
        <v>3241</v>
      </c>
    </row>
    <row r="250" spans="1:4">
      <c r="A250" t="s">
        <v>2784</v>
      </c>
      <c r="B250">
        <v>2192</v>
      </c>
      <c r="C250">
        <v>3</v>
      </c>
      <c r="D250">
        <v>2195</v>
      </c>
    </row>
    <row r="251" spans="1:4">
      <c r="A251" t="s">
        <v>2785</v>
      </c>
      <c r="B251">
        <v>243</v>
      </c>
      <c r="C251">
        <v>3</v>
      </c>
      <c r="D251">
        <v>246</v>
      </c>
    </row>
    <row r="252" spans="1:4">
      <c r="A252" t="s">
        <v>2786</v>
      </c>
      <c r="B252">
        <v>1469</v>
      </c>
      <c r="C252">
        <v>1</v>
      </c>
      <c r="D252">
        <v>1470</v>
      </c>
    </row>
    <row r="253" spans="1:4">
      <c r="A253" t="s">
        <v>2787</v>
      </c>
      <c r="B253">
        <v>149</v>
      </c>
      <c r="C253">
        <v>1</v>
      </c>
      <c r="D253">
        <v>150</v>
      </c>
    </row>
    <row r="254" spans="1:4">
      <c r="A254" t="s">
        <v>1871</v>
      </c>
      <c r="B254" t="s">
        <v>358</v>
      </c>
      <c r="C254">
        <v>0</v>
      </c>
      <c r="D254">
        <v>0</v>
      </c>
    </row>
    <row r="255" spans="1:4">
      <c r="A255" t="s">
        <v>2788</v>
      </c>
      <c r="B255">
        <v>495</v>
      </c>
      <c r="C255">
        <v>1</v>
      </c>
      <c r="D255">
        <v>496</v>
      </c>
    </row>
    <row r="256" spans="1:4">
      <c r="A256" t="s">
        <v>2789</v>
      </c>
      <c r="B256">
        <v>2058</v>
      </c>
      <c r="C256">
        <v>6</v>
      </c>
      <c r="D256">
        <v>2064</v>
      </c>
    </row>
    <row r="257" spans="1:4">
      <c r="A257" t="s">
        <v>2790</v>
      </c>
      <c r="B257">
        <v>2837</v>
      </c>
      <c r="C257">
        <v>1</v>
      </c>
      <c r="D257">
        <v>2838</v>
      </c>
    </row>
    <row r="258" spans="1:4">
      <c r="A258" t="s">
        <v>1952</v>
      </c>
      <c r="B258">
        <v>1283</v>
      </c>
      <c r="C258">
        <v>3</v>
      </c>
      <c r="D258">
        <v>1286</v>
      </c>
    </row>
    <row r="259" spans="1:4">
      <c r="A259" t="s">
        <v>2791</v>
      </c>
      <c r="B259">
        <v>1779</v>
      </c>
      <c r="C259">
        <v>1</v>
      </c>
      <c r="D259">
        <v>1780</v>
      </c>
    </row>
    <row r="260" spans="1:4">
      <c r="A260" t="s">
        <v>2792</v>
      </c>
      <c r="B260">
        <v>2267</v>
      </c>
      <c r="C260" t="s">
        <v>358</v>
      </c>
      <c r="D260">
        <v>2267</v>
      </c>
    </row>
    <row r="261" spans="1:4">
      <c r="A261" t="s">
        <v>2793</v>
      </c>
      <c r="B261">
        <v>1058</v>
      </c>
      <c r="C261" t="s">
        <v>358</v>
      </c>
      <c r="D261">
        <v>1058</v>
      </c>
    </row>
    <row r="262" spans="1:4">
      <c r="A262" t="s">
        <v>2794</v>
      </c>
      <c r="B262">
        <v>906</v>
      </c>
      <c r="C262">
        <v>8</v>
      </c>
      <c r="D262">
        <v>914</v>
      </c>
    </row>
    <row r="263" spans="1:4">
      <c r="A263" t="s">
        <v>1954</v>
      </c>
      <c r="B263">
        <v>1880</v>
      </c>
      <c r="C263" t="s">
        <v>358</v>
      </c>
      <c r="D263">
        <v>1880</v>
      </c>
    </row>
    <row r="264" spans="1:4">
      <c r="A264" t="s">
        <v>9160</v>
      </c>
      <c r="B264">
        <v>788</v>
      </c>
      <c r="C264">
        <v>3</v>
      </c>
      <c r="D264">
        <v>791</v>
      </c>
    </row>
    <row r="265" spans="1:4">
      <c r="A265" t="s">
        <v>9161</v>
      </c>
      <c r="B265">
        <v>604</v>
      </c>
      <c r="C265">
        <v>2</v>
      </c>
      <c r="D265">
        <v>606</v>
      </c>
    </row>
    <row r="266" spans="1:4">
      <c r="A266" t="s">
        <v>1956</v>
      </c>
      <c r="B266">
        <v>186</v>
      </c>
      <c r="C266">
        <v>1</v>
      </c>
      <c r="D266">
        <v>187</v>
      </c>
    </row>
    <row r="267" spans="1:4">
      <c r="A267" t="s">
        <v>9162</v>
      </c>
      <c r="B267">
        <v>4617</v>
      </c>
      <c r="C267">
        <v>6</v>
      </c>
      <c r="D267">
        <v>4623</v>
      </c>
    </row>
    <row r="268" spans="1:4">
      <c r="A268" t="s">
        <v>9163</v>
      </c>
      <c r="B268">
        <v>1835</v>
      </c>
      <c r="C268">
        <v>3</v>
      </c>
      <c r="D268">
        <v>1838</v>
      </c>
    </row>
    <row r="269" spans="1:4">
      <c r="A269" t="s">
        <v>9164</v>
      </c>
      <c r="B269">
        <v>2313</v>
      </c>
      <c r="C269">
        <v>2</v>
      </c>
      <c r="D269">
        <v>2315</v>
      </c>
    </row>
    <row r="270" spans="1:4">
      <c r="A270" t="s">
        <v>9165</v>
      </c>
      <c r="B270">
        <v>682</v>
      </c>
      <c r="C270">
        <v>3</v>
      </c>
      <c r="D270">
        <v>685</v>
      </c>
    </row>
    <row r="271" spans="1:4">
      <c r="A271" t="s">
        <v>9166</v>
      </c>
      <c r="B271">
        <v>4381</v>
      </c>
      <c r="C271" t="s">
        <v>358</v>
      </c>
      <c r="D271">
        <v>4381</v>
      </c>
    </row>
    <row r="272" spans="1:4">
      <c r="A272" t="s">
        <v>9167</v>
      </c>
      <c r="B272" t="s">
        <v>358</v>
      </c>
      <c r="C272" t="s">
        <v>358</v>
      </c>
      <c r="D272">
        <v>0</v>
      </c>
    </row>
    <row r="273" spans="1:4">
      <c r="A273" t="s">
        <v>2795</v>
      </c>
      <c r="B273">
        <v>1965</v>
      </c>
      <c r="C273">
        <v>1</v>
      </c>
      <c r="D273">
        <v>1966</v>
      </c>
    </row>
    <row r="274" spans="1:4">
      <c r="A274" t="s">
        <v>1875</v>
      </c>
      <c r="B274" t="s">
        <v>358</v>
      </c>
      <c r="C274" t="s">
        <v>358</v>
      </c>
      <c r="D274">
        <v>0</v>
      </c>
    </row>
    <row r="275" spans="1:4">
      <c r="A275" t="s">
        <v>2796</v>
      </c>
      <c r="B275">
        <v>135</v>
      </c>
      <c r="C275">
        <v>3</v>
      </c>
      <c r="D275">
        <v>138</v>
      </c>
    </row>
    <row r="276" spans="1:4">
      <c r="A276" t="s">
        <v>2797</v>
      </c>
      <c r="B276">
        <v>810</v>
      </c>
      <c r="C276" t="s">
        <v>358</v>
      </c>
      <c r="D276">
        <v>810</v>
      </c>
    </row>
    <row r="277" spans="1:4">
      <c r="A277" t="s">
        <v>2798</v>
      </c>
      <c r="B277">
        <v>1280</v>
      </c>
      <c r="C277">
        <v>2</v>
      </c>
      <c r="D277">
        <v>1282</v>
      </c>
    </row>
    <row r="278" spans="1:4">
      <c r="A278" t="s">
        <v>9168</v>
      </c>
      <c r="B278">
        <v>4967</v>
      </c>
      <c r="C278">
        <v>2</v>
      </c>
      <c r="D278">
        <v>4969</v>
      </c>
    </row>
    <row r="279" spans="1:4">
      <c r="A279" t="s">
        <v>2799</v>
      </c>
      <c r="B279">
        <v>2584</v>
      </c>
      <c r="C279">
        <v>0</v>
      </c>
      <c r="D279">
        <v>2584</v>
      </c>
    </row>
    <row r="280" spans="1:4">
      <c r="A280" t="s">
        <v>2800</v>
      </c>
      <c r="B280">
        <v>1259</v>
      </c>
      <c r="C280">
        <v>2</v>
      </c>
      <c r="D280">
        <v>1261</v>
      </c>
    </row>
    <row r="281" spans="1:4">
      <c r="A281" t="s">
        <v>9169</v>
      </c>
      <c r="B281">
        <v>213</v>
      </c>
      <c r="C281" t="s">
        <v>358</v>
      </c>
      <c r="D281">
        <v>213</v>
      </c>
    </row>
    <row r="282" spans="1:4">
      <c r="A282" t="s">
        <v>2801</v>
      </c>
      <c r="B282">
        <v>2979</v>
      </c>
      <c r="C282">
        <v>5</v>
      </c>
      <c r="D282">
        <v>2984</v>
      </c>
    </row>
    <row r="283" spans="1:4">
      <c r="A283" t="s">
        <v>2802</v>
      </c>
      <c r="B283">
        <v>2840</v>
      </c>
      <c r="C283">
        <v>2</v>
      </c>
      <c r="D283">
        <v>2842</v>
      </c>
    </row>
    <row r="284" spans="1:4">
      <c r="A284" t="s">
        <v>9170</v>
      </c>
      <c r="B284">
        <v>1646</v>
      </c>
      <c r="C284">
        <v>7</v>
      </c>
      <c r="D284">
        <v>1653</v>
      </c>
    </row>
    <row r="285" spans="1:4">
      <c r="A285" t="s">
        <v>2803</v>
      </c>
      <c r="B285">
        <v>1624</v>
      </c>
      <c r="C285">
        <v>1</v>
      </c>
      <c r="D285">
        <v>1625</v>
      </c>
    </row>
    <row r="286" spans="1:4">
      <c r="A286" t="s">
        <v>2804</v>
      </c>
      <c r="B286">
        <v>917</v>
      </c>
      <c r="C286">
        <v>5</v>
      </c>
      <c r="D286">
        <v>922</v>
      </c>
    </row>
    <row r="287" spans="1:4">
      <c r="A287" t="s">
        <v>2805</v>
      </c>
      <c r="B287">
        <v>110</v>
      </c>
      <c r="C287">
        <v>1</v>
      </c>
      <c r="D287">
        <v>111</v>
      </c>
    </row>
    <row r="288" spans="1:4">
      <c r="A288" t="s">
        <v>9171</v>
      </c>
      <c r="B288" t="s">
        <v>358</v>
      </c>
      <c r="C288" t="s">
        <v>358</v>
      </c>
      <c r="D288">
        <v>0</v>
      </c>
    </row>
    <row r="289" spans="1:4">
      <c r="A289" t="s">
        <v>9172</v>
      </c>
      <c r="B289" t="s">
        <v>358</v>
      </c>
      <c r="C289" t="s">
        <v>358</v>
      </c>
      <c r="D289">
        <v>0</v>
      </c>
    </row>
    <row r="290" spans="1:4">
      <c r="A290" t="s">
        <v>9173</v>
      </c>
      <c r="B290" t="s">
        <v>358</v>
      </c>
      <c r="C290" t="s">
        <v>358</v>
      </c>
      <c r="D290">
        <v>0</v>
      </c>
    </row>
    <row r="291" spans="1:4">
      <c r="A291" t="s">
        <v>9174</v>
      </c>
      <c r="B291" t="s">
        <v>358</v>
      </c>
      <c r="C291" t="s">
        <v>358</v>
      </c>
      <c r="D291">
        <v>0</v>
      </c>
    </row>
    <row r="292" spans="1:4">
      <c r="A292" t="s">
        <v>9175</v>
      </c>
      <c r="B292" t="s">
        <v>358</v>
      </c>
      <c r="C292" t="s">
        <v>358</v>
      </c>
      <c r="D292">
        <v>0</v>
      </c>
    </row>
    <row r="293" spans="1:4">
      <c r="A293" t="s">
        <v>9176</v>
      </c>
      <c r="B293" t="s">
        <v>358</v>
      </c>
      <c r="C293" t="s">
        <v>358</v>
      </c>
      <c r="D293">
        <v>0</v>
      </c>
    </row>
    <row r="294" spans="1:4">
      <c r="A294" t="s">
        <v>9177</v>
      </c>
      <c r="B294" t="s">
        <v>358</v>
      </c>
      <c r="C294" t="s">
        <v>358</v>
      </c>
      <c r="D294">
        <v>0</v>
      </c>
    </row>
    <row r="295" spans="1:4">
      <c r="A295" t="s">
        <v>9178</v>
      </c>
      <c r="B295" t="s">
        <v>358</v>
      </c>
      <c r="C295" t="s">
        <v>358</v>
      </c>
      <c r="D295">
        <v>0</v>
      </c>
    </row>
    <row r="296" spans="1:4">
      <c r="A296" t="s">
        <v>9179</v>
      </c>
      <c r="B296" t="s">
        <v>358</v>
      </c>
      <c r="C296" t="s">
        <v>358</v>
      </c>
      <c r="D296">
        <v>0</v>
      </c>
    </row>
    <row r="297" spans="1:4">
      <c r="A297" t="s">
        <v>9180</v>
      </c>
      <c r="B297" t="s">
        <v>358</v>
      </c>
      <c r="C297" t="s">
        <v>358</v>
      </c>
      <c r="D297">
        <v>0</v>
      </c>
    </row>
    <row r="298" spans="1:4">
      <c r="A298" t="s">
        <v>9181</v>
      </c>
      <c r="B298" t="s">
        <v>358</v>
      </c>
      <c r="C298" t="s">
        <v>358</v>
      </c>
      <c r="D298">
        <v>0</v>
      </c>
    </row>
    <row r="299" spans="1:4">
      <c r="A299" t="s">
        <v>9182</v>
      </c>
      <c r="B299" t="s">
        <v>358</v>
      </c>
      <c r="C299" t="s">
        <v>358</v>
      </c>
      <c r="D299">
        <v>0</v>
      </c>
    </row>
    <row r="300" spans="1:4">
      <c r="A300" t="s">
        <v>9183</v>
      </c>
      <c r="B300" t="s">
        <v>358</v>
      </c>
      <c r="C300" t="s">
        <v>358</v>
      </c>
      <c r="D300">
        <v>0</v>
      </c>
    </row>
    <row r="301" spans="1:4">
      <c r="A301" t="s">
        <v>9184</v>
      </c>
      <c r="B301" t="s">
        <v>358</v>
      </c>
      <c r="C301" t="s">
        <v>358</v>
      </c>
      <c r="D301">
        <v>0</v>
      </c>
    </row>
    <row r="302" spans="1:4">
      <c r="A302" t="s">
        <v>9185</v>
      </c>
      <c r="B302" t="s">
        <v>358</v>
      </c>
      <c r="C302" t="s">
        <v>358</v>
      </c>
      <c r="D302">
        <v>0</v>
      </c>
    </row>
    <row r="303" spans="1:4">
      <c r="A303" t="s">
        <v>9186</v>
      </c>
      <c r="B303" t="s">
        <v>358</v>
      </c>
      <c r="C303" t="s">
        <v>358</v>
      </c>
      <c r="D303">
        <v>0</v>
      </c>
    </row>
    <row r="304" spans="1:4">
      <c r="A304" t="s">
        <v>9187</v>
      </c>
      <c r="B304" t="s">
        <v>358</v>
      </c>
      <c r="C304" t="s">
        <v>358</v>
      </c>
      <c r="D304">
        <v>0</v>
      </c>
    </row>
    <row r="305" spans="1:4">
      <c r="A305" t="s">
        <v>9188</v>
      </c>
      <c r="B305" t="s">
        <v>358</v>
      </c>
      <c r="C305" t="s">
        <v>358</v>
      </c>
      <c r="D305">
        <v>0</v>
      </c>
    </row>
    <row r="306" spans="1:4">
      <c r="A306" t="s">
        <v>9189</v>
      </c>
      <c r="B306" t="s">
        <v>358</v>
      </c>
      <c r="C306" t="s">
        <v>358</v>
      </c>
      <c r="D306">
        <v>0</v>
      </c>
    </row>
    <row r="307" spans="1:4">
      <c r="A307" t="s">
        <v>9190</v>
      </c>
      <c r="B307" t="s">
        <v>358</v>
      </c>
      <c r="C307" t="s">
        <v>358</v>
      </c>
      <c r="D307">
        <v>0</v>
      </c>
    </row>
    <row r="308" spans="1:4">
      <c r="A308" t="s">
        <v>9191</v>
      </c>
      <c r="B308" t="s">
        <v>358</v>
      </c>
      <c r="C308" t="s">
        <v>358</v>
      </c>
      <c r="D308">
        <v>0</v>
      </c>
    </row>
    <row r="309" spans="1:4">
      <c r="A309" t="s">
        <v>9192</v>
      </c>
      <c r="B309" t="s">
        <v>358</v>
      </c>
      <c r="C309" t="s">
        <v>358</v>
      </c>
      <c r="D309">
        <v>0</v>
      </c>
    </row>
    <row r="310" spans="1:4">
      <c r="A310" t="s">
        <v>9193</v>
      </c>
      <c r="B310" t="s">
        <v>358</v>
      </c>
      <c r="C310" t="s">
        <v>358</v>
      </c>
      <c r="D310">
        <v>0</v>
      </c>
    </row>
    <row r="311" spans="1:4">
      <c r="A311" t="s">
        <v>9194</v>
      </c>
      <c r="B311" t="s">
        <v>358</v>
      </c>
      <c r="C311" t="s">
        <v>358</v>
      </c>
      <c r="D311">
        <v>0</v>
      </c>
    </row>
    <row r="312" spans="1:4">
      <c r="A312" t="s">
        <v>9195</v>
      </c>
      <c r="B312" t="s">
        <v>358</v>
      </c>
      <c r="C312" t="s">
        <v>358</v>
      </c>
      <c r="D312">
        <v>0</v>
      </c>
    </row>
    <row r="313" spans="1:4">
      <c r="A313" t="s">
        <v>9196</v>
      </c>
      <c r="B313" t="s">
        <v>358</v>
      </c>
      <c r="C313" t="s">
        <v>358</v>
      </c>
      <c r="D313">
        <v>0</v>
      </c>
    </row>
    <row r="314" spans="1:4">
      <c r="A314" t="s">
        <v>2806</v>
      </c>
      <c r="B314">
        <v>3209</v>
      </c>
      <c r="C314">
        <v>8</v>
      </c>
      <c r="D314">
        <v>3217</v>
      </c>
    </row>
    <row r="315" spans="1:4">
      <c r="A315" t="s">
        <v>2807</v>
      </c>
      <c r="B315">
        <v>3010</v>
      </c>
      <c r="C315">
        <v>4</v>
      </c>
      <c r="D315">
        <v>3014</v>
      </c>
    </row>
    <row r="316" spans="1:4">
      <c r="A316" t="s">
        <v>2808</v>
      </c>
      <c r="B316">
        <v>590</v>
      </c>
      <c r="C316">
        <v>1</v>
      </c>
      <c r="D316">
        <v>591</v>
      </c>
    </row>
    <row r="317" spans="1:4">
      <c r="A317" t="s">
        <v>2809</v>
      </c>
      <c r="B317">
        <v>1431</v>
      </c>
      <c r="C317">
        <v>1</v>
      </c>
      <c r="D317">
        <v>1432</v>
      </c>
    </row>
    <row r="318" spans="1:4">
      <c r="A318" t="s">
        <v>2810</v>
      </c>
      <c r="B318">
        <v>123</v>
      </c>
      <c r="C318">
        <v>2</v>
      </c>
      <c r="D318">
        <v>125</v>
      </c>
    </row>
    <row r="319" spans="1:4">
      <c r="A319" t="s">
        <v>9197</v>
      </c>
      <c r="B319">
        <v>2154</v>
      </c>
      <c r="C319" t="s">
        <v>358</v>
      </c>
      <c r="D319">
        <v>2154</v>
      </c>
    </row>
    <row r="320" spans="1:4">
      <c r="A320" t="s">
        <v>2811</v>
      </c>
      <c r="B320">
        <v>980</v>
      </c>
      <c r="C320">
        <v>6</v>
      </c>
      <c r="D320">
        <v>986</v>
      </c>
    </row>
    <row r="321" spans="1:4">
      <c r="A321" t="s">
        <v>2812</v>
      </c>
      <c r="B321">
        <v>1177</v>
      </c>
      <c r="C321">
        <v>9</v>
      </c>
      <c r="D321">
        <v>1186</v>
      </c>
    </row>
    <row r="322" spans="1:4">
      <c r="A322" t="s">
        <v>2813</v>
      </c>
      <c r="B322">
        <v>2582</v>
      </c>
      <c r="C322" t="s">
        <v>358</v>
      </c>
      <c r="D322">
        <v>2582</v>
      </c>
    </row>
    <row r="323" spans="1:4">
      <c r="A323" t="s">
        <v>2814</v>
      </c>
      <c r="B323">
        <v>3755</v>
      </c>
      <c r="C323" t="s">
        <v>358</v>
      </c>
      <c r="D323">
        <v>3755</v>
      </c>
    </row>
    <row r="324" spans="1:4">
      <c r="A324" t="s">
        <v>9198</v>
      </c>
      <c r="B324">
        <v>1709</v>
      </c>
      <c r="C324">
        <v>1</v>
      </c>
      <c r="D324">
        <v>1710</v>
      </c>
    </row>
    <row r="325" spans="1:4">
      <c r="A325" t="s">
        <v>2815</v>
      </c>
      <c r="B325">
        <v>3688</v>
      </c>
      <c r="C325">
        <v>1</v>
      </c>
      <c r="D325">
        <v>3689</v>
      </c>
    </row>
    <row r="326" spans="1:4">
      <c r="A326" t="s">
        <v>1958</v>
      </c>
      <c r="B326" t="s">
        <v>358</v>
      </c>
      <c r="C326" t="s">
        <v>358</v>
      </c>
      <c r="D326">
        <v>0</v>
      </c>
    </row>
    <row r="327" spans="1:4">
      <c r="A327" t="s">
        <v>9199</v>
      </c>
      <c r="B327" t="s">
        <v>358</v>
      </c>
      <c r="C327" t="s">
        <v>358</v>
      </c>
      <c r="D327">
        <v>0</v>
      </c>
    </row>
    <row r="328" spans="1:4">
      <c r="A328" t="s">
        <v>9200</v>
      </c>
      <c r="B328" t="s">
        <v>358</v>
      </c>
      <c r="C328" t="s">
        <v>358</v>
      </c>
      <c r="D328">
        <v>0</v>
      </c>
    </row>
    <row r="329" spans="1:4">
      <c r="A329" t="s">
        <v>9201</v>
      </c>
      <c r="B329" t="s">
        <v>358</v>
      </c>
      <c r="C329" t="s">
        <v>358</v>
      </c>
      <c r="D329">
        <v>0</v>
      </c>
    </row>
    <row r="330" spans="1:4">
      <c r="A330" t="s">
        <v>2816</v>
      </c>
      <c r="B330">
        <v>421</v>
      </c>
      <c r="C330">
        <v>1</v>
      </c>
      <c r="D330">
        <v>422</v>
      </c>
    </row>
    <row r="331" spans="1:4">
      <c r="A331" t="s">
        <v>2817</v>
      </c>
      <c r="B331">
        <v>463</v>
      </c>
      <c r="C331">
        <v>2</v>
      </c>
      <c r="D331">
        <v>465</v>
      </c>
    </row>
    <row r="332" spans="1:4">
      <c r="A332" t="s">
        <v>9202</v>
      </c>
      <c r="B332">
        <v>3249</v>
      </c>
      <c r="C332" t="s">
        <v>358</v>
      </c>
      <c r="D332">
        <v>3249</v>
      </c>
    </row>
    <row r="333" spans="1:4">
      <c r="A333" t="s">
        <v>2818</v>
      </c>
      <c r="B333">
        <v>2274</v>
      </c>
      <c r="C333" t="s">
        <v>358</v>
      </c>
      <c r="D333">
        <v>2274</v>
      </c>
    </row>
    <row r="334" spans="1:4">
      <c r="A334" t="s">
        <v>2819</v>
      </c>
      <c r="B334">
        <v>1131</v>
      </c>
      <c r="C334" t="s">
        <v>358</v>
      </c>
      <c r="D334">
        <v>1131</v>
      </c>
    </row>
    <row r="335" spans="1:4">
      <c r="A335" t="s">
        <v>9203</v>
      </c>
      <c r="B335">
        <v>1130</v>
      </c>
      <c r="C335">
        <v>5</v>
      </c>
      <c r="D335">
        <v>1135</v>
      </c>
    </row>
    <row r="336" spans="1:4">
      <c r="A336" t="s">
        <v>2820</v>
      </c>
      <c r="B336">
        <v>4854</v>
      </c>
      <c r="C336">
        <v>1</v>
      </c>
      <c r="D336">
        <v>4855</v>
      </c>
    </row>
    <row r="337" spans="1:4">
      <c r="A337" t="s">
        <v>2821</v>
      </c>
      <c r="B337">
        <v>3693</v>
      </c>
      <c r="C337">
        <v>4</v>
      </c>
      <c r="D337">
        <v>3697</v>
      </c>
    </row>
    <row r="338" spans="1:4">
      <c r="A338" t="s">
        <v>2822</v>
      </c>
      <c r="B338">
        <v>2420</v>
      </c>
      <c r="C338">
        <v>1</v>
      </c>
      <c r="D338">
        <v>2421</v>
      </c>
    </row>
    <row r="339" spans="1:4">
      <c r="A339" t="s">
        <v>9204</v>
      </c>
      <c r="B339">
        <v>5416</v>
      </c>
      <c r="C339">
        <v>2</v>
      </c>
      <c r="D339">
        <v>5418</v>
      </c>
    </row>
    <row r="340" spans="1:4">
      <c r="A340" t="s">
        <v>2823</v>
      </c>
      <c r="B340">
        <v>6177</v>
      </c>
      <c r="C340">
        <v>6</v>
      </c>
      <c r="D340">
        <v>6183</v>
      </c>
    </row>
    <row r="341" spans="1:4">
      <c r="A341" t="s">
        <v>2824</v>
      </c>
      <c r="B341">
        <v>676</v>
      </c>
      <c r="C341" t="s">
        <v>358</v>
      </c>
      <c r="D341">
        <v>676</v>
      </c>
    </row>
    <row r="342" spans="1:4">
      <c r="A342" t="s">
        <v>2825</v>
      </c>
      <c r="B342">
        <v>19</v>
      </c>
      <c r="C342">
        <v>4</v>
      </c>
      <c r="D342">
        <v>23</v>
      </c>
    </row>
    <row r="343" spans="1:4">
      <c r="A343" t="s">
        <v>9205</v>
      </c>
      <c r="B343">
        <v>3465</v>
      </c>
      <c r="C343">
        <v>2</v>
      </c>
      <c r="D343">
        <v>3467</v>
      </c>
    </row>
    <row r="344" spans="1:4">
      <c r="A344" t="s">
        <v>9206</v>
      </c>
      <c r="B344">
        <v>1441</v>
      </c>
      <c r="C344">
        <v>14</v>
      </c>
      <c r="D344">
        <v>1455</v>
      </c>
    </row>
    <row r="345" spans="1:4">
      <c r="A345" t="s">
        <v>2826</v>
      </c>
      <c r="B345">
        <v>1476</v>
      </c>
      <c r="C345">
        <v>1</v>
      </c>
      <c r="D345">
        <v>1477</v>
      </c>
    </row>
    <row r="346" spans="1:4">
      <c r="A346" t="s">
        <v>2827</v>
      </c>
      <c r="B346">
        <v>1828</v>
      </c>
      <c r="C346">
        <v>3</v>
      </c>
      <c r="D346">
        <v>1831</v>
      </c>
    </row>
    <row r="347" spans="1:4">
      <c r="A347" t="s">
        <v>2828</v>
      </c>
      <c r="B347">
        <v>1319</v>
      </c>
      <c r="C347" t="s">
        <v>358</v>
      </c>
      <c r="D347">
        <v>1319</v>
      </c>
    </row>
    <row r="348" spans="1:4">
      <c r="A348" t="s">
        <v>9207</v>
      </c>
      <c r="B348">
        <v>3026</v>
      </c>
      <c r="C348">
        <v>4</v>
      </c>
      <c r="D348">
        <v>3030</v>
      </c>
    </row>
    <row r="349" spans="1:4">
      <c r="A349" t="s">
        <v>9208</v>
      </c>
      <c r="B349">
        <v>367</v>
      </c>
      <c r="C349">
        <v>7</v>
      </c>
      <c r="D349">
        <v>374</v>
      </c>
    </row>
    <row r="350" spans="1:4">
      <c r="A350" t="s">
        <v>2829</v>
      </c>
      <c r="B350">
        <v>3424</v>
      </c>
      <c r="C350">
        <v>4</v>
      </c>
      <c r="D350">
        <v>3428</v>
      </c>
    </row>
    <row r="351" spans="1:4">
      <c r="A351" t="s">
        <v>2830</v>
      </c>
      <c r="B351">
        <v>1285</v>
      </c>
      <c r="C351">
        <v>1</v>
      </c>
      <c r="D351">
        <v>1286</v>
      </c>
    </row>
    <row r="352" spans="1:4">
      <c r="A352" t="s">
        <v>2831</v>
      </c>
      <c r="B352">
        <v>1565</v>
      </c>
      <c r="C352">
        <v>1</v>
      </c>
      <c r="D352">
        <v>1566</v>
      </c>
    </row>
    <row r="353" spans="1:4">
      <c r="A353" t="s">
        <v>2832</v>
      </c>
      <c r="B353" t="s">
        <v>358</v>
      </c>
      <c r="C353" t="s">
        <v>358</v>
      </c>
      <c r="D353">
        <v>0</v>
      </c>
    </row>
    <row r="354" spans="1:4">
      <c r="A354" t="s">
        <v>9209</v>
      </c>
      <c r="B354">
        <v>70</v>
      </c>
      <c r="C354">
        <v>1</v>
      </c>
      <c r="D354">
        <v>71</v>
      </c>
    </row>
    <row r="355" spans="1:4">
      <c r="A355" t="s">
        <v>2833</v>
      </c>
      <c r="B355">
        <v>380</v>
      </c>
      <c r="C355" t="s">
        <v>358</v>
      </c>
      <c r="D355">
        <v>380</v>
      </c>
    </row>
    <row r="356" spans="1:4">
      <c r="A356" t="s">
        <v>9210</v>
      </c>
      <c r="B356">
        <v>2209</v>
      </c>
      <c r="C356">
        <v>1</v>
      </c>
      <c r="D356">
        <v>2210</v>
      </c>
    </row>
    <row r="357" spans="1:4">
      <c r="A357" t="s">
        <v>9211</v>
      </c>
      <c r="B357">
        <v>4835</v>
      </c>
      <c r="C357">
        <v>2</v>
      </c>
      <c r="D357">
        <v>4837</v>
      </c>
    </row>
    <row r="358" spans="1:4">
      <c r="A358" t="s">
        <v>9212</v>
      </c>
      <c r="B358">
        <v>3126</v>
      </c>
      <c r="C358">
        <v>2</v>
      </c>
      <c r="D358">
        <v>3128</v>
      </c>
    </row>
    <row r="359" spans="1:4">
      <c r="A359" t="s">
        <v>9213</v>
      </c>
      <c r="B359">
        <v>2466</v>
      </c>
      <c r="C359" t="s">
        <v>358</v>
      </c>
      <c r="D359">
        <v>2466</v>
      </c>
    </row>
    <row r="360" spans="1:4">
      <c r="A360" t="s">
        <v>9214</v>
      </c>
      <c r="B360" t="s">
        <v>358</v>
      </c>
      <c r="C360" t="s">
        <v>358</v>
      </c>
      <c r="D360">
        <v>0</v>
      </c>
    </row>
    <row r="361" spans="1:4">
      <c r="A361" t="s">
        <v>1877</v>
      </c>
      <c r="B361">
        <v>166</v>
      </c>
      <c r="C361">
        <v>5</v>
      </c>
      <c r="D361">
        <v>171</v>
      </c>
    </row>
    <row r="362" spans="1:4">
      <c r="A362" t="s">
        <v>9215</v>
      </c>
      <c r="B362">
        <v>117</v>
      </c>
      <c r="C362">
        <v>7</v>
      </c>
      <c r="D362">
        <v>124</v>
      </c>
    </row>
    <row r="363" spans="1:4">
      <c r="A363" t="s">
        <v>9216</v>
      </c>
      <c r="B363">
        <v>150</v>
      </c>
      <c r="C363">
        <v>9</v>
      </c>
      <c r="D363">
        <v>159</v>
      </c>
    </row>
    <row r="364" spans="1:4">
      <c r="A364" t="s">
        <v>9217</v>
      </c>
      <c r="B364">
        <v>5160</v>
      </c>
      <c r="C364">
        <v>8</v>
      </c>
      <c r="D364">
        <v>5168</v>
      </c>
    </row>
    <row r="365" spans="1:4">
      <c r="A365" t="s">
        <v>9218</v>
      </c>
      <c r="B365">
        <v>1905</v>
      </c>
      <c r="C365">
        <v>1</v>
      </c>
      <c r="D365">
        <v>1906</v>
      </c>
    </row>
    <row r="366" spans="1:4">
      <c r="A366" t="s">
        <v>9219</v>
      </c>
      <c r="B366">
        <v>589</v>
      </c>
      <c r="C366">
        <v>10</v>
      </c>
      <c r="D366">
        <v>599</v>
      </c>
    </row>
    <row r="367" spans="1:4">
      <c r="A367" t="s">
        <v>9220</v>
      </c>
      <c r="B367">
        <v>3114</v>
      </c>
      <c r="C367" t="s">
        <v>358</v>
      </c>
      <c r="D367">
        <v>3114</v>
      </c>
    </row>
    <row r="368" spans="1:4">
      <c r="A368" t="s">
        <v>9221</v>
      </c>
      <c r="B368">
        <v>2937</v>
      </c>
      <c r="C368">
        <v>9</v>
      </c>
      <c r="D368">
        <v>2946</v>
      </c>
    </row>
    <row r="369" spans="1:4">
      <c r="A369" t="s">
        <v>9222</v>
      </c>
      <c r="B369">
        <v>4447</v>
      </c>
      <c r="C369">
        <v>4</v>
      </c>
      <c r="D369">
        <v>4451</v>
      </c>
    </row>
    <row r="370" spans="1:4">
      <c r="A370" t="s">
        <v>9223</v>
      </c>
      <c r="B370">
        <v>3162</v>
      </c>
      <c r="C370">
        <v>1</v>
      </c>
      <c r="D370">
        <v>3163</v>
      </c>
    </row>
    <row r="371" spans="1:4">
      <c r="A371" t="s">
        <v>9224</v>
      </c>
      <c r="B371">
        <v>362</v>
      </c>
      <c r="C371">
        <v>16</v>
      </c>
      <c r="D371">
        <v>378</v>
      </c>
    </row>
    <row r="372" spans="1:4">
      <c r="A372" t="s">
        <v>9225</v>
      </c>
      <c r="B372">
        <v>1445</v>
      </c>
      <c r="C372">
        <v>6</v>
      </c>
      <c r="D372">
        <v>1451</v>
      </c>
    </row>
    <row r="373" spans="1:4">
      <c r="A373" t="s">
        <v>9226</v>
      </c>
      <c r="B373">
        <v>1346</v>
      </c>
      <c r="C373">
        <v>4</v>
      </c>
      <c r="D373">
        <v>1350</v>
      </c>
    </row>
    <row r="374" spans="1:4">
      <c r="A374" t="s">
        <v>9227</v>
      </c>
      <c r="B374">
        <v>2234</v>
      </c>
      <c r="C374">
        <v>3</v>
      </c>
      <c r="D374">
        <v>2237</v>
      </c>
    </row>
    <row r="375" spans="1:4">
      <c r="A375" t="s">
        <v>9228</v>
      </c>
      <c r="B375">
        <v>2211</v>
      </c>
      <c r="C375" t="s">
        <v>358</v>
      </c>
      <c r="D375">
        <v>2211</v>
      </c>
    </row>
    <row r="376" spans="1:4">
      <c r="A376" t="s">
        <v>9229</v>
      </c>
      <c r="B376">
        <v>347</v>
      </c>
      <c r="C376">
        <v>20</v>
      </c>
      <c r="D376">
        <v>367</v>
      </c>
    </row>
    <row r="377" spans="1:4">
      <c r="A377" t="s">
        <v>9230</v>
      </c>
      <c r="B377">
        <v>994</v>
      </c>
      <c r="C377" t="s">
        <v>358</v>
      </c>
      <c r="D377">
        <v>994</v>
      </c>
    </row>
    <row r="378" spans="1:4">
      <c r="A378" t="s">
        <v>9231</v>
      </c>
      <c r="B378">
        <v>352</v>
      </c>
      <c r="C378">
        <v>5</v>
      </c>
      <c r="D378">
        <v>357</v>
      </c>
    </row>
    <row r="379" spans="1:4">
      <c r="A379" t="s">
        <v>9232</v>
      </c>
      <c r="B379">
        <v>794</v>
      </c>
      <c r="C379">
        <v>12</v>
      </c>
      <c r="D379">
        <v>806</v>
      </c>
    </row>
    <row r="380" spans="1:4">
      <c r="A380" t="s">
        <v>9233</v>
      </c>
      <c r="B380">
        <v>92</v>
      </c>
      <c r="C380">
        <v>4</v>
      </c>
      <c r="D380">
        <v>96</v>
      </c>
    </row>
    <row r="381" spans="1:4">
      <c r="A381" t="s">
        <v>2834</v>
      </c>
      <c r="B381">
        <v>1933</v>
      </c>
      <c r="C381">
        <v>4</v>
      </c>
      <c r="D381">
        <v>1937</v>
      </c>
    </row>
    <row r="382" spans="1:4">
      <c r="A382" t="s">
        <v>2835</v>
      </c>
      <c r="B382">
        <v>586</v>
      </c>
      <c r="C382">
        <v>1</v>
      </c>
      <c r="D382">
        <v>587</v>
      </c>
    </row>
    <row r="383" spans="1:4">
      <c r="A383" t="s">
        <v>2836</v>
      </c>
      <c r="B383">
        <v>1272</v>
      </c>
      <c r="C383">
        <v>7</v>
      </c>
      <c r="D383">
        <v>1279</v>
      </c>
    </row>
    <row r="384" spans="1:4">
      <c r="A384" t="s">
        <v>9234</v>
      </c>
      <c r="B384">
        <v>3318</v>
      </c>
      <c r="C384" t="s">
        <v>358</v>
      </c>
      <c r="D384">
        <v>3318</v>
      </c>
    </row>
    <row r="385" spans="1:4">
      <c r="A385" t="s">
        <v>2837</v>
      </c>
      <c r="B385">
        <v>497</v>
      </c>
      <c r="C385">
        <v>1</v>
      </c>
      <c r="D385">
        <v>498</v>
      </c>
    </row>
    <row r="386" spans="1:4">
      <c r="A386" t="s">
        <v>9235</v>
      </c>
      <c r="B386">
        <v>1651</v>
      </c>
      <c r="C386">
        <v>1</v>
      </c>
      <c r="D386">
        <v>1652</v>
      </c>
    </row>
    <row r="387" spans="1:4">
      <c r="A387" t="s">
        <v>2838</v>
      </c>
      <c r="B387">
        <v>1911</v>
      </c>
      <c r="C387">
        <v>4</v>
      </c>
      <c r="D387">
        <v>1915</v>
      </c>
    </row>
    <row r="388" spans="1:4">
      <c r="A388" t="s">
        <v>2839</v>
      </c>
      <c r="B388">
        <v>1585</v>
      </c>
      <c r="C388">
        <v>3</v>
      </c>
      <c r="D388">
        <v>1588</v>
      </c>
    </row>
    <row r="389" spans="1:4">
      <c r="A389" t="s">
        <v>9236</v>
      </c>
      <c r="B389">
        <v>2471</v>
      </c>
      <c r="C389">
        <v>3</v>
      </c>
      <c r="D389">
        <v>2474</v>
      </c>
    </row>
    <row r="390" spans="1:4">
      <c r="A390" t="s">
        <v>2840</v>
      </c>
      <c r="B390">
        <v>1935</v>
      </c>
      <c r="C390">
        <v>5</v>
      </c>
      <c r="D390">
        <v>1940</v>
      </c>
    </row>
    <row r="391" spans="1:4">
      <c r="A391" t="s">
        <v>9237</v>
      </c>
      <c r="B391" t="s">
        <v>358</v>
      </c>
      <c r="C391" t="s">
        <v>358</v>
      </c>
      <c r="D391">
        <v>0</v>
      </c>
    </row>
    <row r="392" spans="1:4">
      <c r="A392" t="s">
        <v>2841</v>
      </c>
      <c r="B392">
        <v>1609</v>
      </c>
      <c r="C392" t="s">
        <v>358</v>
      </c>
      <c r="D392">
        <v>1609</v>
      </c>
    </row>
    <row r="393" spans="1:4">
      <c r="A393" t="s">
        <v>9238</v>
      </c>
      <c r="B393">
        <v>871</v>
      </c>
      <c r="C393">
        <v>2</v>
      </c>
      <c r="D393">
        <v>873</v>
      </c>
    </row>
    <row r="394" spans="1:4">
      <c r="A394" t="s">
        <v>9239</v>
      </c>
      <c r="B394">
        <v>2588</v>
      </c>
      <c r="C394">
        <v>4</v>
      </c>
      <c r="D394">
        <v>2592</v>
      </c>
    </row>
    <row r="395" spans="1:4">
      <c r="A395" t="s">
        <v>9240</v>
      </c>
      <c r="B395">
        <v>1827</v>
      </c>
      <c r="C395" t="s">
        <v>358</v>
      </c>
      <c r="D395">
        <v>1827</v>
      </c>
    </row>
    <row r="396" spans="1:4">
      <c r="A396" t="s">
        <v>9241</v>
      </c>
      <c r="B396">
        <v>3912</v>
      </c>
      <c r="C396">
        <v>2</v>
      </c>
      <c r="D396">
        <v>3914</v>
      </c>
    </row>
    <row r="397" spans="1:4">
      <c r="A397" t="s">
        <v>2842</v>
      </c>
      <c r="B397">
        <v>3831</v>
      </c>
      <c r="C397">
        <v>2</v>
      </c>
      <c r="D397">
        <v>3833</v>
      </c>
    </row>
    <row r="398" spans="1:4">
      <c r="A398" t="s">
        <v>2843</v>
      </c>
      <c r="B398">
        <v>368</v>
      </c>
      <c r="C398" t="s">
        <v>358</v>
      </c>
      <c r="D398">
        <v>368</v>
      </c>
    </row>
    <row r="399" spans="1:4">
      <c r="A399" t="s">
        <v>2844</v>
      </c>
      <c r="B399">
        <v>414</v>
      </c>
      <c r="C399">
        <v>1</v>
      </c>
      <c r="D399">
        <v>415</v>
      </c>
    </row>
    <row r="400" spans="1:4">
      <c r="A400" t="s">
        <v>2845</v>
      </c>
      <c r="B400">
        <v>51</v>
      </c>
      <c r="C400">
        <v>3</v>
      </c>
      <c r="D400">
        <v>54</v>
      </c>
    </row>
    <row r="401" spans="1:4">
      <c r="A401" t="s">
        <v>9242</v>
      </c>
      <c r="B401">
        <v>2184</v>
      </c>
      <c r="C401">
        <v>4</v>
      </c>
      <c r="D401">
        <v>2188</v>
      </c>
    </row>
    <row r="402" spans="1:4">
      <c r="A402" t="s">
        <v>2846</v>
      </c>
      <c r="B402">
        <v>1239</v>
      </c>
      <c r="C402">
        <v>2</v>
      </c>
      <c r="D402">
        <v>1241</v>
      </c>
    </row>
    <row r="403" spans="1:4">
      <c r="A403" t="s">
        <v>9243</v>
      </c>
      <c r="B403">
        <v>1026</v>
      </c>
      <c r="C403">
        <v>1</v>
      </c>
      <c r="D403">
        <v>1027</v>
      </c>
    </row>
    <row r="404" spans="1:4">
      <c r="A404" t="s">
        <v>9244</v>
      </c>
      <c r="B404">
        <v>450</v>
      </c>
      <c r="C404">
        <v>2</v>
      </c>
      <c r="D404">
        <v>452</v>
      </c>
    </row>
    <row r="405" spans="1:4">
      <c r="A405" t="s">
        <v>9245</v>
      </c>
      <c r="B405">
        <v>3758</v>
      </c>
      <c r="C405">
        <v>1</v>
      </c>
      <c r="D405">
        <v>3759</v>
      </c>
    </row>
    <row r="406" spans="1:4">
      <c r="A406" t="s">
        <v>2847</v>
      </c>
      <c r="B406">
        <v>820</v>
      </c>
      <c r="C406">
        <v>2</v>
      </c>
      <c r="D406">
        <v>822</v>
      </c>
    </row>
    <row r="407" spans="1:4">
      <c r="A407" t="s">
        <v>2848</v>
      </c>
      <c r="B407">
        <v>2835</v>
      </c>
      <c r="C407">
        <v>2</v>
      </c>
      <c r="D407">
        <v>2837</v>
      </c>
    </row>
    <row r="408" spans="1:4">
      <c r="A408" t="s">
        <v>9246</v>
      </c>
      <c r="B408">
        <v>2689</v>
      </c>
      <c r="C408">
        <v>2</v>
      </c>
      <c r="D408">
        <v>2691</v>
      </c>
    </row>
    <row r="409" spans="1:4">
      <c r="A409" t="s">
        <v>9247</v>
      </c>
      <c r="B409">
        <v>978</v>
      </c>
      <c r="C409">
        <v>1</v>
      </c>
      <c r="D409">
        <v>979</v>
      </c>
    </row>
    <row r="410" spans="1:4">
      <c r="A410" t="s">
        <v>9248</v>
      </c>
      <c r="B410">
        <v>2101</v>
      </c>
      <c r="C410">
        <v>3</v>
      </c>
      <c r="D410">
        <v>2104</v>
      </c>
    </row>
    <row r="411" spans="1:4">
      <c r="A411" t="s">
        <v>2849</v>
      </c>
      <c r="B411">
        <v>1791</v>
      </c>
      <c r="C411">
        <v>2</v>
      </c>
      <c r="D411">
        <v>1793</v>
      </c>
    </row>
    <row r="412" spans="1:4">
      <c r="A412" t="s">
        <v>9249</v>
      </c>
      <c r="B412" t="s">
        <v>358</v>
      </c>
      <c r="C412" t="s">
        <v>358</v>
      </c>
      <c r="D412">
        <v>0</v>
      </c>
    </row>
    <row r="413" spans="1:4">
      <c r="A413" t="s">
        <v>2850</v>
      </c>
      <c r="B413">
        <v>690</v>
      </c>
      <c r="C413">
        <v>4</v>
      </c>
      <c r="D413">
        <v>694</v>
      </c>
    </row>
    <row r="414" spans="1:4">
      <c r="A414" t="s">
        <v>2851</v>
      </c>
      <c r="B414">
        <v>1411</v>
      </c>
      <c r="C414">
        <v>3</v>
      </c>
      <c r="D414">
        <v>1414</v>
      </c>
    </row>
    <row r="415" spans="1:4">
      <c r="A415" t="s">
        <v>2852</v>
      </c>
      <c r="B415">
        <v>2128</v>
      </c>
      <c r="C415">
        <v>6</v>
      </c>
      <c r="D415">
        <v>2134</v>
      </c>
    </row>
    <row r="416" spans="1:4">
      <c r="A416" t="s">
        <v>9250</v>
      </c>
      <c r="B416">
        <v>1757</v>
      </c>
      <c r="C416">
        <v>7</v>
      </c>
      <c r="D416">
        <v>1764</v>
      </c>
    </row>
    <row r="417" spans="1:4">
      <c r="A417" t="s">
        <v>2853</v>
      </c>
      <c r="B417">
        <v>1785</v>
      </c>
      <c r="C417">
        <v>4</v>
      </c>
      <c r="D417">
        <v>1789</v>
      </c>
    </row>
    <row r="418" spans="1:4">
      <c r="A418" t="s">
        <v>9251</v>
      </c>
      <c r="B418">
        <v>122</v>
      </c>
      <c r="C418">
        <v>1</v>
      </c>
      <c r="D418">
        <v>123</v>
      </c>
    </row>
    <row r="419" spans="1:4">
      <c r="A419" t="s">
        <v>2854</v>
      </c>
      <c r="B419">
        <v>334</v>
      </c>
      <c r="C419">
        <v>3</v>
      </c>
      <c r="D419">
        <v>337</v>
      </c>
    </row>
    <row r="420" spans="1:4">
      <c r="A420" t="s">
        <v>2855</v>
      </c>
      <c r="B420">
        <v>1082</v>
      </c>
      <c r="C420">
        <v>1</v>
      </c>
      <c r="D420">
        <v>1083</v>
      </c>
    </row>
    <row r="421" spans="1:4">
      <c r="A421" t="s">
        <v>2856</v>
      </c>
      <c r="B421">
        <v>750</v>
      </c>
      <c r="C421">
        <v>5</v>
      </c>
      <c r="D421">
        <v>755</v>
      </c>
    </row>
    <row r="422" spans="1:4">
      <c r="A422" t="s">
        <v>9252</v>
      </c>
      <c r="B422">
        <v>488</v>
      </c>
      <c r="C422">
        <v>2</v>
      </c>
      <c r="D422">
        <v>490</v>
      </c>
    </row>
    <row r="423" spans="1:4">
      <c r="A423" t="s">
        <v>2857</v>
      </c>
      <c r="B423">
        <v>1338</v>
      </c>
      <c r="C423">
        <v>4</v>
      </c>
      <c r="D423">
        <v>1342</v>
      </c>
    </row>
    <row r="424" spans="1:4">
      <c r="A424" t="s">
        <v>2858</v>
      </c>
      <c r="B424">
        <v>1620</v>
      </c>
      <c r="C424">
        <v>3</v>
      </c>
      <c r="D424">
        <v>1623</v>
      </c>
    </row>
    <row r="425" spans="1:4">
      <c r="A425" t="s">
        <v>2859</v>
      </c>
      <c r="B425">
        <v>3238</v>
      </c>
      <c r="C425">
        <v>2</v>
      </c>
      <c r="D425">
        <v>3240</v>
      </c>
    </row>
    <row r="426" spans="1:4">
      <c r="A426" t="s">
        <v>2860</v>
      </c>
      <c r="B426">
        <v>1185</v>
      </c>
      <c r="C426">
        <v>1</v>
      </c>
      <c r="D426">
        <v>1186</v>
      </c>
    </row>
    <row r="427" spans="1:4">
      <c r="A427" t="s">
        <v>9253</v>
      </c>
      <c r="B427">
        <v>1210</v>
      </c>
      <c r="C427">
        <v>2</v>
      </c>
      <c r="D427">
        <v>1212</v>
      </c>
    </row>
    <row r="428" spans="1:4">
      <c r="A428" t="s">
        <v>9254</v>
      </c>
      <c r="B428" t="s">
        <v>358</v>
      </c>
      <c r="C428" t="s">
        <v>358</v>
      </c>
      <c r="D428">
        <v>0</v>
      </c>
    </row>
    <row r="429" spans="1:4">
      <c r="A429" t="s">
        <v>9255</v>
      </c>
      <c r="B429">
        <v>1301</v>
      </c>
      <c r="C429">
        <v>6</v>
      </c>
      <c r="D429">
        <v>1307</v>
      </c>
    </row>
    <row r="430" spans="1:4">
      <c r="A430" t="s">
        <v>9256</v>
      </c>
      <c r="B430">
        <v>149</v>
      </c>
      <c r="C430">
        <v>1</v>
      </c>
      <c r="D430">
        <v>150</v>
      </c>
    </row>
    <row r="431" spans="1:4">
      <c r="A431" t="s">
        <v>9257</v>
      </c>
      <c r="B431">
        <v>929</v>
      </c>
      <c r="C431">
        <v>4</v>
      </c>
      <c r="D431">
        <v>933</v>
      </c>
    </row>
    <row r="432" spans="1:4">
      <c r="A432" t="s">
        <v>9258</v>
      </c>
      <c r="B432">
        <v>2746</v>
      </c>
      <c r="C432">
        <v>8</v>
      </c>
      <c r="D432">
        <v>2754</v>
      </c>
    </row>
    <row r="433" spans="1:4">
      <c r="A433" t="s">
        <v>9259</v>
      </c>
      <c r="B433">
        <v>324</v>
      </c>
      <c r="C433" t="s">
        <v>358</v>
      </c>
      <c r="D433">
        <v>324</v>
      </c>
    </row>
    <row r="434" spans="1:4">
      <c r="A434" t="s">
        <v>9260</v>
      </c>
      <c r="B434" t="s">
        <v>358</v>
      </c>
      <c r="C434" t="s">
        <v>358</v>
      </c>
      <c r="D434">
        <v>0</v>
      </c>
    </row>
    <row r="435" spans="1:4">
      <c r="A435" t="s">
        <v>9261</v>
      </c>
      <c r="B435">
        <v>656</v>
      </c>
      <c r="C435">
        <v>3</v>
      </c>
      <c r="D435">
        <v>659</v>
      </c>
    </row>
    <row r="436" spans="1:4">
      <c r="A436" t="s">
        <v>9262</v>
      </c>
      <c r="B436">
        <v>1093</v>
      </c>
      <c r="C436">
        <v>5</v>
      </c>
      <c r="D436">
        <v>1098</v>
      </c>
    </row>
    <row r="437" spans="1:4">
      <c r="A437" t="s">
        <v>9263</v>
      </c>
      <c r="B437">
        <v>518</v>
      </c>
      <c r="C437">
        <v>4</v>
      </c>
      <c r="D437">
        <v>522</v>
      </c>
    </row>
    <row r="438" spans="1:4">
      <c r="A438" t="s">
        <v>9264</v>
      </c>
      <c r="B438">
        <v>1272</v>
      </c>
      <c r="C438">
        <v>4</v>
      </c>
      <c r="D438">
        <v>1276</v>
      </c>
    </row>
    <row r="439" spans="1:4">
      <c r="A439" t="s">
        <v>9265</v>
      </c>
      <c r="B439">
        <v>2174</v>
      </c>
      <c r="C439">
        <v>2</v>
      </c>
      <c r="D439">
        <v>2176</v>
      </c>
    </row>
    <row r="440" spans="1:4">
      <c r="A440" t="s">
        <v>9266</v>
      </c>
      <c r="B440">
        <v>1869</v>
      </c>
      <c r="C440">
        <v>2</v>
      </c>
      <c r="D440">
        <v>1871</v>
      </c>
    </row>
    <row r="441" spans="1:4">
      <c r="A441" t="s">
        <v>9267</v>
      </c>
      <c r="B441">
        <v>5249</v>
      </c>
      <c r="C441">
        <v>4</v>
      </c>
      <c r="D441">
        <v>5253</v>
      </c>
    </row>
    <row r="442" spans="1:4">
      <c r="A442" t="s">
        <v>9268</v>
      </c>
      <c r="B442">
        <v>1406</v>
      </c>
      <c r="C442">
        <v>4</v>
      </c>
      <c r="D442">
        <v>1410</v>
      </c>
    </row>
    <row r="443" spans="1:4">
      <c r="A443" t="s">
        <v>9269</v>
      </c>
      <c r="B443">
        <v>1788</v>
      </c>
      <c r="C443">
        <v>6</v>
      </c>
      <c r="D443">
        <v>1794</v>
      </c>
    </row>
    <row r="444" spans="1:4">
      <c r="A444" t="s">
        <v>9270</v>
      </c>
      <c r="B444" t="s">
        <v>358</v>
      </c>
      <c r="C444" t="s">
        <v>358</v>
      </c>
      <c r="D444">
        <v>0</v>
      </c>
    </row>
    <row r="445" spans="1:4">
      <c r="A445" t="s">
        <v>2861</v>
      </c>
      <c r="B445" t="s">
        <v>358</v>
      </c>
      <c r="C445">
        <v>1</v>
      </c>
      <c r="D445">
        <v>1</v>
      </c>
    </row>
    <row r="446" spans="1:4">
      <c r="A446" t="s">
        <v>9271</v>
      </c>
      <c r="B446">
        <v>2343</v>
      </c>
      <c r="C446" t="s">
        <v>358</v>
      </c>
      <c r="D446">
        <v>2343</v>
      </c>
    </row>
    <row r="447" spans="1:4">
      <c r="A447" t="s">
        <v>9272</v>
      </c>
      <c r="B447">
        <v>1104</v>
      </c>
      <c r="C447">
        <v>3</v>
      </c>
      <c r="D447">
        <v>1107</v>
      </c>
    </row>
    <row r="448" spans="1:4">
      <c r="A448" t="s">
        <v>9273</v>
      </c>
      <c r="B448">
        <v>2325</v>
      </c>
      <c r="C448">
        <v>6</v>
      </c>
      <c r="D448">
        <v>2331</v>
      </c>
    </row>
    <row r="449" spans="1:4">
      <c r="A449" t="s">
        <v>9274</v>
      </c>
      <c r="B449" t="s">
        <v>358</v>
      </c>
      <c r="C449" t="s">
        <v>358</v>
      </c>
      <c r="D449">
        <v>0</v>
      </c>
    </row>
    <row r="450" spans="1:4">
      <c r="A450" t="s">
        <v>9275</v>
      </c>
      <c r="B450" t="s">
        <v>358</v>
      </c>
      <c r="C450" t="s">
        <v>358</v>
      </c>
      <c r="D450">
        <v>0</v>
      </c>
    </row>
    <row r="451" spans="1:4">
      <c r="A451" t="s">
        <v>9276</v>
      </c>
      <c r="B451">
        <v>1016</v>
      </c>
      <c r="C451">
        <v>3</v>
      </c>
      <c r="D451">
        <v>1019</v>
      </c>
    </row>
    <row r="452" spans="1:4">
      <c r="A452" t="s">
        <v>9277</v>
      </c>
      <c r="B452">
        <v>4280</v>
      </c>
      <c r="C452">
        <v>2</v>
      </c>
      <c r="D452">
        <v>4282</v>
      </c>
    </row>
    <row r="453" spans="1:4">
      <c r="A453" t="s">
        <v>9278</v>
      </c>
      <c r="B453">
        <v>744</v>
      </c>
      <c r="C453">
        <v>4</v>
      </c>
      <c r="D453">
        <v>748</v>
      </c>
    </row>
    <row r="454" spans="1:4">
      <c r="A454" t="s">
        <v>9279</v>
      </c>
      <c r="B454">
        <v>51</v>
      </c>
      <c r="C454">
        <v>5</v>
      </c>
      <c r="D454">
        <v>56</v>
      </c>
    </row>
    <row r="455" spans="1:4">
      <c r="A455" t="s">
        <v>2862</v>
      </c>
      <c r="B455" t="s">
        <v>358</v>
      </c>
      <c r="C455" t="s">
        <v>358</v>
      </c>
      <c r="D455">
        <v>0</v>
      </c>
    </row>
    <row r="456" spans="1:4">
      <c r="A456" t="s">
        <v>9280</v>
      </c>
      <c r="B456" t="s">
        <v>358</v>
      </c>
      <c r="C456" t="s">
        <v>358</v>
      </c>
      <c r="D456">
        <v>0</v>
      </c>
    </row>
    <row r="457" spans="1:4">
      <c r="A457" t="s">
        <v>2863</v>
      </c>
      <c r="B457">
        <v>1436</v>
      </c>
      <c r="C457">
        <v>4</v>
      </c>
      <c r="D457">
        <v>1440</v>
      </c>
    </row>
    <row r="458" spans="1:4">
      <c r="A458" t="s">
        <v>2864</v>
      </c>
      <c r="B458" t="s">
        <v>358</v>
      </c>
      <c r="C458" t="s">
        <v>358</v>
      </c>
      <c r="D458">
        <v>0</v>
      </c>
    </row>
    <row r="459" spans="1:4">
      <c r="A459" t="s">
        <v>2865</v>
      </c>
      <c r="B459" t="s">
        <v>358</v>
      </c>
      <c r="C459" t="s">
        <v>358</v>
      </c>
      <c r="D459">
        <v>0</v>
      </c>
    </row>
    <row r="460" spans="1:4">
      <c r="A460" t="s">
        <v>2866</v>
      </c>
      <c r="B460" t="s">
        <v>358</v>
      </c>
      <c r="C460" t="s">
        <v>358</v>
      </c>
      <c r="D460">
        <v>0</v>
      </c>
    </row>
    <row r="461" spans="1:4">
      <c r="A461" t="s">
        <v>9281</v>
      </c>
      <c r="B461" t="s">
        <v>358</v>
      </c>
      <c r="C461" t="s">
        <v>358</v>
      </c>
      <c r="D461">
        <v>0</v>
      </c>
    </row>
    <row r="462" spans="1:4">
      <c r="A462" t="s">
        <v>2867</v>
      </c>
      <c r="B462" t="s">
        <v>358</v>
      </c>
      <c r="C462" t="s">
        <v>358</v>
      </c>
      <c r="D462">
        <v>0</v>
      </c>
    </row>
    <row r="463" spans="1:4">
      <c r="A463" t="s">
        <v>9282</v>
      </c>
      <c r="B463" t="s">
        <v>358</v>
      </c>
      <c r="C463" t="s">
        <v>358</v>
      </c>
      <c r="D463">
        <v>0</v>
      </c>
    </row>
    <row r="464" spans="1:4">
      <c r="A464" t="s">
        <v>9283</v>
      </c>
      <c r="B464" t="s">
        <v>358</v>
      </c>
      <c r="C464" t="s">
        <v>358</v>
      </c>
      <c r="D464">
        <v>0</v>
      </c>
    </row>
    <row r="465" spans="1:4">
      <c r="A465" t="s">
        <v>9284</v>
      </c>
      <c r="B465" t="s">
        <v>358</v>
      </c>
      <c r="C465" t="s">
        <v>358</v>
      </c>
      <c r="D465">
        <v>0</v>
      </c>
    </row>
    <row r="466" spans="1:4">
      <c r="A466" t="s">
        <v>2868</v>
      </c>
      <c r="B466">
        <v>1257</v>
      </c>
      <c r="C466">
        <v>4</v>
      </c>
      <c r="D466">
        <v>1261</v>
      </c>
    </row>
    <row r="467" spans="1:4">
      <c r="A467" t="s">
        <v>1960</v>
      </c>
      <c r="B467" t="s">
        <v>358</v>
      </c>
      <c r="C467" t="s">
        <v>358</v>
      </c>
      <c r="D467">
        <v>0</v>
      </c>
    </row>
    <row r="468" spans="1:4">
      <c r="A468" t="s">
        <v>2869</v>
      </c>
      <c r="B468">
        <v>1438</v>
      </c>
      <c r="C468">
        <v>2</v>
      </c>
      <c r="D468">
        <v>1440</v>
      </c>
    </row>
    <row r="469" spans="1:4">
      <c r="A469" t="s">
        <v>2870</v>
      </c>
      <c r="B469">
        <v>604</v>
      </c>
      <c r="C469">
        <v>0</v>
      </c>
      <c r="D469">
        <v>604</v>
      </c>
    </row>
    <row r="470" spans="1:4">
      <c r="A470" t="s">
        <v>9285</v>
      </c>
      <c r="B470">
        <v>1658</v>
      </c>
      <c r="C470">
        <v>1</v>
      </c>
      <c r="D470">
        <v>1659</v>
      </c>
    </row>
    <row r="471" spans="1:4">
      <c r="A471" t="s">
        <v>2871</v>
      </c>
      <c r="B471">
        <v>2575</v>
      </c>
      <c r="C471">
        <v>1</v>
      </c>
      <c r="D471">
        <v>2576</v>
      </c>
    </row>
    <row r="472" spans="1:4">
      <c r="A472" t="s">
        <v>2872</v>
      </c>
      <c r="B472">
        <v>1532</v>
      </c>
      <c r="C472">
        <v>1</v>
      </c>
      <c r="D472">
        <v>1533</v>
      </c>
    </row>
    <row r="473" spans="1:4">
      <c r="A473" t="s">
        <v>2873</v>
      </c>
      <c r="B473">
        <v>1445</v>
      </c>
      <c r="C473">
        <v>2</v>
      </c>
      <c r="D473">
        <v>1447</v>
      </c>
    </row>
    <row r="474" spans="1:4">
      <c r="A474" t="s">
        <v>9286</v>
      </c>
      <c r="B474">
        <v>596</v>
      </c>
      <c r="C474">
        <v>1</v>
      </c>
      <c r="D474">
        <v>597</v>
      </c>
    </row>
    <row r="475" spans="1:4">
      <c r="A475" t="s">
        <v>2874</v>
      </c>
      <c r="B475">
        <v>2777</v>
      </c>
      <c r="C475">
        <v>7</v>
      </c>
      <c r="D475">
        <v>2784</v>
      </c>
    </row>
    <row r="476" spans="1:4">
      <c r="A476" t="s">
        <v>9287</v>
      </c>
      <c r="B476">
        <v>2356</v>
      </c>
      <c r="C476">
        <v>2</v>
      </c>
      <c r="D476">
        <v>2358</v>
      </c>
    </row>
    <row r="477" spans="1:4">
      <c r="A477" t="s">
        <v>1887</v>
      </c>
      <c r="B477" t="s">
        <v>358</v>
      </c>
      <c r="C477" t="s">
        <v>358</v>
      </c>
      <c r="D477">
        <v>0</v>
      </c>
    </row>
    <row r="478" spans="1:4">
      <c r="A478" t="s">
        <v>2875</v>
      </c>
      <c r="B478">
        <v>81</v>
      </c>
      <c r="C478">
        <v>1</v>
      </c>
      <c r="D478">
        <v>82</v>
      </c>
    </row>
    <row r="479" spans="1:4">
      <c r="A479" t="s">
        <v>2876</v>
      </c>
      <c r="B479">
        <v>3672</v>
      </c>
      <c r="C479">
        <v>5</v>
      </c>
      <c r="D479">
        <v>3677</v>
      </c>
    </row>
    <row r="480" spans="1:4">
      <c r="A480" t="s">
        <v>9288</v>
      </c>
      <c r="B480">
        <v>180</v>
      </c>
      <c r="C480">
        <v>1</v>
      </c>
      <c r="D480">
        <v>181</v>
      </c>
    </row>
    <row r="481" spans="1:4">
      <c r="A481" t="s">
        <v>2877</v>
      </c>
      <c r="B481">
        <v>39</v>
      </c>
      <c r="C481">
        <v>2</v>
      </c>
      <c r="D481">
        <v>41</v>
      </c>
    </row>
    <row r="482" spans="1:4">
      <c r="A482" t="s">
        <v>2878</v>
      </c>
      <c r="B482">
        <v>558</v>
      </c>
      <c r="C482" t="s">
        <v>358</v>
      </c>
      <c r="D482">
        <v>558</v>
      </c>
    </row>
    <row r="483" spans="1:4">
      <c r="A483" t="s">
        <v>9289</v>
      </c>
      <c r="B483">
        <v>796</v>
      </c>
      <c r="C483">
        <v>8</v>
      </c>
      <c r="D483">
        <v>804</v>
      </c>
    </row>
    <row r="484" spans="1:4">
      <c r="A484" t="s">
        <v>9290</v>
      </c>
      <c r="B484">
        <v>1012</v>
      </c>
      <c r="C484" t="s">
        <v>358</v>
      </c>
      <c r="D484">
        <v>1012</v>
      </c>
    </row>
    <row r="485" spans="1:4">
      <c r="A485" t="s">
        <v>2879</v>
      </c>
      <c r="B485">
        <v>2337</v>
      </c>
      <c r="C485">
        <v>3</v>
      </c>
      <c r="D485">
        <v>2340</v>
      </c>
    </row>
    <row r="486" spans="1:4">
      <c r="A486" t="s">
        <v>9291</v>
      </c>
      <c r="B486">
        <v>346</v>
      </c>
      <c r="C486">
        <v>1</v>
      </c>
      <c r="D486">
        <v>347</v>
      </c>
    </row>
    <row r="487" spans="1:4">
      <c r="A487" t="s">
        <v>2880</v>
      </c>
      <c r="B487">
        <v>264</v>
      </c>
      <c r="C487">
        <v>3</v>
      </c>
      <c r="D487">
        <v>267</v>
      </c>
    </row>
    <row r="488" spans="1:4">
      <c r="A488" t="s">
        <v>2881</v>
      </c>
      <c r="B488">
        <v>2034</v>
      </c>
      <c r="C488">
        <v>2</v>
      </c>
      <c r="D488">
        <v>2036</v>
      </c>
    </row>
    <row r="489" spans="1:4">
      <c r="A489" t="s">
        <v>2882</v>
      </c>
      <c r="B489">
        <v>377</v>
      </c>
      <c r="C489">
        <v>7</v>
      </c>
      <c r="D489">
        <v>384</v>
      </c>
    </row>
    <row r="490" spans="1:4">
      <c r="A490" t="s">
        <v>2883</v>
      </c>
      <c r="B490">
        <v>2870</v>
      </c>
      <c r="C490">
        <v>4</v>
      </c>
      <c r="D490">
        <v>2874</v>
      </c>
    </row>
    <row r="491" spans="1:4">
      <c r="A491" t="s">
        <v>9292</v>
      </c>
      <c r="B491">
        <v>1053</v>
      </c>
      <c r="C491">
        <v>2</v>
      </c>
      <c r="D491">
        <v>1055</v>
      </c>
    </row>
    <row r="492" spans="1:4">
      <c r="A492" t="s">
        <v>9293</v>
      </c>
      <c r="B492" t="s">
        <v>358</v>
      </c>
      <c r="C492" t="s">
        <v>358</v>
      </c>
      <c r="D492">
        <v>0</v>
      </c>
    </row>
    <row r="493" spans="1:4">
      <c r="A493" t="s">
        <v>2884</v>
      </c>
      <c r="B493">
        <v>2377</v>
      </c>
      <c r="C493">
        <v>1</v>
      </c>
      <c r="D493">
        <v>2378</v>
      </c>
    </row>
    <row r="494" spans="1:4">
      <c r="A494" t="s">
        <v>9294</v>
      </c>
      <c r="B494">
        <v>2612</v>
      </c>
      <c r="C494">
        <v>1</v>
      </c>
      <c r="D494">
        <v>2613</v>
      </c>
    </row>
    <row r="495" spans="1:4">
      <c r="A495" t="s">
        <v>9295</v>
      </c>
      <c r="B495">
        <v>507</v>
      </c>
      <c r="C495">
        <v>1</v>
      </c>
      <c r="D495">
        <v>508</v>
      </c>
    </row>
    <row r="496" spans="1:4">
      <c r="A496" t="s">
        <v>9296</v>
      </c>
      <c r="B496">
        <v>2573</v>
      </c>
      <c r="C496" t="s">
        <v>358</v>
      </c>
      <c r="D496">
        <v>2573</v>
      </c>
    </row>
    <row r="497" spans="1:4">
      <c r="A497" t="s">
        <v>9297</v>
      </c>
      <c r="B497">
        <v>120</v>
      </c>
      <c r="C497">
        <v>1</v>
      </c>
      <c r="D497">
        <v>121</v>
      </c>
    </row>
    <row r="498" spans="1:4">
      <c r="A498" t="s">
        <v>9298</v>
      </c>
      <c r="B498">
        <v>3067</v>
      </c>
      <c r="C498">
        <v>4</v>
      </c>
      <c r="D498">
        <v>3071</v>
      </c>
    </row>
    <row r="499" spans="1:4">
      <c r="A499" t="s">
        <v>2885</v>
      </c>
      <c r="B499">
        <v>38</v>
      </c>
      <c r="C499">
        <v>14</v>
      </c>
      <c r="D499">
        <v>52</v>
      </c>
    </row>
    <row r="500" spans="1:4">
      <c r="A500" t="s">
        <v>9299</v>
      </c>
      <c r="B500">
        <v>5</v>
      </c>
      <c r="C500">
        <v>5</v>
      </c>
      <c r="D500">
        <v>10</v>
      </c>
    </row>
    <row r="501" spans="1:4">
      <c r="A501" t="s">
        <v>9300</v>
      </c>
      <c r="B501">
        <v>30</v>
      </c>
      <c r="C501">
        <v>4</v>
      </c>
      <c r="D501">
        <v>34</v>
      </c>
    </row>
    <row r="502" spans="1:4">
      <c r="A502" t="s">
        <v>9301</v>
      </c>
      <c r="B502">
        <v>64</v>
      </c>
      <c r="C502">
        <v>5</v>
      </c>
      <c r="D502">
        <v>69</v>
      </c>
    </row>
    <row r="503" spans="1:4">
      <c r="A503" t="s">
        <v>9302</v>
      </c>
      <c r="B503">
        <v>15</v>
      </c>
      <c r="C503">
        <v>6</v>
      </c>
      <c r="D503">
        <v>21</v>
      </c>
    </row>
    <row r="504" spans="1:4">
      <c r="A504" t="s">
        <v>9303</v>
      </c>
      <c r="B504">
        <v>5</v>
      </c>
      <c r="C504">
        <v>17</v>
      </c>
      <c r="D504">
        <v>22</v>
      </c>
    </row>
    <row r="505" spans="1:4">
      <c r="A505" t="s">
        <v>2886</v>
      </c>
      <c r="B505">
        <v>3</v>
      </c>
      <c r="C505">
        <v>1</v>
      </c>
      <c r="D505">
        <v>4</v>
      </c>
    </row>
    <row r="506" spans="1:4">
      <c r="A506" t="s">
        <v>9304</v>
      </c>
      <c r="B506">
        <v>0</v>
      </c>
      <c r="C506">
        <v>1</v>
      </c>
      <c r="D506">
        <v>1</v>
      </c>
    </row>
    <row r="507" spans="1:4">
      <c r="A507" t="s">
        <v>9305</v>
      </c>
      <c r="B507">
        <v>22</v>
      </c>
      <c r="C507">
        <v>15</v>
      </c>
      <c r="D507">
        <v>37</v>
      </c>
    </row>
    <row r="508" spans="1:4">
      <c r="A508" t="s">
        <v>9306</v>
      </c>
      <c r="B508">
        <v>116</v>
      </c>
      <c r="C508">
        <v>13</v>
      </c>
      <c r="D508">
        <v>129</v>
      </c>
    </row>
    <row r="509" spans="1:4">
      <c r="A509" t="s">
        <v>9307</v>
      </c>
      <c r="B509">
        <v>8</v>
      </c>
      <c r="C509">
        <v>3</v>
      </c>
      <c r="D509">
        <v>11</v>
      </c>
    </row>
    <row r="510" spans="1:4">
      <c r="A510" t="s">
        <v>9308</v>
      </c>
      <c r="B510">
        <v>0</v>
      </c>
      <c r="C510">
        <v>7</v>
      </c>
      <c r="D510">
        <v>7</v>
      </c>
    </row>
    <row r="511" spans="1:4">
      <c r="A511" t="s">
        <v>2887</v>
      </c>
      <c r="B511">
        <v>38</v>
      </c>
      <c r="C511">
        <v>13</v>
      </c>
      <c r="D511">
        <v>51</v>
      </c>
    </row>
    <row r="512" spans="1:4">
      <c r="A512" t="s">
        <v>9309</v>
      </c>
      <c r="B512">
        <v>0</v>
      </c>
      <c r="C512">
        <v>1</v>
      </c>
      <c r="D512">
        <v>1</v>
      </c>
    </row>
    <row r="513" spans="1:4">
      <c r="A513" t="s">
        <v>9310</v>
      </c>
      <c r="B513">
        <v>52</v>
      </c>
      <c r="C513">
        <v>7</v>
      </c>
      <c r="D513">
        <v>59</v>
      </c>
    </row>
    <row r="514" spans="1:4">
      <c r="A514" t="s">
        <v>9311</v>
      </c>
      <c r="B514" t="s">
        <v>358</v>
      </c>
      <c r="C514">
        <v>1</v>
      </c>
      <c r="D514">
        <v>1</v>
      </c>
    </row>
    <row r="515" spans="1:4">
      <c r="A515" t="s">
        <v>9312</v>
      </c>
      <c r="B515">
        <v>14</v>
      </c>
      <c r="C515">
        <v>9</v>
      </c>
      <c r="D515">
        <v>23</v>
      </c>
    </row>
    <row r="516" spans="1:4">
      <c r="A516" t="s">
        <v>9313</v>
      </c>
      <c r="B516">
        <v>9</v>
      </c>
      <c r="C516">
        <v>9</v>
      </c>
      <c r="D516">
        <v>18</v>
      </c>
    </row>
    <row r="517" spans="1:4">
      <c r="A517" t="s">
        <v>1889</v>
      </c>
      <c r="B517">
        <v>1032</v>
      </c>
      <c r="C517">
        <v>5</v>
      </c>
      <c r="D517">
        <v>1037</v>
      </c>
    </row>
    <row r="518" spans="1:4">
      <c r="A518" t="s">
        <v>9314</v>
      </c>
      <c r="B518">
        <v>2344</v>
      </c>
      <c r="C518">
        <v>9</v>
      </c>
      <c r="D518">
        <v>2353</v>
      </c>
    </row>
    <row r="519" spans="1:4">
      <c r="A519" t="s">
        <v>2888</v>
      </c>
      <c r="B519">
        <v>265</v>
      </c>
      <c r="C519">
        <v>10</v>
      </c>
      <c r="D519">
        <v>275</v>
      </c>
    </row>
    <row r="520" spans="1:4">
      <c r="A520" t="s">
        <v>1965</v>
      </c>
      <c r="B520" t="s">
        <v>358</v>
      </c>
      <c r="C520" t="s">
        <v>358</v>
      </c>
      <c r="D520">
        <v>0</v>
      </c>
    </row>
    <row r="521" spans="1:4">
      <c r="A521" t="s">
        <v>2889</v>
      </c>
      <c r="B521">
        <v>2</v>
      </c>
      <c r="C521">
        <v>3</v>
      </c>
      <c r="D521">
        <v>5</v>
      </c>
    </row>
    <row r="522" spans="1:4">
      <c r="A522" t="s">
        <v>2890</v>
      </c>
      <c r="B522">
        <v>6</v>
      </c>
      <c r="C522">
        <v>4</v>
      </c>
      <c r="D522">
        <v>10</v>
      </c>
    </row>
    <row r="523" spans="1:4">
      <c r="A523" t="s">
        <v>2891</v>
      </c>
      <c r="B523" t="s">
        <v>358</v>
      </c>
      <c r="C523" t="s">
        <v>358</v>
      </c>
      <c r="D523">
        <v>0</v>
      </c>
    </row>
    <row r="524" spans="1:4">
      <c r="A524" t="s">
        <v>1962</v>
      </c>
      <c r="B524" t="s">
        <v>358</v>
      </c>
      <c r="C524" t="s">
        <v>358</v>
      </c>
      <c r="D524">
        <v>0</v>
      </c>
    </row>
    <row r="525" spans="1:4">
      <c r="A525" t="s">
        <v>9315</v>
      </c>
      <c r="B525">
        <v>653</v>
      </c>
      <c r="C525">
        <v>2</v>
      </c>
      <c r="D525">
        <v>655</v>
      </c>
    </row>
    <row r="526" spans="1:4">
      <c r="A526" t="s">
        <v>2892</v>
      </c>
      <c r="B526">
        <v>4334</v>
      </c>
      <c r="C526">
        <v>5</v>
      </c>
      <c r="D526">
        <v>4339</v>
      </c>
    </row>
    <row r="527" spans="1:4">
      <c r="A527" t="s">
        <v>2893</v>
      </c>
      <c r="B527">
        <v>13</v>
      </c>
      <c r="C527">
        <v>7</v>
      </c>
      <c r="D527">
        <v>20</v>
      </c>
    </row>
    <row r="528" spans="1:4">
      <c r="A528" t="s">
        <v>9316</v>
      </c>
      <c r="B528">
        <v>2165</v>
      </c>
      <c r="C528">
        <v>3</v>
      </c>
      <c r="D528">
        <v>2168</v>
      </c>
    </row>
    <row r="529" spans="1:4">
      <c r="A529" t="s">
        <v>2894</v>
      </c>
      <c r="B529">
        <v>119</v>
      </c>
      <c r="C529">
        <v>4</v>
      </c>
      <c r="D529">
        <v>123</v>
      </c>
    </row>
    <row r="530" spans="1:4">
      <c r="A530" t="s">
        <v>9317</v>
      </c>
      <c r="B530" t="s">
        <v>358</v>
      </c>
      <c r="C530" t="s">
        <v>358</v>
      </c>
      <c r="D530">
        <v>0</v>
      </c>
    </row>
    <row r="531" spans="1:4">
      <c r="A531" t="s">
        <v>9318</v>
      </c>
      <c r="B531" t="s">
        <v>358</v>
      </c>
      <c r="C531" t="s">
        <v>358</v>
      </c>
      <c r="D531">
        <v>0</v>
      </c>
    </row>
    <row r="532" spans="1:4">
      <c r="A532" t="s">
        <v>9319</v>
      </c>
      <c r="B532" t="s">
        <v>358</v>
      </c>
      <c r="C532" t="s">
        <v>358</v>
      </c>
      <c r="D532">
        <v>0</v>
      </c>
    </row>
    <row r="533" spans="1:4">
      <c r="A533" t="s">
        <v>9320</v>
      </c>
      <c r="B533">
        <v>1334</v>
      </c>
      <c r="C533">
        <v>9</v>
      </c>
      <c r="D533">
        <v>1343</v>
      </c>
    </row>
    <row r="534" spans="1:4">
      <c r="A534" t="s">
        <v>9321</v>
      </c>
      <c r="B534">
        <v>501</v>
      </c>
      <c r="C534">
        <v>2</v>
      </c>
      <c r="D534">
        <v>503</v>
      </c>
    </row>
    <row r="535" spans="1:4">
      <c r="A535" t="s">
        <v>9322</v>
      </c>
      <c r="B535">
        <v>2144</v>
      </c>
      <c r="C535">
        <v>2</v>
      </c>
      <c r="D535">
        <v>2146</v>
      </c>
    </row>
    <row r="536" spans="1:4">
      <c r="A536" t="s">
        <v>9323</v>
      </c>
      <c r="B536">
        <v>1152</v>
      </c>
      <c r="C536">
        <v>3</v>
      </c>
      <c r="D536">
        <v>1155</v>
      </c>
    </row>
    <row r="537" spans="1:4">
      <c r="A537" t="s">
        <v>9324</v>
      </c>
      <c r="B537">
        <v>1896</v>
      </c>
      <c r="C537">
        <v>2</v>
      </c>
      <c r="D537">
        <v>1898</v>
      </c>
    </row>
    <row r="538" spans="1:4">
      <c r="A538" t="s">
        <v>9325</v>
      </c>
      <c r="B538">
        <v>1435</v>
      </c>
      <c r="C538">
        <v>2</v>
      </c>
      <c r="D538">
        <v>1437</v>
      </c>
    </row>
    <row r="539" spans="1:4">
      <c r="A539" t="s">
        <v>9326</v>
      </c>
      <c r="B539">
        <v>850</v>
      </c>
      <c r="C539" t="s">
        <v>358</v>
      </c>
      <c r="D539">
        <v>850</v>
      </c>
    </row>
    <row r="540" spans="1:4">
      <c r="A540" t="s">
        <v>9327</v>
      </c>
      <c r="B540">
        <v>2016</v>
      </c>
      <c r="C540">
        <v>2</v>
      </c>
      <c r="D540">
        <v>2018</v>
      </c>
    </row>
    <row r="541" spans="1:4">
      <c r="A541" t="s">
        <v>9328</v>
      </c>
      <c r="B541">
        <v>4</v>
      </c>
      <c r="C541" t="s">
        <v>358</v>
      </c>
      <c r="D541">
        <v>4</v>
      </c>
    </row>
    <row r="542" spans="1:4">
      <c r="A542" t="s">
        <v>9329</v>
      </c>
      <c r="B542">
        <v>1180</v>
      </c>
      <c r="C542">
        <v>5</v>
      </c>
      <c r="D542">
        <v>1185</v>
      </c>
    </row>
    <row r="543" spans="1:4">
      <c r="A543" t="s">
        <v>9330</v>
      </c>
      <c r="B543">
        <v>1037</v>
      </c>
      <c r="C543">
        <v>3</v>
      </c>
      <c r="D543">
        <v>1040</v>
      </c>
    </row>
    <row r="544" spans="1:4">
      <c r="A544" t="s">
        <v>9331</v>
      </c>
      <c r="B544">
        <v>2398</v>
      </c>
      <c r="C544" t="s">
        <v>358</v>
      </c>
      <c r="D544">
        <v>2398</v>
      </c>
    </row>
    <row r="545" spans="1:4">
      <c r="A545" t="s">
        <v>9332</v>
      </c>
      <c r="B545">
        <v>997</v>
      </c>
      <c r="C545">
        <v>1</v>
      </c>
      <c r="D545">
        <v>998</v>
      </c>
    </row>
    <row r="546" spans="1:4">
      <c r="A546" t="s">
        <v>9333</v>
      </c>
      <c r="B546">
        <v>2200</v>
      </c>
      <c r="C546" t="s">
        <v>358</v>
      </c>
      <c r="D546">
        <v>2200</v>
      </c>
    </row>
    <row r="547" spans="1:4">
      <c r="A547" t="s">
        <v>9334</v>
      </c>
      <c r="B547">
        <v>1436</v>
      </c>
      <c r="C547">
        <v>3</v>
      </c>
      <c r="D547">
        <v>1439</v>
      </c>
    </row>
    <row r="548" spans="1:4">
      <c r="A548" t="s">
        <v>2895</v>
      </c>
      <c r="B548">
        <v>4004</v>
      </c>
      <c r="C548">
        <v>7</v>
      </c>
      <c r="D548">
        <v>4011</v>
      </c>
    </row>
    <row r="549" spans="1:4">
      <c r="A549" t="s">
        <v>2896</v>
      </c>
      <c r="B549">
        <v>2817</v>
      </c>
      <c r="C549">
        <v>1</v>
      </c>
      <c r="D549">
        <v>2818</v>
      </c>
    </row>
    <row r="550" spans="1:4">
      <c r="A550" t="s">
        <v>2897</v>
      </c>
      <c r="B550">
        <v>2345</v>
      </c>
      <c r="C550">
        <v>2</v>
      </c>
      <c r="D550">
        <v>2347</v>
      </c>
    </row>
    <row r="551" spans="1:4">
      <c r="A551" t="s">
        <v>9335</v>
      </c>
      <c r="B551">
        <v>1993</v>
      </c>
      <c r="C551">
        <v>1</v>
      </c>
      <c r="D551">
        <v>1994</v>
      </c>
    </row>
    <row r="552" spans="1:4">
      <c r="A552" t="s">
        <v>9336</v>
      </c>
      <c r="B552">
        <v>2266</v>
      </c>
      <c r="C552">
        <v>3</v>
      </c>
      <c r="D552">
        <v>2269</v>
      </c>
    </row>
    <row r="553" spans="1:4">
      <c r="A553" t="s">
        <v>2898</v>
      </c>
      <c r="B553">
        <v>2255</v>
      </c>
      <c r="C553">
        <v>1</v>
      </c>
      <c r="D553">
        <v>2256</v>
      </c>
    </row>
    <row r="554" spans="1:4">
      <c r="A554" t="s">
        <v>9337</v>
      </c>
      <c r="B554">
        <v>4653</v>
      </c>
      <c r="C554">
        <v>8</v>
      </c>
      <c r="D554">
        <v>4661</v>
      </c>
    </row>
    <row r="555" spans="1:4">
      <c r="A555" t="s">
        <v>9338</v>
      </c>
      <c r="B555">
        <v>2070</v>
      </c>
      <c r="C555">
        <v>1</v>
      </c>
      <c r="D555">
        <v>2071</v>
      </c>
    </row>
    <row r="556" spans="1:4">
      <c r="A556" t="s">
        <v>2899</v>
      </c>
      <c r="B556">
        <v>918</v>
      </c>
      <c r="C556">
        <v>1</v>
      </c>
      <c r="D556">
        <v>919</v>
      </c>
    </row>
    <row r="557" spans="1:4">
      <c r="A557" t="s">
        <v>9339</v>
      </c>
      <c r="B557">
        <v>4943</v>
      </c>
      <c r="C557">
        <v>1</v>
      </c>
      <c r="D557">
        <v>4944</v>
      </c>
    </row>
    <row r="558" spans="1:4">
      <c r="A558" t="s">
        <v>9340</v>
      </c>
      <c r="B558" t="s">
        <v>358</v>
      </c>
      <c r="C558" t="s">
        <v>358</v>
      </c>
      <c r="D558">
        <v>0</v>
      </c>
    </row>
    <row r="559" spans="1:4">
      <c r="A559" t="s">
        <v>2900</v>
      </c>
      <c r="B559">
        <v>2237</v>
      </c>
      <c r="C559">
        <v>2</v>
      </c>
      <c r="D559">
        <v>2239</v>
      </c>
    </row>
    <row r="560" spans="1:4">
      <c r="A560" t="s">
        <v>9341</v>
      </c>
      <c r="B560">
        <v>3719</v>
      </c>
      <c r="C560">
        <v>10</v>
      </c>
      <c r="D560">
        <v>3729</v>
      </c>
    </row>
    <row r="561" spans="1:4">
      <c r="A561" t="s">
        <v>9342</v>
      </c>
      <c r="B561">
        <v>2852</v>
      </c>
      <c r="C561">
        <v>1</v>
      </c>
      <c r="D561">
        <v>2853</v>
      </c>
    </row>
    <row r="562" spans="1:4">
      <c r="A562" t="s">
        <v>9343</v>
      </c>
      <c r="B562">
        <v>654</v>
      </c>
      <c r="C562">
        <v>3</v>
      </c>
      <c r="D562">
        <v>657</v>
      </c>
    </row>
    <row r="563" spans="1:4">
      <c r="A563" t="s">
        <v>2901</v>
      </c>
      <c r="B563">
        <v>1867</v>
      </c>
      <c r="C563">
        <v>4</v>
      </c>
      <c r="D563">
        <v>1871</v>
      </c>
    </row>
    <row r="564" spans="1:4">
      <c r="A564" t="s">
        <v>9344</v>
      </c>
      <c r="B564">
        <v>1605</v>
      </c>
      <c r="C564">
        <v>8</v>
      </c>
      <c r="D564">
        <v>1613</v>
      </c>
    </row>
    <row r="565" spans="1:4">
      <c r="A565" t="s">
        <v>2902</v>
      </c>
      <c r="B565">
        <v>2922</v>
      </c>
      <c r="C565">
        <v>2</v>
      </c>
      <c r="D565">
        <v>2924</v>
      </c>
    </row>
    <row r="566" spans="1:4">
      <c r="A566" t="s">
        <v>9345</v>
      </c>
      <c r="B566">
        <v>2648</v>
      </c>
      <c r="C566">
        <v>0</v>
      </c>
      <c r="D566">
        <v>2648</v>
      </c>
    </row>
    <row r="567" spans="1:4">
      <c r="A567" t="s">
        <v>2903</v>
      </c>
      <c r="B567">
        <v>5060</v>
      </c>
      <c r="C567">
        <v>3</v>
      </c>
      <c r="D567">
        <v>5063</v>
      </c>
    </row>
    <row r="568" spans="1:4">
      <c r="A568" t="s">
        <v>9346</v>
      </c>
      <c r="B568">
        <v>660</v>
      </c>
      <c r="C568" t="s">
        <v>358</v>
      </c>
      <c r="D568">
        <v>660</v>
      </c>
    </row>
    <row r="569" spans="1:4">
      <c r="A569" t="s">
        <v>2904</v>
      </c>
      <c r="B569">
        <v>2322</v>
      </c>
      <c r="C569" t="s">
        <v>358</v>
      </c>
      <c r="D569">
        <v>2322</v>
      </c>
    </row>
    <row r="570" spans="1:4">
      <c r="A570" t="s">
        <v>9347</v>
      </c>
      <c r="B570">
        <v>3037</v>
      </c>
      <c r="C570">
        <v>1</v>
      </c>
      <c r="D570">
        <v>3038</v>
      </c>
    </row>
    <row r="571" spans="1:4">
      <c r="A571" t="s">
        <v>9348</v>
      </c>
      <c r="B571">
        <v>3302</v>
      </c>
      <c r="C571">
        <v>2</v>
      </c>
      <c r="D571">
        <v>3304</v>
      </c>
    </row>
    <row r="572" spans="1:4">
      <c r="A572" t="s">
        <v>2905</v>
      </c>
      <c r="B572">
        <v>2834</v>
      </c>
      <c r="C572" t="s">
        <v>358</v>
      </c>
      <c r="D572">
        <v>2834</v>
      </c>
    </row>
    <row r="573" spans="1:4">
      <c r="A573" t="s">
        <v>9349</v>
      </c>
      <c r="B573">
        <v>3081</v>
      </c>
      <c r="C573">
        <v>3</v>
      </c>
      <c r="D573">
        <v>3084</v>
      </c>
    </row>
    <row r="574" spans="1:4">
      <c r="A574" t="s">
        <v>92</v>
      </c>
      <c r="B574">
        <v>54</v>
      </c>
      <c r="C574">
        <v>1</v>
      </c>
      <c r="D574">
        <v>55</v>
      </c>
    </row>
    <row r="575" spans="1:4">
      <c r="A575" t="s">
        <v>9350</v>
      </c>
      <c r="B575">
        <v>2007</v>
      </c>
      <c r="C575" t="s">
        <v>358</v>
      </c>
      <c r="D575">
        <v>2007</v>
      </c>
    </row>
    <row r="576" spans="1:4">
      <c r="A576" t="s">
        <v>2906</v>
      </c>
      <c r="B576">
        <v>1657</v>
      </c>
      <c r="C576" t="s">
        <v>358</v>
      </c>
      <c r="D576">
        <v>1657</v>
      </c>
    </row>
    <row r="577" spans="1:4">
      <c r="A577" t="s">
        <v>2907</v>
      </c>
      <c r="B577">
        <v>267</v>
      </c>
      <c r="C577" t="s">
        <v>358</v>
      </c>
      <c r="D577">
        <v>267</v>
      </c>
    </row>
    <row r="578" spans="1:4">
      <c r="A578" t="s">
        <v>2908</v>
      </c>
      <c r="B578">
        <v>338</v>
      </c>
      <c r="C578">
        <v>2</v>
      </c>
      <c r="D578">
        <v>340</v>
      </c>
    </row>
    <row r="579" spans="1:4">
      <c r="A579" t="s">
        <v>2909</v>
      </c>
      <c r="B579">
        <v>998</v>
      </c>
      <c r="C579">
        <v>5</v>
      </c>
      <c r="D579">
        <v>1003</v>
      </c>
    </row>
    <row r="580" spans="1:4">
      <c r="A580" t="s">
        <v>2910</v>
      </c>
      <c r="B580">
        <v>2161</v>
      </c>
      <c r="C580">
        <v>5</v>
      </c>
      <c r="D580">
        <v>2166</v>
      </c>
    </row>
    <row r="581" spans="1:4">
      <c r="A581" t="s">
        <v>2911</v>
      </c>
      <c r="B581">
        <v>1803</v>
      </c>
      <c r="C581">
        <v>2</v>
      </c>
      <c r="D581">
        <v>1805</v>
      </c>
    </row>
    <row r="582" spans="1:4">
      <c r="A582" t="s">
        <v>2912</v>
      </c>
      <c r="B582">
        <v>1638</v>
      </c>
      <c r="C582">
        <v>1</v>
      </c>
      <c r="D582">
        <v>1639</v>
      </c>
    </row>
    <row r="583" spans="1:4">
      <c r="A583" t="s">
        <v>2913</v>
      </c>
      <c r="B583">
        <v>763</v>
      </c>
      <c r="C583">
        <v>3</v>
      </c>
      <c r="D583">
        <v>766</v>
      </c>
    </row>
    <row r="584" spans="1:4">
      <c r="A584" t="s">
        <v>2914</v>
      </c>
      <c r="B584">
        <v>993</v>
      </c>
      <c r="C584">
        <v>1</v>
      </c>
      <c r="D584">
        <v>994</v>
      </c>
    </row>
    <row r="585" spans="1:4">
      <c r="A585" t="s">
        <v>2915</v>
      </c>
      <c r="B585">
        <v>393</v>
      </c>
      <c r="C585">
        <v>0</v>
      </c>
      <c r="D585">
        <v>393</v>
      </c>
    </row>
    <row r="586" spans="1:4">
      <c r="A586" t="s">
        <v>2916</v>
      </c>
      <c r="B586">
        <v>645</v>
      </c>
      <c r="C586">
        <v>1</v>
      </c>
      <c r="D586">
        <v>646</v>
      </c>
    </row>
    <row r="587" spans="1:4">
      <c r="A587" t="s">
        <v>2917</v>
      </c>
      <c r="B587">
        <v>153</v>
      </c>
      <c r="C587">
        <v>1</v>
      </c>
      <c r="D587">
        <v>154</v>
      </c>
    </row>
    <row r="588" spans="1:4">
      <c r="A588" t="s">
        <v>2918</v>
      </c>
      <c r="B588">
        <v>640</v>
      </c>
      <c r="C588" t="s">
        <v>358</v>
      </c>
      <c r="D588">
        <v>640</v>
      </c>
    </row>
    <row r="589" spans="1:4">
      <c r="A589" t="s">
        <v>2919</v>
      </c>
      <c r="B589">
        <v>1812</v>
      </c>
      <c r="C589">
        <v>4</v>
      </c>
      <c r="D589">
        <v>1816</v>
      </c>
    </row>
    <row r="590" spans="1:4">
      <c r="A590" t="s">
        <v>2920</v>
      </c>
      <c r="B590">
        <v>292</v>
      </c>
      <c r="C590">
        <v>1</v>
      </c>
      <c r="D590">
        <v>293</v>
      </c>
    </row>
    <row r="591" spans="1:4">
      <c r="A591" t="s">
        <v>2921</v>
      </c>
      <c r="B591">
        <v>1205</v>
      </c>
      <c r="C591">
        <v>5</v>
      </c>
      <c r="D591">
        <v>1210</v>
      </c>
    </row>
    <row r="592" spans="1:4">
      <c r="A592" t="s">
        <v>2922</v>
      </c>
      <c r="B592">
        <v>1252</v>
      </c>
      <c r="C592">
        <v>2</v>
      </c>
      <c r="D592">
        <v>1254</v>
      </c>
    </row>
    <row r="593" spans="1:4">
      <c r="A593" t="s">
        <v>2923</v>
      </c>
      <c r="B593">
        <v>681</v>
      </c>
      <c r="C593">
        <v>4</v>
      </c>
      <c r="D593">
        <v>685</v>
      </c>
    </row>
    <row r="594" spans="1:4">
      <c r="A594" t="s">
        <v>9351</v>
      </c>
      <c r="B594" t="s">
        <v>358</v>
      </c>
      <c r="C594" t="s">
        <v>358</v>
      </c>
      <c r="D594">
        <v>0</v>
      </c>
    </row>
    <row r="595" spans="1:4">
      <c r="A595" t="s">
        <v>2924</v>
      </c>
      <c r="B595">
        <v>1094</v>
      </c>
      <c r="C595">
        <v>7</v>
      </c>
      <c r="D595">
        <v>1101</v>
      </c>
    </row>
    <row r="596" spans="1:4">
      <c r="A596" t="s">
        <v>2925</v>
      </c>
      <c r="B596">
        <v>226</v>
      </c>
      <c r="C596">
        <v>4</v>
      </c>
      <c r="D596">
        <v>230</v>
      </c>
    </row>
    <row r="597" spans="1:4">
      <c r="A597" t="s">
        <v>9352</v>
      </c>
      <c r="B597">
        <v>1936</v>
      </c>
      <c r="C597">
        <v>5</v>
      </c>
      <c r="D597">
        <v>1941</v>
      </c>
    </row>
    <row r="598" spans="1:4">
      <c r="A598" t="s">
        <v>9353</v>
      </c>
      <c r="B598">
        <v>2337</v>
      </c>
      <c r="C598">
        <v>2</v>
      </c>
      <c r="D598">
        <v>2339</v>
      </c>
    </row>
    <row r="599" spans="1:4">
      <c r="A599" t="s">
        <v>9354</v>
      </c>
      <c r="B599">
        <v>519</v>
      </c>
      <c r="C599" t="s">
        <v>358</v>
      </c>
      <c r="D599">
        <v>519</v>
      </c>
    </row>
    <row r="600" spans="1:4">
      <c r="A600" t="s">
        <v>1892</v>
      </c>
      <c r="B600">
        <v>4287</v>
      </c>
      <c r="C600">
        <v>1</v>
      </c>
      <c r="D600">
        <v>4288</v>
      </c>
    </row>
    <row r="601" spans="1:4">
      <c r="A601" t="s">
        <v>9355</v>
      </c>
      <c r="B601">
        <v>1729</v>
      </c>
      <c r="C601">
        <v>2</v>
      </c>
      <c r="D601">
        <v>1731</v>
      </c>
    </row>
    <row r="602" spans="1:4">
      <c r="A602" t="s">
        <v>9356</v>
      </c>
      <c r="B602">
        <v>3119</v>
      </c>
      <c r="C602">
        <v>5</v>
      </c>
      <c r="D602">
        <v>3124</v>
      </c>
    </row>
    <row r="603" spans="1:4">
      <c r="A603" t="s">
        <v>9357</v>
      </c>
      <c r="B603">
        <v>2864</v>
      </c>
      <c r="C603">
        <v>2</v>
      </c>
      <c r="D603">
        <v>2866</v>
      </c>
    </row>
    <row r="604" spans="1:4">
      <c r="A604" t="s">
        <v>1967</v>
      </c>
      <c r="B604">
        <v>1632</v>
      </c>
      <c r="C604">
        <v>2</v>
      </c>
      <c r="D604">
        <v>1634</v>
      </c>
    </row>
    <row r="605" spans="1:4">
      <c r="A605" t="s">
        <v>9358</v>
      </c>
      <c r="B605">
        <v>1264</v>
      </c>
      <c r="C605">
        <v>6</v>
      </c>
      <c r="D605">
        <v>1270</v>
      </c>
    </row>
    <row r="606" spans="1:4">
      <c r="A606" t="s">
        <v>1896</v>
      </c>
      <c r="B606">
        <v>3157</v>
      </c>
      <c r="C606">
        <v>1</v>
      </c>
      <c r="D606">
        <v>3158</v>
      </c>
    </row>
    <row r="607" spans="1:4">
      <c r="A607" t="s">
        <v>1898</v>
      </c>
      <c r="B607">
        <v>3408</v>
      </c>
      <c r="C607">
        <v>3</v>
      </c>
      <c r="D607">
        <v>3411</v>
      </c>
    </row>
    <row r="608" spans="1:4">
      <c r="A608" t="s">
        <v>9359</v>
      </c>
      <c r="B608">
        <v>2526</v>
      </c>
      <c r="C608">
        <v>2</v>
      </c>
      <c r="D608">
        <v>2528</v>
      </c>
    </row>
    <row r="609" spans="1:4">
      <c r="A609" t="s">
        <v>9360</v>
      </c>
      <c r="B609">
        <v>4517</v>
      </c>
      <c r="C609">
        <v>1</v>
      </c>
      <c r="D609">
        <v>4518</v>
      </c>
    </row>
    <row r="610" spans="1:4">
      <c r="A610" t="s">
        <v>9361</v>
      </c>
      <c r="B610">
        <v>1014</v>
      </c>
      <c r="C610">
        <v>4</v>
      </c>
      <c r="D610">
        <v>1018</v>
      </c>
    </row>
    <row r="611" spans="1:4">
      <c r="A611" t="s">
        <v>1969</v>
      </c>
      <c r="B611">
        <v>3681</v>
      </c>
      <c r="C611">
        <v>1</v>
      </c>
      <c r="D611">
        <v>3682</v>
      </c>
    </row>
    <row r="612" spans="1:4">
      <c r="A612" t="s">
        <v>9362</v>
      </c>
      <c r="B612">
        <v>218</v>
      </c>
      <c r="C612">
        <v>6</v>
      </c>
      <c r="D612">
        <v>224</v>
      </c>
    </row>
    <row r="613" spans="1:4">
      <c r="A613" t="s">
        <v>1971</v>
      </c>
      <c r="B613">
        <v>1473</v>
      </c>
      <c r="C613">
        <v>1</v>
      </c>
      <c r="D613">
        <v>1474</v>
      </c>
    </row>
    <row r="614" spans="1:4">
      <c r="A614" t="s">
        <v>2926</v>
      </c>
      <c r="B614">
        <v>1724</v>
      </c>
      <c r="C614">
        <v>3</v>
      </c>
      <c r="D614">
        <v>1727</v>
      </c>
    </row>
    <row r="615" spans="1:4">
      <c r="A615" t="s">
        <v>9363</v>
      </c>
      <c r="B615" t="s">
        <v>358</v>
      </c>
      <c r="C615" t="s">
        <v>358</v>
      </c>
      <c r="D615">
        <v>0</v>
      </c>
    </row>
    <row r="616" spans="1:4">
      <c r="A616" t="s">
        <v>2927</v>
      </c>
      <c r="B616" t="s">
        <v>358</v>
      </c>
      <c r="C616" t="s">
        <v>358</v>
      </c>
      <c r="D616">
        <v>0</v>
      </c>
    </row>
    <row r="617" spans="1:4">
      <c r="A617" t="s">
        <v>9364</v>
      </c>
      <c r="B617" t="s">
        <v>358</v>
      </c>
      <c r="C617" t="s">
        <v>358</v>
      </c>
      <c r="D617">
        <v>0</v>
      </c>
    </row>
    <row r="618" spans="1:4">
      <c r="A618" t="s">
        <v>9365</v>
      </c>
      <c r="B618" t="s">
        <v>358</v>
      </c>
      <c r="C618" t="s">
        <v>358</v>
      </c>
      <c r="D618">
        <v>0</v>
      </c>
    </row>
    <row r="619" spans="1:4">
      <c r="A619" t="s">
        <v>2928</v>
      </c>
      <c r="B619" t="s">
        <v>358</v>
      </c>
      <c r="C619" t="s">
        <v>358</v>
      </c>
      <c r="D619">
        <v>0</v>
      </c>
    </row>
    <row r="620" spans="1:4">
      <c r="A620" t="s">
        <v>9366</v>
      </c>
      <c r="B620" t="s">
        <v>358</v>
      </c>
      <c r="C620" t="s">
        <v>358</v>
      </c>
      <c r="D620">
        <v>0</v>
      </c>
    </row>
    <row r="621" spans="1:4">
      <c r="A621" t="s">
        <v>9367</v>
      </c>
      <c r="B621" t="s">
        <v>358</v>
      </c>
      <c r="C621" t="s">
        <v>358</v>
      </c>
      <c r="D621">
        <v>0</v>
      </c>
    </row>
    <row r="622" spans="1:4">
      <c r="A622" t="s">
        <v>9368</v>
      </c>
      <c r="B622" t="s">
        <v>358</v>
      </c>
      <c r="C622" t="s">
        <v>358</v>
      </c>
      <c r="D622">
        <v>0</v>
      </c>
    </row>
    <row r="623" spans="1:4">
      <c r="A623" t="s">
        <v>9369</v>
      </c>
      <c r="B623" t="s">
        <v>358</v>
      </c>
      <c r="C623" t="s">
        <v>358</v>
      </c>
      <c r="D623">
        <v>0</v>
      </c>
    </row>
    <row r="624" spans="1:4">
      <c r="A624" t="s">
        <v>2929</v>
      </c>
      <c r="B624" t="s">
        <v>358</v>
      </c>
      <c r="C624" t="s">
        <v>358</v>
      </c>
      <c r="D624">
        <v>0</v>
      </c>
    </row>
    <row r="625" spans="1:4">
      <c r="A625" t="s">
        <v>9370</v>
      </c>
      <c r="B625" t="s">
        <v>358</v>
      </c>
      <c r="C625" t="s">
        <v>358</v>
      </c>
      <c r="D625">
        <v>0</v>
      </c>
    </row>
    <row r="626" spans="1:4">
      <c r="A626" t="s">
        <v>9371</v>
      </c>
      <c r="B626">
        <v>2172</v>
      </c>
      <c r="C626">
        <v>1</v>
      </c>
      <c r="D626">
        <v>2173</v>
      </c>
    </row>
    <row r="627" spans="1:4">
      <c r="A627" t="s">
        <v>9372</v>
      </c>
      <c r="B627">
        <v>1904</v>
      </c>
      <c r="C627">
        <v>5</v>
      </c>
      <c r="D627">
        <v>1909</v>
      </c>
    </row>
    <row r="628" spans="1:4">
      <c r="A628" t="s">
        <v>9373</v>
      </c>
      <c r="B628">
        <v>1937</v>
      </c>
      <c r="C628">
        <v>6</v>
      </c>
      <c r="D628">
        <v>1943</v>
      </c>
    </row>
    <row r="629" spans="1:4">
      <c r="A629" t="s">
        <v>9374</v>
      </c>
      <c r="B629">
        <v>1713</v>
      </c>
      <c r="C629">
        <v>11</v>
      </c>
      <c r="D629">
        <v>1724</v>
      </c>
    </row>
    <row r="630" spans="1:4">
      <c r="A630" t="s">
        <v>9375</v>
      </c>
      <c r="B630">
        <v>1079</v>
      </c>
      <c r="C630">
        <v>0</v>
      </c>
      <c r="D630">
        <v>1079</v>
      </c>
    </row>
    <row r="631" spans="1:4">
      <c r="A631" t="s">
        <v>1901</v>
      </c>
      <c r="B631">
        <v>3</v>
      </c>
      <c r="C631">
        <v>1</v>
      </c>
      <c r="D631">
        <v>4</v>
      </c>
    </row>
    <row r="632" spans="1:4">
      <c r="A632" t="s">
        <v>9376</v>
      </c>
      <c r="B632">
        <v>3</v>
      </c>
      <c r="C632">
        <v>4</v>
      </c>
      <c r="D632">
        <v>7</v>
      </c>
    </row>
    <row r="633" spans="1:4">
      <c r="A633" t="s">
        <v>1902</v>
      </c>
      <c r="B633">
        <v>0</v>
      </c>
      <c r="C633">
        <v>1</v>
      </c>
      <c r="D633">
        <v>1</v>
      </c>
    </row>
    <row r="634" spans="1:4">
      <c r="A634" t="s">
        <v>9377</v>
      </c>
      <c r="B634">
        <v>3</v>
      </c>
      <c r="C634">
        <v>3</v>
      </c>
      <c r="D634">
        <v>6</v>
      </c>
    </row>
    <row r="635" spans="1:4">
      <c r="A635" t="s">
        <v>1903</v>
      </c>
      <c r="B635">
        <v>2</v>
      </c>
      <c r="C635">
        <v>4</v>
      </c>
      <c r="D635">
        <v>6</v>
      </c>
    </row>
    <row r="636" spans="1:4">
      <c r="A636" t="s">
        <v>2930</v>
      </c>
      <c r="B636">
        <v>3200</v>
      </c>
      <c r="C636">
        <v>1</v>
      </c>
      <c r="D636">
        <v>3201</v>
      </c>
    </row>
    <row r="637" spans="1:4">
      <c r="A637" t="s">
        <v>9378</v>
      </c>
      <c r="B637">
        <v>812</v>
      </c>
      <c r="C637">
        <v>3</v>
      </c>
      <c r="D637">
        <v>815</v>
      </c>
    </row>
    <row r="638" spans="1:4">
      <c r="A638" t="s">
        <v>2931</v>
      </c>
      <c r="B638">
        <v>2088</v>
      </c>
      <c r="C638">
        <v>0</v>
      </c>
      <c r="D638">
        <v>2088</v>
      </c>
    </row>
    <row r="639" spans="1:4">
      <c r="A639" t="s">
        <v>2932</v>
      </c>
      <c r="B639">
        <v>301</v>
      </c>
      <c r="C639" t="s">
        <v>358</v>
      </c>
      <c r="D639">
        <v>301</v>
      </c>
    </row>
    <row r="640" spans="1:4">
      <c r="A640" t="s">
        <v>2933</v>
      </c>
      <c r="B640">
        <v>492</v>
      </c>
      <c r="C640" t="s">
        <v>358</v>
      </c>
      <c r="D640">
        <v>492</v>
      </c>
    </row>
    <row r="641" spans="1:4">
      <c r="A641" t="s">
        <v>9379</v>
      </c>
      <c r="B641">
        <v>290</v>
      </c>
      <c r="C641">
        <v>2</v>
      </c>
      <c r="D641">
        <v>292</v>
      </c>
    </row>
    <row r="642" spans="1:4">
      <c r="A642" t="s">
        <v>9380</v>
      </c>
      <c r="B642">
        <v>408</v>
      </c>
      <c r="C642" t="s">
        <v>358</v>
      </c>
      <c r="D642">
        <v>408</v>
      </c>
    </row>
    <row r="643" spans="1:4">
      <c r="A643" t="s">
        <v>2934</v>
      </c>
      <c r="B643">
        <v>4191</v>
      </c>
      <c r="C643">
        <v>5</v>
      </c>
      <c r="D643">
        <v>4196</v>
      </c>
    </row>
    <row r="644" spans="1:4">
      <c r="A644" t="s">
        <v>9381</v>
      </c>
      <c r="B644">
        <v>5330</v>
      </c>
      <c r="C644">
        <v>3</v>
      </c>
      <c r="D644">
        <v>5333</v>
      </c>
    </row>
    <row r="645" spans="1:4">
      <c r="A645" t="s">
        <v>2935</v>
      </c>
      <c r="B645">
        <v>344</v>
      </c>
      <c r="C645">
        <v>3</v>
      </c>
      <c r="D645">
        <v>347</v>
      </c>
    </row>
    <row r="646" spans="1:4">
      <c r="A646" t="s">
        <v>9382</v>
      </c>
      <c r="B646">
        <v>1839</v>
      </c>
      <c r="C646">
        <v>1</v>
      </c>
      <c r="D646">
        <v>1840</v>
      </c>
    </row>
    <row r="647" spans="1:4">
      <c r="A647" t="s">
        <v>9383</v>
      </c>
      <c r="B647">
        <v>1658</v>
      </c>
      <c r="C647">
        <v>2</v>
      </c>
      <c r="D647">
        <v>1660</v>
      </c>
    </row>
    <row r="648" spans="1:4">
      <c r="A648" t="s">
        <v>9384</v>
      </c>
      <c r="B648">
        <v>2444</v>
      </c>
      <c r="C648" t="s">
        <v>358</v>
      </c>
      <c r="D648">
        <v>2444</v>
      </c>
    </row>
    <row r="649" spans="1:4">
      <c r="A649" t="s">
        <v>9385</v>
      </c>
      <c r="B649">
        <v>1</v>
      </c>
      <c r="C649">
        <v>2</v>
      </c>
      <c r="D649">
        <v>3</v>
      </c>
    </row>
    <row r="650" spans="1:4">
      <c r="A650" t="s">
        <v>9386</v>
      </c>
      <c r="B650">
        <v>4752</v>
      </c>
      <c r="C650">
        <v>5</v>
      </c>
      <c r="D650">
        <v>4757</v>
      </c>
    </row>
    <row r="651" spans="1:4">
      <c r="A651" t="s">
        <v>9387</v>
      </c>
      <c r="B651" t="s">
        <v>358</v>
      </c>
      <c r="C651" t="s">
        <v>358</v>
      </c>
      <c r="D651">
        <v>0</v>
      </c>
    </row>
    <row r="652" spans="1:4">
      <c r="A652" t="s">
        <v>2936</v>
      </c>
      <c r="B652">
        <v>3521</v>
      </c>
      <c r="C652">
        <v>3</v>
      </c>
      <c r="D652">
        <v>3524</v>
      </c>
    </row>
    <row r="653" spans="1:4">
      <c r="A653" t="s">
        <v>2937</v>
      </c>
      <c r="B653">
        <v>4744</v>
      </c>
      <c r="C653">
        <v>2</v>
      </c>
      <c r="D653">
        <v>4746</v>
      </c>
    </row>
    <row r="654" spans="1:4">
      <c r="A654" t="s">
        <v>9388</v>
      </c>
      <c r="B654">
        <v>4386</v>
      </c>
      <c r="C654" t="s">
        <v>85</v>
      </c>
      <c r="D654">
        <v>4386</v>
      </c>
    </row>
    <row r="655" spans="1:4">
      <c r="A655" t="s">
        <v>2938</v>
      </c>
      <c r="B655">
        <v>5586</v>
      </c>
      <c r="C655">
        <v>3</v>
      </c>
      <c r="D655">
        <v>5589</v>
      </c>
    </row>
    <row r="656" spans="1:4">
      <c r="A656" t="s">
        <v>9389</v>
      </c>
      <c r="B656">
        <v>2275</v>
      </c>
      <c r="C656">
        <v>3</v>
      </c>
      <c r="D656">
        <v>2278</v>
      </c>
    </row>
    <row r="657" spans="1:4">
      <c r="A657" t="s">
        <v>9390</v>
      </c>
      <c r="B657">
        <v>1658</v>
      </c>
      <c r="C657">
        <v>4</v>
      </c>
      <c r="D657">
        <v>1662</v>
      </c>
    </row>
    <row r="658" spans="1:4">
      <c r="A658" t="s">
        <v>2939</v>
      </c>
      <c r="B658">
        <v>2620</v>
      </c>
      <c r="C658">
        <v>4</v>
      </c>
      <c r="D658">
        <v>2624</v>
      </c>
    </row>
    <row r="659" spans="1:4">
      <c r="A659" t="s">
        <v>2940</v>
      </c>
      <c r="B659">
        <v>254</v>
      </c>
      <c r="C659" t="s">
        <v>358</v>
      </c>
      <c r="D659">
        <v>254</v>
      </c>
    </row>
    <row r="660" spans="1:4">
      <c r="A660" t="s">
        <v>2941</v>
      </c>
      <c r="B660">
        <v>800</v>
      </c>
      <c r="C660">
        <v>10</v>
      </c>
      <c r="D660">
        <v>810</v>
      </c>
    </row>
    <row r="661" spans="1:4">
      <c r="A661" t="s">
        <v>2942</v>
      </c>
      <c r="B661">
        <v>6751</v>
      </c>
      <c r="C661">
        <v>2</v>
      </c>
      <c r="D661">
        <v>6753</v>
      </c>
    </row>
    <row r="662" spans="1:4">
      <c r="A662" t="s">
        <v>2943</v>
      </c>
      <c r="B662">
        <v>1291</v>
      </c>
      <c r="C662">
        <v>2</v>
      </c>
      <c r="D662">
        <v>1293</v>
      </c>
    </row>
    <row r="663" spans="1:4">
      <c r="A663" t="s">
        <v>2944</v>
      </c>
      <c r="B663">
        <v>1433</v>
      </c>
      <c r="C663" t="s">
        <v>358</v>
      </c>
      <c r="D663">
        <v>1433</v>
      </c>
    </row>
    <row r="664" spans="1:4">
      <c r="A664" t="s">
        <v>9391</v>
      </c>
      <c r="B664">
        <v>1197</v>
      </c>
      <c r="C664">
        <v>7</v>
      </c>
      <c r="D664">
        <v>1204</v>
      </c>
    </row>
    <row r="665" spans="1:4">
      <c r="A665" t="s">
        <v>9392</v>
      </c>
      <c r="B665">
        <v>2877</v>
      </c>
      <c r="C665">
        <v>2</v>
      </c>
      <c r="D665">
        <v>2879</v>
      </c>
    </row>
    <row r="666" spans="1:4">
      <c r="A666" t="s">
        <v>9393</v>
      </c>
      <c r="B666">
        <v>3781</v>
      </c>
      <c r="C666">
        <v>3</v>
      </c>
      <c r="D666">
        <v>3784</v>
      </c>
    </row>
    <row r="667" spans="1:4">
      <c r="A667" t="s">
        <v>9394</v>
      </c>
      <c r="B667" t="s">
        <v>358</v>
      </c>
      <c r="C667" t="s">
        <v>358</v>
      </c>
      <c r="D667">
        <v>0</v>
      </c>
    </row>
    <row r="668" spans="1:4">
      <c r="A668" t="s">
        <v>2945</v>
      </c>
      <c r="B668">
        <v>1526</v>
      </c>
      <c r="C668">
        <v>1</v>
      </c>
      <c r="D668">
        <v>1527</v>
      </c>
    </row>
    <row r="669" spans="1:4">
      <c r="A669" t="s">
        <v>1905</v>
      </c>
      <c r="B669">
        <v>6</v>
      </c>
      <c r="C669">
        <v>6</v>
      </c>
      <c r="D669">
        <v>12</v>
      </c>
    </row>
    <row r="670" spans="1:4">
      <c r="A670" t="s">
        <v>2946</v>
      </c>
      <c r="B670">
        <v>7</v>
      </c>
      <c r="C670">
        <v>4</v>
      </c>
      <c r="D670">
        <v>11</v>
      </c>
    </row>
    <row r="671" spans="1:4">
      <c r="A671" t="s">
        <v>9395</v>
      </c>
      <c r="B671">
        <v>960</v>
      </c>
      <c r="C671">
        <v>9</v>
      </c>
      <c r="D671">
        <v>969</v>
      </c>
    </row>
    <row r="672" spans="1:4">
      <c r="A672" t="s">
        <v>2947</v>
      </c>
      <c r="B672">
        <v>1248</v>
      </c>
      <c r="C672">
        <v>5</v>
      </c>
      <c r="D672">
        <v>1253</v>
      </c>
    </row>
    <row r="673" spans="1:4">
      <c r="A673" t="s">
        <v>2948</v>
      </c>
      <c r="B673">
        <v>13</v>
      </c>
      <c r="C673">
        <v>11</v>
      </c>
      <c r="D673">
        <v>24</v>
      </c>
    </row>
    <row r="674" spans="1:4">
      <c r="A674" t="s">
        <v>9396</v>
      </c>
      <c r="B674">
        <v>7</v>
      </c>
      <c r="C674">
        <v>9</v>
      </c>
      <c r="D674">
        <v>16</v>
      </c>
    </row>
    <row r="675" spans="1:4">
      <c r="A675" t="s">
        <v>9397</v>
      </c>
      <c r="B675">
        <v>1</v>
      </c>
      <c r="C675">
        <v>1</v>
      </c>
      <c r="D675">
        <v>2</v>
      </c>
    </row>
    <row r="676" spans="1:4">
      <c r="A676" t="s">
        <v>2949</v>
      </c>
      <c r="B676">
        <v>20</v>
      </c>
      <c r="C676">
        <v>13</v>
      </c>
      <c r="D676">
        <v>33</v>
      </c>
    </row>
    <row r="677" spans="1:4">
      <c r="A677" t="s">
        <v>9398</v>
      </c>
      <c r="B677">
        <v>2</v>
      </c>
      <c r="C677">
        <v>7</v>
      </c>
      <c r="D677">
        <v>9</v>
      </c>
    </row>
    <row r="678" spans="1:4">
      <c r="A678" t="s">
        <v>9399</v>
      </c>
      <c r="B678" t="s">
        <v>358</v>
      </c>
      <c r="C678" t="s">
        <v>358</v>
      </c>
      <c r="D678">
        <v>0</v>
      </c>
    </row>
    <row r="679" spans="1:4">
      <c r="A679" t="s">
        <v>2950</v>
      </c>
      <c r="B679">
        <v>887</v>
      </c>
      <c r="C679">
        <v>1</v>
      </c>
      <c r="D679">
        <v>888</v>
      </c>
    </row>
    <row r="680" spans="1:4">
      <c r="A680" t="s">
        <v>9400</v>
      </c>
      <c r="B680">
        <v>26</v>
      </c>
      <c r="C680">
        <v>10</v>
      </c>
      <c r="D680">
        <v>36</v>
      </c>
    </row>
    <row r="681" spans="1:4">
      <c r="A681" t="s">
        <v>2951</v>
      </c>
      <c r="B681">
        <v>339</v>
      </c>
      <c r="C681" t="s">
        <v>358</v>
      </c>
      <c r="D681">
        <v>339</v>
      </c>
    </row>
    <row r="682" spans="1:4">
      <c r="A682" t="s">
        <v>9401</v>
      </c>
      <c r="B682">
        <v>2586</v>
      </c>
      <c r="C682" t="s">
        <v>358</v>
      </c>
      <c r="D682">
        <v>2586</v>
      </c>
    </row>
    <row r="683" spans="1:4">
      <c r="A683" t="s">
        <v>2952</v>
      </c>
      <c r="B683">
        <v>742</v>
      </c>
      <c r="C683">
        <v>1</v>
      </c>
      <c r="D683">
        <v>743</v>
      </c>
    </row>
    <row r="684" spans="1:4">
      <c r="A684" t="s">
        <v>9402</v>
      </c>
      <c r="B684">
        <v>4392</v>
      </c>
      <c r="C684">
        <v>8</v>
      </c>
      <c r="D684">
        <v>4400</v>
      </c>
    </row>
    <row r="685" spans="1:4">
      <c r="A685" t="s">
        <v>9403</v>
      </c>
      <c r="B685">
        <v>1489</v>
      </c>
      <c r="C685">
        <v>6</v>
      </c>
      <c r="D685">
        <v>1495</v>
      </c>
    </row>
    <row r="686" spans="1:4">
      <c r="A686" t="s">
        <v>9404</v>
      </c>
      <c r="B686">
        <v>117</v>
      </c>
      <c r="C686">
        <v>2</v>
      </c>
      <c r="D686">
        <v>119</v>
      </c>
    </row>
    <row r="687" spans="1:4">
      <c r="A687" t="s">
        <v>1984</v>
      </c>
      <c r="B687">
        <v>1672</v>
      </c>
      <c r="C687">
        <v>2</v>
      </c>
      <c r="D687">
        <v>1674</v>
      </c>
    </row>
    <row r="688" spans="1:4">
      <c r="A688" t="s">
        <v>9405</v>
      </c>
      <c r="B688">
        <v>1008</v>
      </c>
      <c r="C688">
        <v>4</v>
      </c>
      <c r="D688">
        <v>1012</v>
      </c>
    </row>
    <row r="689" spans="1:4">
      <c r="A689" t="s">
        <v>1986</v>
      </c>
      <c r="B689">
        <v>2500</v>
      </c>
      <c r="C689">
        <v>10</v>
      </c>
      <c r="D689">
        <v>2510</v>
      </c>
    </row>
    <row r="690" spans="1:4">
      <c r="A690" t="s">
        <v>1911</v>
      </c>
      <c r="B690">
        <v>1</v>
      </c>
      <c r="C690">
        <v>6</v>
      </c>
      <c r="D690">
        <v>7</v>
      </c>
    </row>
    <row r="691" spans="1:4">
      <c r="A691" t="s">
        <v>9406</v>
      </c>
      <c r="B691">
        <v>12</v>
      </c>
      <c r="C691">
        <v>5</v>
      </c>
      <c r="D691">
        <v>17</v>
      </c>
    </row>
    <row r="692" spans="1:4">
      <c r="A692" t="s">
        <v>9407</v>
      </c>
      <c r="B692">
        <v>2</v>
      </c>
      <c r="C692">
        <v>4</v>
      </c>
      <c r="D692">
        <v>6</v>
      </c>
    </row>
    <row r="693" spans="1:4">
      <c r="A693" t="s">
        <v>9408</v>
      </c>
      <c r="B693">
        <v>15</v>
      </c>
      <c r="C693">
        <v>16</v>
      </c>
      <c r="D693">
        <v>31</v>
      </c>
    </row>
    <row r="694" spans="1:4">
      <c r="A694" t="s">
        <v>9409</v>
      </c>
      <c r="B694">
        <v>6</v>
      </c>
      <c r="C694">
        <v>8</v>
      </c>
      <c r="D694">
        <v>14</v>
      </c>
    </row>
    <row r="695" spans="1:4">
      <c r="A695" t="s">
        <v>1913</v>
      </c>
      <c r="B695">
        <v>2</v>
      </c>
      <c r="C695">
        <v>5</v>
      </c>
      <c r="D695">
        <v>7</v>
      </c>
    </row>
    <row r="696" spans="1:4">
      <c r="A696" t="s">
        <v>2953</v>
      </c>
      <c r="B696">
        <v>7</v>
      </c>
      <c r="C696">
        <v>6</v>
      </c>
      <c r="D696">
        <v>13</v>
      </c>
    </row>
    <row r="697" spans="1:4">
      <c r="A697" t="s">
        <v>9410</v>
      </c>
      <c r="B697">
        <v>1</v>
      </c>
      <c r="C697">
        <v>6</v>
      </c>
      <c r="D697">
        <v>7</v>
      </c>
    </row>
    <row r="698" spans="1:4">
      <c r="A698" t="s">
        <v>9411</v>
      </c>
      <c r="B698">
        <v>16</v>
      </c>
      <c r="C698">
        <v>7</v>
      </c>
      <c r="D698">
        <v>23</v>
      </c>
    </row>
    <row r="699" spans="1:4">
      <c r="A699" t="s">
        <v>1988</v>
      </c>
      <c r="B699">
        <v>6</v>
      </c>
      <c r="C699">
        <v>2</v>
      </c>
      <c r="D699">
        <v>8</v>
      </c>
    </row>
    <row r="700" spans="1:4">
      <c r="A700" t="s">
        <v>9412</v>
      </c>
      <c r="B700">
        <v>0</v>
      </c>
      <c r="C700">
        <v>2</v>
      </c>
      <c r="D700">
        <v>2</v>
      </c>
    </row>
    <row r="701" spans="1:4">
      <c r="A701" t="s">
        <v>8314</v>
      </c>
      <c r="B701">
        <v>2</v>
      </c>
      <c r="C701">
        <v>9</v>
      </c>
      <c r="D701">
        <v>11</v>
      </c>
    </row>
    <row r="702" spans="1:4">
      <c r="A702" t="s">
        <v>9413</v>
      </c>
      <c r="B702">
        <v>2</v>
      </c>
      <c r="C702" t="s">
        <v>358</v>
      </c>
      <c r="D702">
        <v>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2">
    <pageSetUpPr fitToPage="1"/>
  </sheetPr>
  <dimension ref="A2:AI107"/>
  <sheetViews>
    <sheetView view="pageBreakPreview" topLeftCell="A25" zoomScale="115" zoomScaleNormal="115" zoomScaleSheetLayoutView="115" workbookViewId="0">
      <selection activeCell="B79" sqref="B79:J83"/>
    </sheetView>
  </sheetViews>
  <sheetFormatPr defaultColWidth="9" defaultRowHeight="16.5"/>
  <cols>
    <col min="1" max="1" width="5.125" style="475" customWidth="1"/>
    <col min="2" max="3" width="4.625" style="475" customWidth="1"/>
    <col min="4" max="4" width="7.625" style="475" customWidth="1"/>
    <col min="5" max="5" width="5.75" style="475" customWidth="1"/>
    <col min="6" max="7" width="2.625" style="475" customWidth="1"/>
    <col min="8" max="8" width="6.625" style="475" customWidth="1"/>
    <col min="9" max="9" width="6" style="475" customWidth="1"/>
    <col min="10" max="12" width="4.625" style="475" customWidth="1"/>
    <col min="13" max="14" width="2.625" style="475" customWidth="1"/>
    <col min="15" max="23" width="4.625" style="475" customWidth="1"/>
    <col min="24" max="24" width="6.5" style="475" customWidth="1"/>
    <col min="25" max="32" width="4.625" style="475" customWidth="1"/>
    <col min="33" max="33" width="9" style="475"/>
    <col min="34" max="34" width="8.75" style="475" customWidth="1"/>
    <col min="35" max="256" width="9" style="475"/>
    <col min="257" max="257" width="5.125" style="475" customWidth="1"/>
    <col min="258" max="259" width="4.625" style="475" customWidth="1"/>
    <col min="260" max="260" width="5.125" style="475" customWidth="1"/>
    <col min="261" max="261" width="4.625" style="475" customWidth="1"/>
    <col min="262" max="263" width="2.625" style="475" customWidth="1"/>
    <col min="264" max="268" width="4.625" style="475" customWidth="1"/>
    <col min="269" max="270" width="2.625" style="475" customWidth="1"/>
    <col min="271" max="288" width="4.625" style="475" customWidth="1"/>
    <col min="289" max="289" width="9" style="475"/>
    <col min="290" max="290" width="8.75" style="475" customWidth="1"/>
    <col min="291" max="512" width="9" style="475"/>
    <col min="513" max="513" width="5.125" style="475" customWidth="1"/>
    <col min="514" max="515" width="4.625" style="475" customWidth="1"/>
    <col min="516" max="516" width="5.125" style="475" customWidth="1"/>
    <col min="517" max="517" width="4.625" style="475" customWidth="1"/>
    <col min="518" max="519" width="2.625" style="475" customWidth="1"/>
    <col min="520" max="524" width="4.625" style="475" customWidth="1"/>
    <col min="525" max="526" width="2.625" style="475" customWidth="1"/>
    <col min="527" max="544" width="4.625" style="475" customWidth="1"/>
    <col min="545" max="545" width="9" style="475"/>
    <col min="546" max="546" width="8.75" style="475" customWidth="1"/>
    <col min="547" max="768" width="9" style="475"/>
    <col min="769" max="769" width="5.125" style="475" customWidth="1"/>
    <col min="770" max="771" width="4.625" style="475" customWidth="1"/>
    <col min="772" max="772" width="5.125" style="475" customWidth="1"/>
    <col min="773" max="773" width="4.625" style="475" customWidth="1"/>
    <col min="774" max="775" width="2.625" style="475" customWidth="1"/>
    <col min="776" max="780" width="4.625" style="475" customWidth="1"/>
    <col min="781" max="782" width="2.625" style="475" customWidth="1"/>
    <col min="783" max="800" width="4.625" style="475" customWidth="1"/>
    <col min="801" max="801" width="9" style="475"/>
    <col min="802" max="802" width="8.75" style="475" customWidth="1"/>
    <col min="803" max="1024" width="9" style="475"/>
    <col min="1025" max="1025" width="5.125" style="475" customWidth="1"/>
    <col min="1026" max="1027" width="4.625" style="475" customWidth="1"/>
    <col min="1028" max="1028" width="5.125" style="475" customWidth="1"/>
    <col min="1029" max="1029" width="4.625" style="475" customWidth="1"/>
    <col min="1030" max="1031" width="2.625" style="475" customWidth="1"/>
    <col min="1032" max="1036" width="4.625" style="475" customWidth="1"/>
    <col min="1037" max="1038" width="2.625" style="475" customWidth="1"/>
    <col min="1039" max="1056" width="4.625" style="475" customWidth="1"/>
    <col min="1057" max="1057" width="9" style="475"/>
    <col min="1058" max="1058" width="8.75" style="475" customWidth="1"/>
    <col min="1059" max="1280" width="9" style="475"/>
    <col min="1281" max="1281" width="5.125" style="475" customWidth="1"/>
    <col min="1282" max="1283" width="4.625" style="475" customWidth="1"/>
    <col min="1284" max="1284" width="5.125" style="475" customWidth="1"/>
    <col min="1285" max="1285" width="4.625" style="475" customWidth="1"/>
    <col min="1286" max="1287" width="2.625" style="475" customWidth="1"/>
    <col min="1288" max="1292" width="4.625" style="475" customWidth="1"/>
    <col min="1293" max="1294" width="2.625" style="475" customWidth="1"/>
    <col min="1295" max="1312" width="4.625" style="475" customWidth="1"/>
    <col min="1313" max="1313" width="9" style="475"/>
    <col min="1314" max="1314" width="8.75" style="475" customWidth="1"/>
    <col min="1315" max="1536" width="9" style="475"/>
    <col min="1537" max="1537" width="5.125" style="475" customWidth="1"/>
    <col min="1538" max="1539" width="4.625" style="475" customWidth="1"/>
    <col min="1540" max="1540" width="5.125" style="475" customWidth="1"/>
    <col min="1541" max="1541" width="4.625" style="475" customWidth="1"/>
    <col min="1542" max="1543" width="2.625" style="475" customWidth="1"/>
    <col min="1544" max="1548" width="4.625" style="475" customWidth="1"/>
    <col min="1549" max="1550" width="2.625" style="475" customWidth="1"/>
    <col min="1551" max="1568" width="4.625" style="475" customWidth="1"/>
    <col min="1569" max="1569" width="9" style="475"/>
    <col min="1570" max="1570" width="8.75" style="475" customWidth="1"/>
    <col min="1571" max="1792" width="9" style="475"/>
    <col min="1793" max="1793" width="5.125" style="475" customWidth="1"/>
    <col min="1794" max="1795" width="4.625" style="475" customWidth="1"/>
    <col min="1796" max="1796" width="5.125" style="475" customWidth="1"/>
    <col min="1797" max="1797" width="4.625" style="475" customWidth="1"/>
    <col min="1798" max="1799" width="2.625" style="475" customWidth="1"/>
    <col min="1800" max="1804" width="4.625" style="475" customWidth="1"/>
    <col min="1805" max="1806" width="2.625" style="475" customWidth="1"/>
    <col min="1807" max="1824" width="4.625" style="475" customWidth="1"/>
    <col min="1825" max="1825" width="9" style="475"/>
    <col min="1826" max="1826" width="8.75" style="475" customWidth="1"/>
    <col min="1827" max="2048" width="9" style="475"/>
    <col min="2049" max="2049" width="5.125" style="475" customWidth="1"/>
    <col min="2050" max="2051" width="4.625" style="475" customWidth="1"/>
    <col min="2052" max="2052" width="5.125" style="475" customWidth="1"/>
    <col min="2053" max="2053" width="4.625" style="475" customWidth="1"/>
    <col min="2054" max="2055" width="2.625" style="475" customWidth="1"/>
    <col min="2056" max="2060" width="4.625" style="475" customWidth="1"/>
    <col min="2061" max="2062" width="2.625" style="475" customWidth="1"/>
    <col min="2063" max="2080" width="4.625" style="475" customWidth="1"/>
    <col min="2081" max="2081" width="9" style="475"/>
    <col min="2082" max="2082" width="8.75" style="475" customWidth="1"/>
    <col min="2083" max="2304" width="9" style="475"/>
    <col min="2305" max="2305" width="5.125" style="475" customWidth="1"/>
    <col min="2306" max="2307" width="4.625" style="475" customWidth="1"/>
    <col min="2308" max="2308" width="5.125" style="475" customWidth="1"/>
    <col min="2309" max="2309" width="4.625" style="475" customWidth="1"/>
    <col min="2310" max="2311" width="2.625" style="475" customWidth="1"/>
    <col min="2312" max="2316" width="4.625" style="475" customWidth="1"/>
    <col min="2317" max="2318" width="2.625" style="475" customWidth="1"/>
    <col min="2319" max="2336" width="4.625" style="475" customWidth="1"/>
    <col min="2337" max="2337" width="9" style="475"/>
    <col min="2338" max="2338" width="8.75" style="475" customWidth="1"/>
    <col min="2339" max="2560" width="9" style="475"/>
    <col min="2561" max="2561" width="5.125" style="475" customWidth="1"/>
    <col min="2562" max="2563" width="4.625" style="475" customWidth="1"/>
    <col min="2564" max="2564" width="5.125" style="475" customWidth="1"/>
    <col min="2565" max="2565" width="4.625" style="475" customWidth="1"/>
    <col min="2566" max="2567" width="2.625" style="475" customWidth="1"/>
    <col min="2568" max="2572" width="4.625" style="475" customWidth="1"/>
    <col min="2573" max="2574" width="2.625" style="475" customWidth="1"/>
    <col min="2575" max="2592" width="4.625" style="475" customWidth="1"/>
    <col min="2593" max="2593" width="9" style="475"/>
    <col min="2594" max="2594" width="8.75" style="475" customWidth="1"/>
    <col min="2595" max="2816" width="9" style="475"/>
    <col min="2817" max="2817" width="5.125" style="475" customWidth="1"/>
    <col min="2818" max="2819" width="4.625" style="475" customWidth="1"/>
    <col min="2820" max="2820" width="5.125" style="475" customWidth="1"/>
    <col min="2821" max="2821" width="4.625" style="475" customWidth="1"/>
    <col min="2822" max="2823" width="2.625" style="475" customWidth="1"/>
    <col min="2824" max="2828" width="4.625" style="475" customWidth="1"/>
    <col min="2829" max="2830" width="2.625" style="475" customWidth="1"/>
    <col min="2831" max="2848" width="4.625" style="475" customWidth="1"/>
    <col min="2849" max="2849" width="9" style="475"/>
    <col min="2850" max="2850" width="8.75" style="475" customWidth="1"/>
    <col min="2851" max="3072" width="9" style="475"/>
    <col min="3073" max="3073" width="5.125" style="475" customWidth="1"/>
    <col min="3074" max="3075" width="4.625" style="475" customWidth="1"/>
    <col min="3076" max="3076" width="5.125" style="475" customWidth="1"/>
    <col min="3077" max="3077" width="4.625" style="475" customWidth="1"/>
    <col min="3078" max="3079" width="2.625" style="475" customWidth="1"/>
    <col min="3080" max="3084" width="4.625" style="475" customWidth="1"/>
    <col min="3085" max="3086" width="2.625" style="475" customWidth="1"/>
    <col min="3087" max="3104" width="4.625" style="475" customWidth="1"/>
    <col min="3105" max="3105" width="9" style="475"/>
    <col min="3106" max="3106" width="8.75" style="475" customWidth="1"/>
    <col min="3107" max="3328" width="9" style="475"/>
    <col min="3329" max="3329" width="5.125" style="475" customWidth="1"/>
    <col min="3330" max="3331" width="4.625" style="475" customWidth="1"/>
    <col min="3332" max="3332" width="5.125" style="475" customWidth="1"/>
    <col min="3333" max="3333" width="4.625" style="475" customWidth="1"/>
    <col min="3334" max="3335" width="2.625" style="475" customWidth="1"/>
    <col min="3336" max="3340" width="4.625" style="475" customWidth="1"/>
    <col min="3341" max="3342" width="2.625" style="475" customWidth="1"/>
    <col min="3343" max="3360" width="4.625" style="475" customWidth="1"/>
    <col min="3361" max="3361" width="9" style="475"/>
    <col min="3362" max="3362" width="8.75" style="475" customWidth="1"/>
    <col min="3363" max="3584" width="9" style="475"/>
    <col min="3585" max="3585" width="5.125" style="475" customWidth="1"/>
    <col min="3586" max="3587" width="4.625" style="475" customWidth="1"/>
    <col min="3588" max="3588" width="5.125" style="475" customWidth="1"/>
    <col min="3589" max="3589" width="4.625" style="475" customWidth="1"/>
    <col min="3590" max="3591" width="2.625" style="475" customWidth="1"/>
    <col min="3592" max="3596" width="4.625" style="475" customWidth="1"/>
    <col min="3597" max="3598" width="2.625" style="475" customWidth="1"/>
    <col min="3599" max="3616" width="4.625" style="475" customWidth="1"/>
    <col min="3617" max="3617" width="9" style="475"/>
    <col min="3618" max="3618" width="8.75" style="475" customWidth="1"/>
    <col min="3619" max="3840" width="9" style="475"/>
    <col min="3841" max="3841" width="5.125" style="475" customWidth="1"/>
    <col min="3842" max="3843" width="4.625" style="475" customWidth="1"/>
    <col min="3844" max="3844" width="5.125" style="475" customWidth="1"/>
    <col min="3845" max="3845" width="4.625" style="475" customWidth="1"/>
    <col min="3846" max="3847" width="2.625" style="475" customWidth="1"/>
    <col min="3848" max="3852" width="4.625" style="475" customWidth="1"/>
    <col min="3853" max="3854" width="2.625" style="475" customWidth="1"/>
    <col min="3855" max="3872" width="4.625" style="475" customWidth="1"/>
    <col min="3873" max="3873" width="9" style="475"/>
    <col min="3874" max="3874" width="8.75" style="475" customWidth="1"/>
    <col min="3875" max="4096" width="9" style="475"/>
    <col min="4097" max="4097" width="5.125" style="475" customWidth="1"/>
    <col min="4098" max="4099" width="4.625" style="475" customWidth="1"/>
    <col min="4100" max="4100" width="5.125" style="475" customWidth="1"/>
    <col min="4101" max="4101" width="4.625" style="475" customWidth="1"/>
    <col min="4102" max="4103" width="2.625" style="475" customWidth="1"/>
    <col min="4104" max="4108" width="4.625" style="475" customWidth="1"/>
    <col min="4109" max="4110" width="2.625" style="475" customWidth="1"/>
    <col min="4111" max="4128" width="4.625" style="475" customWidth="1"/>
    <col min="4129" max="4129" width="9" style="475"/>
    <col min="4130" max="4130" width="8.75" style="475" customWidth="1"/>
    <col min="4131" max="4352" width="9" style="475"/>
    <col min="4353" max="4353" width="5.125" style="475" customWidth="1"/>
    <col min="4354" max="4355" width="4.625" style="475" customWidth="1"/>
    <col min="4356" max="4356" width="5.125" style="475" customWidth="1"/>
    <col min="4357" max="4357" width="4.625" style="475" customWidth="1"/>
    <col min="4358" max="4359" width="2.625" style="475" customWidth="1"/>
    <col min="4360" max="4364" width="4.625" style="475" customWidth="1"/>
    <col min="4365" max="4366" width="2.625" style="475" customWidth="1"/>
    <col min="4367" max="4384" width="4.625" style="475" customWidth="1"/>
    <col min="4385" max="4385" width="9" style="475"/>
    <col min="4386" max="4386" width="8.75" style="475" customWidth="1"/>
    <col min="4387" max="4608" width="9" style="475"/>
    <col min="4609" max="4609" width="5.125" style="475" customWidth="1"/>
    <col min="4610" max="4611" width="4.625" style="475" customWidth="1"/>
    <col min="4612" max="4612" width="5.125" style="475" customWidth="1"/>
    <col min="4613" max="4613" width="4.625" style="475" customWidth="1"/>
    <col min="4614" max="4615" width="2.625" style="475" customWidth="1"/>
    <col min="4616" max="4620" width="4.625" style="475" customWidth="1"/>
    <col min="4621" max="4622" width="2.625" style="475" customWidth="1"/>
    <col min="4623" max="4640" width="4.625" style="475" customWidth="1"/>
    <col min="4641" max="4641" width="9" style="475"/>
    <col min="4642" max="4642" width="8.75" style="475" customWidth="1"/>
    <col min="4643" max="4864" width="9" style="475"/>
    <col min="4865" max="4865" width="5.125" style="475" customWidth="1"/>
    <col min="4866" max="4867" width="4.625" style="475" customWidth="1"/>
    <col min="4868" max="4868" width="5.125" style="475" customWidth="1"/>
    <col min="4869" max="4869" width="4.625" style="475" customWidth="1"/>
    <col min="4870" max="4871" width="2.625" style="475" customWidth="1"/>
    <col min="4872" max="4876" width="4.625" style="475" customWidth="1"/>
    <col min="4877" max="4878" width="2.625" style="475" customWidth="1"/>
    <col min="4879" max="4896" width="4.625" style="475" customWidth="1"/>
    <col min="4897" max="4897" width="9" style="475"/>
    <col min="4898" max="4898" width="8.75" style="475" customWidth="1"/>
    <col min="4899" max="5120" width="9" style="475"/>
    <col min="5121" max="5121" width="5.125" style="475" customWidth="1"/>
    <col min="5122" max="5123" width="4.625" style="475" customWidth="1"/>
    <col min="5124" max="5124" width="5.125" style="475" customWidth="1"/>
    <col min="5125" max="5125" width="4.625" style="475" customWidth="1"/>
    <col min="5126" max="5127" width="2.625" style="475" customWidth="1"/>
    <col min="5128" max="5132" width="4.625" style="475" customWidth="1"/>
    <col min="5133" max="5134" width="2.625" style="475" customWidth="1"/>
    <col min="5135" max="5152" width="4.625" style="475" customWidth="1"/>
    <col min="5153" max="5153" width="9" style="475"/>
    <col min="5154" max="5154" width="8.75" style="475" customWidth="1"/>
    <col min="5155" max="5376" width="9" style="475"/>
    <col min="5377" max="5377" width="5.125" style="475" customWidth="1"/>
    <col min="5378" max="5379" width="4.625" style="475" customWidth="1"/>
    <col min="5380" max="5380" width="5.125" style="475" customWidth="1"/>
    <col min="5381" max="5381" width="4.625" style="475" customWidth="1"/>
    <col min="5382" max="5383" width="2.625" style="475" customWidth="1"/>
    <col min="5384" max="5388" width="4.625" style="475" customWidth="1"/>
    <col min="5389" max="5390" width="2.625" style="475" customWidth="1"/>
    <col min="5391" max="5408" width="4.625" style="475" customWidth="1"/>
    <col min="5409" max="5409" width="9" style="475"/>
    <col min="5410" max="5410" width="8.75" style="475" customWidth="1"/>
    <col min="5411" max="5632" width="9" style="475"/>
    <col min="5633" max="5633" width="5.125" style="475" customWidth="1"/>
    <col min="5634" max="5635" width="4.625" style="475" customWidth="1"/>
    <col min="5636" max="5636" width="5.125" style="475" customWidth="1"/>
    <col min="5637" max="5637" width="4.625" style="475" customWidth="1"/>
    <col min="5638" max="5639" width="2.625" style="475" customWidth="1"/>
    <col min="5640" max="5644" width="4.625" style="475" customWidth="1"/>
    <col min="5645" max="5646" width="2.625" style="475" customWidth="1"/>
    <col min="5647" max="5664" width="4.625" style="475" customWidth="1"/>
    <col min="5665" max="5665" width="9" style="475"/>
    <col min="5666" max="5666" width="8.75" style="475" customWidth="1"/>
    <col min="5667" max="5888" width="9" style="475"/>
    <col min="5889" max="5889" width="5.125" style="475" customWidth="1"/>
    <col min="5890" max="5891" width="4.625" style="475" customWidth="1"/>
    <col min="5892" max="5892" width="5.125" style="475" customWidth="1"/>
    <col min="5893" max="5893" width="4.625" style="475" customWidth="1"/>
    <col min="5894" max="5895" width="2.625" style="475" customWidth="1"/>
    <col min="5896" max="5900" width="4.625" style="475" customWidth="1"/>
    <col min="5901" max="5902" width="2.625" style="475" customWidth="1"/>
    <col min="5903" max="5920" width="4.625" style="475" customWidth="1"/>
    <col min="5921" max="5921" width="9" style="475"/>
    <col min="5922" max="5922" width="8.75" style="475" customWidth="1"/>
    <col min="5923" max="6144" width="9" style="475"/>
    <col min="6145" max="6145" width="5.125" style="475" customWidth="1"/>
    <col min="6146" max="6147" width="4.625" style="475" customWidth="1"/>
    <col min="6148" max="6148" width="5.125" style="475" customWidth="1"/>
    <col min="6149" max="6149" width="4.625" style="475" customWidth="1"/>
    <col min="6150" max="6151" width="2.625" style="475" customWidth="1"/>
    <col min="6152" max="6156" width="4.625" style="475" customWidth="1"/>
    <col min="6157" max="6158" width="2.625" style="475" customWidth="1"/>
    <col min="6159" max="6176" width="4.625" style="475" customWidth="1"/>
    <col min="6177" max="6177" width="9" style="475"/>
    <col min="6178" max="6178" width="8.75" style="475" customWidth="1"/>
    <col min="6179" max="6400" width="9" style="475"/>
    <col min="6401" max="6401" width="5.125" style="475" customWidth="1"/>
    <col min="6402" max="6403" width="4.625" style="475" customWidth="1"/>
    <col min="6404" max="6404" width="5.125" style="475" customWidth="1"/>
    <col min="6405" max="6405" width="4.625" style="475" customWidth="1"/>
    <col min="6406" max="6407" width="2.625" style="475" customWidth="1"/>
    <col min="6408" max="6412" width="4.625" style="475" customWidth="1"/>
    <col min="6413" max="6414" width="2.625" style="475" customWidth="1"/>
    <col min="6415" max="6432" width="4.625" style="475" customWidth="1"/>
    <col min="6433" max="6433" width="9" style="475"/>
    <col min="6434" max="6434" width="8.75" style="475" customWidth="1"/>
    <col min="6435" max="6656" width="9" style="475"/>
    <col min="6657" max="6657" width="5.125" style="475" customWidth="1"/>
    <col min="6658" max="6659" width="4.625" style="475" customWidth="1"/>
    <col min="6660" max="6660" width="5.125" style="475" customWidth="1"/>
    <col min="6661" max="6661" width="4.625" style="475" customWidth="1"/>
    <col min="6662" max="6663" width="2.625" style="475" customWidth="1"/>
    <col min="6664" max="6668" width="4.625" style="475" customWidth="1"/>
    <col min="6669" max="6670" width="2.625" style="475" customWidth="1"/>
    <col min="6671" max="6688" width="4.625" style="475" customWidth="1"/>
    <col min="6689" max="6689" width="9" style="475"/>
    <col min="6690" max="6690" width="8.75" style="475" customWidth="1"/>
    <col min="6691" max="6912" width="9" style="475"/>
    <col min="6913" max="6913" width="5.125" style="475" customWidth="1"/>
    <col min="6914" max="6915" width="4.625" style="475" customWidth="1"/>
    <col min="6916" max="6916" width="5.125" style="475" customWidth="1"/>
    <col min="6917" max="6917" width="4.625" style="475" customWidth="1"/>
    <col min="6918" max="6919" width="2.625" style="475" customWidth="1"/>
    <col min="6920" max="6924" width="4.625" style="475" customWidth="1"/>
    <col min="6925" max="6926" width="2.625" style="475" customWidth="1"/>
    <col min="6927" max="6944" width="4.625" style="475" customWidth="1"/>
    <col min="6945" max="6945" width="9" style="475"/>
    <col min="6946" max="6946" width="8.75" style="475" customWidth="1"/>
    <col min="6947" max="7168" width="9" style="475"/>
    <col min="7169" max="7169" width="5.125" style="475" customWidth="1"/>
    <col min="7170" max="7171" width="4.625" style="475" customWidth="1"/>
    <col min="7172" max="7172" width="5.125" style="475" customWidth="1"/>
    <col min="7173" max="7173" width="4.625" style="475" customWidth="1"/>
    <col min="7174" max="7175" width="2.625" style="475" customWidth="1"/>
    <col min="7176" max="7180" width="4.625" style="475" customWidth="1"/>
    <col min="7181" max="7182" width="2.625" style="475" customWidth="1"/>
    <col min="7183" max="7200" width="4.625" style="475" customWidth="1"/>
    <col min="7201" max="7201" width="9" style="475"/>
    <col min="7202" max="7202" width="8.75" style="475" customWidth="1"/>
    <col min="7203" max="7424" width="9" style="475"/>
    <col min="7425" max="7425" width="5.125" style="475" customWidth="1"/>
    <col min="7426" max="7427" width="4.625" style="475" customWidth="1"/>
    <col min="7428" max="7428" width="5.125" style="475" customWidth="1"/>
    <col min="7429" max="7429" width="4.625" style="475" customWidth="1"/>
    <col min="7430" max="7431" width="2.625" style="475" customWidth="1"/>
    <col min="7432" max="7436" width="4.625" style="475" customWidth="1"/>
    <col min="7437" max="7438" width="2.625" style="475" customWidth="1"/>
    <col min="7439" max="7456" width="4.625" style="475" customWidth="1"/>
    <col min="7457" max="7457" width="9" style="475"/>
    <col min="7458" max="7458" width="8.75" style="475" customWidth="1"/>
    <col min="7459" max="7680" width="9" style="475"/>
    <col min="7681" max="7681" width="5.125" style="475" customWidth="1"/>
    <col min="7682" max="7683" width="4.625" style="475" customWidth="1"/>
    <col min="7684" max="7684" width="5.125" style="475" customWidth="1"/>
    <col min="7685" max="7685" width="4.625" style="475" customWidth="1"/>
    <col min="7686" max="7687" width="2.625" style="475" customWidth="1"/>
    <col min="7688" max="7692" width="4.625" style="475" customWidth="1"/>
    <col min="7693" max="7694" width="2.625" style="475" customWidth="1"/>
    <col min="7695" max="7712" width="4.625" style="475" customWidth="1"/>
    <col min="7713" max="7713" width="9" style="475"/>
    <col min="7714" max="7714" width="8.75" style="475" customWidth="1"/>
    <col min="7715" max="7936" width="9" style="475"/>
    <col min="7937" max="7937" width="5.125" style="475" customWidth="1"/>
    <col min="7938" max="7939" width="4.625" style="475" customWidth="1"/>
    <col min="7940" max="7940" width="5.125" style="475" customWidth="1"/>
    <col min="7941" max="7941" width="4.625" style="475" customWidth="1"/>
    <col min="7942" max="7943" width="2.625" style="475" customWidth="1"/>
    <col min="7944" max="7948" width="4.625" style="475" customWidth="1"/>
    <col min="7949" max="7950" width="2.625" style="475" customWidth="1"/>
    <col min="7951" max="7968" width="4.625" style="475" customWidth="1"/>
    <col min="7969" max="7969" width="9" style="475"/>
    <col min="7970" max="7970" width="8.75" style="475" customWidth="1"/>
    <col min="7971" max="8192" width="9" style="475"/>
    <col min="8193" max="8193" width="5.125" style="475" customWidth="1"/>
    <col min="8194" max="8195" width="4.625" style="475" customWidth="1"/>
    <col min="8196" max="8196" width="5.125" style="475" customWidth="1"/>
    <col min="8197" max="8197" width="4.625" style="475" customWidth="1"/>
    <col min="8198" max="8199" width="2.625" style="475" customWidth="1"/>
    <col min="8200" max="8204" width="4.625" style="475" customWidth="1"/>
    <col min="8205" max="8206" width="2.625" style="475" customWidth="1"/>
    <col min="8207" max="8224" width="4.625" style="475" customWidth="1"/>
    <col min="8225" max="8225" width="9" style="475"/>
    <col min="8226" max="8226" width="8.75" style="475" customWidth="1"/>
    <col min="8227" max="8448" width="9" style="475"/>
    <col min="8449" max="8449" width="5.125" style="475" customWidth="1"/>
    <col min="8450" max="8451" width="4.625" style="475" customWidth="1"/>
    <col min="8452" max="8452" width="5.125" style="475" customWidth="1"/>
    <col min="8453" max="8453" width="4.625" style="475" customWidth="1"/>
    <col min="8454" max="8455" width="2.625" style="475" customWidth="1"/>
    <col min="8456" max="8460" width="4.625" style="475" customWidth="1"/>
    <col min="8461" max="8462" width="2.625" style="475" customWidth="1"/>
    <col min="8463" max="8480" width="4.625" style="475" customWidth="1"/>
    <col min="8481" max="8481" width="9" style="475"/>
    <col min="8482" max="8482" width="8.75" style="475" customWidth="1"/>
    <col min="8483" max="8704" width="9" style="475"/>
    <col min="8705" max="8705" width="5.125" style="475" customWidth="1"/>
    <col min="8706" max="8707" width="4.625" style="475" customWidth="1"/>
    <col min="8708" max="8708" width="5.125" style="475" customWidth="1"/>
    <col min="8709" max="8709" width="4.625" style="475" customWidth="1"/>
    <col min="8710" max="8711" width="2.625" style="475" customWidth="1"/>
    <col min="8712" max="8716" width="4.625" style="475" customWidth="1"/>
    <col min="8717" max="8718" width="2.625" style="475" customWidth="1"/>
    <col min="8719" max="8736" width="4.625" style="475" customWidth="1"/>
    <col min="8737" max="8737" width="9" style="475"/>
    <col min="8738" max="8738" width="8.75" style="475" customWidth="1"/>
    <col min="8739" max="8960" width="9" style="475"/>
    <col min="8961" max="8961" width="5.125" style="475" customWidth="1"/>
    <col min="8962" max="8963" width="4.625" style="475" customWidth="1"/>
    <col min="8964" max="8964" width="5.125" style="475" customWidth="1"/>
    <col min="8965" max="8965" width="4.625" style="475" customWidth="1"/>
    <col min="8966" max="8967" width="2.625" style="475" customWidth="1"/>
    <col min="8968" max="8972" width="4.625" style="475" customWidth="1"/>
    <col min="8973" max="8974" width="2.625" style="475" customWidth="1"/>
    <col min="8975" max="8992" width="4.625" style="475" customWidth="1"/>
    <col min="8993" max="8993" width="9" style="475"/>
    <col min="8994" max="8994" width="8.75" style="475" customWidth="1"/>
    <col min="8995" max="9216" width="9" style="475"/>
    <col min="9217" max="9217" width="5.125" style="475" customWidth="1"/>
    <col min="9218" max="9219" width="4.625" style="475" customWidth="1"/>
    <col min="9220" max="9220" width="5.125" style="475" customWidth="1"/>
    <col min="9221" max="9221" width="4.625" style="475" customWidth="1"/>
    <col min="9222" max="9223" width="2.625" style="475" customWidth="1"/>
    <col min="9224" max="9228" width="4.625" style="475" customWidth="1"/>
    <col min="9229" max="9230" width="2.625" style="475" customWidth="1"/>
    <col min="9231" max="9248" width="4.625" style="475" customWidth="1"/>
    <col min="9249" max="9249" width="9" style="475"/>
    <col min="9250" max="9250" width="8.75" style="475" customWidth="1"/>
    <col min="9251" max="9472" width="9" style="475"/>
    <col min="9473" max="9473" width="5.125" style="475" customWidth="1"/>
    <col min="9474" max="9475" width="4.625" style="475" customWidth="1"/>
    <col min="9476" max="9476" width="5.125" style="475" customWidth="1"/>
    <col min="9477" max="9477" width="4.625" style="475" customWidth="1"/>
    <col min="9478" max="9479" width="2.625" style="475" customWidth="1"/>
    <col min="9480" max="9484" width="4.625" style="475" customWidth="1"/>
    <col min="9485" max="9486" width="2.625" style="475" customWidth="1"/>
    <col min="9487" max="9504" width="4.625" style="475" customWidth="1"/>
    <col min="9505" max="9505" width="9" style="475"/>
    <col min="9506" max="9506" width="8.75" style="475" customWidth="1"/>
    <col min="9507" max="9728" width="9" style="475"/>
    <col min="9729" max="9729" width="5.125" style="475" customWidth="1"/>
    <col min="9730" max="9731" width="4.625" style="475" customWidth="1"/>
    <col min="9732" max="9732" width="5.125" style="475" customWidth="1"/>
    <col min="9733" max="9733" width="4.625" style="475" customWidth="1"/>
    <col min="9734" max="9735" width="2.625" style="475" customWidth="1"/>
    <col min="9736" max="9740" width="4.625" style="475" customWidth="1"/>
    <col min="9741" max="9742" width="2.625" style="475" customWidth="1"/>
    <col min="9743" max="9760" width="4.625" style="475" customWidth="1"/>
    <col min="9761" max="9761" width="9" style="475"/>
    <col min="9762" max="9762" width="8.75" style="475" customWidth="1"/>
    <col min="9763" max="9984" width="9" style="475"/>
    <col min="9985" max="9985" width="5.125" style="475" customWidth="1"/>
    <col min="9986" max="9987" width="4.625" style="475" customWidth="1"/>
    <col min="9988" max="9988" width="5.125" style="475" customWidth="1"/>
    <col min="9989" max="9989" width="4.625" style="475" customWidth="1"/>
    <col min="9990" max="9991" width="2.625" style="475" customWidth="1"/>
    <col min="9992" max="9996" width="4.625" style="475" customWidth="1"/>
    <col min="9997" max="9998" width="2.625" style="475" customWidth="1"/>
    <col min="9999" max="10016" width="4.625" style="475" customWidth="1"/>
    <col min="10017" max="10017" width="9" style="475"/>
    <col min="10018" max="10018" width="8.75" style="475" customWidth="1"/>
    <col min="10019" max="10240" width="9" style="475"/>
    <col min="10241" max="10241" width="5.125" style="475" customWidth="1"/>
    <col min="10242" max="10243" width="4.625" style="475" customWidth="1"/>
    <col min="10244" max="10244" width="5.125" style="475" customWidth="1"/>
    <col min="10245" max="10245" width="4.625" style="475" customWidth="1"/>
    <col min="10246" max="10247" width="2.625" style="475" customWidth="1"/>
    <col min="10248" max="10252" width="4.625" style="475" customWidth="1"/>
    <col min="10253" max="10254" width="2.625" style="475" customWidth="1"/>
    <col min="10255" max="10272" width="4.625" style="475" customWidth="1"/>
    <col min="10273" max="10273" width="9" style="475"/>
    <col min="10274" max="10274" width="8.75" style="475" customWidth="1"/>
    <col min="10275" max="10496" width="9" style="475"/>
    <col min="10497" max="10497" width="5.125" style="475" customWidth="1"/>
    <col min="10498" max="10499" width="4.625" style="475" customWidth="1"/>
    <col min="10500" max="10500" width="5.125" style="475" customWidth="1"/>
    <col min="10501" max="10501" width="4.625" style="475" customWidth="1"/>
    <col min="10502" max="10503" width="2.625" style="475" customWidth="1"/>
    <col min="10504" max="10508" width="4.625" style="475" customWidth="1"/>
    <col min="10509" max="10510" width="2.625" style="475" customWidth="1"/>
    <col min="10511" max="10528" width="4.625" style="475" customWidth="1"/>
    <col min="10529" max="10529" width="9" style="475"/>
    <col min="10530" max="10530" width="8.75" style="475" customWidth="1"/>
    <col min="10531" max="10752" width="9" style="475"/>
    <col min="10753" max="10753" width="5.125" style="475" customWidth="1"/>
    <col min="10754" max="10755" width="4.625" style="475" customWidth="1"/>
    <col min="10756" max="10756" width="5.125" style="475" customWidth="1"/>
    <col min="10757" max="10757" width="4.625" style="475" customWidth="1"/>
    <col min="10758" max="10759" width="2.625" style="475" customWidth="1"/>
    <col min="10760" max="10764" width="4.625" style="475" customWidth="1"/>
    <col min="10765" max="10766" width="2.625" style="475" customWidth="1"/>
    <col min="10767" max="10784" width="4.625" style="475" customWidth="1"/>
    <col min="10785" max="10785" width="9" style="475"/>
    <col min="10786" max="10786" width="8.75" style="475" customWidth="1"/>
    <col min="10787" max="11008" width="9" style="475"/>
    <col min="11009" max="11009" width="5.125" style="475" customWidth="1"/>
    <col min="11010" max="11011" width="4.625" style="475" customWidth="1"/>
    <col min="11012" max="11012" width="5.125" style="475" customWidth="1"/>
    <col min="11013" max="11013" width="4.625" style="475" customWidth="1"/>
    <col min="11014" max="11015" width="2.625" style="475" customWidth="1"/>
    <col min="11016" max="11020" width="4.625" style="475" customWidth="1"/>
    <col min="11021" max="11022" width="2.625" style="475" customWidth="1"/>
    <col min="11023" max="11040" width="4.625" style="475" customWidth="1"/>
    <col min="11041" max="11041" width="9" style="475"/>
    <col min="11042" max="11042" width="8.75" style="475" customWidth="1"/>
    <col min="11043" max="11264" width="9" style="475"/>
    <col min="11265" max="11265" width="5.125" style="475" customWidth="1"/>
    <col min="11266" max="11267" width="4.625" style="475" customWidth="1"/>
    <col min="11268" max="11268" width="5.125" style="475" customWidth="1"/>
    <col min="11269" max="11269" width="4.625" style="475" customWidth="1"/>
    <col min="11270" max="11271" width="2.625" style="475" customWidth="1"/>
    <col min="11272" max="11276" width="4.625" style="475" customWidth="1"/>
    <col min="11277" max="11278" width="2.625" style="475" customWidth="1"/>
    <col min="11279" max="11296" width="4.625" style="475" customWidth="1"/>
    <col min="11297" max="11297" width="9" style="475"/>
    <col min="11298" max="11298" width="8.75" style="475" customWidth="1"/>
    <col min="11299" max="11520" width="9" style="475"/>
    <col min="11521" max="11521" width="5.125" style="475" customWidth="1"/>
    <col min="11522" max="11523" width="4.625" style="475" customWidth="1"/>
    <col min="11524" max="11524" width="5.125" style="475" customWidth="1"/>
    <col min="11525" max="11525" width="4.625" style="475" customWidth="1"/>
    <col min="11526" max="11527" width="2.625" style="475" customWidth="1"/>
    <col min="11528" max="11532" width="4.625" style="475" customWidth="1"/>
    <col min="11533" max="11534" width="2.625" style="475" customWidth="1"/>
    <col min="11535" max="11552" width="4.625" style="475" customWidth="1"/>
    <col min="11553" max="11553" width="9" style="475"/>
    <col min="11554" max="11554" width="8.75" style="475" customWidth="1"/>
    <col min="11555" max="11776" width="9" style="475"/>
    <col min="11777" max="11777" width="5.125" style="475" customWidth="1"/>
    <col min="11778" max="11779" width="4.625" style="475" customWidth="1"/>
    <col min="11780" max="11780" width="5.125" style="475" customWidth="1"/>
    <col min="11781" max="11781" width="4.625" style="475" customWidth="1"/>
    <col min="11782" max="11783" width="2.625" style="475" customWidth="1"/>
    <col min="11784" max="11788" width="4.625" style="475" customWidth="1"/>
    <col min="11789" max="11790" width="2.625" style="475" customWidth="1"/>
    <col min="11791" max="11808" width="4.625" style="475" customWidth="1"/>
    <col min="11809" max="11809" width="9" style="475"/>
    <col min="11810" max="11810" width="8.75" style="475" customWidth="1"/>
    <col min="11811" max="12032" width="9" style="475"/>
    <col min="12033" max="12033" width="5.125" style="475" customWidth="1"/>
    <col min="12034" max="12035" width="4.625" style="475" customWidth="1"/>
    <col min="12036" max="12036" width="5.125" style="475" customWidth="1"/>
    <col min="12037" max="12037" width="4.625" style="475" customWidth="1"/>
    <col min="12038" max="12039" width="2.625" style="475" customWidth="1"/>
    <col min="12040" max="12044" width="4.625" style="475" customWidth="1"/>
    <col min="12045" max="12046" width="2.625" style="475" customWidth="1"/>
    <col min="12047" max="12064" width="4.625" style="475" customWidth="1"/>
    <col min="12065" max="12065" width="9" style="475"/>
    <col min="12066" max="12066" width="8.75" style="475" customWidth="1"/>
    <col min="12067" max="12288" width="9" style="475"/>
    <col min="12289" max="12289" width="5.125" style="475" customWidth="1"/>
    <col min="12290" max="12291" width="4.625" style="475" customWidth="1"/>
    <col min="12292" max="12292" width="5.125" style="475" customWidth="1"/>
    <col min="12293" max="12293" width="4.625" style="475" customWidth="1"/>
    <col min="12294" max="12295" width="2.625" style="475" customWidth="1"/>
    <col min="12296" max="12300" width="4.625" style="475" customWidth="1"/>
    <col min="12301" max="12302" width="2.625" style="475" customWidth="1"/>
    <col min="12303" max="12320" width="4.625" style="475" customWidth="1"/>
    <col min="12321" max="12321" width="9" style="475"/>
    <col min="12322" max="12322" width="8.75" style="475" customWidth="1"/>
    <col min="12323" max="12544" width="9" style="475"/>
    <col min="12545" max="12545" width="5.125" style="475" customWidth="1"/>
    <col min="12546" max="12547" width="4.625" style="475" customWidth="1"/>
    <col min="12548" max="12548" width="5.125" style="475" customWidth="1"/>
    <col min="12549" max="12549" width="4.625" style="475" customWidth="1"/>
    <col min="12550" max="12551" width="2.625" style="475" customWidth="1"/>
    <col min="12552" max="12556" width="4.625" style="475" customWidth="1"/>
    <col min="12557" max="12558" width="2.625" style="475" customWidth="1"/>
    <col min="12559" max="12576" width="4.625" style="475" customWidth="1"/>
    <col min="12577" max="12577" width="9" style="475"/>
    <col min="12578" max="12578" width="8.75" style="475" customWidth="1"/>
    <col min="12579" max="12800" width="9" style="475"/>
    <col min="12801" max="12801" width="5.125" style="475" customWidth="1"/>
    <col min="12802" max="12803" width="4.625" style="475" customWidth="1"/>
    <col min="12804" max="12804" width="5.125" style="475" customWidth="1"/>
    <col min="12805" max="12805" width="4.625" style="475" customWidth="1"/>
    <col min="12806" max="12807" width="2.625" style="475" customWidth="1"/>
    <col min="12808" max="12812" width="4.625" style="475" customWidth="1"/>
    <col min="12813" max="12814" width="2.625" style="475" customWidth="1"/>
    <col min="12815" max="12832" width="4.625" style="475" customWidth="1"/>
    <col min="12833" max="12833" width="9" style="475"/>
    <col min="12834" max="12834" width="8.75" style="475" customWidth="1"/>
    <col min="12835" max="13056" width="9" style="475"/>
    <col min="13057" max="13057" width="5.125" style="475" customWidth="1"/>
    <col min="13058" max="13059" width="4.625" style="475" customWidth="1"/>
    <col min="13060" max="13060" width="5.125" style="475" customWidth="1"/>
    <col min="13061" max="13061" width="4.625" style="475" customWidth="1"/>
    <col min="13062" max="13063" width="2.625" style="475" customWidth="1"/>
    <col min="13064" max="13068" width="4.625" style="475" customWidth="1"/>
    <col min="13069" max="13070" width="2.625" style="475" customWidth="1"/>
    <col min="13071" max="13088" width="4.625" style="475" customWidth="1"/>
    <col min="13089" max="13089" width="9" style="475"/>
    <col min="13090" max="13090" width="8.75" style="475" customWidth="1"/>
    <col min="13091" max="13312" width="9" style="475"/>
    <col min="13313" max="13313" width="5.125" style="475" customWidth="1"/>
    <col min="13314" max="13315" width="4.625" style="475" customWidth="1"/>
    <col min="13316" max="13316" width="5.125" style="475" customWidth="1"/>
    <col min="13317" max="13317" width="4.625" style="475" customWidth="1"/>
    <col min="13318" max="13319" width="2.625" style="475" customWidth="1"/>
    <col min="13320" max="13324" width="4.625" style="475" customWidth="1"/>
    <col min="13325" max="13326" width="2.625" style="475" customWidth="1"/>
    <col min="13327" max="13344" width="4.625" style="475" customWidth="1"/>
    <col min="13345" max="13345" width="9" style="475"/>
    <col min="13346" max="13346" width="8.75" style="475" customWidth="1"/>
    <col min="13347" max="13568" width="9" style="475"/>
    <col min="13569" max="13569" width="5.125" style="475" customWidth="1"/>
    <col min="13570" max="13571" width="4.625" style="475" customWidth="1"/>
    <col min="13572" max="13572" width="5.125" style="475" customWidth="1"/>
    <col min="13573" max="13573" width="4.625" style="475" customWidth="1"/>
    <col min="13574" max="13575" width="2.625" style="475" customWidth="1"/>
    <col min="13576" max="13580" width="4.625" style="475" customWidth="1"/>
    <col min="13581" max="13582" width="2.625" style="475" customWidth="1"/>
    <col min="13583" max="13600" width="4.625" style="475" customWidth="1"/>
    <col min="13601" max="13601" width="9" style="475"/>
    <col min="13602" max="13602" width="8.75" style="475" customWidth="1"/>
    <col min="13603" max="13824" width="9" style="475"/>
    <col min="13825" max="13825" width="5.125" style="475" customWidth="1"/>
    <col min="13826" max="13827" width="4.625" style="475" customWidth="1"/>
    <col min="13828" max="13828" width="5.125" style="475" customWidth="1"/>
    <col min="13829" max="13829" width="4.625" style="475" customWidth="1"/>
    <col min="13830" max="13831" width="2.625" style="475" customWidth="1"/>
    <col min="13832" max="13836" width="4.625" style="475" customWidth="1"/>
    <col min="13837" max="13838" width="2.625" style="475" customWidth="1"/>
    <col min="13839" max="13856" width="4.625" style="475" customWidth="1"/>
    <col min="13857" max="13857" width="9" style="475"/>
    <col min="13858" max="13858" width="8.75" style="475" customWidth="1"/>
    <col min="13859" max="14080" width="9" style="475"/>
    <col min="14081" max="14081" width="5.125" style="475" customWidth="1"/>
    <col min="14082" max="14083" width="4.625" style="475" customWidth="1"/>
    <col min="14084" max="14084" width="5.125" style="475" customWidth="1"/>
    <col min="14085" max="14085" width="4.625" style="475" customWidth="1"/>
    <col min="14086" max="14087" width="2.625" style="475" customWidth="1"/>
    <col min="14088" max="14092" width="4.625" style="475" customWidth="1"/>
    <col min="14093" max="14094" width="2.625" style="475" customWidth="1"/>
    <col min="14095" max="14112" width="4.625" style="475" customWidth="1"/>
    <col min="14113" max="14113" width="9" style="475"/>
    <col min="14114" max="14114" width="8.75" style="475" customWidth="1"/>
    <col min="14115" max="14336" width="9" style="475"/>
    <col min="14337" max="14337" width="5.125" style="475" customWidth="1"/>
    <col min="14338" max="14339" width="4.625" style="475" customWidth="1"/>
    <col min="14340" max="14340" width="5.125" style="475" customWidth="1"/>
    <col min="14341" max="14341" width="4.625" style="475" customWidth="1"/>
    <col min="14342" max="14343" width="2.625" style="475" customWidth="1"/>
    <col min="14344" max="14348" width="4.625" style="475" customWidth="1"/>
    <col min="14349" max="14350" width="2.625" style="475" customWidth="1"/>
    <col min="14351" max="14368" width="4.625" style="475" customWidth="1"/>
    <col min="14369" max="14369" width="9" style="475"/>
    <col min="14370" max="14370" width="8.75" style="475" customWidth="1"/>
    <col min="14371" max="14592" width="9" style="475"/>
    <col min="14593" max="14593" width="5.125" style="475" customWidth="1"/>
    <col min="14594" max="14595" width="4.625" style="475" customWidth="1"/>
    <col min="14596" max="14596" width="5.125" style="475" customWidth="1"/>
    <col min="14597" max="14597" width="4.625" style="475" customWidth="1"/>
    <col min="14598" max="14599" width="2.625" style="475" customWidth="1"/>
    <col min="14600" max="14604" width="4.625" style="475" customWidth="1"/>
    <col min="14605" max="14606" width="2.625" style="475" customWidth="1"/>
    <col min="14607" max="14624" width="4.625" style="475" customWidth="1"/>
    <col min="14625" max="14625" width="9" style="475"/>
    <col min="14626" max="14626" width="8.75" style="475" customWidth="1"/>
    <col min="14627" max="14848" width="9" style="475"/>
    <col min="14849" max="14849" width="5.125" style="475" customWidth="1"/>
    <col min="14850" max="14851" width="4.625" style="475" customWidth="1"/>
    <col min="14852" max="14852" width="5.125" style="475" customWidth="1"/>
    <col min="14853" max="14853" width="4.625" style="475" customWidth="1"/>
    <col min="14854" max="14855" width="2.625" style="475" customWidth="1"/>
    <col min="14856" max="14860" width="4.625" style="475" customWidth="1"/>
    <col min="14861" max="14862" width="2.625" style="475" customWidth="1"/>
    <col min="14863" max="14880" width="4.625" style="475" customWidth="1"/>
    <col min="14881" max="14881" width="9" style="475"/>
    <col min="14882" max="14882" width="8.75" style="475" customWidth="1"/>
    <col min="14883" max="15104" width="9" style="475"/>
    <col min="15105" max="15105" width="5.125" style="475" customWidth="1"/>
    <col min="15106" max="15107" width="4.625" style="475" customWidth="1"/>
    <col min="15108" max="15108" width="5.125" style="475" customWidth="1"/>
    <col min="15109" max="15109" width="4.625" style="475" customWidth="1"/>
    <col min="15110" max="15111" width="2.625" style="475" customWidth="1"/>
    <col min="15112" max="15116" width="4.625" style="475" customWidth="1"/>
    <col min="15117" max="15118" width="2.625" style="475" customWidth="1"/>
    <col min="15119" max="15136" width="4.625" style="475" customWidth="1"/>
    <col min="15137" max="15137" width="9" style="475"/>
    <col min="15138" max="15138" width="8.75" style="475" customWidth="1"/>
    <col min="15139" max="15360" width="9" style="475"/>
    <col min="15361" max="15361" width="5.125" style="475" customWidth="1"/>
    <col min="15362" max="15363" width="4.625" style="475" customWidth="1"/>
    <col min="15364" max="15364" width="5.125" style="475" customWidth="1"/>
    <col min="15365" max="15365" width="4.625" style="475" customWidth="1"/>
    <col min="15366" max="15367" width="2.625" style="475" customWidth="1"/>
    <col min="15368" max="15372" width="4.625" style="475" customWidth="1"/>
    <col min="15373" max="15374" width="2.625" style="475" customWidth="1"/>
    <col min="15375" max="15392" width="4.625" style="475" customWidth="1"/>
    <col min="15393" max="15393" width="9" style="475"/>
    <col min="15394" max="15394" width="8.75" style="475" customWidth="1"/>
    <col min="15395" max="15616" width="9" style="475"/>
    <col min="15617" max="15617" width="5.125" style="475" customWidth="1"/>
    <col min="15618" max="15619" width="4.625" style="475" customWidth="1"/>
    <col min="15620" max="15620" width="5.125" style="475" customWidth="1"/>
    <col min="15621" max="15621" width="4.625" style="475" customWidth="1"/>
    <col min="15622" max="15623" width="2.625" style="475" customWidth="1"/>
    <col min="15624" max="15628" width="4.625" style="475" customWidth="1"/>
    <col min="15629" max="15630" width="2.625" style="475" customWidth="1"/>
    <col min="15631" max="15648" width="4.625" style="475" customWidth="1"/>
    <col min="15649" max="15649" width="9" style="475"/>
    <col min="15650" max="15650" width="8.75" style="475" customWidth="1"/>
    <col min="15651" max="15872" width="9" style="475"/>
    <col min="15873" max="15873" width="5.125" style="475" customWidth="1"/>
    <col min="15874" max="15875" width="4.625" style="475" customWidth="1"/>
    <col min="15876" max="15876" width="5.125" style="475" customWidth="1"/>
    <col min="15877" max="15877" width="4.625" style="475" customWidth="1"/>
    <col min="15878" max="15879" width="2.625" style="475" customWidth="1"/>
    <col min="15880" max="15884" width="4.625" style="475" customWidth="1"/>
    <col min="15885" max="15886" width="2.625" style="475" customWidth="1"/>
    <col min="15887" max="15904" width="4.625" style="475" customWidth="1"/>
    <col min="15905" max="15905" width="9" style="475"/>
    <col min="15906" max="15906" width="8.75" style="475" customWidth="1"/>
    <col min="15907" max="16128" width="9" style="475"/>
    <col min="16129" max="16129" width="5.125" style="475" customWidth="1"/>
    <col min="16130" max="16131" width="4.625" style="475" customWidth="1"/>
    <col min="16132" max="16132" width="5.125" style="475" customWidth="1"/>
    <col min="16133" max="16133" width="4.625" style="475" customWidth="1"/>
    <col min="16134" max="16135" width="2.625" style="475" customWidth="1"/>
    <col min="16136" max="16140" width="4.625" style="475" customWidth="1"/>
    <col min="16141" max="16142" width="2.625" style="475" customWidth="1"/>
    <col min="16143" max="16160" width="4.625" style="475" customWidth="1"/>
    <col min="16161" max="16161" width="9" style="475"/>
    <col min="16162" max="16162" width="8.75" style="475" customWidth="1"/>
    <col min="16163" max="16384" width="9" style="475"/>
  </cols>
  <sheetData>
    <row r="2" spans="1:35" s="243" customFormat="1" ht="37.5" customHeight="1">
      <c r="I2" s="243" t="s">
        <v>249</v>
      </c>
      <c r="U2" s="243" t="s">
        <v>250</v>
      </c>
    </row>
    <row r="3" spans="1:35" ht="18.75" customHeight="1">
      <c r="AH3" s="253"/>
    </row>
    <row r="4" spans="1:35" ht="23.25" customHeight="1">
      <c r="A4" s="244" t="s">
        <v>251</v>
      </c>
      <c r="B4" s="764" t="s">
        <v>252</v>
      </c>
      <c r="C4" s="764"/>
      <c r="D4" s="764"/>
      <c r="E4" s="862" t="str">
        <f>總表!B5</f>
        <v>#750內檢</v>
      </c>
      <c r="F4" s="863"/>
      <c r="G4" s="863"/>
      <c r="H4" s="863"/>
      <c r="I4" s="863"/>
      <c r="J4" s="863"/>
      <c r="K4" s="863"/>
      <c r="L4" s="863"/>
      <c r="M4" s="863"/>
      <c r="N4" s="863"/>
      <c r="O4" s="863"/>
      <c r="P4" s="863"/>
      <c r="Q4" s="863"/>
      <c r="R4" s="863"/>
      <c r="S4" s="863"/>
      <c r="T4" s="863"/>
      <c r="U4" s="863"/>
      <c r="V4" s="863"/>
      <c r="W4" s="863"/>
      <c r="X4" s="863"/>
      <c r="Y4" s="863"/>
      <c r="Z4" s="863"/>
      <c r="AA4" s="863"/>
      <c r="AB4" s="863"/>
      <c r="AH4" s="253"/>
    </row>
    <row r="5" spans="1:35">
      <c r="A5" s="475" t="s">
        <v>253</v>
      </c>
      <c r="B5" s="840" t="s">
        <v>254</v>
      </c>
      <c r="C5" s="840"/>
      <c r="D5" s="840"/>
      <c r="E5" s="741" t="s">
        <v>255</v>
      </c>
      <c r="F5" s="757"/>
      <c r="G5" s="757"/>
      <c r="H5" s="742"/>
      <c r="I5" s="840" t="s">
        <v>256</v>
      </c>
      <c r="J5" s="840"/>
      <c r="K5" s="840"/>
      <c r="L5" s="840" t="s">
        <v>257</v>
      </c>
      <c r="M5" s="840"/>
      <c r="N5" s="840"/>
      <c r="O5" s="840"/>
      <c r="P5" s="741" t="s">
        <v>258</v>
      </c>
      <c r="Q5" s="757"/>
      <c r="R5" s="757"/>
      <c r="S5" s="757"/>
      <c r="T5" s="742"/>
      <c r="U5" s="840" t="s">
        <v>259</v>
      </c>
      <c r="V5" s="840"/>
      <c r="W5" s="840"/>
      <c r="X5" s="840"/>
      <c r="Y5" s="840" t="s">
        <v>260</v>
      </c>
      <c r="Z5" s="840"/>
      <c r="AA5" s="840"/>
      <c r="AB5" s="840"/>
    </row>
    <row r="6" spans="1:35" ht="17.25" thickBot="1">
      <c r="B6" s="847" t="str">
        <f>總表!F2</f>
        <v>HW032101</v>
      </c>
      <c r="C6" s="843"/>
      <c r="D6" s="843"/>
      <c r="E6" s="844" t="str">
        <f>總表!G2</f>
        <v>彰營變中111-074號</v>
      </c>
      <c r="F6" s="845"/>
      <c r="G6" s="845"/>
      <c r="H6" s="846"/>
      <c r="I6" s="847">
        <f>總表!H2</f>
        <v>1110321</v>
      </c>
      <c r="J6" s="843"/>
      <c r="K6" s="843"/>
      <c r="L6" s="848" t="str">
        <f>總表!A4</f>
        <v>伸港S/S#1饋線</v>
      </c>
      <c r="M6" s="849"/>
      <c r="N6" s="849"/>
      <c r="O6" s="849"/>
      <c r="P6" s="850">
        <f>總表!B2</f>
        <v>44641</v>
      </c>
      <c r="Q6" s="851"/>
      <c r="R6" s="851"/>
      <c r="S6" s="851"/>
      <c r="T6" s="852"/>
      <c r="U6" s="840" t="s">
        <v>261</v>
      </c>
      <c r="V6" s="840"/>
      <c r="W6" s="840"/>
      <c r="X6" s="840"/>
      <c r="Y6" s="840" t="s">
        <v>262</v>
      </c>
      <c r="Z6" s="840"/>
      <c r="AA6" s="840"/>
      <c r="AB6" s="840"/>
    </row>
    <row r="7" spans="1:35" ht="17.25" thickTop="1">
      <c r="A7" s="238"/>
      <c r="B7" s="756" t="s">
        <v>263</v>
      </c>
      <c r="C7" s="864"/>
      <c r="D7" s="864"/>
      <c r="E7" s="755" t="s">
        <v>264</v>
      </c>
      <c r="F7" s="764"/>
      <c r="G7" s="764"/>
      <c r="H7" s="756"/>
      <c r="I7" s="864" t="s">
        <v>265</v>
      </c>
      <c r="J7" s="864"/>
      <c r="K7" s="864"/>
      <c r="L7" s="864" t="s">
        <v>266</v>
      </c>
      <c r="M7" s="864"/>
      <c r="N7" s="864"/>
      <c r="O7" s="864"/>
      <c r="P7" s="865" t="s">
        <v>267</v>
      </c>
      <c r="Q7" s="866"/>
      <c r="R7" s="866"/>
      <c r="S7" s="866"/>
      <c r="T7" s="867"/>
      <c r="U7" s="742" t="s">
        <v>268</v>
      </c>
      <c r="V7" s="840"/>
      <c r="W7" s="840"/>
      <c r="X7" s="840"/>
      <c r="Y7" s="840" t="s">
        <v>269</v>
      </c>
      <c r="Z7" s="840"/>
      <c r="AA7" s="840"/>
      <c r="AB7" s="840"/>
    </row>
    <row r="8" spans="1:35">
      <c r="A8" s="238"/>
      <c r="B8" s="742"/>
      <c r="C8" s="840"/>
      <c r="D8" s="840"/>
      <c r="E8" s="868" t="s">
        <v>270</v>
      </c>
      <c r="F8" s="868"/>
      <c r="G8" s="868"/>
      <c r="H8" s="868"/>
      <c r="I8" s="840" t="s">
        <v>271</v>
      </c>
      <c r="J8" s="840"/>
      <c r="K8" s="840"/>
      <c r="L8" s="840" t="s">
        <v>241</v>
      </c>
      <c r="M8" s="840"/>
      <c r="N8" s="840"/>
      <c r="O8" s="840"/>
      <c r="P8" s="741" t="s">
        <v>272</v>
      </c>
      <c r="Q8" s="757"/>
      <c r="R8" s="757"/>
      <c r="S8" s="757"/>
      <c r="T8" s="841"/>
      <c r="U8" s="742" t="s">
        <v>273</v>
      </c>
      <c r="V8" s="840"/>
      <c r="W8" s="840"/>
      <c r="X8" s="840"/>
      <c r="Y8" s="840" t="s">
        <v>262</v>
      </c>
      <c r="Z8" s="840"/>
      <c r="AA8" s="840"/>
      <c r="AB8" s="840"/>
    </row>
    <row r="9" spans="1:35">
      <c r="A9" s="238"/>
      <c r="B9" s="836" t="s">
        <v>274</v>
      </c>
      <c r="C9" s="836"/>
      <c r="D9" s="837"/>
      <c r="E9" s="840" t="s">
        <v>275</v>
      </c>
      <c r="F9" s="840"/>
      <c r="G9" s="840"/>
      <c r="H9" s="840"/>
      <c r="I9" s="840"/>
      <c r="J9" s="840"/>
      <c r="K9" s="840"/>
      <c r="L9" s="840" t="s">
        <v>276</v>
      </c>
      <c r="M9" s="840"/>
      <c r="N9" s="840"/>
      <c r="O9" s="840"/>
      <c r="P9" s="741" t="s">
        <v>277</v>
      </c>
      <c r="Q9" s="757"/>
      <c r="R9" s="757"/>
      <c r="S9" s="757"/>
      <c r="T9" s="841"/>
      <c r="U9" s="742" t="s">
        <v>278</v>
      </c>
      <c r="V9" s="840"/>
      <c r="W9" s="840"/>
      <c r="X9" s="840"/>
      <c r="Y9" s="840" t="s">
        <v>279</v>
      </c>
      <c r="Z9" s="840"/>
      <c r="AA9" s="840"/>
      <c r="AB9" s="840"/>
    </row>
    <row r="10" spans="1:35" ht="17.25" thickBot="1">
      <c r="A10" s="238"/>
      <c r="B10" s="838"/>
      <c r="C10" s="838"/>
      <c r="D10" s="839"/>
      <c r="E10" s="842" t="s">
        <v>754</v>
      </c>
      <c r="F10" s="842"/>
      <c r="G10" s="842"/>
      <c r="H10" s="842"/>
      <c r="I10" s="842"/>
      <c r="J10" s="842"/>
      <c r="K10" s="842"/>
      <c r="L10" s="843">
        <v>2250</v>
      </c>
      <c r="M10" s="843"/>
      <c r="N10" s="843"/>
      <c r="O10" s="843"/>
      <c r="P10" s="853">
        <v>59062.5</v>
      </c>
      <c r="Q10" s="854"/>
      <c r="R10" s="854"/>
      <c r="S10" s="854"/>
      <c r="T10" s="855"/>
      <c r="U10" s="742" t="s">
        <v>241</v>
      </c>
      <c r="V10" s="840"/>
      <c r="W10" s="840"/>
      <c r="X10" s="840"/>
      <c r="Y10" s="840" t="s">
        <v>262</v>
      </c>
      <c r="Z10" s="840"/>
      <c r="AA10" s="840"/>
      <c r="AB10" s="840"/>
    </row>
    <row r="11" spans="1:35" ht="17.25" thickTop="1">
      <c r="A11" s="238" t="s">
        <v>280</v>
      </c>
      <c r="E11" s="856" t="str">
        <f xml:space="preserve"> "預定 "  &amp; MONTH(P6) &amp; "月  " &amp; DAY(P6 )  &amp;" 日 "&amp; TEXT(WEEKDAY(P6),"aaaa") &amp;" 實績   月     日   (星期       )  "</f>
        <v xml:space="preserve">預定 3月  21 日 星期一 實績   月     日   (星期       )  </v>
      </c>
      <c r="F11" s="857"/>
      <c r="G11" s="857"/>
      <c r="H11" s="857"/>
      <c r="I11" s="857"/>
      <c r="J11" s="857"/>
      <c r="K11" s="857"/>
      <c r="L11" s="857"/>
      <c r="M11" s="857"/>
      <c r="N11" s="857"/>
      <c r="O11" s="857"/>
      <c r="P11" s="857"/>
      <c r="Q11" s="857"/>
      <c r="R11" s="475" t="s">
        <v>281</v>
      </c>
      <c r="W11" s="475" t="s">
        <v>282</v>
      </c>
    </row>
    <row r="12" spans="1:35" ht="16.5" customHeight="1">
      <c r="B12" s="830" t="s">
        <v>86</v>
      </c>
      <c r="C12" s="831"/>
      <c r="D12" s="831"/>
      <c r="E12" s="832"/>
      <c r="F12" s="830" t="s">
        <v>283</v>
      </c>
      <c r="G12" s="831"/>
      <c r="H12" s="831"/>
      <c r="I12" s="831"/>
      <c r="J12" s="831"/>
      <c r="K12" s="831"/>
      <c r="L12" s="831"/>
      <c r="M12" s="831"/>
      <c r="N12" s="832"/>
      <c r="O12" s="741" t="s">
        <v>284</v>
      </c>
      <c r="P12" s="757"/>
      <c r="Q12" s="742"/>
      <c r="R12" s="833" t="s">
        <v>285</v>
      </c>
      <c r="S12" s="834"/>
      <c r="T12" s="834"/>
      <c r="U12" s="834"/>
      <c r="V12" s="834"/>
      <c r="W12" s="834"/>
      <c r="X12" s="835"/>
      <c r="Y12" s="833" t="s">
        <v>286</v>
      </c>
      <c r="Z12" s="834"/>
      <c r="AA12" s="834"/>
      <c r="AB12" s="835"/>
    </row>
    <row r="13" spans="1:35">
      <c r="B13" s="823" t="str">
        <f>LEFT(總表!A4,2)</f>
        <v>伸港</v>
      </c>
      <c r="C13" s="824"/>
      <c r="D13" s="807" t="s">
        <v>287</v>
      </c>
      <c r="E13" s="808"/>
      <c r="F13" s="827" t="s">
        <v>755</v>
      </c>
      <c r="G13" s="807"/>
      <c r="H13" s="807"/>
      <c r="I13" s="807"/>
      <c r="J13" s="807"/>
      <c r="K13" s="807"/>
      <c r="L13" s="807"/>
      <c r="M13" s="807"/>
      <c r="N13" s="808"/>
      <c r="O13" s="734" t="s">
        <v>288</v>
      </c>
      <c r="P13" s="743"/>
      <c r="Q13" s="735"/>
      <c r="R13" s="829" t="s">
        <v>10228</v>
      </c>
      <c r="S13" s="786"/>
      <c r="T13" s="786"/>
      <c r="U13" s="786"/>
      <c r="V13" s="786"/>
      <c r="W13" s="786"/>
      <c r="X13" s="787"/>
      <c r="Y13" s="829" t="s">
        <v>10324</v>
      </c>
      <c r="Z13" s="786"/>
      <c r="AA13" s="786"/>
      <c r="AB13" s="787"/>
      <c r="AI13" s="585"/>
    </row>
    <row r="14" spans="1:35">
      <c r="B14" s="825"/>
      <c r="C14" s="826"/>
      <c r="D14" s="818" t="s">
        <v>289</v>
      </c>
      <c r="E14" s="819"/>
      <c r="F14" s="828"/>
      <c r="G14" s="818"/>
      <c r="H14" s="818"/>
      <c r="I14" s="818"/>
      <c r="J14" s="818"/>
      <c r="K14" s="818"/>
      <c r="L14" s="818"/>
      <c r="M14" s="818"/>
      <c r="N14" s="819"/>
      <c r="O14" s="755"/>
      <c r="P14" s="764"/>
      <c r="Q14" s="756"/>
      <c r="R14" s="820" t="s">
        <v>290</v>
      </c>
      <c r="S14" s="821"/>
      <c r="T14" s="821"/>
      <c r="U14" s="821"/>
      <c r="V14" s="821"/>
      <c r="W14" s="821"/>
      <c r="X14" s="822"/>
      <c r="Y14" s="820" t="s">
        <v>292</v>
      </c>
      <c r="Z14" s="821"/>
      <c r="AA14" s="821"/>
      <c r="AB14" s="822"/>
    </row>
    <row r="15" spans="1:35">
      <c r="B15" s="809"/>
      <c r="C15" s="811"/>
      <c r="D15" s="807"/>
      <c r="E15" s="808"/>
      <c r="F15" s="809"/>
      <c r="G15" s="810"/>
      <c r="H15" s="810"/>
      <c r="I15" s="810"/>
      <c r="J15" s="810"/>
      <c r="K15" s="810"/>
      <c r="L15" s="810"/>
      <c r="M15" s="810"/>
      <c r="N15" s="811"/>
      <c r="O15" s="734"/>
      <c r="P15" s="743"/>
      <c r="Q15" s="735"/>
      <c r="R15" s="815"/>
      <c r="S15" s="816"/>
      <c r="T15" s="816"/>
      <c r="U15" s="816"/>
      <c r="V15" s="816"/>
      <c r="W15" s="816"/>
      <c r="X15" s="817"/>
      <c r="Y15" s="815" t="s">
        <v>291</v>
      </c>
      <c r="Z15" s="816"/>
      <c r="AA15" s="816"/>
      <c r="AB15" s="817"/>
    </row>
    <row r="16" spans="1:35">
      <c r="B16" s="812"/>
      <c r="C16" s="814"/>
      <c r="D16" s="818"/>
      <c r="E16" s="819"/>
      <c r="F16" s="812"/>
      <c r="G16" s="813"/>
      <c r="H16" s="813"/>
      <c r="I16" s="813"/>
      <c r="J16" s="813"/>
      <c r="K16" s="813"/>
      <c r="L16" s="813"/>
      <c r="M16" s="813"/>
      <c r="N16" s="814"/>
      <c r="O16" s="755"/>
      <c r="P16" s="764"/>
      <c r="Q16" s="756"/>
      <c r="R16" s="820" t="s">
        <v>290</v>
      </c>
      <c r="S16" s="821"/>
      <c r="T16" s="821"/>
      <c r="U16" s="821"/>
      <c r="V16" s="821"/>
      <c r="W16" s="821"/>
      <c r="X16" s="822"/>
      <c r="Y16" s="820" t="s">
        <v>292</v>
      </c>
      <c r="Z16" s="821"/>
      <c r="AA16" s="821"/>
      <c r="AB16" s="822"/>
    </row>
    <row r="17" spans="2:28">
      <c r="B17" s="809"/>
      <c r="C17" s="811"/>
      <c r="D17" s="807"/>
      <c r="E17" s="808"/>
      <c r="F17" s="809"/>
      <c r="G17" s="810"/>
      <c r="H17" s="810"/>
      <c r="I17" s="810"/>
      <c r="J17" s="810"/>
      <c r="K17" s="810"/>
      <c r="L17" s="810"/>
      <c r="M17" s="810"/>
      <c r="N17" s="811"/>
      <c r="O17" s="734"/>
      <c r="P17" s="743"/>
      <c r="Q17" s="735"/>
      <c r="R17" s="815"/>
      <c r="S17" s="816"/>
      <c r="T17" s="816"/>
      <c r="U17" s="816"/>
      <c r="V17" s="816"/>
      <c r="W17" s="816"/>
      <c r="X17" s="817"/>
      <c r="Y17" s="815" t="s">
        <v>291</v>
      </c>
      <c r="Z17" s="816"/>
      <c r="AA17" s="816"/>
      <c r="AB17" s="817"/>
    </row>
    <row r="18" spans="2:28">
      <c r="B18" s="812"/>
      <c r="C18" s="814"/>
      <c r="D18" s="818"/>
      <c r="E18" s="819"/>
      <c r="F18" s="812"/>
      <c r="G18" s="813"/>
      <c r="H18" s="813"/>
      <c r="I18" s="813"/>
      <c r="J18" s="813"/>
      <c r="K18" s="813"/>
      <c r="L18" s="813"/>
      <c r="M18" s="813"/>
      <c r="N18" s="814"/>
      <c r="O18" s="755"/>
      <c r="P18" s="764"/>
      <c r="Q18" s="756"/>
      <c r="R18" s="820" t="s">
        <v>290</v>
      </c>
      <c r="S18" s="821"/>
      <c r="T18" s="821"/>
      <c r="U18" s="821"/>
      <c r="V18" s="821"/>
      <c r="W18" s="821"/>
      <c r="X18" s="822"/>
      <c r="Y18" s="820" t="s">
        <v>292</v>
      </c>
      <c r="Z18" s="821"/>
      <c r="AA18" s="821"/>
      <c r="AB18" s="822"/>
    </row>
    <row r="19" spans="2:28">
      <c r="B19" s="809"/>
      <c r="C19" s="811"/>
      <c r="D19" s="807"/>
      <c r="E19" s="808"/>
      <c r="F19" s="809"/>
      <c r="G19" s="810"/>
      <c r="H19" s="810"/>
      <c r="I19" s="810"/>
      <c r="J19" s="810"/>
      <c r="K19" s="810"/>
      <c r="L19" s="810"/>
      <c r="M19" s="810"/>
      <c r="N19" s="811"/>
      <c r="O19" s="734"/>
      <c r="P19" s="743"/>
      <c r="Q19" s="735"/>
      <c r="R19" s="815"/>
      <c r="S19" s="816"/>
      <c r="T19" s="816"/>
      <c r="U19" s="816"/>
      <c r="V19" s="816"/>
      <c r="W19" s="816"/>
      <c r="X19" s="817"/>
      <c r="Y19" s="815" t="s">
        <v>291</v>
      </c>
      <c r="Z19" s="816"/>
      <c r="AA19" s="816"/>
      <c r="AB19" s="817"/>
    </row>
    <row r="20" spans="2:28">
      <c r="B20" s="812"/>
      <c r="C20" s="814"/>
      <c r="D20" s="818"/>
      <c r="E20" s="819"/>
      <c r="F20" s="812"/>
      <c r="G20" s="813"/>
      <c r="H20" s="813"/>
      <c r="I20" s="813"/>
      <c r="J20" s="813"/>
      <c r="K20" s="813"/>
      <c r="L20" s="813"/>
      <c r="M20" s="813"/>
      <c r="N20" s="814"/>
      <c r="O20" s="755"/>
      <c r="P20" s="764"/>
      <c r="Q20" s="756"/>
      <c r="R20" s="820" t="s">
        <v>290</v>
      </c>
      <c r="S20" s="821"/>
      <c r="T20" s="821"/>
      <c r="U20" s="821"/>
      <c r="V20" s="821"/>
      <c r="W20" s="821"/>
      <c r="X20" s="822"/>
      <c r="Y20" s="820" t="s">
        <v>292</v>
      </c>
      <c r="Z20" s="821"/>
      <c r="AA20" s="821"/>
      <c r="AB20" s="822"/>
    </row>
    <row r="21" spans="2:28">
      <c r="B21" s="809"/>
      <c r="C21" s="811"/>
      <c r="D21" s="807"/>
      <c r="E21" s="808"/>
      <c r="F21" s="809"/>
      <c r="G21" s="810"/>
      <c r="H21" s="810"/>
      <c r="I21" s="810"/>
      <c r="J21" s="810"/>
      <c r="K21" s="810"/>
      <c r="L21" s="810"/>
      <c r="M21" s="810"/>
      <c r="N21" s="811"/>
      <c r="O21" s="734"/>
      <c r="P21" s="743"/>
      <c r="Q21" s="735"/>
      <c r="R21" s="815"/>
      <c r="S21" s="816"/>
      <c r="T21" s="816"/>
      <c r="U21" s="816"/>
      <c r="V21" s="816"/>
      <c r="W21" s="816"/>
      <c r="X21" s="817"/>
      <c r="Y21" s="815" t="s">
        <v>291</v>
      </c>
      <c r="Z21" s="816"/>
      <c r="AA21" s="816"/>
      <c r="AB21" s="817"/>
    </row>
    <row r="22" spans="2:28">
      <c r="B22" s="812"/>
      <c r="C22" s="814"/>
      <c r="D22" s="818"/>
      <c r="E22" s="819"/>
      <c r="F22" s="812"/>
      <c r="G22" s="813"/>
      <c r="H22" s="813"/>
      <c r="I22" s="813"/>
      <c r="J22" s="813"/>
      <c r="K22" s="813"/>
      <c r="L22" s="813"/>
      <c r="M22" s="813"/>
      <c r="N22" s="814"/>
      <c r="O22" s="755"/>
      <c r="P22" s="764"/>
      <c r="Q22" s="756"/>
      <c r="R22" s="820" t="s">
        <v>290</v>
      </c>
      <c r="S22" s="821"/>
      <c r="T22" s="821"/>
      <c r="U22" s="821"/>
      <c r="V22" s="821"/>
      <c r="W22" s="821"/>
      <c r="X22" s="822"/>
      <c r="Y22" s="820" t="s">
        <v>292</v>
      </c>
      <c r="Z22" s="821"/>
      <c r="AA22" s="821"/>
      <c r="AB22" s="822"/>
    </row>
    <row r="23" spans="2:28">
      <c r="B23" s="809"/>
      <c r="C23" s="811"/>
      <c r="D23" s="807"/>
      <c r="E23" s="808"/>
      <c r="F23" s="809"/>
      <c r="G23" s="810"/>
      <c r="H23" s="810"/>
      <c r="I23" s="810"/>
      <c r="J23" s="810"/>
      <c r="K23" s="810"/>
      <c r="L23" s="810"/>
      <c r="M23" s="810"/>
      <c r="N23" s="811"/>
      <c r="O23" s="734"/>
      <c r="P23" s="743"/>
      <c r="Q23" s="735"/>
      <c r="R23" s="815" t="s">
        <v>293</v>
      </c>
      <c r="S23" s="816"/>
      <c r="T23" s="816"/>
      <c r="U23" s="816"/>
      <c r="V23" s="816"/>
      <c r="W23" s="816"/>
      <c r="X23" s="817"/>
      <c r="Y23" s="815" t="s">
        <v>291</v>
      </c>
      <c r="Z23" s="816"/>
      <c r="AA23" s="816"/>
      <c r="AB23" s="817"/>
    </row>
    <row r="24" spans="2:28">
      <c r="B24" s="812"/>
      <c r="C24" s="814"/>
      <c r="D24" s="818"/>
      <c r="E24" s="819"/>
      <c r="F24" s="812"/>
      <c r="G24" s="813"/>
      <c r="H24" s="813"/>
      <c r="I24" s="813"/>
      <c r="J24" s="813"/>
      <c r="K24" s="813"/>
      <c r="L24" s="813"/>
      <c r="M24" s="813"/>
      <c r="N24" s="814"/>
      <c r="O24" s="755"/>
      <c r="P24" s="764"/>
      <c r="Q24" s="756"/>
      <c r="R24" s="820" t="s">
        <v>290</v>
      </c>
      <c r="S24" s="821"/>
      <c r="T24" s="821"/>
      <c r="U24" s="821"/>
      <c r="V24" s="821"/>
      <c r="W24" s="821"/>
      <c r="X24" s="822"/>
      <c r="Y24" s="820" t="s">
        <v>292</v>
      </c>
      <c r="Z24" s="821"/>
      <c r="AA24" s="821"/>
      <c r="AB24" s="822"/>
    </row>
    <row r="25" spans="2:28">
      <c r="B25" s="809"/>
      <c r="C25" s="811"/>
      <c r="D25" s="807"/>
      <c r="E25" s="808"/>
      <c r="F25" s="809"/>
      <c r="G25" s="810"/>
      <c r="H25" s="810"/>
      <c r="I25" s="810"/>
      <c r="J25" s="810"/>
      <c r="K25" s="810"/>
      <c r="L25" s="810"/>
      <c r="M25" s="810"/>
      <c r="N25" s="811"/>
      <c r="O25" s="734"/>
      <c r="P25" s="743"/>
      <c r="Q25" s="735"/>
      <c r="R25" s="815" t="s">
        <v>293</v>
      </c>
      <c r="S25" s="816"/>
      <c r="T25" s="816"/>
      <c r="U25" s="816"/>
      <c r="V25" s="816"/>
      <c r="W25" s="816"/>
      <c r="X25" s="817"/>
      <c r="Y25" s="815" t="s">
        <v>291</v>
      </c>
      <c r="Z25" s="816"/>
      <c r="AA25" s="816"/>
      <c r="AB25" s="817"/>
    </row>
    <row r="26" spans="2:28">
      <c r="B26" s="812"/>
      <c r="C26" s="814"/>
      <c r="D26" s="818"/>
      <c r="E26" s="819"/>
      <c r="F26" s="812"/>
      <c r="G26" s="813"/>
      <c r="H26" s="813"/>
      <c r="I26" s="813"/>
      <c r="J26" s="813"/>
      <c r="K26" s="813"/>
      <c r="L26" s="813"/>
      <c r="M26" s="813"/>
      <c r="N26" s="814"/>
      <c r="O26" s="755"/>
      <c r="P26" s="764"/>
      <c r="Q26" s="756"/>
      <c r="R26" s="820" t="s">
        <v>290</v>
      </c>
      <c r="S26" s="821"/>
      <c r="T26" s="821"/>
      <c r="U26" s="821"/>
      <c r="V26" s="821"/>
      <c r="W26" s="821"/>
      <c r="X26" s="822"/>
      <c r="Y26" s="820" t="s">
        <v>292</v>
      </c>
      <c r="Z26" s="821"/>
      <c r="AA26" s="821"/>
      <c r="AB26" s="822"/>
    </row>
    <row r="27" spans="2:28">
      <c r="B27" s="809"/>
      <c r="C27" s="811"/>
      <c r="D27" s="807"/>
      <c r="E27" s="808"/>
      <c r="F27" s="809"/>
      <c r="G27" s="810"/>
      <c r="H27" s="810"/>
      <c r="I27" s="810"/>
      <c r="J27" s="810"/>
      <c r="K27" s="810"/>
      <c r="L27" s="810"/>
      <c r="M27" s="810"/>
      <c r="N27" s="811"/>
      <c r="O27" s="734"/>
      <c r="P27" s="743"/>
      <c r="Q27" s="735"/>
      <c r="R27" s="815" t="s">
        <v>293</v>
      </c>
      <c r="S27" s="816"/>
      <c r="T27" s="816"/>
      <c r="U27" s="816"/>
      <c r="V27" s="816"/>
      <c r="W27" s="816"/>
      <c r="X27" s="817"/>
      <c r="Y27" s="815" t="s">
        <v>291</v>
      </c>
      <c r="Z27" s="816"/>
      <c r="AA27" s="816"/>
      <c r="AB27" s="817"/>
    </row>
    <row r="28" spans="2:28">
      <c r="B28" s="812"/>
      <c r="C28" s="814"/>
      <c r="D28" s="818"/>
      <c r="E28" s="819"/>
      <c r="F28" s="812"/>
      <c r="G28" s="813"/>
      <c r="H28" s="813"/>
      <c r="I28" s="813"/>
      <c r="J28" s="813"/>
      <c r="K28" s="813"/>
      <c r="L28" s="813"/>
      <c r="M28" s="813"/>
      <c r="N28" s="814"/>
      <c r="O28" s="755"/>
      <c r="P28" s="764"/>
      <c r="Q28" s="756"/>
      <c r="R28" s="820" t="s">
        <v>290</v>
      </c>
      <c r="S28" s="821"/>
      <c r="T28" s="821"/>
      <c r="U28" s="821"/>
      <c r="V28" s="821"/>
      <c r="W28" s="821"/>
      <c r="X28" s="822"/>
      <c r="Y28" s="820" t="s">
        <v>292</v>
      </c>
      <c r="Z28" s="821"/>
      <c r="AA28" s="821"/>
      <c r="AB28" s="822"/>
    </row>
    <row r="29" spans="2:28">
      <c r="B29" s="803"/>
      <c r="C29" s="804"/>
      <c r="D29" s="807"/>
      <c r="E29" s="808"/>
      <c r="F29" s="809"/>
      <c r="G29" s="810"/>
      <c r="H29" s="810"/>
      <c r="I29" s="810"/>
      <c r="J29" s="810"/>
      <c r="K29" s="810"/>
      <c r="L29" s="810"/>
      <c r="M29" s="810"/>
      <c r="N29" s="811"/>
      <c r="O29" s="734"/>
      <c r="P29" s="743"/>
      <c r="Q29" s="735"/>
      <c r="R29" s="815" t="s">
        <v>293</v>
      </c>
      <c r="S29" s="816"/>
      <c r="T29" s="816"/>
      <c r="U29" s="816"/>
      <c r="V29" s="816"/>
      <c r="W29" s="816"/>
      <c r="X29" s="817"/>
      <c r="Y29" s="815" t="s">
        <v>291</v>
      </c>
      <c r="Z29" s="816"/>
      <c r="AA29" s="816"/>
      <c r="AB29" s="817"/>
    </row>
    <row r="30" spans="2:28">
      <c r="B30" s="805"/>
      <c r="C30" s="806"/>
      <c r="D30" s="818"/>
      <c r="E30" s="819"/>
      <c r="F30" s="812"/>
      <c r="G30" s="813"/>
      <c r="H30" s="813"/>
      <c r="I30" s="813"/>
      <c r="J30" s="813"/>
      <c r="K30" s="813"/>
      <c r="L30" s="813"/>
      <c r="M30" s="813"/>
      <c r="N30" s="814"/>
      <c r="O30" s="755"/>
      <c r="P30" s="764"/>
      <c r="Q30" s="756"/>
      <c r="R30" s="820" t="s">
        <v>290</v>
      </c>
      <c r="S30" s="821"/>
      <c r="T30" s="821"/>
      <c r="U30" s="821"/>
      <c r="V30" s="821"/>
      <c r="W30" s="821"/>
      <c r="X30" s="822"/>
      <c r="Y30" s="820" t="s">
        <v>292</v>
      </c>
      <c r="Z30" s="821"/>
      <c r="AA30" s="821"/>
      <c r="AB30" s="822"/>
    </row>
    <row r="31" spans="2:28">
      <c r="B31" s="803"/>
      <c r="C31" s="804"/>
      <c r="D31" s="807"/>
      <c r="E31" s="808"/>
      <c r="F31" s="809"/>
      <c r="G31" s="810"/>
      <c r="H31" s="810"/>
      <c r="I31" s="810"/>
      <c r="J31" s="810"/>
      <c r="K31" s="810"/>
      <c r="L31" s="810"/>
      <c r="M31" s="810"/>
      <c r="N31" s="811"/>
      <c r="O31" s="734"/>
      <c r="P31" s="743"/>
      <c r="Q31" s="735"/>
      <c r="R31" s="815" t="s">
        <v>293</v>
      </c>
      <c r="S31" s="816"/>
      <c r="T31" s="816"/>
      <c r="U31" s="816"/>
      <c r="V31" s="816"/>
      <c r="W31" s="816"/>
      <c r="X31" s="817"/>
      <c r="Y31" s="815" t="s">
        <v>291</v>
      </c>
      <c r="Z31" s="816"/>
      <c r="AA31" s="816"/>
      <c r="AB31" s="817"/>
    </row>
    <row r="32" spans="2:28">
      <c r="B32" s="805"/>
      <c r="C32" s="806"/>
      <c r="D32" s="818"/>
      <c r="E32" s="819"/>
      <c r="F32" s="812"/>
      <c r="G32" s="813"/>
      <c r="H32" s="813"/>
      <c r="I32" s="813"/>
      <c r="J32" s="813"/>
      <c r="K32" s="813"/>
      <c r="L32" s="813"/>
      <c r="M32" s="813"/>
      <c r="N32" s="814"/>
      <c r="O32" s="755"/>
      <c r="P32" s="764"/>
      <c r="Q32" s="756"/>
      <c r="R32" s="820" t="s">
        <v>290</v>
      </c>
      <c r="S32" s="821"/>
      <c r="T32" s="821"/>
      <c r="U32" s="821"/>
      <c r="V32" s="821"/>
      <c r="W32" s="821"/>
      <c r="X32" s="822"/>
      <c r="Y32" s="820" t="s">
        <v>292</v>
      </c>
      <c r="Z32" s="821"/>
      <c r="AA32" s="821"/>
      <c r="AB32" s="822"/>
    </row>
    <row r="33" spans="1:34">
      <c r="B33" s="741" t="s">
        <v>294</v>
      </c>
      <c r="C33" s="757"/>
      <c r="D33" s="757"/>
      <c r="E33" s="757"/>
      <c r="F33" s="757"/>
      <c r="G33" s="757"/>
      <c r="H33" s="757"/>
      <c r="I33" s="757"/>
      <c r="J33" s="742"/>
      <c r="K33" s="741" t="s">
        <v>295</v>
      </c>
      <c r="L33" s="757"/>
      <c r="M33" s="757"/>
      <c r="N33" s="757"/>
      <c r="O33" s="757"/>
      <c r="P33" s="757"/>
      <c r="Q33" s="757"/>
      <c r="R33" s="757"/>
      <c r="S33" s="757"/>
      <c r="T33" s="742"/>
      <c r="U33" s="741" t="s">
        <v>296</v>
      </c>
      <c r="V33" s="757"/>
      <c r="W33" s="757"/>
      <c r="X33" s="757"/>
      <c r="Y33" s="757"/>
      <c r="Z33" s="757"/>
      <c r="AA33" s="757"/>
      <c r="AB33" s="742"/>
    </row>
    <row r="34" spans="1:34" ht="16.149999999999999" customHeight="1">
      <c r="B34" s="239" t="s">
        <v>297</v>
      </c>
      <c r="C34" s="784" t="str">
        <f>總表!C4</f>
        <v>郭子凡</v>
      </c>
      <c r="D34" s="750"/>
      <c r="E34" s="745"/>
      <c r="F34" s="734" t="s">
        <v>298</v>
      </c>
      <c r="G34" s="735"/>
      <c r="H34" s="785" t="str">
        <f>總表!D4</f>
        <v>0911-806800</v>
      </c>
      <c r="I34" s="786"/>
      <c r="J34" s="787"/>
      <c r="K34" s="239" t="s">
        <v>297</v>
      </c>
      <c r="L34" s="791" t="str">
        <f>總表!E4</f>
        <v>FDCC</v>
      </c>
      <c r="M34" s="792"/>
      <c r="N34" s="792"/>
      <c r="O34" s="793"/>
      <c r="P34" s="239" t="s">
        <v>298</v>
      </c>
      <c r="Q34" s="791" t="str">
        <f>總表!F4</f>
        <v>微波79423</v>
      </c>
      <c r="R34" s="792"/>
      <c r="S34" s="792"/>
      <c r="T34" s="793"/>
      <c r="U34" s="239" t="s">
        <v>297</v>
      </c>
      <c r="V34" s="770" t="str">
        <f>總表!G4</f>
        <v>鹿巡課</v>
      </c>
      <c r="W34" s="750"/>
      <c r="X34" s="745"/>
      <c r="Y34" s="239" t="s">
        <v>298</v>
      </c>
      <c r="Z34" s="797" t="str">
        <f>總表!H4</f>
        <v>0800-056105</v>
      </c>
      <c r="AA34" s="798"/>
      <c r="AB34" s="799"/>
    </row>
    <row r="35" spans="1:34">
      <c r="B35" s="471" t="s">
        <v>299</v>
      </c>
      <c r="C35" s="774"/>
      <c r="D35" s="775"/>
      <c r="E35" s="776"/>
      <c r="F35" s="755" t="s">
        <v>300</v>
      </c>
      <c r="G35" s="756"/>
      <c r="H35" s="788"/>
      <c r="I35" s="789"/>
      <c r="J35" s="790"/>
      <c r="K35" s="471" t="s">
        <v>299</v>
      </c>
      <c r="L35" s="794"/>
      <c r="M35" s="795"/>
      <c r="N35" s="795"/>
      <c r="O35" s="796"/>
      <c r="P35" s="471" t="s">
        <v>300</v>
      </c>
      <c r="Q35" s="794"/>
      <c r="R35" s="795"/>
      <c r="S35" s="795"/>
      <c r="T35" s="796"/>
      <c r="U35" s="471" t="s">
        <v>299</v>
      </c>
      <c r="V35" s="774"/>
      <c r="W35" s="775"/>
      <c r="X35" s="776"/>
      <c r="Y35" s="471" t="s">
        <v>300</v>
      </c>
      <c r="Z35" s="800"/>
      <c r="AA35" s="801"/>
      <c r="AB35" s="802"/>
    </row>
    <row r="36" spans="1:34">
      <c r="A36" s="475" t="s">
        <v>301</v>
      </c>
      <c r="B36" s="475" t="s">
        <v>302</v>
      </c>
      <c r="Q36" s="475" t="s">
        <v>303</v>
      </c>
      <c r="V36" s="475" t="s">
        <v>304</v>
      </c>
    </row>
    <row r="37" spans="1:34" ht="16.5" customHeight="1">
      <c r="B37" s="475" t="s">
        <v>305</v>
      </c>
      <c r="E37" s="782" t="str">
        <f>總表!B4</f>
        <v>鹿和巡修課</v>
      </c>
      <c r="F37" s="783"/>
      <c r="G37" s="783"/>
      <c r="H37" s="783"/>
      <c r="I37" s="783"/>
      <c r="J37" s="783"/>
      <c r="K37" s="783"/>
      <c r="L37" s="783"/>
      <c r="M37" s="783"/>
      <c r="N37" s="783"/>
      <c r="O37" s="783"/>
      <c r="P37" s="783"/>
      <c r="Q37" s="475" t="s">
        <v>306</v>
      </c>
    </row>
    <row r="38" spans="1:34">
      <c r="B38" s="475" t="s">
        <v>307</v>
      </c>
      <c r="Q38" s="475" t="s">
        <v>308</v>
      </c>
    </row>
    <row r="39" spans="1:34">
      <c r="B39" s="475" t="s">
        <v>756</v>
      </c>
      <c r="J39" s="475" t="s">
        <v>309</v>
      </c>
    </row>
    <row r="40" spans="1:34" ht="16.5" customHeight="1">
      <c r="B40" s="741" t="s">
        <v>310</v>
      </c>
      <c r="C40" s="757"/>
      <c r="D40" s="757"/>
      <c r="E40" s="742"/>
      <c r="F40" s="741" t="s">
        <v>311</v>
      </c>
      <c r="G40" s="757"/>
      <c r="H40" s="757"/>
      <c r="I40" s="757"/>
      <c r="J40" s="742"/>
      <c r="K40" s="741" t="s">
        <v>312</v>
      </c>
      <c r="L40" s="757"/>
      <c r="M40" s="757"/>
      <c r="N40" s="757"/>
      <c r="O40" s="742"/>
      <c r="P40" s="741" t="s">
        <v>313</v>
      </c>
      <c r="Q40" s="757"/>
      <c r="R40" s="757"/>
      <c r="S40" s="742"/>
      <c r="T40" s="741" t="s">
        <v>314</v>
      </c>
      <c r="U40" s="757"/>
      <c r="V40" s="757"/>
      <c r="W40" s="742"/>
      <c r="X40" s="244"/>
      <c r="Y40" s="244"/>
      <c r="Z40" s="244"/>
      <c r="AA40" s="244"/>
    </row>
    <row r="41" spans="1:34">
      <c r="B41" s="780" t="s">
        <v>10194</v>
      </c>
      <c r="C41" s="781"/>
      <c r="D41" s="245" t="s">
        <v>316</v>
      </c>
      <c r="E41" s="245" t="s">
        <v>317</v>
      </c>
      <c r="F41" s="741" t="s">
        <v>111</v>
      </c>
      <c r="G41" s="757"/>
      <c r="H41" s="742"/>
      <c r="I41" s="245" t="s">
        <v>316</v>
      </c>
      <c r="J41" s="245" t="s">
        <v>317</v>
      </c>
      <c r="K41" s="741" t="s">
        <v>318</v>
      </c>
      <c r="L41" s="742"/>
      <c r="M41" s="741" t="s">
        <v>315</v>
      </c>
      <c r="N41" s="757"/>
      <c r="O41" s="742"/>
      <c r="P41" s="741" t="s">
        <v>318</v>
      </c>
      <c r="Q41" s="742"/>
      <c r="R41" s="741" t="s">
        <v>315</v>
      </c>
      <c r="S41" s="742"/>
      <c r="T41" s="741" t="s">
        <v>318</v>
      </c>
      <c r="U41" s="742"/>
      <c r="V41" s="741" t="s">
        <v>315</v>
      </c>
      <c r="W41" s="742"/>
      <c r="X41" s="244"/>
      <c r="Y41" s="244"/>
      <c r="Z41" s="244"/>
      <c r="AA41" s="244"/>
    </row>
    <row r="42" spans="1:34" ht="17.25">
      <c r="A42" s="246"/>
      <c r="B42" s="765" t="s">
        <v>10325</v>
      </c>
      <c r="C42" s="766"/>
      <c r="D42" s="481">
        <v>11.42</v>
      </c>
      <c r="E42" s="481">
        <v>13.04</v>
      </c>
      <c r="F42" s="767" t="s">
        <v>2087</v>
      </c>
      <c r="G42" s="768"/>
      <c r="H42" s="769"/>
      <c r="I42" s="601">
        <v>2240</v>
      </c>
      <c r="J42" s="597">
        <v>3860</v>
      </c>
      <c r="K42" s="469"/>
      <c r="L42" s="470"/>
      <c r="M42" s="741"/>
      <c r="N42" s="757"/>
      <c r="O42" s="470"/>
      <c r="P42" s="469"/>
      <c r="Q42" s="470"/>
      <c r="R42" s="469"/>
      <c r="S42" s="470"/>
      <c r="T42" s="473"/>
      <c r="U42" s="474"/>
      <c r="V42" s="741"/>
      <c r="W42" s="742"/>
      <c r="X42" s="244"/>
      <c r="Y42" s="244"/>
      <c r="Z42" s="480"/>
      <c r="AA42" s="244"/>
    </row>
    <row r="43" spans="1:34" ht="17.25">
      <c r="A43" s="246"/>
      <c r="B43" s="765" t="s">
        <v>10326</v>
      </c>
      <c r="C43" s="766"/>
      <c r="D43" s="481">
        <v>12.62</v>
      </c>
      <c r="E43" s="481">
        <v>14.029347551057299</v>
      </c>
      <c r="F43" s="767" t="s">
        <v>2417</v>
      </c>
      <c r="G43" s="768"/>
      <c r="H43" s="769"/>
      <c r="I43" s="601">
        <v>5280</v>
      </c>
      <c r="J43" s="597">
        <v>6689.3475510572998</v>
      </c>
      <c r="K43" s="469"/>
      <c r="L43" s="470"/>
      <c r="M43" s="741"/>
      <c r="N43" s="757"/>
      <c r="O43" s="470"/>
      <c r="P43" s="469"/>
      <c r="Q43" s="470"/>
      <c r="R43" s="469"/>
      <c r="S43" s="470"/>
      <c r="T43" s="473"/>
      <c r="U43" s="474"/>
      <c r="V43" s="741"/>
      <c r="W43" s="742"/>
      <c r="X43" s="244"/>
      <c r="Y43" s="244"/>
      <c r="Z43" s="244"/>
      <c r="AA43" s="244"/>
    </row>
    <row r="44" spans="1:34" ht="17.25">
      <c r="B44" s="765" t="s">
        <v>10325</v>
      </c>
      <c r="C44" s="766"/>
      <c r="D44" s="481">
        <v>13.04</v>
      </c>
      <c r="E44" s="481">
        <v>14.7506524489427</v>
      </c>
      <c r="F44" s="767" t="s">
        <v>2087</v>
      </c>
      <c r="G44" s="768"/>
      <c r="H44" s="769"/>
      <c r="I44" s="601">
        <v>3860</v>
      </c>
      <c r="J44" s="597">
        <v>5570.6524489427002</v>
      </c>
      <c r="K44" s="469"/>
      <c r="L44" s="470"/>
      <c r="M44" s="741"/>
      <c r="N44" s="757"/>
      <c r="O44" s="470"/>
      <c r="P44" s="469"/>
      <c r="Q44" s="470"/>
      <c r="R44" s="469"/>
      <c r="S44" s="470"/>
      <c r="T44" s="473"/>
      <c r="U44" s="474"/>
      <c r="V44" s="741"/>
      <c r="W44" s="742"/>
      <c r="X44" s="244"/>
      <c r="Y44" s="244"/>
      <c r="Z44" s="244"/>
      <c r="AA44" s="244"/>
      <c r="AH44" s="253"/>
    </row>
    <row r="45" spans="1:34" ht="17.25">
      <c r="A45" s="247"/>
      <c r="B45" s="765" t="s">
        <v>10327</v>
      </c>
      <c r="C45" s="766"/>
      <c r="D45" s="481">
        <v>9.68</v>
      </c>
      <c r="E45" s="481">
        <v>11.4</v>
      </c>
      <c r="F45" s="767" t="s">
        <v>2009</v>
      </c>
      <c r="G45" s="768"/>
      <c r="H45" s="769"/>
      <c r="I45" s="601">
        <v>2640</v>
      </c>
      <c r="J45" s="597">
        <v>4360</v>
      </c>
      <c r="K45" s="469"/>
      <c r="L45" s="470"/>
      <c r="M45" s="741"/>
      <c r="N45" s="757"/>
      <c r="O45" s="470"/>
      <c r="P45" s="469"/>
      <c r="Q45" s="470"/>
      <c r="R45" s="469"/>
      <c r="S45" s="470"/>
      <c r="T45" s="473"/>
      <c r="U45" s="474"/>
      <c r="V45" s="741"/>
      <c r="W45" s="742"/>
      <c r="X45" s="244"/>
      <c r="AH45" s="253"/>
    </row>
    <row r="46" spans="1:34">
      <c r="A46" s="247"/>
      <c r="B46" s="765" t="s">
        <v>10328</v>
      </c>
      <c r="C46" s="766"/>
      <c r="D46" s="481">
        <v>8.1</v>
      </c>
      <c r="E46" s="481">
        <v>11</v>
      </c>
      <c r="F46" s="767" t="s">
        <v>1924</v>
      </c>
      <c r="G46" s="768"/>
      <c r="H46" s="769"/>
      <c r="I46" s="601">
        <v>2880</v>
      </c>
      <c r="J46" s="597">
        <v>5780</v>
      </c>
      <c r="K46" s="469"/>
      <c r="L46" s="470"/>
      <c r="M46" s="741"/>
      <c r="N46" s="757"/>
      <c r="O46" s="470"/>
      <c r="P46" s="469"/>
      <c r="Q46" s="470"/>
      <c r="R46" s="469"/>
      <c r="S46" s="470"/>
      <c r="T46" s="473"/>
      <c r="U46" s="474"/>
      <c r="V46" s="741"/>
      <c r="W46" s="742"/>
      <c r="X46" s="244"/>
      <c r="Y46" s="475" t="s">
        <v>319</v>
      </c>
    </row>
    <row r="47" spans="1:34">
      <c r="A47" s="247"/>
      <c r="B47" s="765"/>
      <c r="C47" s="766"/>
      <c r="D47" s="481"/>
      <c r="E47" s="481"/>
      <c r="F47" s="767"/>
      <c r="G47" s="768"/>
      <c r="H47" s="769"/>
      <c r="I47" s="601"/>
      <c r="J47" s="597"/>
      <c r="K47" s="469"/>
      <c r="L47" s="470"/>
      <c r="M47" s="741"/>
      <c r="N47" s="757"/>
      <c r="O47" s="470"/>
      <c r="P47" s="469"/>
      <c r="Q47" s="470"/>
      <c r="R47" s="469"/>
      <c r="S47" s="470"/>
      <c r="T47" s="473"/>
      <c r="U47" s="474"/>
      <c r="V47" s="741"/>
      <c r="W47" s="742"/>
      <c r="X47" s="244"/>
      <c r="Y47" s="777" t="s">
        <v>2638</v>
      </c>
      <c r="Z47" s="778"/>
      <c r="AA47" s="779"/>
      <c r="AB47" s="741" t="s">
        <v>320</v>
      </c>
      <c r="AC47" s="757"/>
      <c r="AD47" s="742"/>
      <c r="AE47" s="741" t="s">
        <v>321</v>
      </c>
      <c r="AF47" s="757"/>
      <c r="AG47" s="742"/>
    </row>
    <row r="48" spans="1:34">
      <c r="A48" s="247"/>
      <c r="B48" s="765"/>
      <c r="C48" s="766"/>
      <c r="D48" s="481"/>
      <c r="E48" s="481"/>
      <c r="F48" s="767"/>
      <c r="G48" s="768"/>
      <c r="H48" s="769"/>
      <c r="I48" s="601"/>
      <c r="J48" s="597"/>
      <c r="K48" s="469"/>
      <c r="L48" s="470"/>
      <c r="M48" s="741"/>
      <c r="N48" s="757"/>
      <c r="O48" s="470"/>
      <c r="P48" s="469"/>
      <c r="Q48" s="470"/>
      <c r="R48" s="469"/>
      <c r="S48" s="470"/>
      <c r="T48" s="473"/>
      <c r="U48" s="474"/>
      <c r="V48" s="741"/>
      <c r="W48" s="742"/>
      <c r="X48" s="244"/>
      <c r="Y48" s="770" t="str">
        <f>總表!H5</f>
        <v>工二課</v>
      </c>
      <c r="Z48" s="750"/>
      <c r="AA48" s="745"/>
      <c r="AB48" s="734" t="s">
        <v>304</v>
      </c>
      <c r="AC48" s="743"/>
      <c r="AD48" s="735"/>
      <c r="AE48" s="734"/>
      <c r="AF48" s="743"/>
      <c r="AG48" s="735"/>
    </row>
    <row r="49" spans="1:33">
      <c r="A49" s="247"/>
      <c r="B49" s="765"/>
      <c r="C49" s="766"/>
      <c r="D49" s="481"/>
      <c r="E49" s="481"/>
      <c r="F49" s="767"/>
      <c r="G49" s="768"/>
      <c r="H49" s="769"/>
      <c r="I49" s="596"/>
      <c r="J49" s="597"/>
      <c r="K49" s="469"/>
      <c r="L49" s="470"/>
      <c r="M49" s="741"/>
      <c r="N49" s="757"/>
      <c r="O49" s="470"/>
      <c r="P49" s="469"/>
      <c r="Q49" s="470"/>
      <c r="R49" s="469"/>
      <c r="S49" s="470"/>
      <c r="T49" s="473"/>
      <c r="U49" s="474"/>
      <c r="V49" s="741"/>
      <c r="W49" s="742"/>
      <c r="X49" s="244"/>
      <c r="Y49" s="771"/>
      <c r="Z49" s="772"/>
      <c r="AA49" s="773"/>
      <c r="AB49" s="753"/>
      <c r="AC49" s="763"/>
      <c r="AD49" s="754"/>
      <c r="AE49" s="753"/>
      <c r="AF49" s="763"/>
      <c r="AG49" s="754"/>
    </row>
    <row r="50" spans="1:33">
      <c r="A50" s="247"/>
      <c r="B50" s="765"/>
      <c r="C50" s="766"/>
      <c r="D50" s="481"/>
      <c r="E50" s="481"/>
      <c r="F50" s="767"/>
      <c r="G50" s="768"/>
      <c r="H50" s="769"/>
      <c r="I50" s="596"/>
      <c r="J50" s="597"/>
      <c r="K50" s="469"/>
      <c r="L50" s="470"/>
      <c r="M50" s="741"/>
      <c r="N50" s="757"/>
      <c r="O50" s="470"/>
      <c r="P50" s="469"/>
      <c r="Q50" s="470"/>
      <c r="R50" s="469"/>
      <c r="S50" s="470"/>
      <c r="T50" s="473"/>
      <c r="U50" s="474"/>
      <c r="V50" s="741"/>
      <c r="W50" s="742"/>
      <c r="Y50" s="774"/>
      <c r="Z50" s="775"/>
      <c r="AA50" s="776"/>
      <c r="AB50" s="755"/>
      <c r="AC50" s="764"/>
      <c r="AD50" s="756"/>
      <c r="AE50" s="755"/>
      <c r="AF50" s="764"/>
      <c r="AG50" s="756"/>
    </row>
    <row r="51" spans="1:33">
      <c r="B51" s="765"/>
      <c r="C51" s="766"/>
      <c r="D51" s="481"/>
      <c r="E51" s="481"/>
      <c r="F51" s="767"/>
      <c r="G51" s="768"/>
      <c r="H51" s="769"/>
      <c r="I51" s="596"/>
      <c r="J51" s="597"/>
      <c r="K51" s="469"/>
      <c r="L51" s="470"/>
      <c r="M51" s="741"/>
      <c r="N51" s="757"/>
      <c r="O51" s="470"/>
      <c r="P51" s="469"/>
      <c r="Q51" s="470"/>
      <c r="R51" s="469"/>
      <c r="S51" s="470"/>
      <c r="T51" s="473"/>
      <c r="U51" s="474"/>
      <c r="V51" s="741"/>
      <c r="W51" s="742"/>
      <c r="Y51" s="734"/>
      <c r="Z51" s="743"/>
      <c r="AA51" s="735"/>
      <c r="AB51" s="734"/>
      <c r="AC51" s="743"/>
      <c r="AD51" s="735"/>
      <c r="AE51" s="734"/>
      <c r="AF51" s="743"/>
      <c r="AG51" s="735"/>
    </row>
    <row r="52" spans="1:33">
      <c r="B52" s="765"/>
      <c r="C52" s="766"/>
      <c r="D52" s="481"/>
      <c r="E52" s="481"/>
      <c r="F52" s="767"/>
      <c r="G52" s="768"/>
      <c r="H52" s="769"/>
      <c r="I52" s="596"/>
      <c r="J52" s="597"/>
      <c r="K52" s="469"/>
      <c r="L52" s="470"/>
      <c r="M52" s="741"/>
      <c r="N52" s="757"/>
      <c r="O52" s="470"/>
      <c r="P52" s="469"/>
      <c r="Q52" s="470"/>
      <c r="R52" s="469"/>
      <c r="S52" s="470"/>
      <c r="T52" s="473"/>
      <c r="U52" s="474"/>
      <c r="V52" s="741"/>
      <c r="W52" s="742"/>
      <c r="Y52" s="753"/>
      <c r="Z52" s="763"/>
      <c r="AA52" s="754"/>
      <c r="AB52" s="753"/>
      <c r="AC52" s="763"/>
      <c r="AD52" s="754"/>
      <c r="AE52" s="753"/>
      <c r="AF52" s="763"/>
      <c r="AG52" s="754"/>
    </row>
    <row r="53" spans="1:33">
      <c r="B53" s="765"/>
      <c r="C53" s="766"/>
      <c r="D53" s="481"/>
      <c r="E53" s="481"/>
      <c r="F53" s="767"/>
      <c r="G53" s="768"/>
      <c r="H53" s="769"/>
      <c r="I53" s="596"/>
      <c r="J53" s="597"/>
      <c r="K53" s="469"/>
      <c r="L53" s="470"/>
      <c r="M53" s="741"/>
      <c r="N53" s="757"/>
      <c r="O53" s="470"/>
      <c r="P53" s="469"/>
      <c r="Q53" s="470"/>
      <c r="R53" s="469"/>
      <c r="S53" s="470"/>
      <c r="T53" s="473"/>
      <c r="U53" s="474"/>
      <c r="V53" s="741"/>
      <c r="W53" s="742"/>
      <c r="Y53" s="755"/>
      <c r="Z53" s="764"/>
      <c r="AA53" s="756"/>
      <c r="AB53" s="755"/>
      <c r="AC53" s="764"/>
      <c r="AD53" s="756"/>
      <c r="AE53" s="753"/>
      <c r="AF53" s="763"/>
      <c r="AG53" s="754"/>
    </row>
    <row r="54" spans="1:33">
      <c r="B54" s="765"/>
      <c r="C54" s="766"/>
      <c r="D54" s="481"/>
      <c r="E54" s="481"/>
      <c r="F54" s="767"/>
      <c r="G54" s="768"/>
      <c r="H54" s="769"/>
      <c r="I54" s="596"/>
      <c r="J54" s="597"/>
      <c r="K54" s="469"/>
      <c r="L54" s="470"/>
      <c r="M54" s="741"/>
      <c r="N54" s="757"/>
      <c r="O54" s="470"/>
      <c r="P54" s="469"/>
      <c r="Q54" s="470"/>
      <c r="R54" s="469"/>
      <c r="S54" s="470"/>
      <c r="T54" s="473"/>
      <c r="U54" s="474"/>
      <c r="V54" s="741"/>
      <c r="W54" s="742"/>
      <c r="X54" s="244"/>
      <c r="Y54" s="734"/>
      <c r="Z54" s="743"/>
      <c r="AA54" s="735"/>
      <c r="AB54" s="734"/>
      <c r="AC54" s="743"/>
      <c r="AD54" s="735"/>
      <c r="AE54" s="734"/>
      <c r="AF54" s="743"/>
      <c r="AG54" s="735"/>
    </row>
    <row r="55" spans="1:33">
      <c r="B55" s="765"/>
      <c r="C55" s="766"/>
      <c r="D55" s="481"/>
      <c r="E55" s="481"/>
      <c r="F55" s="767"/>
      <c r="G55" s="768"/>
      <c r="H55" s="769"/>
      <c r="I55" s="596"/>
      <c r="J55" s="597"/>
      <c r="K55" s="469"/>
      <c r="L55" s="470"/>
      <c r="M55" s="741"/>
      <c r="N55" s="757"/>
      <c r="O55" s="470"/>
      <c r="P55" s="469"/>
      <c r="Q55" s="470"/>
      <c r="R55" s="469"/>
      <c r="S55" s="470"/>
      <c r="T55" s="473"/>
      <c r="U55" s="474"/>
      <c r="V55" s="741"/>
      <c r="W55" s="742"/>
      <c r="X55" s="244"/>
      <c r="Y55" s="753"/>
      <c r="Z55" s="763"/>
      <c r="AA55" s="754"/>
      <c r="AB55" s="753"/>
      <c r="AC55" s="763"/>
      <c r="AD55" s="754"/>
      <c r="AE55" s="753"/>
      <c r="AF55" s="763"/>
      <c r="AG55" s="754"/>
    </row>
    <row r="56" spans="1:33">
      <c r="B56" s="765"/>
      <c r="C56" s="766"/>
      <c r="D56" s="481"/>
      <c r="E56" s="481"/>
      <c r="F56" s="767"/>
      <c r="G56" s="768"/>
      <c r="H56" s="769"/>
      <c r="I56" s="596"/>
      <c r="J56" s="597"/>
      <c r="K56" s="469"/>
      <c r="L56" s="470"/>
      <c r="M56" s="741"/>
      <c r="N56" s="757"/>
      <c r="O56" s="470"/>
      <c r="P56" s="469"/>
      <c r="Q56" s="470"/>
      <c r="R56" s="469"/>
      <c r="S56" s="470"/>
      <c r="T56" s="473"/>
      <c r="U56" s="474"/>
      <c r="V56" s="741"/>
      <c r="W56" s="742"/>
      <c r="X56" s="244"/>
      <c r="Y56" s="755"/>
      <c r="Z56" s="764"/>
      <c r="AA56" s="756"/>
      <c r="AB56" s="755"/>
      <c r="AC56" s="764"/>
      <c r="AD56" s="756"/>
      <c r="AE56" s="755"/>
      <c r="AF56" s="764"/>
      <c r="AG56" s="756"/>
    </row>
    <row r="57" spans="1:33">
      <c r="B57" s="475" t="s">
        <v>10195</v>
      </c>
      <c r="E57" s="253" t="s">
        <v>10208</v>
      </c>
      <c r="J57" s="475" t="s">
        <v>10196</v>
      </c>
      <c r="O57" s="475" t="s">
        <v>322</v>
      </c>
      <c r="V57" s="253" t="str">
        <f>IF(總表!B2&lt;&gt;總表!D2,"▓系統期限後復原","□系統期限後復原")</f>
        <v>▓系統期限後復原</v>
      </c>
      <c r="W57" s="253"/>
    </row>
    <row r="58" spans="1:33" ht="16.149999999999999" customHeight="1">
      <c r="B58" s="760" t="s">
        <v>10197</v>
      </c>
      <c r="C58" s="741" t="s">
        <v>323</v>
      </c>
      <c r="D58" s="757"/>
      <c r="E58" s="742"/>
      <c r="F58" s="741" t="s">
        <v>324</v>
      </c>
      <c r="G58" s="757"/>
      <c r="H58" s="757"/>
      <c r="I58" s="757"/>
      <c r="J58" s="742"/>
      <c r="K58" s="741" t="s">
        <v>325</v>
      </c>
      <c r="L58" s="757"/>
      <c r="M58" s="757"/>
      <c r="N58" s="757"/>
      <c r="O58" s="742"/>
      <c r="P58" s="741" t="s">
        <v>323</v>
      </c>
      <c r="Q58" s="757"/>
      <c r="R58" s="742"/>
      <c r="S58" s="741" t="s">
        <v>324</v>
      </c>
      <c r="T58" s="757"/>
      <c r="U58" s="757"/>
      <c r="V58" s="757"/>
      <c r="W58" s="742"/>
      <c r="X58" s="741" t="s">
        <v>325</v>
      </c>
      <c r="Y58" s="757"/>
      <c r="Z58" s="757"/>
      <c r="AA58" s="742"/>
      <c r="AB58" s="472"/>
    </row>
    <row r="59" spans="1:33">
      <c r="B59" s="761"/>
      <c r="C59" s="741" t="s">
        <v>326</v>
      </c>
      <c r="D59" s="757"/>
      <c r="E59" s="742"/>
      <c r="F59" s="741" t="s">
        <v>327</v>
      </c>
      <c r="G59" s="757"/>
      <c r="H59" s="742"/>
      <c r="I59" s="741" t="s">
        <v>328</v>
      </c>
      <c r="J59" s="742"/>
      <c r="K59" s="741" t="s">
        <v>327</v>
      </c>
      <c r="L59" s="742"/>
      <c r="M59" s="741" t="s">
        <v>328</v>
      </c>
      <c r="N59" s="757"/>
      <c r="O59" s="742"/>
      <c r="P59" s="741" t="s">
        <v>326</v>
      </c>
      <c r="Q59" s="757"/>
      <c r="R59" s="742"/>
      <c r="S59" s="741" t="s">
        <v>327</v>
      </c>
      <c r="T59" s="757"/>
      <c r="U59" s="742"/>
      <c r="V59" s="741" t="s">
        <v>328</v>
      </c>
      <c r="W59" s="742"/>
      <c r="X59" s="741" t="s">
        <v>327</v>
      </c>
      <c r="Y59" s="742"/>
      <c r="Z59" s="741" t="s">
        <v>328</v>
      </c>
      <c r="AA59" s="742"/>
      <c r="AB59" s="472"/>
    </row>
    <row r="60" spans="1:33">
      <c r="B60" s="761"/>
      <c r="C60" s="741"/>
      <c r="D60" s="757"/>
      <c r="E60" s="742"/>
      <c r="F60" s="741"/>
      <c r="G60" s="757"/>
      <c r="H60" s="742"/>
      <c r="I60" s="741"/>
      <c r="J60" s="742"/>
      <c r="K60" s="741"/>
      <c r="L60" s="742"/>
      <c r="M60" s="741"/>
      <c r="N60" s="757"/>
      <c r="O60" s="742"/>
      <c r="P60" s="741"/>
      <c r="Q60" s="757"/>
      <c r="R60" s="742"/>
      <c r="S60" s="741"/>
      <c r="T60" s="757"/>
      <c r="U60" s="742"/>
      <c r="V60" s="741"/>
      <c r="W60" s="742"/>
      <c r="X60" s="741"/>
      <c r="Y60" s="742"/>
      <c r="Z60" s="741"/>
      <c r="AA60" s="742"/>
      <c r="AB60" s="472"/>
    </row>
    <row r="61" spans="1:33">
      <c r="B61" s="761"/>
      <c r="C61" s="741"/>
      <c r="D61" s="757"/>
      <c r="E61" s="742"/>
      <c r="F61" s="741"/>
      <c r="G61" s="757"/>
      <c r="H61" s="742"/>
      <c r="I61" s="741"/>
      <c r="J61" s="742"/>
      <c r="K61" s="741"/>
      <c r="L61" s="742"/>
      <c r="M61" s="741"/>
      <c r="N61" s="757"/>
      <c r="O61" s="742"/>
      <c r="P61" s="741"/>
      <c r="Q61" s="757"/>
      <c r="R61" s="742"/>
      <c r="S61" s="741"/>
      <c r="T61" s="757"/>
      <c r="U61" s="742"/>
      <c r="V61" s="741"/>
      <c r="W61" s="742"/>
      <c r="X61" s="741"/>
      <c r="Y61" s="742"/>
      <c r="Z61" s="741"/>
      <c r="AA61" s="742"/>
      <c r="AB61" s="472"/>
    </row>
    <row r="62" spans="1:33">
      <c r="B62" s="762"/>
      <c r="C62" s="741"/>
      <c r="D62" s="757"/>
      <c r="E62" s="742"/>
      <c r="F62" s="741"/>
      <c r="G62" s="757"/>
      <c r="H62" s="742"/>
      <c r="I62" s="741"/>
      <c r="J62" s="742"/>
      <c r="K62" s="741"/>
      <c r="L62" s="742"/>
      <c r="M62" s="741"/>
      <c r="N62" s="757"/>
      <c r="O62" s="742"/>
      <c r="P62" s="741"/>
      <c r="Q62" s="757"/>
      <c r="R62" s="742"/>
      <c r="S62" s="741"/>
      <c r="T62" s="757"/>
      <c r="U62" s="742"/>
      <c r="V62" s="741"/>
      <c r="W62" s="742"/>
      <c r="X62" s="741"/>
      <c r="Y62" s="742"/>
      <c r="Z62" s="741"/>
      <c r="AA62" s="742"/>
      <c r="AB62" s="472"/>
    </row>
    <row r="63" spans="1:33">
      <c r="B63" s="240"/>
      <c r="C63" s="598"/>
      <c r="D63" s="598"/>
      <c r="E63" s="598"/>
      <c r="F63" s="598"/>
      <c r="G63" s="598"/>
      <c r="H63" s="470"/>
      <c r="I63" s="469"/>
      <c r="J63" s="598"/>
      <c r="K63" s="598"/>
      <c r="L63" s="598"/>
      <c r="M63" s="598"/>
      <c r="N63" s="598"/>
      <c r="O63" s="598"/>
      <c r="P63" s="598"/>
      <c r="Q63" s="598"/>
      <c r="R63" s="598"/>
      <c r="S63" s="598"/>
      <c r="T63" s="598"/>
      <c r="U63" s="598"/>
      <c r="V63" s="598"/>
      <c r="W63" s="598"/>
      <c r="X63" s="598"/>
      <c r="Y63" s="598"/>
      <c r="Z63" s="598"/>
      <c r="AA63" s="598"/>
      <c r="AB63" s="472"/>
    </row>
    <row r="64" spans="1:33">
      <c r="B64" s="741" t="s">
        <v>10198</v>
      </c>
      <c r="C64" s="757"/>
      <c r="D64" s="757"/>
      <c r="E64" s="757"/>
      <c r="F64" s="757"/>
      <c r="G64" s="757"/>
      <c r="H64" s="742"/>
      <c r="I64" s="741" t="s">
        <v>10199</v>
      </c>
      <c r="J64" s="757"/>
      <c r="K64" s="757"/>
      <c r="L64" s="757"/>
      <c r="M64" s="757"/>
      <c r="N64" s="757"/>
      <c r="O64" s="757"/>
      <c r="P64" s="757"/>
      <c r="Q64" s="757"/>
      <c r="R64" s="741" t="s">
        <v>329</v>
      </c>
      <c r="S64" s="757"/>
      <c r="T64" s="757"/>
      <c r="U64" s="757"/>
      <c r="V64" s="757"/>
      <c r="W64" s="742"/>
      <c r="X64" s="741" t="s">
        <v>330</v>
      </c>
      <c r="Y64" s="742"/>
      <c r="Z64" s="741" t="s">
        <v>331</v>
      </c>
      <c r="AA64" s="757"/>
      <c r="AB64" s="757"/>
      <c r="AC64" s="742"/>
    </row>
    <row r="65" spans="2:31">
      <c r="B65" s="741" t="s">
        <v>10200</v>
      </c>
      <c r="C65" s="757"/>
      <c r="D65" s="741" t="s">
        <v>332</v>
      </c>
      <c r="E65" s="742"/>
      <c r="F65" s="741" t="s">
        <v>333</v>
      </c>
      <c r="G65" s="758"/>
      <c r="H65" s="759"/>
      <c r="I65" s="741" t="s">
        <v>10201</v>
      </c>
      <c r="J65" s="742"/>
      <c r="K65" s="741" t="s">
        <v>334</v>
      </c>
      <c r="L65" s="742"/>
      <c r="M65" s="741" t="s">
        <v>332</v>
      </c>
      <c r="N65" s="757"/>
      <c r="O65" s="742"/>
      <c r="P65" s="741" t="s">
        <v>333</v>
      </c>
      <c r="Q65" s="742"/>
      <c r="R65" s="741" t="s">
        <v>335</v>
      </c>
      <c r="S65" s="742"/>
      <c r="T65" s="741" t="s">
        <v>336</v>
      </c>
      <c r="U65" s="742"/>
      <c r="V65" s="741" t="s">
        <v>337</v>
      </c>
      <c r="W65" s="742"/>
      <c r="X65" s="741" t="s">
        <v>338</v>
      </c>
      <c r="Y65" s="742"/>
      <c r="Z65" s="741" t="s">
        <v>339</v>
      </c>
      <c r="AA65" s="742"/>
      <c r="AB65" s="741" t="s">
        <v>340</v>
      </c>
      <c r="AC65" s="742"/>
    </row>
    <row r="66" spans="2:31">
      <c r="B66" s="734" t="s">
        <v>242</v>
      </c>
      <c r="C66" s="743"/>
      <c r="D66" s="734" t="s">
        <v>242</v>
      </c>
      <c r="E66" s="745"/>
      <c r="F66" s="734" t="s">
        <v>242</v>
      </c>
      <c r="G66" s="750"/>
      <c r="H66" s="745"/>
      <c r="I66" s="734" t="s">
        <v>242</v>
      </c>
      <c r="J66" s="735"/>
      <c r="K66" s="734" t="s">
        <v>242</v>
      </c>
      <c r="L66" s="735"/>
      <c r="M66" s="734" t="s">
        <v>242</v>
      </c>
      <c r="N66" s="743"/>
      <c r="O66" s="735"/>
      <c r="P66" s="734" t="s">
        <v>242</v>
      </c>
      <c r="Q66" s="735"/>
      <c r="R66" s="734" t="s">
        <v>242</v>
      </c>
      <c r="S66" s="735"/>
      <c r="T66" s="734" t="s">
        <v>242</v>
      </c>
      <c r="U66" s="735"/>
      <c r="V66" s="734" t="s">
        <v>242</v>
      </c>
      <c r="W66" s="735"/>
      <c r="X66" s="734" t="s">
        <v>242</v>
      </c>
      <c r="Y66" s="735"/>
      <c r="Z66" s="734" t="s">
        <v>341</v>
      </c>
      <c r="AA66" s="735"/>
      <c r="AB66" s="734" t="s">
        <v>341</v>
      </c>
      <c r="AC66" s="735"/>
    </row>
    <row r="67" spans="2:31">
      <c r="B67" s="736"/>
      <c r="C67" s="740"/>
      <c r="D67" s="746"/>
      <c r="E67" s="747"/>
      <c r="F67" s="746"/>
      <c r="G67" s="751"/>
      <c r="H67" s="747"/>
      <c r="I67" s="736"/>
      <c r="J67" s="737"/>
      <c r="K67" s="736"/>
      <c r="L67" s="737"/>
      <c r="M67" s="736"/>
      <c r="N67" s="740"/>
      <c r="O67" s="737"/>
      <c r="P67" s="736"/>
      <c r="Q67" s="737"/>
      <c r="R67" s="753"/>
      <c r="S67" s="754"/>
      <c r="T67" s="736"/>
      <c r="U67" s="737"/>
      <c r="V67" s="736"/>
      <c r="W67" s="737"/>
      <c r="X67" s="736"/>
      <c r="Y67" s="737"/>
      <c r="Z67" s="736"/>
      <c r="AA67" s="737"/>
      <c r="AB67" s="736"/>
      <c r="AC67" s="737"/>
    </row>
    <row r="68" spans="2:31">
      <c r="B68" s="736"/>
      <c r="C68" s="740"/>
      <c r="D68" s="746"/>
      <c r="E68" s="747"/>
      <c r="F68" s="746"/>
      <c r="G68" s="751"/>
      <c r="H68" s="747"/>
      <c r="I68" s="736"/>
      <c r="J68" s="737"/>
      <c r="K68" s="736"/>
      <c r="L68" s="737"/>
      <c r="M68" s="736"/>
      <c r="N68" s="740"/>
      <c r="O68" s="737"/>
      <c r="P68" s="736"/>
      <c r="Q68" s="737"/>
      <c r="R68" s="753"/>
      <c r="S68" s="754"/>
      <c r="T68" s="736"/>
      <c r="U68" s="737"/>
      <c r="V68" s="736"/>
      <c r="W68" s="737"/>
      <c r="X68" s="736"/>
      <c r="Y68" s="737"/>
      <c r="Z68" s="736"/>
      <c r="AA68" s="737"/>
      <c r="AB68" s="736"/>
      <c r="AC68" s="737"/>
    </row>
    <row r="69" spans="2:31">
      <c r="B69" s="738"/>
      <c r="C69" s="744"/>
      <c r="D69" s="748"/>
      <c r="E69" s="749"/>
      <c r="F69" s="748"/>
      <c r="G69" s="752"/>
      <c r="H69" s="749"/>
      <c r="I69" s="738"/>
      <c r="J69" s="739"/>
      <c r="K69" s="738"/>
      <c r="L69" s="739"/>
      <c r="M69" s="738"/>
      <c r="N69" s="744"/>
      <c r="O69" s="739"/>
      <c r="P69" s="738"/>
      <c r="Q69" s="739"/>
      <c r="R69" s="755"/>
      <c r="S69" s="756"/>
      <c r="T69" s="738"/>
      <c r="U69" s="739"/>
      <c r="V69" s="738"/>
      <c r="W69" s="739"/>
      <c r="X69" s="738"/>
      <c r="Y69" s="739"/>
      <c r="Z69" s="738"/>
      <c r="AA69" s="739"/>
      <c r="AB69" s="738"/>
      <c r="AC69" s="739"/>
    </row>
    <row r="70" spans="2:31">
      <c r="B70" s="475" t="s">
        <v>342</v>
      </c>
      <c r="AC70" s="244"/>
      <c r="AD70" s="244"/>
    </row>
    <row r="71" spans="2:31" ht="16.149999999999999" customHeight="1">
      <c r="B71" s="740" t="s">
        <v>343</v>
      </c>
      <c r="C71" s="740"/>
      <c r="D71" s="740"/>
      <c r="E71" s="740"/>
      <c r="F71" s="740"/>
      <c r="G71" s="740"/>
      <c r="H71" s="740"/>
      <c r="I71" s="740"/>
      <c r="J71" s="740"/>
      <c r="K71" s="740"/>
      <c r="L71" s="740"/>
      <c r="M71" s="740"/>
      <c r="N71" s="740"/>
      <c r="O71" s="740"/>
      <c r="P71" s="740"/>
      <c r="Q71" s="740"/>
      <c r="R71" s="740"/>
      <c r="S71" s="740"/>
      <c r="T71" s="740"/>
      <c r="U71" s="740"/>
      <c r="V71" s="740"/>
      <c r="W71" s="740"/>
      <c r="X71" s="740"/>
      <c r="Y71" s="740"/>
      <c r="Z71" s="740"/>
      <c r="AA71" s="740"/>
      <c r="AB71" s="740"/>
      <c r="AC71" s="740"/>
      <c r="AD71" s="740"/>
      <c r="AE71" s="740"/>
    </row>
    <row r="72" spans="2:31" ht="16.149999999999999" customHeight="1">
      <c r="B72" s="475" t="s">
        <v>344</v>
      </c>
      <c r="N72" s="597"/>
      <c r="AC72" s="244"/>
      <c r="AD72" s="244"/>
    </row>
    <row r="73" spans="2:31" ht="16.149999999999999" customHeight="1">
      <c r="B73" s="475" t="s">
        <v>345</v>
      </c>
      <c r="N73" s="597"/>
      <c r="AC73" s="244"/>
      <c r="AD73" s="244"/>
    </row>
    <row r="74" spans="2:31" ht="16.149999999999999" customHeight="1">
      <c r="B74" s="475" t="s">
        <v>346</v>
      </c>
      <c r="N74" s="597"/>
      <c r="AC74" s="244"/>
      <c r="AD74" s="244"/>
    </row>
    <row r="75" spans="2:31" ht="15.75" customHeight="1">
      <c r="B75" s="475" t="s">
        <v>347</v>
      </c>
      <c r="N75" s="597"/>
      <c r="AC75" s="244"/>
      <c r="AD75" s="244"/>
    </row>
    <row r="76" spans="2:31">
      <c r="B76" s="475" t="s">
        <v>348</v>
      </c>
      <c r="N76" s="667"/>
    </row>
    <row r="77" spans="2:31">
      <c r="N77" s="668"/>
    </row>
    <row r="78" spans="2:31">
      <c r="N78" s="668"/>
    </row>
    <row r="79" spans="2:31">
      <c r="B79" s="871" t="s">
        <v>242</v>
      </c>
      <c r="C79" s="872"/>
      <c r="D79" s="663" t="s">
        <v>242</v>
      </c>
      <c r="E79" s="663" t="s">
        <v>242</v>
      </c>
      <c r="F79" s="860" t="s">
        <v>242</v>
      </c>
      <c r="G79" s="861"/>
      <c r="H79" s="861"/>
      <c r="I79" s="663" t="s">
        <v>242</v>
      </c>
      <c r="J79" s="666" t="s">
        <v>242</v>
      </c>
      <c r="N79" s="668"/>
    </row>
    <row r="80" spans="2:31">
      <c r="B80" s="871" t="s">
        <v>242</v>
      </c>
      <c r="C80" s="872"/>
      <c r="D80" s="664" t="s">
        <v>242</v>
      </c>
      <c r="E80" s="664" t="s">
        <v>242</v>
      </c>
      <c r="F80" s="858" t="s">
        <v>242</v>
      </c>
      <c r="G80" s="859"/>
      <c r="H80" s="859"/>
      <c r="I80" s="664" t="s">
        <v>242</v>
      </c>
      <c r="J80" s="666" t="s">
        <v>242</v>
      </c>
      <c r="N80" s="668"/>
    </row>
    <row r="81" spans="2:14">
      <c r="B81" s="871" t="s">
        <v>242</v>
      </c>
      <c r="C81" s="872"/>
      <c r="D81" s="664" t="s">
        <v>242</v>
      </c>
      <c r="E81" s="664" t="s">
        <v>242</v>
      </c>
      <c r="F81" s="858" t="s">
        <v>242</v>
      </c>
      <c r="G81" s="859"/>
      <c r="H81" s="859"/>
      <c r="I81" s="664" t="s">
        <v>242</v>
      </c>
      <c r="J81" s="666" t="s">
        <v>242</v>
      </c>
      <c r="N81" s="668"/>
    </row>
    <row r="82" spans="2:14">
      <c r="B82" s="871" t="s">
        <v>242</v>
      </c>
      <c r="C82" s="872"/>
      <c r="D82" s="664" t="s">
        <v>242</v>
      </c>
      <c r="E82" s="664" t="s">
        <v>242</v>
      </c>
      <c r="F82" s="858" t="s">
        <v>242</v>
      </c>
      <c r="G82" s="859"/>
      <c r="H82" s="859"/>
      <c r="I82" s="664" t="s">
        <v>242</v>
      </c>
      <c r="J82" s="666" t="s">
        <v>242</v>
      </c>
      <c r="N82" s="668"/>
    </row>
    <row r="83" spans="2:14">
      <c r="B83" s="871" t="s">
        <v>242</v>
      </c>
      <c r="C83" s="872"/>
      <c r="D83" s="664" t="s">
        <v>242</v>
      </c>
      <c r="E83" s="664" t="s">
        <v>242</v>
      </c>
      <c r="F83" s="858" t="s">
        <v>242</v>
      </c>
      <c r="G83" s="859"/>
      <c r="H83" s="859"/>
      <c r="I83" s="664" t="s">
        <v>242</v>
      </c>
      <c r="J83" s="666" t="s">
        <v>242</v>
      </c>
      <c r="N83" s="668"/>
    </row>
    <row r="84" spans="2:14">
      <c r="B84" s="871" t="s">
        <v>242</v>
      </c>
      <c r="C84" s="872"/>
      <c r="D84" s="664" t="s">
        <v>242</v>
      </c>
      <c r="E84" s="664" t="s">
        <v>242</v>
      </c>
      <c r="F84" s="858" t="s">
        <v>242</v>
      </c>
      <c r="G84" s="859"/>
      <c r="H84" s="859"/>
      <c r="I84" s="664" t="s">
        <v>242</v>
      </c>
      <c r="J84" s="666" t="s">
        <v>242</v>
      </c>
      <c r="N84" s="668"/>
    </row>
    <row r="85" spans="2:14">
      <c r="B85" s="871" t="s">
        <v>242</v>
      </c>
      <c r="C85" s="872"/>
      <c r="D85" s="664" t="s">
        <v>242</v>
      </c>
      <c r="E85" s="664" t="s">
        <v>242</v>
      </c>
      <c r="F85" s="858" t="s">
        <v>242</v>
      </c>
      <c r="G85" s="859"/>
      <c r="H85" s="859"/>
      <c r="I85" s="664" t="s">
        <v>242</v>
      </c>
      <c r="J85" s="666" t="s">
        <v>242</v>
      </c>
    </row>
    <row r="86" spans="2:14">
      <c r="B86" s="871" t="s">
        <v>242</v>
      </c>
      <c r="C86" s="872"/>
      <c r="D86" s="664" t="s">
        <v>242</v>
      </c>
      <c r="E86" s="664" t="s">
        <v>242</v>
      </c>
      <c r="F86" s="858" t="s">
        <v>242</v>
      </c>
      <c r="G86" s="859"/>
      <c r="H86" s="859"/>
      <c r="I86" s="664" t="s">
        <v>242</v>
      </c>
      <c r="J86" s="666" t="s">
        <v>242</v>
      </c>
    </row>
    <row r="87" spans="2:14">
      <c r="B87" s="871" t="s">
        <v>242</v>
      </c>
      <c r="C87" s="872"/>
      <c r="D87" s="664" t="s">
        <v>242</v>
      </c>
      <c r="E87" s="664" t="s">
        <v>242</v>
      </c>
      <c r="F87" s="858" t="s">
        <v>242</v>
      </c>
      <c r="G87" s="859"/>
      <c r="H87" s="859"/>
      <c r="I87" s="664" t="s">
        <v>242</v>
      </c>
      <c r="J87" s="666" t="s">
        <v>242</v>
      </c>
    </row>
    <row r="88" spans="2:14">
      <c r="B88" s="871" t="s">
        <v>242</v>
      </c>
      <c r="C88" s="872"/>
      <c r="D88" s="664" t="s">
        <v>242</v>
      </c>
      <c r="E88" s="664" t="s">
        <v>242</v>
      </c>
      <c r="F88" s="858" t="s">
        <v>242</v>
      </c>
      <c r="G88" s="859"/>
      <c r="H88" s="859"/>
      <c r="I88" s="664" t="s">
        <v>242</v>
      </c>
      <c r="J88" s="666" t="s">
        <v>242</v>
      </c>
    </row>
    <row r="89" spans="2:14">
      <c r="B89" s="871" t="s">
        <v>242</v>
      </c>
      <c r="C89" s="872"/>
      <c r="D89" s="664" t="s">
        <v>242</v>
      </c>
      <c r="E89" s="664" t="s">
        <v>242</v>
      </c>
      <c r="F89" s="858" t="s">
        <v>242</v>
      </c>
      <c r="G89" s="859"/>
      <c r="H89" s="859"/>
      <c r="I89" s="664" t="s">
        <v>242</v>
      </c>
      <c r="J89" s="666" t="s">
        <v>242</v>
      </c>
    </row>
    <row r="90" spans="2:14">
      <c r="B90" s="871" t="s">
        <v>242</v>
      </c>
      <c r="C90" s="872"/>
      <c r="D90" s="664" t="s">
        <v>242</v>
      </c>
      <c r="E90" s="664" t="s">
        <v>242</v>
      </c>
      <c r="F90" s="858" t="s">
        <v>242</v>
      </c>
      <c r="G90" s="859"/>
      <c r="H90" s="859"/>
      <c r="I90" s="664" t="s">
        <v>242</v>
      </c>
      <c r="J90" s="666" t="s">
        <v>242</v>
      </c>
    </row>
    <row r="91" spans="2:14">
      <c r="B91" s="871" t="s">
        <v>242</v>
      </c>
      <c r="C91" s="872"/>
      <c r="D91" s="664" t="s">
        <v>242</v>
      </c>
      <c r="E91" s="664" t="s">
        <v>242</v>
      </c>
      <c r="F91" s="858" t="s">
        <v>242</v>
      </c>
      <c r="G91" s="859"/>
      <c r="H91" s="859"/>
      <c r="I91" s="664" t="s">
        <v>242</v>
      </c>
      <c r="J91" s="666" t="s">
        <v>242</v>
      </c>
    </row>
    <row r="92" spans="2:14">
      <c r="B92" s="871" t="s">
        <v>242</v>
      </c>
      <c r="C92" s="872"/>
      <c r="D92" s="665" t="s">
        <v>242</v>
      </c>
      <c r="E92" s="665" t="s">
        <v>242</v>
      </c>
      <c r="F92" s="869" t="s">
        <v>242</v>
      </c>
      <c r="G92" s="870"/>
      <c r="H92" s="870"/>
      <c r="I92" s="665" t="s">
        <v>242</v>
      </c>
      <c r="J92" s="666" t="s">
        <v>242</v>
      </c>
    </row>
    <row r="93" spans="2:14">
      <c r="B93" s="475" t="s">
        <v>242</v>
      </c>
      <c r="C93" s="475" t="s">
        <v>242</v>
      </c>
      <c r="D93" s="475" t="s">
        <v>242</v>
      </c>
      <c r="E93" s="475" t="s">
        <v>242</v>
      </c>
      <c r="F93" s="475" t="s">
        <v>242</v>
      </c>
      <c r="G93" s="475" t="s">
        <v>242</v>
      </c>
      <c r="H93" s="475" t="s">
        <v>242</v>
      </c>
      <c r="I93" s="475" t="s">
        <v>242</v>
      </c>
      <c r="J93" s="475" t="s">
        <v>242</v>
      </c>
    </row>
    <row r="94" spans="2:14">
      <c r="B94" s="475" t="s">
        <v>242</v>
      </c>
      <c r="C94" s="475" t="s">
        <v>242</v>
      </c>
      <c r="D94" s="475" t="s">
        <v>242</v>
      </c>
      <c r="E94" s="475" t="s">
        <v>242</v>
      </c>
      <c r="F94" s="475" t="s">
        <v>242</v>
      </c>
      <c r="G94" s="475" t="s">
        <v>242</v>
      </c>
      <c r="H94" s="475" t="s">
        <v>242</v>
      </c>
      <c r="I94" s="475" t="s">
        <v>242</v>
      </c>
      <c r="J94" s="475" t="s">
        <v>242</v>
      </c>
    </row>
    <row r="95" spans="2:14">
      <c r="B95" s="475" t="s">
        <v>242</v>
      </c>
      <c r="C95" s="475" t="s">
        <v>242</v>
      </c>
      <c r="D95" s="475" t="s">
        <v>242</v>
      </c>
      <c r="E95" s="475" t="s">
        <v>242</v>
      </c>
      <c r="F95" s="475" t="s">
        <v>242</v>
      </c>
      <c r="G95" s="475" t="s">
        <v>242</v>
      </c>
      <c r="H95" s="475" t="s">
        <v>242</v>
      </c>
      <c r="I95" s="475" t="s">
        <v>242</v>
      </c>
      <c r="J95" s="475" t="s">
        <v>242</v>
      </c>
    </row>
    <row r="96" spans="2:14">
      <c r="B96" s="475" t="s">
        <v>242</v>
      </c>
      <c r="C96" s="475" t="s">
        <v>242</v>
      </c>
      <c r="D96" s="475" t="s">
        <v>242</v>
      </c>
      <c r="E96" s="475" t="s">
        <v>242</v>
      </c>
      <c r="F96" s="475" t="s">
        <v>242</v>
      </c>
      <c r="G96" s="475" t="s">
        <v>242</v>
      </c>
      <c r="H96" s="475" t="s">
        <v>242</v>
      </c>
      <c r="I96" s="475" t="s">
        <v>242</v>
      </c>
      <c r="J96" s="475" t="s">
        <v>242</v>
      </c>
    </row>
    <row r="97" spans="2:10">
      <c r="B97" s="475" t="s">
        <v>242</v>
      </c>
      <c r="C97" s="475" t="s">
        <v>242</v>
      </c>
      <c r="D97" s="475" t="s">
        <v>242</v>
      </c>
      <c r="E97" s="475" t="s">
        <v>242</v>
      </c>
      <c r="F97" s="475" t="s">
        <v>242</v>
      </c>
      <c r="G97" s="475" t="s">
        <v>242</v>
      </c>
      <c r="H97" s="475" t="s">
        <v>242</v>
      </c>
      <c r="I97" s="475" t="s">
        <v>242</v>
      </c>
      <c r="J97" s="475" t="s">
        <v>242</v>
      </c>
    </row>
    <row r="98" spans="2:10">
      <c r="B98" s="475" t="s">
        <v>242</v>
      </c>
      <c r="C98" s="475" t="s">
        <v>242</v>
      </c>
      <c r="D98" s="475" t="s">
        <v>242</v>
      </c>
      <c r="E98" s="475" t="s">
        <v>242</v>
      </c>
      <c r="F98" s="475" t="s">
        <v>242</v>
      </c>
      <c r="G98" s="475" t="s">
        <v>242</v>
      </c>
      <c r="H98" s="475" t="s">
        <v>242</v>
      </c>
      <c r="I98" s="475" t="s">
        <v>242</v>
      </c>
      <c r="J98" s="475" t="s">
        <v>242</v>
      </c>
    </row>
    <row r="99" spans="2:10">
      <c r="B99" s="475" t="s">
        <v>242</v>
      </c>
      <c r="C99" s="475" t="s">
        <v>242</v>
      </c>
      <c r="D99" s="475" t="s">
        <v>242</v>
      </c>
      <c r="E99" s="475" t="s">
        <v>242</v>
      </c>
      <c r="F99" s="475" t="s">
        <v>242</v>
      </c>
      <c r="G99" s="475" t="s">
        <v>242</v>
      </c>
      <c r="H99" s="475" t="s">
        <v>242</v>
      </c>
      <c r="I99" s="475" t="s">
        <v>242</v>
      </c>
      <c r="J99" s="475" t="s">
        <v>242</v>
      </c>
    </row>
    <row r="100" spans="2:10">
      <c r="B100" s="475" t="s">
        <v>242</v>
      </c>
      <c r="C100" s="475" t="s">
        <v>242</v>
      </c>
      <c r="D100" s="475" t="s">
        <v>242</v>
      </c>
      <c r="E100" s="475" t="s">
        <v>242</v>
      </c>
      <c r="F100" s="475" t="s">
        <v>242</v>
      </c>
      <c r="G100" s="475" t="s">
        <v>242</v>
      </c>
      <c r="H100" s="475" t="s">
        <v>242</v>
      </c>
      <c r="I100" s="475" t="s">
        <v>242</v>
      </c>
      <c r="J100" s="475" t="s">
        <v>242</v>
      </c>
    </row>
    <row r="101" spans="2:10">
      <c r="B101" s="475" t="s">
        <v>242</v>
      </c>
      <c r="C101" s="475" t="s">
        <v>242</v>
      </c>
      <c r="D101" s="475" t="s">
        <v>242</v>
      </c>
      <c r="E101" s="475" t="s">
        <v>242</v>
      </c>
      <c r="F101" s="475" t="s">
        <v>242</v>
      </c>
      <c r="G101" s="475" t="s">
        <v>242</v>
      </c>
      <c r="H101" s="475" t="s">
        <v>242</v>
      </c>
      <c r="I101" s="475" t="s">
        <v>242</v>
      </c>
      <c r="J101" s="475" t="s">
        <v>242</v>
      </c>
    </row>
    <row r="102" spans="2:10">
      <c r="B102" s="475" t="s">
        <v>242</v>
      </c>
      <c r="C102" s="475" t="s">
        <v>242</v>
      </c>
      <c r="D102" s="475" t="s">
        <v>242</v>
      </c>
      <c r="E102" s="475" t="s">
        <v>242</v>
      </c>
      <c r="F102" s="475" t="s">
        <v>242</v>
      </c>
      <c r="G102" s="475" t="s">
        <v>242</v>
      </c>
      <c r="H102" s="475" t="s">
        <v>242</v>
      </c>
      <c r="I102" s="475" t="s">
        <v>242</v>
      </c>
      <c r="J102" s="475" t="s">
        <v>242</v>
      </c>
    </row>
    <row r="103" spans="2:10">
      <c r="B103" s="475" t="s">
        <v>242</v>
      </c>
      <c r="C103" s="475" t="s">
        <v>242</v>
      </c>
      <c r="D103" s="475" t="s">
        <v>242</v>
      </c>
      <c r="E103" s="475" t="s">
        <v>242</v>
      </c>
      <c r="F103" s="475" t="s">
        <v>242</v>
      </c>
      <c r="G103" s="475" t="s">
        <v>242</v>
      </c>
      <c r="H103" s="475" t="s">
        <v>242</v>
      </c>
      <c r="I103" s="475" t="s">
        <v>242</v>
      </c>
      <c r="J103" s="475" t="s">
        <v>242</v>
      </c>
    </row>
    <row r="104" spans="2:10">
      <c r="B104" s="475" t="s">
        <v>242</v>
      </c>
      <c r="C104" s="475" t="s">
        <v>242</v>
      </c>
      <c r="D104" s="475" t="s">
        <v>242</v>
      </c>
      <c r="E104" s="475" t="s">
        <v>242</v>
      </c>
      <c r="F104" s="475" t="s">
        <v>242</v>
      </c>
      <c r="G104" s="475" t="s">
        <v>242</v>
      </c>
      <c r="H104" s="475" t="s">
        <v>242</v>
      </c>
      <c r="I104" s="475" t="s">
        <v>242</v>
      </c>
      <c r="J104" s="475" t="s">
        <v>242</v>
      </c>
    </row>
    <row r="105" spans="2:10">
      <c r="B105" s="475" t="s">
        <v>242</v>
      </c>
      <c r="C105" s="475" t="s">
        <v>242</v>
      </c>
      <c r="D105" s="475" t="s">
        <v>242</v>
      </c>
      <c r="E105" s="475" t="s">
        <v>242</v>
      </c>
      <c r="F105" s="475" t="s">
        <v>242</v>
      </c>
      <c r="G105" s="475" t="s">
        <v>242</v>
      </c>
      <c r="H105" s="475" t="s">
        <v>242</v>
      </c>
      <c r="I105" s="475" t="s">
        <v>242</v>
      </c>
      <c r="J105" s="475" t="s">
        <v>242</v>
      </c>
    </row>
    <row r="106" spans="2:10">
      <c r="B106" s="475" t="s">
        <v>242</v>
      </c>
      <c r="C106" s="475" t="s">
        <v>242</v>
      </c>
      <c r="D106" s="475" t="s">
        <v>242</v>
      </c>
      <c r="E106" s="475" t="s">
        <v>242</v>
      </c>
      <c r="F106" s="475" t="s">
        <v>242</v>
      </c>
      <c r="G106" s="475" t="s">
        <v>242</v>
      </c>
      <c r="H106" s="475" t="s">
        <v>242</v>
      </c>
      <c r="I106" s="475" t="s">
        <v>242</v>
      </c>
      <c r="J106" s="475" t="s">
        <v>242</v>
      </c>
    </row>
    <row r="107" spans="2:10">
      <c r="B107" s="475" t="s">
        <v>242</v>
      </c>
      <c r="C107" s="475" t="s">
        <v>242</v>
      </c>
      <c r="D107" s="475" t="s">
        <v>242</v>
      </c>
      <c r="E107" s="475" t="s">
        <v>242</v>
      </c>
      <c r="F107" s="475" t="s">
        <v>242</v>
      </c>
      <c r="G107" s="475" t="s">
        <v>242</v>
      </c>
      <c r="H107" s="475" t="s">
        <v>242</v>
      </c>
      <c r="I107" s="475" t="s">
        <v>242</v>
      </c>
      <c r="J107" s="475" t="s">
        <v>242</v>
      </c>
    </row>
  </sheetData>
  <mergeCells count="340">
    <mergeCell ref="F88:H88"/>
    <mergeCell ref="F89:H89"/>
    <mergeCell ref="F90:H90"/>
    <mergeCell ref="F91:H91"/>
    <mergeCell ref="F92:H92"/>
    <mergeCell ref="B80:C80"/>
    <mergeCell ref="B79:C79"/>
    <mergeCell ref="B81:C81"/>
    <mergeCell ref="B82:C82"/>
    <mergeCell ref="B83:C83"/>
    <mergeCell ref="B84:C84"/>
    <mergeCell ref="B85:C85"/>
    <mergeCell ref="B86:C86"/>
    <mergeCell ref="B87:C87"/>
    <mergeCell ref="B88:C88"/>
    <mergeCell ref="B89:C89"/>
    <mergeCell ref="B90:C90"/>
    <mergeCell ref="B91:C91"/>
    <mergeCell ref="B92:C92"/>
    <mergeCell ref="F80:H80"/>
    <mergeCell ref="F81:H81"/>
    <mergeCell ref="F82:H82"/>
    <mergeCell ref="F83:H83"/>
    <mergeCell ref="F84:H84"/>
    <mergeCell ref="F85:H85"/>
    <mergeCell ref="F86:H86"/>
    <mergeCell ref="F87:H87"/>
    <mergeCell ref="F79:H79"/>
    <mergeCell ref="B4:D4"/>
    <mergeCell ref="E4:AB4"/>
    <mergeCell ref="B5:D5"/>
    <mergeCell ref="E5:H5"/>
    <mergeCell ref="I5:K5"/>
    <mergeCell ref="L5:O5"/>
    <mergeCell ref="P5:T5"/>
    <mergeCell ref="U5:X5"/>
    <mergeCell ref="Y5:AB5"/>
    <mergeCell ref="Y6:AB6"/>
    <mergeCell ref="B7:D8"/>
    <mergeCell ref="E7:H7"/>
    <mergeCell ref="I7:K7"/>
    <mergeCell ref="L7:O7"/>
    <mergeCell ref="P7:T7"/>
    <mergeCell ref="U7:X7"/>
    <mergeCell ref="Y7:AB7"/>
    <mergeCell ref="E8:H8"/>
    <mergeCell ref="I8:K8"/>
    <mergeCell ref="B6:D6"/>
    <mergeCell ref="E6:H6"/>
    <mergeCell ref="I6:K6"/>
    <mergeCell ref="L6:O6"/>
    <mergeCell ref="P6:T6"/>
    <mergeCell ref="U6:X6"/>
    <mergeCell ref="P10:T10"/>
    <mergeCell ref="U10:X10"/>
    <mergeCell ref="Y10:AB10"/>
    <mergeCell ref="E11:Q11"/>
    <mergeCell ref="L8:O8"/>
    <mergeCell ref="P8:T8"/>
    <mergeCell ref="U8:X8"/>
    <mergeCell ref="Y8:AB8"/>
    <mergeCell ref="B12:E12"/>
    <mergeCell ref="F12:N12"/>
    <mergeCell ref="O12:Q12"/>
    <mergeCell ref="R12:X12"/>
    <mergeCell ref="Y12:AB12"/>
    <mergeCell ref="B9:D10"/>
    <mergeCell ref="E9:K9"/>
    <mergeCell ref="L9:O9"/>
    <mergeCell ref="P9:T9"/>
    <mergeCell ref="U9:X9"/>
    <mergeCell ref="Y9:AB9"/>
    <mergeCell ref="E10:K10"/>
    <mergeCell ref="L10:O10"/>
    <mergeCell ref="B13:C14"/>
    <mergeCell ref="D13:E13"/>
    <mergeCell ref="F13:N14"/>
    <mergeCell ref="O13:Q14"/>
    <mergeCell ref="R13:X13"/>
    <mergeCell ref="Y13:AB13"/>
    <mergeCell ref="D14:E14"/>
    <mergeCell ref="R14:X14"/>
    <mergeCell ref="Y14:AB14"/>
    <mergeCell ref="B15:C16"/>
    <mergeCell ref="D15:E15"/>
    <mergeCell ref="F15:N16"/>
    <mergeCell ref="O15:Q16"/>
    <mergeCell ref="R15:X15"/>
    <mergeCell ref="Y15:AB15"/>
    <mergeCell ref="D16:E16"/>
    <mergeCell ref="R16:X16"/>
    <mergeCell ref="Y16:AB16"/>
    <mergeCell ref="B17:C18"/>
    <mergeCell ref="D17:E17"/>
    <mergeCell ref="F17:N18"/>
    <mergeCell ref="O17:Q18"/>
    <mergeCell ref="R17:X17"/>
    <mergeCell ref="Y17:AB17"/>
    <mergeCell ref="D18:E18"/>
    <mergeCell ref="R18:X18"/>
    <mergeCell ref="Y18:AB18"/>
    <mergeCell ref="B19:C20"/>
    <mergeCell ref="D19:E19"/>
    <mergeCell ref="F19:N20"/>
    <mergeCell ref="O19:Q20"/>
    <mergeCell ref="R19:X19"/>
    <mergeCell ref="Y19:AB19"/>
    <mergeCell ref="D20:E20"/>
    <mergeCell ref="R20:X20"/>
    <mergeCell ref="Y20:AB20"/>
    <mergeCell ref="B21:C22"/>
    <mergeCell ref="D21:E21"/>
    <mergeCell ref="F21:N22"/>
    <mergeCell ref="O21:Q22"/>
    <mergeCell ref="R21:X21"/>
    <mergeCell ref="Y21:AB21"/>
    <mergeCell ref="D22:E22"/>
    <mergeCell ref="R22:X22"/>
    <mergeCell ref="Y22:AB22"/>
    <mergeCell ref="B23:C24"/>
    <mergeCell ref="D23:E23"/>
    <mergeCell ref="F23:N24"/>
    <mergeCell ref="O23:Q24"/>
    <mergeCell ref="R23:X23"/>
    <mergeCell ref="Y23:AB23"/>
    <mergeCell ref="D24:E24"/>
    <mergeCell ref="R24:X24"/>
    <mergeCell ref="Y24:AB24"/>
    <mergeCell ref="B25:C26"/>
    <mergeCell ref="D25:E25"/>
    <mergeCell ref="F25:N26"/>
    <mergeCell ref="O25:Q26"/>
    <mergeCell ref="R25:X25"/>
    <mergeCell ref="Y25:AB25"/>
    <mergeCell ref="D26:E26"/>
    <mergeCell ref="R26:X26"/>
    <mergeCell ref="Y26:AB26"/>
    <mergeCell ref="B27:C28"/>
    <mergeCell ref="D27:E27"/>
    <mergeCell ref="F27:N28"/>
    <mergeCell ref="O27:Q28"/>
    <mergeCell ref="R27:X27"/>
    <mergeCell ref="Y27:AB27"/>
    <mergeCell ref="D28:E28"/>
    <mergeCell ref="R28:X28"/>
    <mergeCell ref="Y28:AB28"/>
    <mergeCell ref="B29:C30"/>
    <mergeCell ref="D29:E29"/>
    <mergeCell ref="F29:N30"/>
    <mergeCell ref="O29:Q30"/>
    <mergeCell ref="R29:X29"/>
    <mergeCell ref="Y29:AB29"/>
    <mergeCell ref="D30:E30"/>
    <mergeCell ref="R30:X30"/>
    <mergeCell ref="Y30:AB30"/>
    <mergeCell ref="B31:C32"/>
    <mergeCell ref="D31:E31"/>
    <mergeCell ref="F31:N32"/>
    <mergeCell ref="O31:Q32"/>
    <mergeCell ref="R31:X31"/>
    <mergeCell ref="Y31:AB31"/>
    <mergeCell ref="D32:E32"/>
    <mergeCell ref="R32:X32"/>
    <mergeCell ref="Y32:AB32"/>
    <mergeCell ref="F35:G35"/>
    <mergeCell ref="E37:P37"/>
    <mergeCell ref="B40:E40"/>
    <mergeCell ref="F40:J40"/>
    <mergeCell ref="K40:O40"/>
    <mergeCell ref="P40:S40"/>
    <mergeCell ref="B33:J33"/>
    <mergeCell ref="K33:T33"/>
    <mergeCell ref="U33:AB33"/>
    <mergeCell ref="C34:E35"/>
    <mergeCell ref="F34:G34"/>
    <mergeCell ref="H34:J35"/>
    <mergeCell ref="L34:O35"/>
    <mergeCell ref="Q34:T35"/>
    <mergeCell ref="V34:X35"/>
    <mergeCell ref="Z34:AB35"/>
    <mergeCell ref="B42:C42"/>
    <mergeCell ref="F42:H42"/>
    <mergeCell ref="M42:N42"/>
    <mergeCell ref="V42:W42"/>
    <mergeCell ref="B43:C43"/>
    <mergeCell ref="F43:H43"/>
    <mergeCell ref="M43:N43"/>
    <mergeCell ref="V43:W43"/>
    <mergeCell ref="T40:W40"/>
    <mergeCell ref="B41:C41"/>
    <mergeCell ref="F41:H41"/>
    <mergeCell ref="K41:L41"/>
    <mergeCell ref="M41:O41"/>
    <mergeCell ref="P41:Q41"/>
    <mergeCell ref="R41:S41"/>
    <mergeCell ref="T41:U41"/>
    <mergeCell ref="V41:W41"/>
    <mergeCell ref="B46:C46"/>
    <mergeCell ref="F46:H46"/>
    <mergeCell ref="M46:N46"/>
    <mergeCell ref="V46:W46"/>
    <mergeCell ref="B47:C47"/>
    <mergeCell ref="F47:H47"/>
    <mergeCell ref="M47:N47"/>
    <mergeCell ref="V47:W47"/>
    <mergeCell ref="B44:C44"/>
    <mergeCell ref="F44:H44"/>
    <mergeCell ref="M44:N44"/>
    <mergeCell ref="V44:W44"/>
    <mergeCell ref="B45:C45"/>
    <mergeCell ref="F45:H45"/>
    <mergeCell ref="M45:N45"/>
    <mergeCell ref="V45:W45"/>
    <mergeCell ref="AB47:AD47"/>
    <mergeCell ref="AE47:AG47"/>
    <mergeCell ref="B48:C48"/>
    <mergeCell ref="F48:H48"/>
    <mergeCell ref="M48:N48"/>
    <mergeCell ref="V48:W48"/>
    <mergeCell ref="Y48:AA50"/>
    <mergeCell ref="AB48:AD50"/>
    <mergeCell ref="AE48:AG50"/>
    <mergeCell ref="B49:C49"/>
    <mergeCell ref="F49:H49"/>
    <mergeCell ref="M49:N49"/>
    <mergeCell ref="V49:W49"/>
    <mergeCell ref="B50:C50"/>
    <mergeCell ref="F50:H50"/>
    <mergeCell ref="M50:N50"/>
    <mergeCell ref="V50:W50"/>
    <mergeCell ref="Y47:AA47"/>
    <mergeCell ref="AE51:AG53"/>
    <mergeCell ref="B52:C52"/>
    <mergeCell ref="F52:H52"/>
    <mergeCell ref="M52:N52"/>
    <mergeCell ref="V52:W52"/>
    <mergeCell ref="B53:C53"/>
    <mergeCell ref="F53:H53"/>
    <mergeCell ref="M53:N53"/>
    <mergeCell ref="V53:W53"/>
    <mergeCell ref="B51:C51"/>
    <mergeCell ref="F51:H51"/>
    <mergeCell ref="M51:N51"/>
    <mergeCell ref="V51:W51"/>
    <mergeCell ref="Y51:AA53"/>
    <mergeCell ref="AB51:AD53"/>
    <mergeCell ref="AE54:AG56"/>
    <mergeCell ref="B55:C55"/>
    <mergeCell ref="F55:H55"/>
    <mergeCell ref="M55:N55"/>
    <mergeCell ref="V55:W55"/>
    <mergeCell ref="B56:C56"/>
    <mergeCell ref="F56:H56"/>
    <mergeCell ref="M56:N56"/>
    <mergeCell ref="V56:W56"/>
    <mergeCell ref="B54:C54"/>
    <mergeCell ref="F54:H54"/>
    <mergeCell ref="M54:N54"/>
    <mergeCell ref="V54:W54"/>
    <mergeCell ref="Y54:AA56"/>
    <mergeCell ref="AB54:AD56"/>
    <mergeCell ref="X58:AA58"/>
    <mergeCell ref="C59:E59"/>
    <mergeCell ref="F59:H59"/>
    <mergeCell ref="I59:J59"/>
    <mergeCell ref="K59:L59"/>
    <mergeCell ref="M59:O59"/>
    <mergeCell ref="P59:R59"/>
    <mergeCell ref="S59:U59"/>
    <mergeCell ref="V59:W59"/>
    <mergeCell ref="X59:Y59"/>
    <mergeCell ref="C58:E58"/>
    <mergeCell ref="F58:J58"/>
    <mergeCell ref="K58:O58"/>
    <mergeCell ref="P58:R58"/>
    <mergeCell ref="S58:W58"/>
    <mergeCell ref="Z59:AA59"/>
    <mergeCell ref="M61:O61"/>
    <mergeCell ref="P61:R61"/>
    <mergeCell ref="S61:U61"/>
    <mergeCell ref="V61:W61"/>
    <mergeCell ref="X61:Y61"/>
    <mergeCell ref="Z61:AA61"/>
    <mergeCell ref="C60:E60"/>
    <mergeCell ref="F60:H60"/>
    <mergeCell ref="I60:J60"/>
    <mergeCell ref="K60:L60"/>
    <mergeCell ref="M60:O60"/>
    <mergeCell ref="P60:R60"/>
    <mergeCell ref="S60:U60"/>
    <mergeCell ref="V60:W60"/>
    <mergeCell ref="X60:Y60"/>
    <mergeCell ref="I65:J65"/>
    <mergeCell ref="K65:L65"/>
    <mergeCell ref="M65:O65"/>
    <mergeCell ref="Z62:AA62"/>
    <mergeCell ref="B64:H64"/>
    <mergeCell ref="I64:Q64"/>
    <mergeCell ref="R64:W64"/>
    <mergeCell ref="X64:Y64"/>
    <mergeCell ref="Z64:AC64"/>
    <mergeCell ref="B58:B62"/>
    <mergeCell ref="C62:E62"/>
    <mergeCell ref="F62:H62"/>
    <mergeCell ref="I62:J62"/>
    <mergeCell ref="K62:L62"/>
    <mergeCell ref="M62:O62"/>
    <mergeCell ref="P62:R62"/>
    <mergeCell ref="S62:U62"/>
    <mergeCell ref="V62:W62"/>
    <mergeCell ref="X62:Y62"/>
    <mergeCell ref="Z60:AA60"/>
    <mergeCell ref="C61:E61"/>
    <mergeCell ref="F61:H61"/>
    <mergeCell ref="I61:J61"/>
    <mergeCell ref="K61:L61"/>
    <mergeCell ref="V66:W69"/>
    <mergeCell ref="X66:Y69"/>
    <mergeCell ref="Z66:AA69"/>
    <mergeCell ref="AB66:AC69"/>
    <mergeCell ref="B71:AE71"/>
    <mergeCell ref="AB65:AC65"/>
    <mergeCell ref="B66:C69"/>
    <mergeCell ref="D66:E69"/>
    <mergeCell ref="F66:H69"/>
    <mergeCell ref="I66:J69"/>
    <mergeCell ref="K66:L69"/>
    <mergeCell ref="M66:O69"/>
    <mergeCell ref="P66:Q69"/>
    <mergeCell ref="R66:S69"/>
    <mergeCell ref="T66:U69"/>
    <mergeCell ref="P65:Q65"/>
    <mergeCell ref="R65:S65"/>
    <mergeCell ref="T65:U65"/>
    <mergeCell ref="V65:W65"/>
    <mergeCell ref="X65:Y65"/>
    <mergeCell ref="Z65:AA65"/>
    <mergeCell ref="B65:C65"/>
    <mergeCell ref="D65:E65"/>
    <mergeCell ref="F65:H65"/>
  </mergeCells>
  <phoneticPr fontId="1" type="noConversion"/>
  <printOptions horizontalCentered="1"/>
  <pageMargins left="3.937007874015748E-2" right="3.937007874015748E-2" top="0.18" bottom="0.15748031496062992" header="0.17" footer="0"/>
  <pageSetup paperSize="8" scale="68"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3"/>
  <dimension ref="A1:Q100"/>
  <sheetViews>
    <sheetView showGridLines="0" topLeftCell="A49" zoomScaleNormal="100" workbookViewId="0">
      <selection activeCell="K24" sqref="K24"/>
    </sheetView>
  </sheetViews>
  <sheetFormatPr defaultColWidth="8.875" defaultRowHeight="16.5"/>
  <cols>
    <col min="1" max="1" width="5.75" style="234" customWidth="1"/>
    <col min="2" max="3" width="2.75" style="237" customWidth="1"/>
    <col min="4" max="4" width="38.75" style="237" customWidth="1"/>
    <col min="5" max="5" width="5.75" style="234" customWidth="1"/>
    <col min="6" max="7" width="2.75" style="234" customWidth="1"/>
    <col min="8" max="8" width="38.75" style="234" customWidth="1"/>
    <col min="9" max="9" width="1.75" style="234" customWidth="1"/>
    <col min="10" max="10" width="5.75" style="234" customWidth="1"/>
    <col min="11" max="12" width="2.75" style="234" customWidth="1"/>
    <col min="13" max="13" width="38.75" style="234" customWidth="1"/>
    <col min="14" max="14" width="5.75" style="234" customWidth="1"/>
    <col min="15" max="16" width="2.75" style="234" customWidth="1"/>
    <col min="17" max="17" width="38.75" style="234" customWidth="1"/>
    <col min="18" max="16384" width="8.875" style="234"/>
  </cols>
  <sheetData>
    <row r="1" spans="1:17" ht="25.5">
      <c r="A1" s="873" t="s">
        <v>2957</v>
      </c>
      <c r="B1" s="873"/>
      <c r="C1" s="873"/>
      <c r="D1" s="873"/>
      <c r="E1" s="873"/>
      <c r="F1" s="873"/>
      <c r="G1" s="873"/>
      <c r="H1" s="873"/>
      <c r="I1" s="873"/>
      <c r="J1" s="873"/>
      <c r="K1" s="873"/>
      <c r="L1" s="873"/>
      <c r="M1" s="873"/>
      <c r="N1" s="873"/>
      <c r="O1" s="873"/>
      <c r="P1" s="873"/>
      <c r="Q1" s="873"/>
    </row>
    <row r="2" spans="1:17">
      <c r="A2" s="874" t="s">
        <v>244</v>
      </c>
      <c r="B2" s="874"/>
      <c r="C2" s="236"/>
      <c r="D2" s="236" t="s">
        <v>2958</v>
      </c>
      <c r="E2" s="236"/>
      <c r="F2" s="484"/>
      <c r="G2" s="236"/>
      <c r="H2" s="486"/>
      <c r="I2" s="484"/>
      <c r="J2" s="874"/>
      <c r="K2" s="874"/>
      <c r="L2" s="236"/>
      <c r="M2" s="236"/>
      <c r="N2" s="236" t="s">
        <v>245</v>
      </c>
      <c r="O2" s="484"/>
      <c r="P2" s="236"/>
      <c r="Q2" s="235" t="s">
        <v>2959</v>
      </c>
    </row>
    <row r="3" spans="1:17">
      <c r="A3" s="487" t="s">
        <v>246</v>
      </c>
      <c r="B3" s="488" t="s">
        <v>247</v>
      </c>
      <c r="C3" s="489" t="s">
        <v>248</v>
      </c>
      <c r="D3" s="488" t="s">
        <v>2960</v>
      </c>
      <c r="E3" s="487" t="s">
        <v>246</v>
      </c>
      <c r="F3" s="488" t="s">
        <v>247</v>
      </c>
      <c r="G3" s="489" t="s">
        <v>248</v>
      </c>
      <c r="H3" s="487" t="s">
        <v>2960</v>
      </c>
      <c r="I3" s="484"/>
      <c r="J3" s="490" t="s">
        <v>246</v>
      </c>
      <c r="K3" s="491" t="s">
        <v>247</v>
      </c>
      <c r="L3" s="492" t="s">
        <v>248</v>
      </c>
      <c r="M3" s="488" t="s">
        <v>2960</v>
      </c>
      <c r="N3" s="490" t="s">
        <v>246</v>
      </c>
      <c r="O3" s="491" t="s">
        <v>247</v>
      </c>
      <c r="P3" s="493" t="s">
        <v>248</v>
      </c>
      <c r="Q3" s="487" t="s">
        <v>2960</v>
      </c>
    </row>
    <row r="4" spans="1:17">
      <c r="A4" s="487">
        <v>351</v>
      </c>
      <c r="B4" s="488"/>
      <c r="C4" s="489">
        <v>1</v>
      </c>
      <c r="D4" s="494" t="s">
        <v>2961</v>
      </c>
      <c r="E4" s="487">
        <v>353</v>
      </c>
      <c r="F4" s="488" t="s">
        <v>2962</v>
      </c>
      <c r="G4" s="495">
        <v>1</v>
      </c>
      <c r="H4" s="490" t="s">
        <v>2963</v>
      </c>
      <c r="I4" s="484"/>
      <c r="J4" s="487">
        <v>353</v>
      </c>
      <c r="K4" s="488" t="s">
        <v>2964</v>
      </c>
      <c r="L4" s="495">
        <v>1</v>
      </c>
      <c r="M4" s="490" t="s">
        <v>2965</v>
      </c>
      <c r="N4" s="487">
        <v>353</v>
      </c>
      <c r="O4" s="488" t="s">
        <v>2966</v>
      </c>
      <c r="P4" s="489">
        <v>1</v>
      </c>
      <c r="Q4" s="490" t="s">
        <v>2967</v>
      </c>
    </row>
    <row r="5" spans="1:17">
      <c r="A5" s="490"/>
      <c r="B5" s="488"/>
      <c r="C5" s="489">
        <v>2</v>
      </c>
      <c r="D5" s="494" t="s">
        <v>2968</v>
      </c>
      <c r="E5" s="487">
        <v>353</v>
      </c>
      <c r="F5" s="488"/>
      <c r="G5" s="495">
        <v>2</v>
      </c>
      <c r="H5" s="490" t="s">
        <v>2969</v>
      </c>
      <c r="I5" s="484"/>
      <c r="J5" s="487">
        <v>351</v>
      </c>
      <c r="K5" s="488"/>
      <c r="L5" s="495">
        <v>2</v>
      </c>
      <c r="M5" s="490" t="s">
        <v>2970</v>
      </c>
      <c r="N5" s="487">
        <v>353</v>
      </c>
      <c r="O5" s="488"/>
      <c r="P5" s="489">
        <v>2</v>
      </c>
      <c r="Q5" s="490" t="s">
        <v>2971</v>
      </c>
    </row>
    <row r="6" spans="1:17">
      <c r="A6" s="487"/>
      <c r="B6" s="488"/>
      <c r="C6" s="489"/>
      <c r="D6" s="490"/>
      <c r="E6" s="487">
        <v>351</v>
      </c>
      <c r="F6" s="488"/>
      <c r="G6" s="495">
        <v>3</v>
      </c>
      <c r="H6" s="490" t="s">
        <v>2972</v>
      </c>
      <c r="I6" s="484"/>
      <c r="J6" s="487">
        <v>351</v>
      </c>
      <c r="K6" s="488"/>
      <c r="L6" s="495">
        <v>3</v>
      </c>
      <c r="M6" s="490" t="s">
        <v>2973</v>
      </c>
      <c r="N6" s="487">
        <v>351</v>
      </c>
      <c r="O6" s="488"/>
      <c r="P6" s="489">
        <v>3</v>
      </c>
      <c r="Q6" s="490" t="s">
        <v>2974</v>
      </c>
    </row>
    <row r="7" spans="1:17">
      <c r="A7" s="487">
        <v>353</v>
      </c>
      <c r="B7" s="488" t="s">
        <v>2975</v>
      </c>
      <c r="C7" s="489">
        <v>1</v>
      </c>
      <c r="D7" s="490" t="s">
        <v>2976</v>
      </c>
      <c r="E7" s="487">
        <v>351</v>
      </c>
      <c r="F7" s="488"/>
      <c r="G7" s="489">
        <v>4</v>
      </c>
      <c r="H7" s="490" t="s">
        <v>2977</v>
      </c>
      <c r="I7" s="484"/>
      <c r="J7" s="487" t="s">
        <v>2978</v>
      </c>
      <c r="K7" s="488"/>
      <c r="L7" s="489">
        <v>4</v>
      </c>
      <c r="M7" s="490" t="s">
        <v>2979</v>
      </c>
      <c r="N7" s="487">
        <v>351</v>
      </c>
      <c r="O7" s="488"/>
      <c r="P7" s="489">
        <v>4</v>
      </c>
      <c r="Q7" s="490" t="s">
        <v>2980</v>
      </c>
    </row>
    <row r="8" spans="1:17">
      <c r="A8" s="487">
        <v>353</v>
      </c>
      <c r="B8" s="488"/>
      <c r="C8" s="489">
        <v>2</v>
      </c>
      <c r="D8" s="490" t="s">
        <v>2981</v>
      </c>
      <c r="E8" s="487" t="s">
        <v>2978</v>
      </c>
      <c r="F8" s="488"/>
      <c r="G8" s="489">
        <v>5</v>
      </c>
      <c r="H8" s="490" t="s">
        <v>2982</v>
      </c>
      <c r="I8" s="484"/>
      <c r="J8" s="487">
        <v>351</v>
      </c>
      <c r="K8" s="488"/>
      <c r="L8" s="495">
        <v>5</v>
      </c>
      <c r="M8" s="490" t="s">
        <v>2983</v>
      </c>
      <c r="N8" s="487" t="s">
        <v>2978</v>
      </c>
      <c r="O8" s="488"/>
      <c r="P8" s="489">
        <v>5</v>
      </c>
      <c r="Q8" s="490" t="s">
        <v>2984</v>
      </c>
    </row>
    <row r="9" spans="1:17">
      <c r="A9" s="487">
        <v>351</v>
      </c>
      <c r="B9" s="488"/>
      <c r="C9" s="489">
        <v>3</v>
      </c>
      <c r="D9" s="490" t="s">
        <v>2985</v>
      </c>
      <c r="E9" s="487">
        <v>351</v>
      </c>
      <c r="F9" s="488"/>
      <c r="G9" s="489">
        <v>6</v>
      </c>
      <c r="H9" s="490" t="s">
        <v>2986</v>
      </c>
      <c r="I9" s="484"/>
      <c r="J9" s="487">
        <v>351</v>
      </c>
      <c r="K9" s="488"/>
      <c r="L9" s="489">
        <v>6</v>
      </c>
      <c r="M9" s="490" t="s">
        <v>2987</v>
      </c>
      <c r="N9" s="487">
        <v>351</v>
      </c>
      <c r="O9" s="488"/>
      <c r="P9" s="489">
        <v>6</v>
      </c>
      <c r="Q9" s="490" t="s">
        <v>2988</v>
      </c>
    </row>
    <row r="10" spans="1:17">
      <c r="A10" s="487">
        <v>351</v>
      </c>
      <c r="B10" s="488"/>
      <c r="C10" s="489">
        <v>4</v>
      </c>
      <c r="D10" s="490" t="s">
        <v>2989</v>
      </c>
      <c r="E10" s="487">
        <v>351</v>
      </c>
      <c r="F10" s="491"/>
      <c r="G10" s="489">
        <v>7</v>
      </c>
      <c r="H10" s="490" t="s">
        <v>2990</v>
      </c>
      <c r="I10" s="484"/>
      <c r="J10" s="487">
        <v>353</v>
      </c>
      <c r="K10" s="488" t="s">
        <v>2991</v>
      </c>
      <c r="L10" s="489">
        <v>7</v>
      </c>
      <c r="M10" s="490" t="s">
        <v>2992</v>
      </c>
      <c r="N10" s="487">
        <v>351</v>
      </c>
      <c r="O10" s="488"/>
      <c r="P10" s="489">
        <v>7</v>
      </c>
      <c r="Q10" s="490" t="s">
        <v>2993</v>
      </c>
    </row>
    <row r="11" spans="1:17">
      <c r="A11" s="487" t="s">
        <v>2978</v>
      </c>
      <c r="B11" s="488"/>
      <c r="C11" s="489">
        <v>5</v>
      </c>
      <c r="D11" s="490" t="s">
        <v>2994</v>
      </c>
      <c r="E11" s="487" t="s">
        <v>2978</v>
      </c>
      <c r="F11" s="488"/>
      <c r="G11" s="489">
        <v>8</v>
      </c>
      <c r="H11" s="490" t="s">
        <v>2995</v>
      </c>
      <c r="I11" s="484"/>
      <c r="J11" s="487">
        <v>351</v>
      </c>
      <c r="K11" s="488"/>
      <c r="L11" s="489">
        <v>8</v>
      </c>
      <c r="M11" s="490" t="s">
        <v>2996</v>
      </c>
      <c r="N11" s="487">
        <v>353</v>
      </c>
      <c r="O11" s="488" t="s">
        <v>2991</v>
      </c>
      <c r="P11" s="489">
        <v>8</v>
      </c>
      <c r="Q11" s="490" t="s">
        <v>2997</v>
      </c>
    </row>
    <row r="12" spans="1:17">
      <c r="A12" s="487">
        <v>351</v>
      </c>
      <c r="B12" s="488"/>
      <c r="C12" s="489">
        <v>6</v>
      </c>
      <c r="D12" s="490" t="s">
        <v>2998</v>
      </c>
      <c r="E12" s="487">
        <v>351</v>
      </c>
      <c r="F12" s="488"/>
      <c r="G12" s="489">
        <v>9</v>
      </c>
      <c r="H12" s="490" t="s">
        <v>2999</v>
      </c>
      <c r="I12" s="484"/>
      <c r="J12" s="487">
        <v>353</v>
      </c>
      <c r="K12" s="488" t="s">
        <v>2991</v>
      </c>
      <c r="L12" s="489">
        <v>9</v>
      </c>
      <c r="M12" s="490" t="s">
        <v>3000</v>
      </c>
      <c r="N12" s="487">
        <v>351</v>
      </c>
      <c r="O12" s="488"/>
      <c r="P12" s="489">
        <v>9</v>
      </c>
      <c r="Q12" s="490" t="s">
        <v>3001</v>
      </c>
    </row>
    <row r="13" spans="1:17">
      <c r="A13" s="487">
        <v>351</v>
      </c>
      <c r="B13" s="488"/>
      <c r="C13" s="489">
        <v>7</v>
      </c>
      <c r="D13" s="490" t="s">
        <v>3002</v>
      </c>
      <c r="E13" s="487" t="s">
        <v>2978</v>
      </c>
      <c r="F13" s="488"/>
      <c r="G13" s="495">
        <v>10</v>
      </c>
      <c r="H13" s="496" t="s">
        <v>3003</v>
      </c>
      <c r="I13" s="484"/>
      <c r="J13" s="487" t="s">
        <v>2978</v>
      </c>
      <c r="K13" s="488"/>
      <c r="L13" s="495"/>
      <c r="M13" s="490" t="s">
        <v>3004</v>
      </c>
      <c r="N13" s="487">
        <v>353</v>
      </c>
      <c r="O13" s="488" t="s">
        <v>2991</v>
      </c>
      <c r="P13" s="495">
        <v>10</v>
      </c>
      <c r="Q13" s="490" t="s">
        <v>3005</v>
      </c>
    </row>
    <row r="14" spans="1:17">
      <c r="A14" s="487">
        <v>353</v>
      </c>
      <c r="B14" s="488" t="s">
        <v>2991</v>
      </c>
      <c r="C14" s="489">
        <v>8</v>
      </c>
      <c r="D14" s="490" t="s">
        <v>3006</v>
      </c>
      <c r="E14" s="487">
        <v>351</v>
      </c>
      <c r="F14" s="488"/>
      <c r="G14" s="495">
        <v>11</v>
      </c>
      <c r="H14" s="490" t="s">
        <v>3007</v>
      </c>
      <c r="I14" s="484"/>
      <c r="J14" s="487">
        <v>351</v>
      </c>
      <c r="K14" s="488"/>
      <c r="L14" s="495">
        <v>10</v>
      </c>
      <c r="M14" s="490" t="s">
        <v>3008</v>
      </c>
      <c r="N14" s="487" t="s">
        <v>2978</v>
      </c>
      <c r="O14" s="488"/>
      <c r="P14" s="495"/>
      <c r="Q14" s="490" t="s">
        <v>3004</v>
      </c>
    </row>
    <row r="15" spans="1:17">
      <c r="A15" s="487">
        <v>351</v>
      </c>
      <c r="B15" s="488"/>
      <c r="C15" s="489">
        <v>9</v>
      </c>
      <c r="D15" s="490" t="s">
        <v>3009</v>
      </c>
      <c r="E15" s="487">
        <v>351</v>
      </c>
      <c r="F15" s="488"/>
      <c r="G15" s="495">
        <v>12</v>
      </c>
      <c r="H15" s="490" t="s">
        <v>3010</v>
      </c>
      <c r="I15" s="484"/>
      <c r="J15" s="487">
        <v>351</v>
      </c>
      <c r="K15" s="488"/>
      <c r="L15" s="495">
        <v>11</v>
      </c>
      <c r="M15" s="490" t="s">
        <v>3011</v>
      </c>
      <c r="N15" s="487">
        <v>351</v>
      </c>
      <c r="O15" s="488"/>
      <c r="P15" s="495">
        <v>11</v>
      </c>
      <c r="Q15" s="490" t="s">
        <v>3012</v>
      </c>
    </row>
    <row r="16" spans="1:17">
      <c r="A16" s="487" t="s">
        <v>2978</v>
      </c>
      <c r="B16" s="488"/>
      <c r="C16" s="495">
        <v>10</v>
      </c>
      <c r="D16" s="490" t="s">
        <v>3013</v>
      </c>
      <c r="E16" s="487"/>
      <c r="F16" s="488"/>
      <c r="G16" s="495"/>
      <c r="H16" s="497" t="s">
        <v>3014</v>
      </c>
      <c r="I16" s="484"/>
      <c r="J16" s="487"/>
      <c r="K16" s="491"/>
      <c r="L16" s="498"/>
      <c r="M16" s="497" t="s">
        <v>3014</v>
      </c>
      <c r="N16" s="487">
        <v>351</v>
      </c>
      <c r="O16" s="488"/>
      <c r="P16" s="495">
        <v>12</v>
      </c>
      <c r="Q16" s="490" t="s">
        <v>3015</v>
      </c>
    </row>
    <row r="17" spans="1:17">
      <c r="A17" s="487">
        <v>351</v>
      </c>
      <c r="B17" s="488"/>
      <c r="C17" s="495">
        <v>11</v>
      </c>
      <c r="D17" s="490" t="s">
        <v>3016</v>
      </c>
      <c r="E17" s="487"/>
      <c r="F17" s="488"/>
      <c r="G17" s="495"/>
      <c r="H17" s="497"/>
      <c r="I17" s="484"/>
      <c r="J17" s="487"/>
      <c r="K17" s="488"/>
      <c r="L17" s="489"/>
      <c r="M17" s="490"/>
      <c r="N17" s="487"/>
      <c r="O17" s="488"/>
      <c r="P17" s="495"/>
      <c r="Q17" s="497" t="s">
        <v>3014</v>
      </c>
    </row>
    <row r="18" spans="1:17">
      <c r="A18" s="487">
        <v>351</v>
      </c>
      <c r="B18" s="488"/>
      <c r="C18" s="495">
        <v>12</v>
      </c>
      <c r="D18" s="490" t="s">
        <v>3017</v>
      </c>
      <c r="E18" s="487">
        <v>353</v>
      </c>
      <c r="F18" s="488" t="s">
        <v>3018</v>
      </c>
      <c r="G18" s="495">
        <v>1</v>
      </c>
      <c r="H18" s="490" t="s">
        <v>3019</v>
      </c>
      <c r="I18" s="484"/>
      <c r="J18" s="487">
        <v>353</v>
      </c>
      <c r="K18" s="488" t="s">
        <v>3020</v>
      </c>
      <c r="L18" s="495">
        <v>1</v>
      </c>
      <c r="M18" s="490" t="s">
        <v>3021</v>
      </c>
      <c r="N18" s="487"/>
      <c r="O18" s="488"/>
      <c r="P18" s="489"/>
      <c r="Q18" s="490"/>
    </row>
    <row r="19" spans="1:17">
      <c r="A19" s="487"/>
      <c r="B19" s="488"/>
      <c r="C19" s="495"/>
      <c r="D19" s="497" t="s">
        <v>3014</v>
      </c>
      <c r="E19" s="487">
        <v>351</v>
      </c>
      <c r="F19" s="488"/>
      <c r="G19" s="495">
        <v>2</v>
      </c>
      <c r="H19" s="490" t="s">
        <v>3022</v>
      </c>
      <c r="I19" s="484"/>
      <c r="J19" s="487">
        <v>351</v>
      </c>
      <c r="K19" s="488"/>
      <c r="L19" s="495">
        <v>2</v>
      </c>
      <c r="M19" s="490" t="s">
        <v>3023</v>
      </c>
      <c r="N19" s="487"/>
      <c r="O19" s="488"/>
      <c r="P19" s="489"/>
      <c r="Q19" s="490"/>
    </row>
    <row r="20" spans="1:17">
      <c r="A20" s="487"/>
      <c r="B20" s="488"/>
      <c r="C20" s="495"/>
      <c r="D20" s="497"/>
      <c r="E20" s="487">
        <v>351</v>
      </c>
      <c r="F20" s="488"/>
      <c r="G20" s="495">
        <v>3</v>
      </c>
      <c r="H20" s="490" t="s">
        <v>3024</v>
      </c>
      <c r="I20" s="484"/>
      <c r="J20" s="487">
        <v>351</v>
      </c>
      <c r="K20" s="488"/>
      <c r="L20" s="495">
        <v>3</v>
      </c>
      <c r="M20" s="490" t="s">
        <v>3025</v>
      </c>
      <c r="N20" s="487"/>
      <c r="O20" s="488"/>
      <c r="P20" s="489"/>
      <c r="Q20" s="490"/>
    </row>
    <row r="21" spans="1:17">
      <c r="A21" s="487">
        <v>353</v>
      </c>
      <c r="B21" s="488" t="s">
        <v>3026</v>
      </c>
      <c r="C21" s="495">
        <v>1</v>
      </c>
      <c r="D21" s="490" t="s">
        <v>3027</v>
      </c>
      <c r="E21" s="487" t="s">
        <v>2978</v>
      </c>
      <c r="F21" s="488"/>
      <c r="G21" s="489">
        <v>4</v>
      </c>
      <c r="H21" s="490" t="s">
        <v>3028</v>
      </c>
      <c r="I21" s="484"/>
      <c r="J21" s="487" t="s">
        <v>2978</v>
      </c>
      <c r="K21" s="488"/>
      <c r="L21" s="489">
        <v>4</v>
      </c>
      <c r="M21" s="490" t="s">
        <v>3029</v>
      </c>
      <c r="N21" s="487"/>
      <c r="O21" s="488"/>
      <c r="P21" s="489"/>
      <c r="Q21" s="490"/>
    </row>
    <row r="22" spans="1:17">
      <c r="A22" s="487">
        <v>351</v>
      </c>
      <c r="B22" s="488"/>
      <c r="C22" s="495">
        <v>2</v>
      </c>
      <c r="D22" s="490" t="s">
        <v>3030</v>
      </c>
      <c r="E22" s="487">
        <v>351</v>
      </c>
      <c r="F22" s="488"/>
      <c r="G22" s="495">
        <v>5</v>
      </c>
      <c r="H22" s="490" t="s">
        <v>3031</v>
      </c>
      <c r="I22" s="484"/>
      <c r="J22" s="487">
        <v>351</v>
      </c>
      <c r="K22" s="488"/>
      <c r="L22" s="495">
        <v>5</v>
      </c>
      <c r="M22" s="490" t="s">
        <v>3032</v>
      </c>
      <c r="N22" s="487"/>
      <c r="O22" s="491"/>
      <c r="P22" s="489"/>
      <c r="Q22" s="497"/>
    </row>
    <row r="23" spans="1:17">
      <c r="A23" s="487">
        <v>351</v>
      </c>
      <c r="B23" s="488"/>
      <c r="C23" s="495">
        <v>3</v>
      </c>
      <c r="D23" s="490" t="s">
        <v>3033</v>
      </c>
      <c r="E23" s="487">
        <v>351</v>
      </c>
      <c r="F23" s="488"/>
      <c r="G23" s="489">
        <v>6</v>
      </c>
      <c r="H23" s="490" t="s">
        <v>3034</v>
      </c>
      <c r="I23" s="484"/>
      <c r="J23" s="487">
        <v>351</v>
      </c>
      <c r="K23" s="488"/>
      <c r="L23" s="489">
        <v>6</v>
      </c>
      <c r="M23" s="490" t="s">
        <v>3035</v>
      </c>
      <c r="N23" s="487"/>
      <c r="O23" s="488"/>
      <c r="P23" s="489"/>
      <c r="Q23" s="490"/>
    </row>
    <row r="24" spans="1:17">
      <c r="A24" s="487" t="s">
        <v>2978</v>
      </c>
      <c r="B24" s="488"/>
      <c r="C24" s="489">
        <v>4</v>
      </c>
      <c r="D24" s="490" t="s">
        <v>3036</v>
      </c>
      <c r="E24" s="487">
        <v>353</v>
      </c>
      <c r="F24" s="488" t="s">
        <v>2991</v>
      </c>
      <c r="G24" s="489">
        <v>7</v>
      </c>
      <c r="H24" s="490" t="s">
        <v>3037</v>
      </c>
      <c r="I24" s="484"/>
      <c r="J24" s="487">
        <v>353</v>
      </c>
      <c r="K24" s="488" t="s">
        <v>2991</v>
      </c>
      <c r="L24" s="489">
        <v>7</v>
      </c>
      <c r="M24" s="490" t="s">
        <v>3038</v>
      </c>
      <c r="N24" s="487"/>
      <c r="O24" s="488"/>
      <c r="P24" s="489"/>
      <c r="Q24" s="490"/>
    </row>
    <row r="25" spans="1:17">
      <c r="A25" s="487">
        <v>351</v>
      </c>
      <c r="B25" s="488"/>
      <c r="C25" s="495">
        <v>5</v>
      </c>
      <c r="D25" s="490" t="s">
        <v>3039</v>
      </c>
      <c r="E25" s="487" t="s">
        <v>2978</v>
      </c>
      <c r="F25" s="488"/>
      <c r="G25" s="489">
        <v>8</v>
      </c>
      <c r="H25" s="490" t="s">
        <v>3040</v>
      </c>
      <c r="I25" s="484"/>
      <c r="J25" s="487">
        <v>351</v>
      </c>
      <c r="K25" s="488"/>
      <c r="L25" s="489">
        <v>8</v>
      </c>
      <c r="M25" s="490" t="s">
        <v>3041</v>
      </c>
      <c r="N25" s="487"/>
      <c r="O25" s="488"/>
      <c r="P25" s="489"/>
      <c r="Q25" s="490"/>
    </row>
    <row r="26" spans="1:17">
      <c r="A26" s="487">
        <v>351</v>
      </c>
      <c r="B26" s="488"/>
      <c r="C26" s="489">
        <v>6</v>
      </c>
      <c r="D26" s="490" t="s">
        <v>3042</v>
      </c>
      <c r="E26" s="487">
        <v>351</v>
      </c>
      <c r="F26" s="488"/>
      <c r="G26" s="495">
        <v>9</v>
      </c>
      <c r="H26" s="490" t="s">
        <v>3043</v>
      </c>
      <c r="I26" s="484"/>
      <c r="J26" s="487" t="s">
        <v>2978</v>
      </c>
      <c r="K26" s="488"/>
      <c r="L26" s="489">
        <v>9</v>
      </c>
      <c r="M26" s="490" t="s">
        <v>3044</v>
      </c>
      <c r="N26" s="487"/>
      <c r="O26" s="488"/>
      <c r="P26" s="489"/>
      <c r="Q26" s="490"/>
    </row>
    <row r="27" spans="1:17">
      <c r="A27" s="487">
        <v>353</v>
      </c>
      <c r="B27" s="488" t="s">
        <v>2991</v>
      </c>
      <c r="C27" s="489">
        <v>7</v>
      </c>
      <c r="D27" s="490" t="s">
        <v>3045</v>
      </c>
      <c r="E27" s="487">
        <v>351</v>
      </c>
      <c r="F27" s="488"/>
      <c r="G27" s="495">
        <v>10</v>
      </c>
      <c r="H27" s="490" t="s">
        <v>3046</v>
      </c>
      <c r="I27" s="484"/>
      <c r="J27" s="487">
        <v>351</v>
      </c>
      <c r="K27" s="488"/>
      <c r="L27" s="495">
        <v>10</v>
      </c>
      <c r="M27" s="490" t="s">
        <v>3047</v>
      </c>
      <c r="N27" s="487"/>
      <c r="O27" s="488"/>
      <c r="P27" s="489"/>
      <c r="Q27" s="490"/>
    </row>
    <row r="28" spans="1:17">
      <c r="A28" s="487">
        <v>351</v>
      </c>
      <c r="B28" s="488"/>
      <c r="C28" s="489">
        <v>8</v>
      </c>
      <c r="D28" s="490" t="s">
        <v>3048</v>
      </c>
      <c r="E28" s="487"/>
      <c r="F28" s="491"/>
      <c r="G28" s="498"/>
      <c r="H28" s="497" t="s">
        <v>3014</v>
      </c>
      <c r="I28" s="484"/>
      <c r="J28" s="487">
        <v>351</v>
      </c>
      <c r="K28" s="488"/>
      <c r="L28" s="495">
        <v>11</v>
      </c>
      <c r="M28" s="490" t="s">
        <v>3049</v>
      </c>
      <c r="N28" s="487"/>
      <c r="O28" s="488"/>
      <c r="P28" s="489"/>
      <c r="Q28" s="490"/>
    </row>
    <row r="29" spans="1:17">
      <c r="A29" s="487">
        <v>353</v>
      </c>
      <c r="B29" s="488" t="s">
        <v>2991</v>
      </c>
      <c r="C29" s="489">
        <v>9</v>
      </c>
      <c r="D29" s="490" t="s">
        <v>3050</v>
      </c>
      <c r="E29" s="487"/>
      <c r="F29" s="491"/>
      <c r="G29" s="498"/>
      <c r="H29" s="497"/>
      <c r="I29" s="484"/>
      <c r="J29" s="487"/>
      <c r="K29" s="491"/>
      <c r="L29" s="498"/>
      <c r="M29" s="497" t="s">
        <v>3014</v>
      </c>
      <c r="N29" s="487"/>
      <c r="O29" s="488"/>
      <c r="P29" s="489"/>
      <c r="Q29" s="490"/>
    </row>
    <row r="30" spans="1:17">
      <c r="A30" s="487" t="s">
        <v>2978</v>
      </c>
      <c r="B30" s="488"/>
      <c r="C30" s="495"/>
      <c r="D30" s="490" t="s">
        <v>3004</v>
      </c>
      <c r="E30" s="487">
        <v>353</v>
      </c>
      <c r="F30" s="488" t="s">
        <v>3051</v>
      </c>
      <c r="G30" s="495">
        <v>1</v>
      </c>
      <c r="H30" s="490" t="s">
        <v>3019</v>
      </c>
      <c r="I30" s="484"/>
      <c r="J30" s="487"/>
      <c r="K30" s="491"/>
      <c r="L30" s="498"/>
      <c r="M30" s="497"/>
      <c r="N30" s="487"/>
      <c r="O30" s="488"/>
      <c r="P30" s="489"/>
      <c r="Q30" s="490"/>
    </row>
    <row r="31" spans="1:17">
      <c r="A31" s="487">
        <v>351</v>
      </c>
      <c r="B31" s="488"/>
      <c r="C31" s="495">
        <v>10</v>
      </c>
      <c r="D31" s="490" t="s">
        <v>3052</v>
      </c>
      <c r="E31" s="487">
        <v>351</v>
      </c>
      <c r="F31" s="488"/>
      <c r="G31" s="495">
        <v>2</v>
      </c>
      <c r="H31" s="490" t="s">
        <v>3024</v>
      </c>
      <c r="I31" s="484"/>
      <c r="J31" s="487">
        <v>353</v>
      </c>
      <c r="K31" s="488" t="s">
        <v>3053</v>
      </c>
      <c r="L31" s="495">
        <v>1</v>
      </c>
      <c r="M31" s="490" t="s">
        <v>3054</v>
      </c>
      <c r="N31" s="487"/>
      <c r="O31" s="488"/>
      <c r="P31" s="489"/>
      <c r="Q31" s="490"/>
    </row>
    <row r="32" spans="1:17">
      <c r="A32" s="487">
        <v>351</v>
      </c>
      <c r="B32" s="488"/>
      <c r="C32" s="495">
        <v>11</v>
      </c>
      <c r="D32" s="490" t="s">
        <v>3055</v>
      </c>
      <c r="E32" s="487">
        <v>351</v>
      </c>
      <c r="F32" s="488"/>
      <c r="G32" s="495">
        <v>3</v>
      </c>
      <c r="H32" s="490" t="s">
        <v>3056</v>
      </c>
      <c r="I32" s="484"/>
      <c r="J32" s="487">
        <v>351</v>
      </c>
      <c r="K32" s="488"/>
      <c r="L32" s="495">
        <v>2</v>
      </c>
      <c r="M32" s="490" t="s">
        <v>3057</v>
      </c>
      <c r="N32" s="487"/>
      <c r="O32" s="491"/>
      <c r="P32" s="489"/>
      <c r="Q32" s="497"/>
    </row>
    <row r="33" spans="1:17">
      <c r="A33" s="487"/>
      <c r="B33" s="491"/>
      <c r="C33" s="498"/>
      <c r="D33" s="497" t="s">
        <v>3014</v>
      </c>
      <c r="E33" s="487" t="s">
        <v>2978</v>
      </c>
      <c r="F33" s="488"/>
      <c r="G33" s="489">
        <v>4</v>
      </c>
      <c r="H33" s="490" t="s">
        <v>3058</v>
      </c>
      <c r="I33" s="484"/>
      <c r="J33" s="487">
        <v>351</v>
      </c>
      <c r="K33" s="488"/>
      <c r="L33" s="495">
        <v>3</v>
      </c>
      <c r="M33" s="490" t="s">
        <v>3059</v>
      </c>
      <c r="N33" s="487"/>
      <c r="O33" s="488"/>
      <c r="P33" s="489"/>
      <c r="Q33" s="490"/>
    </row>
    <row r="34" spans="1:17">
      <c r="A34" s="487"/>
      <c r="B34" s="488"/>
      <c r="C34" s="489"/>
      <c r="D34" s="490"/>
      <c r="E34" s="487">
        <v>351</v>
      </c>
      <c r="F34" s="488"/>
      <c r="G34" s="495">
        <v>5</v>
      </c>
      <c r="H34" s="490" t="s">
        <v>3034</v>
      </c>
      <c r="I34" s="484"/>
      <c r="J34" s="487" t="s">
        <v>2978</v>
      </c>
      <c r="K34" s="488"/>
      <c r="L34" s="489">
        <v>4</v>
      </c>
      <c r="M34" s="490" t="s">
        <v>3060</v>
      </c>
      <c r="N34" s="487"/>
      <c r="O34" s="488"/>
      <c r="P34" s="489"/>
      <c r="Q34" s="490"/>
    </row>
    <row r="35" spans="1:17">
      <c r="A35" s="487">
        <v>351</v>
      </c>
      <c r="B35" s="488" t="s">
        <v>3061</v>
      </c>
      <c r="C35" s="495">
        <v>1</v>
      </c>
      <c r="D35" s="490" t="s">
        <v>3023</v>
      </c>
      <c r="E35" s="487">
        <v>351</v>
      </c>
      <c r="F35" s="488"/>
      <c r="G35" s="489">
        <v>6</v>
      </c>
      <c r="H35" s="490" t="s">
        <v>3062</v>
      </c>
      <c r="I35" s="484"/>
      <c r="J35" s="487">
        <v>351</v>
      </c>
      <c r="K35" s="488"/>
      <c r="L35" s="495">
        <v>5</v>
      </c>
      <c r="M35" s="490" t="s">
        <v>3063</v>
      </c>
      <c r="N35" s="487"/>
      <c r="O35" s="488"/>
      <c r="P35" s="489"/>
      <c r="Q35" s="490"/>
    </row>
    <row r="36" spans="1:17">
      <c r="A36" s="487">
        <v>351</v>
      </c>
      <c r="B36" s="488"/>
      <c r="C36" s="495">
        <v>2</v>
      </c>
      <c r="D36" s="490" t="s">
        <v>3064</v>
      </c>
      <c r="E36" s="487" t="s">
        <v>2978</v>
      </c>
      <c r="F36" s="488"/>
      <c r="G36" s="489">
        <v>7</v>
      </c>
      <c r="H36" s="490" t="s">
        <v>3065</v>
      </c>
      <c r="I36" s="484"/>
      <c r="J36" s="487">
        <v>351</v>
      </c>
      <c r="K36" s="488"/>
      <c r="L36" s="489">
        <v>6</v>
      </c>
      <c r="M36" s="490" t="s">
        <v>3066</v>
      </c>
      <c r="N36" s="487"/>
      <c r="O36" s="488"/>
      <c r="P36" s="489"/>
      <c r="Q36" s="490"/>
    </row>
    <row r="37" spans="1:17">
      <c r="A37" s="487" t="s">
        <v>2978</v>
      </c>
      <c r="B37" s="488"/>
      <c r="C37" s="489">
        <v>3</v>
      </c>
      <c r="D37" s="490" t="s">
        <v>3067</v>
      </c>
      <c r="E37" s="487">
        <v>351</v>
      </c>
      <c r="F37" s="488"/>
      <c r="G37" s="489">
        <v>8</v>
      </c>
      <c r="H37" s="490" t="s">
        <v>3068</v>
      </c>
      <c r="I37" s="484"/>
      <c r="J37" s="487" t="s">
        <v>2978</v>
      </c>
      <c r="K37" s="488"/>
      <c r="L37" s="489">
        <v>7</v>
      </c>
      <c r="M37" s="490" t="s">
        <v>3069</v>
      </c>
      <c r="N37" s="487"/>
      <c r="O37" s="488"/>
      <c r="P37" s="489"/>
      <c r="Q37" s="490"/>
    </row>
    <row r="38" spans="1:17">
      <c r="A38" s="487">
        <v>351</v>
      </c>
      <c r="B38" s="488"/>
      <c r="C38" s="495">
        <v>4</v>
      </c>
      <c r="D38" s="490" t="s">
        <v>3032</v>
      </c>
      <c r="E38" s="487">
        <v>353</v>
      </c>
      <c r="F38" s="488" t="s">
        <v>2991</v>
      </c>
      <c r="G38" s="489">
        <v>9</v>
      </c>
      <c r="H38" s="490" t="s">
        <v>3070</v>
      </c>
      <c r="I38" s="484"/>
      <c r="J38" s="487">
        <v>351</v>
      </c>
      <c r="K38" s="488"/>
      <c r="L38" s="489">
        <v>8</v>
      </c>
      <c r="M38" s="490" t="s">
        <v>3071</v>
      </c>
      <c r="N38" s="487"/>
      <c r="O38" s="488"/>
      <c r="P38" s="489"/>
      <c r="Q38" s="490"/>
    </row>
    <row r="39" spans="1:17">
      <c r="A39" s="487">
        <v>351</v>
      </c>
      <c r="B39" s="488"/>
      <c r="C39" s="489">
        <v>5</v>
      </c>
      <c r="D39" s="490" t="s">
        <v>3072</v>
      </c>
      <c r="E39" s="487" t="s">
        <v>2978</v>
      </c>
      <c r="F39" s="488"/>
      <c r="G39" s="495"/>
      <c r="H39" s="490" t="s">
        <v>3004</v>
      </c>
      <c r="I39" s="484"/>
      <c r="J39" s="487">
        <v>353</v>
      </c>
      <c r="K39" s="488" t="s">
        <v>2991</v>
      </c>
      <c r="L39" s="489">
        <v>9</v>
      </c>
      <c r="M39" s="490" t="s">
        <v>3073</v>
      </c>
      <c r="N39" s="487"/>
      <c r="O39" s="488"/>
      <c r="P39" s="489"/>
      <c r="Q39" s="496"/>
    </row>
    <row r="40" spans="1:17">
      <c r="A40" s="487">
        <v>353</v>
      </c>
      <c r="B40" s="488" t="s">
        <v>2991</v>
      </c>
      <c r="C40" s="489">
        <v>6</v>
      </c>
      <c r="D40" s="490" t="s">
        <v>3074</v>
      </c>
      <c r="E40" s="487">
        <v>351</v>
      </c>
      <c r="F40" s="488"/>
      <c r="G40" s="495">
        <v>10</v>
      </c>
      <c r="H40" s="490" t="s">
        <v>3046</v>
      </c>
      <c r="I40" s="484"/>
      <c r="J40" s="487" t="s">
        <v>2978</v>
      </c>
      <c r="K40" s="488"/>
      <c r="L40" s="495"/>
      <c r="M40" s="490" t="s">
        <v>3004</v>
      </c>
      <c r="N40" s="487"/>
      <c r="O40" s="488"/>
      <c r="P40" s="489"/>
      <c r="Q40" s="490"/>
    </row>
    <row r="41" spans="1:17">
      <c r="A41" s="487">
        <v>351</v>
      </c>
      <c r="B41" s="488"/>
      <c r="C41" s="489">
        <v>7</v>
      </c>
      <c r="D41" s="490" t="s">
        <v>3075</v>
      </c>
      <c r="E41" s="487">
        <v>351</v>
      </c>
      <c r="F41" s="488"/>
      <c r="G41" s="495">
        <v>11</v>
      </c>
      <c r="H41" s="490" t="s">
        <v>3076</v>
      </c>
      <c r="I41" s="484"/>
      <c r="J41" s="487">
        <v>351</v>
      </c>
      <c r="K41" s="488"/>
      <c r="L41" s="495">
        <v>10</v>
      </c>
      <c r="M41" s="490" t="s">
        <v>3077</v>
      </c>
      <c r="N41" s="487"/>
      <c r="O41" s="488"/>
      <c r="P41" s="489"/>
      <c r="Q41" s="490"/>
    </row>
    <row r="42" spans="1:17">
      <c r="A42" s="487" t="s">
        <v>2978</v>
      </c>
      <c r="B42" s="488"/>
      <c r="C42" s="489">
        <v>8</v>
      </c>
      <c r="D42" s="490" t="s">
        <v>3078</v>
      </c>
      <c r="E42" s="487"/>
      <c r="F42" s="491"/>
      <c r="G42" s="498"/>
      <c r="H42" s="497" t="s">
        <v>3014</v>
      </c>
      <c r="I42" s="484"/>
      <c r="J42" s="487">
        <v>351</v>
      </c>
      <c r="K42" s="488"/>
      <c r="L42" s="495">
        <v>11</v>
      </c>
      <c r="M42" s="490" t="s">
        <v>3079</v>
      </c>
      <c r="N42" s="487"/>
      <c r="O42" s="488"/>
      <c r="P42" s="489"/>
      <c r="Q42" s="490"/>
    </row>
    <row r="43" spans="1:17">
      <c r="A43" s="487">
        <v>351</v>
      </c>
      <c r="B43" s="488"/>
      <c r="C43" s="495">
        <v>9</v>
      </c>
      <c r="D43" s="490" t="s">
        <v>3047</v>
      </c>
      <c r="E43" s="499"/>
      <c r="F43" s="488"/>
      <c r="G43" s="489"/>
      <c r="H43" s="497"/>
      <c r="I43" s="484"/>
      <c r="J43" s="487"/>
      <c r="K43" s="491"/>
      <c r="L43" s="498"/>
      <c r="M43" s="497" t="s">
        <v>3014</v>
      </c>
      <c r="N43" s="487"/>
      <c r="O43" s="491"/>
      <c r="P43" s="489"/>
      <c r="Q43" s="497"/>
    </row>
    <row r="44" spans="1:17">
      <c r="A44" s="487">
        <v>351</v>
      </c>
      <c r="B44" s="488"/>
      <c r="C44" s="495">
        <v>10</v>
      </c>
      <c r="D44" s="490" t="s">
        <v>3080</v>
      </c>
      <c r="E44" s="487"/>
      <c r="F44" s="488"/>
      <c r="G44" s="489"/>
      <c r="H44" s="490"/>
      <c r="I44" s="484"/>
      <c r="J44" s="487"/>
      <c r="K44" s="488"/>
      <c r="L44" s="489"/>
      <c r="M44" s="490"/>
      <c r="N44" s="487"/>
      <c r="O44" s="488"/>
      <c r="P44" s="489"/>
      <c r="Q44" s="490"/>
    </row>
    <row r="45" spans="1:17">
      <c r="A45" s="487"/>
      <c r="B45" s="491"/>
      <c r="C45" s="498"/>
      <c r="D45" s="497" t="s">
        <v>3014</v>
      </c>
      <c r="E45" s="487"/>
      <c r="F45" s="488"/>
      <c r="G45" s="489"/>
      <c r="H45" s="490"/>
      <c r="I45" s="484"/>
      <c r="J45" s="487"/>
      <c r="K45" s="488"/>
      <c r="L45" s="489"/>
      <c r="M45" s="490"/>
      <c r="N45" s="499"/>
      <c r="O45" s="488"/>
      <c r="P45" s="489"/>
      <c r="Q45" s="490"/>
    </row>
    <row r="46" spans="1:17">
      <c r="A46" s="487"/>
      <c r="B46" s="491"/>
      <c r="C46" s="498"/>
      <c r="D46" s="497"/>
      <c r="E46" s="487"/>
      <c r="F46" s="488"/>
      <c r="G46" s="489"/>
      <c r="H46" s="490"/>
      <c r="I46" s="484"/>
      <c r="J46" s="487"/>
      <c r="K46" s="488"/>
      <c r="L46" s="489"/>
      <c r="M46" s="490"/>
      <c r="N46" s="487"/>
      <c r="O46" s="488"/>
      <c r="P46" s="489"/>
      <c r="Q46" s="490"/>
    </row>
    <row r="47" spans="1:17">
      <c r="A47" s="487"/>
      <c r="B47" s="491"/>
      <c r="C47" s="498"/>
      <c r="D47" s="497"/>
      <c r="E47" s="487"/>
      <c r="F47" s="488"/>
      <c r="G47" s="489"/>
      <c r="H47" s="497"/>
      <c r="I47" s="484"/>
      <c r="J47" s="499"/>
      <c r="K47" s="488"/>
      <c r="L47" s="489"/>
      <c r="M47" s="497"/>
      <c r="N47" s="487"/>
      <c r="O47" s="488"/>
      <c r="P47" s="489"/>
      <c r="Q47" s="490"/>
    </row>
    <row r="48" spans="1:17">
      <c r="A48" s="487"/>
      <c r="B48" s="488"/>
      <c r="C48" s="489"/>
      <c r="D48" s="490"/>
      <c r="E48" s="487"/>
      <c r="F48" s="488"/>
      <c r="G48" s="489"/>
      <c r="H48" s="490"/>
      <c r="I48" s="500"/>
      <c r="J48" s="487"/>
      <c r="K48" s="488"/>
      <c r="L48" s="489"/>
      <c r="M48" s="490"/>
      <c r="N48" s="487"/>
      <c r="O48" s="488"/>
      <c r="P48" s="489"/>
      <c r="Q48" s="497"/>
    </row>
    <row r="49" spans="1:17">
      <c r="A49" s="487"/>
      <c r="B49" s="491"/>
      <c r="C49" s="489"/>
      <c r="D49" s="497"/>
      <c r="E49" s="487"/>
      <c r="F49" s="488"/>
      <c r="G49" s="489"/>
      <c r="H49" s="497"/>
      <c r="I49" s="500"/>
      <c r="J49" s="490"/>
      <c r="K49" s="491"/>
      <c r="L49" s="493"/>
      <c r="M49" s="490"/>
      <c r="N49" s="490"/>
      <c r="O49" s="491"/>
      <c r="P49" s="493"/>
      <c r="Q49" s="490"/>
    </row>
    <row r="50" spans="1:17">
      <c r="A50" s="487"/>
      <c r="B50" s="491"/>
      <c r="C50" s="489"/>
      <c r="D50" s="490"/>
      <c r="E50" s="490"/>
      <c r="F50" s="491"/>
      <c r="G50" s="493"/>
      <c r="H50" s="490"/>
      <c r="I50" s="500"/>
      <c r="J50" s="487"/>
      <c r="K50" s="491"/>
      <c r="L50" s="489"/>
      <c r="M50" s="490"/>
      <c r="N50" s="490"/>
      <c r="O50" s="491"/>
      <c r="P50" s="493"/>
      <c r="Q50" s="490"/>
    </row>
    <row r="51" spans="1:17" ht="25.5">
      <c r="A51" s="873" t="s">
        <v>3081</v>
      </c>
      <c r="B51" s="873"/>
      <c r="C51" s="873"/>
      <c r="D51" s="873"/>
      <c r="E51" s="873"/>
      <c r="F51" s="873"/>
      <c r="G51" s="873"/>
      <c r="H51" s="873"/>
      <c r="I51" s="873"/>
      <c r="J51" s="873"/>
      <c r="K51" s="873"/>
      <c r="L51" s="873"/>
      <c r="M51" s="873"/>
      <c r="N51" s="873"/>
      <c r="O51" s="873"/>
      <c r="P51" s="873"/>
      <c r="Q51" s="873"/>
    </row>
    <row r="52" spans="1:17">
      <c r="A52" s="874" t="s">
        <v>244</v>
      </c>
      <c r="B52" s="874"/>
      <c r="C52" s="236"/>
      <c r="D52" s="236" t="s">
        <v>2958</v>
      </c>
      <c r="E52" s="236"/>
      <c r="F52" s="484"/>
      <c r="G52" s="236"/>
      <c r="H52" s="486"/>
      <c r="I52" s="484"/>
      <c r="J52" s="874"/>
      <c r="K52" s="874"/>
      <c r="L52" s="236"/>
      <c r="M52" s="236"/>
      <c r="N52" s="236" t="s">
        <v>245</v>
      </c>
      <c r="O52" s="484"/>
      <c r="P52" s="236"/>
      <c r="Q52" s="235" t="s">
        <v>3082</v>
      </c>
    </row>
    <row r="53" spans="1:17">
      <c r="A53" s="487" t="s">
        <v>246</v>
      </c>
      <c r="B53" s="488" t="s">
        <v>247</v>
      </c>
      <c r="C53" s="489" t="s">
        <v>248</v>
      </c>
      <c r="D53" s="488" t="s">
        <v>2960</v>
      </c>
      <c r="E53" s="487" t="s">
        <v>246</v>
      </c>
      <c r="F53" s="488" t="s">
        <v>247</v>
      </c>
      <c r="G53" s="489" t="s">
        <v>248</v>
      </c>
      <c r="H53" s="487" t="s">
        <v>2960</v>
      </c>
      <c r="I53" s="484"/>
      <c r="J53" s="490" t="s">
        <v>246</v>
      </c>
      <c r="K53" s="491" t="s">
        <v>247</v>
      </c>
      <c r="L53" s="492" t="s">
        <v>248</v>
      </c>
      <c r="M53" s="488" t="s">
        <v>2960</v>
      </c>
      <c r="N53" s="490" t="s">
        <v>246</v>
      </c>
      <c r="O53" s="491" t="s">
        <v>247</v>
      </c>
      <c r="P53" s="493" t="s">
        <v>248</v>
      </c>
      <c r="Q53" s="487" t="s">
        <v>2960</v>
      </c>
    </row>
    <row r="54" spans="1:17">
      <c r="A54" s="487">
        <v>351</v>
      </c>
      <c r="B54" s="488"/>
      <c r="C54" s="489">
        <v>1</v>
      </c>
      <c r="D54" s="490" t="s">
        <v>3083</v>
      </c>
      <c r="E54" s="487">
        <v>351</v>
      </c>
      <c r="F54" s="488" t="s">
        <v>3018</v>
      </c>
      <c r="G54" s="495">
        <v>1</v>
      </c>
      <c r="H54" s="490" t="s">
        <v>3084</v>
      </c>
      <c r="I54" s="484"/>
      <c r="J54" s="487">
        <v>351</v>
      </c>
      <c r="K54" s="488" t="s">
        <v>2966</v>
      </c>
      <c r="L54" s="489">
        <v>1</v>
      </c>
      <c r="M54" s="490" t="s">
        <v>3085</v>
      </c>
      <c r="N54" s="487"/>
      <c r="O54" s="488"/>
      <c r="P54" s="489"/>
      <c r="Q54" s="490"/>
    </row>
    <row r="55" spans="1:17">
      <c r="A55" s="487"/>
      <c r="B55" s="488"/>
      <c r="C55" s="489">
        <v>2</v>
      </c>
      <c r="D55" s="490" t="s">
        <v>3086</v>
      </c>
      <c r="E55" s="487">
        <v>351</v>
      </c>
      <c r="F55" s="488"/>
      <c r="G55" s="495">
        <v>2</v>
      </c>
      <c r="H55" s="490" t="s">
        <v>3087</v>
      </c>
      <c r="I55" s="484"/>
      <c r="J55" s="487">
        <v>351</v>
      </c>
      <c r="K55" s="488"/>
      <c r="L55" s="489">
        <v>2</v>
      </c>
      <c r="M55" s="490" t="s">
        <v>3088</v>
      </c>
      <c r="N55" s="487"/>
      <c r="O55" s="488"/>
      <c r="P55" s="489"/>
      <c r="Q55" s="490"/>
    </row>
    <row r="56" spans="1:17">
      <c r="A56" s="487"/>
      <c r="B56" s="488"/>
      <c r="C56" s="489"/>
      <c r="D56" s="490" t="s">
        <v>3089</v>
      </c>
      <c r="E56" s="487">
        <v>353</v>
      </c>
      <c r="F56" s="488" t="s">
        <v>2991</v>
      </c>
      <c r="G56" s="489">
        <v>3</v>
      </c>
      <c r="H56" s="490" t="s">
        <v>3090</v>
      </c>
      <c r="I56" s="484"/>
      <c r="J56" s="487" t="s">
        <v>2978</v>
      </c>
      <c r="K56" s="488"/>
      <c r="L56" s="489">
        <v>3</v>
      </c>
      <c r="M56" s="490" t="s">
        <v>3091</v>
      </c>
      <c r="N56" s="487"/>
      <c r="O56" s="488"/>
      <c r="P56" s="489"/>
      <c r="Q56" s="490"/>
    </row>
    <row r="57" spans="1:17">
      <c r="A57" s="487"/>
      <c r="B57" s="488"/>
      <c r="C57" s="489"/>
      <c r="D57" s="490" t="s">
        <v>3092</v>
      </c>
      <c r="E57" s="487" t="s">
        <v>2978</v>
      </c>
      <c r="F57" s="488"/>
      <c r="G57" s="495"/>
      <c r="H57" s="490" t="s">
        <v>3093</v>
      </c>
      <c r="I57" s="484"/>
      <c r="J57" s="487">
        <v>351</v>
      </c>
      <c r="K57" s="488"/>
      <c r="L57" s="489">
        <v>4</v>
      </c>
      <c r="M57" s="490" t="s">
        <v>3094</v>
      </c>
      <c r="N57" s="487"/>
      <c r="O57" s="488"/>
      <c r="P57" s="489"/>
      <c r="Q57" s="490"/>
    </row>
    <row r="58" spans="1:17">
      <c r="A58" s="487"/>
      <c r="B58" s="488"/>
      <c r="C58" s="489"/>
      <c r="D58" s="490"/>
      <c r="E58" s="487">
        <v>351</v>
      </c>
      <c r="F58" s="488"/>
      <c r="G58" s="489">
        <v>4</v>
      </c>
      <c r="H58" s="490" t="s">
        <v>3095</v>
      </c>
      <c r="I58" s="484"/>
      <c r="J58" s="487">
        <v>353</v>
      </c>
      <c r="K58" s="488" t="s">
        <v>2991</v>
      </c>
      <c r="L58" s="489">
        <v>5</v>
      </c>
      <c r="M58" s="490" t="s">
        <v>3096</v>
      </c>
      <c r="N58" s="487"/>
      <c r="O58" s="488"/>
      <c r="P58" s="489"/>
      <c r="Q58" s="490"/>
    </row>
    <row r="59" spans="1:17">
      <c r="A59" s="487">
        <v>351</v>
      </c>
      <c r="B59" s="488" t="s">
        <v>2975</v>
      </c>
      <c r="C59" s="489">
        <v>1</v>
      </c>
      <c r="D59" s="490" t="s">
        <v>3097</v>
      </c>
      <c r="E59" s="487" t="s">
        <v>2978</v>
      </c>
      <c r="F59" s="488"/>
      <c r="G59" s="489">
        <v>5</v>
      </c>
      <c r="H59" s="490" t="s">
        <v>3098</v>
      </c>
      <c r="I59" s="484"/>
      <c r="J59" s="487">
        <v>351</v>
      </c>
      <c r="K59" s="488"/>
      <c r="L59" s="489">
        <v>6</v>
      </c>
      <c r="M59" s="490" t="s">
        <v>3016</v>
      </c>
      <c r="N59" s="487"/>
      <c r="O59" s="488"/>
      <c r="P59" s="489"/>
      <c r="Q59" s="490"/>
    </row>
    <row r="60" spans="1:17">
      <c r="A60" s="487">
        <v>351</v>
      </c>
      <c r="B60" s="488"/>
      <c r="C60" s="489">
        <v>2</v>
      </c>
      <c r="D60" s="490" t="s">
        <v>3099</v>
      </c>
      <c r="E60" s="487">
        <v>351</v>
      </c>
      <c r="F60" s="488"/>
      <c r="G60" s="489">
        <v>6</v>
      </c>
      <c r="H60" s="490" t="s">
        <v>3046</v>
      </c>
      <c r="I60" s="484"/>
      <c r="J60" s="487">
        <v>351</v>
      </c>
      <c r="K60" s="488"/>
      <c r="L60" s="489">
        <v>7</v>
      </c>
      <c r="M60" s="490" t="s">
        <v>3017</v>
      </c>
      <c r="N60" s="487"/>
      <c r="O60" s="488"/>
      <c r="P60" s="489"/>
      <c r="Q60" s="490"/>
    </row>
    <row r="61" spans="1:17">
      <c r="A61" s="487">
        <v>353</v>
      </c>
      <c r="B61" s="488" t="s">
        <v>2991</v>
      </c>
      <c r="C61" s="489">
        <v>3</v>
      </c>
      <c r="D61" s="490" t="s">
        <v>3100</v>
      </c>
      <c r="E61" s="487">
        <v>351</v>
      </c>
      <c r="F61" s="488"/>
      <c r="G61" s="489">
        <v>7</v>
      </c>
      <c r="H61" s="490" t="s">
        <v>3076</v>
      </c>
      <c r="I61" s="484"/>
      <c r="J61" s="487"/>
      <c r="K61" s="488"/>
      <c r="L61" s="495"/>
      <c r="M61" s="497" t="s">
        <v>3014</v>
      </c>
      <c r="N61" s="499"/>
      <c r="O61" s="488"/>
      <c r="P61" s="489"/>
      <c r="Q61" s="497"/>
    </row>
    <row r="62" spans="1:17">
      <c r="A62" s="487" t="s">
        <v>2978</v>
      </c>
      <c r="B62" s="488"/>
      <c r="C62" s="495"/>
      <c r="D62" s="490" t="s">
        <v>3093</v>
      </c>
      <c r="E62" s="487"/>
      <c r="F62" s="491"/>
      <c r="G62" s="498"/>
      <c r="H62" s="497" t="s">
        <v>3014</v>
      </c>
      <c r="I62" s="484"/>
      <c r="J62" s="487"/>
      <c r="K62" s="488"/>
      <c r="L62" s="489"/>
      <c r="M62" s="497"/>
      <c r="N62" s="487"/>
      <c r="O62" s="488"/>
      <c r="P62" s="489"/>
      <c r="Q62" s="490"/>
    </row>
    <row r="63" spans="1:17">
      <c r="A63" s="487">
        <v>351</v>
      </c>
      <c r="B63" s="488"/>
      <c r="C63" s="489">
        <v>4</v>
      </c>
      <c r="D63" s="490" t="s">
        <v>3101</v>
      </c>
      <c r="E63" s="499"/>
      <c r="F63" s="488"/>
      <c r="G63" s="489"/>
      <c r="H63" s="497"/>
      <c r="I63" s="484"/>
      <c r="J63" s="487">
        <v>351</v>
      </c>
      <c r="K63" s="488" t="s">
        <v>2966</v>
      </c>
      <c r="L63" s="489">
        <v>1</v>
      </c>
      <c r="M63" s="501" t="s">
        <v>3102</v>
      </c>
      <c r="N63" s="487"/>
      <c r="O63" s="488"/>
      <c r="P63" s="489"/>
      <c r="Q63" s="490"/>
    </row>
    <row r="64" spans="1:17">
      <c r="A64" s="487">
        <v>353</v>
      </c>
      <c r="B64" s="488" t="s">
        <v>2991</v>
      </c>
      <c r="C64" s="489">
        <v>5</v>
      </c>
      <c r="D64" s="490" t="s">
        <v>3103</v>
      </c>
      <c r="E64" s="487">
        <v>351</v>
      </c>
      <c r="F64" s="488" t="s">
        <v>3051</v>
      </c>
      <c r="G64" s="495">
        <v>1</v>
      </c>
      <c r="H64" s="490" t="s">
        <v>3104</v>
      </c>
      <c r="I64" s="484"/>
      <c r="J64" s="487"/>
      <c r="K64" s="488" t="s">
        <v>2975</v>
      </c>
      <c r="L64" s="489"/>
      <c r="M64" s="490"/>
      <c r="N64" s="487"/>
      <c r="O64" s="488"/>
      <c r="P64" s="489"/>
      <c r="Q64" s="490"/>
    </row>
    <row r="65" spans="1:17">
      <c r="A65" s="487">
        <v>351</v>
      </c>
      <c r="B65" s="488"/>
      <c r="C65" s="495">
        <v>6</v>
      </c>
      <c r="D65" s="490" t="s">
        <v>3012</v>
      </c>
      <c r="E65" s="487">
        <v>351</v>
      </c>
      <c r="F65" s="488"/>
      <c r="G65" s="495">
        <v>2</v>
      </c>
      <c r="H65" s="490" t="s">
        <v>3084</v>
      </c>
      <c r="I65" s="484"/>
      <c r="J65" s="487"/>
      <c r="K65" s="488"/>
      <c r="L65" s="489"/>
      <c r="M65" s="490"/>
      <c r="N65" s="487"/>
      <c r="O65" s="488"/>
      <c r="P65" s="489"/>
      <c r="Q65" s="490"/>
    </row>
    <row r="66" spans="1:17">
      <c r="A66" s="487">
        <v>351</v>
      </c>
      <c r="B66" s="488"/>
      <c r="C66" s="489">
        <v>7</v>
      </c>
      <c r="D66" s="490" t="s">
        <v>3015</v>
      </c>
      <c r="E66" s="487" t="s">
        <v>2978</v>
      </c>
      <c r="F66" s="488"/>
      <c r="G66" s="489">
        <v>3</v>
      </c>
      <c r="H66" s="490" t="s">
        <v>3105</v>
      </c>
      <c r="I66" s="484"/>
      <c r="J66" s="487"/>
      <c r="K66" s="488"/>
      <c r="L66" s="489"/>
      <c r="M66" s="490"/>
      <c r="N66" s="487"/>
      <c r="O66" s="488"/>
      <c r="P66" s="489"/>
      <c r="Q66" s="490"/>
    </row>
    <row r="67" spans="1:17">
      <c r="A67" s="487"/>
      <c r="B67" s="488"/>
      <c r="C67" s="495"/>
      <c r="D67" s="497" t="s">
        <v>3014</v>
      </c>
      <c r="E67" s="487">
        <v>353</v>
      </c>
      <c r="F67" s="488" t="s">
        <v>2991</v>
      </c>
      <c r="G67" s="489">
        <v>4</v>
      </c>
      <c r="H67" s="490" t="s">
        <v>3106</v>
      </c>
      <c r="I67" s="484"/>
      <c r="J67" s="487"/>
      <c r="K67" s="488"/>
      <c r="L67" s="489"/>
      <c r="M67" s="490"/>
      <c r="N67" s="487"/>
      <c r="O67" s="488"/>
      <c r="P67" s="489"/>
      <c r="Q67" s="490"/>
    </row>
    <row r="68" spans="1:17">
      <c r="A68" s="487"/>
      <c r="B68" s="488"/>
      <c r="C68" s="489"/>
      <c r="D68" s="490"/>
      <c r="E68" s="487">
        <v>351</v>
      </c>
      <c r="F68" s="488"/>
      <c r="G68" s="495">
        <v>5</v>
      </c>
      <c r="H68" s="490" t="s">
        <v>3043</v>
      </c>
      <c r="I68" s="484"/>
      <c r="J68" s="487"/>
      <c r="K68" s="488"/>
      <c r="L68" s="489"/>
      <c r="M68" s="490"/>
      <c r="N68" s="487"/>
      <c r="O68" s="488"/>
      <c r="P68" s="489"/>
      <c r="Q68" s="497"/>
    </row>
    <row r="69" spans="1:17">
      <c r="A69" s="487">
        <v>351</v>
      </c>
      <c r="B69" s="488" t="s">
        <v>3026</v>
      </c>
      <c r="C69" s="495">
        <v>1</v>
      </c>
      <c r="D69" s="490" t="s">
        <v>3107</v>
      </c>
      <c r="E69" s="487">
        <v>351</v>
      </c>
      <c r="F69" s="488"/>
      <c r="G69" s="489">
        <v>6</v>
      </c>
      <c r="H69" s="490" t="s">
        <v>3046</v>
      </c>
      <c r="I69" s="484"/>
      <c r="J69" s="487"/>
      <c r="K69" s="488"/>
      <c r="L69" s="489"/>
      <c r="M69" s="490"/>
      <c r="N69" s="499"/>
      <c r="O69" s="488"/>
      <c r="P69" s="489"/>
      <c r="Q69" s="490"/>
    </row>
    <row r="70" spans="1:17">
      <c r="A70" s="487">
        <v>351</v>
      </c>
      <c r="B70" s="488"/>
      <c r="C70" s="495">
        <v>2</v>
      </c>
      <c r="D70" s="490" t="s">
        <v>3108</v>
      </c>
      <c r="E70" s="487"/>
      <c r="F70" s="491"/>
      <c r="G70" s="498"/>
      <c r="H70" s="497" t="s">
        <v>3014</v>
      </c>
      <c r="I70" s="484"/>
      <c r="J70" s="487"/>
      <c r="K70" s="488"/>
      <c r="L70" s="489"/>
      <c r="M70" s="490"/>
      <c r="N70" s="487"/>
      <c r="O70" s="488"/>
      <c r="P70" s="489"/>
      <c r="Q70" s="490"/>
    </row>
    <row r="71" spans="1:17">
      <c r="A71" s="487">
        <v>353</v>
      </c>
      <c r="B71" s="488" t="s">
        <v>2991</v>
      </c>
      <c r="C71" s="489">
        <v>3</v>
      </c>
      <c r="D71" s="490" t="s">
        <v>3109</v>
      </c>
      <c r="E71" s="487"/>
      <c r="F71" s="488"/>
      <c r="G71" s="489"/>
      <c r="H71" s="497"/>
      <c r="I71" s="484"/>
      <c r="J71" s="487"/>
      <c r="K71" s="488"/>
      <c r="L71" s="489"/>
      <c r="M71" s="490"/>
      <c r="N71" s="487"/>
      <c r="O71" s="488"/>
      <c r="P71" s="489"/>
      <c r="Q71" s="490"/>
    </row>
    <row r="72" spans="1:17">
      <c r="A72" s="487" t="s">
        <v>2978</v>
      </c>
      <c r="B72" s="488"/>
      <c r="C72" s="495"/>
      <c r="D72" s="490" t="s">
        <v>3093</v>
      </c>
      <c r="E72" s="487">
        <v>351</v>
      </c>
      <c r="F72" s="488" t="s">
        <v>2964</v>
      </c>
      <c r="G72" s="495">
        <v>1</v>
      </c>
      <c r="H72" s="490" t="s">
        <v>3110</v>
      </c>
      <c r="I72" s="484"/>
      <c r="J72" s="499"/>
      <c r="K72" s="488"/>
      <c r="L72" s="489"/>
      <c r="M72" s="497"/>
      <c r="N72" s="487"/>
      <c r="O72" s="488"/>
      <c r="P72" s="489"/>
      <c r="Q72" s="490"/>
    </row>
    <row r="73" spans="1:17">
      <c r="A73" s="487">
        <v>351</v>
      </c>
      <c r="B73" s="488"/>
      <c r="C73" s="489">
        <v>4</v>
      </c>
      <c r="D73" s="490" t="s">
        <v>3111</v>
      </c>
      <c r="E73" s="487">
        <v>351</v>
      </c>
      <c r="F73" s="488"/>
      <c r="G73" s="489">
        <v>2</v>
      </c>
      <c r="H73" s="490" t="s">
        <v>3112</v>
      </c>
      <c r="I73" s="484"/>
      <c r="J73" s="487"/>
      <c r="K73" s="488"/>
      <c r="L73" s="489"/>
      <c r="M73" s="490"/>
      <c r="N73" s="487"/>
      <c r="O73" s="488"/>
      <c r="P73" s="489"/>
      <c r="Q73" s="490"/>
    </row>
    <row r="74" spans="1:17">
      <c r="A74" s="487" t="s">
        <v>2978</v>
      </c>
      <c r="B74" s="488"/>
      <c r="C74" s="489">
        <v>5</v>
      </c>
      <c r="D74" s="490" t="s">
        <v>3113</v>
      </c>
      <c r="E74" s="487" t="s">
        <v>2978</v>
      </c>
      <c r="F74" s="488"/>
      <c r="G74" s="489">
        <v>3</v>
      </c>
      <c r="H74" s="496" t="s">
        <v>3114</v>
      </c>
      <c r="I74" s="484"/>
      <c r="J74" s="487"/>
      <c r="K74" s="488"/>
      <c r="L74" s="489"/>
      <c r="M74" s="490"/>
      <c r="N74" s="487"/>
      <c r="O74" s="488"/>
      <c r="P74" s="489"/>
      <c r="Q74" s="490"/>
    </row>
    <row r="75" spans="1:17">
      <c r="A75" s="487">
        <v>351</v>
      </c>
      <c r="B75" s="488"/>
      <c r="C75" s="489">
        <v>6</v>
      </c>
      <c r="D75" s="490" t="s">
        <v>3077</v>
      </c>
      <c r="E75" s="487">
        <v>351</v>
      </c>
      <c r="F75" s="488"/>
      <c r="G75" s="489">
        <v>4</v>
      </c>
      <c r="H75" s="490" t="s">
        <v>3115</v>
      </c>
      <c r="I75" s="484"/>
      <c r="J75" s="487"/>
      <c r="K75" s="488"/>
      <c r="L75" s="489"/>
      <c r="M75" s="490"/>
      <c r="N75" s="487"/>
      <c r="O75" s="488"/>
      <c r="P75" s="489"/>
      <c r="Q75" s="490"/>
    </row>
    <row r="76" spans="1:17">
      <c r="A76" s="487">
        <v>351</v>
      </c>
      <c r="B76" s="488"/>
      <c r="C76" s="489">
        <v>7</v>
      </c>
      <c r="D76" s="490" t="s">
        <v>3079</v>
      </c>
      <c r="E76" s="487" t="s">
        <v>2978</v>
      </c>
      <c r="F76" s="488"/>
      <c r="G76" s="489">
        <v>5</v>
      </c>
      <c r="H76" s="490" t="s">
        <v>3116</v>
      </c>
      <c r="I76" s="484"/>
      <c r="J76" s="487"/>
      <c r="K76" s="488"/>
      <c r="L76" s="489"/>
      <c r="M76" s="490"/>
      <c r="N76" s="487"/>
      <c r="O76" s="488"/>
      <c r="P76" s="489"/>
      <c r="Q76" s="490"/>
    </row>
    <row r="77" spans="1:17">
      <c r="A77" s="487"/>
      <c r="B77" s="491"/>
      <c r="C77" s="498"/>
      <c r="D77" s="497" t="s">
        <v>3014</v>
      </c>
      <c r="E77" s="487">
        <v>351</v>
      </c>
      <c r="F77" s="488"/>
      <c r="G77" s="489">
        <v>6</v>
      </c>
      <c r="H77" s="490" t="s">
        <v>3007</v>
      </c>
      <c r="I77" s="484"/>
      <c r="J77" s="487"/>
      <c r="K77" s="488"/>
      <c r="L77" s="489"/>
      <c r="M77" s="490"/>
      <c r="N77" s="487"/>
      <c r="O77" s="488"/>
      <c r="P77" s="489"/>
      <c r="Q77" s="490"/>
    </row>
    <row r="78" spans="1:17">
      <c r="A78" s="487"/>
      <c r="B78" s="488"/>
      <c r="C78" s="489"/>
      <c r="D78" s="490"/>
      <c r="E78" s="487">
        <v>351</v>
      </c>
      <c r="F78" s="488"/>
      <c r="G78" s="489">
        <v>7</v>
      </c>
      <c r="H78" s="490" t="s">
        <v>3010</v>
      </c>
      <c r="I78" s="484"/>
      <c r="J78" s="487"/>
      <c r="K78" s="488"/>
      <c r="L78" s="489"/>
      <c r="M78" s="490"/>
      <c r="N78" s="487"/>
      <c r="O78" s="491"/>
      <c r="P78" s="489"/>
      <c r="Q78" s="497"/>
    </row>
    <row r="79" spans="1:17">
      <c r="A79" s="487">
        <v>351</v>
      </c>
      <c r="B79" s="488" t="s">
        <v>3061</v>
      </c>
      <c r="C79" s="495">
        <v>1</v>
      </c>
      <c r="D79" s="490" t="s">
        <v>3117</v>
      </c>
      <c r="E79" s="487"/>
      <c r="F79" s="488"/>
      <c r="G79" s="495"/>
      <c r="H79" s="497" t="s">
        <v>3014</v>
      </c>
      <c r="I79" s="484"/>
      <c r="J79" s="487"/>
      <c r="K79" s="488"/>
      <c r="L79" s="489"/>
      <c r="M79" s="490"/>
      <c r="N79" s="487"/>
      <c r="O79" s="488"/>
      <c r="P79" s="489"/>
      <c r="Q79" s="490"/>
    </row>
    <row r="80" spans="1:17">
      <c r="A80" s="487">
        <v>351</v>
      </c>
      <c r="B80" s="488"/>
      <c r="C80" s="495">
        <v>2</v>
      </c>
      <c r="D80" s="490" t="s">
        <v>3118</v>
      </c>
      <c r="E80" s="487"/>
      <c r="F80" s="488"/>
      <c r="G80" s="489"/>
      <c r="H80" s="490"/>
      <c r="I80" s="484"/>
      <c r="J80" s="487"/>
      <c r="K80" s="488"/>
      <c r="L80" s="489"/>
      <c r="M80" s="497"/>
      <c r="N80" s="487"/>
      <c r="O80" s="488"/>
      <c r="P80" s="489"/>
      <c r="Q80" s="490"/>
    </row>
    <row r="81" spans="1:17">
      <c r="A81" s="487" t="s">
        <v>2978</v>
      </c>
      <c r="B81" s="488"/>
      <c r="C81" s="489">
        <v>3</v>
      </c>
      <c r="D81" s="490" t="s">
        <v>3119</v>
      </c>
      <c r="E81" s="487">
        <v>351</v>
      </c>
      <c r="F81" s="488" t="s">
        <v>3020</v>
      </c>
      <c r="G81" s="495">
        <v>1</v>
      </c>
      <c r="H81" s="490" t="s">
        <v>3117</v>
      </c>
      <c r="I81" s="484"/>
      <c r="J81" s="487"/>
      <c r="K81" s="488"/>
      <c r="L81" s="489"/>
      <c r="M81" s="497"/>
      <c r="N81" s="487"/>
      <c r="O81" s="488"/>
      <c r="P81" s="489"/>
      <c r="Q81" s="490"/>
    </row>
    <row r="82" spans="1:17">
      <c r="A82" s="487">
        <v>351</v>
      </c>
      <c r="B82" s="488"/>
      <c r="C82" s="489">
        <v>4</v>
      </c>
      <c r="D82" s="490" t="s">
        <v>3120</v>
      </c>
      <c r="E82" s="487">
        <v>351</v>
      </c>
      <c r="F82" s="488"/>
      <c r="G82" s="495">
        <v>2</v>
      </c>
      <c r="H82" s="490" t="s">
        <v>3121</v>
      </c>
      <c r="I82" s="484"/>
      <c r="J82" s="487"/>
      <c r="K82" s="488"/>
      <c r="L82" s="489"/>
      <c r="M82" s="490"/>
      <c r="N82" s="487"/>
      <c r="O82" s="488"/>
      <c r="P82" s="489"/>
      <c r="Q82" s="490"/>
    </row>
    <row r="83" spans="1:17">
      <c r="A83" s="487">
        <v>353</v>
      </c>
      <c r="B83" s="488" t="s">
        <v>2991</v>
      </c>
      <c r="C83" s="489">
        <v>5</v>
      </c>
      <c r="D83" s="490" t="s">
        <v>3122</v>
      </c>
      <c r="E83" s="487" t="s">
        <v>2978</v>
      </c>
      <c r="F83" s="488"/>
      <c r="G83" s="489">
        <v>3</v>
      </c>
      <c r="H83" s="490" t="s">
        <v>3123</v>
      </c>
      <c r="I83" s="484"/>
      <c r="J83" s="487"/>
      <c r="K83" s="488"/>
      <c r="L83" s="489"/>
      <c r="M83" s="490"/>
      <c r="N83" s="487"/>
      <c r="O83" s="488"/>
      <c r="P83" s="489"/>
      <c r="Q83" s="490"/>
    </row>
    <row r="84" spans="1:17">
      <c r="A84" s="487">
        <v>351</v>
      </c>
      <c r="B84" s="488"/>
      <c r="C84" s="489">
        <v>6</v>
      </c>
      <c r="D84" s="490" t="s">
        <v>3047</v>
      </c>
      <c r="E84" s="487">
        <v>351</v>
      </c>
      <c r="F84" s="488"/>
      <c r="G84" s="489">
        <v>4</v>
      </c>
      <c r="H84" s="490" t="s">
        <v>3124</v>
      </c>
      <c r="I84" s="484"/>
      <c r="J84" s="487"/>
      <c r="K84" s="488"/>
      <c r="L84" s="489"/>
      <c r="M84" s="490"/>
      <c r="N84" s="487"/>
      <c r="O84" s="488"/>
      <c r="P84" s="489"/>
      <c r="Q84" s="490"/>
    </row>
    <row r="85" spans="1:17">
      <c r="A85" s="487">
        <v>351</v>
      </c>
      <c r="B85" s="488"/>
      <c r="C85" s="489">
        <v>7</v>
      </c>
      <c r="D85" s="490" t="s">
        <v>3049</v>
      </c>
      <c r="E85" s="487">
        <v>353</v>
      </c>
      <c r="F85" s="488" t="s">
        <v>2991</v>
      </c>
      <c r="G85" s="489">
        <v>5</v>
      </c>
      <c r="H85" s="490" t="s">
        <v>3125</v>
      </c>
      <c r="I85" s="484"/>
      <c r="J85" s="487"/>
      <c r="K85" s="488"/>
      <c r="L85" s="489"/>
      <c r="M85" s="490"/>
      <c r="N85" s="487"/>
      <c r="O85" s="488"/>
      <c r="P85" s="489"/>
      <c r="Q85" s="490"/>
    </row>
    <row r="86" spans="1:17">
      <c r="A86" s="487"/>
      <c r="B86" s="491"/>
      <c r="C86" s="498"/>
      <c r="D86" s="497" t="s">
        <v>3014</v>
      </c>
      <c r="E86" s="487">
        <v>351</v>
      </c>
      <c r="F86" s="488"/>
      <c r="G86" s="495">
        <v>6</v>
      </c>
      <c r="H86" s="490" t="s">
        <v>3047</v>
      </c>
      <c r="I86" s="484"/>
      <c r="J86" s="487"/>
      <c r="K86" s="488"/>
      <c r="L86" s="489"/>
      <c r="M86" s="490"/>
      <c r="N86" s="487"/>
      <c r="O86" s="488"/>
      <c r="P86" s="489"/>
      <c r="Q86" s="490"/>
    </row>
    <row r="87" spans="1:17">
      <c r="A87" s="487"/>
      <c r="B87" s="488"/>
      <c r="C87" s="489"/>
      <c r="D87" s="490"/>
      <c r="E87" s="487">
        <v>351</v>
      </c>
      <c r="F87" s="488"/>
      <c r="G87" s="489">
        <v>7</v>
      </c>
      <c r="H87" s="490" t="s">
        <v>3080</v>
      </c>
      <c r="I87" s="484"/>
      <c r="J87" s="487"/>
      <c r="K87" s="488"/>
      <c r="L87" s="489"/>
      <c r="M87" s="490"/>
      <c r="N87" s="487"/>
      <c r="O87" s="488"/>
      <c r="P87" s="489"/>
      <c r="Q87" s="490"/>
    </row>
    <row r="88" spans="1:17">
      <c r="A88" s="487">
        <v>351</v>
      </c>
      <c r="B88" s="488" t="s">
        <v>2962</v>
      </c>
      <c r="C88" s="495">
        <v>1</v>
      </c>
      <c r="D88" s="490" t="s">
        <v>3126</v>
      </c>
      <c r="E88" s="487"/>
      <c r="F88" s="491"/>
      <c r="G88" s="498"/>
      <c r="H88" s="497" t="s">
        <v>3014</v>
      </c>
      <c r="I88" s="484"/>
      <c r="J88" s="487"/>
      <c r="K88" s="491"/>
      <c r="L88" s="489"/>
      <c r="M88" s="497"/>
      <c r="N88" s="499"/>
      <c r="O88" s="488"/>
      <c r="P88" s="489"/>
      <c r="Q88" s="497"/>
    </row>
    <row r="89" spans="1:17">
      <c r="A89" s="487">
        <v>351</v>
      </c>
      <c r="B89" s="488"/>
      <c r="C89" s="495">
        <v>2</v>
      </c>
      <c r="D89" s="490" t="s">
        <v>3127</v>
      </c>
      <c r="E89" s="487"/>
      <c r="F89" s="488"/>
      <c r="G89" s="489"/>
      <c r="H89" s="490"/>
      <c r="I89" s="484"/>
      <c r="J89" s="487"/>
      <c r="K89" s="488"/>
      <c r="L89" s="489"/>
      <c r="M89" s="490"/>
      <c r="N89" s="487"/>
      <c r="O89" s="488"/>
      <c r="P89" s="489"/>
      <c r="Q89" s="490"/>
    </row>
    <row r="90" spans="1:17">
      <c r="A90" s="487">
        <v>353</v>
      </c>
      <c r="B90" s="488" t="s">
        <v>2991</v>
      </c>
      <c r="C90" s="489">
        <v>3</v>
      </c>
      <c r="D90" s="490" t="s">
        <v>3128</v>
      </c>
      <c r="E90" s="487">
        <v>351</v>
      </c>
      <c r="F90" s="488" t="s">
        <v>3053</v>
      </c>
      <c r="G90" s="495">
        <v>1</v>
      </c>
      <c r="H90" s="490" t="s">
        <v>3129</v>
      </c>
      <c r="I90" s="484"/>
      <c r="J90" s="487"/>
      <c r="K90" s="488"/>
      <c r="L90" s="489"/>
      <c r="M90" s="490"/>
      <c r="N90" s="487"/>
      <c r="O90" s="488"/>
      <c r="P90" s="489"/>
      <c r="Q90" s="490"/>
    </row>
    <row r="91" spans="1:17">
      <c r="A91" s="487" t="s">
        <v>2978</v>
      </c>
      <c r="B91" s="488"/>
      <c r="C91" s="495"/>
      <c r="D91" s="490" t="s">
        <v>3093</v>
      </c>
      <c r="E91" s="487">
        <v>351</v>
      </c>
      <c r="F91" s="488"/>
      <c r="G91" s="495">
        <v>2</v>
      </c>
      <c r="H91" s="490" t="s">
        <v>3130</v>
      </c>
      <c r="I91" s="484"/>
      <c r="J91" s="487"/>
      <c r="K91" s="488"/>
      <c r="L91" s="489"/>
      <c r="M91" s="490"/>
      <c r="N91" s="487"/>
      <c r="O91" s="488"/>
      <c r="P91" s="489"/>
      <c r="Q91" s="490"/>
    </row>
    <row r="92" spans="1:17">
      <c r="A92" s="487">
        <v>351</v>
      </c>
      <c r="B92" s="488"/>
      <c r="C92" s="489">
        <v>4</v>
      </c>
      <c r="D92" s="490" t="s">
        <v>3131</v>
      </c>
      <c r="E92" s="487">
        <v>353</v>
      </c>
      <c r="F92" s="488" t="s">
        <v>2991</v>
      </c>
      <c r="G92" s="489">
        <v>3</v>
      </c>
      <c r="H92" s="490" t="s">
        <v>3132</v>
      </c>
      <c r="I92" s="484"/>
      <c r="J92" s="487"/>
      <c r="K92" s="488"/>
      <c r="L92" s="489"/>
      <c r="M92" s="490"/>
      <c r="N92" s="487"/>
      <c r="O92" s="488"/>
      <c r="P92" s="489"/>
      <c r="Q92" s="490"/>
    </row>
    <row r="93" spans="1:17">
      <c r="A93" s="487">
        <v>353</v>
      </c>
      <c r="B93" s="488" t="s">
        <v>2991</v>
      </c>
      <c r="C93" s="489">
        <v>5</v>
      </c>
      <c r="D93" s="490" t="s">
        <v>3133</v>
      </c>
      <c r="E93" s="487" t="s">
        <v>2978</v>
      </c>
      <c r="F93" s="488"/>
      <c r="G93" s="495"/>
      <c r="H93" s="490" t="s">
        <v>3093</v>
      </c>
      <c r="I93" s="484"/>
      <c r="J93" s="487"/>
      <c r="K93" s="488"/>
      <c r="L93" s="489"/>
      <c r="M93" s="490"/>
      <c r="N93" s="487"/>
      <c r="O93" s="488"/>
      <c r="P93" s="489"/>
      <c r="Q93" s="490"/>
    </row>
    <row r="94" spans="1:17">
      <c r="A94" s="487">
        <v>351</v>
      </c>
      <c r="B94" s="488"/>
      <c r="C94" s="489">
        <v>6</v>
      </c>
      <c r="D94" s="490" t="s">
        <v>3008</v>
      </c>
      <c r="E94" s="487">
        <v>351</v>
      </c>
      <c r="F94" s="488"/>
      <c r="G94" s="489">
        <v>4</v>
      </c>
      <c r="H94" s="490" t="s">
        <v>3134</v>
      </c>
      <c r="I94" s="484"/>
      <c r="J94" s="487"/>
      <c r="K94" s="488"/>
      <c r="L94" s="489"/>
      <c r="M94" s="490"/>
      <c r="N94" s="487"/>
      <c r="O94" s="488"/>
      <c r="P94" s="489"/>
      <c r="Q94" s="490"/>
    </row>
    <row r="95" spans="1:17">
      <c r="A95" s="487">
        <v>351</v>
      </c>
      <c r="B95" s="488"/>
      <c r="C95" s="489">
        <v>7</v>
      </c>
      <c r="D95" s="490" t="s">
        <v>3011</v>
      </c>
      <c r="E95" s="487">
        <v>353</v>
      </c>
      <c r="F95" s="488" t="s">
        <v>2991</v>
      </c>
      <c r="G95" s="489">
        <v>5</v>
      </c>
      <c r="H95" s="490" t="s">
        <v>3135</v>
      </c>
      <c r="I95" s="484"/>
      <c r="J95" s="487"/>
      <c r="K95" s="488"/>
      <c r="L95" s="489"/>
      <c r="M95" s="490"/>
      <c r="N95" s="487"/>
      <c r="O95" s="488"/>
      <c r="P95" s="489"/>
      <c r="Q95" s="490"/>
    </row>
    <row r="96" spans="1:17">
      <c r="A96" s="487"/>
      <c r="B96" s="491"/>
      <c r="C96" s="498"/>
      <c r="D96" s="497" t="s">
        <v>3014</v>
      </c>
      <c r="E96" s="487">
        <v>351</v>
      </c>
      <c r="F96" s="488"/>
      <c r="G96" s="489">
        <v>6</v>
      </c>
      <c r="H96" s="490" t="s">
        <v>3052</v>
      </c>
      <c r="I96" s="484"/>
      <c r="J96" s="487"/>
      <c r="K96" s="488"/>
      <c r="L96" s="489"/>
      <c r="M96" s="490"/>
      <c r="N96" s="487"/>
      <c r="O96" s="488"/>
      <c r="P96" s="489"/>
      <c r="Q96" s="490"/>
    </row>
    <row r="97" spans="1:17">
      <c r="A97" s="487"/>
      <c r="B97" s="488"/>
      <c r="C97" s="489"/>
      <c r="D97" s="490"/>
      <c r="E97" s="487">
        <v>351</v>
      </c>
      <c r="F97" s="488"/>
      <c r="G97" s="489">
        <v>7</v>
      </c>
      <c r="H97" s="490" t="s">
        <v>3055</v>
      </c>
      <c r="I97" s="484"/>
      <c r="J97" s="487"/>
      <c r="K97" s="488"/>
      <c r="L97" s="489"/>
      <c r="M97" s="490"/>
      <c r="N97" s="487"/>
      <c r="O97" s="488"/>
      <c r="P97" s="489"/>
      <c r="Q97" s="490"/>
    </row>
    <row r="98" spans="1:17">
      <c r="A98" s="487"/>
      <c r="B98" s="488"/>
      <c r="C98" s="489"/>
      <c r="D98" s="490"/>
      <c r="E98" s="487"/>
      <c r="F98" s="491"/>
      <c r="G98" s="498"/>
      <c r="H98" s="497" t="s">
        <v>3014</v>
      </c>
      <c r="I98" s="500"/>
      <c r="J98" s="487"/>
      <c r="K98" s="488"/>
      <c r="L98" s="489"/>
      <c r="M98" s="497"/>
      <c r="N98" s="487"/>
      <c r="O98" s="488"/>
      <c r="P98" s="489"/>
      <c r="Q98" s="497"/>
    </row>
    <row r="99" spans="1:17">
      <c r="A99" s="487"/>
      <c r="B99" s="491"/>
      <c r="C99" s="489"/>
      <c r="D99" s="497"/>
      <c r="E99" s="487"/>
      <c r="F99" s="488"/>
      <c r="G99" s="489"/>
      <c r="H99" s="497"/>
      <c r="I99" s="500"/>
      <c r="J99" s="490"/>
      <c r="K99" s="491"/>
      <c r="L99" s="493"/>
      <c r="M99" s="490"/>
      <c r="N99" s="499"/>
      <c r="O99" s="488"/>
      <c r="P99" s="489"/>
      <c r="Q99" s="497"/>
    </row>
    <row r="100" spans="1:17">
      <c r="A100" s="487"/>
      <c r="B100" s="491"/>
      <c r="C100" s="489"/>
      <c r="D100" s="490"/>
      <c r="E100" s="490"/>
      <c r="F100" s="491"/>
      <c r="G100" s="493"/>
      <c r="H100" s="490"/>
      <c r="I100" s="500"/>
      <c r="J100" s="487"/>
      <c r="K100" s="491"/>
      <c r="L100" s="489"/>
      <c r="M100" s="490"/>
      <c r="N100" s="490"/>
      <c r="O100" s="491"/>
      <c r="P100" s="493"/>
      <c r="Q100" s="490"/>
    </row>
  </sheetData>
  <mergeCells count="6">
    <mergeCell ref="A1:Q1"/>
    <mergeCell ref="A2:B2"/>
    <mergeCell ref="J2:K2"/>
    <mergeCell ref="A51:Q51"/>
    <mergeCell ref="A52:B52"/>
    <mergeCell ref="J52:K52"/>
  </mergeCells>
  <phoneticPr fontId="1" type="noConversion"/>
  <pageMargins left="0.39370078740157483" right="0" top="0.39370078740157483" bottom="0" header="0" footer="0"/>
  <pageSetup paperSize="8"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6"/>
  <dimension ref="A1:AAY36"/>
  <sheetViews>
    <sheetView workbookViewId="0">
      <selection activeCell="Q31" sqref="Q31"/>
    </sheetView>
  </sheetViews>
  <sheetFormatPr defaultRowHeight="16.5"/>
  <cols>
    <col min="1" max="1" width="14.5" customWidth="1"/>
    <col min="2" max="2" width="18.25" customWidth="1"/>
    <col min="3" max="5" width="11.875" bestFit="1" customWidth="1"/>
    <col min="6" max="6" width="13.75" bestFit="1" customWidth="1"/>
    <col min="7" max="7" width="8.75" customWidth="1"/>
    <col min="81" max="81" width="18.625" customWidth="1"/>
    <col min="82" max="82" width="26.5" customWidth="1"/>
  </cols>
  <sheetData>
    <row r="1" spans="1:727" ht="23.45" customHeight="1">
      <c r="A1" s="510" t="s">
        <v>3154</v>
      </c>
      <c r="B1" s="510" t="s">
        <v>3202</v>
      </c>
    </row>
    <row r="2" spans="1:727" ht="23.45" customHeight="1">
      <c r="A2" s="511" t="s">
        <v>87</v>
      </c>
      <c r="B2" s="512">
        <v>44388</v>
      </c>
    </row>
    <row r="4" spans="1:727">
      <c r="GB4" t="s">
        <v>3203</v>
      </c>
      <c r="GC4" t="s">
        <v>3290</v>
      </c>
      <c r="GH4" t="s">
        <v>3291</v>
      </c>
      <c r="GM4" t="s">
        <v>3292</v>
      </c>
      <c r="GR4" t="s">
        <v>3293</v>
      </c>
      <c r="GW4" t="s">
        <v>3294</v>
      </c>
      <c r="HB4" t="s">
        <v>3203</v>
      </c>
      <c r="HC4" t="s">
        <v>3295</v>
      </c>
      <c r="HH4" t="s">
        <v>3296</v>
      </c>
      <c r="HM4" t="s">
        <v>3297</v>
      </c>
      <c r="HR4" t="s">
        <v>3298</v>
      </c>
      <c r="HW4" t="s">
        <v>3299</v>
      </c>
      <c r="IB4" t="s">
        <v>3203</v>
      </c>
      <c r="IC4" t="s">
        <v>3300</v>
      </c>
      <c r="IH4" t="s">
        <v>3301</v>
      </c>
      <c r="IM4" t="s">
        <v>3302</v>
      </c>
      <c r="IR4" t="s">
        <v>3303</v>
      </c>
      <c r="IW4" t="s">
        <v>3304</v>
      </c>
      <c r="JB4" t="s">
        <v>3203</v>
      </c>
      <c r="JC4" t="s">
        <v>3305</v>
      </c>
      <c r="JH4" t="s">
        <v>3306</v>
      </c>
      <c r="JM4" t="s">
        <v>3307</v>
      </c>
      <c r="JR4" t="s">
        <v>3308</v>
      </c>
      <c r="JW4" t="s">
        <v>3309</v>
      </c>
      <c r="KB4" t="s">
        <v>3203</v>
      </c>
      <c r="KC4" t="s">
        <v>85</v>
      </c>
      <c r="KH4" t="s">
        <v>85</v>
      </c>
      <c r="KM4" t="s">
        <v>85</v>
      </c>
      <c r="KR4" t="s">
        <v>85</v>
      </c>
      <c r="KW4" t="s">
        <v>85</v>
      </c>
      <c r="LB4" t="s">
        <v>3203</v>
      </c>
      <c r="LC4" t="s">
        <v>85</v>
      </c>
      <c r="LH4" t="s">
        <v>85</v>
      </c>
      <c r="LM4" t="s">
        <v>85</v>
      </c>
      <c r="LR4" t="s">
        <v>85</v>
      </c>
      <c r="LW4" t="s">
        <v>85</v>
      </c>
      <c r="MB4" t="s">
        <v>3203</v>
      </c>
      <c r="MC4" t="s">
        <v>85</v>
      </c>
      <c r="MH4" t="s">
        <v>85</v>
      </c>
      <c r="MM4" t="s">
        <v>85</v>
      </c>
      <c r="MR4" t="s">
        <v>85</v>
      </c>
      <c r="MW4" t="s">
        <v>85</v>
      </c>
      <c r="NA4" t="s">
        <v>3203</v>
      </c>
      <c r="NB4" t="s">
        <v>3275</v>
      </c>
      <c r="NG4" t="s">
        <v>93</v>
      </c>
      <c r="NL4" t="s">
        <v>94</v>
      </c>
      <c r="NQ4" t="s">
        <v>95</v>
      </c>
      <c r="NV4" t="s">
        <v>96</v>
      </c>
      <c r="OA4" t="s">
        <v>3203</v>
      </c>
      <c r="OB4" t="s">
        <v>3208</v>
      </c>
      <c r="OG4" t="s">
        <v>3209</v>
      </c>
      <c r="OL4" t="s">
        <v>3210</v>
      </c>
      <c r="OQ4" t="s">
        <v>85</v>
      </c>
      <c r="OV4" t="s">
        <v>85</v>
      </c>
      <c r="PA4" t="s">
        <v>3203</v>
      </c>
      <c r="PB4" t="s">
        <v>3276</v>
      </c>
      <c r="PG4" t="s">
        <v>3277</v>
      </c>
      <c r="PL4" t="s">
        <v>3278</v>
      </c>
      <c r="PQ4" t="s">
        <v>3279</v>
      </c>
      <c r="PV4" t="s">
        <v>3280</v>
      </c>
      <c r="QA4" t="s">
        <v>3203</v>
      </c>
      <c r="QB4" t="s">
        <v>3281</v>
      </c>
      <c r="QG4" t="s">
        <v>3282</v>
      </c>
      <c r="QL4" t="s">
        <v>85</v>
      </c>
      <c r="QQ4" t="s">
        <v>85</v>
      </c>
      <c r="QV4" t="s">
        <v>85</v>
      </c>
      <c r="RA4" t="s">
        <v>3203</v>
      </c>
      <c r="RB4" t="s">
        <v>3283</v>
      </c>
      <c r="RG4" t="s">
        <v>3284</v>
      </c>
      <c r="RL4" t="s">
        <v>3285</v>
      </c>
      <c r="RQ4" t="s">
        <v>3286</v>
      </c>
      <c r="RV4" t="s">
        <v>3287</v>
      </c>
      <c r="SA4" t="s">
        <v>3203</v>
      </c>
      <c r="SB4" t="s">
        <v>3288</v>
      </c>
      <c r="SG4" t="s">
        <v>85</v>
      </c>
      <c r="SL4" t="s">
        <v>85</v>
      </c>
      <c r="SQ4" t="s">
        <v>85</v>
      </c>
      <c r="SV4" t="s">
        <v>85</v>
      </c>
      <c r="TA4" t="s">
        <v>3203</v>
      </c>
      <c r="TB4" t="s">
        <v>3310</v>
      </c>
      <c r="TG4" t="s">
        <v>3311</v>
      </c>
      <c r="TL4" t="s">
        <v>3312</v>
      </c>
      <c r="TQ4" t="s">
        <v>3313</v>
      </c>
      <c r="TV4" t="s">
        <v>3314</v>
      </c>
      <c r="UA4" t="s">
        <v>3203</v>
      </c>
      <c r="UB4" t="s">
        <v>3315</v>
      </c>
      <c r="UG4" t="s">
        <v>85</v>
      </c>
      <c r="UL4" t="s">
        <v>85</v>
      </c>
      <c r="UQ4" t="s">
        <v>85</v>
      </c>
      <c r="UV4" t="s">
        <v>85</v>
      </c>
      <c r="UZ4" t="s">
        <v>3203</v>
      </c>
      <c r="VA4" t="s">
        <v>3275</v>
      </c>
      <c r="VF4" t="s">
        <v>93</v>
      </c>
      <c r="VK4" t="s">
        <v>94</v>
      </c>
      <c r="VP4" t="s">
        <v>95</v>
      </c>
      <c r="VU4" t="s">
        <v>96</v>
      </c>
      <c r="VX4" t="s">
        <v>3203</v>
      </c>
      <c r="VY4" t="s">
        <v>3275</v>
      </c>
      <c r="WD4" t="s">
        <v>93</v>
      </c>
      <c r="WI4" t="s">
        <v>94</v>
      </c>
      <c r="WN4" t="s">
        <v>95</v>
      </c>
      <c r="WS4" t="s">
        <v>96</v>
      </c>
      <c r="WX4" t="s">
        <v>3203</v>
      </c>
      <c r="WY4" t="s">
        <v>3208</v>
      </c>
      <c r="XD4" t="s">
        <v>3209</v>
      </c>
      <c r="XI4" t="s">
        <v>3210</v>
      </c>
      <c r="XN4" t="s">
        <v>85</v>
      </c>
      <c r="XS4" t="s">
        <v>85</v>
      </c>
      <c r="XX4" t="s">
        <v>3203</v>
      </c>
      <c r="XY4" t="s">
        <v>3276</v>
      </c>
      <c r="YD4" t="s">
        <v>3277</v>
      </c>
      <c r="YI4" t="s">
        <v>3278</v>
      </c>
      <c r="YN4" t="s">
        <v>3279</v>
      </c>
      <c r="YS4" t="s">
        <v>3280</v>
      </c>
      <c r="YX4" t="s">
        <v>3203</v>
      </c>
      <c r="YY4" t="s">
        <v>3281</v>
      </c>
      <c r="ZD4" t="s">
        <v>3282</v>
      </c>
      <c r="ZI4" t="s">
        <v>85</v>
      </c>
      <c r="ZN4" t="s">
        <v>85</v>
      </c>
      <c r="ZS4" t="s">
        <v>85</v>
      </c>
      <c r="ZX4" t="s">
        <v>3203</v>
      </c>
      <c r="ZY4" t="s">
        <v>771</v>
      </c>
      <c r="ZZ4" t="s">
        <v>359</v>
      </c>
      <c r="AAA4" t="s">
        <v>381</v>
      </c>
      <c r="AAD4" t="s">
        <v>3284</v>
      </c>
      <c r="AAE4" t="s">
        <v>360</v>
      </c>
      <c r="AAF4" t="s">
        <v>358</v>
      </c>
      <c r="AAI4" t="s">
        <v>3285</v>
      </c>
      <c r="AAJ4" t="s">
        <v>361</v>
      </c>
      <c r="AAK4" t="s">
        <v>358</v>
      </c>
      <c r="AAN4" t="s">
        <v>3286</v>
      </c>
      <c r="AAO4" t="s">
        <v>362</v>
      </c>
      <c r="AAP4" t="s">
        <v>358</v>
      </c>
      <c r="AAS4" t="s">
        <v>3287</v>
      </c>
      <c r="AAT4" t="s">
        <v>363</v>
      </c>
      <c r="AAU4" t="s">
        <v>358</v>
      </c>
    </row>
    <row r="5" spans="1:727">
      <c r="A5" s="483" t="s">
        <v>771</v>
      </c>
      <c r="B5" s="503" t="s">
        <v>5356</v>
      </c>
      <c r="C5" s="503" t="s">
        <v>5357</v>
      </c>
      <c r="D5" s="503" t="s">
        <v>5358</v>
      </c>
      <c r="E5" s="503" t="s">
        <v>5359</v>
      </c>
      <c r="F5" s="503" t="s">
        <v>5360</v>
      </c>
      <c r="G5" s="593"/>
      <c r="H5" s="593"/>
      <c r="I5" s="593"/>
      <c r="J5" s="593"/>
      <c r="K5" s="593"/>
      <c r="L5" s="502"/>
      <c r="M5" s="502"/>
      <c r="N5" s="502"/>
      <c r="O5" s="502"/>
      <c r="P5" s="502"/>
      <c r="Q5" s="504"/>
      <c r="R5" s="504"/>
      <c r="S5" s="504"/>
      <c r="T5" s="504"/>
      <c r="U5" s="504"/>
      <c r="V5" s="505"/>
      <c r="W5" s="505"/>
      <c r="X5" s="505"/>
      <c r="Y5" s="505"/>
      <c r="Z5" s="505"/>
      <c r="AA5" s="506"/>
      <c r="AB5" s="506"/>
      <c r="AC5" s="506"/>
      <c r="AD5" s="506"/>
      <c r="AE5" s="506"/>
      <c r="AF5" s="506"/>
      <c r="AG5" s="507"/>
      <c r="AH5" s="507"/>
      <c r="AI5" s="507"/>
      <c r="AJ5" s="507"/>
      <c r="AK5" s="507"/>
      <c r="AL5" s="508"/>
      <c r="AM5" s="508"/>
      <c r="AN5" s="508"/>
      <c r="AO5" s="508"/>
      <c r="AP5" s="508"/>
      <c r="AQ5" s="509"/>
      <c r="AR5" s="509"/>
      <c r="AS5" s="509"/>
      <c r="AT5" s="509"/>
      <c r="AU5" s="509"/>
      <c r="AV5" s="483"/>
      <c r="AW5" s="483"/>
      <c r="AX5" s="483"/>
      <c r="AY5" s="483"/>
      <c r="AZ5" s="483"/>
      <c r="BA5" s="483"/>
      <c r="BB5" s="483"/>
      <c r="BC5" s="483"/>
      <c r="BD5" s="483"/>
      <c r="BE5" s="483"/>
      <c r="BF5" s="483"/>
      <c r="BG5" s="483"/>
      <c r="BH5" s="483"/>
      <c r="BI5" s="483"/>
      <c r="BJ5" s="483"/>
      <c r="BK5" s="483"/>
      <c r="BL5" s="483"/>
      <c r="BM5" s="483"/>
      <c r="BN5" s="483"/>
      <c r="BO5" s="483"/>
      <c r="BP5" s="483"/>
      <c r="GA5" t="s">
        <v>764</v>
      </c>
      <c r="GC5" t="s">
        <v>3204</v>
      </c>
      <c r="GD5" t="s">
        <v>3205</v>
      </c>
      <c r="GE5" t="s">
        <v>3206</v>
      </c>
      <c r="GF5" t="s">
        <v>3207</v>
      </c>
      <c r="GG5" t="s">
        <v>764</v>
      </c>
      <c r="GH5" t="s">
        <v>3204</v>
      </c>
      <c r="GI5" t="s">
        <v>3205</v>
      </c>
      <c r="GJ5" t="s">
        <v>3206</v>
      </c>
      <c r="GK5" t="s">
        <v>3207</v>
      </c>
      <c r="GL5" t="s">
        <v>764</v>
      </c>
      <c r="GM5" t="s">
        <v>3204</v>
      </c>
      <c r="GN5" t="s">
        <v>3205</v>
      </c>
      <c r="GO5" t="s">
        <v>3206</v>
      </c>
      <c r="GP5" t="s">
        <v>3207</v>
      </c>
      <c r="GQ5" t="s">
        <v>764</v>
      </c>
      <c r="GR5" t="s">
        <v>3204</v>
      </c>
      <c r="GS5" t="s">
        <v>3205</v>
      </c>
      <c r="GT5" t="s">
        <v>3206</v>
      </c>
      <c r="GU5" t="s">
        <v>3207</v>
      </c>
      <c r="GV5" t="s">
        <v>764</v>
      </c>
      <c r="GW5" t="s">
        <v>3204</v>
      </c>
      <c r="GX5" t="s">
        <v>3205</v>
      </c>
      <c r="GY5" t="s">
        <v>3206</v>
      </c>
      <c r="GZ5" t="s">
        <v>3207</v>
      </c>
      <c r="HA5" t="s">
        <v>764</v>
      </c>
      <c r="HC5" t="s">
        <v>3204</v>
      </c>
      <c r="HD5" t="s">
        <v>3205</v>
      </c>
      <c r="HE5" t="s">
        <v>3206</v>
      </c>
      <c r="HF5" t="s">
        <v>3207</v>
      </c>
      <c r="HG5" t="s">
        <v>764</v>
      </c>
      <c r="HH5" t="s">
        <v>3204</v>
      </c>
      <c r="HI5" t="s">
        <v>3205</v>
      </c>
      <c r="HJ5" t="s">
        <v>3206</v>
      </c>
      <c r="HK5" t="s">
        <v>3207</v>
      </c>
      <c r="HL5" t="s">
        <v>764</v>
      </c>
      <c r="HM5" t="s">
        <v>3204</v>
      </c>
      <c r="HN5" t="s">
        <v>3205</v>
      </c>
      <c r="HO5" t="s">
        <v>3206</v>
      </c>
      <c r="HP5" t="s">
        <v>3207</v>
      </c>
      <c r="HQ5" t="s">
        <v>764</v>
      </c>
      <c r="HR5" t="s">
        <v>3204</v>
      </c>
      <c r="HS5" t="s">
        <v>3205</v>
      </c>
      <c r="HT5" t="s">
        <v>3206</v>
      </c>
      <c r="HU5" t="s">
        <v>3207</v>
      </c>
      <c r="HV5" t="s">
        <v>764</v>
      </c>
      <c r="HW5" t="s">
        <v>3204</v>
      </c>
      <c r="HX5" t="s">
        <v>3205</v>
      </c>
      <c r="HY5" t="s">
        <v>3206</v>
      </c>
      <c r="HZ5" t="s">
        <v>3207</v>
      </c>
      <c r="IA5" t="s">
        <v>764</v>
      </c>
      <c r="IC5" t="s">
        <v>3204</v>
      </c>
      <c r="ID5" t="s">
        <v>3205</v>
      </c>
      <c r="IE5" t="s">
        <v>3206</v>
      </c>
      <c r="IF5" t="s">
        <v>3207</v>
      </c>
      <c r="IG5" t="s">
        <v>764</v>
      </c>
      <c r="IH5" t="s">
        <v>3204</v>
      </c>
      <c r="II5" t="s">
        <v>3205</v>
      </c>
      <c r="IJ5" t="s">
        <v>3206</v>
      </c>
      <c r="IK5" t="s">
        <v>3207</v>
      </c>
      <c r="IL5" t="s">
        <v>764</v>
      </c>
      <c r="IM5" t="s">
        <v>3204</v>
      </c>
      <c r="IN5" t="s">
        <v>3205</v>
      </c>
      <c r="IO5" t="s">
        <v>3206</v>
      </c>
      <c r="IP5" t="s">
        <v>3207</v>
      </c>
      <c r="IQ5" t="s">
        <v>764</v>
      </c>
      <c r="IR5" t="s">
        <v>3204</v>
      </c>
      <c r="IS5" t="s">
        <v>3205</v>
      </c>
      <c r="IT5" t="s">
        <v>3206</v>
      </c>
      <c r="IU5" t="s">
        <v>3207</v>
      </c>
      <c r="IV5" t="s">
        <v>764</v>
      </c>
      <c r="IW5" t="s">
        <v>3204</v>
      </c>
      <c r="IX5" t="s">
        <v>3205</v>
      </c>
      <c r="IY5" t="s">
        <v>3206</v>
      </c>
      <c r="IZ5" t="s">
        <v>3207</v>
      </c>
      <c r="JA5" t="s">
        <v>764</v>
      </c>
      <c r="JC5" t="s">
        <v>3204</v>
      </c>
      <c r="JD5" t="s">
        <v>3205</v>
      </c>
      <c r="JE5" t="s">
        <v>3206</v>
      </c>
      <c r="JF5" t="s">
        <v>3207</v>
      </c>
      <c r="JG5" t="s">
        <v>764</v>
      </c>
      <c r="JH5" t="s">
        <v>3204</v>
      </c>
      <c r="JI5" t="s">
        <v>3205</v>
      </c>
      <c r="JJ5" t="s">
        <v>3206</v>
      </c>
      <c r="JK5" t="s">
        <v>3207</v>
      </c>
      <c r="JL5" t="s">
        <v>764</v>
      </c>
      <c r="JM5" t="s">
        <v>3204</v>
      </c>
      <c r="JN5" t="s">
        <v>3205</v>
      </c>
      <c r="JO5" t="s">
        <v>3206</v>
      </c>
      <c r="JP5" t="s">
        <v>3207</v>
      </c>
      <c r="JQ5" t="s">
        <v>764</v>
      </c>
      <c r="JR5" t="s">
        <v>3204</v>
      </c>
      <c r="JS5" t="s">
        <v>3205</v>
      </c>
      <c r="JT5" t="s">
        <v>3206</v>
      </c>
      <c r="JU5" t="s">
        <v>3207</v>
      </c>
      <c r="JV5" t="s">
        <v>764</v>
      </c>
      <c r="JW5" t="s">
        <v>3204</v>
      </c>
      <c r="JX5" t="s">
        <v>3205</v>
      </c>
      <c r="JY5" t="s">
        <v>3206</v>
      </c>
      <c r="JZ5" t="s">
        <v>3207</v>
      </c>
      <c r="KA5" t="s">
        <v>764</v>
      </c>
      <c r="KC5" t="s">
        <v>3204</v>
      </c>
      <c r="KD5" t="s">
        <v>3205</v>
      </c>
      <c r="KE5" t="s">
        <v>3206</v>
      </c>
      <c r="KF5" t="s">
        <v>3207</v>
      </c>
      <c r="KG5" t="s">
        <v>764</v>
      </c>
      <c r="KH5" t="s">
        <v>3204</v>
      </c>
      <c r="KI5" t="s">
        <v>3205</v>
      </c>
      <c r="KJ5" t="s">
        <v>3206</v>
      </c>
      <c r="KK5" t="s">
        <v>3207</v>
      </c>
      <c r="KL5" t="s">
        <v>764</v>
      </c>
      <c r="KM5" t="s">
        <v>3204</v>
      </c>
      <c r="KN5" t="s">
        <v>3205</v>
      </c>
      <c r="KO5" t="s">
        <v>3206</v>
      </c>
      <c r="KP5" t="s">
        <v>3207</v>
      </c>
      <c r="KQ5" t="s">
        <v>764</v>
      </c>
      <c r="KR5" t="s">
        <v>3204</v>
      </c>
      <c r="KS5" t="s">
        <v>3205</v>
      </c>
      <c r="KT5" t="s">
        <v>3206</v>
      </c>
      <c r="KU5" t="s">
        <v>3207</v>
      </c>
      <c r="KV5" t="s">
        <v>764</v>
      </c>
      <c r="KW5" t="s">
        <v>3204</v>
      </c>
      <c r="KX5" t="s">
        <v>3205</v>
      </c>
      <c r="KY5" t="s">
        <v>3206</v>
      </c>
      <c r="KZ5" t="s">
        <v>3207</v>
      </c>
      <c r="LA5" t="s">
        <v>764</v>
      </c>
      <c r="LC5" t="s">
        <v>3204</v>
      </c>
      <c r="LD5" t="s">
        <v>3205</v>
      </c>
      <c r="LE5" t="s">
        <v>3206</v>
      </c>
      <c r="LF5" t="s">
        <v>3207</v>
      </c>
      <c r="LG5" t="s">
        <v>764</v>
      </c>
      <c r="LH5" t="s">
        <v>3204</v>
      </c>
      <c r="LI5" t="s">
        <v>3205</v>
      </c>
      <c r="LJ5" t="s">
        <v>3206</v>
      </c>
      <c r="LK5" t="s">
        <v>3207</v>
      </c>
      <c r="LL5" t="s">
        <v>764</v>
      </c>
      <c r="LM5" t="s">
        <v>3204</v>
      </c>
      <c r="LN5" t="s">
        <v>3205</v>
      </c>
      <c r="LO5" t="s">
        <v>3206</v>
      </c>
      <c r="LP5" t="s">
        <v>3207</v>
      </c>
      <c r="LQ5" t="s">
        <v>764</v>
      </c>
      <c r="LR5" t="s">
        <v>3204</v>
      </c>
      <c r="LS5" t="s">
        <v>3205</v>
      </c>
      <c r="LT5" t="s">
        <v>3206</v>
      </c>
      <c r="LU5" t="s">
        <v>3207</v>
      </c>
      <c r="LV5" t="s">
        <v>764</v>
      </c>
      <c r="LW5" t="s">
        <v>3204</v>
      </c>
      <c r="LX5" t="s">
        <v>3205</v>
      </c>
      <c r="LY5" t="s">
        <v>3206</v>
      </c>
      <c r="LZ5" t="s">
        <v>3207</v>
      </c>
      <c r="MA5" t="s">
        <v>764</v>
      </c>
      <c r="MC5" t="s">
        <v>3204</v>
      </c>
      <c r="MD5" t="s">
        <v>3205</v>
      </c>
      <c r="ME5" t="s">
        <v>3206</v>
      </c>
      <c r="MF5" t="s">
        <v>3207</v>
      </c>
      <c r="MG5" t="s">
        <v>764</v>
      </c>
      <c r="MH5" t="s">
        <v>3204</v>
      </c>
      <c r="MI5" t="s">
        <v>3205</v>
      </c>
      <c r="MJ5" t="s">
        <v>3206</v>
      </c>
      <c r="MK5" t="s">
        <v>3207</v>
      </c>
      <c r="ML5" t="s">
        <v>764</v>
      </c>
      <c r="MM5" t="s">
        <v>3204</v>
      </c>
      <c r="MN5" t="s">
        <v>3205</v>
      </c>
      <c r="MO5" t="s">
        <v>3206</v>
      </c>
      <c r="MP5" t="s">
        <v>3207</v>
      </c>
      <c r="MQ5" t="s">
        <v>764</v>
      </c>
      <c r="MR5" t="s">
        <v>3204</v>
      </c>
      <c r="MS5" t="s">
        <v>3205</v>
      </c>
      <c r="MT5" t="s">
        <v>3206</v>
      </c>
      <c r="MU5" t="s">
        <v>3207</v>
      </c>
      <c r="MV5" t="s">
        <v>764</v>
      </c>
      <c r="MW5" t="s">
        <v>3204</v>
      </c>
      <c r="MX5" t="s">
        <v>3205</v>
      </c>
      <c r="MY5" t="s">
        <v>3206</v>
      </c>
      <c r="MZ5" t="s">
        <v>3207</v>
      </c>
      <c r="NA5" t="s">
        <v>764</v>
      </c>
      <c r="NB5" t="s">
        <v>3204</v>
      </c>
      <c r="NC5" t="s">
        <v>3205</v>
      </c>
      <c r="ND5" t="s">
        <v>3206</v>
      </c>
      <c r="NE5" t="s">
        <v>3207</v>
      </c>
      <c r="NF5" t="s">
        <v>764</v>
      </c>
      <c r="NG5" t="s">
        <v>3204</v>
      </c>
      <c r="NH5" t="s">
        <v>3205</v>
      </c>
      <c r="NI5" t="s">
        <v>3206</v>
      </c>
      <c r="NJ5" t="s">
        <v>3207</v>
      </c>
      <c r="NK5" t="s">
        <v>764</v>
      </c>
      <c r="NL5" t="s">
        <v>3204</v>
      </c>
      <c r="NM5" t="s">
        <v>3205</v>
      </c>
      <c r="NN5" t="s">
        <v>3206</v>
      </c>
      <c r="NO5" t="s">
        <v>3207</v>
      </c>
      <c r="NP5" t="s">
        <v>764</v>
      </c>
      <c r="NQ5" t="s">
        <v>3204</v>
      </c>
      <c r="NR5" t="s">
        <v>3205</v>
      </c>
      <c r="NS5" t="s">
        <v>3206</v>
      </c>
      <c r="NT5" t="s">
        <v>3207</v>
      </c>
      <c r="NU5" t="s">
        <v>764</v>
      </c>
      <c r="NV5" t="s">
        <v>3204</v>
      </c>
      <c r="NW5" t="s">
        <v>3205</v>
      </c>
      <c r="NX5" t="s">
        <v>3206</v>
      </c>
      <c r="NY5" t="s">
        <v>3207</v>
      </c>
      <c r="NZ5" t="s">
        <v>764</v>
      </c>
      <c r="OB5" t="s">
        <v>3204</v>
      </c>
      <c r="OC5" t="s">
        <v>3205</v>
      </c>
      <c r="OD5" t="s">
        <v>3206</v>
      </c>
      <c r="OE5" t="s">
        <v>3207</v>
      </c>
      <c r="OF5" t="s">
        <v>764</v>
      </c>
      <c r="OG5" t="s">
        <v>3204</v>
      </c>
      <c r="OH5" t="s">
        <v>3205</v>
      </c>
      <c r="OI5" t="s">
        <v>3206</v>
      </c>
      <c r="OJ5" t="s">
        <v>3207</v>
      </c>
      <c r="OK5" t="s">
        <v>764</v>
      </c>
      <c r="OL5" t="s">
        <v>3204</v>
      </c>
      <c r="OM5" t="s">
        <v>3205</v>
      </c>
      <c r="ON5" t="s">
        <v>3206</v>
      </c>
      <c r="OO5" t="s">
        <v>3207</v>
      </c>
      <c r="OP5" t="s">
        <v>764</v>
      </c>
      <c r="OQ5" t="s">
        <v>3204</v>
      </c>
      <c r="OR5" t="s">
        <v>3205</v>
      </c>
      <c r="OS5" t="s">
        <v>3206</v>
      </c>
      <c r="OT5" t="s">
        <v>3207</v>
      </c>
      <c r="OU5" t="s">
        <v>764</v>
      </c>
      <c r="OV5" t="s">
        <v>3204</v>
      </c>
      <c r="OW5" t="s">
        <v>3205</v>
      </c>
      <c r="OX5" t="s">
        <v>3206</v>
      </c>
      <c r="OY5" t="s">
        <v>3207</v>
      </c>
      <c r="OZ5" t="s">
        <v>764</v>
      </c>
      <c r="PB5" t="s">
        <v>3204</v>
      </c>
      <c r="PC5" t="s">
        <v>3205</v>
      </c>
      <c r="PD5" t="s">
        <v>3206</v>
      </c>
      <c r="PE5" t="s">
        <v>3207</v>
      </c>
      <c r="PF5" t="s">
        <v>764</v>
      </c>
      <c r="PG5" t="s">
        <v>3204</v>
      </c>
      <c r="PH5" t="s">
        <v>3205</v>
      </c>
      <c r="PI5" t="s">
        <v>3206</v>
      </c>
      <c r="PJ5" t="s">
        <v>3207</v>
      </c>
      <c r="PK5" t="s">
        <v>764</v>
      </c>
      <c r="PL5" t="s">
        <v>3204</v>
      </c>
      <c r="PM5" t="s">
        <v>3205</v>
      </c>
      <c r="PN5" t="s">
        <v>3206</v>
      </c>
      <c r="PO5" t="s">
        <v>3207</v>
      </c>
      <c r="PP5" t="s">
        <v>764</v>
      </c>
      <c r="PQ5" t="s">
        <v>3204</v>
      </c>
      <c r="PR5" t="s">
        <v>3205</v>
      </c>
      <c r="PS5" t="s">
        <v>3206</v>
      </c>
      <c r="PT5" t="s">
        <v>3207</v>
      </c>
      <c r="PU5" t="s">
        <v>764</v>
      </c>
      <c r="PV5" t="s">
        <v>3204</v>
      </c>
      <c r="PW5" t="s">
        <v>3205</v>
      </c>
      <c r="PX5" t="s">
        <v>3206</v>
      </c>
      <c r="PY5" t="s">
        <v>3207</v>
      </c>
      <c r="PZ5" t="s">
        <v>764</v>
      </c>
      <c r="QB5" t="s">
        <v>3204</v>
      </c>
      <c r="QC5" t="s">
        <v>3205</v>
      </c>
      <c r="QD5" t="s">
        <v>3206</v>
      </c>
      <c r="QE5" t="s">
        <v>3207</v>
      </c>
      <c r="QF5" t="s">
        <v>764</v>
      </c>
      <c r="QG5" t="s">
        <v>3204</v>
      </c>
      <c r="QH5" t="s">
        <v>3205</v>
      </c>
      <c r="QI5" t="s">
        <v>3206</v>
      </c>
      <c r="QJ5" t="s">
        <v>3207</v>
      </c>
      <c r="QK5" t="s">
        <v>764</v>
      </c>
      <c r="QL5" t="s">
        <v>3204</v>
      </c>
      <c r="QM5" t="s">
        <v>3205</v>
      </c>
      <c r="QN5" t="s">
        <v>3206</v>
      </c>
      <c r="QO5" t="s">
        <v>3207</v>
      </c>
      <c r="QP5" t="s">
        <v>764</v>
      </c>
      <c r="QQ5" t="s">
        <v>3204</v>
      </c>
      <c r="QR5" t="s">
        <v>3205</v>
      </c>
      <c r="QS5" t="s">
        <v>3206</v>
      </c>
      <c r="QT5" t="s">
        <v>3207</v>
      </c>
      <c r="QU5" t="s">
        <v>764</v>
      </c>
      <c r="QV5" t="s">
        <v>3204</v>
      </c>
      <c r="QW5" t="s">
        <v>3205</v>
      </c>
      <c r="QX5" t="s">
        <v>3206</v>
      </c>
      <c r="QY5" t="s">
        <v>3207</v>
      </c>
      <c r="QZ5" t="s">
        <v>764</v>
      </c>
      <c r="RB5" t="s">
        <v>3204</v>
      </c>
      <c r="RC5" t="s">
        <v>3205</v>
      </c>
      <c r="RD5" t="s">
        <v>3206</v>
      </c>
      <c r="RE5" t="s">
        <v>3207</v>
      </c>
      <c r="RF5" t="s">
        <v>764</v>
      </c>
      <c r="RG5" t="s">
        <v>3204</v>
      </c>
      <c r="RH5" t="s">
        <v>3205</v>
      </c>
      <c r="RI5" t="s">
        <v>3206</v>
      </c>
      <c r="RJ5" t="s">
        <v>3207</v>
      </c>
      <c r="RK5" t="s">
        <v>764</v>
      </c>
      <c r="RL5" t="s">
        <v>3204</v>
      </c>
      <c r="RM5" t="s">
        <v>3205</v>
      </c>
      <c r="RN5" t="s">
        <v>3206</v>
      </c>
      <c r="RO5" t="s">
        <v>3207</v>
      </c>
      <c r="RP5" t="s">
        <v>764</v>
      </c>
      <c r="RQ5" t="s">
        <v>3204</v>
      </c>
      <c r="RR5" t="s">
        <v>3205</v>
      </c>
      <c r="RS5" t="s">
        <v>3206</v>
      </c>
      <c r="RT5" t="s">
        <v>3207</v>
      </c>
      <c r="RU5" t="s">
        <v>764</v>
      </c>
      <c r="RV5" t="s">
        <v>3204</v>
      </c>
      <c r="RW5" t="s">
        <v>3205</v>
      </c>
      <c r="RX5" t="s">
        <v>3206</v>
      </c>
      <c r="RY5" t="s">
        <v>3207</v>
      </c>
      <c r="RZ5" t="s">
        <v>764</v>
      </c>
      <c r="SB5" t="s">
        <v>3204</v>
      </c>
      <c r="SC5" t="s">
        <v>3205</v>
      </c>
      <c r="SD5" t="s">
        <v>3206</v>
      </c>
      <c r="SE5" t="s">
        <v>3207</v>
      </c>
      <c r="SF5" t="s">
        <v>764</v>
      </c>
      <c r="SG5" t="s">
        <v>3204</v>
      </c>
      <c r="SH5" t="s">
        <v>3205</v>
      </c>
      <c r="SI5" t="s">
        <v>3206</v>
      </c>
      <c r="SJ5" t="s">
        <v>3207</v>
      </c>
      <c r="SK5" t="s">
        <v>764</v>
      </c>
      <c r="SL5" t="s">
        <v>3204</v>
      </c>
      <c r="SM5" t="s">
        <v>3205</v>
      </c>
      <c r="SN5" t="s">
        <v>3206</v>
      </c>
      <c r="SO5" t="s">
        <v>3207</v>
      </c>
      <c r="SP5" t="s">
        <v>764</v>
      </c>
      <c r="SQ5" t="s">
        <v>3204</v>
      </c>
      <c r="SR5" t="s">
        <v>3205</v>
      </c>
      <c r="SS5" t="s">
        <v>3206</v>
      </c>
      <c r="ST5" t="s">
        <v>3207</v>
      </c>
      <c r="SU5" t="s">
        <v>764</v>
      </c>
      <c r="SV5" t="s">
        <v>3204</v>
      </c>
      <c r="SW5" t="s">
        <v>3205</v>
      </c>
      <c r="SX5" t="s">
        <v>3206</v>
      </c>
      <c r="SY5" t="s">
        <v>3207</v>
      </c>
      <c r="SZ5" t="s">
        <v>764</v>
      </c>
      <c r="TB5" t="s">
        <v>3204</v>
      </c>
      <c r="TC5" t="s">
        <v>3205</v>
      </c>
      <c r="TD5" t="s">
        <v>3206</v>
      </c>
      <c r="TE5" t="s">
        <v>3207</v>
      </c>
      <c r="TF5" t="s">
        <v>764</v>
      </c>
      <c r="TG5" t="s">
        <v>3204</v>
      </c>
      <c r="TH5" t="s">
        <v>3205</v>
      </c>
      <c r="TI5" t="s">
        <v>3206</v>
      </c>
      <c r="TJ5" t="s">
        <v>3207</v>
      </c>
      <c r="TK5" t="s">
        <v>764</v>
      </c>
      <c r="TL5" t="s">
        <v>3204</v>
      </c>
      <c r="TM5" t="s">
        <v>3205</v>
      </c>
      <c r="TN5" t="s">
        <v>3206</v>
      </c>
      <c r="TO5" t="s">
        <v>3207</v>
      </c>
      <c r="TP5" t="s">
        <v>764</v>
      </c>
      <c r="TQ5" t="s">
        <v>3204</v>
      </c>
      <c r="TR5" t="s">
        <v>3205</v>
      </c>
      <c r="TS5" t="s">
        <v>3206</v>
      </c>
      <c r="TT5" t="s">
        <v>3207</v>
      </c>
      <c r="TU5" t="s">
        <v>764</v>
      </c>
      <c r="TV5" t="s">
        <v>3204</v>
      </c>
      <c r="TW5" t="s">
        <v>3205</v>
      </c>
      <c r="TX5" t="s">
        <v>3206</v>
      </c>
      <c r="TY5" t="s">
        <v>3207</v>
      </c>
      <c r="TZ5" t="s">
        <v>764</v>
      </c>
      <c r="UB5" t="s">
        <v>3204</v>
      </c>
      <c r="UC5" t="s">
        <v>3205</v>
      </c>
      <c r="UD5" t="s">
        <v>3206</v>
      </c>
      <c r="UE5" t="s">
        <v>3207</v>
      </c>
      <c r="UF5" t="s">
        <v>764</v>
      </c>
      <c r="UG5" t="s">
        <v>3204</v>
      </c>
      <c r="UH5" t="s">
        <v>3205</v>
      </c>
      <c r="UI5" t="s">
        <v>3206</v>
      </c>
      <c r="UJ5" t="s">
        <v>3207</v>
      </c>
      <c r="UK5" t="s">
        <v>764</v>
      </c>
      <c r="UL5" t="s">
        <v>3204</v>
      </c>
      <c r="UM5" t="s">
        <v>3205</v>
      </c>
      <c r="UN5" t="s">
        <v>3206</v>
      </c>
      <c r="UO5" t="s">
        <v>3207</v>
      </c>
      <c r="UP5" t="s">
        <v>764</v>
      </c>
      <c r="UQ5" t="s">
        <v>3204</v>
      </c>
      <c r="UR5" t="s">
        <v>3205</v>
      </c>
      <c r="US5" t="s">
        <v>3206</v>
      </c>
      <c r="UT5" t="s">
        <v>3207</v>
      </c>
      <c r="UU5" t="s">
        <v>764</v>
      </c>
      <c r="UV5" t="s">
        <v>3204</v>
      </c>
      <c r="UW5" t="s">
        <v>3205</v>
      </c>
      <c r="UX5" t="s">
        <v>3206</v>
      </c>
      <c r="UY5" t="s">
        <v>3207</v>
      </c>
      <c r="UZ5" t="s">
        <v>764</v>
      </c>
      <c r="VA5" t="s">
        <v>3204</v>
      </c>
      <c r="VB5" t="s">
        <v>3205</v>
      </c>
      <c r="VC5" t="s">
        <v>3206</v>
      </c>
      <c r="VD5" t="s">
        <v>3207</v>
      </c>
      <c r="VE5" t="s">
        <v>764</v>
      </c>
      <c r="VF5" t="s">
        <v>3204</v>
      </c>
      <c r="VG5" t="s">
        <v>3205</v>
      </c>
      <c r="VH5" t="s">
        <v>3206</v>
      </c>
      <c r="VI5" t="s">
        <v>3207</v>
      </c>
      <c r="VJ5" t="s">
        <v>764</v>
      </c>
      <c r="VK5" t="s">
        <v>3204</v>
      </c>
      <c r="VL5" t="s">
        <v>3205</v>
      </c>
      <c r="VM5" t="s">
        <v>3206</v>
      </c>
      <c r="VN5" t="s">
        <v>3207</v>
      </c>
      <c r="VO5" t="s">
        <v>764</v>
      </c>
      <c r="VP5" t="s">
        <v>3204</v>
      </c>
      <c r="VQ5" t="s">
        <v>3205</v>
      </c>
      <c r="VR5" t="s">
        <v>3206</v>
      </c>
      <c r="VS5" t="s">
        <v>3207</v>
      </c>
      <c r="VT5" t="s">
        <v>764</v>
      </c>
      <c r="VU5" t="s">
        <v>3204</v>
      </c>
      <c r="VV5" t="s">
        <v>3205</v>
      </c>
      <c r="VW5" t="s">
        <v>3206</v>
      </c>
      <c r="VX5" t="s">
        <v>3207</v>
      </c>
      <c r="VY5" t="s">
        <v>3204</v>
      </c>
      <c r="VZ5" t="s">
        <v>3205</v>
      </c>
      <c r="WA5" t="s">
        <v>3206</v>
      </c>
      <c r="WB5" t="s">
        <v>3207</v>
      </c>
      <c r="WC5" t="s">
        <v>764</v>
      </c>
      <c r="WD5" t="s">
        <v>3204</v>
      </c>
      <c r="WE5" t="s">
        <v>3205</v>
      </c>
      <c r="WF5" t="s">
        <v>3206</v>
      </c>
      <c r="WG5" t="s">
        <v>3207</v>
      </c>
      <c r="WH5" t="s">
        <v>764</v>
      </c>
      <c r="WI5" t="s">
        <v>3204</v>
      </c>
      <c r="WJ5" t="s">
        <v>3205</v>
      </c>
      <c r="WK5" t="s">
        <v>3206</v>
      </c>
      <c r="WL5" t="s">
        <v>3207</v>
      </c>
      <c r="WM5" t="s">
        <v>764</v>
      </c>
      <c r="WN5" t="s">
        <v>3204</v>
      </c>
      <c r="WO5" t="s">
        <v>3205</v>
      </c>
      <c r="WP5" t="s">
        <v>3206</v>
      </c>
      <c r="WQ5" t="s">
        <v>3207</v>
      </c>
      <c r="WR5" t="s">
        <v>764</v>
      </c>
      <c r="WS5" t="s">
        <v>3204</v>
      </c>
      <c r="WT5" t="s">
        <v>3205</v>
      </c>
      <c r="WU5" t="s">
        <v>3206</v>
      </c>
      <c r="WV5" t="s">
        <v>3207</v>
      </c>
      <c r="WW5" t="s">
        <v>764</v>
      </c>
      <c r="WY5" t="s">
        <v>3204</v>
      </c>
      <c r="WZ5" t="s">
        <v>3205</v>
      </c>
      <c r="XA5" t="s">
        <v>3206</v>
      </c>
      <c r="XB5" t="s">
        <v>3207</v>
      </c>
      <c r="XC5" t="s">
        <v>764</v>
      </c>
      <c r="XD5" t="s">
        <v>3204</v>
      </c>
      <c r="XE5" t="s">
        <v>3205</v>
      </c>
      <c r="XF5" t="s">
        <v>3206</v>
      </c>
      <c r="XG5" t="s">
        <v>3207</v>
      </c>
      <c r="XH5" t="s">
        <v>764</v>
      </c>
      <c r="XI5" t="s">
        <v>3204</v>
      </c>
      <c r="XJ5" t="s">
        <v>3205</v>
      </c>
      <c r="XK5" t="s">
        <v>3206</v>
      </c>
      <c r="XL5" t="s">
        <v>3207</v>
      </c>
      <c r="XM5" t="s">
        <v>764</v>
      </c>
      <c r="XN5" t="s">
        <v>3204</v>
      </c>
      <c r="XO5" t="s">
        <v>3205</v>
      </c>
      <c r="XP5" t="s">
        <v>3206</v>
      </c>
      <c r="XQ5" t="s">
        <v>3207</v>
      </c>
      <c r="XR5" t="s">
        <v>764</v>
      </c>
      <c r="XS5" t="s">
        <v>3204</v>
      </c>
      <c r="XT5" t="s">
        <v>3205</v>
      </c>
      <c r="XU5" t="s">
        <v>3206</v>
      </c>
      <c r="XV5" t="s">
        <v>3207</v>
      </c>
      <c r="XW5" t="s">
        <v>764</v>
      </c>
      <c r="XY5" t="s">
        <v>3204</v>
      </c>
      <c r="XZ5" t="s">
        <v>3205</v>
      </c>
      <c r="YA5" t="s">
        <v>3206</v>
      </c>
      <c r="YB5" t="s">
        <v>3207</v>
      </c>
      <c r="YC5" t="s">
        <v>764</v>
      </c>
      <c r="YD5" t="s">
        <v>3204</v>
      </c>
      <c r="YE5" t="s">
        <v>3205</v>
      </c>
      <c r="YF5" t="s">
        <v>3206</v>
      </c>
      <c r="YG5" t="s">
        <v>3207</v>
      </c>
      <c r="YH5" t="s">
        <v>764</v>
      </c>
      <c r="YI5" t="s">
        <v>3204</v>
      </c>
      <c r="YJ5" t="s">
        <v>3205</v>
      </c>
      <c r="YK5" t="s">
        <v>3206</v>
      </c>
      <c r="YL5" t="s">
        <v>3207</v>
      </c>
      <c r="YM5" t="s">
        <v>764</v>
      </c>
      <c r="YN5" t="s">
        <v>3204</v>
      </c>
      <c r="YO5" t="s">
        <v>3205</v>
      </c>
      <c r="YP5" t="s">
        <v>3206</v>
      </c>
      <c r="YQ5" t="s">
        <v>3207</v>
      </c>
      <c r="YR5" t="s">
        <v>764</v>
      </c>
      <c r="YS5" t="s">
        <v>3204</v>
      </c>
      <c r="YT5" t="s">
        <v>3205</v>
      </c>
      <c r="YU5" t="s">
        <v>3206</v>
      </c>
      <c r="YV5" t="s">
        <v>3207</v>
      </c>
      <c r="YW5" t="s">
        <v>764</v>
      </c>
      <c r="YY5" t="s">
        <v>3204</v>
      </c>
      <c r="YZ5" t="s">
        <v>3205</v>
      </c>
      <c r="ZA5" t="s">
        <v>3206</v>
      </c>
      <c r="ZB5" t="s">
        <v>3207</v>
      </c>
      <c r="ZC5" t="s">
        <v>764</v>
      </c>
      <c r="ZD5" t="s">
        <v>3204</v>
      </c>
      <c r="ZE5" t="s">
        <v>3205</v>
      </c>
      <c r="ZF5" t="s">
        <v>3206</v>
      </c>
      <c r="ZG5" t="s">
        <v>3207</v>
      </c>
      <c r="ZH5" t="s">
        <v>764</v>
      </c>
      <c r="ZI5" t="s">
        <v>3204</v>
      </c>
      <c r="ZJ5" t="s">
        <v>3205</v>
      </c>
      <c r="ZK5" t="s">
        <v>3206</v>
      </c>
      <c r="ZL5" t="s">
        <v>3207</v>
      </c>
      <c r="ZM5" t="s">
        <v>764</v>
      </c>
      <c r="ZN5" t="s">
        <v>3204</v>
      </c>
      <c r="ZO5" t="s">
        <v>3205</v>
      </c>
      <c r="ZP5" t="s">
        <v>3206</v>
      </c>
      <c r="ZQ5" t="s">
        <v>3207</v>
      </c>
      <c r="ZR5" t="s">
        <v>764</v>
      </c>
      <c r="ZS5" t="s">
        <v>3204</v>
      </c>
      <c r="ZT5" t="s">
        <v>3205</v>
      </c>
      <c r="ZU5" t="s">
        <v>3206</v>
      </c>
      <c r="ZV5" t="s">
        <v>3207</v>
      </c>
      <c r="ZW5" t="s">
        <v>764</v>
      </c>
      <c r="ZY5" t="s">
        <v>3204</v>
      </c>
      <c r="ZZ5" t="s">
        <v>772</v>
      </c>
      <c r="AAA5" t="s">
        <v>773</v>
      </c>
      <c r="AAB5" t="s">
        <v>774</v>
      </c>
      <c r="AAC5" t="s">
        <v>775</v>
      </c>
      <c r="AAD5" t="s">
        <v>776</v>
      </c>
      <c r="AAE5" t="s">
        <v>776</v>
      </c>
      <c r="AAF5" t="s">
        <v>772</v>
      </c>
      <c r="AAG5" t="s">
        <v>773</v>
      </c>
      <c r="AAH5" t="s">
        <v>774</v>
      </c>
      <c r="AAI5" t="s">
        <v>775</v>
      </c>
      <c r="AAJ5" t="s">
        <v>776</v>
      </c>
      <c r="AAK5" t="s">
        <v>772</v>
      </c>
      <c r="AAL5" t="s">
        <v>773</v>
      </c>
      <c r="AAM5" t="s">
        <v>774</v>
      </c>
      <c r="AAN5" t="s">
        <v>775</v>
      </c>
      <c r="AAO5" t="s">
        <v>776</v>
      </c>
      <c r="AAP5" t="s">
        <v>772</v>
      </c>
      <c r="AAQ5" t="s">
        <v>773</v>
      </c>
      <c r="AAR5" t="s">
        <v>774</v>
      </c>
      <c r="AAS5" t="s">
        <v>775</v>
      </c>
      <c r="AAT5" t="s">
        <v>776</v>
      </c>
      <c r="AAU5" t="s">
        <v>772</v>
      </c>
      <c r="AAV5" t="s">
        <v>773</v>
      </c>
      <c r="AAW5" t="s">
        <v>774</v>
      </c>
      <c r="AAX5" t="s">
        <v>775</v>
      </c>
      <c r="AAY5" t="s">
        <v>776</v>
      </c>
    </row>
    <row r="6" spans="1:727">
      <c r="A6" s="483" t="s">
        <v>772</v>
      </c>
      <c r="B6" s="503" t="s">
        <v>773</v>
      </c>
      <c r="C6" s="503" t="s">
        <v>774</v>
      </c>
      <c r="D6" s="503" t="s">
        <v>775</v>
      </c>
      <c r="E6" s="503" t="s">
        <v>5415</v>
      </c>
      <c r="F6" s="503" t="s">
        <v>772</v>
      </c>
      <c r="G6" s="593" t="s">
        <v>773</v>
      </c>
      <c r="H6" s="593" t="s">
        <v>774</v>
      </c>
      <c r="I6" s="593" t="s">
        <v>775</v>
      </c>
      <c r="J6" s="593" t="s">
        <v>5415</v>
      </c>
      <c r="K6" s="593" t="s">
        <v>772</v>
      </c>
      <c r="L6" s="502" t="s">
        <v>773</v>
      </c>
      <c r="M6" s="502" t="s">
        <v>774</v>
      </c>
      <c r="N6" s="502" t="s">
        <v>775</v>
      </c>
      <c r="O6" s="502" t="s">
        <v>5415</v>
      </c>
      <c r="P6" s="502" t="s">
        <v>772</v>
      </c>
      <c r="Q6" s="504" t="s">
        <v>773</v>
      </c>
      <c r="R6" s="504" t="s">
        <v>774</v>
      </c>
      <c r="S6" s="504" t="s">
        <v>775</v>
      </c>
      <c r="T6" s="504" t="s">
        <v>5415</v>
      </c>
      <c r="U6" s="504" t="s">
        <v>772</v>
      </c>
      <c r="V6" s="505" t="s">
        <v>773</v>
      </c>
      <c r="W6" s="505" t="s">
        <v>774</v>
      </c>
      <c r="X6" s="505" t="s">
        <v>775</v>
      </c>
      <c r="Y6" s="505" t="s">
        <v>5415</v>
      </c>
      <c r="Z6" s="505"/>
      <c r="AA6" s="506"/>
      <c r="AB6" s="506"/>
      <c r="AC6" s="506"/>
      <c r="AD6" s="506"/>
      <c r="AE6" s="506"/>
      <c r="AF6" s="506"/>
      <c r="AG6" s="507"/>
      <c r="AH6" s="507"/>
      <c r="AI6" s="507"/>
      <c r="AJ6" s="507"/>
      <c r="AK6" s="507"/>
      <c r="AL6" s="508"/>
      <c r="AM6" s="508"/>
      <c r="AN6" s="508"/>
      <c r="AO6" s="508"/>
      <c r="AP6" s="508"/>
      <c r="AQ6" s="509"/>
      <c r="AR6" s="509"/>
      <c r="AS6" s="509"/>
      <c r="AT6" s="509"/>
      <c r="AU6" s="509"/>
      <c r="AV6" s="483"/>
      <c r="AW6" s="483"/>
      <c r="AX6" s="483"/>
      <c r="AY6" s="483"/>
      <c r="AZ6" s="483"/>
      <c r="BA6" s="483"/>
      <c r="BB6" s="483"/>
      <c r="BC6" s="483"/>
      <c r="BD6" s="483"/>
      <c r="BE6" s="483"/>
      <c r="BF6" s="483"/>
      <c r="BG6" s="483"/>
      <c r="BH6" s="483"/>
      <c r="BI6" s="483"/>
      <c r="BJ6" s="483"/>
      <c r="BK6" s="483"/>
      <c r="BL6" s="483"/>
      <c r="BM6" s="483"/>
      <c r="BN6" s="483"/>
      <c r="BO6" s="483"/>
      <c r="BP6" s="483"/>
      <c r="GA6" t="s">
        <v>85</v>
      </c>
      <c r="GB6">
        <v>1</v>
      </c>
      <c r="GC6">
        <v>131</v>
      </c>
      <c r="GD6">
        <v>95</v>
      </c>
      <c r="GE6">
        <v>92</v>
      </c>
      <c r="GF6">
        <v>39</v>
      </c>
      <c r="GG6">
        <v>2278</v>
      </c>
      <c r="GH6">
        <v>58</v>
      </c>
      <c r="GI6">
        <v>53</v>
      </c>
      <c r="GJ6">
        <v>57</v>
      </c>
      <c r="GK6">
        <v>17</v>
      </c>
      <c r="GL6">
        <v>1126</v>
      </c>
      <c r="GM6">
        <v>132</v>
      </c>
      <c r="GN6">
        <v>54</v>
      </c>
      <c r="GO6">
        <v>81</v>
      </c>
      <c r="GP6">
        <v>87</v>
      </c>
      <c r="GQ6">
        <v>1837</v>
      </c>
      <c r="GR6">
        <v>24</v>
      </c>
      <c r="GS6">
        <v>22</v>
      </c>
      <c r="GT6">
        <v>20</v>
      </c>
      <c r="GU6">
        <v>9</v>
      </c>
      <c r="GV6">
        <v>454</v>
      </c>
      <c r="GW6">
        <v>21</v>
      </c>
      <c r="GX6">
        <v>16</v>
      </c>
      <c r="GY6">
        <v>9</v>
      </c>
      <c r="GZ6">
        <v>15</v>
      </c>
      <c r="HA6">
        <v>310</v>
      </c>
      <c r="HB6">
        <v>1</v>
      </c>
      <c r="HC6">
        <v>119</v>
      </c>
      <c r="HD6">
        <v>95</v>
      </c>
      <c r="HE6">
        <v>86</v>
      </c>
      <c r="HF6">
        <v>37</v>
      </c>
      <c r="HG6">
        <v>1988</v>
      </c>
      <c r="HH6">
        <v>161</v>
      </c>
      <c r="HI6">
        <v>132</v>
      </c>
      <c r="HJ6">
        <v>141</v>
      </c>
      <c r="HK6">
        <v>37</v>
      </c>
      <c r="HL6">
        <v>2959</v>
      </c>
      <c r="HM6">
        <v>166</v>
      </c>
      <c r="HN6">
        <v>154</v>
      </c>
      <c r="HO6">
        <v>175</v>
      </c>
      <c r="HP6">
        <v>34</v>
      </c>
      <c r="HQ6">
        <v>3485</v>
      </c>
      <c r="HR6">
        <v>75</v>
      </c>
      <c r="HS6">
        <v>88</v>
      </c>
      <c r="HT6">
        <v>101</v>
      </c>
      <c r="HU6">
        <v>27</v>
      </c>
      <c r="HV6">
        <v>1793</v>
      </c>
      <c r="HW6">
        <v>18</v>
      </c>
      <c r="HX6">
        <v>25</v>
      </c>
      <c r="HY6">
        <v>33</v>
      </c>
      <c r="HZ6">
        <v>18</v>
      </c>
      <c r="IA6">
        <v>522</v>
      </c>
      <c r="IB6">
        <v>1</v>
      </c>
      <c r="IC6">
        <v>236</v>
      </c>
      <c r="ID6">
        <v>216</v>
      </c>
      <c r="IE6">
        <v>206</v>
      </c>
      <c r="IF6">
        <v>47</v>
      </c>
      <c r="IG6">
        <v>4509</v>
      </c>
      <c r="IH6">
        <v>29</v>
      </c>
      <c r="II6">
        <v>45</v>
      </c>
      <c r="IJ6">
        <v>42</v>
      </c>
      <c r="IK6">
        <v>22</v>
      </c>
      <c r="IL6">
        <v>929</v>
      </c>
      <c r="IM6">
        <v>134</v>
      </c>
      <c r="IN6">
        <v>134</v>
      </c>
      <c r="IO6">
        <v>163</v>
      </c>
      <c r="IP6">
        <v>38</v>
      </c>
      <c r="IQ6">
        <v>3092</v>
      </c>
      <c r="IR6">
        <v>58</v>
      </c>
      <c r="IS6">
        <v>65</v>
      </c>
      <c r="IT6">
        <v>73</v>
      </c>
      <c r="IU6">
        <v>21</v>
      </c>
      <c r="IV6">
        <v>1434</v>
      </c>
      <c r="IW6">
        <v>21</v>
      </c>
      <c r="IX6">
        <v>26</v>
      </c>
      <c r="IY6">
        <v>16</v>
      </c>
      <c r="IZ6">
        <v>10</v>
      </c>
      <c r="JA6">
        <v>382</v>
      </c>
      <c r="JB6">
        <v>1</v>
      </c>
      <c r="JC6">
        <v>45</v>
      </c>
      <c r="JD6">
        <v>26</v>
      </c>
      <c r="JE6">
        <v>23</v>
      </c>
      <c r="JF6">
        <v>26</v>
      </c>
      <c r="JG6">
        <v>649</v>
      </c>
      <c r="JH6">
        <v>109</v>
      </c>
      <c r="JI6">
        <v>98</v>
      </c>
      <c r="JJ6">
        <v>94</v>
      </c>
      <c r="JK6">
        <v>31</v>
      </c>
      <c r="JL6">
        <v>2101</v>
      </c>
      <c r="JM6">
        <v>143</v>
      </c>
      <c r="JN6">
        <v>145</v>
      </c>
      <c r="JO6">
        <v>121</v>
      </c>
      <c r="JP6">
        <v>30</v>
      </c>
      <c r="JQ6">
        <v>2911</v>
      </c>
      <c r="JR6">
        <v>184</v>
      </c>
      <c r="JS6">
        <v>185</v>
      </c>
      <c r="JT6">
        <v>198</v>
      </c>
      <c r="JU6">
        <v>30</v>
      </c>
      <c r="JV6">
        <v>3918</v>
      </c>
      <c r="JW6">
        <v>40</v>
      </c>
      <c r="JX6">
        <v>22</v>
      </c>
      <c r="JY6">
        <v>42</v>
      </c>
      <c r="JZ6">
        <v>26</v>
      </c>
      <c r="KA6">
        <v>706</v>
      </c>
      <c r="KB6">
        <v>1</v>
      </c>
      <c r="KC6" t="s">
        <v>85</v>
      </c>
      <c r="KD6" t="s">
        <v>85</v>
      </c>
      <c r="KE6" t="s">
        <v>85</v>
      </c>
      <c r="KF6" t="s">
        <v>85</v>
      </c>
      <c r="KG6" t="s">
        <v>85</v>
      </c>
      <c r="KH6" t="s">
        <v>85</v>
      </c>
      <c r="KI6" t="s">
        <v>85</v>
      </c>
      <c r="KJ6" t="s">
        <v>85</v>
      </c>
      <c r="KK6" t="s">
        <v>85</v>
      </c>
      <c r="KL6" t="s">
        <v>85</v>
      </c>
      <c r="KM6" t="s">
        <v>85</v>
      </c>
      <c r="KN6" t="s">
        <v>85</v>
      </c>
      <c r="KO6" t="s">
        <v>85</v>
      </c>
      <c r="KP6" t="s">
        <v>85</v>
      </c>
      <c r="KQ6" t="s">
        <v>85</v>
      </c>
      <c r="KR6" t="s">
        <v>85</v>
      </c>
      <c r="KS6" t="s">
        <v>85</v>
      </c>
      <c r="KT6" t="s">
        <v>85</v>
      </c>
      <c r="KU6" t="s">
        <v>85</v>
      </c>
      <c r="KV6" t="s">
        <v>85</v>
      </c>
      <c r="KW6" t="s">
        <v>85</v>
      </c>
      <c r="KX6" t="s">
        <v>85</v>
      </c>
      <c r="KY6" t="s">
        <v>85</v>
      </c>
      <c r="KZ6" t="s">
        <v>85</v>
      </c>
      <c r="LA6" t="s">
        <v>85</v>
      </c>
      <c r="LB6">
        <v>1</v>
      </c>
      <c r="LC6" t="s">
        <v>85</v>
      </c>
      <c r="LD6" t="s">
        <v>85</v>
      </c>
      <c r="LE6" t="s">
        <v>85</v>
      </c>
      <c r="LF6" t="s">
        <v>85</v>
      </c>
      <c r="LG6" t="s">
        <v>85</v>
      </c>
      <c r="LH6" t="s">
        <v>85</v>
      </c>
      <c r="LI6" t="s">
        <v>85</v>
      </c>
      <c r="LJ6" t="s">
        <v>85</v>
      </c>
      <c r="LK6" t="s">
        <v>85</v>
      </c>
      <c r="LL6" t="s">
        <v>85</v>
      </c>
      <c r="LM6" t="s">
        <v>85</v>
      </c>
      <c r="LN6" t="s">
        <v>85</v>
      </c>
      <c r="LO6" t="s">
        <v>85</v>
      </c>
      <c r="LP6" t="s">
        <v>85</v>
      </c>
      <c r="LQ6" t="s">
        <v>85</v>
      </c>
      <c r="LR6" t="s">
        <v>85</v>
      </c>
      <c r="LS6" t="s">
        <v>85</v>
      </c>
      <c r="LT6" t="s">
        <v>85</v>
      </c>
      <c r="LU6" t="s">
        <v>85</v>
      </c>
      <c r="LV6" t="s">
        <v>85</v>
      </c>
      <c r="LW6" t="s">
        <v>85</v>
      </c>
      <c r="LX6" t="s">
        <v>85</v>
      </c>
      <c r="LY6" t="s">
        <v>85</v>
      </c>
      <c r="LZ6" t="s">
        <v>85</v>
      </c>
      <c r="MA6" t="s">
        <v>85</v>
      </c>
      <c r="MB6">
        <v>1</v>
      </c>
      <c r="MC6" t="s">
        <v>85</v>
      </c>
      <c r="MD6" t="s">
        <v>85</v>
      </c>
      <c r="ME6" t="s">
        <v>85</v>
      </c>
      <c r="MF6" t="s">
        <v>85</v>
      </c>
      <c r="MG6" t="s">
        <v>85</v>
      </c>
      <c r="MH6" t="s">
        <v>85</v>
      </c>
      <c r="MI6" t="s">
        <v>85</v>
      </c>
      <c r="MJ6" t="s">
        <v>85</v>
      </c>
      <c r="MK6" t="s">
        <v>85</v>
      </c>
      <c r="ML6" t="s">
        <v>85</v>
      </c>
      <c r="MM6" t="s">
        <v>85</v>
      </c>
      <c r="MN6" t="s">
        <v>85</v>
      </c>
      <c r="MO6" t="s">
        <v>85</v>
      </c>
      <c r="MP6" t="s">
        <v>85</v>
      </c>
      <c r="MQ6" t="s">
        <v>85</v>
      </c>
      <c r="MR6" t="s">
        <v>85</v>
      </c>
      <c r="MS6" t="s">
        <v>85</v>
      </c>
      <c r="MT6" t="s">
        <v>85</v>
      </c>
      <c r="MU6" t="s">
        <v>85</v>
      </c>
      <c r="MV6" t="s">
        <v>85</v>
      </c>
      <c r="MW6" t="s">
        <v>85</v>
      </c>
      <c r="MX6" t="s">
        <v>85</v>
      </c>
      <c r="MY6" t="s">
        <v>85</v>
      </c>
      <c r="MZ6" t="s">
        <v>85</v>
      </c>
      <c r="NA6">
        <v>1</v>
      </c>
      <c r="NB6">
        <v>0</v>
      </c>
      <c r="NC6">
        <v>-1</v>
      </c>
      <c r="ND6">
        <v>-1</v>
      </c>
      <c r="NE6">
        <v>0</v>
      </c>
      <c r="NF6">
        <v>26</v>
      </c>
      <c r="NG6">
        <v>5</v>
      </c>
      <c r="NH6">
        <v>6</v>
      </c>
      <c r="NI6">
        <v>6</v>
      </c>
      <c r="NJ6">
        <v>0</v>
      </c>
      <c r="NK6">
        <v>75</v>
      </c>
      <c r="NL6">
        <v>7</v>
      </c>
      <c r="NM6">
        <v>7</v>
      </c>
      <c r="NN6">
        <v>6</v>
      </c>
      <c r="NO6">
        <v>0</v>
      </c>
      <c r="NP6">
        <v>49</v>
      </c>
      <c r="NQ6">
        <v>5</v>
      </c>
      <c r="NR6">
        <v>5</v>
      </c>
      <c r="NS6">
        <v>4</v>
      </c>
      <c r="NT6">
        <v>0</v>
      </c>
      <c r="NU6">
        <v>50</v>
      </c>
      <c r="NV6">
        <v>6</v>
      </c>
      <c r="NW6">
        <v>6</v>
      </c>
      <c r="NX6">
        <v>5</v>
      </c>
      <c r="NY6">
        <v>1</v>
      </c>
      <c r="NZ6">
        <v>0</v>
      </c>
      <c r="OA6">
        <v>1</v>
      </c>
      <c r="OB6">
        <v>10</v>
      </c>
      <c r="OC6">
        <v>10</v>
      </c>
      <c r="OD6">
        <v>10</v>
      </c>
      <c r="OE6">
        <v>1</v>
      </c>
      <c r="OF6">
        <v>88</v>
      </c>
      <c r="OG6">
        <v>12</v>
      </c>
      <c r="OH6">
        <v>12</v>
      </c>
      <c r="OI6">
        <v>12</v>
      </c>
      <c r="OJ6">
        <v>1</v>
      </c>
      <c r="OK6">
        <v>89</v>
      </c>
      <c r="OL6">
        <v>1</v>
      </c>
      <c r="OM6">
        <v>1</v>
      </c>
      <c r="ON6">
        <v>1</v>
      </c>
      <c r="OO6">
        <v>1</v>
      </c>
      <c r="OP6">
        <v>47</v>
      </c>
      <c r="OQ6" t="s">
        <v>85</v>
      </c>
      <c r="OR6" t="s">
        <v>85</v>
      </c>
      <c r="OS6" t="s">
        <v>85</v>
      </c>
      <c r="OT6" t="s">
        <v>85</v>
      </c>
      <c r="OU6" t="s">
        <v>85</v>
      </c>
      <c r="OV6" t="s">
        <v>85</v>
      </c>
      <c r="OW6" t="s">
        <v>85</v>
      </c>
      <c r="OX6" t="s">
        <v>85</v>
      </c>
      <c r="OY6" t="s">
        <v>85</v>
      </c>
      <c r="OZ6" t="s">
        <v>85</v>
      </c>
      <c r="PA6">
        <v>1</v>
      </c>
      <c r="PB6">
        <v>23</v>
      </c>
      <c r="PC6">
        <v>23</v>
      </c>
      <c r="PD6">
        <v>24</v>
      </c>
      <c r="PE6">
        <v>0</v>
      </c>
      <c r="PF6">
        <v>884</v>
      </c>
      <c r="PG6">
        <v>9</v>
      </c>
      <c r="PH6">
        <v>7</v>
      </c>
      <c r="PI6">
        <v>7</v>
      </c>
      <c r="PJ6">
        <v>0</v>
      </c>
      <c r="PK6">
        <v>227</v>
      </c>
      <c r="PL6">
        <v>7</v>
      </c>
      <c r="PM6">
        <v>8</v>
      </c>
      <c r="PN6">
        <v>6</v>
      </c>
      <c r="PO6">
        <v>0</v>
      </c>
      <c r="PP6">
        <v>83</v>
      </c>
      <c r="PQ6">
        <v>38</v>
      </c>
      <c r="PR6">
        <v>39</v>
      </c>
      <c r="PS6">
        <v>37</v>
      </c>
      <c r="PT6">
        <v>1</v>
      </c>
      <c r="PU6">
        <v>1312</v>
      </c>
      <c r="PV6">
        <v>48</v>
      </c>
      <c r="PW6">
        <v>50</v>
      </c>
      <c r="PX6">
        <v>48</v>
      </c>
      <c r="PY6">
        <v>0</v>
      </c>
      <c r="PZ6">
        <v>1895</v>
      </c>
      <c r="QA6">
        <v>1</v>
      </c>
      <c r="QB6" t="s">
        <v>85</v>
      </c>
      <c r="QC6" t="s">
        <v>85</v>
      </c>
      <c r="QD6" t="s">
        <v>85</v>
      </c>
      <c r="QE6" t="s">
        <v>85</v>
      </c>
      <c r="QF6">
        <v>0</v>
      </c>
      <c r="QG6">
        <v>2</v>
      </c>
      <c r="QH6">
        <v>2</v>
      </c>
      <c r="QI6">
        <v>2</v>
      </c>
      <c r="QJ6">
        <v>0</v>
      </c>
      <c r="QK6">
        <v>58</v>
      </c>
      <c r="QL6" t="s">
        <v>85</v>
      </c>
      <c r="QM6" t="s">
        <v>85</v>
      </c>
      <c r="QN6" t="s">
        <v>85</v>
      </c>
      <c r="QO6" t="s">
        <v>85</v>
      </c>
      <c r="QP6" t="s">
        <v>85</v>
      </c>
      <c r="QQ6" t="s">
        <v>85</v>
      </c>
      <c r="QR6" t="s">
        <v>85</v>
      </c>
      <c r="QS6" t="s">
        <v>85</v>
      </c>
      <c r="QT6" t="s">
        <v>85</v>
      </c>
      <c r="QU6" t="s">
        <v>85</v>
      </c>
      <c r="QV6" t="s">
        <v>85</v>
      </c>
      <c r="QW6" t="s">
        <v>85</v>
      </c>
      <c r="QX6" t="s">
        <v>85</v>
      </c>
      <c r="QY6" t="s">
        <v>85</v>
      </c>
      <c r="QZ6" t="s">
        <v>85</v>
      </c>
      <c r="RA6">
        <v>1</v>
      </c>
      <c r="RB6">
        <v>137</v>
      </c>
      <c r="RC6">
        <v>138</v>
      </c>
      <c r="RD6">
        <v>137</v>
      </c>
      <c r="RE6">
        <v>0</v>
      </c>
      <c r="RF6">
        <v>5008</v>
      </c>
      <c r="RG6">
        <v>8</v>
      </c>
      <c r="RH6">
        <v>7</v>
      </c>
      <c r="RI6">
        <v>8</v>
      </c>
      <c r="RJ6">
        <v>0</v>
      </c>
      <c r="RK6">
        <v>258</v>
      </c>
      <c r="RL6">
        <v>8</v>
      </c>
      <c r="RM6">
        <v>8</v>
      </c>
      <c r="RN6">
        <v>8</v>
      </c>
      <c r="RO6">
        <v>0</v>
      </c>
      <c r="RP6">
        <v>297</v>
      </c>
      <c r="RQ6">
        <v>0</v>
      </c>
      <c r="RR6">
        <v>0</v>
      </c>
      <c r="RS6">
        <v>0</v>
      </c>
      <c r="RT6">
        <v>0</v>
      </c>
      <c r="RU6">
        <v>0</v>
      </c>
      <c r="RV6">
        <v>0</v>
      </c>
      <c r="RW6">
        <v>0</v>
      </c>
      <c r="RX6">
        <v>0</v>
      </c>
      <c r="RY6">
        <v>0</v>
      </c>
      <c r="RZ6">
        <v>0</v>
      </c>
      <c r="SA6">
        <v>1</v>
      </c>
      <c r="SB6">
        <v>0</v>
      </c>
      <c r="SC6">
        <v>0</v>
      </c>
      <c r="SD6">
        <v>0</v>
      </c>
      <c r="SE6">
        <v>0</v>
      </c>
      <c r="SF6">
        <v>0</v>
      </c>
      <c r="SG6" t="s">
        <v>85</v>
      </c>
      <c r="SH6" t="s">
        <v>85</v>
      </c>
      <c r="SI6" t="s">
        <v>85</v>
      </c>
      <c r="SJ6" t="s">
        <v>85</v>
      </c>
      <c r="SK6" t="s">
        <v>85</v>
      </c>
      <c r="SL6" t="s">
        <v>85</v>
      </c>
      <c r="SM6" t="s">
        <v>85</v>
      </c>
      <c r="SN6" t="s">
        <v>85</v>
      </c>
      <c r="SO6" t="s">
        <v>85</v>
      </c>
      <c r="SP6" t="s">
        <v>85</v>
      </c>
      <c r="SQ6" t="s">
        <v>85</v>
      </c>
      <c r="SR6" t="s">
        <v>85</v>
      </c>
      <c r="SS6" t="s">
        <v>85</v>
      </c>
      <c r="ST6" t="s">
        <v>85</v>
      </c>
      <c r="SU6" t="s">
        <v>85</v>
      </c>
      <c r="SV6" t="s">
        <v>85</v>
      </c>
      <c r="SW6" t="s">
        <v>85</v>
      </c>
      <c r="SX6" t="s">
        <v>85</v>
      </c>
      <c r="SY6" t="s">
        <v>85</v>
      </c>
      <c r="SZ6" t="s">
        <v>85</v>
      </c>
      <c r="TA6">
        <v>1</v>
      </c>
      <c r="TB6">
        <v>1</v>
      </c>
      <c r="TC6">
        <v>1</v>
      </c>
      <c r="TD6">
        <v>1</v>
      </c>
      <c r="TE6">
        <v>0</v>
      </c>
      <c r="TF6">
        <v>0</v>
      </c>
      <c r="TG6">
        <v>0</v>
      </c>
      <c r="TH6">
        <v>0</v>
      </c>
      <c r="TI6">
        <v>0</v>
      </c>
      <c r="TJ6">
        <v>0</v>
      </c>
      <c r="TK6">
        <v>0</v>
      </c>
      <c r="TL6">
        <v>0</v>
      </c>
      <c r="TM6">
        <v>0</v>
      </c>
      <c r="TN6">
        <v>0</v>
      </c>
      <c r="TO6">
        <v>0</v>
      </c>
      <c r="TP6">
        <v>0</v>
      </c>
      <c r="TQ6">
        <v>35</v>
      </c>
      <c r="TR6">
        <v>35</v>
      </c>
      <c r="TS6">
        <v>37</v>
      </c>
      <c r="TT6">
        <v>0</v>
      </c>
      <c r="TU6">
        <v>1324</v>
      </c>
      <c r="TV6">
        <v>7</v>
      </c>
      <c r="TW6">
        <v>8</v>
      </c>
      <c r="TX6">
        <v>6</v>
      </c>
      <c r="TY6">
        <v>0</v>
      </c>
      <c r="TZ6">
        <v>264</v>
      </c>
      <c r="UA6">
        <v>1</v>
      </c>
      <c r="UB6">
        <v>86</v>
      </c>
      <c r="UC6">
        <v>88</v>
      </c>
      <c r="UD6">
        <v>86</v>
      </c>
      <c r="UE6">
        <v>0</v>
      </c>
      <c r="UF6">
        <v>3434</v>
      </c>
      <c r="UG6" t="s">
        <v>85</v>
      </c>
      <c r="UH6" t="s">
        <v>85</v>
      </c>
      <c r="UI6" t="s">
        <v>85</v>
      </c>
      <c r="UJ6" t="s">
        <v>85</v>
      </c>
      <c r="UK6" t="s">
        <v>85</v>
      </c>
      <c r="UL6" t="s">
        <v>85</v>
      </c>
      <c r="UM6" t="s">
        <v>85</v>
      </c>
      <c r="UN6" t="s">
        <v>85</v>
      </c>
      <c r="UO6" t="s">
        <v>85</v>
      </c>
      <c r="UP6" t="s">
        <v>85</v>
      </c>
      <c r="UQ6" t="s">
        <v>85</v>
      </c>
      <c r="UR6" t="s">
        <v>85</v>
      </c>
      <c r="US6" t="s">
        <v>85</v>
      </c>
      <c r="UT6" t="s">
        <v>85</v>
      </c>
      <c r="UU6" t="s">
        <v>85</v>
      </c>
      <c r="UV6" t="s">
        <v>85</v>
      </c>
      <c r="UW6" t="s">
        <v>85</v>
      </c>
      <c r="UX6" t="s">
        <v>85</v>
      </c>
      <c r="UY6" t="s">
        <v>85</v>
      </c>
      <c r="UZ6" t="s">
        <v>85</v>
      </c>
      <c r="VX6">
        <v>1</v>
      </c>
      <c r="VY6">
        <v>0</v>
      </c>
      <c r="VZ6">
        <v>-1</v>
      </c>
      <c r="WA6">
        <v>-1</v>
      </c>
      <c r="WB6">
        <v>0</v>
      </c>
      <c r="WC6">
        <v>26</v>
      </c>
      <c r="WD6">
        <v>5</v>
      </c>
      <c r="WE6">
        <v>6</v>
      </c>
      <c r="WF6">
        <v>6</v>
      </c>
      <c r="WG6">
        <v>0</v>
      </c>
      <c r="WH6">
        <v>75</v>
      </c>
      <c r="WI6">
        <v>7</v>
      </c>
      <c r="WJ6">
        <v>7</v>
      </c>
      <c r="WK6">
        <v>6</v>
      </c>
      <c r="WL6">
        <v>0</v>
      </c>
      <c r="WM6">
        <v>49</v>
      </c>
      <c r="WN6">
        <v>5</v>
      </c>
      <c r="WO6">
        <v>5</v>
      </c>
      <c r="WP6">
        <v>4</v>
      </c>
      <c r="WQ6">
        <v>0</v>
      </c>
      <c r="WR6">
        <v>50</v>
      </c>
      <c r="WS6">
        <v>6</v>
      </c>
      <c r="WT6">
        <v>6</v>
      </c>
      <c r="WU6">
        <v>5</v>
      </c>
      <c r="WV6">
        <v>1</v>
      </c>
      <c r="WW6">
        <v>0</v>
      </c>
      <c r="WX6">
        <v>1</v>
      </c>
      <c r="WY6">
        <v>10</v>
      </c>
      <c r="WZ6">
        <v>10</v>
      </c>
      <c r="XA6">
        <v>10</v>
      </c>
      <c r="XB6">
        <v>1</v>
      </c>
      <c r="XC6">
        <v>88</v>
      </c>
      <c r="XD6">
        <v>12</v>
      </c>
      <c r="XE6">
        <v>12</v>
      </c>
      <c r="XF6">
        <v>12</v>
      </c>
      <c r="XG6">
        <v>1</v>
      </c>
      <c r="XH6">
        <v>89</v>
      </c>
      <c r="XI6">
        <v>1</v>
      </c>
      <c r="XJ6">
        <v>1</v>
      </c>
      <c r="XK6">
        <v>1</v>
      </c>
      <c r="XL6">
        <v>1</v>
      </c>
      <c r="XM6">
        <v>47</v>
      </c>
      <c r="XN6" t="s">
        <v>85</v>
      </c>
      <c r="XO6" t="s">
        <v>85</v>
      </c>
      <c r="XP6" t="s">
        <v>85</v>
      </c>
      <c r="XQ6" t="s">
        <v>85</v>
      </c>
      <c r="XR6" t="s">
        <v>85</v>
      </c>
      <c r="XS6" t="s">
        <v>85</v>
      </c>
      <c r="XT6" t="s">
        <v>85</v>
      </c>
      <c r="XU6" t="s">
        <v>85</v>
      </c>
      <c r="XV6" t="s">
        <v>85</v>
      </c>
      <c r="XW6" t="s">
        <v>85</v>
      </c>
      <c r="XX6">
        <v>1</v>
      </c>
      <c r="XY6">
        <v>23</v>
      </c>
      <c r="XZ6">
        <v>23</v>
      </c>
      <c r="YA6">
        <v>24</v>
      </c>
      <c r="YB6">
        <v>0</v>
      </c>
      <c r="YC6">
        <v>884</v>
      </c>
      <c r="YD6">
        <v>9</v>
      </c>
      <c r="YE6">
        <v>7</v>
      </c>
      <c r="YF6">
        <v>7</v>
      </c>
      <c r="YG6">
        <v>0</v>
      </c>
      <c r="YH6">
        <v>227</v>
      </c>
      <c r="YI6">
        <v>7</v>
      </c>
      <c r="YJ6">
        <v>8</v>
      </c>
      <c r="YK6">
        <v>6</v>
      </c>
      <c r="YL6">
        <v>0</v>
      </c>
      <c r="YM6">
        <v>83</v>
      </c>
      <c r="YN6">
        <v>38</v>
      </c>
      <c r="YO6">
        <v>39</v>
      </c>
      <c r="YP6">
        <v>37</v>
      </c>
      <c r="YQ6">
        <v>1</v>
      </c>
      <c r="YR6">
        <v>1312</v>
      </c>
      <c r="YS6">
        <v>48</v>
      </c>
      <c r="YT6">
        <v>50</v>
      </c>
      <c r="YU6">
        <v>48</v>
      </c>
      <c r="YV6">
        <v>0</v>
      </c>
      <c r="YW6">
        <v>1895</v>
      </c>
      <c r="YX6">
        <v>1</v>
      </c>
      <c r="YY6" t="s">
        <v>85</v>
      </c>
      <c r="YZ6" t="s">
        <v>85</v>
      </c>
      <c r="ZA6" t="s">
        <v>85</v>
      </c>
      <c r="ZB6" t="s">
        <v>85</v>
      </c>
      <c r="ZC6">
        <v>0</v>
      </c>
      <c r="ZD6">
        <v>2</v>
      </c>
      <c r="ZE6">
        <v>2</v>
      </c>
      <c r="ZF6">
        <v>2</v>
      </c>
      <c r="ZG6">
        <v>0</v>
      </c>
      <c r="ZH6">
        <v>58</v>
      </c>
      <c r="ZI6" t="s">
        <v>85</v>
      </c>
      <c r="ZJ6" t="s">
        <v>85</v>
      </c>
      <c r="ZK6" t="s">
        <v>85</v>
      </c>
      <c r="ZL6" t="s">
        <v>85</v>
      </c>
      <c r="ZM6" t="s">
        <v>85</v>
      </c>
      <c r="ZN6" t="s">
        <v>85</v>
      </c>
      <c r="ZO6" t="s">
        <v>85</v>
      </c>
      <c r="ZP6" t="s">
        <v>85</v>
      </c>
      <c r="ZQ6" t="s">
        <v>85</v>
      </c>
      <c r="ZR6" t="s">
        <v>85</v>
      </c>
      <c r="ZS6" t="s">
        <v>85</v>
      </c>
      <c r="ZT6" t="s">
        <v>85</v>
      </c>
      <c r="ZU6" t="s">
        <v>85</v>
      </c>
      <c r="ZV6" t="s">
        <v>85</v>
      </c>
      <c r="ZW6" t="s">
        <v>85</v>
      </c>
      <c r="ZX6">
        <v>1</v>
      </c>
      <c r="ZY6">
        <v>1</v>
      </c>
      <c r="ZZ6">
        <v>1</v>
      </c>
      <c r="AAA6">
        <v>86</v>
      </c>
      <c r="AAB6">
        <v>88</v>
      </c>
      <c r="AAC6">
        <v>86</v>
      </c>
      <c r="AAD6">
        <v>0</v>
      </c>
      <c r="AAE6">
        <v>3434</v>
      </c>
      <c r="AAF6" t="s">
        <v>85</v>
      </c>
      <c r="AAG6" t="s">
        <v>85</v>
      </c>
      <c r="AAH6" t="s">
        <v>85</v>
      </c>
      <c r="AAI6" t="s">
        <v>85</v>
      </c>
      <c r="AAJ6" t="s">
        <v>85</v>
      </c>
      <c r="AAK6" t="s">
        <v>85</v>
      </c>
      <c r="AAL6" t="s">
        <v>85</v>
      </c>
      <c r="AAM6" t="s">
        <v>85</v>
      </c>
      <c r="AAN6" t="s">
        <v>85</v>
      </c>
      <c r="AAO6" t="s">
        <v>85</v>
      </c>
      <c r="AAP6" t="s">
        <v>85</v>
      </c>
      <c r="AAQ6" t="s">
        <v>85</v>
      </c>
      <c r="AAR6" t="s">
        <v>85</v>
      </c>
      <c r="AAS6" t="s">
        <v>85</v>
      </c>
      <c r="AAT6" t="s">
        <v>85</v>
      </c>
      <c r="AAU6" t="s">
        <v>85</v>
      </c>
      <c r="AAV6" t="s">
        <v>85</v>
      </c>
      <c r="AAW6" t="s">
        <v>85</v>
      </c>
      <c r="AAX6" t="s">
        <v>85</v>
      </c>
      <c r="AAY6" t="s">
        <v>85</v>
      </c>
    </row>
    <row r="7" spans="1:727">
      <c r="A7" s="483">
        <v>1</v>
      </c>
      <c r="B7" s="503">
        <v>-1</v>
      </c>
      <c r="C7" s="503">
        <v>-1</v>
      </c>
      <c r="D7" s="503">
        <v>-1</v>
      </c>
      <c r="E7" s="503">
        <v>0</v>
      </c>
      <c r="F7" s="503">
        <v>24</v>
      </c>
      <c r="G7" s="593">
        <v>8</v>
      </c>
      <c r="H7" s="593">
        <v>9</v>
      </c>
      <c r="I7" s="593">
        <v>9</v>
      </c>
      <c r="J7" s="593">
        <v>0</v>
      </c>
      <c r="K7" s="593">
        <v>281</v>
      </c>
      <c r="L7" s="502">
        <v>10</v>
      </c>
      <c r="M7" s="502">
        <v>10</v>
      </c>
      <c r="N7" s="502">
        <v>10</v>
      </c>
      <c r="O7" s="502">
        <v>0</v>
      </c>
      <c r="P7" s="502">
        <v>509</v>
      </c>
      <c r="Q7" s="504">
        <v>5</v>
      </c>
      <c r="R7" s="504">
        <v>5</v>
      </c>
      <c r="S7" s="504">
        <v>4</v>
      </c>
      <c r="T7" s="504">
        <v>0</v>
      </c>
      <c r="U7" s="504">
        <v>71</v>
      </c>
      <c r="V7" s="505">
        <v>8</v>
      </c>
      <c r="W7" s="505">
        <v>7</v>
      </c>
      <c r="X7" s="505">
        <v>7</v>
      </c>
      <c r="Y7" s="505">
        <v>1</v>
      </c>
      <c r="Z7" s="505">
        <v>0</v>
      </c>
      <c r="AA7" s="506"/>
      <c r="AB7" s="506"/>
      <c r="AC7" s="506"/>
      <c r="AD7" s="506"/>
      <c r="AE7" s="506"/>
      <c r="AF7" s="506"/>
      <c r="AG7" s="507"/>
      <c r="AH7" s="507"/>
      <c r="AI7" s="507"/>
      <c r="AJ7" s="507"/>
      <c r="AK7" s="507"/>
      <c r="AL7" s="508"/>
      <c r="AM7" s="508"/>
      <c r="AN7" s="508"/>
      <c r="AO7" s="508"/>
      <c r="AP7" s="508"/>
      <c r="AQ7" s="509"/>
      <c r="AR7" s="509"/>
      <c r="AS7" s="509"/>
      <c r="AT7" s="509"/>
      <c r="AU7" s="509"/>
      <c r="AV7" s="483"/>
      <c r="AW7" s="483"/>
      <c r="AX7" s="483"/>
      <c r="AY7" s="483"/>
      <c r="AZ7" s="483"/>
      <c r="BA7" s="483"/>
      <c r="BB7" s="483"/>
      <c r="BC7" s="483"/>
      <c r="BD7" s="483"/>
      <c r="BE7" s="483"/>
      <c r="BF7" s="483"/>
      <c r="BG7" s="483"/>
      <c r="BH7" s="483"/>
      <c r="BI7" s="483"/>
      <c r="BJ7" s="483"/>
      <c r="BK7" s="483"/>
      <c r="BL7" s="483"/>
      <c r="BM7" s="483"/>
      <c r="BN7" s="483"/>
      <c r="BO7" s="483"/>
      <c r="BP7" s="483"/>
      <c r="GA7" t="s">
        <v>85</v>
      </c>
      <c r="GB7">
        <v>2</v>
      </c>
      <c r="GC7">
        <v>123</v>
      </c>
      <c r="GD7">
        <v>88</v>
      </c>
      <c r="GE7">
        <v>86</v>
      </c>
      <c r="GF7">
        <v>38</v>
      </c>
      <c r="GG7">
        <v>2110</v>
      </c>
      <c r="GH7">
        <v>54</v>
      </c>
      <c r="GI7">
        <v>52</v>
      </c>
      <c r="GJ7">
        <v>50</v>
      </c>
      <c r="GK7">
        <v>17</v>
      </c>
      <c r="GL7">
        <v>1067</v>
      </c>
      <c r="GM7">
        <v>120</v>
      </c>
      <c r="GN7">
        <v>51</v>
      </c>
      <c r="GO7">
        <v>78</v>
      </c>
      <c r="GP7">
        <v>75</v>
      </c>
      <c r="GQ7">
        <v>1758</v>
      </c>
      <c r="GR7">
        <v>22</v>
      </c>
      <c r="GS7">
        <v>21</v>
      </c>
      <c r="GT7">
        <v>18</v>
      </c>
      <c r="GU7">
        <v>8</v>
      </c>
      <c r="GV7">
        <v>415</v>
      </c>
      <c r="GW7">
        <v>20</v>
      </c>
      <c r="GX7">
        <v>17</v>
      </c>
      <c r="GY7">
        <v>9</v>
      </c>
      <c r="GZ7">
        <v>15</v>
      </c>
      <c r="HA7">
        <v>299</v>
      </c>
      <c r="HB7">
        <v>2</v>
      </c>
      <c r="HC7">
        <v>116</v>
      </c>
      <c r="HD7">
        <v>92</v>
      </c>
      <c r="HE7">
        <v>82</v>
      </c>
      <c r="HF7">
        <v>35</v>
      </c>
      <c r="HG7">
        <v>1913</v>
      </c>
      <c r="HH7">
        <v>148</v>
      </c>
      <c r="HI7">
        <v>120</v>
      </c>
      <c r="HJ7">
        <v>132</v>
      </c>
      <c r="HK7">
        <v>34</v>
      </c>
      <c r="HL7">
        <v>2757</v>
      </c>
      <c r="HM7">
        <v>171</v>
      </c>
      <c r="HN7">
        <v>158</v>
      </c>
      <c r="HO7">
        <v>177</v>
      </c>
      <c r="HP7">
        <v>31</v>
      </c>
      <c r="HQ7">
        <v>3409</v>
      </c>
      <c r="HR7">
        <v>79</v>
      </c>
      <c r="HS7">
        <v>81</v>
      </c>
      <c r="HT7">
        <v>94</v>
      </c>
      <c r="HU7">
        <v>20</v>
      </c>
      <c r="HV7">
        <v>1699</v>
      </c>
      <c r="HW7">
        <v>15</v>
      </c>
      <c r="HX7">
        <v>24</v>
      </c>
      <c r="HY7">
        <v>29</v>
      </c>
      <c r="HZ7">
        <v>19</v>
      </c>
      <c r="IA7">
        <v>490</v>
      </c>
      <c r="IB7">
        <v>2</v>
      </c>
      <c r="IC7">
        <v>225</v>
      </c>
      <c r="ID7">
        <v>208</v>
      </c>
      <c r="IE7">
        <v>202</v>
      </c>
      <c r="IF7">
        <v>39</v>
      </c>
      <c r="IG7">
        <v>4231</v>
      </c>
      <c r="IH7">
        <v>27</v>
      </c>
      <c r="II7">
        <v>41</v>
      </c>
      <c r="IJ7">
        <v>37</v>
      </c>
      <c r="IK7">
        <v>21</v>
      </c>
      <c r="IL7">
        <v>593</v>
      </c>
      <c r="IM7">
        <v>127</v>
      </c>
      <c r="IN7">
        <v>133</v>
      </c>
      <c r="IO7">
        <v>157</v>
      </c>
      <c r="IP7">
        <v>34</v>
      </c>
      <c r="IQ7">
        <v>2868</v>
      </c>
      <c r="IR7">
        <v>53</v>
      </c>
      <c r="IS7">
        <v>60</v>
      </c>
      <c r="IT7">
        <v>67</v>
      </c>
      <c r="IU7">
        <v>20</v>
      </c>
      <c r="IV7">
        <v>1346</v>
      </c>
      <c r="IW7">
        <v>20</v>
      </c>
      <c r="IX7">
        <v>26</v>
      </c>
      <c r="IY7">
        <v>16</v>
      </c>
      <c r="IZ7">
        <v>10</v>
      </c>
      <c r="JA7">
        <v>376</v>
      </c>
      <c r="JB7">
        <v>2</v>
      </c>
      <c r="JC7">
        <v>42</v>
      </c>
      <c r="JD7">
        <v>25</v>
      </c>
      <c r="JE7">
        <v>24</v>
      </c>
      <c r="JF7">
        <v>21</v>
      </c>
      <c r="JG7">
        <v>627</v>
      </c>
      <c r="JH7">
        <v>111</v>
      </c>
      <c r="JI7">
        <v>104</v>
      </c>
      <c r="JJ7">
        <v>94</v>
      </c>
      <c r="JK7">
        <v>29</v>
      </c>
      <c r="JL7">
        <v>2003</v>
      </c>
      <c r="JM7">
        <v>133</v>
      </c>
      <c r="JN7">
        <v>138</v>
      </c>
      <c r="JO7">
        <v>116</v>
      </c>
      <c r="JP7">
        <v>25</v>
      </c>
      <c r="JQ7">
        <v>2704</v>
      </c>
      <c r="JR7">
        <v>185</v>
      </c>
      <c r="JS7">
        <v>179</v>
      </c>
      <c r="JT7">
        <v>195</v>
      </c>
      <c r="JU7">
        <v>32</v>
      </c>
      <c r="JV7">
        <v>3769</v>
      </c>
      <c r="JW7">
        <v>34</v>
      </c>
      <c r="JX7">
        <v>22</v>
      </c>
      <c r="JY7">
        <v>41</v>
      </c>
      <c r="JZ7">
        <v>26</v>
      </c>
      <c r="KA7">
        <v>665</v>
      </c>
      <c r="KB7">
        <v>2</v>
      </c>
      <c r="KC7" t="s">
        <v>85</v>
      </c>
      <c r="KD7" t="s">
        <v>85</v>
      </c>
      <c r="KE7" t="s">
        <v>85</v>
      </c>
      <c r="KF7" t="s">
        <v>85</v>
      </c>
      <c r="KG7" t="s">
        <v>85</v>
      </c>
      <c r="KH7" t="s">
        <v>85</v>
      </c>
      <c r="KI7" t="s">
        <v>85</v>
      </c>
      <c r="KJ7" t="s">
        <v>85</v>
      </c>
      <c r="KK7" t="s">
        <v>85</v>
      </c>
      <c r="KL7" t="s">
        <v>85</v>
      </c>
      <c r="KM7" t="s">
        <v>85</v>
      </c>
      <c r="KN7" t="s">
        <v>85</v>
      </c>
      <c r="KO7" t="s">
        <v>85</v>
      </c>
      <c r="KP7" t="s">
        <v>85</v>
      </c>
      <c r="KQ7" t="s">
        <v>85</v>
      </c>
      <c r="KR7" t="s">
        <v>85</v>
      </c>
      <c r="KS7" t="s">
        <v>85</v>
      </c>
      <c r="KT7" t="s">
        <v>85</v>
      </c>
      <c r="KU7" t="s">
        <v>85</v>
      </c>
      <c r="KV7" t="s">
        <v>85</v>
      </c>
      <c r="KW7" t="s">
        <v>85</v>
      </c>
      <c r="KX7" t="s">
        <v>85</v>
      </c>
      <c r="KY7" t="s">
        <v>85</v>
      </c>
      <c r="KZ7" t="s">
        <v>85</v>
      </c>
      <c r="LA7" t="s">
        <v>85</v>
      </c>
      <c r="LB7">
        <v>2</v>
      </c>
      <c r="LC7" t="s">
        <v>85</v>
      </c>
      <c r="LD7" t="s">
        <v>85</v>
      </c>
      <c r="LE7" t="s">
        <v>85</v>
      </c>
      <c r="LF7" t="s">
        <v>85</v>
      </c>
      <c r="LG7" t="s">
        <v>85</v>
      </c>
      <c r="LH7" t="s">
        <v>85</v>
      </c>
      <c r="LI7" t="s">
        <v>85</v>
      </c>
      <c r="LJ7" t="s">
        <v>85</v>
      </c>
      <c r="LK7" t="s">
        <v>85</v>
      </c>
      <c r="LL7" t="s">
        <v>85</v>
      </c>
      <c r="LM7" t="s">
        <v>85</v>
      </c>
      <c r="LN7" t="s">
        <v>85</v>
      </c>
      <c r="LO7" t="s">
        <v>85</v>
      </c>
      <c r="LP7" t="s">
        <v>85</v>
      </c>
      <c r="LQ7" t="s">
        <v>85</v>
      </c>
      <c r="LR7" t="s">
        <v>85</v>
      </c>
      <c r="LS7" t="s">
        <v>85</v>
      </c>
      <c r="LT7" t="s">
        <v>85</v>
      </c>
      <c r="LU7" t="s">
        <v>85</v>
      </c>
      <c r="LV7" t="s">
        <v>85</v>
      </c>
      <c r="LW7" t="s">
        <v>85</v>
      </c>
      <c r="LX7" t="s">
        <v>85</v>
      </c>
      <c r="LY7" t="s">
        <v>85</v>
      </c>
      <c r="LZ7" t="s">
        <v>85</v>
      </c>
      <c r="MA7" t="s">
        <v>85</v>
      </c>
      <c r="MB7">
        <v>2</v>
      </c>
      <c r="MC7" t="s">
        <v>85</v>
      </c>
      <c r="MD7" t="s">
        <v>85</v>
      </c>
      <c r="ME7" t="s">
        <v>85</v>
      </c>
      <c r="MF7" t="s">
        <v>85</v>
      </c>
      <c r="MG7" t="s">
        <v>85</v>
      </c>
      <c r="MH7" t="s">
        <v>85</v>
      </c>
      <c r="MI7" t="s">
        <v>85</v>
      </c>
      <c r="MJ7" t="s">
        <v>85</v>
      </c>
      <c r="MK7" t="s">
        <v>85</v>
      </c>
      <c r="ML7" t="s">
        <v>85</v>
      </c>
      <c r="MM7" t="s">
        <v>85</v>
      </c>
      <c r="MN7" t="s">
        <v>85</v>
      </c>
      <c r="MO7" t="s">
        <v>85</v>
      </c>
      <c r="MP7" t="s">
        <v>85</v>
      </c>
      <c r="MQ7" t="s">
        <v>85</v>
      </c>
      <c r="MR7" t="s">
        <v>85</v>
      </c>
      <c r="MS7" t="s">
        <v>85</v>
      </c>
      <c r="MT7" t="s">
        <v>85</v>
      </c>
      <c r="MU7" t="s">
        <v>85</v>
      </c>
      <c r="MV7" t="s">
        <v>85</v>
      </c>
      <c r="MW7" t="s">
        <v>85</v>
      </c>
      <c r="MX7" t="s">
        <v>85</v>
      </c>
      <c r="MY7" t="s">
        <v>85</v>
      </c>
      <c r="MZ7" t="s">
        <v>85</v>
      </c>
      <c r="NA7">
        <v>2</v>
      </c>
      <c r="NB7">
        <v>0</v>
      </c>
      <c r="NC7">
        <v>0</v>
      </c>
      <c r="ND7">
        <v>0</v>
      </c>
      <c r="NE7">
        <v>0</v>
      </c>
      <c r="NF7">
        <v>26</v>
      </c>
      <c r="NG7">
        <v>5</v>
      </c>
      <c r="NH7">
        <v>6</v>
      </c>
      <c r="NI7">
        <v>6</v>
      </c>
      <c r="NJ7">
        <v>0</v>
      </c>
      <c r="NK7">
        <v>69</v>
      </c>
      <c r="NL7">
        <v>7</v>
      </c>
      <c r="NM7">
        <v>7</v>
      </c>
      <c r="NN7">
        <v>6</v>
      </c>
      <c r="NO7">
        <v>0</v>
      </c>
      <c r="NP7">
        <v>45</v>
      </c>
      <c r="NQ7">
        <v>5</v>
      </c>
      <c r="NR7">
        <v>5</v>
      </c>
      <c r="NS7">
        <v>4</v>
      </c>
      <c r="NT7">
        <v>0</v>
      </c>
      <c r="NU7">
        <v>57</v>
      </c>
      <c r="NV7">
        <v>6</v>
      </c>
      <c r="NW7">
        <v>6</v>
      </c>
      <c r="NX7">
        <v>6</v>
      </c>
      <c r="NY7">
        <v>1</v>
      </c>
      <c r="NZ7">
        <v>0</v>
      </c>
      <c r="OA7">
        <v>2</v>
      </c>
      <c r="OB7">
        <v>10</v>
      </c>
      <c r="OC7">
        <v>10</v>
      </c>
      <c r="OD7">
        <v>10</v>
      </c>
      <c r="OE7">
        <v>1</v>
      </c>
      <c r="OF7">
        <v>88</v>
      </c>
      <c r="OG7">
        <v>12</v>
      </c>
      <c r="OH7">
        <v>12</v>
      </c>
      <c r="OI7">
        <v>12</v>
      </c>
      <c r="OJ7">
        <v>1</v>
      </c>
      <c r="OK7">
        <v>100</v>
      </c>
      <c r="OL7">
        <v>1</v>
      </c>
      <c r="OM7">
        <v>1</v>
      </c>
      <c r="ON7">
        <v>1</v>
      </c>
      <c r="OO7">
        <v>1</v>
      </c>
      <c r="OP7">
        <v>47</v>
      </c>
      <c r="OQ7" t="s">
        <v>85</v>
      </c>
      <c r="OR7" t="s">
        <v>85</v>
      </c>
      <c r="OS7" t="s">
        <v>85</v>
      </c>
      <c r="OT7" t="s">
        <v>85</v>
      </c>
      <c r="OU7" t="s">
        <v>85</v>
      </c>
      <c r="OV7" t="s">
        <v>85</v>
      </c>
      <c r="OW7" t="s">
        <v>85</v>
      </c>
      <c r="OX7" t="s">
        <v>85</v>
      </c>
      <c r="OY7" t="s">
        <v>85</v>
      </c>
      <c r="OZ7" t="s">
        <v>85</v>
      </c>
      <c r="PA7">
        <v>2</v>
      </c>
      <c r="PB7">
        <v>24</v>
      </c>
      <c r="PC7">
        <v>24</v>
      </c>
      <c r="PD7">
        <v>25</v>
      </c>
      <c r="PE7">
        <v>0</v>
      </c>
      <c r="PF7">
        <v>879</v>
      </c>
      <c r="PG7">
        <v>9</v>
      </c>
      <c r="PH7">
        <v>7</v>
      </c>
      <c r="PI7">
        <v>7</v>
      </c>
      <c r="PJ7">
        <v>0</v>
      </c>
      <c r="PK7">
        <v>222</v>
      </c>
      <c r="PL7">
        <v>7</v>
      </c>
      <c r="PM7">
        <v>8</v>
      </c>
      <c r="PN7">
        <v>6</v>
      </c>
      <c r="PO7">
        <v>0</v>
      </c>
      <c r="PP7">
        <v>80</v>
      </c>
      <c r="PQ7">
        <v>37</v>
      </c>
      <c r="PR7">
        <v>38</v>
      </c>
      <c r="PS7">
        <v>36</v>
      </c>
      <c r="PT7">
        <v>1</v>
      </c>
      <c r="PU7">
        <v>1337</v>
      </c>
      <c r="PV7">
        <v>42</v>
      </c>
      <c r="PW7">
        <v>46</v>
      </c>
      <c r="PX7">
        <v>42</v>
      </c>
      <c r="PY7">
        <v>0</v>
      </c>
      <c r="PZ7">
        <v>1825</v>
      </c>
      <c r="QA7">
        <v>2</v>
      </c>
      <c r="QB7" t="s">
        <v>85</v>
      </c>
      <c r="QC7" t="s">
        <v>85</v>
      </c>
      <c r="QD7" t="s">
        <v>85</v>
      </c>
      <c r="QE7" t="s">
        <v>85</v>
      </c>
      <c r="QF7">
        <v>0</v>
      </c>
      <c r="QG7">
        <v>2</v>
      </c>
      <c r="QH7">
        <v>2</v>
      </c>
      <c r="QI7">
        <v>2</v>
      </c>
      <c r="QJ7">
        <v>0</v>
      </c>
      <c r="QK7">
        <v>58</v>
      </c>
      <c r="QL7" t="s">
        <v>85</v>
      </c>
      <c r="QM7" t="s">
        <v>85</v>
      </c>
      <c r="QN7" t="s">
        <v>85</v>
      </c>
      <c r="QO7" t="s">
        <v>85</v>
      </c>
      <c r="QP7" t="s">
        <v>85</v>
      </c>
      <c r="QQ7" t="s">
        <v>85</v>
      </c>
      <c r="QR7" t="s">
        <v>85</v>
      </c>
      <c r="QS7" t="s">
        <v>85</v>
      </c>
      <c r="QT7" t="s">
        <v>85</v>
      </c>
      <c r="QU7" t="s">
        <v>85</v>
      </c>
      <c r="QV7" t="s">
        <v>85</v>
      </c>
      <c r="QW7" t="s">
        <v>85</v>
      </c>
      <c r="QX7" t="s">
        <v>85</v>
      </c>
      <c r="QY7" t="s">
        <v>85</v>
      </c>
      <c r="QZ7" t="s">
        <v>85</v>
      </c>
      <c r="RA7">
        <v>2</v>
      </c>
      <c r="RB7">
        <v>136</v>
      </c>
      <c r="RC7">
        <v>137</v>
      </c>
      <c r="RD7">
        <v>137</v>
      </c>
      <c r="RE7">
        <v>0</v>
      </c>
      <c r="RF7">
        <v>4866</v>
      </c>
      <c r="RG7">
        <v>8</v>
      </c>
      <c r="RH7">
        <v>7</v>
      </c>
      <c r="RI7">
        <v>7</v>
      </c>
      <c r="RJ7">
        <v>0</v>
      </c>
      <c r="RK7">
        <v>257</v>
      </c>
      <c r="RL7">
        <v>8</v>
      </c>
      <c r="RM7">
        <v>9</v>
      </c>
      <c r="RN7">
        <v>8</v>
      </c>
      <c r="RO7">
        <v>0</v>
      </c>
      <c r="RP7">
        <v>286</v>
      </c>
      <c r="RQ7">
        <v>0</v>
      </c>
      <c r="RR7">
        <v>0</v>
      </c>
      <c r="RS7">
        <v>0</v>
      </c>
      <c r="RT7">
        <v>0</v>
      </c>
      <c r="RU7">
        <v>0</v>
      </c>
      <c r="RV7">
        <v>0</v>
      </c>
      <c r="RW7">
        <v>0</v>
      </c>
      <c r="RX7">
        <v>0</v>
      </c>
      <c r="RY7">
        <v>0</v>
      </c>
      <c r="RZ7">
        <v>0</v>
      </c>
      <c r="SA7">
        <v>2</v>
      </c>
      <c r="SB7">
        <v>0</v>
      </c>
      <c r="SC7">
        <v>0</v>
      </c>
      <c r="SD7">
        <v>0</v>
      </c>
      <c r="SE7">
        <v>0</v>
      </c>
      <c r="SF7">
        <v>0</v>
      </c>
      <c r="SG7" t="s">
        <v>85</v>
      </c>
      <c r="SH7" t="s">
        <v>85</v>
      </c>
      <c r="SI7" t="s">
        <v>85</v>
      </c>
      <c r="SJ7" t="s">
        <v>85</v>
      </c>
      <c r="SK7" t="s">
        <v>85</v>
      </c>
      <c r="SL7" t="s">
        <v>85</v>
      </c>
      <c r="SM7" t="s">
        <v>85</v>
      </c>
      <c r="SN7" t="s">
        <v>85</v>
      </c>
      <c r="SO7" t="s">
        <v>85</v>
      </c>
      <c r="SP7" t="s">
        <v>85</v>
      </c>
      <c r="SQ7" t="s">
        <v>85</v>
      </c>
      <c r="SR7" t="s">
        <v>85</v>
      </c>
      <c r="SS7" t="s">
        <v>85</v>
      </c>
      <c r="ST7" t="s">
        <v>85</v>
      </c>
      <c r="SU7" t="s">
        <v>85</v>
      </c>
      <c r="SV7" t="s">
        <v>85</v>
      </c>
      <c r="SW7" t="s">
        <v>85</v>
      </c>
      <c r="SX7" t="s">
        <v>85</v>
      </c>
      <c r="SY7" t="s">
        <v>85</v>
      </c>
      <c r="SZ7" t="s">
        <v>85</v>
      </c>
      <c r="TA7">
        <v>2</v>
      </c>
      <c r="TB7">
        <v>1</v>
      </c>
      <c r="TC7">
        <v>1</v>
      </c>
      <c r="TD7">
        <v>1</v>
      </c>
      <c r="TE7">
        <v>0</v>
      </c>
      <c r="TF7">
        <v>0</v>
      </c>
      <c r="TG7">
        <v>0</v>
      </c>
      <c r="TH7">
        <v>0</v>
      </c>
      <c r="TI7">
        <v>0</v>
      </c>
      <c r="TJ7">
        <v>0</v>
      </c>
      <c r="TK7">
        <v>0</v>
      </c>
      <c r="TL7">
        <v>0</v>
      </c>
      <c r="TM7">
        <v>0</v>
      </c>
      <c r="TN7">
        <v>0</v>
      </c>
      <c r="TO7">
        <v>0</v>
      </c>
      <c r="TP7">
        <v>0</v>
      </c>
      <c r="TQ7">
        <v>32</v>
      </c>
      <c r="TR7">
        <v>32</v>
      </c>
      <c r="TS7">
        <v>34</v>
      </c>
      <c r="TT7">
        <v>0</v>
      </c>
      <c r="TU7">
        <v>1370</v>
      </c>
      <c r="TV7">
        <v>7</v>
      </c>
      <c r="TW7">
        <v>8</v>
      </c>
      <c r="TX7">
        <v>6</v>
      </c>
      <c r="TY7">
        <v>0</v>
      </c>
      <c r="TZ7">
        <v>265</v>
      </c>
      <c r="UA7">
        <v>2</v>
      </c>
      <c r="UB7">
        <v>86</v>
      </c>
      <c r="UC7">
        <v>90</v>
      </c>
      <c r="UD7">
        <v>87</v>
      </c>
      <c r="UE7">
        <v>0</v>
      </c>
      <c r="UF7">
        <v>3430</v>
      </c>
      <c r="UG7" t="s">
        <v>85</v>
      </c>
      <c r="UH7" t="s">
        <v>85</v>
      </c>
      <c r="UI7" t="s">
        <v>85</v>
      </c>
      <c r="UJ7" t="s">
        <v>85</v>
      </c>
      <c r="UK7" t="s">
        <v>85</v>
      </c>
      <c r="UL7" t="s">
        <v>85</v>
      </c>
      <c r="UM7" t="s">
        <v>85</v>
      </c>
      <c r="UN7" t="s">
        <v>85</v>
      </c>
      <c r="UO7" t="s">
        <v>85</v>
      </c>
      <c r="UP7" t="s">
        <v>85</v>
      </c>
      <c r="UQ7" t="s">
        <v>85</v>
      </c>
      <c r="UR7" t="s">
        <v>85</v>
      </c>
      <c r="US7" t="s">
        <v>85</v>
      </c>
      <c r="UT7" t="s">
        <v>85</v>
      </c>
      <c r="UU7" t="s">
        <v>85</v>
      </c>
      <c r="UV7" t="s">
        <v>85</v>
      </c>
      <c r="UW7" t="s">
        <v>85</v>
      </c>
      <c r="UX7" t="s">
        <v>85</v>
      </c>
      <c r="UY7" t="s">
        <v>85</v>
      </c>
      <c r="UZ7" t="s">
        <v>85</v>
      </c>
      <c r="VX7">
        <v>2</v>
      </c>
      <c r="VY7">
        <v>0</v>
      </c>
      <c r="VZ7">
        <v>0</v>
      </c>
      <c r="WA7">
        <v>0</v>
      </c>
      <c r="WB7">
        <v>0</v>
      </c>
      <c r="WC7">
        <v>26</v>
      </c>
      <c r="WD7">
        <v>5</v>
      </c>
      <c r="WE7">
        <v>6</v>
      </c>
      <c r="WF7">
        <v>6</v>
      </c>
      <c r="WG7">
        <v>0</v>
      </c>
      <c r="WH7">
        <v>69</v>
      </c>
      <c r="WI7">
        <v>7</v>
      </c>
      <c r="WJ7">
        <v>7</v>
      </c>
      <c r="WK7">
        <v>6</v>
      </c>
      <c r="WL7">
        <v>0</v>
      </c>
      <c r="WM7">
        <v>45</v>
      </c>
      <c r="WN7">
        <v>5</v>
      </c>
      <c r="WO7">
        <v>5</v>
      </c>
      <c r="WP7">
        <v>4</v>
      </c>
      <c r="WQ7">
        <v>0</v>
      </c>
      <c r="WR7">
        <v>57</v>
      </c>
      <c r="WS7">
        <v>6</v>
      </c>
      <c r="WT7">
        <v>6</v>
      </c>
      <c r="WU7">
        <v>6</v>
      </c>
      <c r="WV7">
        <v>1</v>
      </c>
      <c r="WW7">
        <v>0</v>
      </c>
      <c r="WX7">
        <v>2</v>
      </c>
      <c r="WY7">
        <v>10</v>
      </c>
      <c r="WZ7">
        <v>10</v>
      </c>
      <c r="XA7">
        <v>10</v>
      </c>
      <c r="XB7">
        <v>1</v>
      </c>
      <c r="XC7">
        <v>88</v>
      </c>
      <c r="XD7">
        <v>12</v>
      </c>
      <c r="XE7">
        <v>12</v>
      </c>
      <c r="XF7">
        <v>12</v>
      </c>
      <c r="XG7">
        <v>1</v>
      </c>
      <c r="XH7">
        <v>100</v>
      </c>
      <c r="XI7">
        <v>1</v>
      </c>
      <c r="XJ7">
        <v>1</v>
      </c>
      <c r="XK7">
        <v>1</v>
      </c>
      <c r="XL7">
        <v>1</v>
      </c>
      <c r="XM7">
        <v>47</v>
      </c>
      <c r="XN7" t="s">
        <v>85</v>
      </c>
      <c r="XO7" t="s">
        <v>85</v>
      </c>
      <c r="XP7" t="s">
        <v>85</v>
      </c>
      <c r="XQ7" t="s">
        <v>85</v>
      </c>
      <c r="XR7" t="s">
        <v>85</v>
      </c>
      <c r="XS7" t="s">
        <v>85</v>
      </c>
      <c r="XT7" t="s">
        <v>85</v>
      </c>
      <c r="XU7" t="s">
        <v>85</v>
      </c>
      <c r="XV7" t="s">
        <v>85</v>
      </c>
      <c r="XW7" t="s">
        <v>85</v>
      </c>
      <c r="XX7">
        <v>2</v>
      </c>
      <c r="XY7">
        <v>24</v>
      </c>
      <c r="XZ7">
        <v>24</v>
      </c>
      <c r="YA7">
        <v>25</v>
      </c>
      <c r="YB7">
        <v>0</v>
      </c>
      <c r="YC7">
        <v>879</v>
      </c>
      <c r="YD7">
        <v>9</v>
      </c>
      <c r="YE7">
        <v>7</v>
      </c>
      <c r="YF7">
        <v>7</v>
      </c>
      <c r="YG7">
        <v>0</v>
      </c>
      <c r="YH7">
        <v>222</v>
      </c>
      <c r="YI7">
        <v>7</v>
      </c>
      <c r="YJ7">
        <v>8</v>
      </c>
      <c r="YK7">
        <v>6</v>
      </c>
      <c r="YL7">
        <v>0</v>
      </c>
      <c r="YM7">
        <v>80</v>
      </c>
      <c r="YN7">
        <v>37</v>
      </c>
      <c r="YO7">
        <v>38</v>
      </c>
      <c r="YP7">
        <v>36</v>
      </c>
      <c r="YQ7">
        <v>1</v>
      </c>
      <c r="YR7">
        <v>1337</v>
      </c>
      <c r="YS7">
        <v>42</v>
      </c>
      <c r="YT7">
        <v>46</v>
      </c>
      <c r="YU7">
        <v>42</v>
      </c>
      <c r="YV7">
        <v>0</v>
      </c>
      <c r="YW7">
        <v>1825</v>
      </c>
      <c r="YX7">
        <v>2</v>
      </c>
      <c r="YY7" t="s">
        <v>85</v>
      </c>
      <c r="YZ7" t="s">
        <v>85</v>
      </c>
      <c r="ZA7" t="s">
        <v>85</v>
      </c>
      <c r="ZB7" t="s">
        <v>85</v>
      </c>
      <c r="ZC7">
        <v>0</v>
      </c>
      <c r="ZD7">
        <v>2</v>
      </c>
      <c r="ZE7">
        <v>2</v>
      </c>
      <c r="ZF7">
        <v>2</v>
      </c>
      <c r="ZG7">
        <v>0</v>
      </c>
      <c r="ZH7">
        <v>58</v>
      </c>
      <c r="ZI7" t="s">
        <v>85</v>
      </c>
      <c r="ZJ7" t="s">
        <v>85</v>
      </c>
      <c r="ZK7" t="s">
        <v>85</v>
      </c>
      <c r="ZL7" t="s">
        <v>85</v>
      </c>
      <c r="ZM7" t="s">
        <v>85</v>
      </c>
      <c r="ZN7" t="s">
        <v>85</v>
      </c>
      <c r="ZO7" t="s">
        <v>85</v>
      </c>
      <c r="ZP7" t="s">
        <v>85</v>
      </c>
      <c r="ZQ7" t="s">
        <v>85</v>
      </c>
      <c r="ZR7" t="s">
        <v>85</v>
      </c>
      <c r="ZS7" t="s">
        <v>85</v>
      </c>
      <c r="ZT7" t="s">
        <v>85</v>
      </c>
      <c r="ZU7" t="s">
        <v>85</v>
      </c>
      <c r="ZV7" t="s">
        <v>85</v>
      </c>
      <c r="ZW7" t="s">
        <v>85</v>
      </c>
      <c r="ZX7">
        <v>2</v>
      </c>
      <c r="ZY7">
        <v>2</v>
      </c>
      <c r="ZZ7">
        <v>2</v>
      </c>
      <c r="AAA7">
        <v>86</v>
      </c>
      <c r="AAB7">
        <v>90</v>
      </c>
      <c r="AAC7">
        <v>87</v>
      </c>
      <c r="AAD7">
        <v>0</v>
      </c>
      <c r="AAE7">
        <v>3430</v>
      </c>
      <c r="AAF7" t="s">
        <v>85</v>
      </c>
      <c r="AAG7" t="s">
        <v>85</v>
      </c>
      <c r="AAH7" t="s">
        <v>85</v>
      </c>
      <c r="AAI7" t="s">
        <v>85</v>
      </c>
      <c r="AAJ7" t="s">
        <v>85</v>
      </c>
      <c r="AAK7" t="s">
        <v>85</v>
      </c>
      <c r="AAL7" t="s">
        <v>85</v>
      </c>
      <c r="AAM7" t="s">
        <v>85</v>
      </c>
      <c r="AAN7" t="s">
        <v>85</v>
      </c>
      <c r="AAO7" t="s">
        <v>85</v>
      </c>
      <c r="AAP7" t="s">
        <v>85</v>
      </c>
      <c r="AAQ7" t="s">
        <v>85</v>
      </c>
      <c r="AAR7" t="s">
        <v>85</v>
      </c>
      <c r="AAS7" t="s">
        <v>85</v>
      </c>
      <c r="AAT7" t="s">
        <v>85</v>
      </c>
      <c r="AAU7" t="s">
        <v>85</v>
      </c>
      <c r="AAV7" t="s">
        <v>85</v>
      </c>
      <c r="AAW7" t="s">
        <v>85</v>
      </c>
      <c r="AAX7" t="s">
        <v>85</v>
      </c>
      <c r="AAY7" t="s">
        <v>85</v>
      </c>
    </row>
    <row r="8" spans="1:727">
      <c r="A8" s="483">
        <v>2</v>
      </c>
      <c r="B8" s="503">
        <v>0</v>
      </c>
      <c r="C8" s="503">
        <v>-1</v>
      </c>
      <c r="D8" s="503">
        <v>0</v>
      </c>
      <c r="E8" s="503">
        <v>0</v>
      </c>
      <c r="F8" s="503">
        <v>24</v>
      </c>
      <c r="G8" s="593">
        <v>5</v>
      </c>
      <c r="H8" s="593">
        <v>6</v>
      </c>
      <c r="I8" s="593">
        <v>6</v>
      </c>
      <c r="J8" s="593">
        <v>0</v>
      </c>
      <c r="K8" s="593">
        <v>99</v>
      </c>
      <c r="L8" s="502">
        <v>6</v>
      </c>
      <c r="M8" s="502">
        <v>6</v>
      </c>
      <c r="N8" s="502">
        <v>6</v>
      </c>
      <c r="O8" s="502">
        <v>0</v>
      </c>
      <c r="P8" s="502">
        <v>75</v>
      </c>
      <c r="Q8" s="504">
        <v>4</v>
      </c>
      <c r="R8" s="504">
        <v>4</v>
      </c>
      <c r="S8" s="504">
        <v>4</v>
      </c>
      <c r="T8" s="504">
        <v>0</v>
      </c>
      <c r="U8" s="504">
        <v>62</v>
      </c>
      <c r="V8" s="505">
        <v>6</v>
      </c>
      <c r="W8" s="505">
        <v>6</v>
      </c>
      <c r="X8" s="505">
        <v>6</v>
      </c>
      <c r="Y8" s="505">
        <v>1</v>
      </c>
      <c r="Z8" s="505">
        <v>0</v>
      </c>
      <c r="AA8" s="506"/>
      <c r="AB8" s="506"/>
      <c r="AC8" s="506"/>
      <c r="AD8" s="506"/>
      <c r="AE8" s="506"/>
      <c r="AF8" s="506"/>
      <c r="AG8" s="507"/>
      <c r="AH8" s="507"/>
      <c r="AI8" s="507"/>
      <c r="AJ8" s="507"/>
      <c r="AK8" s="507"/>
      <c r="AL8" s="508"/>
      <c r="AM8" s="508"/>
      <c r="AN8" s="508"/>
      <c r="AO8" s="508"/>
      <c r="AP8" s="508"/>
      <c r="AQ8" s="509"/>
      <c r="AR8" s="509"/>
      <c r="AS8" s="509"/>
      <c r="AT8" s="509"/>
      <c r="AU8" s="509"/>
      <c r="AV8" s="483"/>
      <c r="AW8" s="483"/>
      <c r="AX8" s="483"/>
      <c r="AY8" s="483"/>
      <c r="AZ8" s="483"/>
      <c r="BA8" s="483"/>
      <c r="BB8" s="483"/>
      <c r="BC8" s="483"/>
      <c r="BD8" s="483"/>
      <c r="BE8" s="483"/>
      <c r="BF8" s="483"/>
      <c r="BG8" s="483"/>
      <c r="BH8" s="483"/>
      <c r="BI8" s="483"/>
      <c r="BJ8" s="483"/>
      <c r="BK8" s="483"/>
      <c r="BL8" s="483"/>
      <c r="BM8" s="483"/>
      <c r="BN8" s="483"/>
      <c r="BO8" s="483"/>
      <c r="BP8" s="483"/>
      <c r="GA8" t="s">
        <v>85</v>
      </c>
      <c r="GB8">
        <v>3</v>
      </c>
      <c r="GC8">
        <v>115</v>
      </c>
      <c r="GD8">
        <v>79</v>
      </c>
      <c r="GE8">
        <v>81</v>
      </c>
      <c r="GF8">
        <v>38</v>
      </c>
      <c r="GG8">
        <v>1951</v>
      </c>
      <c r="GH8">
        <v>50</v>
      </c>
      <c r="GI8">
        <v>47</v>
      </c>
      <c r="GJ8">
        <v>50</v>
      </c>
      <c r="GK8">
        <v>14</v>
      </c>
      <c r="GL8">
        <v>1008</v>
      </c>
      <c r="GM8">
        <v>118</v>
      </c>
      <c r="GN8">
        <v>52</v>
      </c>
      <c r="GO8">
        <v>78</v>
      </c>
      <c r="GP8">
        <v>74</v>
      </c>
      <c r="GQ8">
        <v>1649</v>
      </c>
      <c r="GR8">
        <v>21</v>
      </c>
      <c r="GS8">
        <v>19</v>
      </c>
      <c r="GT8">
        <v>18</v>
      </c>
      <c r="GU8">
        <v>8</v>
      </c>
      <c r="GV8">
        <v>401</v>
      </c>
      <c r="GW8">
        <v>20</v>
      </c>
      <c r="GX8">
        <v>15</v>
      </c>
      <c r="GY8">
        <v>9</v>
      </c>
      <c r="GZ8">
        <v>15</v>
      </c>
      <c r="HA8">
        <v>290</v>
      </c>
      <c r="HB8">
        <v>3</v>
      </c>
      <c r="HC8">
        <v>116</v>
      </c>
      <c r="HD8">
        <v>95</v>
      </c>
      <c r="HE8">
        <v>83</v>
      </c>
      <c r="HF8">
        <v>37</v>
      </c>
      <c r="HG8">
        <v>1885</v>
      </c>
      <c r="HH8">
        <v>137</v>
      </c>
      <c r="HI8">
        <v>113</v>
      </c>
      <c r="HJ8">
        <v>125</v>
      </c>
      <c r="HK8">
        <v>30</v>
      </c>
      <c r="HL8">
        <v>2555</v>
      </c>
      <c r="HM8">
        <v>154</v>
      </c>
      <c r="HN8">
        <v>145</v>
      </c>
      <c r="HO8">
        <v>162</v>
      </c>
      <c r="HP8">
        <v>28</v>
      </c>
      <c r="HQ8">
        <v>3311</v>
      </c>
      <c r="HR8">
        <v>67</v>
      </c>
      <c r="HS8">
        <v>77</v>
      </c>
      <c r="HT8">
        <v>90</v>
      </c>
      <c r="HU8">
        <v>24</v>
      </c>
      <c r="HV8">
        <v>1603</v>
      </c>
      <c r="HW8">
        <v>13</v>
      </c>
      <c r="HX8">
        <v>22</v>
      </c>
      <c r="HY8">
        <v>29</v>
      </c>
      <c r="HZ8">
        <v>19</v>
      </c>
      <c r="IA8">
        <v>451</v>
      </c>
      <c r="IB8">
        <v>3</v>
      </c>
      <c r="IC8">
        <v>212</v>
      </c>
      <c r="ID8">
        <v>191</v>
      </c>
      <c r="IE8">
        <v>181</v>
      </c>
      <c r="IF8">
        <v>51</v>
      </c>
      <c r="IG8">
        <v>3952</v>
      </c>
      <c r="IH8">
        <v>27</v>
      </c>
      <c r="II8">
        <v>40</v>
      </c>
      <c r="IJ8">
        <v>34</v>
      </c>
      <c r="IK8">
        <v>20</v>
      </c>
      <c r="IL8">
        <v>562</v>
      </c>
      <c r="IM8">
        <v>124</v>
      </c>
      <c r="IN8">
        <v>129</v>
      </c>
      <c r="IO8">
        <v>151</v>
      </c>
      <c r="IP8">
        <v>33</v>
      </c>
      <c r="IQ8">
        <v>2694</v>
      </c>
      <c r="IR8">
        <v>53</v>
      </c>
      <c r="IS8">
        <v>63</v>
      </c>
      <c r="IT8">
        <v>70</v>
      </c>
      <c r="IU8">
        <v>25</v>
      </c>
      <c r="IV8">
        <v>1306</v>
      </c>
      <c r="IW8">
        <v>20</v>
      </c>
      <c r="IX8">
        <v>26</v>
      </c>
      <c r="IY8">
        <v>16</v>
      </c>
      <c r="IZ8">
        <v>10</v>
      </c>
      <c r="JA8">
        <v>369</v>
      </c>
      <c r="JB8">
        <v>3</v>
      </c>
      <c r="JC8">
        <v>41</v>
      </c>
      <c r="JD8">
        <v>24</v>
      </c>
      <c r="JE8">
        <v>22</v>
      </c>
      <c r="JF8">
        <v>22</v>
      </c>
      <c r="JG8">
        <v>591</v>
      </c>
      <c r="JH8">
        <v>108</v>
      </c>
      <c r="JI8">
        <v>94</v>
      </c>
      <c r="JJ8">
        <v>89</v>
      </c>
      <c r="JK8">
        <v>34</v>
      </c>
      <c r="JL8">
        <v>1998</v>
      </c>
      <c r="JM8">
        <v>125</v>
      </c>
      <c r="JN8">
        <v>132</v>
      </c>
      <c r="JO8">
        <v>105</v>
      </c>
      <c r="JP8">
        <v>30</v>
      </c>
      <c r="JQ8">
        <v>2537</v>
      </c>
      <c r="JR8">
        <v>172</v>
      </c>
      <c r="JS8">
        <v>172</v>
      </c>
      <c r="JT8">
        <v>188</v>
      </c>
      <c r="JU8">
        <v>33</v>
      </c>
      <c r="JV8">
        <v>3598</v>
      </c>
      <c r="JW8">
        <v>31</v>
      </c>
      <c r="JX8">
        <v>24</v>
      </c>
      <c r="JY8">
        <v>36</v>
      </c>
      <c r="JZ8">
        <v>19</v>
      </c>
      <c r="KA8">
        <v>623</v>
      </c>
      <c r="KB8">
        <v>3</v>
      </c>
      <c r="KC8" t="s">
        <v>85</v>
      </c>
      <c r="KD8" t="s">
        <v>85</v>
      </c>
      <c r="KE8" t="s">
        <v>85</v>
      </c>
      <c r="KF8" t="s">
        <v>85</v>
      </c>
      <c r="KG8" t="s">
        <v>85</v>
      </c>
      <c r="KH8" t="s">
        <v>85</v>
      </c>
      <c r="KI8" t="s">
        <v>85</v>
      </c>
      <c r="KJ8" t="s">
        <v>85</v>
      </c>
      <c r="KK8" t="s">
        <v>85</v>
      </c>
      <c r="KL8" t="s">
        <v>85</v>
      </c>
      <c r="KM8" t="s">
        <v>85</v>
      </c>
      <c r="KN8" t="s">
        <v>85</v>
      </c>
      <c r="KO8" t="s">
        <v>85</v>
      </c>
      <c r="KP8" t="s">
        <v>85</v>
      </c>
      <c r="KQ8" t="s">
        <v>85</v>
      </c>
      <c r="KR8" t="s">
        <v>85</v>
      </c>
      <c r="KS8" t="s">
        <v>85</v>
      </c>
      <c r="KT8" t="s">
        <v>85</v>
      </c>
      <c r="KU8" t="s">
        <v>85</v>
      </c>
      <c r="KV8" t="s">
        <v>85</v>
      </c>
      <c r="KW8" t="s">
        <v>85</v>
      </c>
      <c r="KX8" t="s">
        <v>85</v>
      </c>
      <c r="KY8" t="s">
        <v>85</v>
      </c>
      <c r="KZ8" t="s">
        <v>85</v>
      </c>
      <c r="LA8" t="s">
        <v>85</v>
      </c>
      <c r="LB8">
        <v>3</v>
      </c>
      <c r="LC8" t="s">
        <v>85</v>
      </c>
      <c r="LD8" t="s">
        <v>85</v>
      </c>
      <c r="LE8" t="s">
        <v>85</v>
      </c>
      <c r="LF8" t="s">
        <v>85</v>
      </c>
      <c r="LG8" t="s">
        <v>85</v>
      </c>
      <c r="LH8" t="s">
        <v>85</v>
      </c>
      <c r="LI8" t="s">
        <v>85</v>
      </c>
      <c r="LJ8" t="s">
        <v>85</v>
      </c>
      <c r="LK8" t="s">
        <v>85</v>
      </c>
      <c r="LL8" t="s">
        <v>85</v>
      </c>
      <c r="LM8" t="s">
        <v>85</v>
      </c>
      <c r="LN8" t="s">
        <v>85</v>
      </c>
      <c r="LO8" t="s">
        <v>85</v>
      </c>
      <c r="LP8" t="s">
        <v>85</v>
      </c>
      <c r="LQ8" t="s">
        <v>85</v>
      </c>
      <c r="LR8" t="s">
        <v>85</v>
      </c>
      <c r="LS8" t="s">
        <v>85</v>
      </c>
      <c r="LT8" t="s">
        <v>85</v>
      </c>
      <c r="LU8" t="s">
        <v>85</v>
      </c>
      <c r="LV8" t="s">
        <v>85</v>
      </c>
      <c r="LW8" t="s">
        <v>85</v>
      </c>
      <c r="LX8" t="s">
        <v>85</v>
      </c>
      <c r="LY8" t="s">
        <v>85</v>
      </c>
      <c r="LZ8" t="s">
        <v>85</v>
      </c>
      <c r="MA8" t="s">
        <v>85</v>
      </c>
      <c r="MB8">
        <v>3</v>
      </c>
      <c r="MC8" t="s">
        <v>85</v>
      </c>
      <c r="MD8" t="s">
        <v>85</v>
      </c>
      <c r="ME8" t="s">
        <v>85</v>
      </c>
      <c r="MF8" t="s">
        <v>85</v>
      </c>
      <c r="MG8" t="s">
        <v>85</v>
      </c>
      <c r="MH8" t="s">
        <v>85</v>
      </c>
      <c r="MI8" t="s">
        <v>85</v>
      </c>
      <c r="MJ8" t="s">
        <v>85</v>
      </c>
      <c r="MK8" t="s">
        <v>85</v>
      </c>
      <c r="ML8" t="s">
        <v>85</v>
      </c>
      <c r="MM8" t="s">
        <v>85</v>
      </c>
      <c r="MN8" t="s">
        <v>85</v>
      </c>
      <c r="MO8" t="s">
        <v>85</v>
      </c>
      <c r="MP8" t="s">
        <v>85</v>
      </c>
      <c r="MQ8" t="s">
        <v>85</v>
      </c>
      <c r="MR8" t="s">
        <v>85</v>
      </c>
      <c r="MS8" t="s">
        <v>85</v>
      </c>
      <c r="MT8" t="s">
        <v>85</v>
      </c>
      <c r="MU8" t="s">
        <v>85</v>
      </c>
      <c r="MV8" t="s">
        <v>85</v>
      </c>
      <c r="MW8" t="s">
        <v>85</v>
      </c>
      <c r="MX8" t="s">
        <v>85</v>
      </c>
      <c r="MY8" t="s">
        <v>85</v>
      </c>
      <c r="MZ8" t="s">
        <v>85</v>
      </c>
      <c r="NA8">
        <v>3</v>
      </c>
      <c r="NB8">
        <v>0</v>
      </c>
      <c r="NC8">
        <v>-1</v>
      </c>
      <c r="ND8">
        <v>0</v>
      </c>
      <c r="NE8">
        <v>-1</v>
      </c>
      <c r="NF8">
        <v>25</v>
      </c>
      <c r="NG8">
        <v>5</v>
      </c>
      <c r="NH8">
        <v>6</v>
      </c>
      <c r="NI8">
        <v>6</v>
      </c>
      <c r="NJ8">
        <v>0</v>
      </c>
      <c r="NK8">
        <v>73</v>
      </c>
      <c r="NL8">
        <v>7</v>
      </c>
      <c r="NM8">
        <v>7</v>
      </c>
      <c r="NN8">
        <v>6</v>
      </c>
      <c r="NO8">
        <v>0</v>
      </c>
      <c r="NP8">
        <v>42</v>
      </c>
      <c r="NQ8">
        <v>5</v>
      </c>
      <c r="NR8">
        <v>5</v>
      </c>
      <c r="NS8">
        <v>4</v>
      </c>
      <c r="NT8">
        <v>0</v>
      </c>
      <c r="NU8">
        <v>55</v>
      </c>
      <c r="NV8">
        <v>6</v>
      </c>
      <c r="NW8">
        <v>6</v>
      </c>
      <c r="NX8">
        <v>6</v>
      </c>
      <c r="NY8">
        <v>1</v>
      </c>
      <c r="NZ8">
        <v>0</v>
      </c>
      <c r="OA8">
        <v>3</v>
      </c>
      <c r="OB8">
        <v>10</v>
      </c>
      <c r="OC8">
        <v>10</v>
      </c>
      <c r="OD8">
        <v>10</v>
      </c>
      <c r="OE8">
        <v>1</v>
      </c>
      <c r="OF8">
        <v>87</v>
      </c>
      <c r="OG8">
        <v>12</v>
      </c>
      <c r="OH8">
        <v>12</v>
      </c>
      <c r="OI8">
        <v>12</v>
      </c>
      <c r="OJ8">
        <v>1</v>
      </c>
      <c r="OK8">
        <v>93</v>
      </c>
      <c r="OL8">
        <v>1</v>
      </c>
      <c r="OM8">
        <v>1</v>
      </c>
      <c r="ON8">
        <v>1</v>
      </c>
      <c r="OO8">
        <v>1</v>
      </c>
      <c r="OP8">
        <v>47</v>
      </c>
      <c r="OQ8" t="s">
        <v>85</v>
      </c>
      <c r="OR8" t="s">
        <v>85</v>
      </c>
      <c r="OS8" t="s">
        <v>85</v>
      </c>
      <c r="OT8" t="s">
        <v>85</v>
      </c>
      <c r="OU8" t="s">
        <v>85</v>
      </c>
      <c r="OV8" t="s">
        <v>85</v>
      </c>
      <c r="OW8" t="s">
        <v>85</v>
      </c>
      <c r="OX8" t="s">
        <v>85</v>
      </c>
      <c r="OY8" t="s">
        <v>85</v>
      </c>
      <c r="OZ8" t="s">
        <v>85</v>
      </c>
      <c r="PA8">
        <v>3</v>
      </c>
      <c r="PB8">
        <v>23</v>
      </c>
      <c r="PC8">
        <v>23</v>
      </c>
      <c r="PD8">
        <v>24</v>
      </c>
      <c r="PE8">
        <v>0</v>
      </c>
      <c r="PF8">
        <v>889</v>
      </c>
      <c r="PG8">
        <v>9</v>
      </c>
      <c r="PH8">
        <v>7</v>
      </c>
      <c r="PI8">
        <v>6</v>
      </c>
      <c r="PJ8">
        <v>0</v>
      </c>
      <c r="PK8">
        <v>221</v>
      </c>
      <c r="PL8">
        <v>7</v>
      </c>
      <c r="PM8">
        <v>8</v>
      </c>
      <c r="PN8">
        <v>6</v>
      </c>
      <c r="PO8">
        <v>0</v>
      </c>
      <c r="PP8">
        <v>35</v>
      </c>
      <c r="PQ8">
        <v>38</v>
      </c>
      <c r="PR8">
        <v>38</v>
      </c>
      <c r="PS8">
        <v>36</v>
      </c>
      <c r="PT8">
        <v>1</v>
      </c>
      <c r="PU8">
        <v>1347</v>
      </c>
      <c r="PV8">
        <v>39</v>
      </c>
      <c r="PW8">
        <v>43</v>
      </c>
      <c r="PX8">
        <v>39</v>
      </c>
      <c r="PY8">
        <v>0</v>
      </c>
      <c r="PZ8">
        <v>1612</v>
      </c>
      <c r="QA8">
        <v>3</v>
      </c>
      <c r="QB8" t="s">
        <v>85</v>
      </c>
      <c r="QC8" t="s">
        <v>85</v>
      </c>
      <c r="QD8" t="s">
        <v>85</v>
      </c>
      <c r="QE8" t="s">
        <v>85</v>
      </c>
      <c r="QF8">
        <v>0</v>
      </c>
      <c r="QG8">
        <v>2</v>
      </c>
      <c r="QH8">
        <v>2</v>
      </c>
      <c r="QI8">
        <v>2</v>
      </c>
      <c r="QJ8">
        <v>0</v>
      </c>
      <c r="QK8">
        <v>58</v>
      </c>
      <c r="QL8" t="s">
        <v>85</v>
      </c>
      <c r="QM8" t="s">
        <v>85</v>
      </c>
      <c r="QN8" t="s">
        <v>85</v>
      </c>
      <c r="QO8" t="s">
        <v>85</v>
      </c>
      <c r="QP8" t="s">
        <v>85</v>
      </c>
      <c r="QQ8" t="s">
        <v>85</v>
      </c>
      <c r="QR8" t="s">
        <v>85</v>
      </c>
      <c r="QS8" t="s">
        <v>85</v>
      </c>
      <c r="QT8" t="s">
        <v>85</v>
      </c>
      <c r="QU8" t="s">
        <v>85</v>
      </c>
      <c r="QV8" t="s">
        <v>85</v>
      </c>
      <c r="QW8" t="s">
        <v>85</v>
      </c>
      <c r="QX8" t="s">
        <v>85</v>
      </c>
      <c r="QY8" t="s">
        <v>85</v>
      </c>
      <c r="QZ8" t="s">
        <v>85</v>
      </c>
      <c r="RA8">
        <v>3</v>
      </c>
      <c r="RB8">
        <v>136</v>
      </c>
      <c r="RC8">
        <v>138</v>
      </c>
      <c r="RD8">
        <v>137</v>
      </c>
      <c r="RE8">
        <v>0</v>
      </c>
      <c r="RF8">
        <v>4965</v>
      </c>
      <c r="RG8">
        <v>8</v>
      </c>
      <c r="RH8">
        <v>7</v>
      </c>
      <c r="RI8">
        <v>7</v>
      </c>
      <c r="RJ8">
        <v>0</v>
      </c>
      <c r="RK8">
        <v>258</v>
      </c>
      <c r="RL8">
        <v>8</v>
      </c>
      <c r="RM8">
        <v>8</v>
      </c>
      <c r="RN8">
        <v>8</v>
      </c>
      <c r="RO8">
        <v>0</v>
      </c>
      <c r="RP8">
        <v>282</v>
      </c>
      <c r="RQ8">
        <v>0</v>
      </c>
      <c r="RR8">
        <v>0</v>
      </c>
      <c r="RS8">
        <v>0</v>
      </c>
      <c r="RT8">
        <v>0</v>
      </c>
      <c r="RU8">
        <v>0</v>
      </c>
      <c r="RV8">
        <v>0</v>
      </c>
      <c r="RW8">
        <v>0</v>
      </c>
      <c r="RX8">
        <v>0</v>
      </c>
      <c r="RY8">
        <v>0</v>
      </c>
      <c r="RZ8">
        <v>0</v>
      </c>
      <c r="SA8">
        <v>3</v>
      </c>
      <c r="SB8">
        <v>0</v>
      </c>
      <c r="SC8">
        <v>0</v>
      </c>
      <c r="SD8">
        <v>0</v>
      </c>
      <c r="SE8">
        <v>0</v>
      </c>
      <c r="SF8">
        <v>0</v>
      </c>
      <c r="SG8" t="s">
        <v>85</v>
      </c>
      <c r="SH8" t="s">
        <v>85</v>
      </c>
      <c r="SI8" t="s">
        <v>85</v>
      </c>
      <c r="SJ8" t="s">
        <v>85</v>
      </c>
      <c r="SK8" t="s">
        <v>85</v>
      </c>
      <c r="SL8" t="s">
        <v>85</v>
      </c>
      <c r="SM8" t="s">
        <v>85</v>
      </c>
      <c r="SN8" t="s">
        <v>85</v>
      </c>
      <c r="SO8" t="s">
        <v>85</v>
      </c>
      <c r="SP8" t="s">
        <v>85</v>
      </c>
      <c r="SQ8" t="s">
        <v>85</v>
      </c>
      <c r="SR8" t="s">
        <v>85</v>
      </c>
      <c r="SS8" t="s">
        <v>85</v>
      </c>
      <c r="ST8" t="s">
        <v>85</v>
      </c>
      <c r="SU8" t="s">
        <v>85</v>
      </c>
      <c r="SV8" t="s">
        <v>85</v>
      </c>
      <c r="SW8" t="s">
        <v>85</v>
      </c>
      <c r="SX8" t="s">
        <v>85</v>
      </c>
      <c r="SY8" t="s">
        <v>85</v>
      </c>
      <c r="SZ8" t="s">
        <v>85</v>
      </c>
      <c r="TA8">
        <v>3</v>
      </c>
      <c r="TB8">
        <v>1</v>
      </c>
      <c r="TC8">
        <v>1</v>
      </c>
      <c r="TD8">
        <v>1</v>
      </c>
      <c r="TE8">
        <v>0</v>
      </c>
      <c r="TF8">
        <v>0</v>
      </c>
      <c r="TG8">
        <v>0</v>
      </c>
      <c r="TH8">
        <v>0</v>
      </c>
      <c r="TI8">
        <v>0</v>
      </c>
      <c r="TJ8">
        <v>0</v>
      </c>
      <c r="TK8">
        <v>0</v>
      </c>
      <c r="TL8">
        <v>0</v>
      </c>
      <c r="TM8">
        <v>0</v>
      </c>
      <c r="TN8">
        <v>0</v>
      </c>
      <c r="TO8">
        <v>0</v>
      </c>
      <c r="TP8">
        <v>0</v>
      </c>
      <c r="TQ8">
        <v>32</v>
      </c>
      <c r="TR8">
        <v>31</v>
      </c>
      <c r="TS8">
        <v>34</v>
      </c>
      <c r="TT8">
        <v>0</v>
      </c>
      <c r="TU8">
        <v>1370</v>
      </c>
      <c r="TV8">
        <v>7</v>
      </c>
      <c r="TW8">
        <v>8</v>
      </c>
      <c r="TX8">
        <v>6</v>
      </c>
      <c r="TY8">
        <v>0</v>
      </c>
      <c r="TZ8">
        <v>266</v>
      </c>
      <c r="UA8">
        <v>3</v>
      </c>
      <c r="UB8">
        <v>83</v>
      </c>
      <c r="UC8">
        <v>87</v>
      </c>
      <c r="UD8">
        <v>85</v>
      </c>
      <c r="UE8">
        <v>0</v>
      </c>
      <c r="UF8">
        <v>3368</v>
      </c>
      <c r="UG8" t="s">
        <v>85</v>
      </c>
      <c r="UH8" t="s">
        <v>85</v>
      </c>
      <c r="UI8" t="s">
        <v>85</v>
      </c>
      <c r="UJ8" t="s">
        <v>85</v>
      </c>
      <c r="UK8" t="s">
        <v>85</v>
      </c>
      <c r="UL8" t="s">
        <v>85</v>
      </c>
      <c r="UM8" t="s">
        <v>85</v>
      </c>
      <c r="UN8" t="s">
        <v>85</v>
      </c>
      <c r="UO8" t="s">
        <v>85</v>
      </c>
      <c r="UP8" t="s">
        <v>85</v>
      </c>
      <c r="UQ8" t="s">
        <v>85</v>
      </c>
      <c r="UR8" t="s">
        <v>85</v>
      </c>
      <c r="US8" t="s">
        <v>85</v>
      </c>
      <c r="UT8" t="s">
        <v>85</v>
      </c>
      <c r="UU8" t="s">
        <v>85</v>
      </c>
      <c r="UV8" t="s">
        <v>85</v>
      </c>
      <c r="UW8" t="s">
        <v>85</v>
      </c>
      <c r="UX8" t="s">
        <v>85</v>
      </c>
      <c r="UY8" t="s">
        <v>85</v>
      </c>
      <c r="UZ8" t="s">
        <v>85</v>
      </c>
      <c r="VX8">
        <v>3</v>
      </c>
      <c r="VY8">
        <v>0</v>
      </c>
      <c r="VZ8">
        <v>-1</v>
      </c>
      <c r="WA8">
        <v>0</v>
      </c>
      <c r="WB8">
        <v>-1</v>
      </c>
      <c r="WC8">
        <v>25</v>
      </c>
      <c r="WD8">
        <v>5</v>
      </c>
      <c r="WE8">
        <v>6</v>
      </c>
      <c r="WF8">
        <v>6</v>
      </c>
      <c r="WG8">
        <v>0</v>
      </c>
      <c r="WH8">
        <v>73</v>
      </c>
      <c r="WI8">
        <v>7</v>
      </c>
      <c r="WJ8">
        <v>7</v>
      </c>
      <c r="WK8">
        <v>6</v>
      </c>
      <c r="WL8">
        <v>0</v>
      </c>
      <c r="WM8">
        <v>42</v>
      </c>
      <c r="WN8">
        <v>5</v>
      </c>
      <c r="WO8">
        <v>5</v>
      </c>
      <c r="WP8">
        <v>4</v>
      </c>
      <c r="WQ8">
        <v>0</v>
      </c>
      <c r="WR8">
        <v>55</v>
      </c>
      <c r="WS8">
        <v>6</v>
      </c>
      <c r="WT8">
        <v>6</v>
      </c>
      <c r="WU8">
        <v>6</v>
      </c>
      <c r="WV8">
        <v>1</v>
      </c>
      <c r="WW8">
        <v>0</v>
      </c>
      <c r="WX8">
        <v>3</v>
      </c>
      <c r="WY8">
        <v>10</v>
      </c>
      <c r="WZ8">
        <v>10</v>
      </c>
      <c r="XA8">
        <v>10</v>
      </c>
      <c r="XB8">
        <v>1</v>
      </c>
      <c r="XC8">
        <v>87</v>
      </c>
      <c r="XD8">
        <v>12</v>
      </c>
      <c r="XE8">
        <v>12</v>
      </c>
      <c r="XF8">
        <v>12</v>
      </c>
      <c r="XG8">
        <v>1</v>
      </c>
      <c r="XH8">
        <v>93</v>
      </c>
      <c r="XI8">
        <v>1</v>
      </c>
      <c r="XJ8">
        <v>1</v>
      </c>
      <c r="XK8">
        <v>1</v>
      </c>
      <c r="XL8">
        <v>1</v>
      </c>
      <c r="XM8">
        <v>47</v>
      </c>
      <c r="XN8" t="s">
        <v>85</v>
      </c>
      <c r="XO8" t="s">
        <v>85</v>
      </c>
      <c r="XP8" t="s">
        <v>85</v>
      </c>
      <c r="XQ8" t="s">
        <v>85</v>
      </c>
      <c r="XR8" t="s">
        <v>85</v>
      </c>
      <c r="XS8" t="s">
        <v>85</v>
      </c>
      <c r="XT8" t="s">
        <v>85</v>
      </c>
      <c r="XU8" t="s">
        <v>85</v>
      </c>
      <c r="XV8" t="s">
        <v>85</v>
      </c>
      <c r="XW8" t="s">
        <v>85</v>
      </c>
      <c r="XX8">
        <v>3</v>
      </c>
      <c r="XY8">
        <v>23</v>
      </c>
      <c r="XZ8">
        <v>23</v>
      </c>
      <c r="YA8">
        <v>24</v>
      </c>
      <c r="YB8">
        <v>0</v>
      </c>
      <c r="YC8">
        <v>889</v>
      </c>
      <c r="YD8">
        <v>9</v>
      </c>
      <c r="YE8">
        <v>7</v>
      </c>
      <c r="YF8">
        <v>6</v>
      </c>
      <c r="YG8">
        <v>0</v>
      </c>
      <c r="YH8">
        <v>221</v>
      </c>
      <c r="YI8">
        <v>7</v>
      </c>
      <c r="YJ8">
        <v>8</v>
      </c>
      <c r="YK8">
        <v>6</v>
      </c>
      <c r="YL8">
        <v>0</v>
      </c>
      <c r="YM8">
        <v>35</v>
      </c>
      <c r="YN8">
        <v>38</v>
      </c>
      <c r="YO8">
        <v>38</v>
      </c>
      <c r="YP8">
        <v>36</v>
      </c>
      <c r="YQ8">
        <v>1</v>
      </c>
      <c r="YR8">
        <v>1347</v>
      </c>
      <c r="YS8">
        <v>39</v>
      </c>
      <c r="YT8">
        <v>43</v>
      </c>
      <c r="YU8">
        <v>39</v>
      </c>
      <c r="YV8">
        <v>0</v>
      </c>
      <c r="YW8">
        <v>1612</v>
      </c>
      <c r="YX8">
        <v>3</v>
      </c>
      <c r="YY8" t="s">
        <v>85</v>
      </c>
      <c r="YZ8" t="s">
        <v>85</v>
      </c>
      <c r="ZA8" t="s">
        <v>85</v>
      </c>
      <c r="ZB8" t="s">
        <v>85</v>
      </c>
      <c r="ZC8">
        <v>0</v>
      </c>
      <c r="ZD8">
        <v>2</v>
      </c>
      <c r="ZE8">
        <v>2</v>
      </c>
      <c r="ZF8">
        <v>2</v>
      </c>
      <c r="ZG8">
        <v>0</v>
      </c>
      <c r="ZH8">
        <v>58</v>
      </c>
      <c r="ZI8" t="s">
        <v>85</v>
      </c>
      <c r="ZJ8" t="s">
        <v>85</v>
      </c>
      <c r="ZK8" t="s">
        <v>85</v>
      </c>
      <c r="ZL8" t="s">
        <v>85</v>
      </c>
      <c r="ZM8" t="s">
        <v>85</v>
      </c>
      <c r="ZN8" t="s">
        <v>85</v>
      </c>
      <c r="ZO8" t="s">
        <v>85</v>
      </c>
      <c r="ZP8" t="s">
        <v>85</v>
      </c>
      <c r="ZQ8" t="s">
        <v>85</v>
      </c>
      <c r="ZR8" t="s">
        <v>85</v>
      </c>
      <c r="ZS8" t="s">
        <v>85</v>
      </c>
      <c r="ZT8" t="s">
        <v>85</v>
      </c>
      <c r="ZU8" t="s">
        <v>85</v>
      </c>
      <c r="ZV8" t="s">
        <v>85</v>
      </c>
      <c r="ZW8" t="s">
        <v>85</v>
      </c>
      <c r="ZX8">
        <v>3</v>
      </c>
      <c r="ZY8">
        <v>3</v>
      </c>
      <c r="ZZ8">
        <v>3</v>
      </c>
      <c r="AAA8">
        <v>83</v>
      </c>
      <c r="AAB8">
        <v>87</v>
      </c>
      <c r="AAC8">
        <v>85</v>
      </c>
      <c r="AAD8">
        <v>0</v>
      </c>
      <c r="AAE8">
        <v>3368</v>
      </c>
      <c r="AAF8" t="s">
        <v>85</v>
      </c>
      <c r="AAG8" t="s">
        <v>85</v>
      </c>
      <c r="AAH8" t="s">
        <v>85</v>
      </c>
      <c r="AAI8" t="s">
        <v>85</v>
      </c>
      <c r="AAJ8" t="s">
        <v>85</v>
      </c>
      <c r="AAK8" t="s">
        <v>85</v>
      </c>
      <c r="AAL8" t="s">
        <v>85</v>
      </c>
      <c r="AAM8" t="s">
        <v>85</v>
      </c>
      <c r="AAN8" t="s">
        <v>85</v>
      </c>
      <c r="AAO8" t="s">
        <v>85</v>
      </c>
      <c r="AAP8" t="s">
        <v>85</v>
      </c>
      <c r="AAQ8" t="s">
        <v>85</v>
      </c>
      <c r="AAR8" t="s">
        <v>85</v>
      </c>
      <c r="AAS8" t="s">
        <v>85</v>
      </c>
      <c r="AAT8" t="s">
        <v>85</v>
      </c>
      <c r="AAU8" t="s">
        <v>85</v>
      </c>
      <c r="AAV8" t="s">
        <v>85</v>
      </c>
      <c r="AAW8" t="s">
        <v>85</v>
      </c>
      <c r="AAX8" t="s">
        <v>85</v>
      </c>
      <c r="AAY8" t="s">
        <v>85</v>
      </c>
    </row>
    <row r="9" spans="1:727">
      <c r="A9" s="483">
        <v>3</v>
      </c>
      <c r="B9" s="503">
        <v>-1</v>
      </c>
      <c r="C9" s="503">
        <v>-1</v>
      </c>
      <c r="D9" s="503">
        <v>-1</v>
      </c>
      <c r="E9" s="503">
        <v>-1</v>
      </c>
      <c r="F9" s="503">
        <v>23</v>
      </c>
      <c r="G9" s="593">
        <v>6</v>
      </c>
      <c r="H9" s="593">
        <v>6</v>
      </c>
      <c r="I9" s="593">
        <v>6</v>
      </c>
      <c r="J9" s="593">
        <v>0</v>
      </c>
      <c r="K9" s="593">
        <v>98</v>
      </c>
      <c r="L9" s="502">
        <v>7</v>
      </c>
      <c r="M9" s="502">
        <v>7</v>
      </c>
      <c r="N9" s="502">
        <v>6</v>
      </c>
      <c r="O9" s="502">
        <v>0</v>
      </c>
      <c r="P9" s="502">
        <v>62</v>
      </c>
      <c r="Q9" s="504">
        <v>5</v>
      </c>
      <c r="R9" s="504">
        <v>4</v>
      </c>
      <c r="S9" s="504">
        <v>4</v>
      </c>
      <c r="T9" s="504">
        <v>0</v>
      </c>
      <c r="U9" s="504">
        <v>68</v>
      </c>
      <c r="V9" s="505">
        <v>6</v>
      </c>
      <c r="W9" s="505">
        <v>6</v>
      </c>
      <c r="X9" s="505">
        <v>6</v>
      </c>
      <c r="Y9" s="505">
        <v>1</v>
      </c>
      <c r="Z9" s="505">
        <v>0</v>
      </c>
      <c r="AA9" s="506"/>
      <c r="AB9" s="506"/>
      <c r="AC9" s="506"/>
      <c r="AD9" s="506"/>
      <c r="AE9" s="506"/>
      <c r="AF9" s="506"/>
      <c r="AG9" s="507"/>
      <c r="AH9" s="507"/>
      <c r="AI9" s="507"/>
      <c r="AJ9" s="507"/>
      <c r="AK9" s="507"/>
      <c r="AL9" s="508"/>
      <c r="AM9" s="508"/>
      <c r="AN9" s="508"/>
      <c r="AO9" s="508"/>
      <c r="AP9" s="508"/>
      <c r="AQ9" s="509"/>
      <c r="AR9" s="509"/>
      <c r="AS9" s="509"/>
      <c r="AT9" s="509"/>
      <c r="AU9" s="509"/>
      <c r="AV9" s="483"/>
      <c r="AW9" s="483"/>
      <c r="AX9" s="483"/>
      <c r="AY9" s="483"/>
      <c r="AZ9" s="483"/>
      <c r="BA9" s="483"/>
      <c r="BB9" s="483"/>
      <c r="BC9" s="483"/>
      <c r="BD9" s="483"/>
      <c r="BE9" s="483"/>
      <c r="BF9" s="483"/>
      <c r="BG9" s="483"/>
      <c r="BH9" s="483"/>
      <c r="BI9" s="483"/>
      <c r="BJ9" s="483"/>
      <c r="BK9" s="483"/>
      <c r="BL9" s="483"/>
      <c r="BM9" s="483"/>
      <c r="BN9" s="483"/>
      <c r="BO9" s="483"/>
      <c r="BP9" s="483"/>
      <c r="GA9" t="s">
        <v>85</v>
      </c>
      <c r="GB9">
        <v>4</v>
      </c>
      <c r="GC9">
        <v>112</v>
      </c>
      <c r="GD9">
        <v>79</v>
      </c>
      <c r="GE9">
        <v>78</v>
      </c>
      <c r="GF9">
        <v>35</v>
      </c>
      <c r="GG9">
        <v>1843</v>
      </c>
      <c r="GH9">
        <v>49</v>
      </c>
      <c r="GI9">
        <v>45</v>
      </c>
      <c r="GJ9">
        <v>46</v>
      </c>
      <c r="GK9">
        <v>15</v>
      </c>
      <c r="GL9">
        <v>956</v>
      </c>
      <c r="GM9">
        <v>115</v>
      </c>
      <c r="GN9">
        <v>50</v>
      </c>
      <c r="GO9">
        <v>71</v>
      </c>
      <c r="GP9">
        <v>76</v>
      </c>
      <c r="GQ9">
        <v>1579</v>
      </c>
      <c r="GR9">
        <v>21</v>
      </c>
      <c r="GS9">
        <v>17</v>
      </c>
      <c r="GT9">
        <v>18</v>
      </c>
      <c r="GU9">
        <v>10</v>
      </c>
      <c r="GV9">
        <v>371</v>
      </c>
      <c r="GW9">
        <v>20</v>
      </c>
      <c r="GX9">
        <v>15</v>
      </c>
      <c r="GY9">
        <v>8</v>
      </c>
      <c r="GZ9">
        <v>15</v>
      </c>
      <c r="HA9">
        <v>275</v>
      </c>
      <c r="HB9">
        <v>4</v>
      </c>
      <c r="HC9">
        <v>104</v>
      </c>
      <c r="HD9">
        <v>84</v>
      </c>
      <c r="HE9">
        <v>73</v>
      </c>
      <c r="HF9">
        <v>36</v>
      </c>
      <c r="HG9">
        <v>1774</v>
      </c>
      <c r="HH9">
        <v>134</v>
      </c>
      <c r="HI9">
        <v>109</v>
      </c>
      <c r="HJ9">
        <v>116</v>
      </c>
      <c r="HK9">
        <v>30</v>
      </c>
      <c r="HL9">
        <v>2413</v>
      </c>
      <c r="HM9">
        <v>153</v>
      </c>
      <c r="HN9">
        <v>142</v>
      </c>
      <c r="HO9">
        <v>162</v>
      </c>
      <c r="HP9">
        <v>31</v>
      </c>
      <c r="HQ9">
        <v>3172</v>
      </c>
      <c r="HR9">
        <v>68</v>
      </c>
      <c r="HS9">
        <v>75</v>
      </c>
      <c r="HT9">
        <v>86</v>
      </c>
      <c r="HU9">
        <v>21</v>
      </c>
      <c r="HV9">
        <v>1534</v>
      </c>
      <c r="HW9">
        <v>13</v>
      </c>
      <c r="HX9">
        <v>22</v>
      </c>
      <c r="HY9">
        <v>28</v>
      </c>
      <c r="HZ9">
        <v>18</v>
      </c>
      <c r="IA9">
        <v>435</v>
      </c>
      <c r="IB9">
        <v>4</v>
      </c>
      <c r="IC9">
        <v>205</v>
      </c>
      <c r="ID9">
        <v>183</v>
      </c>
      <c r="IE9">
        <v>179</v>
      </c>
      <c r="IF9">
        <v>50</v>
      </c>
      <c r="IG9">
        <v>3639</v>
      </c>
      <c r="IH9">
        <v>27</v>
      </c>
      <c r="II9">
        <v>38</v>
      </c>
      <c r="IJ9">
        <v>35</v>
      </c>
      <c r="IK9">
        <v>17</v>
      </c>
      <c r="IL9">
        <v>535</v>
      </c>
      <c r="IM9">
        <v>115</v>
      </c>
      <c r="IN9">
        <v>118</v>
      </c>
      <c r="IO9">
        <v>141</v>
      </c>
      <c r="IP9">
        <v>31</v>
      </c>
      <c r="IQ9">
        <v>2605</v>
      </c>
      <c r="IR9">
        <v>59</v>
      </c>
      <c r="IS9">
        <v>62</v>
      </c>
      <c r="IT9">
        <v>69</v>
      </c>
      <c r="IU9">
        <v>18</v>
      </c>
      <c r="IV9">
        <v>1248</v>
      </c>
      <c r="IW9">
        <v>19</v>
      </c>
      <c r="IX9">
        <v>25</v>
      </c>
      <c r="IY9">
        <v>16</v>
      </c>
      <c r="IZ9">
        <v>8</v>
      </c>
      <c r="JA9">
        <v>364</v>
      </c>
      <c r="JB9">
        <v>4</v>
      </c>
      <c r="JC9">
        <v>40</v>
      </c>
      <c r="JD9">
        <v>24</v>
      </c>
      <c r="JE9">
        <v>21</v>
      </c>
      <c r="JF9">
        <v>22</v>
      </c>
      <c r="JG9">
        <v>578</v>
      </c>
      <c r="JH9">
        <v>101</v>
      </c>
      <c r="JI9">
        <v>94</v>
      </c>
      <c r="JJ9">
        <v>79</v>
      </c>
      <c r="JK9">
        <v>31</v>
      </c>
      <c r="JL9">
        <v>1867</v>
      </c>
      <c r="JM9">
        <v>124</v>
      </c>
      <c r="JN9">
        <v>127</v>
      </c>
      <c r="JO9">
        <v>107</v>
      </c>
      <c r="JP9">
        <v>23</v>
      </c>
      <c r="JQ9">
        <v>2409</v>
      </c>
      <c r="JR9">
        <v>162</v>
      </c>
      <c r="JS9">
        <v>167</v>
      </c>
      <c r="JT9">
        <v>177</v>
      </c>
      <c r="JU9">
        <v>25</v>
      </c>
      <c r="JV9">
        <v>3426</v>
      </c>
      <c r="JW9">
        <v>32</v>
      </c>
      <c r="JX9">
        <v>22</v>
      </c>
      <c r="JY9">
        <v>36</v>
      </c>
      <c r="JZ9">
        <v>19</v>
      </c>
      <c r="KA9">
        <v>601</v>
      </c>
      <c r="KB9">
        <v>4</v>
      </c>
      <c r="KC9" t="s">
        <v>85</v>
      </c>
      <c r="KD9" t="s">
        <v>85</v>
      </c>
      <c r="KE9" t="s">
        <v>85</v>
      </c>
      <c r="KF9" t="s">
        <v>85</v>
      </c>
      <c r="KG9" t="s">
        <v>85</v>
      </c>
      <c r="KH9" t="s">
        <v>85</v>
      </c>
      <c r="KI9" t="s">
        <v>85</v>
      </c>
      <c r="KJ9" t="s">
        <v>85</v>
      </c>
      <c r="KK9" t="s">
        <v>85</v>
      </c>
      <c r="KL9" t="s">
        <v>85</v>
      </c>
      <c r="KM9" t="s">
        <v>85</v>
      </c>
      <c r="KN9" t="s">
        <v>85</v>
      </c>
      <c r="KO9" t="s">
        <v>85</v>
      </c>
      <c r="KP9" t="s">
        <v>85</v>
      </c>
      <c r="KQ9" t="s">
        <v>85</v>
      </c>
      <c r="KR9" t="s">
        <v>85</v>
      </c>
      <c r="KS9" t="s">
        <v>85</v>
      </c>
      <c r="KT9" t="s">
        <v>85</v>
      </c>
      <c r="KU9" t="s">
        <v>85</v>
      </c>
      <c r="KV9" t="s">
        <v>85</v>
      </c>
      <c r="KW9" t="s">
        <v>85</v>
      </c>
      <c r="KX9" t="s">
        <v>85</v>
      </c>
      <c r="KY9" t="s">
        <v>85</v>
      </c>
      <c r="KZ9" t="s">
        <v>85</v>
      </c>
      <c r="LA9" t="s">
        <v>85</v>
      </c>
      <c r="LB9">
        <v>4</v>
      </c>
      <c r="LC9" t="s">
        <v>85</v>
      </c>
      <c r="LD9" t="s">
        <v>85</v>
      </c>
      <c r="LE9" t="s">
        <v>85</v>
      </c>
      <c r="LF9" t="s">
        <v>85</v>
      </c>
      <c r="LG9" t="s">
        <v>85</v>
      </c>
      <c r="LH9" t="s">
        <v>85</v>
      </c>
      <c r="LI9" t="s">
        <v>85</v>
      </c>
      <c r="LJ9" t="s">
        <v>85</v>
      </c>
      <c r="LK9" t="s">
        <v>85</v>
      </c>
      <c r="LL9" t="s">
        <v>85</v>
      </c>
      <c r="LM9" t="s">
        <v>85</v>
      </c>
      <c r="LN9" t="s">
        <v>85</v>
      </c>
      <c r="LO9" t="s">
        <v>85</v>
      </c>
      <c r="LP9" t="s">
        <v>85</v>
      </c>
      <c r="LQ9" t="s">
        <v>85</v>
      </c>
      <c r="LR9" t="s">
        <v>85</v>
      </c>
      <c r="LS9" t="s">
        <v>85</v>
      </c>
      <c r="LT9" t="s">
        <v>85</v>
      </c>
      <c r="LU9" t="s">
        <v>85</v>
      </c>
      <c r="LV9" t="s">
        <v>85</v>
      </c>
      <c r="LW9" t="s">
        <v>85</v>
      </c>
      <c r="LX9" t="s">
        <v>85</v>
      </c>
      <c r="LY9" t="s">
        <v>85</v>
      </c>
      <c r="LZ9" t="s">
        <v>85</v>
      </c>
      <c r="MA9" t="s">
        <v>85</v>
      </c>
      <c r="MB9">
        <v>4</v>
      </c>
      <c r="MC9" t="s">
        <v>85</v>
      </c>
      <c r="MD9" t="s">
        <v>85</v>
      </c>
      <c r="ME9" t="s">
        <v>85</v>
      </c>
      <c r="MF9" t="s">
        <v>85</v>
      </c>
      <c r="MG9" t="s">
        <v>85</v>
      </c>
      <c r="MH9" t="s">
        <v>85</v>
      </c>
      <c r="MI9" t="s">
        <v>85</v>
      </c>
      <c r="MJ9" t="s">
        <v>85</v>
      </c>
      <c r="MK9" t="s">
        <v>85</v>
      </c>
      <c r="ML9" t="s">
        <v>85</v>
      </c>
      <c r="MM9" t="s">
        <v>85</v>
      </c>
      <c r="MN9" t="s">
        <v>85</v>
      </c>
      <c r="MO9" t="s">
        <v>85</v>
      </c>
      <c r="MP9" t="s">
        <v>85</v>
      </c>
      <c r="MQ9" t="s">
        <v>85</v>
      </c>
      <c r="MR9" t="s">
        <v>85</v>
      </c>
      <c r="MS9" t="s">
        <v>85</v>
      </c>
      <c r="MT9" t="s">
        <v>85</v>
      </c>
      <c r="MU9" t="s">
        <v>85</v>
      </c>
      <c r="MV9" t="s">
        <v>85</v>
      </c>
      <c r="MW9" t="s">
        <v>85</v>
      </c>
      <c r="MX9" t="s">
        <v>85</v>
      </c>
      <c r="MY9" t="s">
        <v>85</v>
      </c>
      <c r="MZ9" t="s">
        <v>85</v>
      </c>
      <c r="NA9">
        <v>4</v>
      </c>
      <c r="NB9">
        <v>-1</v>
      </c>
      <c r="NC9">
        <v>-1</v>
      </c>
      <c r="ND9">
        <v>-1</v>
      </c>
      <c r="NE9">
        <v>-1</v>
      </c>
      <c r="NF9">
        <v>26</v>
      </c>
      <c r="NG9">
        <v>5</v>
      </c>
      <c r="NH9">
        <v>6</v>
      </c>
      <c r="NI9">
        <v>6</v>
      </c>
      <c r="NJ9">
        <v>0</v>
      </c>
      <c r="NK9">
        <v>73</v>
      </c>
      <c r="NL9">
        <v>7</v>
      </c>
      <c r="NM9">
        <v>7</v>
      </c>
      <c r="NN9">
        <v>7</v>
      </c>
      <c r="NO9">
        <v>0</v>
      </c>
      <c r="NP9">
        <v>49</v>
      </c>
      <c r="NQ9">
        <v>5</v>
      </c>
      <c r="NR9">
        <v>5</v>
      </c>
      <c r="NS9">
        <v>5</v>
      </c>
      <c r="NT9">
        <v>0</v>
      </c>
      <c r="NU9">
        <v>54</v>
      </c>
      <c r="NV9">
        <v>6</v>
      </c>
      <c r="NW9">
        <v>6</v>
      </c>
      <c r="NX9">
        <v>6</v>
      </c>
      <c r="NY9">
        <v>1</v>
      </c>
      <c r="NZ9">
        <v>0</v>
      </c>
      <c r="OA9">
        <v>4</v>
      </c>
      <c r="OB9">
        <v>10</v>
      </c>
      <c r="OC9">
        <v>10</v>
      </c>
      <c r="OD9">
        <v>10</v>
      </c>
      <c r="OE9">
        <v>1</v>
      </c>
      <c r="OF9">
        <v>89</v>
      </c>
      <c r="OG9">
        <v>12</v>
      </c>
      <c r="OH9">
        <v>12</v>
      </c>
      <c r="OI9">
        <v>12</v>
      </c>
      <c r="OJ9">
        <v>1</v>
      </c>
      <c r="OK9">
        <v>88</v>
      </c>
      <c r="OL9">
        <v>1</v>
      </c>
      <c r="OM9">
        <v>1</v>
      </c>
      <c r="ON9">
        <v>1</v>
      </c>
      <c r="OO9">
        <v>1</v>
      </c>
      <c r="OP9">
        <v>47</v>
      </c>
      <c r="OQ9" t="s">
        <v>85</v>
      </c>
      <c r="OR9" t="s">
        <v>85</v>
      </c>
      <c r="OS9" t="s">
        <v>85</v>
      </c>
      <c r="OT9" t="s">
        <v>85</v>
      </c>
      <c r="OU9" t="s">
        <v>85</v>
      </c>
      <c r="OV9" t="s">
        <v>85</v>
      </c>
      <c r="OW9" t="s">
        <v>85</v>
      </c>
      <c r="OX9" t="s">
        <v>85</v>
      </c>
      <c r="OY9" t="s">
        <v>85</v>
      </c>
      <c r="OZ9" t="s">
        <v>85</v>
      </c>
      <c r="PA9">
        <v>4</v>
      </c>
      <c r="PB9">
        <v>24</v>
      </c>
      <c r="PC9">
        <v>24</v>
      </c>
      <c r="PD9">
        <v>24</v>
      </c>
      <c r="PE9">
        <v>0</v>
      </c>
      <c r="PF9">
        <v>882</v>
      </c>
      <c r="PG9">
        <v>9</v>
      </c>
      <c r="PH9">
        <v>7</v>
      </c>
      <c r="PI9">
        <v>7</v>
      </c>
      <c r="PJ9">
        <v>0</v>
      </c>
      <c r="PK9">
        <v>222</v>
      </c>
      <c r="PL9">
        <v>7</v>
      </c>
      <c r="PM9">
        <v>8</v>
      </c>
      <c r="PN9">
        <v>6</v>
      </c>
      <c r="PO9">
        <v>0</v>
      </c>
      <c r="PP9">
        <v>34</v>
      </c>
      <c r="PQ9">
        <v>36</v>
      </c>
      <c r="PR9">
        <v>38</v>
      </c>
      <c r="PS9">
        <v>35</v>
      </c>
      <c r="PT9">
        <v>1</v>
      </c>
      <c r="PU9">
        <v>1285</v>
      </c>
      <c r="PV9">
        <v>40</v>
      </c>
      <c r="PW9">
        <v>44</v>
      </c>
      <c r="PX9">
        <v>41</v>
      </c>
      <c r="PY9">
        <v>0</v>
      </c>
      <c r="PZ9">
        <v>1512</v>
      </c>
      <c r="QA9">
        <v>4</v>
      </c>
      <c r="QB9" t="s">
        <v>85</v>
      </c>
      <c r="QC9" t="s">
        <v>85</v>
      </c>
      <c r="QD9" t="s">
        <v>85</v>
      </c>
      <c r="QE9" t="s">
        <v>85</v>
      </c>
      <c r="QF9">
        <v>0</v>
      </c>
      <c r="QG9">
        <v>2</v>
      </c>
      <c r="QH9">
        <v>2</v>
      </c>
      <c r="QI9">
        <v>2</v>
      </c>
      <c r="QJ9">
        <v>0</v>
      </c>
      <c r="QK9">
        <v>59</v>
      </c>
      <c r="QL9" t="s">
        <v>85</v>
      </c>
      <c r="QM9" t="s">
        <v>85</v>
      </c>
      <c r="QN9" t="s">
        <v>85</v>
      </c>
      <c r="QO9" t="s">
        <v>85</v>
      </c>
      <c r="QP9" t="s">
        <v>85</v>
      </c>
      <c r="QQ9" t="s">
        <v>85</v>
      </c>
      <c r="QR9" t="s">
        <v>85</v>
      </c>
      <c r="QS9" t="s">
        <v>85</v>
      </c>
      <c r="QT9" t="s">
        <v>85</v>
      </c>
      <c r="QU9" t="s">
        <v>85</v>
      </c>
      <c r="QV9" t="s">
        <v>85</v>
      </c>
      <c r="QW9" t="s">
        <v>85</v>
      </c>
      <c r="QX9" t="s">
        <v>85</v>
      </c>
      <c r="QY9" t="s">
        <v>85</v>
      </c>
      <c r="QZ9" t="s">
        <v>85</v>
      </c>
      <c r="RA9">
        <v>4</v>
      </c>
      <c r="RB9">
        <v>134</v>
      </c>
      <c r="RC9">
        <v>135</v>
      </c>
      <c r="RD9">
        <v>134</v>
      </c>
      <c r="RE9">
        <v>0</v>
      </c>
      <c r="RF9">
        <v>4935</v>
      </c>
      <c r="RG9">
        <v>8</v>
      </c>
      <c r="RH9">
        <v>7</v>
      </c>
      <c r="RI9">
        <v>8</v>
      </c>
      <c r="RJ9">
        <v>0</v>
      </c>
      <c r="RK9">
        <v>257</v>
      </c>
      <c r="RL9">
        <v>8</v>
      </c>
      <c r="RM9">
        <v>8</v>
      </c>
      <c r="RN9">
        <v>8</v>
      </c>
      <c r="RO9">
        <v>0</v>
      </c>
      <c r="RP9">
        <v>279</v>
      </c>
      <c r="RQ9">
        <v>0</v>
      </c>
      <c r="RR9">
        <v>0</v>
      </c>
      <c r="RS9">
        <v>0</v>
      </c>
      <c r="RT9">
        <v>0</v>
      </c>
      <c r="RU9">
        <v>0</v>
      </c>
      <c r="RV9">
        <v>0</v>
      </c>
      <c r="RW9">
        <v>0</v>
      </c>
      <c r="RX9">
        <v>0</v>
      </c>
      <c r="RY9">
        <v>0</v>
      </c>
      <c r="RZ9">
        <v>0</v>
      </c>
      <c r="SA9">
        <v>4</v>
      </c>
      <c r="SB9">
        <v>0</v>
      </c>
      <c r="SC9">
        <v>0</v>
      </c>
      <c r="SD9">
        <v>0</v>
      </c>
      <c r="SE9">
        <v>0</v>
      </c>
      <c r="SF9">
        <v>0</v>
      </c>
      <c r="SG9" t="s">
        <v>85</v>
      </c>
      <c r="SH9" t="s">
        <v>85</v>
      </c>
      <c r="SI9" t="s">
        <v>85</v>
      </c>
      <c r="SJ9" t="s">
        <v>85</v>
      </c>
      <c r="SK9" t="s">
        <v>85</v>
      </c>
      <c r="SL9" t="s">
        <v>85</v>
      </c>
      <c r="SM9" t="s">
        <v>85</v>
      </c>
      <c r="SN9" t="s">
        <v>85</v>
      </c>
      <c r="SO9" t="s">
        <v>85</v>
      </c>
      <c r="SP9" t="s">
        <v>85</v>
      </c>
      <c r="SQ9" t="s">
        <v>85</v>
      </c>
      <c r="SR9" t="s">
        <v>85</v>
      </c>
      <c r="SS9" t="s">
        <v>85</v>
      </c>
      <c r="ST9" t="s">
        <v>85</v>
      </c>
      <c r="SU9" t="s">
        <v>85</v>
      </c>
      <c r="SV9" t="s">
        <v>85</v>
      </c>
      <c r="SW9" t="s">
        <v>85</v>
      </c>
      <c r="SX9" t="s">
        <v>85</v>
      </c>
      <c r="SY9" t="s">
        <v>85</v>
      </c>
      <c r="SZ9" t="s">
        <v>85</v>
      </c>
      <c r="TA9">
        <v>4</v>
      </c>
      <c r="TB9">
        <v>1</v>
      </c>
      <c r="TC9">
        <v>1</v>
      </c>
      <c r="TD9">
        <v>0</v>
      </c>
      <c r="TE9">
        <v>0</v>
      </c>
      <c r="TF9">
        <v>0</v>
      </c>
      <c r="TG9">
        <v>0</v>
      </c>
      <c r="TH9">
        <v>0</v>
      </c>
      <c r="TI9">
        <v>0</v>
      </c>
      <c r="TJ9">
        <v>0</v>
      </c>
      <c r="TK9">
        <v>0</v>
      </c>
      <c r="TL9">
        <v>0</v>
      </c>
      <c r="TM9">
        <v>0</v>
      </c>
      <c r="TN9">
        <v>0</v>
      </c>
      <c r="TO9">
        <v>0</v>
      </c>
      <c r="TP9">
        <v>0</v>
      </c>
      <c r="TQ9">
        <v>33</v>
      </c>
      <c r="TR9">
        <v>33</v>
      </c>
      <c r="TS9">
        <v>34</v>
      </c>
      <c r="TT9">
        <v>0</v>
      </c>
      <c r="TU9">
        <v>1390</v>
      </c>
      <c r="TV9">
        <v>7</v>
      </c>
      <c r="TW9">
        <v>8</v>
      </c>
      <c r="TX9">
        <v>6</v>
      </c>
      <c r="TY9">
        <v>0</v>
      </c>
      <c r="TZ9">
        <v>266</v>
      </c>
      <c r="UA9">
        <v>4</v>
      </c>
      <c r="UB9">
        <v>81</v>
      </c>
      <c r="UC9">
        <v>86</v>
      </c>
      <c r="UD9">
        <v>83</v>
      </c>
      <c r="UE9">
        <v>0</v>
      </c>
      <c r="UF9">
        <v>3339</v>
      </c>
      <c r="UG9" t="s">
        <v>85</v>
      </c>
      <c r="UH9" t="s">
        <v>85</v>
      </c>
      <c r="UI9" t="s">
        <v>85</v>
      </c>
      <c r="UJ9" t="s">
        <v>85</v>
      </c>
      <c r="UK9" t="s">
        <v>85</v>
      </c>
      <c r="UL9" t="s">
        <v>85</v>
      </c>
      <c r="UM9" t="s">
        <v>85</v>
      </c>
      <c r="UN9" t="s">
        <v>85</v>
      </c>
      <c r="UO9" t="s">
        <v>85</v>
      </c>
      <c r="UP9" t="s">
        <v>85</v>
      </c>
      <c r="UQ9" t="s">
        <v>85</v>
      </c>
      <c r="UR9" t="s">
        <v>85</v>
      </c>
      <c r="US9" t="s">
        <v>85</v>
      </c>
      <c r="UT9" t="s">
        <v>85</v>
      </c>
      <c r="UU9" t="s">
        <v>85</v>
      </c>
      <c r="UV9" t="s">
        <v>85</v>
      </c>
      <c r="UW9" t="s">
        <v>85</v>
      </c>
      <c r="UX9" t="s">
        <v>85</v>
      </c>
      <c r="UY9" t="s">
        <v>85</v>
      </c>
      <c r="UZ9" t="s">
        <v>85</v>
      </c>
      <c r="VX9">
        <v>4</v>
      </c>
      <c r="VY9">
        <v>-1</v>
      </c>
      <c r="VZ9">
        <v>-1</v>
      </c>
      <c r="WA9">
        <v>-1</v>
      </c>
      <c r="WB9">
        <v>-1</v>
      </c>
      <c r="WC9">
        <v>26</v>
      </c>
      <c r="WD9">
        <v>5</v>
      </c>
      <c r="WE9">
        <v>6</v>
      </c>
      <c r="WF9">
        <v>6</v>
      </c>
      <c r="WG9">
        <v>0</v>
      </c>
      <c r="WH9">
        <v>73</v>
      </c>
      <c r="WI9">
        <v>7</v>
      </c>
      <c r="WJ9">
        <v>7</v>
      </c>
      <c r="WK9">
        <v>7</v>
      </c>
      <c r="WL9">
        <v>0</v>
      </c>
      <c r="WM9">
        <v>49</v>
      </c>
      <c r="WN9">
        <v>5</v>
      </c>
      <c r="WO9">
        <v>5</v>
      </c>
      <c r="WP9">
        <v>5</v>
      </c>
      <c r="WQ9">
        <v>0</v>
      </c>
      <c r="WR9">
        <v>54</v>
      </c>
      <c r="WS9">
        <v>6</v>
      </c>
      <c r="WT9">
        <v>6</v>
      </c>
      <c r="WU9">
        <v>6</v>
      </c>
      <c r="WV9">
        <v>1</v>
      </c>
      <c r="WW9">
        <v>0</v>
      </c>
      <c r="WX9">
        <v>4</v>
      </c>
      <c r="WY9">
        <v>10</v>
      </c>
      <c r="WZ9">
        <v>10</v>
      </c>
      <c r="XA9">
        <v>10</v>
      </c>
      <c r="XB9">
        <v>1</v>
      </c>
      <c r="XC9">
        <v>89</v>
      </c>
      <c r="XD9">
        <v>12</v>
      </c>
      <c r="XE9">
        <v>12</v>
      </c>
      <c r="XF9">
        <v>12</v>
      </c>
      <c r="XG9">
        <v>1</v>
      </c>
      <c r="XH9">
        <v>88</v>
      </c>
      <c r="XI9">
        <v>1</v>
      </c>
      <c r="XJ9">
        <v>1</v>
      </c>
      <c r="XK9">
        <v>1</v>
      </c>
      <c r="XL9">
        <v>1</v>
      </c>
      <c r="XM9">
        <v>47</v>
      </c>
      <c r="XN9" t="s">
        <v>85</v>
      </c>
      <c r="XO9" t="s">
        <v>85</v>
      </c>
      <c r="XP9" t="s">
        <v>85</v>
      </c>
      <c r="XQ9" t="s">
        <v>85</v>
      </c>
      <c r="XR9" t="s">
        <v>85</v>
      </c>
      <c r="XS9" t="s">
        <v>85</v>
      </c>
      <c r="XT9" t="s">
        <v>85</v>
      </c>
      <c r="XU9" t="s">
        <v>85</v>
      </c>
      <c r="XV9" t="s">
        <v>85</v>
      </c>
      <c r="XW9" t="s">
        <v>85</v>
      </c>
      <c r="XX9">
        <v>4</v>
      </c>
      <c r="XY9">
        <v>24</v>
      </c>
      <c r="XZ9">
        <v>24</v>
      </c>
      <c r="YA9">
        <v>24</v>
      </c>
      <c r="YB9">
        <v>0</v>
      </c>
      <c r="YC9">
        <v>882</v>
      </c>
      <c r="YD9">
        <v>9</v>
      </c>
      <c r="YE9">
        <v>7</v>
      </c>
      <c r="YF9">
        <v>7</v>
      </c>
      <c r="YG9">
        <v>0</v>
      </c>
      <c r="YH9">
        <v>222</v>
      </c>
      <c r="YI9">
        <v>7</v>
      </c>
      <c r="YJ9">
        <v>8</v>
      </c>
      <c r="YK9">
        <v>6</v>
      </c>
      <c r="YL9">
        <v>0</v>
      </c>
      <c r="YM9">
        <v>34</v>
      </c>
      <c r="YN9">
        <v>36</v>
      </c>
      <c r="YO9">
        <v>38</v>
      </c>
      <c r="YP9">
        <v>35</v>
      </c>
      <c r="YQ9">
        <v>1</v>
      </c>
      <c r="YR9">
        <v>1285</v>
      </c>
      <c r="YS9">
        <v>40</v>
      </c>
      <c r="YT9">
        <v>44</v>
      </c>
      <c r="YU9">
        <v>41</v>
      </c>
      <c r="YV9">
        <v>0</v>
      </c>
      <c r="YW9">
        <v>1512</v>
      </c>
      <c r="YX9">
        <v>4</v>
      </c>
      <c r="YY9" t="s">
        <v>85</v>
      </c>
      <c r="YZ9" t="s">
        <v>85</v>
      </c>
      <c r="ZA9" t="s">
        <v>85</v>
      </c>
      <c r="ZB9" t="s">
        <v>85</v>
      </c>
      <c r="ZC9">
        <v>0</v>
      </c>
      <c r="ZD9">
        <v>2</v>
      </c>
      <c r="ZE9">
        <v>2</v>
      </c>
      <c r="ZF9">
        <v>2</v>
      </c>
      <c r="ZG9">
        <v>0</v>
      </c>
      <c r="ZH9">
        <v>59</v>
      </c>
      <c r="ZI9" t="s">
        <v>85</v>
      </c>
      <c r="ZJ9" t="s">
        <v>85</v>
      </c>
      <c r="ZK9" t="s">
        <v>85</v>
      </c>
      <c r="ZL9" t="s">
        <v>85</v>
      </c>
      <c r="ZM9" t="s">
        <v>85</v>
      </c>
      <c r="ZN9" t="s">
        <v>85</v>
      </c>
      <c r="ZO9" t="s">
        <v>85</v>
      </c>
      <c r="ZP9" t="s">
        <v>85</v>
      </c>
      <c r="ZQ9" t="s">
        <v>85</v>
      </c>
      <c r="ZR9" t="s">
        <v>85</v>
      </c>
      <c r="ZS9" t="s">
        <v>85</v>
      </c>
      <c r="ZT9" t="s">
        <v>85</v>
      </c>
      <c r="ZU9" t="s">
        <v>85</v>
      </c>
      <c r="ZV9" t="s">
        <v>85</v>
      </c>
      <c r="ZW9" t="s">
        <v>85</v>
      </c>
      <c r="ZX9">
        <v>4</v>
      </c>
      <c r="ZY9">
        <v>4</v>
      </c>
      <c r="ZZ9">
        <v>4</v>
      </c>
      <c r="AAA9">
        <v>81</v>
      </c>
      <c r="AAB9">
        <v>86</v>
      </c>
      <c r="AAC9">
        <v>83</v>
      </c>
      <c r="AAD9">
        <v>0</v>
      </c>
      <c r="AAE9">
        <v>3339</v>
      </c>
      <c r="AAF9" t="s">
        <v>85</v>
      </c>
      <c r="AAG9" t="s">
        <v>85</v>
      </c>
      <c r="AAH9" t="s">
        <v>85</v>
      </c>
      <c r="AAI9" t="s">
        <v>85</v>
      </c>
      <c r="AAJ9" t="s">
        <v>85</v>
      </c>
      <c r="AAK9" t="s">
        <v>85</v>
      </c>
      <c r="AAL9" t="s">
        <v>85</v>
      </c>
      <c r="AAM9" t="s">
        <v>85</v>
      </c>
      <c r="AAN9" t="s">
        <v>85</v>
      </c>
      <c r="AAO9" t="s">
        <v>85</v>
      </c>
      <c r="AAP9" t="s">
        <v>85</v>
      </c>
      <c r="AAQ9" t="s">
        <v>85</v>
      </c>
      <c r="AAR9" t="s">
        <v>85</v>
      </c>
      <c r="AAS9" t="s">
        <v>85</v>
      </c>
      <c r="AAT9" t="s">
        <v>85</v>
      </c>
      <c r="AAU9" t="s">
        <v>85</v>
      </c>
      <c r="AAV9" t="s">
        <v>85</v>
      </c>
      <c r="AAW9" t="s">
        <v>85</v>
      </c>
      <c r="AAX9" t="s">
        <v>85</v>
      </c>
      <c r="AAY9" t="s">
        <v>85</v>
      </c>
    </row>
    <row r="10" spans="1:727">
      <c r="A10" s="483">
        <v>4</v>
      </c>
      <c r="B10" s="503">
        <v>0</v>
      </c>
      <c r="C10" s="503">
        <v>-1</v>
      </c>
      <c r="D10" s="503">
        <v>-1</v>
      </c>
      <c r="E10" s="503">
        <v>-1</v>
      </c>
      <c r="F10" s="503">
        <v>23</v>
      </c>
      <c r="G10" s="593">
        <v>8</v>
      </c>
      <c r="H10" s="593">
        <v>9</v>
      </c>
      <c r="I10" s="593">
        <v>9</v>
      </c>
      <c r="J10" s="593">
        <v>0</v>
      </c>
      <c r="K10" s="593">
        <v>99</v>
      </c>
      <c r="L10" s="502">
        <v>8</v>
      </c>
      <c r="M10" s="502">
        <v>8</v>
      </c>
      <c r="N10" s="502">
        <v>8</v>
      </c>
      <c r="O10" s="502">
        <v>0</v>
      </c>
      <c r="P10" s="502">
        <v>63</v>
      </c>
      <c r="Q10" s="504">
        <v>5</v>
      </c>
      <c r="R10" s="504">
        <v>4</v>
      </c>
      <c r="S10" s="504">
        <v>4</v>
      </c>
      <c r="T10" s="504">
        <v>0</v>
      </c>
      <c r="U10" s="504">
        <v>70</v>
      </c>
      <c r="V10" s="505">
        <v>6</v>
      </c>
      <c r="W10" s="505">
        <v>6</v>
      </c>
      <c r="X10" s="505">
        <v>6</v>
      </c>
      <c r="Y10" s="505">
        <v>1</v>
      </c>
      <c r="Z10" s="505">
        <v>0</v>
      </c>
      <c r="AA10" s="506"/>
      <c r="AB10" s="506"/>
      <c r="AC10" s="506"/>
      <c r="AD10" s="506"/>
      <c r="AE10" s="506"/>
      <c r="AF10" s="506"/>
      <c r="AG10" s="507"/>
      <c r="AH10" s="507"/>
      <c r="AI10" s="507"/>
      <c r="AJ10" s="507"/>
      <c r="AK10" s="507"/>
      <c r="AL10" s="508"/>
      <c r="AM10" s="508"/>
      <c r="AN10" s="508"/>
      <c r="AO10" s="508"/>
      <c r="AP10" s="508"/>
      <c r="AQ10" s="509"/>
      <c r="AR10" s="509"/>
      <c r="AS10" s="509"/>
      <c r="AT10" s="509"/>
      <c r="AU10" s="509"/>
      <c r="AV10" s="483"/>
      <c r="AW10" s="483"/>
      <c r="AX10" s="483"/>
      <c r="AY10" s="483"/>
      <c r="AZ10" s="483"/>
      <c r="BA10" s="483"/>
      <c r="BB10" s="483"/>
      <c r="BC10" s="483"/>
      <c r="BD10" s="483"/>
      <c r="BE10" s="483"/>
      <c r="BF10" s="483"/>
      <c r="BG10" s="483"/>
      <c r="BH10" s="483"/>
      <c r="BI10" s="483"/>
      <c r="BJ10" s="483"/>
      <c r="BK10" s="483"/>
      <c r="BL10" s="483"/>
      <c r="BM10" s="483"/>
      <c r="BN10" s="483"/>
      <c r="BO10" s="483"/>
      <c r="BP10" s="483"/>
      <c r="GA10" t="s">
        <v>85</v>
      </c>
      <c r="GB10">
        <v>5</v>
      </c>
      <c r="GC10">
        <v>101</v>
      </c>
      <c r="GD10">
        <v>77</v>
      </c>
      <c r="GE10">
        <v>74</v>
      </c>
      <c r="GF10">
        <v>27</v>
      </c>
      <c r="GG10">
        <v>1720</v>
      </c>
      <c r="GH10">
        <v>48</v>
      </c>
      <c r="GI10">
        <v>45</v>
      </c>
      <c r="GJ10">
        <v>44</v>
      </c>
      <c r="GK10">
        <v>15</v>
      </c>
      <c r="GL10">
        <v>922</v>
      </c>
      <c r="GM10">
        <v>108</v>
      </c>
      <c r="GN10">
        <v>53</v>
      </c>
      <c r="GO10">
        <v>69</v>
      </c>
      <c r="GP10">
        <v>68</v>
      </c>
      <c r="GQ10">
        <v>1536</v>
      </c>
      <c r="GR10">
        <v>19</v>
      </c>
      <c r="GS10">
        <v>18</v>
      </c>
      <c r="GT10">
        <v>16</v>
      </c>
      <c r="GU10">
        <v>8</v>
      </c>
      <c r="GV10">
        <v>352</v>
      </c>
      <c r="GW10">
        <v>19</v>
      </c>
      <c r="GX10">
        <v>14</v>
      </c>
      <c r="GY10">
        <v>9</v>
      </c>
      <c r="GZ10">
        <v>14</v>
      </c>
      <c r="HA10">
        <v>273</v>
      </c>
      <c r="HB10">
        <v>5</v>
      </c>
      <c r="HC10">
        <v>104</v>
      </c>
      <c r="HD10">
        <v>85</v>
      </c>
      <c r="HE10">
        <v>71</v>
      </c>
      <c r="HF10">
        <v>37</v>
      </c>
      <c r="HG10">
        <v>1723</v>
      </c>
      <c r="HH10">
        <v>123</v>
      </c>
      <c r="HI10">
        <v>101</v>
      </c>
      <c r="HJ10">
        <v>112</v>
      </c>
      <c r="HK10">
        <v>28</v>
      </c>
      <c r="HL10">
        <v>2312</v>
      </c>
      <c r="HM10">
        <v>154</v>
      </c>
      <c r="HN10">
        <v>139</v>
      </c>
      <c r="HO10">
        <v>155</v>
      </c>
      <c r="HP10">
        <v>31</v>
      </c>
      <c r="HQ10">
        <v>3110</v>
      </c>
      <c r="HR10">
        <v>69</v>
      </c>
      <c r="HS10">
        <v>72</v>
      </c>
      <c r="HT10">
        <v>77</v>
      </c>
      <c r="HU10">
        <v>14</v>
      </c>
      <c r="HV10">
        <v>1486</v>
      </c>
      <c r="HW10">
        <v>13</v>
      </c>
      <c r="HX10">
        <v>19</v>
      </c>
      <c r="HY10">
        <v>27</v>
      </c>
      <c r="HZ10">
        <v>17</v>
      </c>
      <c r="IA10">
        <v>412</v>
      </c>
      <c r="IB10">
        <v>5</v>
      </c>
      <c r="IC10">
        <v>182</v>
      </c>
      <c r="ID10">
        <v>163</v>
      </c>
      <c r="IE10">
        <v>168</v>
      </c>
      <c r="IF10">
        <v>37</v>
      </c>
      <c r="IG10">
        <v>3484</v>
      </c>
      <c r="IH10">
        <v>27</v>
      </c>
      <c r="II10">
        <v>37</v>
      </c>
      <c r="IJ10">
        <v>33</v>
      </c>
      <c r="IK10">
        <v>17</v>
      </c>
      <c r="IL10">
        <v>528</v>
      </c>
      <c r="IM10">
        <v>120</v>
      </c>
      <c r="IN10">
        <v>129</v>
      </c>
      <c r="IO10">
        <v>139</v>
      </c>
      <c r="IP10">
        <v>22</v>
      </c>
      <c r="IQ10">
        <v>2572</v>
      </c>
      <c r="IR10">
        <v>55</v>
      </c>
      <c r="IS10">
        <v>59</v>
      </c>
      <c r="IT10">
        <v>64</v>
      </c>
      <c r="IU10">
        <v>15</v>
      </c>
      <c r="IV10">
        <v>1262</v>
      </c>
      <c r="IW10">
        <v>22</v>
      </c>
      <c r="IX10">
        <v>29</v>
      </c>
      <c r="IY10">
        <v>19</v>
      </c>
      <c r="IZ10">
        <v>10</v>
      </c>
      <c r="JA10">
        <v>370</v>
      </c>
      <c r="JB10">
        <v>5</v>
      </c>
      <c r="JC10">
        <v>39</v>
      </c>
      <c r="JD10">
        <v>26</v>
      </c>
      <c r="JE10">
        <v>23</v>
      </c>
      <c r="JF10">
        <v>19</v>
      </c>
      <c r="JG10">
        <v>584</v>
      </c>
      <c r="JH10">
        <v>98</v>
      </c>
      <c r="JI10">
        <v>95</v>
      </c>
      <c r="JJ10">
        <v>81</v>
      </c>
      <c r="JK10">
        <v>25</v>
      </c>
      <c r="JL10">
        <v>1834</v>
      </c>
      <c r="JM10">
        <v>109</v>
      </c>
      <c r="JN10">
        <v>114</v>
      </c>
      <c r="JO10">
        <v>98</v>
      </c>
      <c r="JP10">
        <v>19</v>
      </c>
      <c r="JQ10">
        <v>2305</v>
      </c>
      <c r="JR10">
        <v>160</v>
      </c>
      <c r="JS10">
        <v>162</v>
      </c>
      <c r="JT10">
        <v>177</v>
      </c>
      <c r="JU10">
        <v>28</v>
      </c>
      <c r="JV10">
        <v>3376</v>
      </c>
      <c r="JW10">
        <v>31</v>
      </c>
      <c r="JX10">
        <v>20</v>
      </c>
      <c r="JY10">
        <v>34</v>
      </c>
      <c r="JZ10">
        <v>19</v>
      </c>
      <c r="KA10">
        <v>582</v>
      </c>
      <c r="KB10">
        <v>5</v>
      </c>
      <c r="KC10" t="s">
        <v>85</v>
      </c>
      <c r="KD10" t="s">
        <v>85</v>
      </c>
      <c r="KE10" t="s">
        <v>85</v>
      </c>
      <c r="KF10" t="s">
        <v>85</v>
      </c>
      <c r="KG10" t="s">
        <v>85</v>
      </c>
      <c r="KH10" t="s">
        <v>85</v>
      </c>
      <c r="KI10" t="s">
        <v>85</v>
      </c>
      <c r="KJ10" t="s">
        <v>85</v>
      </c>
      <c r="KK10" t="s">
        <v>85</v>
      </c>
      <c r="KL10" t="s">
        <v>85</v>
      </c>
      <c r="KM10" t="s">
        <v>85</v>
      </c>
      <c r="KN10" t="s">
        <v>85</v>
      </c>
      <c r="KO10" t="s">
        <v>85</v>
      </c>
      <c r="KP10" t="s">
        <v>85</v>
      </c>
      <c r="KQ10" t="s">
        <v>85</v>
      </c>
      <c r="KR10" t="s">
        <v>85</v>
      </c>
      <c r="KS10" t="s">
        <v>85</v>
      </c>
      <c r="KT10" t="s">
        <v>85</v>
      </c>
      <c r="KU10" t="s">
        <v>85</v>
      </c>
      <c r="KV10" t="s">
        <v>85</v>
      </c>
      <c r="KW10" t="s">
        <v>85</v>
      </c>
      <c r="KX10" t="s">
        <v>85</v>
      </c>
      <c r="KY10" t="s">
        <v>85</v>
      </c>
      <c r="KZ10" t="s">
        <v>85</v>
      </c>
      <c r="LA10" t="s">
        <v>85</v>
      </c>
      <c r="LB10">
        <v>5</v>
      </c>
      <c r="LC10" t="s">
        <v>85</v>
      </c>
      <c r="LD10" t="s">
        <v>85</v>
      </c>
      <c r="LE10" t="s">
        <v>85</v>
      </c>
      <c r="LF10" t="s">
        <v>85</v>
      </c>
      <c r="LG10" t="s">
        <v>85</v>
      </c>
      <c r="LH10" t="s">
        <v>85</v>
      </c>
      <c r="LI10" t="s">
        <v>85</v>
      </c>
      <c r="LJ10" t="s">
        <v>85</v>
      </c>
      <c r="LK10" t="s">
        <v>85</v>
      </c>
      <c r="LL10" t="s">
        <v>85</v>
      </c>
      <c r="LM10" t="s">
        <v>85</v>
      </c>
      <c r="LN10" t="s">
        <v>85</v>
      </c>
      <c r="LO10" t="s">
        <v>85</v>
      </c>
      <c r="LP10" t="s">
        <v>85</v>
      </c>
      <c r="LQ10" t="s">
        <v>85</v>
      </c>
      <c r="LR10" t="s">
        <v>85</v>
      </c>
      <c r="LS10" t="s">
        <v>85</v>
      </c>
      <c r="LT10" t="s">
        <v>85</v>
      </c>
      <c r="LU10" t="s">
        <v>85</v>
      </c>
      <c r="LV10" t="s">
        <v>85</v>
      </c>
      <c r="LW10" t="s">
        <v>85</v>
      </c>
      <c r="LX10" t="s">
        <v>85</v>
      </c>
      <c r="LY10" t="s">
        <v>85</v>
      </c>
      <c r="LZ10" t="s">
        <v>85</v>
      </c>
      <c r="MA10" t="s">
        <v>85</v>
      </c>
      <c r="MB10">
        <v>5</v>
      </c>
      <c r="MC10" t="s">
        <v>85</v>
      </c>
      <c r="MD10" t="s">
        <v>85</v>
      </c>
      <c r="ME10" t="s">
        <v>85</v>
      </c>
      <c r="MF10" t="s">
        <v>85</v>
      </c>
      <c r="MG10" t="s">
        <v>85</v>
      </c>
      <c r="MH10" t="s">
        <v>85</v>
      </c>
      <c r="MI10" t="s">
        <v>85</v>
      </c>
      <c r="MJ10" t="s">
        <v>85</v>
      </c>
      <c r="MK10" t="s">
        <v>85</v>
      </c>
      <c r="ML10" t="s">
        <v>85</v>
      </c>
      <c r="MM10" t="s">
        <v>85</v>
      </c>
      <c r="MN10" t="s">
        <v>85</v>
      </c>
      <c r="MO10" t="s">
        <v>85</v>
      </c>
      <c r="MP10" t="s">
        <v>85</v>
      </c>
      <c r="MQ10" t="s">
        <v>85</v>
      </c>
      <c r="MR10" t="s">
        <v>85</v>
      </c>
      <c r="MS10" t="s">
        <v>85</v>
      </c>
      <c r="MT10" t="s">
        <v>85</v>
      </c>
      <c r="MU10" t="s">
        <v>85</v>
      </c>
      <c r="MV10" t="s">
        <v>85</v>
      </c>
      <c r="MW10" t="s">
        <v>85</v>
      </c>
      <c r="MX10" t="s">
        <v>85</v>
      </c>
      <c r="MY10" t="s">
        <v>85</v>
      </c>
      <c r="MZ10" t="s">
        <v>85</v>
      </c>
      <c r="NA10">
        <v>5</v>
      </c>
      <c r="NB10">
        <v>-1</v>
      </c>
      <c r="NC10">
        <v>-1</v>
      </c>
      <c r="ND10">
        <v>-1</v>
      </c>
      <c r="NE10">
        <v>-1</v>
      </c>
      <c r="NF10">
        <v>26</v>
      </c>
      <c r="NG10">
        <v>5</v>
      </c>
      <c r="NH10">
        <v>6</v>
      </c>
      <c r="NI10">
        <v>6</v>
      </c>
      <c r="NJ10">
        <v>0</v>
      </c>
      <c r="NK10">
        <v>72</v>
      </c>
      <c r="NL10">
        <v>7</v>
      </c>
      <c r="NM10">
        <v>7</v>
      </c>
      <c r="NN10">
        <v>7</v>
      </c>
      <c r="NO10">
        <v>0</v>
      </c>
      <c r="NP10">
        <v>47</v>
      </c>
      <c r="NQ10">
        <v>5</v>
      </c>
      <c r="NR10">
        <v>5</v>
      </c>
      <c r="NS10">
        <v>4</v>
      </c>
      <c r="NT10">
        <v>0</v>
      </c>
      <c r="NU10">
        <v>57</v>
      </c>
      <c r="NV10">
        <v>6</v>
      </c>
      <c r="NW10">
        <v>6</v>
      </c>
      <c r="NX10">
        <v>6</v>
      </c>
      <c r="NY10">
        <v>1</v>
      </c>
      <c r="NZ10">
        <v>0</v>
      </c>
      <c r="OA10">
        <v>5</v>
      </c>
      <c r="OB10">
        <v>10</v>
      </c>
      <c r="OC10">
        <v>10</v>
      </c>
      <c r="OD10">
        <v>10</v>
      </c>
      <c r="OE10">
        <v>1</v>
      </c>
      <c r="OF10">
        <v>92</v>
      </c>
      <c r="OG10">
        <v>12</v>
      </c>
      <c r="OH10">
        <v>12</v>
      </c>
      <c r="OI10">
        <v>12</v>
      </c>
      <c r="OJ10">
        <v>1</v>
      </c>
      <c r="OK10">
        <v>96</v>
      </c>
      <c r="OL10">
        <v>1</v>
      </c>
      <c r="OM10">
        <v>1</v>
      </c>
      <c r="ON10">
        <v>1</v>
      </c>
      <c r="OO10">
        <v>1</v>
      </c>
      <c r="OP10">
        <v>47</v>
      </c>
      <c r="OQ10" t="s">
        <v>85</v>
      </c>
      <c r="OR10" t="s">
        <v>85</v>
      </c>
      <c r="OS10" t="s">
        <v>85</v>
      </c>
      <c r="OT10" t="s">
        <v>85</v>
      </c>
      <c r="OU10" t="s">
        <v>85</v>
      </c>
      <c r="OV10" t="s">
        <v>85</v>
      </c>
      <c r="OW10" t="s">
        <v>85</v>
      </c>
      <c r="OX10" t="s">
        <v>85</v>
      </c>
      <c r="OY10" t="s">
        <v>85</v>
      </c>
      <c r="OZ10" t="s">
        <v>85</v>
      </c>
      <c r="PA10">
        <v>5</v>
      </c>
      <c r="PB10">
        <v>23</v>
      </c>
      <c r="PC10">
        <v>23</v>
      </c>
      <c r="PD10">
        <v>23</v>
      </c>
      <c r="PE10">
        <v>0</v>
      </c>
      <c r="PF10">
        <v>873</v>
      </c>
      <c r="PG10">
        <v>9</v>
      </c>
      <c r="PH10">
        <v>7</v>
      </c>
      <c r="PI10">
        <v>6</v>
      </c>
      <c r="PJ10">
        <v>0</v>
      </c>
      <c r="PK10">
        <v>222</v>
      </c>
      <c r="PL10">
        <v>7</v>
      </c>
      <c r="PM10">
        <v>8</v>
      </c>
      <c r="PN10">
        <v>6</v>
      </c>
      <c r="PO10">
        <v>0</v>
      </c>
      <c r="PP10">
        <v>31</v>
      </c>
      <c r="PQ10">
        <v>35</v>
      </c>
      <c r="PR10">
        <v>37</v>
      </c>
      <c r="PS10">
        <v>34</v>
      </c>
      <c r="PT10">
        <v>1</v>
      </c>
      <c r="PU10">
        <v>1253</v>
      </c>
      <c r="PV10">
        <v>37</v>
      </c>
      <c r="PW10">
        <v>42</v>
      </c>
      <c r="PX10">
        <v>38</v>
      </c>
      <c r="PY10">
        <v>0</v>
      </c>
      <c r="PZ10">
        <v>1506</v>
      </c>
      <c r="QA10">
        <v>5</v>
      </c>
      <c r="QB10" t="s">
        <v>85</v>
      </c>
      <c r="QC10" t="s">
        <v>85</v>
      </c>
      <c r="QD10" t="s">
        <v>85</v>
      </c>
      <c r="QE10" t="s">
        <v>85</v>
      </c>
      <c r="QF10">
        <v>0</v>
      </c>
      <c r="QG10">
        <v>2</v>
      </c>
      <c r="QH10">
        <v>2</v>
      </c>
      <c r="QI10">
        <v>2</v>
      </c>
      <c r="QJ10">
        <v>0</v>
      </c>
      <c r="QK10">
        <v>59</v>
      </c>
      <c r="QL10" t="s">
        <v>85</v>
      </c>
      <c r="QM10" t="s">
        <v>85</v>
      </c>
      <c r="QN10" t="s">
        <v>85</v>
      </c>
      <c r="QO10" t="s">
        <v>85</v>
      </c>
      <c r="QP10" t="s">
        <v>85</v>
      </c>
      <c r="QQ10" t="s">
        <v>85</v>
      </c>
      <c r="QR10" t="s">
        <v>85</v>
      </c>
      <c r="QS10" t="s">
        <v>85</v>
      </c>
      <c r="QT10" t="s">
        <v>85</v>
      </c>
      <c r="QU10" t="s">
        <v>85</v>
      </c>
      <c r="QV10" t="s">
        <v>85</v>
      </c>
      <c r="QW10" t="s">
        <v>85</v>
      </c>
      <c r="QX10" t="s">
        <v>85</v>
      </c>
      <c r="QY10" t="s">
        <v>85</v>
      </c>
      <c r="QZ10" t="s">
        <v>85</v>
      </c>
      <c r="RA10">
        <v>5</v>
      </c>
      <c r="RB10">
        <v>132</v>
      </c>
      <c r="RC10">
        <v>135</v>
      </c>
      <c r="RD10">
        <v>134</v>
      </c>
      <c r="RE10">
        <v>0</v>
      </c>
      <c r="RF10">
        <v>4742</v>
      </c>
      <c r="RG10">
        <v>8</v>
      </c>
      <c r="RH10">
        <v>7</v>
      </c>
      <c r="RI10">
        <v>8</v>
      </c>
      <c r="RJ10">
        <v>0</v>
      </c>
      <c r="RK10">
        <v>257</v>
      </c>
      <c r="RL10">
        <v>7</v>
      </c>
      <c r="RM10">
        <v>7</v>
      </c>
      <c r="RN10">
        <v>7</v>
      </c>
      <c r="RO10">
        <v>0</v>
      </c>
      <c r="RP10">
        <v>233</v>
      </c>
      <c r="RQ10">
        <v>0</v>
      </c>
      <c r="RR10">
        <v>0</v>
      </c>
      <c r="RS10">
        <v>0</v>
      </c>
      <c r="RT10">
        <v>0</v>
      </c>
      <c r="RU10">
        <v>0</v>
      </c>
      <c r="RV10">
        <v>0</v>
      </c>
      <c r="RW10">
        <v>0</v>
      </c>
      <c r="RX10">
        <v>0</v>
      </c>
      <c r="RY10">
        <v>0</v>
      </c>
      <c r="RZ10">
        <v>0</v>
      </c>
      <c r="SA10">
        <v>5</v>
      </c>
      <c r="SB10">
        <v>0</v>
      </c>
      <c r="SC10">
        <v>0</v>
      </c>
      <c r="SD10">
        <v>0</v>
      </c>
      <c r="SE10">
        <v>0</v>
      </c>
      <c r="SF10">
        <v>0</v>
      </c>
      <c r="SG10" t="s">
        <v>85</v>
      </c>
      <c r="SH10" t="s">
        <v>85</v>
      </c>
      <c r="SI10" t="s">
        <v>85</v>
      </c>
      <c r="SJ10" t="s">
        <v>85</v>
      </c>
      <c r="SK10" t="s">
        <v>85</v>
      </c>
      <c r="SL10" t="s">
        <v>85</v>
      </c>
      <c r="SM10" t="s">
        <v>85</v>
      </c>
      <c r="SN10" t="s">
        <v>85</v>
      </c>
      <c r="SO10" t="s">
        <v>85</v>
      </c>
      <c r="SP10" t="s">
        <v>85</v>
      </c>
      <c r="SQ10" t="s">
        <v>85</v>
      </c>
      <c r="SR10" t="s">
        <v>85</v>
      </c>
      <c r="SS10" t="s">
        <v>85</v>
      </c>
      <c r="ST10" t="s">
        <v>85</v>
      </c>
      <c r="SU10" t="s">
        <v>85</v>
      </c>
      <c r="SV10" t="s">
        <v>85</v>
      </c>
      <c r="SW10" t="s">
        <v>85</v>
      </c>
      <c r="SX10" t="s">
        <v>85</v>
      </c>
      <c r="SY10" t="s">
        <v>85</v>
      </c>
      <c r="SZ10" t="s">
        <v>85</v>
      </c>
      <c r="TA10">
        <v>5</v>
      </c>
      <c r="TB10">
        <v>1</v>
      </c>
      <c r="TC10">
        <v>1</v>
      </c>
      <c r="TD10">
        <v>0</v>
      </c>
      <c r="TE10">
        <v>0</v>
      </c>
      <c r="TF10">
        <v>0</v>
      </c>
      <c r="TG10">
        <v>0</v>
      </c>
      <c r="TH10">
        <v>0</v>
      </c>
      <c r="TI10">
        <v>0</v>
      </c>
      <c r="TJ10">
        <v>0</v>
      </c>
      <c r="TK10">
        <v>0</v>
      </c>
      <c r="TL10">
        <v>0</v>
      </c>
      <c r="TM10">
        <v>0</v>
      </c>
      <c r="TN10">
        <v>0</v>
      </c>
      <c r="TO10">
        <v>0</v>
      </c>
      <c r="TP10">
        <v>0</v>
      </c>
      <c r="TQ10">
        <v>36</v>
      </c>
      <c r="TR10">
        <v>38</v>
      </c>
      <c r="TS10">
        <v>40</v>
      </c>
      <c r="TT10">
        <v>0</v>
      </c>
      <c r="TU10">
        <v>1414</v>
      </c>
      <c r="TV10">
        <v>7</v>
      </c>
      <c r="TW10">
        <v>8</v>
      </c>
      <c r="TX10">
        <v>6</v>
      </c>
      <c r="TY10">
        <v>0</v>
      </c>
      <c r="TZ10">
        <v>266</v>
      </c>
      <c r="UA10">
        <v>5</v>
      </c>
      <c r="UB10">
        <v>81</v>
      </c>
      <c r="UC10">
        <v>86</v>
      </c>
      <c r="UD10">
        <v>83</v>
      </c>
      <c r="UE10">
        <v>0</v>
      </c>
      <c r="UF10">
        <v>3333</v>
      </c>
      <c r="UG10" t="s">
        <v>85</v>
      </c>
      <c r="UH10" t="s">
        <v>85</v>
      </c>
      <c r="UI10" t="s">
        <v>85</v>
      </c>
      <c r="UJ10" t="s">
        <v>85</v>
      </c>
      <c r="UK10" t="s">
        <v>85</v>
      </c>
      <c r="UL10" t="s">
        <v>85</v>
      </c>
      <c r="UM10" t="s">
        <v>85</v>
      </c>
      <c r="UN10" t="s">
        <v>85</v>
      </c>
      <c r="UO10" t="s">
        <v>85</v>
      </c>
      <c r="UP10" t="s">
        <v>85</v>
      </c>
      <c r="UQ10" t="s">
        <v>85</v>
      </c>
      <c r="UR10" t="s">
        <v>85</v>
      </c>
      <c r="US10" t="s">
        <v>85</v>
      </c>
      <c r="UT10" t="s">
        <v>85</v>
      </c>
      <c r="UU10" t="s">
        <v>85</v>
      </c>
      <c r="UV10" t="s">
        <v>85</v>
      </c>
      <c r="UW10" t="s">
        <v>85</v>
      </c>
      <c r="UX10" t="s">
        <v>85</v>
      </c>
      <c r="UY10" t="s">
        <v>85</v>
      </c>
      <c r="UZ10" t="s">
        <v>85</v>
      </c>
      <c r="VX10">
        <v>5</v>
      </c>
      <c r="VY10">
        <v>-1</v>
      </c>
      <c r="VZ10">
        <v>-1</v>
      </c>
      <c r="WA10">
        <v>-1</v>
      </c>
      <c r="WB10">
        <v>-1</v>
      </c>
      <c r="WC10">
        <v>26</v>
      </c>
      <c r="WD10">
        <v>5</v>
      </c>
      <c r="WE10">
        <v>6</v>
      </c>
      <c r="WF10">
        <v>6</v>
      </c>
      <c r="WG10">
        <v>0</v>
      </c>
      <c r="WH10">
        <v>72</v>
      </c>
      <c r="WI10">
        <v>7</v>
      </c>
      <c r="WJ10">
        <v>7</v>
      </c>
      <c r="WK10">
        <v>7</v>
      </c>
      <c r="WL10">
        <v>0</v>
      </c>
      <c r="WM10">
        <v>47</v>
      </c>
      <c r="WN10">
        <v>5</v>
      </c>
      <c r="WO10">
        <v>5</v>
      </c>
      <c r="WP10">
        <v>4</v>
      </c>
      <c r="WQ10">
        <v>0</v>
      </c>
      <c r="WR10">
        <v>57</v>
      </c>
      <c r="WS10">
        <v>6</v>
      </c>
      <c r="WT10">
        <v>6</v>
      </c>
      <c r="WU10">
        <v>6</v>
      </c>
      <c r="WV10">
        <v>1</v>
      </c>
      <c r="WW10">
        <v>0</v>
      </c>
      <c r="WX10">
        <v>5</v>
      </c>
      <c r="WY10">
        <v>10</v>
      </c>
      <c r="WZ10">
        <v>10</v>
      </c>
      <c r="XA10">
        <v>10</v>
      </c>
      <c r="XB10">
        <v>1</v>
      </c>
      <c r="XC10">
        <v>92</v>
      </c>
      <c r="XD10">
        <v>12</v>
      </c>
      <c r="XE10">
        <v>12</v>
      </c>
      <c r="XF10">
        <v>12</v>
      </c>
      <c r="XG10">
        <v>1</v>
      </c>
      <c r="XH10">
        <v>96</v>
      </c>
      <c r="XI10">
        <v>1</v>
      </c>
      <c r="XJ10">
        <v>1</v>
      </c>
      <c r="XK10">
        <v>1</v>
      </c>
      <c r="XL10">
        <v>1</v>
      </c>
      <c r="XM10">
        <v>47</v>
      </c>
      <c r="XN10" t="s">
        <v>85</v>
      </c>
      <c r="XO10" t="s">
        <v>85</v>
      </c>
      <c r="XP10" t="s">
        <v>85</v>
      </c>
      <c r="XQ10" t="s">
        <v>85</v>
      </c>
      <c r="XR10" t="s">
        <v>85</v>
      </c>
      <c r="XS10" t="s">
        <v>85</v>
      </c>
      <c r="XT10" t="s">
        <v>85</v>
      </c>
      <c r="XU10" t="s">
        <v>85</v>
      </c>
      <c r="XV10" t="s">
        <v>85</v>
      </c>
      <c r="XW10" t="s">
        <v>85</v>
      </c>
      <c r="XX10">
        <v>5</v>
      </c>
      <c r="XY10">
        <v>23</v>
      </c>
      <c r="XZ10">
        <v>23</v>
      </c>
      <c r="YA10">
        <v>23</v>
      </c>
      <c r="YB10">
        <v>0</v>
      </c>
      <c r="YC10">
        <v>873</v>
      </c>
      <c r="YD10">
        <v>9</v>
      </c>
      <c r="YE10">
        <v>7</v>
      </c>
      <c r="YF10">
        <v>6</v>
      </c>
      <c r="YG10">
        <v>0</v>
      </c>
      <c r="YH10">
        <v>222</v>
      </c>
      <c r="YI10">
        <v>7</v>
      </c>
      <c r="YJ10">
        <v>8</v>
      </c>
      <c r="YK10">
        <v>6</v>
      </c>
      <c r="YL10">
        <v>0</v>
      </c>
      <c r="YM10">
        <v>31</v>
      </c>
      <c r="YN10">
        <v>35</v>
      </c>
      <c r="YO10">
        <v>37</v>
      </c>
      <c r="YP10">
        <v>34</v>
      </c>
      <c r="YQ10">
        <v>1</v>
      </c>
      <c r="YR10">
        <v>1253</v>
      </c>
      <c r="YS10">
        <v>37</v>
      </c>
      <c r="YT10">
        <v>42</v>
      </c>
      <c r="YU10">
        <v>38</v>
      </c>
      <c r="YV10">
        <v>0</v>
      </c>
      <c r="YW10">
        <v>1506</v>
      </c>
      <c r="YX10">
        <v>5</v>
      </c>
      <c r="YY10" t="s">
        <v>85</v>
      </c>
      <c r="YZ10" t="s">
        <v>85</v>
      </c>
      <c r="ZA10" t="s">
        <v>85</v>
      </c>
      <c r="ZB10" t="s">
        <v>85</v>
      </c>
      <c r="ZC10">
        <v>0</v>
      </c>
      <c r="ZD10">
        <v>2</v>
      </c>
      <c r="ZE10">
        <v>2</v>
      </c>
      <c r="ZF10">
        <v>2</v>
      </c>
      <c r="ZG10">
        <v>0</v>
      </c>
      <c r="ZH10">
        <v>59</v>
      </c>
      <c r="ZI10" t="s">
        <v>85</v>
      </c>
      <c r="ZJ10" t="s">
        <v>85</v>
      </c>
      <c r="ZK10" t="s">
        <v>85</v>
      </c>
      <c r="ZL10" t="s">
        <v>85</v>
      </c>
      <c r="ZM10" t="s">
        <v>85</v>
      </c>
      <c r="ZN10" t="s">
        <v>85</v>
      </c>
      <c r="ZO10" t="s">
        <v>85</v>
      </c>
      <c r="ZP10" t="s">
        <v>85</v>
      </c>
      <c r="ZQ10" t="s">
        <v>85</v>
      </c>
      <c r="ZR10" t="s">
        <v>85</v>
      </c>
      <c r="ZS10" t="s">
        <v>85</v>
      </c>
      <c r="ZT10" t="s">
        <v>85</v>
      </c>
      <c r="ZU10" t="s">
        <v>85</v>
      </c>
      <c r="ZV10" t="s">
        <v>85</v>
      </c>
      <c r="ZW10" t="s">
        <v>85</v>
      </c>
      <c r="ZX10">
        <v>5</v>
      </c>
      <c r="ZY10">
        <v>5</v>
      </c>
      <c r="ZZ10">
        <v>5</v>
      </c>
      <c r="AAA10">
        <v>81</v>
      </c>
      <c r="AAB10">
        <v>86</v>
      </c>
      <c r="AAC10">
        <v>83</v>
      </c>
      <c r="AAD10">
        <v>0</v>
      </c>
      <c r="AAE10">
        <v>3333</v>
      </c>
      <c r="AAF10" t="s">
        <v>85</v>
      </c>
      <c r="AAG10" t="s">
        <v>85</v>
      </c>
      <c r="AAH10" t="s">
        <v>85</v>
      </c>
      <c r="AAI10" t="s">
        <v>85</v>
      </c>
      <c r="AAJ10" t="s">
        <v>85</v>
      </c>
      <c r="AAK10" t="s">
        <v>85</v>
      </c>
      <c r="AAL10" t="s">
        <v>85</v>
      </c>
      <c r="AAM10" t="s">
        <v>85</v>
      </c>
      <c r="AAN10" t="s">
        <v>85</v>
      </c>
      <c r="AAO10" t="s">
        <v>85</v>
      </c>
      <c r="AAP10" t="s">
        <v>85</v>
      </c>
      <c r="AAQ10" t="s">
        <v>85</v>
      </c>
      <c r="AAR10" t="s">
        <v>85</v>
      </c>
      <c r="AAS10" t="s">
        <v>85</v>
      </c>
      <c r="AAT10" t="s">
        <v>85</v>
      </c>
      <c r="AAU10" t="s">
        <v>85</v>
      </c>
      <c r="AAV10" t="s">
        <v>85</v>
      </c>
      <c r="AAW10" t="s">
        <v>85</v>
      </c>
      <c r="AAX10" t="s">
        <v>85</v>
      </c>
      <c r="AAY10" t="s">
        <v>85</v>
      </c>
    </row>
    <row r="11" spans="1:727">
      <c r="A11" s="483">
        <v>5</v>
      </c>
      <c r="B11" s="503">
        <v>-1</v>
      </c>
      <c r="C11" s="503">
        <v>-1</v>
      </c>
      <c r="D11" s="503">
        <v>-1</v>
      </c>
      <c r="E11" s="503">
        <v>-1</v>
      </c>
      <c r="F11" s="503">
        <v>24</v>
      </c>
      <c r="G11" s="593">
        <v>5</v>
      </c>
      <c r="H11" s="593">
        <v>6</v>
      </c>
      <c r="I11" s="593">
        <v>6</v>
      </c>
      <c r="J11" s="593">
        <v>0</v>
      </c>
      <c r="K11" s="593">
        <v>127</v>
      </c>
      <c r="L11" s="502">
        <v>7</v>
      </c>
      <c r="M11" s="502">
        <v>7</v>
      </c>
      <c r="N11" s="502">
        <v>6</v>
      </c>
      <c r="O11" s="502">
        <v>0</v>
      </c>
      <c r="P11" s="502">
        <v>94</v>
      </c>
      <c r="Q11" s="504">
        <v>5</v>
      </c>
      <c r="R11" s="504">
        <v>5</v>
      </c>
      <c r="S11" s="504">
        <v>5</v>
      </c>
      <c r="T11" s="504">
        <v>0</v>
      </c>
      <c r="U11" s="504">
        <v>67</v>
      </c>
      <c r="V11" s="505">
        <v>9</v>
      </c>
      <c r="W11" s="505">
        <v>9</v>
      </c>
      <c r="X11" s="505">
        <v>9</v>
      </c>
      <c r="Y11" s="505">
        <v>1</v>
      </c>
      <c r="Z11" s="505">
        <v>0</v>
      </c>
      <c r="AA11" s="506"/>
      <c r="AB11" s="506"/>
      <c r="AC11" s="506"/>
      <c r="AD11" s="506"/>
      <c r="AE11" s="506"/>
      <c r="AF11" s="506"/>
      <c r="AG11" s="507"/>
      <c r="AH11" s="507"/>
      <c r="AI11" s="507"/>
      <c r="AJ11" s="507"/>
      <c r="AK11" s="507"/>
      <c r="AL11" s="508"/>
      <c r="AM11" s="508"/>
      <c r="AN11" s="508"/>
      <c r="AO11" s="508"/>
      <c r="AP11" s="508"/>
      <c r="AQ11" s="509"/>
      <c r="AR11" s="509"/>
      <c r="AS11" s="509"/>
      <c r="AT11" s="509"/>
      <c r="AU11" s="509"/>
      <c r="AV11" s="483"/>
      <c r="AW11" s="483"/>
      <c r="AX11" s="483"/>
      <c r="AY11" s="483"/>
      <c r="AZ11" s="483"/>
      <c r="BA11" s="483"/>
      <c r="BB11" s="483"/>
      <c r="BC11" s="483"/>
      <c r="BD11" s="483"/>
      <c r="BE11" s="483"/>
      <c r="BF11" s="483"/>
      <c r="BG11" s="483"/>
      <c r="BH11" s="483"/>
      <c r="BI11" s="483"/>
      <c r="BJ11" s="483"/>
      <c r="BK11" s="483"/>
      <c r="BL11" s="483"/>
      <c r="BM11" s="483"/>
      <c r="BN11" s="483"/>
      <c r="BO11" s="483"/>
      <c r="BP11" s="483"/>
      <c r="GA11" t="s">
        <v>85</v>
      </c>
      <c r="GB11">
        <v>6</v>
      </c>
      <c r="GC11">
        <v>91</v>
      </c>
      <c r="GD11">
        <v>69</v>
      </c>
      <c r="GE11">
        <v>54</v>
      </c>
      <c r="GF11">
        <v>34</v>
      </c>
      <c r="GG11">
        <v>1498</v>
      </c>
      <c r="GH11">
        <v>48</v>
      </c>
      <c r="GI11">
        <v>46</v>
      </c>
      <c r="GJ11">
        <v>50</v>
      </c>
      <c r="GK11">
        <v>12</v>
      </c>
      <c r="GL11">
        <v>914</v>
      </c>
      <c r="GM11">
        <v>91</v>
      </c>
      <c r="GN11">
        <v>43</v>
      </c>
      <c r="GO11">
        <v>53</v>
      </c>
      <c r="GP11">
        <v>62</v>
      </c>
      <c r="GQ11">
        <v>1334</v>
      </c>
      <c r="GR11">
        <v>17</v>
      </c>
      <c r="GS11">
        <v>16</v>
      </c>
      <c r="GT11">
        <v>19</v>
      </c>
      <c r="GU11">
        <v>11</v>
      </c>
      <c r="GV11">
        <v>329</v>
      </c>
      <c r="GW11">
        <v>15</v>
      </c>
      <c r="GX11">
        <v>10</v>
      </c>
      <c r="GY11">
        <v>6</v>
      </c>
      <c r="GZ11">
        <v>12</v>
      </c>
      <c r="HA11">
        <v>245</v>
      </c>
      <c r="HB11">
        <v>6</v>
      </c>
      <c r="HC11">
        <v>90</v>
      </c>
      <c r="HD11">
        <v>71</v>
      </c>
      <c r="HE11">
        <v>60</v>
      </c>
      <c r="HF11">
        <v>40</v>
      </c>
      <c r="HG11">
        <v>1638</v>
      </c>
      <c r="HH11">
        <v>106</v>
      </c>
      <c r="HI11">
        <v>90</v>
      </c>
      <c r="HJ11">
        <v>93</v>
      </c>
      <c r="HK11">
        <v>28</v>
      </c>
      <c r="HL11">
        <v>2055</v>
      </c>
      <c r="HM11">
        <v>151</v>
      </c>
      <c r="HN11">
        <v>141</v>
      </c>
      <c r="HO11">
        <v>161</v>
      </c>
      <c r="HP11">
        <v>30</v>
      </c>
      <c r="HQ11">
        <v>3039</v>
      </c>
      <c r="HR11">
        <v>67</v>
      </c>
      <c r="HS11">
        <v>75</v>
      </c>
      <c r="HT11">
        <v>87</v>
      </c>
      <c r="HU11">
        <v>20</v>
      </c>
      <c r="HV11">
        <v>1423</v>
      </c>
      <c r="HW11">
        <v>12</v>
      </c>
      <c r="HX11">
        <v>19</v>
      </c>
      <c r="HY11">
        <v>23</v>
      </c>
      <c r="HZ11">
        <v>14</v>
      </c>
      <c r="IA11">
        <v>375</v>
      </c>
      <c r="IB11">
        <v>6</v>
      </c>
      <c r="IC11">
        <v>165</v>
      </c>
      <c r="ID11">
        <v>138</v>
      </c>
      <c r="IE11">
        <v>132</v>
      </c>
      <c r="IF11">
        <v>49</v>
      </c>
      <c r="IG11">
        <v>3200</v>
      </c>
      <c r="IH11">
        <v>26</v>
      </c>
      <c r="II11">
        <v>34</v>
      </c>
      <c r="IJ11">
        <v>30</v>
      </c>
      <c r="IK11">
        <v>15</v>
      </c>
      <c r="IL11">
        <v>463</v>
      </c>
      <c r="IM11">
        <v>108</v>
      </c>
      <c r="IN11">
        <v>119</v>
      </c>
      <c r="IO11">
        <v>125</v>
      </c>
      <c r="IP11">
        <v>17</v>
      </c>
      <c r="IQ11">
        <v>2457</v>
      </c>
      <c r="IR11">
        <v>50</v>
      </c>
      <c r="IS11">
        <v>51</v>
      </c>
      <c r="IT11">
        <v>60</v>
      </c>
      <c r="IU11">
        <v>19</v>
      </c>
      <c r="IV11">
        <v>1159</v>
      </c>
      <c r="IW11">
        <v>21</v>
      </c>
      <c r="IX11">
        <v>27</v>
      </c>
      <c r="IY11">
        <v>19</v>
      </c>
      <c r="IZ11">
        <v>8</v>
      </c>
      <c r="JA11">
        <v>432</v>
      </c>
      <c r="JB11">
        <v>6</v>
      </c>
      <c r="JC11">
        <v>32</v>
      </c>
      <c r="JD11">
        <v>29</v>
      </c>
      <c r="JE11">
        <v>24</v>
      </c>
      <c r="JF11">
        <v>14</v>
      </c>
      <c r="JG11">
        <v>535</v>
      </c>
      <c r="JH11">
        <v>93</v>
      </c>
      <c r="JI11">
        <v>85</v>
      </c>
      <c r="JJ11">
        <v>74</v>
      </c>
      <c r="JK11">
        <v>25</v>
      </c>
      <c r="JL11">
        <v>1770</v>
      </c>
      <c r="JM11">
        <v>93</v>
      </c>
      <c r="JN11">
        <v>99</v>
      </c>
      <c r="JO11">
        <v>83</v>
      </c>
      <c r="JP11">
        <v>22</v>
      </c>
      <c r="JQ11">
        <v>1993</v>
      </c>
      <c r="JR11">
        <v>161</v>
      </c>
      <c r="JS11">
        <v>167</v>
      </c>
      <c r="JT11">
        <v>178</v>
      </c>
      <c r="JU11">
        <v>29</v>
      </c>
      <c r="JV11">
        <v>3348</v>
      </c>
      <c r="JW11">
        <v>28</v>
      </c>
      <c r="JX11">
        <v>17</v>
      </c>
      <c r="JY11">
        <v>35</v>
      </c>
      <c r="JZ11">
        <v>22</v>
      </c>
      <c r="KA11">
        <v>541</v>
      </c>
      <c r="KB11">
        <v>6</v>
      </c>
      <c r="KC11" t="s">
        <v>85</v>
      </c>
      <c r="KD11" t="s">
        <v>85</v>
      </c>
      <c r="KE11" t="s">
        <v>85</v>
      </c>
      <c r="KF11" t="s">
        <v>85</v>
      </c>
      <c r="KG11" t="s">
        <v>85</v>
      </c>
      <c r="KH11" t="s">
        <v>85</v>
      </c>
      <c r="KI11" t="s">
        <v>85</v>
      </c>
      <c r="KJ11" t="s">
        <v>85</v>
      </c>
      <c r="KK11" t="s">
        <v>85</v>
      </c>
      <c r="KL11" t="s">
        <v>85</v>
      </c>
      <c r="KM11" t="s">
        <v>85</v>
      </c>
      <c r="KN11" t="s">
        <v>85</v>
      </c>
      <c r="KO11" t="s">
        <v>85</v>
      </c>
      <c r="KP11" t="s">
        <v>85</v>
      </c>
      <c r="KQ11" t="s">
        <v>85</v>
      </c>
      <c r="KR11" t="s">
        <v>85</v>
      </c>
      <c r="KS11" t="s">
        <v>85</v>
      </c>
      <c r="KT11" t="s">
        <v>85</v>
      </c>
      <c r="KU11" t="s">
        <v>85</v>
      </c>
      <c r="KV11" t="s">
        <v>85</v>
      </c>
      <c r="KW11" t="s">
        <v>85</v>
      </c>
      <c r="KX11" t="s">
        <v>85</v>
      </c>
      <c r="KY11" t="s">
        <v>85</v>
      </c>
      <c r="KZ11" t="s">
        <v>85</v>
      </c>
      <c r="LA11" t="s">
        <v>85</v>
      </c>
      <c r="LB11">
        <v>6</v>
      </c>
      <c r="LC11" t="s">
        <v>85</v>
      </c>
      <c r="LD11" t="s">
        <v>85</v>
      </c>
      <c r="LE11" t="s">
        <v>85</v>
      </c>
      <c r="LF11" t="s">
        <v>85</v>
      </c>
      <c r="LG11" t="s">
        <v>85</v>
      </c>
      <c r="LH11" t="s">
        <v>85</v>
      </c>
      <c r="LI11" t="s">
        <v>85</v>
      </c>
      <c r="LJ11" t="s">
        <v>85</v>
      </c>
      <c r="LK11" t="s">
        <v>85</v>
      </c>
      <c r="LL11" t="s">
        <v>85</v>
      </c>
      <c r="LM11" t="s">
        <v>85</v>
      </c>
      <c r="LN11" t="s">
        <v>85</v>
      </c>
      <c r="LO11" t="s">
        <v>85</v>
      </c>
      <c r="LP11" t="s">
        <v>85</v>
      </c>
      <c r="LQ11" t="s">
        <v>85</v>
      </c>
      <c r="LR11" t="s">
        <v>85</v>
      </c>
      <c r="LS11" t="s">
        <v>85</v>
      </c>
      <c r="LT11" t="s">
        <v>85</v>
      </c>
      <c r="LU11" t="s">
        <v>85</v>
      </c>
      <c r="LV11" t="s">
        <v>85</v>
      </c>
      <c r="LW11" t="s">
        <v>85</v>
      </c>
      <c r="LX11" t="s">
        <v>85</v>
      </c>
      <c r="LY11" t="s">
        <v>85</v>
      </c>
      <c r="LZ11" t="s">
        <v>85</v>
      </c>
      <c r="MA11" t="s">
        <v>85</v>
      </c>
      <c r="MB11">
        <v>6</v>
      </c>
      <c r="MC11" t="s">
        <v>85</v>
      </c>
      <c r="MD11" t="s">
        <v>85</v>
      </c>
      <c r="ME11" t="s">
        <v>85</v>
      </c>
      <c r="MF11" t="s">
        <v>85</v>
      </c>
      <c r="MG11" t="s">
        <v>85</v>
      </c>
      <c r="MH11" t="s">
        <v>85</v>
      </c>
      <c r="MI11" t="s">
        <v>85</v>
      </c>
      <c r="MJ11" t="s">
        <v>85</v>
      </c>
      <c r="MK11" t="s">
        <v>85</v>
      </c>
      <c r="ML11" t="s">
        <v>85</v>
      </c>
      <c r="MM11" t="s">
        <v>85</v>
      </c>
      <c r="MN11" t="s">
        <v>85</v>
      </c>
      <c r="MO11" t="s">
        <v>85</v>
      </c>
      <c r="MP11" t="s">
        <v>85</v>
      </c>
      <c r="MQ11" t="s">
        <v>85</v>
      </c>
      <c r="MR11" t="s">
        <v>85</v>
      </c>
      <c r="MS11" t="s">
        <v>85</v>
      </c>
      <c r="MT11" t="s">
        <v>85</v>
      </c>
      <c r="MU11" t="s">
        <v>85</v>
      </c>
      <c r="MV11" t="s">
        <v>85</v>
      </c>
      <c r="MW11" t="s">
        <v>85</v>
      </c>
      <c r="MX11" t="s">
        <v>85</v>
      </c>
      <c r="MY11" t="s">
        <v>85</v>
      </c>
      <c r="MZ11" t="s">
        <v>85</v>
      </c>
      <c r="NA11">
        <v>6</v>
      </c>
      <c r="NB11">
        <v>-1</v>
      </c>
      <c r="NC11">
        <v>-1</v>
      </c>
      <c r="ND11">
        <v>-1</v>
      </c>
      <c r="NE11">
        <v>-1</v>
      </c>
      <c r="NF11">
        <v>26</v>
      </c>
      <c r="NG11">
        <v>5</v>
      </c>
      <c r="NH11">
        <v>6</v>
      </c>
      <c r="NI11">
        <v>6</v>
      </c>
      <c r="NJ11">
        <v>0</v>
      </c>
      <c r="NK11">
        <v>73</v>
      </c>
      <c r="NL11">
        <v>7</v>
      </c>
      <c r="NM11">
        <v>7</v>
      </c>
      <c r="NN11">
        <v>7</v>
      </c>
      <c r="NO11">
        <v>0</v>
      </c>
      <c r="NP11">
        <v>39</v>
      </c>
      <c r="NQ11">
        <v>5</v>
      </c>
      <c r="NR11">
        <v>5</v>
      </c>
      <c r="NS11">
        <v>4</v>
      </c>
      <c r="NT11">
        <v>0</v>
      </c>
      <c r="NU11">
        <v>52</v>
      </c>
      <c r="NV11">
        <v>6</v>
      </c>
      <c r="NW11">
        <v>6</v>
      </c>
      <c r="NX11">
        <v>6</v>
      </c>
      <c r="NY11">
        <v>1</v>
      </c>
      <c r="NZ11">
        <v>0</v>
      </c>
      <c r="OA11">
        <v>6</v>
      </c>
      <c r="OB11">
        <v>10</v>
      </c>
      <c r="OC11">
        <v>10</v>
      </c>
      <c r="OD11">
        <v>10</v>
      </c>
      <c r="OE11">
        <v>1</v>
      </c>
      <c r="OF11">
        <v>84</v>
      </c>
      <c r="OG11">
        <v>12</v>
      </c>
      <c r="OH11">
        <v>12</v>
      </c>
      <c r="OI11">
        <v>12</v>
      </c>
      <c r="OJ11">
        <v>1</v>
      </c>
      <c r="OK11">
        <v>96</v>
      </c>
      <c r="OL11">
        <v>1</v>
      </c>
      <c r="OM11">
        <v>1</v>
      </c>
      <c r="ON11">
        <v>1</v>
      </c>
      <c r="OO11">
        <v>1</v>
      </c>
      <c r="OP11">
        <v>47</v>
      </c>
      <c r="OQ11" t="s">
        <v>85</v>
      </c>
      <c r="OR11" t="s">
        <v>85</v>
      </c>
      <c r="OS11" t="s">
        <v>85</v>
      </c>
      <c r="OT11" t="s">
        <v>85</v>
      </c>
      <c r="OU11" t="s">
        <v>85</v>
      </c>
      <c r="OV11" t="s">
        <v>85</v>
      </c>
      <c r="OW11" t="s">
        <v>85</v>
      </c>
      <c r="OX11" t="s">
        <v>85</v>
      </c>
      <c r="OY11" t="s">
        <v>85</v>
      </c>
      <c r="OZ11" t="s">
        <v>85</v>
      </c>
      <c r="PA11">
        <v>6</v>
      </c>
      <c r="PB11">
        <v>22</v>
      </c>
      <c r="PC11">
        <v>23</v>
      </c>
      <c r="PD11">
        <v>23</v>
      </c>
      <c r="PE11">
        <v>0</v>
      </c>
      <c r="PF11">
        <v>854</v>
      </c>
      <c r="PG11">
        <v>8</v>
      </c>
      <c r="PH11">
        <v>6</v>
      </c>
      <c r="PI11">
        <v>6</v>
      </c>
      <c r="PJ11">
        <v>0</v>
      </c>
      <c r="PK11">
        <v>205</v>
      </c>
      <c r="PL11">
        <v>6</v>
      </c>
      <c r="PM11">
        <v>8</v>
      </c>
      <c r="PN11">
        <v>6</v>
      </c>
      <c r="PO11">
        <v>0</v>
      </c>
      <c r="PP11">
        <v>8</v>
      </c>
      <c r="PQ11">
        <v>32</v>
      </c>
      <c r="PR11">
        <v>35</v>
      </c>
      <c r="PS11">
        <v>32</v>
      </c>
      <c r="PT11">
        <v>1</v>
      </c>
      <c r="PU11">
        <v>1194</v>
      </c>
      <c r="PV11">
        <v>41</v>
      </c>
      <c r="PW11">
        <v>44</v>
      </c>
      <c r="PX11">
        <v>41</v>
      </c>
      <c r="PY11">
        <v>0</v>
      </c>
      <c r="PZ11">
        <v>1622</v>
      </c>
      <c r="QA11">
        <v>6</v>
      </c>
      <c r="QB11" t="s">
        <v>85</v>
      </c>
      <c r="QC11" t="s">
        <v>85</v>
      </c>
      <c r="QD11" t="s">
        <v>85</v>
      </c>
      <c r="QE11" t="s">
        <v>85</v>
      </c>
      <c r="QF11">
        <v>0</v>
      </c>
      <c r="QG11">
        <v>2</v>
      </c>
      <c r="QH11">
        <v>2</v>
      </c>
      <c r="QI11">
        <v>2</v>
      </c>
      <c r="QJ11">
        <v>0</v>
      </c>
      <c r="QK11">
        <v>59</v>
      </c>
      <c r="QL11" t="s">
        <v>85</v>
      </c>
      <c r="QM11" t="s">
        <v>85</v>
      </c>
      <c r="QN11" t="s">
        <v>85</v>
      </c>
      <c r="QO11" t="s">
        <v>85</v>
      </c>
      <c r="QP11" t="s">
        <v>85</v>
      </c>
      <c r="QQ11" t="s">
        <v>85</v>
      </c>
      <c r="QR11" t="s">
        <v>85</v>
      </c>
      <c r="QS11" t="s">
        <v>85</v>
      </c>
      <c r="QT11" t="s">
        <v>85</v>
      </c>
      <c r="QU11" t="s">
        <v>85</v>
      </c>
      <c r="QV11" t="s">
        <v>85</v>
      </c>
      <c r="QW11" t="s">
        <v>85</v>
      </c>
      <c r="QX11" t="s">
        <v>85</v>
      </c>
      <c r="QY11" t="s">
        <v>85</v>
      </c>
      <c r="QZ11" t="s">
        <v>85</v>
      </c>
      <c r="RA11">
        <v>6</v>
      </c>
      <c r="RB11">
        <v>130</v>
      </c>
      <c r="RC11">
        <v>132</v>
      </c>
      <c r="RD11">
        <v>132</v>
      </c>
      <c r="RE11">
        <v>0</v>
      </c>
      <c r="RF11">
        <v>4791</v>
      </c>
      <c r="RG11">
        <v>6</v>
      </c>
      <c r="RH11">
        <v>5</v>
      </c>
      <c r="RI11">
        <v>5</v>
      </c>
      <c r="RJ11">
        <v>0</v>
      </c>
      <c r="RK11">
        <v>234</v>
      </c>
      <c r="RL11">
        <v>6</v>
      </c>
      <c r="RM11">
        <v>6</v>
      </c>
      <c r="RN11">
        <v>6</v>
      </c>
      <c r="RO11">
        <v>0</v>
      </c>
      <c r="RP11">
        <v>192</v>
      </c>
      <c r="RQ11">
        <v>0</v>
      </c>
      <c r="RR11">
        <v>0</v>
      </c>
      <c r="RS11">
        <v>0</v>
      </c>
      <c r="RT11">
        <v>0</v>
      </c>
      <c r="RU11">
        <v>0</v>
      </c>
      <c r="RV11">
        <v>0</v>
      </c>
      <c r="RW11">
        <v>0</v>
      </c>
      <c r="RX11">
        <v>0</v>
      </c>
      <c r="RY11">
        <v>0</v>
      </c>
      <c r="RZ11">
        <v>0</v>
      </c>
      <c r="SA11">
        <v>6</v>
      </c>
      <c r="SB11">
        <v>0</v>
      </c>
      <c r="SC11">
        <v>0</v>
      </c>
      <c r="SD11">
        <v>0</v>
      </c>
      <c r="SE11">
        <v>0</v>
      </c>
      <c r="SF11">
        <v>0</v>
      </c>
      <c r="SG11" t="s">
        <v>85</v>
      </c>
      <c r="SH11" t="s">
        <v>85</v>
      </c>
      <c r="SI11" t="s">
        <v>85</v>
      </c>
      <c r="SJ11" t="s">
        <v>85</v>
      </c>
      <c r="SK11" t="s">
        <v>85</v>
      </c>
      <c r="SL11" t="s">
        <v>85</v>
      </c>
      <c r="SM11" t="s">
        <v>85</v>
      </c>
      <c r="SN11" t="s">
        <v>85</v>
      </c>
      <c r="SO11" t="s">
        <v>85</v>
      </c>
      <c r="SP11" t="s">
        <v>85</v>
      </c>
      <c r="SQ11" t="s">
        <v>85</v>
      </c>
      <c r="SR11" t="s">
        <v>85</v>
      </c>
      <c r="SS11" t="s">
        <v>85</v>
      </c>
      <c r="ST11" t="s">
        <v>85</v>
      </c>
      <c r="SU11" t="s">
        <v>85</v>
      </c>
      <c r="SV11" t="s">
        <v>85</v>
      </c>
      <c r="SW11" t="s">
        <v>85</v>
      </c>
      <c r="SX11" t="s">
        <v>85</v>
      </c>
      <c r="SY11" t="s">
        <v>85</v>
      </c>
      <c r="SZ11" t="s">
        <v>85</v>
      </c>
      <c r="TA11">
        <v>6</v>
      </c>
      <c r="TB11">
        <v>8</v>
      </c>
      <c r="TC11">
        <v>8</v>
      </c>
      <c r="TD11">
        <v>8</v>
      </c>
      <c r="TE11">
        <v>0</v>
      </c>
      <c r="TF11">
        <v>77</v>
      </c>
      <c r="TG11">
        <v>0</v>
      </c>
      <c r="TH11">
        <v>0</v>
      </c>
      <c r="TI11">
        <v>0</v>
      </c>
      <c r="TJ11">
        <v>0</v>
      </c>
      <c r="TK11">
        <v>0</v>
      </c>
      <c r="TL11">
        <v>0</v>
      </c>
      <c r="TM11">
        <v>0</v>
      </c>
      <c r="TN11">
        <v>0</v>
      </c>
      <c r="TO11">
        <v>0</v>
      </c>
      <c r="TP11">
        <v>0</v>
      </c>
      <c r="TQ11">
        <v>29</v>
      </c>
      <c r="TR11">
        <v>29</v>
      </c>
      <c r="TS11">
        <v>32</v>
      </c>
      <c r="TT11">
        <v>0</v>
      </c>
      <c r="TU11">
        <v>1291</v>
      </c>
      <c r="TV11">
        <v>7</v>
      </c>
      <c r="TW11">
        <v>7</v>
      </c>
      <c r="TX11">
        <v>5</v>
      </c>
      <c r="TY11">
        <v>0</v>
      </c>
      <c r="TZ11">
        <v>264</v>
      </c>
      <c r="UA11">
        <v>6</v>
      </c>
      <c r="UB11">
        <v>82</v>
      </c>
      <c r="UC11">
        <v>87</v>
      </c>
      <c r="UD11">
        <v>85</v>
      </c>
      <c r="UE11">
        <v>0</v>
      </c>
      <c r="UF11">
        <v>3294</v>
      </c>
      <c r="UG11" t="s">
        <v>85</v>
      </c>
      <c r="UH11" t="s">
        <v>85</v>
      </c>
      <c r="UI11" t="s">
        <v>85</v>
      </c>
      <c r="UJ11" t="s">
        <v>85</v>
      </c>
      <c r="UK11" t="s">
        <v>85</v>
      </c>
      <c r="UL11" t="s">
        <v>85</v>
      </c>
      <c r="UM11" t="s">
        <v>85</v>
      </c>
      <c r="UN11" t="s">
        <v>85</v>
      </c>
      <c r="UO11" t="s">
        <v>85</v>
      </c>
      <c r="UP11" t="s">
        <v>85</v>
      </c>
      <c r="UQ11" t="s">
        <v>85</v>
      </c>
      <c r="UR11" t="s">
        <v>85</v>
      </c>
      <c r="US11" t="s">
        <v>85</v>
      </c>
      <c r="UT11" t="s">
        <v>85</v>
      </c>
      <c r="UU11" t="s">
        <v>85</v>
      </c>
      <c r="UV11" t="s">
        <v>85</v>
      </c>
      <c r="UW11" t="s">
        <v>85</v>
      </c>
      <c r="UX11" t="s">
        <v>85</v>
      </c>
      <c r="UY11" t="s">
        <v>85</v>
      </c>
      <c r="UZ11" t="s">
        <v>85</v>
      </c>
      <c r="VX11">
        <v>6</v>
      </c>
      <c r="VY11">
        <v>-1</v>
      </c>
      <c r="VZ11">
        <v>-1</v>
      </c>
      <c r="WA11">
        <v>-1</v>
      </c>
      <c r="WB11">
        <v>-1</v>
      </c>
      <c r="WC11">
        <v>26</v>
      </c>
      <c r="WD11">
        <v>5</v>
      </c>
      <c r="WE11">
        <v>6</v>
      </c>
      <c r="WF11">
        <v>6</v>
      </c>
      <c r="WG11">
        <v>0</v>
      </c>
      <c r="WH11">
        <v>73</v>
      </c>
      <c r="WI11">
        <v>7</v>
      </c>
      <c r="WJ11">
        <v>7</v>
      </c>
      <c r="WK11">
        <v>7</v>
      </c>
      <c r="WL11">
        <v>0</v>
      </c>
      <c r="WM11">
        <v>39</v>
      </c>
      <c r="WN11">
        <v>5</v>
      </c>
      <c r="WO11">
        <v>5</v>
      </c>
      <c r="WP11">
        <v>4</v>
      </c>
      <c r="WQ11">
        <v>0</v>
      </c>
      <c r="WR11">
        <v>52</v>
      </c>
      <c r="WS11">
        <v>6</v>
      </c>
      <c r="WT11">
        <v>6</v>
      </c>
      <c r="WU11">
        <v>6</v>
      </c>
      <c r="WV11">
        <v>1</v>
      </c>
      <c r="WW11">
        <v>0</v>
      </c>
      <c r="WX11">
        <v>6</v>
      </c>
      <c r="WY11">
        <v>10</v>
      </c>
      <c r="WZ11">
        <v>10</v>
      </c>
      <c r="XA11">
        <v>10</v>
      </c>
      <c r="XB11">
        <v>1</v>
      </c>
      <c r="XC11">
        <v>84</v>
      </c>
      <c r="XD11">
        <v>12</v>
      </c>
      <c r="XE11">
        <v>12</v>
      </c>
      <c r="XF11">
        <v>12</v>
      </c>
      <c r="XG11">
        <v>1</v>
      </c>
      <c r="XH11">
        <v>96</v>
      </c>
      <c r="XI11">
        <v>1</v>
      </c>
      <c r="XJ11">
        <v>1</v>
      </c>
      <c r="XK11">
        <v>1</v>
      </c>
      <c r="XL11">
        <v>1</v>
      </c>
      <c r="XM11">
        <v>47</v>
      </c>
      <c r="XN11" t="s">
        <v>85</v>
      </c>
      <c r="XO11" t="s">
        <v>85</v>
      </c>
      <c r="XP11" t="s">
        <v>85</v>
      </c>
      <c r="XQ11" t="s">
        <v>85</v>
      </c>
      <c r="XR11" t="s">
        <v>85</v>
      </c>
      <c r="XS11" t="s">
        <v>85</v>
      </c>
      <c r="XT11" t="s">
        <v>85</v>
      </c>
      <c r="XU11" t="s">
        <v>85</v>
      </c>
      <c r="XV11" t="s">
        <v>85</v>
      </c>
      <c r="XW11" t="s">
        <v>85</v>
      </c>
      <c r="XX11">
        <v>6</v>
      </c>
      <c r="XY11">
        <v>22</v>
      </c>
      <c r="XZ11">
        <v>23</v>
      </c>
      <c r="YA11">
        <v>23</v>
      </c>
      <c r="YB11">
        <v>0</v>
      </c>
      <c r="YC11">
        <v>854</v>
      </c>
      <c r="YD11">
        <v>8</v>
      </c>
      <c r="YE11">
        <v>6</v>
      </c>
      <c r="YF11">
        <v>6</v>
      </c>
      <c r="YG11">
        <v>0</v>
      </c>
      <c r="YH11">
        <v>205</v>
      </c>
      <c r="YI11">
        <v>6</v>
      </c>
      <c r="YJ11">
        <v>8</v>
      </c>
      <c r="YK11">
        <v>6</v>
      </c>
      <c r="YL11">
        <v>0</v>
      </c>
      <c r="YM11">
        <v>8</v>
      </c>
      <c r="YN11">
        <v>32</v>
      </c>
      <c r="YO11">
        <v>35</v>
      </c>
      <c r="YP11">
        <v>32</v>
      </c>
      <c r="YQ11">
        <v>1</v>
      </c>
      <c r="YR11">
        <v>1194</v>
      </c>
      <c r="YS11">
        <v>41</v>
      </c>
      <c r="YT11">
        <v>44</v>
      </c>
      <c r="YU11">
        <v>41</v>
      </c>
      <c r="YV11">
        <v>0</v>
      </c>
      <c r="YW11">
        <v>1622</v>
      </c>
      <c r="YX11">
        <v>6</v>
      </c>
      <c r="YY11" t="s">
        <v>85</v>
      </c>
      <c r="YZ11" t="s">
        <v>85</v>
      </c>
      <c r="ZA11" t="s">
        <v>85</v>
      </c>
      <c r="ZB11" t="s">
        <v>85</v>
      </c>
      <c r="ZC11">
        <v>0</v>
      </c>
      <c r="ZD11">
        <v>2</v>
      </c>
      <c r="ZE11">
        <v>2</v>
      </c>
      <c r="ZF11">
        <v>2</v>
      </c>
      <c r="ZG11">
        <v>0</v>
      </c>
      <c r="ZH11">
        <v>59</v>
      </c>
      <c r="ZI11" t="s">
        <v>85</v>
      </c>
      <c r="ZJ11" t="s">
        <v>85</v>
      </c>
      <c r="ZK11" t="s">
        <v>85</v>
      </c>
      <c r="ZL11" t="s">
        <v>85</v>
      </c>
      <c r="ZM11" t="s">
        <v>85</v>
      </c>
      <c r="ZN11" t="s">
        <v>85</v>
      </c>
      <c r="ZO11" t="s">
        <v>85</v>
      </c>
      <c r="ZP11" t="s">
        <v>85</v>
      </c>
      <c r="ZQ11" t="s">
        <v>85</v>
      </c>
      <c r="ZR11" t="s">
        <v>85</v>
      </c>
      <c r="ZS11" t="s">
        <v>85</v>
      </c>
      <c r="ZT11" t="s">
        <v>85</v>
      </c>
      <c r="ZU11" t="s">
        <v>85</v>
      </c>
      <c r="ZV11" t="s">
        <v>85</v>
      </c>
      <c r="ZW11" t="s">
        <v>85</v>
      </c>
      <c r="ZX11">
        <v>6</v>
      </c>
      <c r="ZY11">
        <v>6</v>
      </c>
      <c r="ZZ11">
        <v>6</v>
      </c>
      <c r="AAA11">
        <v>82</v>
      </c>
      <c r="AAB11">
        <v>87</v>
      </c>
      <c r="AAC11">
        <v>85</v>
      </c>
      <c r="AAD11">
        <v>0</v>
      </c>
      <c r="AAE11">
        <v>3294</v>
      </c>
      <c r="AAF11" t="s">
        <v>85</v>
      </c>
      <c r="AAG11" t="s">
        <v>85</v>
      </c>
      <c r="AAH11" t="s">
        <v>85</v>
      </c>
      <c r="AAI11" t="s">
        <v>85</v>
      </c>
      <c r="AAJ11" t="s">
        <v>85</v>
      </c>
      <c r="AAK11" t="s">
        <v>85</v>
      </c>
      <c r="AAL11" t="s">
        <v>85</v>
      </c>
      <c r="AAM11" t="s">
        <v>85</v>
      </c>
      <c r="AAN11" t="s">
        <v>85</v>
      </c>
      <c r="AAO11" t="s">
        <v>85</v>
      </c>
      <c r="AAP11" t="s">
        <v>85</v>
      </c>
      <c r="AAQ11" t="s">
        <v>85</v>
      </c>
      <c r="AAR11" t="s">
        <v>85</v>
      </c>
      <c r="AAS11" t="s">
        <v>85</v>
      </c>
      <c r="AAT11" t="s">
        <v>85</v>
      </c>
      <c r="AAU11" t="s">
        <v>85</v>
      </c>
      <c r="AAV11" t="s">
        <v>85</v>
      </c>
      <c r="AAW11" t="s">
        <v>85</v>
      </c>
      <c r="AAX11" t="s">
        <v>85</v>
      </c>
      <c r="AAY11" t="s">
        <v>85</v>
      </c>
    </row>
    <row r="12" spans="1:727">
      <c r="A12" s="483">
        <v>6</v>
      </c>
      <c r="B12" s="503">
        <v>0</v>
      </c>
      <c r="C12" s="503">
        <v>0</v>
      </c>
      <c r="D12" s="503">
        <v>-1</v>
      </c>
      <c r="E12" s="503">
        <v>0</v>
      </c>
      <c r="F12" s="503">
        <v>23</v>
      </c>
      <c r="G12" s="593">
        <v>7</v>
      </c>
      <c r="H12" s="593">
        <v>7</v>
      </c>
      <c r="I12" s="593">
        <v>8</v>
      </c>
      <c r="J12" s="593">
        <v>0</v>
      </c>
      <c r="K12" s="593">
        <v>105</v>
      </c>
      <c r="L12" s="502">
        <v>7</v>
      </c>
      <c r="M12" s="502">
        <v>7</v>
      </c>
      <c r="N12" s="502">
        <v>7</v>
      </c>
      <c r="O12" s="502">
        <v>0</v>
      </c>
      <c r="P12" s="502">
        <v>72</v>
      </c>
      <c r="Q12" s="504">
        <v>5</v>
      </c>
      <c r="R12" s="504">
        <v>4</v>
      </c>
      <c r="S12" s="504">
        <v>4</v>
      </c>
      <c r="T12" s="504">
        <v>0</v>
      </c>
      <c r="U12" s="504">
        <v>65</v>
      </c>
      <c r="V12" s="505">
        <v>6</v>
      </c>
      <c r="W12" s="505">
        <v>6</v>
      </c>
      <c r="X12" s="505">
        <v>6</v>
      </c>
      <c r="Y12" s="505">
        <v>1</v>
      </c>
      <c r="Z12" s="505">
        <v>0</v>
      </c>
      <c r="AA12" s="506"/>
      <c r="AB12" s="506"/>
      <c r="AC12" s="506"/>
      <c r="AD12" s="506"/>
      <c r="AE12" s="506"/>
      <c r="AF12" s="506"/>
      <c r="AG12" s="507"/>
      <c r="AH12" s="507"/>
      <c r="AI12" s="507"/>
      <c r="AJ12" s="507"/>
      <c r="AK12" s="507"/>
      <c r="AL12" s="508"/>
      <c r="AM12" s="508"/>
      <c r="AN12" s="508"/>
      <c r="AO12" s="508"/>
      <c r="AP12" s="508"/>
      <c r="AQ12" s="509"/>
      <c r="AR12" s="509"/>
      <c r="AS12" s="509"/>
      <c r="AT12" s="509"/>
      <c r="AU12" s="509"/>
      <c r="AV12" s="483"/>
      <c r="AW12" s="483"/>
      <c r="AX12" s="483"/>
      <c r="AY12" s="483"/>
      <c r="AZ12" s="483"/>
      <c r="BA12" s="483"/>
      <c r="BB12" s="483"/>
      <c r="BC12" s="483"/>
      <c r="BD12" s="483"/>
      <c r="BE12" s="483"/>
      <c r="BF12" s="483"/>
      <c r="BG12" s="483"/>
      <c r="BH12" s="483"/>
      <c r="BI12" s="483"/>
      <c r="BJ12" s="483"/>
      <c r="BK12" s="483"/>
      <c r="BL12" s="483"/>
      <c r="BM12" s="483"/>
      <c r="BN12" s="483"/>
      <c r="BO12" s="483"/>
      <c r="BP12" s="483"/>
      <c r="GA12" t="s">
        <v>85</v>
      </c>
      <c r="GB12">
        <v>7</v>
      </c>
      <c r="GC12">
        <v>95</v>
      </c>
      <c r="GD12">
        <v>71</v>
      </c>
      <c r="GE12">
        <v>56</v>
      </c>
      <c r="GF12">
        <v>38</v>
      </c>
      <c r="GG12">
        <v>1436</v>
      </c>
      <c r="GH12">
        <v>44</v>
      </c>
      <c r="GI12">
        <v>42</v>
      </c>
      <c r="GJ12">
        <v>47</v>
      </c>
      <c r="GK12">
        <v>13</v>
      </c>
      <c r="GL12">
        <v>885</v>
      </c>
      <c r="GM12">
        <v>78</v>
      </c>
      <c r="GN12">
        <v>33</v>
      </c>
      <c r="GO12">
        <v>36</v>
      </c>
      <c r="GP12">
        <v>71</v>
      </c>
      <c r="GQ12">
        <v>858</v>
      </c>
      <c r="GR12">
        <v>13</v>
      </c>
      <c r="GS12">
        <v>10</v>
      </c>
      <c r="GT12">
        <v>14</v>
      </c>
      <c r="GU12">
        <v>11</v>
      </c>
      <c r="GV12">
        <v>272</v>
      </c>
      <c r="GW12">
        <v>11</v>
      </c>
      <c r="GX12">
        <v>8</v>
      </c>
      <c r="GY12">
        <v>3</v>
      </c>
      <c r="GZ12">
        <v>13</v>
      </c>
      <c r="HA12">
        <v>160</v>
      </c>
      <c r="HB12">
        <v>7</v>
      </c>
      <c r="HC12">
        <v>49</v>
      </c>
      <c r="HD12">
        <v>31</v>
      </c>
      <c r="HE12">
        <v>30</v>
      </c>
      <c r="HF12">
        <v>36</v>
      </c>
      <c r="HG12">
        <v>1078</v>
      </c>
      <c r="HH12">
        <v>114</v>
      </c>
      <c r="HI12">
        <v>94</v>
      </c>
      <c r="HJ12">
        <v>96</v>
      </c>
      <c r="HK12">
        <v>30</v>
      </c>
      <c r="HL12">
        <v>2032</v>
      </c>
      <c r="HM12">
        <v>137</v>
      </c>
      <c r="HN12">
        <v>129</v>
      </c>
      <c r="HO12">
        <v>148</v>
      </c>
      <c r="HP12">
        <v>31</v>
      </c>
      <c r="HQ12">
        <v>2947</v>
      </c>
      <c r="HR12">
        <v>55</v>
      </c>
      <c r="HS12">
        <v>63</v>
      </c>
      <c r="HT12">
        <v>77</v>
      </c>
      <c r="HU12">
        <v>24</v>
      </c>
      <c r="HV12">
        <v>1381</v>
      </c>
      <c r="HW12">
        <v>10</v>
      </c>
      <c r="HX12">
        <v>19</v>
      </c>
      <c r="HY12">
        <v>24</v>
      </c>
      <c r="HZ12">
        <v>16</v>
      </c>
      <c r="IA12">
        <v>354</v>
      </c>
      <c r="IB12">
        <v>7</v>
      </c>
      <c r="IC12">
        <v>155</v>
      </c>
      <c r="ID12">
        <v>136</v>
      </c>
      <c r="IE12">
        <v>117</v>
      </c>
      <c r="IF12">
        <v>54</v>
      </c>
      <c r="IG12">
        <v>2821</v>
      </c>
      <c r="IH12">
        <v>26</v>
      </c>
      <c r="II12">
        <v>36</v>
      </c>
      <c r="IJ12">
        <v>30</v>
      </c>
      <c r="IK12">
        <v>16</v>
      </c>
      <c r="IL12">
        <v>460</v>
      </c>
      <c r="IM12">
        <v>105</v>
      </c>
      <c r="IN12">
        <v>111</v>
      </c>
      <c r="IO12">
        <v>118</v>
      </c>
      <c r="IP12">
        <v>19</v>
      </c>
      <c r="IQ12">
        <v>2235</v>
      </c>
      <c r="IR12">
        <v>38</v>
      </c>
      <c r="IS12">
        <v>42</v>
      </c>
      <c r="IT12">
        <v>51</v>
      </c>
      <c r="IU12">
        <v>23</v>
      </c>
      <c r="IV12">
        <v>905</v>
      </c>
      <c r="IW12">
        <v>24</v>
      </c>
      <c r="IX12">
        <v>28</v>
      </c>
      <c r="IY12">
        <v>19</v>
      </c>
      <c r="IZ12">
        <v>8</v>
      </c>
      <c r="JA12">
        <v>453</v>
      </c>
      <c r="JB12">
        <v>7</v>
      </c>
      <c r="JC12">
        <v>32</v>
      </c>
      <c r="JD12">
        <v>28</v>
      </c>
      <c r="JE12">
        <v>19</v>
      </c>
      <c r="JF12">
        <v>14</v>
      </c>
      <c r="JG12">
        <v>575</v>
      </c>
      <c r="JH12">
        <v>83</v>
      </c>
      <c r="JI12">
        <v>72</v>
      </c>
      <c r="JJ12">
        <v>58</v>
      </c>
      <c r="JK12">
        <v>36</v>
      </c>
      <c r="JL12">
        <v>1604</v>
      </c>
      <c r="JM12">
        <v>74</v>
      </c>
      <c r="JN12">
        <v>78</v>
      </c>
      <c r="JO12">
        <v>68</v>
      </c>
      <c r="JP12">
        <v>22</v>
      </c>
      <c r="JQ12">
        <v>1645</v>
      </c>
      <c r="JR12">
        <v>148</v>
      </c>
      <c r="JS12">
        <v>146</v>
      </c>
      <c r="JT12">
        <v>155</v>
      </c>
      <c r="JU12">
        <v>30</v>
      </c>
      <c r="JV12">
        <v>3115</v>
      </c>
      <c r="JW12">
        <v>25</v>
      </c>
      <c r="JX12">
        <v>14</v>
      </c>
      <c r="JY12">
        <v>30</v>
      </c>
      <c r="JZ12">
        <v>19</v>
      </c>
      <c r="KA12">
        <v>488</v>
      </c>
      <c r="KB12">
        <v>7</v>
      </c>
      <c r="KC12" t="s">
        <v>85</v>
      </c>
      <c r="KD12" t="s">
        <v>85</v>
      </c>
      <c r="KE12" t="s">
        <v>85</v>
      </c>
      <c r="KF12" t="s">
        <v>85</v>
      </c>
      <c r="KG12" t="s">
        <v>85</v>
      </c>
      <c r="KH12" t="s">
        <v>85</v>
      </c>
      <c r="KI12" t="s">
        <v>85</v>
      </c>
      <c r="KJ12" t="s">
        <v>85</v>
      </c>
      <c r="KK12" t="s">
        <v>85</v>
      </c>
      <c r="KL12" t="s">
        <v>85</v>
      </c>
      <c r="KM12" t="s">
        <v>85</v>
      </c>
      <c r="KN12" t="s">
        <v>85</v>
      </c>
      <c r="KO12" t="s">
        <v>85</v>
      </c>
      <c r="KP12" t="s">
        <v>85</v>
      </c>
      <c r="KQ12" t="s">
        <v>85</v>
      </c>
      <c r="KR12" t="s">
        <v>85</v>
      </c>
      <c r="KS12" t="s">
        <v>85</v>
      </c>
      <c r="KT12" t="s">
        <v>85</v>
      </c>
      <c r="KU12" t="s">
        <v>85</v>
      </c>
      <c r="KV12" t="s">
        <v>85</v>
      </c>
      <c r="KW12" t="s">
        <v>85</v>
      </c>
      <c r="KX12" t="s">
        <v>85</v>
      </c>
      <c r="KY12" t="s">
        <v>85</v>
      </c>
      <c r="KZ12" t="s">
        <v>85</v>
      </c>
      <c r="LA12" t="s">
        <v>85</v>
      </c>
      <c r="LB12">
        <v>7</v>
      </c>
      <c r="LC12" t="s">
        <v>85</v>
      </c>
      <c r="LD12" t="s">
        <v>85</v>
      </c>
      <c r="LE12" t="s">
        <v>85</v>
      </c>
      <c r="LF12" t="s">
        <v>85</v>
      </c>
      <c r="LG12" t="s">
        <v>85</v>
      </c>
      <c r="LH12" t="s">
        <v>85</v>
      </c>
      <c r="LI12" t="s">
        <v>85</v>
      </c>
      <c r="LJ12" t="s">
        <v>85</v>
      </c>
      <c r="LK12" t="s">
        <v>85</v>
      </c>
      <c r="LL12" t="s">
        <v>85</v>
      </c>
      <c r="LM12" t="s">
        <v>85</v>
      </c>
      <c r="LN12" t="s">
        <v>85</v>
      </c>
      <c r="LO12" t="s">
        <v>85</v>
      </c>
      <c r="LP12" t="s">
        <v>85</v>
      </c>
      <c r="LQ12" t="s">
        <v>85</v>
      </c>
      <c r="LR12" t="s">
        <v>85</v>
      </c>
      <c r="LS12" t="s">
        <v>85</v>
      </c>
      <c r="LT12" t="s">
        <v>85</v>
      </c>
      <c r="LU12" t="s">
        <v>85</v>
      </c>
      <c r="LV12" t="s">
        <v>85</v>
      </c>
      <c r="LW12" t="s">
        <v>85</v>
      </c>
      <c r="LX12" t="s">
        <v>85</v>
      </c>
      <c r="LY12" t="s">
        <v>85</v>
      </c>
      <c r="LZ12" t="s">
        <v>85</v>
      </c>
      <c r="MA12" t="s">
        <v>85</v>
      </c>
      <c r="MB12">
        <v>7</v>
      </c>
      <c r="MC12" t="s">
        <v>85</v>
      </c>
      <c r="MD12" t="s">
        <v>85</v>
      </c>
      <c r="ME12" t="s">
        <v>85</v>
      </c>
      <c r="MF12" t="s">
        <v>85</v>
      </c>
      <c r="MG12" t="s">
        <v>85</v>
      </c>
      <c r="MH12" t="s">
        <v>85</v>
      </c>
      <c r="MI12" t="s">
        <v>85</v>
      </c>
      <c r="MJ12" t="s">
        <v>85</v>
      </c>
      <c r="MK12" t="s">
        <v>85</v>
      </c>
      <c r="ML12" t="s">
        <v>85</v>
      </c>
      <c r="MM12" t="s">
        <v>85</v>
      </c>
      <c r="MN12" t="s">
        <v>85</v>
      </c>
      <c r="MO12" t="s">
        <v>85</v>
      </c>
      <c r="MP12" t="s">
        <v>85</v>
      </c>
      <c r="MQ12" t="s">
        <v>85</v>
      </c>
      <c r="MR12" t="s">
        <v>85</v>
      </c>
      <c r="MS12" t="s">
        <v>85</v>
      </c>
      <c r="MT12" t="s">
        <v>85</v>
      </c>
      <c r="MU12" t="s">
        <v>85</v>
      </c>
      <c r="MV12" t="s">
        <v>85</v>
      </c>
      <c r="MW12" t="s">
        <v>85</v>
      </c>
      <c r="MX12" t="s">
        <v>85</v>
      </c>
      <c r="MY12" t="s">
        <v>85</v>
      </c>
      <c r="MZ12" t="s">
        <v>85</v>
      </c>
      <c r="NA12">
        <v>7</v>
      </c>
      <c r="NB12">
        <v>-1</v>
      </c>
      <c r="NC12">
        <v>-1</v>
      </c>
      <c r="ND12">
        <v>-1</v>
      </c>
      <c r="NE12">
        <v>-1</v>
      </c>
      <c r="NF12">
        <v>26</v>
      </c>
      <c r="NG12">
        <v>6</v>
      </c>
      <c r="NH12">
        <v>6</v>
      </c>
      <c r="NI12">
        <v>6</v>
      </c>
      <c r="NJ12">
        <v>0</v>
      </c>
      <c r="NK12">
        <v>73</v>
      </c>
      <c r="NL12">
        <v>7</v>
      </c>
      <c r="NM12">
        <v>7</v>
      </c>
      <c r="NN12">
        <v>7</v>
      </c>
      <c r="NO12">
        <v>0</v>
      </c>
      <c r="NP12">
        <v>26</v>
      </c>
      <c r="NQ12">
        <v>5</v>
      </c>
      <c r="NR12">
        <v>5</v>
      </c>
      <c r="NS12">
        <v>5</v>
      </c>
      <c r="NT12">
        <v>0</v>
      </c>
      <c r="NU12">
        <v>54</v>
      </c>
      <c r="NV12">
        <v>6</v>
      </c>
      <c r="NW12">
        <v>6</v>
      </c>
      <c r="NX12">
        <v>6</v>
      </c>
      <c r="NY12">
        <v>1</v>
      </c>
      <c r="NZ12">
        <v>0</v>
      </c>
      <c r="OA12">
        <v>7</v>
      </c>
      <c r="OB12">
        <v>11</v>
      </c>
      <c r="OC12">
        <v>10</v>
      </c>
      <c r="OD12">
        <v>10</v>
      </c>
      <c r="OE12">
        <v>1</v>
      </c>
      <c r="OF12">
        <v>91</v>
      </c>
      <c r="OG12">
        <v>12</v>
      </c>
      <c r="OH12">
        <v>12</v>
      </c>
      <c r="OI12">
        <v>12</v>
      </c>
      <c r="OJ12">
        <v>1</v>
      </c>
      <c r="OK12">
        <v>108</v>
      </c>
      <c r="OL12">
        <v>1</v>
      </c>
      <c r="OM12">
        <v>1</v>
      </c>
      <c r="ON12">
        <v>1</v>
      </c>
      <c r="OO12">
        <v>1</v>
      </c>
      <c r="OP12">
        <v>47</v>
      </c>
      <c r="OQ12" t="s">
        <v>85</v>
      </c>
      <c r="OR12" t="s">
        <v>85</v>
      </c>
      <c r="OS12" t="s">
        <v>85</v>
      </c>
      <c r="OT12" t="s">
        <v>85</v>
      </c>
      <c r="OU12" t="s">
        <v>85</v>
      </c>
      <c r="OV12" t="s">
        <v>85</v>
      </c>
      <c r="OW12" t="s">
        <v>85</v>
      </c>
      <c r="OX12" t="s">
        <v>85</v>
      </c>
      <c r="OY12" t="s">
        <v>85</v>
      </c>
      <c r="OZ12" t="s">
        <v>85</v>
      </c>
      <c r="PA12">
        <v>7</v>
      </c>
      <c r="PB12">
        <v>21</v>
      </c>
      <c r="PC12">
        <v>22</v>
      </c>
      <c r="PD12">
        <v>22</v>
      </c>
      <c r="PE12">
        <v>0</v>
      </c>
      <c r="PF12">
        <v>809</v>
      </c>
      <c r="PG12">
        <v>14</v>
      </c>
      <c r="PH12">
        <v>12</v>
      </c>
      <c r="PI12">
        <v>12</v>
      </c>
      <c r="PJ12">
        <v>0</v>
      </c>
      <c r="PK12">
        <v>230</v>
      </c>
      <c r="PL12">
        <v>8</v>
      </c>
      <c r="PM12">
        <v>9</v>
      </c>
      <c r="PN12">
        <v>8</v>
      </c>
      <c r="PO12">
        <v>0</v>
      </c>
      <c r="PP12">
        <v>15</v>
      </c>
      <c r="PQ12">
        <v>23</v>
      </c>
      <c r="PR12">
        <v>26</v>
      </c>
      <c r="PS12">
        <v>23</v>
      </c>
      <c r="PT12">
        <v>2</v>
      </c>
      <c r="PU12">
        <v>985</v>
      </c>
      <c r="PV12">
        <v>39</v>
      </c>
      <c r="PW12">
        <v>41</v>
      </c>
      <c r="PX12">
        <v>40</v>
      </c>
      <c r="PY12">
        <v>0</v>
      </c>
      <c r="PZ12">
        <v>1624</v>
      </c>
      <c r="QA12">
        <v>7</v>
      </c>
      <c r="QB12" t="s">
        <v>85</v>
      </c>
      <c r="QC12" t="s">
        <v>85</v>
      </c>
      <c r="QD12" t="s">
        <v>85</v>
      </c>
      <c r="QE12" t="s">
        <v>85</v>
      </c>
      <c r="QF12">
        <v>0</v>
      </c>
      <c r="QG12">
        <v>2</v>
      </c>
      <c r="QH12">
        <v>2</v>
      </c>
      <c r="QI12">
        <v>2</v>
      </c>
      <c r="QJ12">
        <v>0</v>
      </c>
      <c r="QK12">
        <v>59</v>
      </c>
      <c r="QL12" t="s">
        <v>85</v>
      </c>
      <c r="QM12" t="s">
        <v>85</v>
      </c>
      <c r="QN12" t="s">
        <v>85</v>
      </c>
      <c r="QO12" t="s">
        <v>85</v>
      </c>
      <c r="QP12" t="s">
        <v>85</v>
      </c>
      <c r="QQ12" t="s">
        <v>85</v>
      </c>
      <c r="QR12" t="s">
        <v>85</v>
      </c>
      <c r="QS12" t="s">
        <v>85</v>
      </c>
      <c r="QT12" t="s">
        <v>85</v>
      </c>
      <c r="QU12" t="s">
        <v>85</v>
      </c>
      <c r="QV12" t="s">
        <v>85</v>
      </c>
      <c r="QW12" t="s">
        <v>85</v>
      </c>
      <c r="QX12" t="s">
        <v>85</v>
      </c>
      <c r="QY12" t="s">
        <v>85</v>
      </c>
      <c r="QZ12" t="s">
        <v>85</v>
      </c>
      <c r="RA12">
        <v>7</v>
      </c>
      <c r="RB12">
        <v>126</v>
      </c>
      <c r="RC12">
        <v>127</v>
      </c>
      <c r="RD12">
        <v>127</v>
      </c>
      <c r="RE12">
        <v>0</v>
      </c>
      <c r="RF12">
        <v>4681</v>
      </c>
      <c r="RG12">
        <v>9</v>
      </c>
      <c r="RH12">
        <v>9</v>
      </c>
      <c r="RI12">
        <v>8</v>
      </c>
      <c r="RJ12">
        <v>0</v>
      </c>
      <c r="RK12">
        <v>221</v>
      </c>
      <c r="RL12">
        <v>8</v>
      </c>
      <c r="RM12">
        <v>8</v>
      </c>
      <c r="RN12">
        <v>8</v>
      </c>
      <c r="RO12">
        <v>0</v>
      </c>
      <c r="RP12">
        <v>195</v>
      </c>
      <c r="RQ12">
        <v>0</v>
      </c>
      <c r="RR12">
        <v>0</v>
      </c>
      <c r="RS12">
        <v>0</v>
      </c>
      <c r="RT12">
        <v>0</v>
      </c>
      <c r="RU12">
        <v>0</v>
      </c>
      <c r="RV12">
        <v>0</v>
      </c>
      <c r="RW12">
        <v>0</v>
      </c>
      <c r="RX12">
        <v>0</v>
      </c>
      <c r="RY12">
        <v>0</v>
      </c>
      <c r="RZ12">
        <v>0</v>
      </c>
      <c r="SA12">
        <v>7</v>
      </c>
      <c r="SB12">
        <v>0</v>
      </c>
      <c r="SC12">
        <v>0</v>
      </c>
      <c r="SD12">
        <v>0</v>
      </c>
      <c r="SE12">
        <v>0</v>
      </c>
      <c r="SF12">
        <v>0</v>
      </c>
      <c r="SG12" t="s">
        <v>85</v>
      </c>
      <c r="SH12" t="s">
        <v>85</v>
      </c>
      <c r="SI12" t="s">
        <v>85</v>
      </c>
      <c r="SJ12" t="s">
        <v>85</v>
      </c>
      <c r="SK12" t="s">
        <v>85</v>
      </c>
      <c r="SL12" t="s">
        <v>85</v>
      </c>
      <c r="SM12" t="s">
        <v>85</v>
      </c>
      <c r="SN12" t="s">
        <v>85</v>
      </c>
      <c r="SO12" t="s">
        <v>85</v>
      </c>
      <c r="SP12" t="s">
        <v>85</v>
      </c>
      <c r="SQ12" t="s">
        <v>85</v>
      </c>
      <c r="SR12" t="s">
        <v>85</v>
      </c>
      <c r="SS12" t="s">
        <v>85</v>
      </c>
      <c r="ST12" t="s">
        <v>85</v>
      </c>
      <c r="SU12" t="s">
        <v>85</v>
      </c>
      <c r="SV12" t="s">
        <v>85</v>
      </c>
      <c r="SW12" t="s">
        <v>85</v>
      </c>
      <c r="SX12" t="s">
        <v>85</v>
      </c>
      <c r="SY12" t="s">
        <v>85</v>
      </c>
      <c r="SZ12" t="s">
        <v>85</v>
      </c>
      <c r="TA12">
        <v>7</v>
      </c>
      <c r="TB12">
        <v>37</v>
      </c>
      <c r="TC12">
        <v>38</v>
      </c>
      <c r="TD12">
        <v>37</v>
      </c>
      <c r="TE12">
        <v>0</v>
      </c>
      <c r="TF12">
        <v>762</v>
      </c>
      <c r="TG12">
        <v>0</v>
      </c>
      <c r="TH12">
        <v>0</v>
      </c>
      <c r="TI12">
        <v>0</v>
      </c>
      <c r="TJ12">
        <v>0</v>
      </c>
      <c r="TK12">
        <v>0</v>
      </c>
      <c r="TL12">
        <v>0</v>
      </c>
      <c r="TM12">
        <v>0</v>
      </c>
      <c r="TN12">
        <v>0</v>
      </c>
      <c r="TO12">
        <v>0</v>
      </c>
      <c r="TP12">
        <v>0</v>
      </c>
      <c r="TQ12">
        <v>22</v>
      </c>
      <c r="TR12">
        <v>22</v>
      </c>
      <c r="TS12">
        <v>24</v>
      </c>
      <c r="TT12">
        <v>0</v>
      </c>
      <c r="TU12">
        <v>1181</v>
      </c>
      <c r="TV12">
        <v>7</v>
      </c>
      <c r="TW12">
        <v>7</v>
      </c>
      <c r="TX12">
        <v>5</v>
      </c>
      <c r="TY12">
        <v>0</v>
      </c>
      <c r="TZ12">
        <v>254</v>
      </c>
      <c r="UA12">
        <v>7</v>
      </c>
      <c r="UB12">
        <v>77</v>
      </c>
      <c r="UC12">
        <v>82</v>
      </c>
      <c r="UD12">
        <v>78</v>
      </c>
      <c r="UE12">
        <v>0</v>
      </c>
      <c r="UF12">
        <v>3106</v>
      </c>
      <c r="UG12" t="s">
        <v>85</v>
      </c>
      <c r="UH12" t="s">
        <v>85</v>
      </c>
      <c r="UI12" t="s">
        <v>85</v>
      </c>
      <c r="UJ12" t="s">
        <v>85</v>
      </c>
      <c r="UK12" t="s">
        <v>85</v>
      </c>
      <c r="UL12" t="s">
        <v>85</v>
      </c>
      <c r="UM12" t="s">
        <v>85</v>
      </c>
      <c r="UN12" t="s">
        <v>85</v>
      </c>
      <c r="UO12" t="s">
        <v>85</v>
      </c>
      <c r="UP12" t="s">
        <v>85</v>
      </c>
      <c r="UQ12" t="s">
        <v>85</v>
      </c>
      <c r="UR12" t="s">
        <v>85</v>
      </c>
      <c r="US12" t="s">
        <v>85</v>
      </c>
      <c r="UT12" t="s">
        <v>85</v>
      </c>
      <c r="UU12" t="s">
        <v>85</v>
      </c>
      <c r="UV12" t="s">
        <v>85</v>
      </c>
      <c r="UW12" t="s">
        <v>85</v>
      </c>
      <c r="UX12" t="s">
        <v>85</v>
      </c>
      <c r="UY12" t="s">
        <v>85</v>
      </c>
      <c r="UZ12" t="s">
        <v>85</v>
      </c>
      <c r="VX12">
        <v>7</v>
      </c>
      <c r="VY12">
        <v>-1</v>
      </c>
      <c r="VZ12">
        <v>-1</v>
      </c>
      <c r="WA12">
        <v>-1</v>
      </c>
      <c r="WB12">
        <v>-1</v>
      </c>
      <c r="WC12">
        <v>26</v>
      </c>
      <c r="WD12">
        <v>6</v>
      </c>
      <c r="WE12">
        <v>6</v>
      </c>
      <c r="WF12">
        <v>6</v>
      </c>
      <c r="WG12">
        <v>0</v>
      </c>
      <c r="WH12">
        <v>73</v>
      </c>
      <c r="WI12">
        <v>7</v>
      </c>
      <c r="WJ12">
        <v>7</v>
      </c>
      <c r="WK12">
        <v>7</v>
      </c>
      <c r="WL12">
        <v>0</v>
      </c>
      <c r="WM12">
        <v>26</v>
      </c>
      <c r="WN12">
        <v>5</v>
      </c>
      <c r="WO12">
        <v>5</v>
      </c>
      <c r="WP12">
        <v>5</v>
      </c>
      <c r="WQ12">
        <v>0</v>
      </c>
      <c r="WR12">
        <v>54</v>
      </c>
      <c r="WS12">
        <v>6</v>
      </c>
      <c r="WT12">
        <v>6</v>
      </c>
      <c r="WU12">
        <v>6</v>
      </c>
      <c r="WV12">
        <v>1</v>
      </c>
      <c r="WW12">
        <v>0</v>
      </c>
      <c r="WX12">
        <v>7</v>
      </c>
      <c r="WY12">
        <v>11</v>
      </c>
      <c r="WZ12">
        <v>10</v>
      </c>
      <c r="XA12">
        <v>10</v>
      </c>
      <c r="XB12">
        <v>1</v>
      </c>
      <c r="XC12">
        <v>91</v>
      </c>
      <c r="XD12">
        <v>12</v>
      </c>
      <c r="XE12">
        <v>12</v>
      </c>
      <c r="XF12">
        <v>12</v>
      </c>
      <c r="XG12">
        <v>1</v>
      </c>
      <c r="XH12">
        <v>108</v>
      </c>
      <c r="XI12">
        <v>1</v>
      </c>
      <c r="XJ12">
        <v>1</v>
      </c>
      <c r="XK12">
        <v>1</v>
      </c>
      <c r="XL12">
        <v>1</v>
      </c>
      <c r="XM12">
        <v>47</v>
      </c>
      <c r="XN12" t="s">
        <v>85</v>
      </c>
      <c r="XO12" t="s">
        <v>85</v>
      </c>
      <c r="XP12" t="s">
        <v>85</v>
      </c>
      <c r="XQ12" t="s">
        <v>85</v>
      </c>
      <c r="XR12" t="s">
        <v>85</v>
      </c>
      <c r="XS12" t="s">
        <v>85</v>
      </c>
      <c r="XT12" t="s">
        <v>85</v>
      </c>
      <c r="XU12" t="s">
        <v>85</v>
      </c>
      <c r="XV12" t="s">
        <v>85</v>
      </c>
      <c r="XW12" t="s">
        <v>85</v>
      </c>
      <c r="XX12">
        <v>7</v>
      </c>
      <c r="XY12">
        <v>21</v>
      </c>
      <c r="XZ12">
        <v>22</v>
      </c>
      <c r="YA12">
        <v>22</v>
      </c>
      <c r="YB12">
        <v>0</v>
      </c>
      <c r="YC12">
        <v>809</v>
      </c>
      <c r="YD12">
        <v>14</v>
      </c>
      <c r="YE12">
        <v>12</v>
      </c>
      <c r="YF12">
        <v>12</v>
      </c>
      <c r="YG12">
        <v>0</v>
      </c>
      <c r="YH12">
        <v>230</v>
      </c>
      <c r="YI12">
        <v>8</v>
      </c>
      <c r="YJ12">
        <v>9</v>
      </c>
      <c r="YK12">
        <v>8</v>
      </c>
      <c r="YL12">
        <v>0</v>
      </c>
      <c r="YM12">
        <v>15</v>
      </c>
      <c r="YN12">
        <v>23</v>
      </c>
      <c r="YO12">
        <v>26</v>
      </c>
      <c r="YP12">
        <v>23</v>
      </c>
      <c r="YQ12">
        <v>2</v>
      </c>
      <c r="YR12">
        <v>985</v>
      </c>
      <c r="YS12">
        <v>39</v>
      </c>
      <c r="YT12">
        <v>41</v>
      </c>
      <c r="YU12">
        <v>40</v>
      </c>
      <c r="YV12">
        <v>0</v>
      </c>
      <c r="YW12">
        <v>1624</v>
      </c>
      <c r="YX12">
        <v>7</v>
      </c>
      <c r="YY12" t="s">
        <v>85</v>
      </c>
      <c r="YZ12" t="s">
        <v>85</v>
      </c>
      <c r="ZA12" t="s">
        <v>85</v>
      </c>
      <c r="ZB12" t="s">
        <v>85</v>
      </c>
      <c r="ZC12">
        <v>0</v>
      </c>
      <c r="ZD12">
        <v>2</v>
      </c>
      <c r="ZE12">
        <v>2</v>
      </c>
      <c r="ZF12">
        <v>2</v>
      </c>
      <c r="ZG12">
        <v>0</v>
      </c>
      <c r="ZH12">
        <v>59</v>
      </c>
      <c r="ZI12" t="s">
        <v>85</v>
      </c>
      <c r="ZJ12" t="s">
        <v>85</v>
      </c>
      <c r="ZK12" t="s">
        <v>85</v>
      </c>
      <c r="ZL12" t="s">
        <v>85</v>
      </c>
      <c r="ZM12" t="s">
        <v>85</v>
      </c>
      <c r="ZN12" t="s">
        <v>85</v>
      </c>
      <c r="ZO12" t="s">
        <v>85</v>
      </c>
      <c r="ZP12" t="s">
        <v>85</v>
      </c>
      <c r="ZQ12" t="s">
        <v>85</v>
      </c>
      <c r="ZR12" t="s">
        <v>85</v>
      </c>
      <c r="ZS12" t="s">
        <v>85</v>
      </c>
      <c r="ZT12" t="s">
        <v>85</v>
      </c>
      <c r="ZU12" t="s">
        <v>85</v>
      </c>
      <c r="ZV12" t="s">
        <v>85</v>
      </c>
      <c r="ZW12" t="s">
        <v>85</v>
      </c>
      <c r="ZX12">
        <v>7</v>
      </c>
      <c r="ZY12">
        <v>7</v>
      </c>
      <c r="ZZ12">
        <v>7</v>
      </c>
      <c r="AAA12">
        <v>77</v>
      </c>
      <c r="AAB12">
        <v>82</v>
      </c>
      <c r="AAC12">
        <v>78</v>
      </c>
      <c r="AAD12">
        <v>0</v>
      </c>
      <c r="AAE12">
        <v>3106</v>
      </c>
      <c r="AAF12" t="s">
        <v>85</v>
      </c>
      <c r="AAG12" t="s">
        <v>85</v>
      </c>
      <c r="AAH12" t="s">
        <v>85</v>
      </c>
      <c r="AAI12" t="s">
        <v>85</v>
      </c>
      <c r="AAJ12" t="s">
        <v>85</v>
      </c>
      <c r="AAK12" t="s">
        <v>85</v>
      </c>
      <c r="AAL12" t="s">
        <v>85</v>
      </c>
      <c r="AAM12" t="s">
        <v>85</v>
      </c>
      <c r="AAN12" t="s">
        <v>85</v>
      </c>
      <c r="AAO12" t="s">
        <v>85</v>
      </c>
      <c r="AAP12" t="s">
        <v>85</v>
      </c>
      <c r="AAQ12" t="s">
        <v>85</v>
      </c>
      <c r="AAR12" t="s">
        <v>85</v>
      </c>
      <c r="AAS12" t="s">
        <v>85</v>
      </c>
      <c r="AAT12" t="s">
        <v>85</v>
      </c>
      <c r="AAU12" t="s">
        <v>85</v>
      </c>
      <c r="AAV12" t="s">
        <v>85</v>
      </c>
      <c r="AAW12" t="s">
        <v>85</v>
      </c>
      <c r="AAX12" t="s">
        <v>85</v>
      </c>
      <c r="AAY12" t="s">
        <v>85</v>
      </c>
    </row>
    <row r="13" spans="1:727">
      <c r="A13" s="483">
        <v>7</v>
      </c>
      <c r="B13" s="503">
        <v>-1</v>
      </c>
      <c r="C13" s="503">
        <v>0</v>
      </c>
      <c r="D13" s="503">
        <v>-1</v>
      </c>
      <c r="E13" s="503">
        <v>-1</v>
      </c>
      <c r="F13" s="503">
        <v>24</v>
      </c>
      <c r="G13" s="593">
        <v>5</v>
      </c>
      <c r="H13" s="593">
        <v>6</v>
      </c>
      <c r="I13" s="593">
        <v>6</v>
      </c>
      <c r="J13" s="593">
        <v>0</v>
      </c>
      <c r="K13" s="593">
        <v>146</v>
      </c>
      <c r="L13" s="502">
        <v>7</v>
      </c>
      <c r="M13" s="502">
        <v>7</v>
      </c>
      <c r="N13" s="502">
        <v>6</v>
      </c>
      <c r="O13" s="502">
        <v>0</v>
      </c>
      <c r="P13" s="502">
        <v>80</v>
      </c>
      <c r="Q13" s="504">
        <v>5</v>
      </c>
      <c r="R13" s="504">
        <v>4</v>
      </c>
      <c r="S13" s="504">
        <v>4</v>
      </c>
      <c r="T13" s="504">
        <v>0</v>
      </c>
      <c r="U13" s="504">
        <v>66</v>
      </c>
      <c r="V13" s="505">
        <v>6</v>
      </c>
      <c r="W13" s="505">
        <v>6</v>
      </c>
      <c r="X13" s="505">
        <v>6</v>
      </c>
      <c r="Y13" s="505">
        <v>1</v>
      </c>
      <c r="Z13" s="505">
        <v>0</v>
      </c>
      <c r="AA13" s="506"/>
      <c r="AB13" s="506"/>
      <c r="AC13" s="506"/>
      <c r="AD13" s="506"/>
      <c r="AE13" s="506"/>
      <c r="AF13" s="506"/>
      <c r="AG13" s="507"/>
      <c r="AH13" s="507"/>
      <c r="AI13" s="507"/>
      <c r="AJ13" s="507"/>
      <c r="AK13" s="507"/>
      <c r="AL13" s="508"/>
      <c r="AM13" s="508"/>
      <c r="AN13" s="508"/>
      <c r="AO13" s="508"/>
      <c r="AP13" s="508"/>
      <c r="AQ13" s="509"/>
      <c r="AR13" s="509"/>
      <c r="AS13" s="509"/>
      <c r="AT13" s="509"/>
      <c r="AU13" s="509"/>
      <c r="AV13" s="483"/>
      <c r="AW13" s="483"/>
      <c r="AX13" s="483"/>
      <c r="AY13" s="483"/>
      <c r="AZ13" s="483"/>
      <c r="BA13" s="483"/>
      <c r="BB13" s="483"/>
      <c r="BC13" s="483"/>
      <c r="BD13" s="483"/>
      <c r="BE13" s="483"/>
      <c r="BF13" s="483"/>
      <c r="BG13" s="483"/>
      <c r="BH13" s="483"/>
      <c r="BI13" s="483"/>
      <c r="BJ13" s="483"/>
      <c r="BK13" s="483"/>
      <c r="BL13" s="483"/>
      <c r="BM13" s="483"/>
      <c r="BN13" s="483"/>
      <c r="BO13" s="483"/>
      <c r="BP13" s="483"/>
      <c r="GA13" t="s">
        <v>85</v>
      </c>
      <c r="GB13">
        <v>8</v>
      </c>
      <c r="GC13">
        <v>91</v>
      </c>
      <c r="GD13">
        <v>72</v>
      </c>
      <c r="GE13">
        <v>57</v>
      </c>
      <c r="GF13">
        <v>38</v>
      </c>
      <c r="GG13">
        <v>1501</v>
      </c>
      <c r="GH13">
        <v>35</v>
      </c>
      <c r="GI13">
        <v>37</v>
      </c>
      <c r="GJ13">
        <v>42</v>
      </c>
      <c r="GK13">
        <v>13</v>
      </c>
      <c r="GL13">
        <v>751</v>
      </c>
      <c r="GM13">
        <v>68</v>
      </c>
      <c r="GN13">
        <v>41</v>
      </c>
      <c r="GO13">
        <v>29</v>
      </c>
      <c r="GP13">
        <v>71</v>
      </c>
      <c r="GQ13">
        <v>363</v>
      </c>
      <c r="GR13">
        <v>11</v>
      </c>
      <c r="GS13">
        <v>6</v>
      </c>
      <c r="GT13">
        <v>9</v>
      </c>
      <c r="GU13">
        <v>13</v>
      </c>
      <c r="GV13">
        <v>189</v>
      </c>
      <c r="GW13">
        <v>6</v>
      </c>
      <c r="GX13">
        <v>4</v>
      </c>
      <c r="GY13">
        <v>8</v>
      </c>
      <c r="GZ13">
        <v>15</v>
      </c>
      <c r="HA13">
        <v>48</v>
      </c>
      <c r="HB13">
        <v>8</v>
      </c>
      <c r="HC13">
        <v>23</v>
      </c>
      <c r="HD13">
        <v>14</v>
      </c>
      <c r="HE13">
        <v>33</v>
      </c>
      <c r="HF13">
        <v>51</v>
      </c>
      <c r="HG13">
        <v>135</v>
      </c>
      <c r="HH13">
        <v>118</v>
      </c>
      <c r="HI13">
        <v>93</v>
      </c>
      <c r="HJ13">
        <v>92</v>
      </c>
      <c r="HK13">
        <v>36</v>
      </c>
      <c r="HL13">
        <v>2105</v>
      </c>
      <c r="HM13">
        <v>144</v>
      </c>
      <c r="HN13">
        <v>130</v>
      </c>
      <c r="HO13">
        <v>151</v>
      </c>
      <c r="HP13">
        <v>34</v>
      </c>
      <c r="HQ13">
        <v>2746</v>
      </c>
      <c r="HR13">
        <v>55</v>
      </c>
      <c r="HS13">
        <v>55</v>
      </c>
      <c r="HT13">
        <v>71</v>
      </c>
      <c r="HU13">
        <v>20</v>
      </c>
      <c r="HV13">
        <v>1112</v>
      </c>
      <c r="HW13">
        <v>13</v>
      </c>
      <c r="HX13">
        <v>18</v>
      </c>
      <c r="HY13">
        <v>25</v>
      </c>
      <c r="HZ13">
        <v>14</v>
      </c>
      <c r="IA13">
        <v>351</v>
      </c>
      <c r="IB13">
        <v>8</v>
      </c>
      <c r="IC13">
        <v>137</v>
      </c>
      <c r="ID13">
        <v>119</v>
      </c>
      <c r="IE13">
        <v>100</v>
      </c>
      <c r="IF13">
        <v>54</v>
      </c>
      <c r="IG13">
        <v>2468</v>
      </c>
      <c r="IH13">
        <v>25</v>
      </c>
      <c r="II13">
        <v>37</v>
      </c>
      <c r="IJ13">
        <v>31</v>
      </c>
      <c r="IK13">
        <v>18</v>
      </c>
      <c r="IL13">
        <v>482</v>
      </c>
      <c r="IM13">
        <v>77</v>
      </c>
      <c r="IN13">
        <v>82</v>
      </c>
      <c r="IO13">
        <v>86</v>
      </c>
      <c r="IP13">
        <v>19</v>
      </c>
      <c r="IQ13">
        <v>1791</v>
      </c>
      <c r="IR13">
        <v>22</v>
      </c>
      <c r="IS13">
        <v>12</v>
      </c>
      <c r="IT13">
        <v>30</v>
      </c>
      <c r="IU13">
        <v>28</v>
      </c>
      <c r="IV13">
        <v>418</v>
      </c>
      <c r="IW13">
        <v>24</v>
      </c>
      <c r="IX13">
        <v>27</v>
      </c>
      <c r="IY13">
        <v>19</v>
      </c>
      <c r="IZ13">
        <v>6</v>
      </c>
      <c r="JA13">
        <v>464</v>
      </c>
      <c r="JB13">
        <v>8</v>
      </c>
      <c r="JC13">
        <v>32</v>
      </c>
      <c r="JD13">
        <v>29</v>
      </c>
      <c r="JE13">
        <v>16</v>
      </c>
      <c r="JF13">
        <v>18</v>
      </c>
      <c r="JG13">
        <v>535</v>
      </c>
      <c r="JH13">
        <v>82</v>
      </c>
      <c r="JI13">
        <v>63</v>
      </c>
      <c r="JJ13">
        <v>55</v>
      </c>
      <c r="JK13">
        <v>44</v>
      </c>
      <c r="JL13">
        <v>1494</v>
      </c>
      <c r="JM13">
        <v>53</v>
      </c>
      <c r="JN13">
        <v>49</v>
      </c>
      <c r="JO13">
        <v>39</v>
      </c>
      <c r="JP13">
        <v>14</v>
      </c>
      <c r="JQ13">
        <v>1239</v>
      </c>
      <c r="JR13">
        <v>107</v>
      </c>
      <c r="JS13">
        <v>101</v>
      </c>
      <c r="JT13">
        <v>114</v>
      </c>
      <c r="JU13">
        <v>35</v>
      </c>
      <c r="JV13">
        <v>2371</v>
      </c>
      <c r="JW13">
        <v>19</v>
      </c>
      <c r="JX13">
        <v>8</v>
      </c>
      <c r="JY13">
        <v>26</v>
      </c>
      <c r="JZ13">
        <v>21</v>
      </c>
      <c r="KA13">
        <v>404</v>
      </c>
      <c r="KB13">
        <v>8</v>
      </c>
      <c r="KC13" t="s">
        <v>85</v>
      </c>
      <c r="KD13" t="s">
        <v>85</v>
      </c>
      <c r="KE13" t="s">
        <v>85</v>
      </c>
      <c r="KF13" t="s">
        <v>85</v>
      </c>
      <c r="KG13" t="s">
        <v>85</v>
      </c>
      <c r="KH13" t="s">
        <v>85</v>
      </c>
      <c r="KI13" t="s">
        <v>85</v>
      </c>
      <c r="KJ13" t="s">
        <v>85</v>
      </c>
      <c r="KK13" t="s">
        <v>85</v>
      </c>
      <c r="KL13" t="s">
        <v>85</v>
      </c>
      <c r="KM13" t="s">
        <v>85</v>
      </c>
      <c r="KN13" t="s">
        <v>85</v>
      </c>
      <c r="KO13" t="s">
        <v>85</v>
      </c>
      <c r="KP13" t="s">
        <v>85</v>
      </c>
      <c r="KQ13" t="s">
        <v>85</v>
      </c>
      <c r="KR13" t="s">
        <v>85</v>
      </c>
      <c r="KS13" t="s">
        <v>85</v>
      </c>
      <c r="KT13" t="s">
        <v>85</v>
      </c>
      <c r="KU13" t="s">
        <v>85</v>
      </c>
      <c r="KV13" t="s">
        <v>85</v>
      </c>
      <c r="KW13" t="s">
        <v>85</v>
      </c>
      <c r="KX13" t="s">
        <v>85</v>
      </c>
      <c r="KY13" t="s">
        <v>85</v>
      </c>
      <c r="KZ13" t="s">
        <v>85</v>
      </c>
      <c r="LA13" t="s">
        <v>85</v>
      </c>
      <c r="LB13">
        <v>8</v>
      </c>
      <c r="LC13" t="s">
        <v>85</v>
      </c>
      <c r="LD13" t="s">
        <v>85</v>
      </c>
      <c r="LE13" t="s">
        <v>85</v>
      </c>
      <c r="LF13" t="s">
        <v>85</v>
      </c>
      <c r="LG13" t="s">
        <v>85</v>
      </c>
      <c r="LH13" t="s">
        <v>85</v>
      </c>
      <c r="LI13" t="s">
        <v>85</v>
      </c>
      <c r="LJ13" t="s">
        <v>85</v>
      </c>
      <c r="LK13" t="s">
        <v>85</v>
      </c>
      <c r="LL13" t="s">
        <v>85</v>
      </c>
      <c r="LM13" t="s">
        <v>85</v>
      </c>
      <c r="LN13" t="s">
        <v>85</v>
      </c>
      <c r="LO13" t="s">
        <v>85</v>
      </c>
      <c r="LP13" t="s">
        <v>85</v>
      </c>
      <c r="LQ13" t="s">
        <v>85</v>
      </c>
      <c r="LR13" t="s">
        <v>85</v>
      </c>
      <c r="LS13" t="s">
        <v>85</v>
      </c>
      <c r="LT13" t="s">
        <v>85</v>
      </c>
      <c r="LU13" t="s">
        <v>85</v>
      </c>
      <c r="LV13" t="s">
        <v>85</v>
      </c>
      <c r="LW13" t="s">
        <v>85</v>
      </c>
      <c r="LX13" t="s">
        <v>85</v>
      </c>
      <c r="LY13" t="s">
        <v>85</v>
      </c>
      <c r="LZ13" t="s">
        <v>85</v>
      </c>
      <c r="MA13" t="s">
        <v>85</v>
      </c>
      <c r="MB13">
        <v>8</v>
      </c>
      <c r="MC13" t="s">
        <v>85</v>
      </c>
      <c r="MD13" t="s">
        <v>85</v>
      </c>
      <c r="ME13" t="s">
        <v>85</v>
      </c>
      <c r="MF13" t="s">
        <v>85</v>
      </c>
      <c r="MG13" t="s">
        <v>85</v>
      </c>
      <c r="MH13" t="s">
        <v>85</v>
      </c>
      <c r="MI13" t="s">
        <v>85</v>
      </c>
      <c r="MJ13" t="s">
        <v>85</v>
      </c>
      <c r="MK13" t="s">
        <v>85</v>
      </c>
      <c r="ML13" t="s">
        <v>85</v>
      </c>
      <c r="MM13" t="s">
        <v>85</v>
      </c>
      <c r="MN13" t="s">
        <v>85</v>
      </c>
      <c r="MO13" t="s">
        <v>85</v>
      </c>
      <c r="MP13" t="s">
        <v>85</v>
      </c>
      <c r="MQ13" t="s">
        <v>85</v>
      </c>
      <c r="MR13" t="s">
        <v>85</v>
      </c>
      <c r="MS13" t="s">
        <v>85</v>
      </c>
      <c r="MT13" t="s">
        <v>85</v>
      </c>
      <c r="MU13" t="s">
        <v>85</v>
      </c>
      <c r="MV13" t="s">
        <v>85</v>
      </c>
      <c r="MW13" t="s">
        <v>85</v>
      </c>
      <c r="MX13" t="s">
        <v>85</v>
      </c>
      <c r="MY13" t="s">
        <v>85</v>
      </c>
      <c r="MZ13" t="s">
        <v>85</v>
      </c>
      <c r="NA13">
        <v>8</v>
      </c>
      <c r="NB13">
        <v>0</v>
      </c>
      <c r="NC13">
        <v>-1</v>
      </c>
      <c r="ND13">
        <v>-1</v>
      </c>
      <c r="NE13">
        <v>-1</v>
      </c>
      <c r="NF13">
        <v>25</v>
      </c>
      <c r="NG13">
        <v>6</v>
      </c>
      <c r="NH13">
        <v>6</v>
      </c>
      <c r="NI13">
        <v>6</v>
      </c>
      <c r="NJ13">
        <v>0</v>
      </c>
      <c r="NK13">
        <v>76</v>
      </c>
      <c r="NL13">
        <v>7</v>
      </c>
      <c r="NM13">
        <v>7</v>
      </c>
      <c r="NN13">
        <v>7</v>
      </c>
      <c r="NO13">
        <v>0</v>
      </c>
      <c r="NP13">
        <v>31</v>
      </c>
      <c r="NQ13">
        <v>5</v>
      </c>
      <c r="NR13">
        <v>5</v>
      </c>
      <c r="NS13">
        <v>4</v>
      </c>
      <c r="NT13">
        <v>0</v>
      </c>
      <c r="NU13">
        <v>55</v>
      </c>
      <c r="NV13">
        <v>6</v>
      </c>
      <c r="NW13">
        <v>6</v>
      </c>
      <c r="NX13">
        <v>5</v>
      </c>
      <c r="NY13">
        <v>1</v>
      </c>
      <c r="NZ13">
        <v>0</v>
      </c>
      <c r="OA13">
        <v>8</v>
      </c>
      <c r="OB13">
        <v>10</v>
      </c>
      <c r="OC13">
        <v>10</v>
      </c>
      <c r="OD13">
        <v>10</v>
      </c>
      <c r="OE13">
        <v>1</v>
      </c>
      <c r="OF13">
        <v>103</v>
      </c>
      <c r="OG13">
        <v>12</v>
      </c>
      <c r="OH13">
        <v>12</v>
      </c>
      <c r="OI13">
        <v>12</v>
      </c>
      <c r="OJ13">
        <v>1</v>
      </c>
      <c r="OK13">
        <v>116</v>
      </c>
      <c r="OL13">
        <v>1</v>
      </c>
      <c r="OM13">
        <v>1</v>
      </c>
      <c r="ON13">
        <v>1</v>
      </c>
      <c r="OO13">
        <v>1</v>
      </c>
      <c r="OP13">
        <v>47</v>
      </c>
      <c r="OQ13" t="s">
        <v>85</v>
      </c>
      <c r="OR13" t="s">
        <v>85</v>
      </c>
      <c r="OS13" t="s">
        <v>85</v>
      </c>
      <c r="OT13" t="s">
        <v>85</v>
      </c>
      <c r="OU13" t="s">
        <v>85</v>
      </c>
      <c r="OV13" t="s">
        <v>85</v>
      </c>
      <c r="OW13" t="s">
        <v>85</v>
      </c>
      <c r="OX13" t="s">
        <v>85</v>
      </c>
      <c r="OY13" t="s">
        <v>85</v>
      </c>
      <c r="OZ13" t="s">
        <v>85</v>
      </c>
      <c r="PA13">
        <v>8</v>
      </c>
      <c r="PB13">
        <v>22</v>
      </c>
      <c r="PC13">
        <v>23</v>
      </c>
      <c r="PD13">
        <v>23</v>
      </c>
      <c r="PE13">
        <v>0</v>
      </c>
      <c r="PF13">
        <v>819</v>
      </c>
      <c r="PG13">
        <v>11</v>
      </c>
      <c r="PH13">
        <v>9</v>
      </c>
      <c r="PI13">
        <v>9</v>
      </c>
      <c r="PJ13">
        <v>0</v>
      </c>
      <c r="PK13">
        <v>500</v>
      </c>
      <c r="PL13">
        <v>6</v>
      </c>
      <c r="PM13">
        <v>7</v>
      </c>
      <c r="PN13">
        <v>7</v>
      </c>
      <c r="PO13">
        <v>0</v>
      </c>
      <c r="PP13">
        <v>179</v>
      </c>
      <c r="PQ13">
        <v>24</v>
      </c>
      <c r="PR13">
        <v>25</v>
      </c>
      <c r="PS13">
        <v>23</v>
      </c>
      <c r="PT13">
        <v>1</v>
      </c>
      <c r="PU13">
        <v>732</v>
      </c>
      <c r="PV13">
        <v>37</v>
      </c>
      <c r="PW13">
        <v>40</v>
      </c>
      <c r="PX13">
        <v>36</v>
      </c>
      <c r="PY13">
        <v>0</v>
      </c>
      <c r="PZ13">
        <v>1495</v>
      </c>
      <c r="QA13">
        <v>8</v>
      </c>
      <c r="QB13" t="s">
        <v>85</v>
      </c>
      <c r="QC13" t="s">
        <v>85</v>
      </c>
      <c r="QD13" t="s">
        <v>85</v>
      </c>
      <c r="QE13" t="s">
        <v>85</v>
      </c>
      <c r="QF13">
        <v>0</v>
      </c>
      <c r="QG13">
        <v>2</v>
      </c>
      <c r="QH13">
        <v>2</v>
      </c>
      <c r="QI13">
        <v>2</v>
      </c>
      <c r="QJ13">
        <v>0</v>
      </c>
      <c r="QK13">
        <v>59</v>
      </c>
      <c r="QL13" t="s">
        <v>85</v>
      </c>
      <c r="QM13" t="s">
        <v>85</v>
      </c>
      <c r="QN13" t="s">
        <v>85</v>
      </c>
      <c r="QO13" t="s">
        <v>85</v>
      </c>
      <c r="QP13" t="s">
        <v>85</v>
      </c>
      <c r="QQ13" t="s">
        <v>85</v>
      </c>
      <c r="QR13" t="s">
        <v>85</v>
      </c>
      <c r="QS13" t="s">
        <v>85</v>
      </c>
      <c r="QT13" t="s">
        <v>85</v>
      </c>
      <c r="QU13" t="s">
        <v>85</v>
      </c>
      <c r="QV13" t="s">
        <v>85</v>
      </c>
      <c r="QW13" t="s">
        <v>85</v>
      </c>
      <c r="QX13" t="s">
        <v>85</v>
      </c>
      <c r="QY13" t="s">
        <v>85</v>
      </c>
      <c r="QZ13" t="s">
        <v>85</v>
      </c>
      <c r="RA13">
        <v>8</v>
      </c>
      <c r="RB13">
        <v>126</v>
      </c>
      <c r="RC13">
        <v>129</v>
      </c>
      <c r="RD13">
        <v>127</v>
      </c>
      <c r="RE13">
        <v>0</v>
      </c>
      <c r="RF13">
        <v>4417</v>
      </c>
      <c r="RG13">
        <v>9</v>
      </c>
      <c r="RH13">
        <v>9</v>
      </c>
      <c r="RI13">
        <v>9</v>
      </c>
      <c r="RJ13">
        <v>0</v>
      </c>
      <c r="RK13">
        <v>346</v>
      </c>
      <c r="RL13">
        <v>11</v>
      </c>
      <c r="RM13">
        <v>11</v>
      </c>
      <c r="RN13">
        <v>11</v>
      </c>
      <c r="RO13">
        <v>0</v>
      </c>
      <c r="RP13">
        <v>308</v>
      </c>
      <c r="RQ13">
        <v>0</v>
      </c>
      <c r="RR13">
        <v>0</v>
      </c>
      <c r="RS13">
        <v>0</v>
      </c>
      <c r="RT13">
        <v>0</v>
      </c>
      <c r="RU13">
        <v>0</v>
      </c>
      <c r="RV13">
        <v>0</v>
      </c>
      <c r="RW13">
        <v>0</v>
      </c>
      <c r="RX13">
        <v>0</v>
      </c>
      <c r="RY13">
        <v>0</v>
      </c>
      <c r="RZ13">
        <v>0</v>
      </c>
      <c r="SA13">
        <v>8</v>
      </c>
      <c r="SB13">
        <v>0</v>
      </c>
      <c r="SC13">
        <v>0</v>
      </c>
      <c r="SD13">
        <v>0</v>
      </c>
      <c r="SE13">
        <v>0</v>
      </c>
      <c r="SF13">
        <v>0</v>
      </c>
      <c r="SG13" t="s">
        <v>85</v>
      </c>
      <c r="SH13" t="s">
        <v>85</v>
      </c>
      <c r="SI13" t="s">
        <v>85</v>
      </c>
      <c r="SJ13" t="s">
        <v>85</v>
      </c>
      <c r="SK13" t="s">
        <v>85</v>
      </c>
      <c r="SL13" t="s">
        <v>85</v>
      </c>
      <c r="SM13" t="s">
        <v>85</v>
      </c>
      <c r="SN13" t="s">
        <v>85</v>
      </c>
      <c r="SO13" t="s">
        <v>85</v>
      </c>
      <c r="SP13" t="s">
        <v>85</v>
      </c>
      <c r="SQ13" t="s">
        <v>85</v>
      </c>
      <c r="SR13" t="s">
        <v>85</v>
      </c>
      <c r="SS13" t="s">
        <v>85</v>
      </c>
      <c r="ST13" t="s">
        <v>85</v>
      </c>
      <c r="SU13" t="s">
        <v>85</v>
      </c>
      <c r="SV13" t="s">
        <v>85</v>
      </c>
      <c r="SW13" t="s">
        <v>85</v>
      </c>
      <c r="SX13" t="s">
        <v>85</v>
      </c>
      <c r="SY13" t="s">
        <v>85</v>
      </c>
      <c r="SZ13" t="s">
        <v>85</v>
      </c>
      <c r="TA13">
        <v>8</v>
      </c>
      <c r="TB13">
        <v>29</v>
      </c>
      <c r="TC13">
        <v>29</v>
      </c>
      <c r="TD13">
        <v>29</v>
      </c>
      <c r="TE13">
        <v>0</v>
      </c>
      <c r="TF13">
        <v>1408</v>
      </c>
      <c r="TG13">
        <v>0</v>
      </c>
      <c r="TH13">
        <v>0</v>
      </c>
      <c r="TI13">
        <v>0</v>
      </c>
      <c r="TJ13">
        <v>0</v>
      </c>
      <c r="TK13">
        <v>0</v>
      </c>
      <c r="TL13">
        <v>0</v>
      </c>
      <c r="TM13">
        <v>0</v>
      </c>
      <c r="TN13">
        <v>0</v>
      </c>
      <c r="TO13">
        <v>0</v>
      </c>
      <c r="TP13">
        <v>0</v>
      </c>
      <c r="TQ13">
        <v>21</v>
      </c>
      <c r="TR13">
        <v>22</v>
      </c>
      <c r="TS13">
        <v>23</v>
      </c>
      <c r="TT13">
        <v>0</v>
      </c>
      <c r="TU13">
        <v>1099</v>
      </c>
      <c r="TV13">
        <v>7</v>
      </c>
      <c r="TW13">
        <v>7</v>
      </c>
      <c r="TX13">
        <v>5</v>
      </c>
      <c r="TY13">
        <v>0</v>
      </c>
      <c r="TZ13">
        <v>257</v>
      </c>
      <c r="UA13">
        <v>8</v>
      </c>
      <c r="UB13">
        <v>71</v>
      </c>
      <c r="UC13">
        <v>75</v>
      </c>
      <c r="UD13">
        <v>72</v>
      </c>
      <c r="UE13">
        <v>0</v>
      </c>
      <c r="UF13">
        <v>2940</v>
      </c>
      <c r="UG13" t="s">
        <v>85</v>
      </c>
      <c r="UH13" t="s">
        <v>85</v>
      </c>
      <c r="UI13" t="s">
        <v>85</v>
      </c>
      <c r="UJ13" t="s">
        <v>85</v>
      </c>
      <c r="UK13" t="s">
        <v>85</v>
      </c>
      <c r="UL13" t="s">
        <v>85</v>
      </c>
      <c r="UM13" t="s">
        <v>85</v>
      </c>
      <c r="UN13" t="s">
        <v>85</v>
      </c>
      <c r="UO13" t="s">
        <v>85</v>
      </c>
      <c r="UP13" t="s">
        <v>85</v>
      </c>
      <c r="UQ13" t="s">
        <v>85</v>
      </c>
      <c r="UR13" t="s">
        <v>85</v>
      </c>
      <c r="US13" t="s">
        <v>85</v>
      </c>
      <c r="UT13" t="s">
        <v>85</v>
      </c>
      <c r="UU13" t="s">
        <v>85</v>
      </c>
      <c r="UV13" t="s">
        <v>85</v>
      </c>
      <c r="UW13" t="s">
        <v>85</v>
      </c>
      <c r="UX13" t="s">
        <v>85</v>
      </c>
      <c r="UY13" t="s">
        <v>85</v>
      </c>
      <c r="UZ13" t="s">
        <v>85</v>
      </c>
      <c r="VX13">
        <v>8</v>
      </c>
      <c r="VY13">
        <v>0</v>
      </c>
      <c r="VZ13">
        <v>-1</v>
      </c>
      <c r="WA13">
        <v>-1</v>
      </c>
      <c r="WB13">
        <v>-1</v>
      </c>
      <c r="WC13">
        <v>25</v>
      </c>
      <c r="WD13">
        <v>6</v>
      </c>
      <c r="WE13">
        <v>6</v>
      </c>
      <c r="WF13">
        <v>6</v>
      </c>
      <c r="WG13">
        <v>0</v>
      </c>
      <c r="WH13">
        <v>76</v>
      </c>
      <c r="WI13">
        <v>7</v>
      </c>
      <c r="WJ13">
        <v>7</v>
      </c>
      <c r="WK13">
        <v>7</v>
      </c>
      <c r="WL13">
        <v>0</v>
      </c>
      <c r="WM13">
        <v>31</v>
      </c>
      <c r="WN13">
        <v>5</v>
      </c>
      <c r="WO13">
        <v>5</v>
      </c>
      <c r="WP13">
        <v>4</v>
      </c>
      <c r="WQ13">
        <v>0</v>
      </c>
      <c r="WR13">
        <v>55</v>
      </c>
      <c r="WS13">
        <v>6</v>
      </c>
      <c r="WT13">
        <v>6</v>
      </c>
      <c r="WU13">
        <v>5</v>
      </c>
      <c r="WV13">
        <v>1</v>
      </c>
      <c r="WW13">
        <v>0</v>
      </c>
      <c r="WX13">
        <v>8</v>
      </c>
      <c r="WY13">
        <v>10</v>
      </c>
      <c r="WZ13">
        <v>10</v>
      </c>
      <c r="XA13">
        <v>10</v>
      </c>
      <c r="XB13">
        <v>1</v>
      </c>
      <c r="XC13">
        <v>103</v>
      </c>
      <c r="XD13">
        <v>12</v>
      </c>
      <c r="XE13">
        <v>12</v>
      </c>
      <c r="XF13">
        <v>12</v>
      </c>
      <c r="XG13">
        <v>1</v>
      </c>
      <c r="XH13">
        <v>116</v>
      </c>
      <c r="XI13">
        <v>1</v>
      </c>
      <c r="XJ13">
        <v>1</v>
      </c>
      <c r="XK13">
        <v>1</v>
      </c>
      <c r="XL13">
        <v>1</v>
      </c>
      <c r="XM13">
        <v>47</v>
      </c>
      <c r="XN13" t="s">
        <v>85</v>
      </c>
      <c r="XO13" t="s">
        <v>85</v>
      </c>
      <c r="XP13" t="s">
        <v>85</v>
      </c>
      <c r="XQ13" t="s">
        <v>85</v>
      </c>
      <c r="XR13" t="s">
        <v>85</v>
      </c>
      <c r="XS13" t="s">
        <v>85</v>
      </c>
      <c r="XT13" t="s">
        <v>85</v>
      </c>
      <c r="XU13" t="s">
        <v>85</v>
      </c>
      <c r="XV13" t="s">
        <v>85</v>
      </c>
      <c r="XW13" t="s">
        <v>85</v>
      </c>
      <c r="XX13">
        <v>8</v>
      </c>
      <c r="XY13">
        <v>22</v>
      </c>
      <c r="XZ13">
        <v>23</v>
      </c>
      <c r="YA13">
        <v>23</v>
      </c>
      <c r="YB13">
        <v>0</v>
      </c>
      <c r="YC13">
        <v>819</v>
      </c>
      <c r="YD13">
        <v>11</v>
      </c>
      <c r="YE13">
        <v>9</v>
      </c>
      <c r="YF13">
        <v>9</v>
      </c>
      <c r="YG13">
        <v>0</v>
      </c>
      <c r="YH13">
        <v>500</v>
      </c>
      <c r="YI13">
        <v>6</v>
      </c>
      <c r="YJ13">
        <v>7</v>
      </c>
      <c r="YK13">
        <v>7</v>
      </c>
      <c r="YL13">
        <v>0</v>
      </c>
      <c r="YM13">
        <v>179</v>
      </c>
      <c r="YN13">
        <v>24</v>
      </c>
      <c r="YO13">
        <v>25</v>
      </c>
      <c r="YP13">
        <v>23</v>
      </c>
      <c r="YQ13">
        <v>1</v>
      </c>
      <c r="YR13">
        <v>732</v>
      </c>
      <c r="YS13">
        <v>37</v>
      </c>
      <c r="YT13">
        <v>40</v>
      </c>
      <c r="YU13">
        <v>36</v>
      </c>
      <c r="YV13">
        <v>0</v>
      </c>
      <c r="YW13">
        <v>1495</v>
      </c>
      <c r="YX13">
        <v>8</v>
      </c>
      <c r="YY13" t="s">
        <v>85</v>
      </c>
      <c r="YZ13" t="s">
        <v>85</v>
      </c>
      <c r="ZA13" t="s">
        <v>85</v>
      </c>
      <c r="ZB13" t="s">
        <v>85</v>
      </c>
      <c r="ZC13">
        <v>0</v>
      </c>
      <c r="ZD13">
        <v>2</v>
      </c>
      <c r="ZE13">
        <v>2</v>
      </c>
      <c r="ZF13">
        <v>2</v>
      </c>
      <c r="ZG13">
        <v>0</v>
      </c>
      <c r="ZH13">
        <v>59</v>
      </c>
      <c r="ZI13" t="s">
        <v>85</v>
      </c>
      <c r="ZJ13" t="s">
        <v>85</v>
      </c>
      <c r="ZK13" t="s">
        <v>85</v>
      </c>
      <c r="ZL13" t="s">
        <v>85</v>
      </c>
      <c r="ZM13" t="s">
        <v>85</v>
      </c>
      <c r="ZN13" t="s">
        <v>85</v>
      </c>
      <c r="ZO13" t="s">
        <v>85</v>
      </c>
      <c r="ZP13" t="s">
        <v>85</v>
      </c>
      <c r="ZQ13" t="s">
        <v>85</v>
      </c>
      <c r="ZR13" t="s">
        <v>85</v>
      </c>
      <c r="ZS13" t="s">
        <v>85</v>
      </c>
      <c r="ZT13" t="s">
        <v>85</v>
      </c>
      <c r="ZU13" t="s">
        <v>85</v>
      </c>
      <c r="ZV13" t="s">
        <v>85</v>
      </c>
      <c r="ZW13" t="s">
        <v>85</v>
      </c>
      <c r="ZX13">
        <v>8</v>
      </c>
      <c r="ZY13">
        <v>8</v>
      </c>
      <c r="ZZ13">
        <v>8</v>
      </c>
      <c r="AAA13">
        <v>71</v>
      </c>
      <c r="AAB13">
        <v>75</v>
      </c>
      <c r="AAC13">
        <v>72</v>
      </c>
      <c r="AAD13">
        <v>0</v>
      </c>
      <c r="AAE13">
        <v>2940</v>
      </c>
      <c r="AAF13" t="s">
        <v>85</v>
      </c>
      <c r="AAG13" t="s">
        <v>85</v>
      </c>
      <c r="AAH13" t="s">
        <v>85</v>
      </c>
      <c r="AAI13" t="s">
        <v>85</v>
      </c>
      <c r="AAJ13" t="s">
        <v>85</v>
      </c>
      <c r="AAK13" t="s">
        <v>85</v>
      </c>
      <c r="AAL13" t="s">
        <v>85</v>
      </c>
      <c r="AAM13" t="s">
        <v>85</v>
      </c>
      <c r="AAN13" t="s">
        <v>85</v>
      </c>
      <c r="AAO13" t="s">
        <v>85</v>
      </c>
      <c r="AAP13" t="s">
        <v>85</v>
      </c>
      <c r="AAQ13" t="s">
        <v>85</v>
      </c>
      <c r="AAR13" t="s">
        <v>85</v>
      </c>
      <c r="AAS13" t="s">
        <v>85</v>
      </c>
      <c r="AAT13" t="s">
        <v>85</v>
      </c>
      <c r="AAU13" t="s">
        <v>85</v>
      </c>
      <c r="AAV13" t="s">
        <v>85</v>
      </c>
      <c r="AAW13" t="s">
        <v>85</v>
      </c>
      <c r="AAX13" t="s">
        <v>85</v>
      </c>
      <c r="AAY13" t="s">
        <v>85</v>
      </c>
    </row>
    <row r="14" spans="1:727">
      <c r="A14" s="483">
        <v>8</v>
      </c>
      <c r="B14" s="503">
        <v>-1</v>
      </c>
      <c r="C14" s="503">
        <v>0</v>
      </c>
      <c r="D14" s="503">
        <v>-1</v>
      </c>
      <c r="E14" s="503">
        <v>-1</v>
      </c>
      <c r="F14" s="503">
        <v>22</v>
      </c>
      <c r="G14" s="593">
        <v>6</v>
      </c>
      <c r="H14" s="593">
        <v>6</v>
      </c>
      <c r="I14" s="593">
        <v>6</v>
      </c>
      <c r="J14" s="593">
        <v>0</v>
      </c>
      <c r="K14" s="593">
        <v>85</v>
      </c>
      <c r="L14" s="502">
        <v>7</v>
      </c>
      <c r="M14" s="502">
        <v>7</v>
      </c>
      <c r="N14" s="502">
        <v>7</v>
      </c>
      <c r="O14" s="502">
        <v>0</v>
      </c>
      <c r="P14" s="502">
        <v>64</v>
      </c>
      <c r="Q14" s="504">
        <v>5</v>
      </c>
      <c r="R14" s="504">
        <v>4</v>
      </c>
      <c r="S14" s="504">
        <v>4</v>
      </c>
      <c r="T14" s="504">
        <v>0</v>
      </c>
      <c r="U14" s="504">
        <v>61</v>
      </c>
      <c r="V14" s="505">
        <v>6</v>
      </c>
      <c r="W14" s="505">
        <v>6</v>
      </c>
      <c r="X14" s="505">
        <v>6</v>
      </c>
      <c r="Y14" s="505">
        <v>1</v>
      </c>
      <c r="Z14" s="505">
        <v>0</v>
      </c>
      <c r="AA14" s="506"/>
      <c r="AB14" s="506"/>
      <c r="AC14" s="506"/>
      <c r="AD14" s="506"/>
      <c r="AE14" s="506"/>
      <c r="AF14" s="506"/>
      <c r="AG14" s="507"/>
      <c r="AH14" s="507"/>
      <c r="AI14" s="507"/>
      <c r="AJ14" s="507"/>
      <c r="AK14" s="507"/>
      <c r="AL14" s="508"/>
      <c r="AM14" s="508"/>
      <c r="AN14" s="508"/>
      <c r="AO14" s="508"/>
      <c r="AP14" s="508"/>
      <c r="AQ14" s="509"/>
      <c r="AR14" s="509"/>
      <c r="AS14" s="509"/>
      <c r="AT14" s="509"/>
      <c r="AU14" s="509"/>
      <c r="AV14" s="483"/>
      <c r="AW14" s="483"/>
      <c r="AX14" s="483"/>
      <c r="AY14" s="483"/>
      <c r="AZ14" s="483"/>
      <c r="BA14" s="483"/>
      <c r="BB14" s="483"/>
      <c r="BC14" s="483"/>
      <c r="BD14" s="483"/>
      <c r="BE14" s="483"/>
      <c r="BF14" s="483"/>
      <c r="BG14" s="483"/>
      <c r="BH14" s="483"/>
      <c r="BI14" s="483"/>
      <c r="BJ14" s="483"/>
      <c r="BK14" s="483"/>
      <c r="BL14" s="483"/>
      <c r="BM14" s="483"/>
      <c r="BN14" s="483"/>
      <c r="BO14" s="483"/>
      <c r="BP14" s="483"/>
      <c r="GA14" t="s">
        <v>85</v>
      </c>
      <c r="GB14">
        <v>9</v>
      </c>
      <c r="GC14">
        <v>95</v>
      </c>
      <c r="GD14">
        <v>76</v>
      </c>
      <c r="GE14">
        <v>64</v>
      </c>
      <c r="GF14">
        <v>32</v>
      </c>
      <c r="GG14">
        <v>1575</v>
      </c>
      <c r="GH14">
        <v>40</v>
      </c>
      <c r="GI14">
        <v>36</v>
      </c>
      <c r="GJ14">
        <v>37</v>
      </c>
      <c r="GK14">
        <v>20</v>
      </c>
      <c r="GL14">
        <v>576</v>
      </c>
      <c r="GM14">
        <v>87</v>
      </c>
      <c r="GN14">
        <v>44</v>
      </c>
      <c r="GO14">
        <v>45</v>
      </c>
      <c r="GP14">
        <v>73</v>
      </c>
      <c r="GQ14">
        <v>57</v>
      </c>
      <c r="GR14">
        <v>3</v>
      </c>
      <c r="GS14">
        <v>3</v>
      </c>
      <c r="GT14">
        <v>3</v>
      </c>
      <c r="GU14">
        <v>0</v>
      </c>
      <c r="GV14">
        <v>176</v>
      </c>
      <c r="GW14">
        <v>15</v>
      </c>
      <c r="GX14">
        <v>12</v>
      </c>
      <c r="GY14">
        <v>4</v>
      </c>
      <c r="GZ14">
        <v>22</v>
      </c>
      <c r="HA14">
        <v>32</v>
      </c>
      <c r="HB14">
        <v>9</v>
      </c>
      <c r="HC14">
        <v>16</v>
      </c>
      <c r="HD14">
        <v>33</v>
      </c>
      <c r="HE14">
        <v>59</v>
      </c>
      <c r="HF14">
        <v>61</v>
      </c>
      <c r="HG14">
        <v>-453</v>
      </c>
      <c r="HH14">
        <v>124</v>
      </c>
      <c r="HI14">
        <v>108</v>
      </c>
      <c r="HJ14">
        <v>106</v>
      </c>
      <c r="HK14">
        <v>27</v>
      </c>
      <c r="HL14">
        <v>2231</v>
      </c>
      <c r="HM14">
        <v>125</v>
      </c>
      <c r="HN14">
        <v>115</v>
      </c>
      <c r="HO14">
        <v>133</v>
      </c>
      <c r="HP14">
        <v>36</v>
      </c>
      <c r="HQ14">
        <v>2615</v>
      </c>
      <c r="HR14">
        <v>54</v>
      </c>
      <c r="HS14">
        <v>60</v>
      </c>
      <c r="HT14">
        <v>66</v>
      </c>
      <c r="HU14">
        <v>19</v>
      </c>
      <c r="HV14">
        <v>1005</v>
      </c>
      <c r="HW14">
        <v>11</v>
      </c>
      <c r="HX14">
        <v>17</v>
      </c>
      <c r="HY14">
        <v>23</v>
      </c>
      <c r="HZ14">
        <v>14</v>
      </c>
      <c r="IA14">
        <v>322</v>
      </c>
      <c r="IB14">
        <v>9</v>
      </c>
      <c r="IC14">
        <v>139</v>
      </c>
      <c r="ID14">
        <v>116</v>
      </c>
      <c r="IE14">
        <v>101</v>
      </c>
      <c r="IF14">
        <v>52</v>
      </c>
      <c r="IG14">
        <v>2478</v>
      </c>
      <c r="IH14">
        <v>25</v>
      </c>
      <c r="II14">
        <v>40</v>
      </c>
      <c r="IJ14">
        <v>41</v>
      </c>
      <c r="IK14">
        <v>21</v>
      </c>
      <c r="IL14">
        <v>596</v>
      </c>
      <c r="IM14">
        <v>56</v>
      </c>
      <c r="IN14">
        <v>52</v>
      </c>
      <c r="IO14">
        <v>68</v>
      </c>
      <c r="IP14">
        <v>30</v>
      </c>
      <c r="IQ14">
        <v>1571</v>
      </c>
      <c r="IR14">
        <v>29</v>
      </c>
      <c r="IS14">
        <v>29</v>
      </c>
      <c r="IT14">
        <v>43</v>
      </c>
      <c r="IU14">
        <v>26</v>
      </c>
      <c r="IV14">
        <v>347</v>
      </c>
      <c r="IW14">
        <v>29</v>
      </c>
      <c r="IX14">
        <v>30</v>
      </c>
      <c r="IY14">
        <v>23</v>
      </c>
      <c r="IZ14">
        <v>6</v>
      </c>
      <c r="JA14">
        <v>510</v>
      </c>
      <c r="JB14">
        <v>9</v>
      </c>
      <c r="JC14">
        <v>30</v>
      </c>
      <c r="JD14">
        <v>29</v>
      </c>
      <c r="JE14">
        <v>20</v>
      </c>
      <c r="JF14">
        <v>14</v>
      </c>
      <c r="JG14">
        <v>544</v>
      </c>
      <c r="JH14">
        <v>97</v>
      </c>
      <c r="JI14">
        <v>77</v>
      </c>
      <c r="JJ14">
        <v>61</v>
      </c>
      <c r="JK14">
        <v>44</v>
      </c>
      <c r="JL14">
        <v>1244</v>
      </c>
      <c r="JM14">
        <v>49</v>
      </c>
      <c r="JN14">
        <v>56</v>
      </c>
      <c r="JO14">
        <v>31</v>
      </c>
      <c r="JP14">
        <v>31</v>
      </c>
      <c r="JQ14">
        <v>929</v>
      </c>
      <c r="JR14">
        <v>107</v>
      </c>
      <c r="JS14">
        <v>111</v>
      </c>
      <c r="JT14">
        <v>108</v>
      </c>
      <c r="JU14">
        <v>18</v>
      </c>
      <c r="JV14">
        <v>1859</v>
      </c>
      <c r="JW14">
        <v>27</v>
      </c>
      <c r="JX14">
        <v>11</v>
      </c>
      <c r="JY14">
        <v>28</v>
      </c>
      <c r="JZ14">
        <v>24</v>
      </c>
      <c r="KA14">
        <v>350</v>
      </c>
      <c r="KB14">
        <v>9</v>
      </c>
      <c r="KC14" t="s">
        <v>85</v>
      </c>
      <c r="KD14" t="s">
        <v>85</v>
      </c>
      <c r="KE14" t="s">
        <v>85</v>
      </c>
      <c r="KF14" t="s">
        <v>85</v>
      </c>
      <c r="KG14" t="s">
        <v>85</v>
      </c>
      <c r="KH14" t="s">
        <v>85</v>
      </c>
      <c r="KI14" t="s">
        <v>85</v>
      </c>
      <c r="KJ14" t="s">
        <v>85</v>
      </c>
      <c r="KK14" t="s">
        <v>85</v>
      </c>
      <c r="KL14" t="s">
        <v>85</v>
      </c>
      <c r="KM14" t="s">
        <v>85</v>
      </c>
      <c r="KN14" t="s">
        <v>85</v>
      </c>
      <c r="KO14" t="s">
        <v>85</v>
      </c>
      <c r="KP14" t="s">
        <v>85</v>
      </c>
      <c r="KQ14" t="s">
        <v>85</v>
      </c>
      <c r="KR14" t="s">
        <v>85</v>
      </c>
      <c r="KS14" t="s">
        <v>85</v>
      </c>
      <c r="KT14" t="s">
        <v>85</v>
      </c>
      <c r="KU14" t="s">
        <v>85</v>
      </c>
      <c r="KV14" t="s">
        <v>85</v>
      </c>
      <c r="KW14" t="s">
        <v>85</v>
      </c>
      <c r="KX14" t="s">
        <v>85</v>
      </c>
      <c r="KY14" t="s">
        <v>85</v>
      </c>
      <c r="KZ14" t="s">
        <v>85</v>
      </c>
      <c r="LA14" t="s">
        <v>85</v>
      </c>
      <c r="LB14">
        <v>9</v>
      </c>
      <c r="LC14" t="s">
        <v>85</v>
      </c>
      <c r="LD14" t="s">
        <v>85</v>
      </c>
      <c r="LE14" t="s">
        <v>85</v>
      </c>
      <c r="LF14" t="s">
        <v>85</v>
      </c>
      <c r="LG14" t="s">
        <v>85</v>
      </c>
      <c r="LH14" t="s">
        <v>85</v>
      </c>
      <c r="LI14" t="s">
        <v>85</v>
      </c>
      <c r="LJ14" t="s">
        <v>85</v>
      </c>
      <c r="LK14" t="s">
        <v>85</v>
      </c>
      <c r="LL14" t="s">
        <v>85</v>
      </c>
      <c r="LM14" t="s">
        <v>85</v>
      </c>
      <c r="LN14" t="s">
        <v>85</v>
      </c>
      <c r="LO14" t="s">
        <v>85</v>
      </c>
      <c r="LP14" t="s">
        <v>85</v>
      </c>
      <c r="LQ14" t="s">
        <v>85</v>
      </c>
      <c r="LR14" t="s">
        <v>85</v>
      </c>
      <c r="LS14" t="s">
        <v>85</v>
      </c>
      <c r="LT14" t="s">
        <v>85</v>
      </c>
      <c r="LU14" t="s">
        <v>85</v>
      </c>
      <c r="LV14" t="s">
        <v>85</v>
      </c>
      <c r="LW14" t="s">
        <v>85</v>
      </c>
      <c r="LX14" t="s">
        <v>85</v>
      </c>
      <c r="LY14" t="s">
        <v>85</v>
      </c>
      <c r="LZ14" t="s">
        <v>85</v>
      </c>
      <c r="MA14" t="s">
        <v>85</v>
      </c>
      <c r="MB14">
        <v>9</v>
      </c>
      <c r="MC14" t="s">
        <v>85</v>
      </c>
      <c r="MD14" t="s">
        <v>85</v>
      </c>
      <c r="ME14" t="s">
        <v>85</v>
      </c>
      <c r="MF14" t="s">
        <v>85</v>
      </c>
      <c r="MG14" t="s">
        <v>85</v>
      </c>
      <c r="MH14" t="s">
        <v>85</v>
      </c>
      <c r="MI14" t="s">
        <v>85</v>
      </c>
      <c r="MJ14" t="s">
        <v>85</v>
      </c>
      <c r="MK14" t="s">
        <v>85</v>
      </c>
      <c r="ML14" t="s">
        <v>85</v>
      </c>
      <c r="MM14" t="s">
        <v>85</v>
      </c>
      <c r="MN14" t="s">
        <v>85</v>
      </c>
      <c r="MO14" t="s">
        <v>85</v>
      </c>
      <c r="MP14" t="s">
        <v>85</v>
      </c>
      <c r="MQ14" t="s">
        <v>85</v>
      </c>
      <c r="MR14" t="s">
        <v>85</v>
      </c>
      <c r="MS14" t="s">
        <v>85</v>
      </c>
      <c r="MT14" t="s">
        <v>85</v>
      </c>
      <c r="MU14" t="s">
        <v>85</v>
      </c>
      <c r="MV14" t="s">
        <v>85</v>
      </c>
      <c r="MW14" t="s">
        <v>85</v>
      </c>
      <c r="MX14" t="s">
        <v>85</v>
      </c>
      <c r="MY14" t="s">
        <v>85</v>
      </c>
      <c r="MZ14" t="s">
        <v>85</v>
      </c>
      <c r="NA14">
        <v>9</v>
      </c>
      <c r="NB14">
        <v>-1</v>
      </c>
      <c r="NC14">
        <v>0</v>
      </c>
      <c r="ND14">
        <v>-1</v>
      </c>
      <c r="NE14">
        <v>-1</v>
      </c>
      <c r="NF14">
        <v>26</v>
      </c>
      <c r="NG14">
        <v>7</v>
      </c>
      <c r="NH14">
        <v>8</v>
      </c>
      <c r="NI14">
        <v>8</v>
      </c>
      <c r="NJ14">
        <v>0</v>
      </c>
      <c r="NK14">
        <v>136</v>
      </c>
      <c r="NL14">
        <v>7</v>
      </c>
      <c r="NM14">
        <v>8</v>
      </c>
      <c r="NN14">
        <v>7</v>
      </c>
      <c r="NO14">
        <v>0</v>
      </c>
      <c r="NP14">
        <v>71</v>
      </c>
      <c r="NQ14">
        <v>9</v>
      </c>
      <c r="NR14">
        <v>9</v>
      </c>
      <c r="NS14">
        <v>9</v>
      </c>
      <c r="NT14">
        <v>0</v>
      </c>
      <c r="NU14">
        <v>106</v>
      </c>
      <c r="NV14">
        <v>8</v>
      </c>
      <c r="NW14">
        <v>8</v>
      </c>
      <c r="NX14">
        <v>8</v>
      </c>
      <c r="NY14">
        <v>1</v>
      </c>
      <c r="NZ14">
        <v>0</v>
      </c>
      <c r="OA14">
        <v>9</v>
      </c>
      <c r="OB14">
        <v>11</v>
      </c>
      <c r="OC14">
        <v>11</v>
      </c>
      <c r="OD14">
        <v>11</v>
      </c>
      <c r="OE14">
        <v>1</v>
      </c>
      <c r="OF14">
        <v>101</v>
      </c>
      <c r="OG14">
        <v>12</v>
      </c>
      <c r="OH14">
        <v>12</v>
      </c>
      <c r="OI14">
        <v>12</v>
      </c>
      <c r="OJ14">
        <v>1</v>
      </c>
      <c r="OK14">
        <v>101</v>
      </c>
      <c r="OL14">
        <v>1</v>
      </c>
      <c r="OM14">
        <v>1</v>
      </c>
      <c r="ON14">
        <v>1</v>
      </c>
      <c r="OO14">
        <v>1</v>
      </c>
      <c r="OP14">
        <v>48</v>
      </c>
      <c r="OQ14" t="s">
        <v>85</v>
      </c>
      <c r="OR14" t="s">
        <v>85</v>
      </c>
      <c r="OS14" t="s">
        <v>85</v>
      </c>
      <c r="OT14" t="s">
        <v>85</v>
      </c>
      <c r="OU14" t="s">
        <v>85</v>
      </c>
      <c r="OV14" t="s">
        <v>85</v>
      </c>
      <c r="OW14" t="s">
        <v>85</v>
      </c>
      <c r="OX14" t="s">
        <v>85</v>
      </c>
      <c r="OY14" t="s">
        <v>85</v>
      </c>
      <c r="OZ14" t="s">
        <v>85</v>
      </c>
      <c r="PA14">
        <v>9</v>
      </c>
      <c r="PB14">
        <v>22</v>
      </c>
      <c r="PC14">
        <v>23</v>
      </c>
      <c r="PD14">
        <v>23</v>
      </c>
      <c r="PE14">
        <v>0</v>
      </c>
      <c r="PF14">
        <v>843</v>
      </c>
      <c r="PG14">
        <v>21</v>
      </c>
      <c r="PH14">
        <v>19</v>
      </c>
      <c r="PI14">
        <v>19</v>
      </c>
      <c r="PJ14">
        <v>0</v>
      </c>
      <c r="PK14">
        <v>492</v>
      </c>
      <c r="PL14">
        <v>12</v>
      </c>
      <c r="PM14">
        <v>14</v>
      </c>
      <c r="PN14">
        <v>13</v>
      </c>
      <c r="PO14">
        <v>0</v>
      </c>
      <c r="PP14">
        <v>311</v>
      </c>
      <c r="PQ14">
        <v>18</v>
      </c>
      <c r="PR14">
        <v>20</v>
      </c>
      <c r="PS14">
        <v>17</v>
      </c>
      <c r="PT14">
        <v>2</v>
      </c>
      <c r="PU14">
        <v>711</v>
      </c>
      <c r="PV14">
        <v>32</v>
      </c>
      <c r="PW14">
        <v>35</v>
      </c>
      <c r="PX14">
        <v>34</v>
      </c>
      <c r="PY14">
        <v>0</v>
      </c>
      <c r="PZ14">
        <v>1424</v>
      </c>
      <c r="QA14">
        <v>9</v>
      </c>
      <c r="QB14" t="s">
        <v>85</v>
      </c>
      <c r="QC14" t="s">
        <v>85</v>
      </c>
      <c r="QD14" t="s">
        <v>85</v>
      </c>
      <c r="QE14" t="s">
        <v>85</v>
      </c>
      <c r="QF14">
        <v>0</v>
      </c>
      <c r="QG14">
        <v>2</v>
      </c>
      <c r="QH14">
        <v>2</v>
      </c>
      <c r="QI14">
        <v>2</v>
      </c>
      <c r="QJ14">
        <v>0</v>
      </c>
      <c r="QK14">
        <v>58</v>
      </c>
      <c r="QL14" t="s">
        <v>85</v>
      </c>
      <c r="QM14" t="s">
        <v>85</v>
      </c>
      <c r="QN14" t="s">
        <v>85</v>
      </c>
      <c r="QO14" t="s">
        <v>85</v>
      </c>
      <c r="QP14" t="s">
        <v>85</v>
      </c>
      <c r="QQ14" t="s">
        <v>85</v>
      </c>
      <c r="QR14" t="s">
        <v>85</v>
      </c>
      <c r="QS14" t="s">
        <v>85</v>
      </c>
      <c r="QT14" t="s">
        <v>85</v>
      </c>
      <c r="QU14" t="s">
        <v>85</v>
      </c>
      <c r="QV14" t="s">
        <v>85</v>
      </c>
      <c r="QW14" t="s">
        <v>85</v>
      </c>
      <c r="QX14" t="s">
        <v>85</v>
      </c>
      <c r="QY14" t="s">
        <v>85</v>
      </c>
      <c r="QZ14" t="s">
        <v>85</v>
      </c>
      <c r="RA14">
        <v>9</v>
      </c>
      <c r="RB14">
        <v>116</v>
      </c>
      <c r="RC14">
        <v>117</v>
      </c>
      <c r="RD14">
        <v>116</v>
      </c>
      <c r="RE14">
        <v>0</v>
      </c>
      <c r="RF14">
        <v>4397</v>
      </c>
      <c r="RG14">
        <v>21</v>
      </c>
      <c r="RH14">
        <v>21</v>
      </c>
      <c r="RI14">
        <v>21</v>
      </c>
      <c r="RJ14">
        <v>0</v>
      </c>
      <c r="RK14">
        <v>531</v>
      </c>
      <c r="RL14">
        <v>17</v>
      </c>
      <c r="RM14">
        <v>17</v>
      </c>
      <c r="RN14">
        <v>17</v>
      </c>
      <c r="RO14">
        <v>0</v>
      </c>
      <c r="RP14">
        <v>469</v>
      </c>
      <c r="RQ14">
        <v>0</v>
      </c>
      <c r="RR14">
        <v>0</v>
      </c>
      <c r="RS14">
        <v>0</v>
      </c>
      <c r="RT14">
        <v>0</v>
      </c>
      <c r="RU14">
        <v>0</v>
      </c>
      <c r="RV14">
        <v>0</v>
      </c>
      <c r="RW14">
        <v>0</v>
      </c>
      <c r="RX14">
        <v>0</v>
      </c>
      <c r="RY14">
        <v>0</v>
      </c>
      <c r="RZ14">
        <v>0</v>
      </c>
      <c r="SA14">
        <v>9</v>
      </c>
      <c r="SB14">
        <v>0</v>
      </c>
      <c r="SC14">
        <v>0</v>
      </c>
      <c r="SD14">
        <v>0</v>
      </c>
      <c r="SE14">
        <v>0</v>
      </c>
      <c r="SF14">
        <v>0</v>
      </c>
      <c r="SG14" t="s">
        <v>85</v>
      </c>
      <c r="SH14" t="s">
        <v>85</v>
      </c>
      <c r="SI14" t="s">
        <v>85</v>
      </c>
      <c r="SJ14" t="s">
        <v>85</v>
      </c>
      <c r="SK14" t="s">
        <v>85</v>
      </c>
      <c r="SL14" t="s">
        <v>85</v>
      </c>
      <c r="SM14" t="s">
        <v>85</v>
      </c>
      <c r="SN14" t="s">
        <v>85</v>
      </c>
      <c r="SO14" t="s">
        <v>85</v>
      </c>
      <c r="SP14" t="s">
        <v>85</v>
      </c>
      <c r="SQ14" t="s">
        <v>85</v>
      </c>
      <c r="SR14" t="s">
        <v>85</v>
      </c>
      <c r="SS14" t="s">
        <v>85</v>
      </c>
      <c r="ST14" t="s">
        <v>85</v>
      </c>
      <c r="SU14" t="s">
        <v>85</v>
      </c>
      <c r="SV14" t="s">
        <v>85</v>
      </c>
      <c r="SW14" t="s">
        <v>85</v>
      </c>
      <c r="SX14" t="s">
        <v>85</v>
      </c>
      <c r="SY14" t="s">
        <v>85</v>
      </c>
      <c r="SZ14" t="s">
        <v>85</v>
      </c>
      <c r="TA14">
        <v>9</v>
      </c>
      <c r="TB14">
        <v>65</v>
      </c>
      <c r="TC14">
        <v>65</v>
      </c>
      <c r="TD14">
        <v>65</v>
      </c>
      <c r="TE14">
        <v>0</v>
      </c>
      <c r="TF14">
        <v>1804</v>
      </c>
      <c r="TG14">
        <v>0</v>
      </c>
      <c r="TH14">
        <v>0</v>
      </c>
      <c r="TI14">
        <v>0</v>
      </c>
      <c r="TJ14">
        <v>0</v>
      </c>
      <c r="TK14">
        <v>0</v>
      </c>
      <c r="TL14">
        <v>0</v>
      </c>
      <c r="TM14">
        <v>0</v>
      </c>
      <c r="TN14">
        <v>0</v>
      </c>
      <c r="TO14">
        <v>0</v>
      </c>
      <c r="TP14">
        <v>0</v>
      </c>
      <c r="TQ14">
        <v>22</v>
      </c>
      <c r="TR14">
        <v>22</v>
      </c>
      <c r="TS14">
        <v>25</v>
      </c>
      <c r="TT14">
        <v>0</v>
      </c>
      <c r="TU14">
        <v>895</v>
      </c>
      <c r="TV14">
        <v>7</v>
      </c>
      <c r="TW14">
        <v>7</v>
      </c>
      <c r="TX14">
        <v>5</v>
      </c>
      <c r="TY14">
        <v>0</v>
      </c>
      <c r="TZ14">
        <v>258</v>
      </c>
      <c r="UA14">
        <v>9</v>
      </c>
      <c r="UB14">
        <v>65</v>
      </c>
      <c r="UC14">
        <v>69</v>
      </c>
      <c r="UD14">
        <v>67</v>
      </c>
      <c r="UE14">
        <v>0</v>
      </c>
      <c r="UF14">
        <v>2828</v>
      </c>
      <c r="UG14" t="s">
        <v>85</v>
      </c>
      <c r="UH14" t="s">
        <v>85</v>
      </c>
      <c r="UI14" t="s">
        <v>85</v>
      </c>
      <c r="UJ14" t="s">
        <v>85</v>
      </c>
      <c r="UK14" t="s">
        <v>85</v>
      </c>
      <c r="UL14" t="s">
        <v>85</v>
      </c>
      <c r="UM14" t="s">
        <v>85</v>
      </c>
      <c r="UN14" t="s">
        <v>85</v>
      </c>
      <c r="UO14" t="s">
        <v>85</v>
      </c>
      <c r="UP14" t="s">
        <v>85</v>
      </c>
      <c r="UQ14" t="s">
        <v>85</v>
      </c>
      <c r="UR14" t="s">
        <v>85</v>
      </c>
      <c r="US14" t="s">
        <v>85</v>
      </c>
      <c r="UT14" t="s">
        <v>85</v>
      </c>
      <c r="UU14" t="s">
        <v>85</v>
      </c>
      <c r="UV14" t="s">
        <v>85</v>
      </c>
      <c r="UW14" t="s">
        <v>85</v>
      </c>
      <c r="UX14" t="s">
        <v>85</v>
      </c>
      <c r="UY14" t="s">
        <v>85</v>
      </c>
      <c r="UZ14" t="s">
        <v>85</v>
      </c>
      <c r="VX14">
        <v>9</v>
      </c>
      <c r="VY14">
        <v>-1</v>
      </c>
      <c r="VZ14">
        <v>0</v>
      </c>
      <c r="WA14">
        <v>-1</v>
      </c>
      <c r="WB14">
        <v>-1</v>
      </c>
      <c r="WC14">
        <v>26</v>
      </c>
      <c r="WD14">
        <v>7</v>
      </c>
      <c r="WE14">
        <v>8</v>
      </c>
      <c r="WF14">
        <v>8</v>
      </c>
      <c r="WG14">
        <v>0</v>
      </c>
      <c r="WH14">
        <v>136</v>
      </c>
      <c r="WI14">
        <v>7</v>
      </c>
      <c r="WJ14">
        <v>8</v>
      </c>
      <c r="WK14">
        <v>7</v>
      </c>
      <c r="WL14">
        <v>0</v>
      </c>
      <c r="WM14">
        <v>71</v>
      </c>
      <c r="WN14">
        <v>9</v>
      </c>
      <c r="WO14">
        <v>9</v>
      </c>
      <c r="WP14">
        <v>9</v>
      </c>
      <c r="WQ14">
        <v>0</v>
      </c>
      <c r="WR14">
        <v>106</v>
      </c>
      <c r="WS14">
        <v>8</v>
      </c>
      <c r="WT14">
        <v>8</v>
      </c>
      <c r="WU14">
        <v>8</v>
      </c>
      <c r="WV14">
        <v>1</v>
      </c>
      <c r="WW14">
        <v>0</v>
      </c>
      <c r="WX14">
        <v>9</v>
      </c>
      <c r="WY14">
        <v>11</v>
      </c>
      <c r="WZ14">
        <v>11</v>
      </c>
      <c r="XA14">
        <v>11</v>
      </c>
      <c r="XB14">
        <v>1</v>
      </c>
      <c r="XC14">
        <v>101</v>
      </c>
      <c r="XD14">
        <v>12</v>
      </c>
      <c r="XE14">
        <v>12</v>
      </c>
      <c r="XF14">
        <v>12</v>
      </c>
      <c r="XG14">
        <v>1</v>
      </c>
      <c r="XH14">
        <v>101</v>
      </c>
      <c r="XI14">
        <v>1</v>
      </c>
      <c r="XJ14">
        <v>1</v>
      </c>
      <c r="XK14">
        <v>1</v>
      </c>
      <c r="XL14">
        <v>1</v>
      </c>
      <c r="XM14">
        <v>48</v>
      </c>
      <c r="XN14" t="s">
        <v>85</v>
      </c>
      <c r="XO14" t="s">
        <v>85</v>
      </c>
      <c r="XP14" t="s">
        <v>85</v>
      </c>
      <c r="XQ14" t="s">
        <v>85</v>
      </c>
      <c r="XR14" t="s">
        <v>85</v>
      </c>
      <c r="XS14" t="s">
        <v>85</v>
      </c>
      <c r="XT14" t="s">
        <v>85</v>
      </c>
      <c r="XU14" t="s">
        <v>85</v>
      </c>
      <c r="XV14" t="s">
        <v>85</v>
      </c>
      <c r="XW14" t="s">
        <v>85</v>
      </c>
      <c r="XX14">
        <v>9</v>
      </c>
      <c r="XY14">
        <v>22</v>
      </c>
      <c r="XZ14">
        <v>23</v>
      </c>
      <c r="YA14">
        <v>23</v>
      </c>
      <c r="YB14">
        <v>0</v>
      </c>
      <c r="YC14">
        <v>843</v>
      </c>
      <c r="YD14">
        <v>21</v>
      </c>
      <c r="YE14">
        <v>19</v>
      </c>
      <c r="YF14">
        <v>19</v>
      </c>
      <c r="YG14">
        <v>0</v>
      </c>
      <c r="YH14">
        <v>492</v>
      </c>
      <c r="YI14">
        <v>12</v>
      </c>
      <c r="YJ14">
        <v>14</v>
      </c>
      <c r="YK14">
        <v>13</v>
      </c>
      <c r="YL14">
        <v>0</v>
      </c>
      <c r="YM14">
        <v>311</v>
      </c>
      <c r="YN14">
        <v>18</v>
      </c>
      <c r="YO14">
        <v>20</v>
      </c>
      <c r="YP14">
        <v>17</v>
      </c>
      <c r="YQ14">
        <v>2</v>
      </c>
      <c r="YR14">
        <v>711</v>
      </c>
      <c r="YS14">
        <v>32</v>
      </c>
      <c r="YT14">
        <v>35</v>
      </c>
      <c r="YU14">
        <v>34</v>
      </c>
      <c r="YV14">
        <v>0</v>
      </c>
      <c r="YW14">
        <v>1424</v>
      </c>
      <c r="YX14">
        <v>9</v>
      </c>
      <c r="YY14" t="s">
        <v>85</v>
      </c>
      <c r="YZ14" t="s">
        <v>85</v>
      </c>
      <c r="ZA14" t="s">
        <v>85</v>
      </c>
      <c r="ZB14" t="s">
        <v>85</v>
      </c>
      <c r="ZC14">
        <v>0</v>
      </c>
      <c r="ZD14">
        <v>2</v>
      </c>
      <c r="ZE14">
        <v>2</v>
      </c>
      <c r="ZF14">
        <v>2</v>
      </c>
      <c r="ZG14">
        <v>0</v>
      </c>
      <c r="ZH14">
        <v>58</v>
      </c>
      <c r="ZI14" t="s">
        <v>85</v>
      </c>
      <c r="ZJ14" t="s">
        <v>85</v>
      </c>
      <c r="ZK14" t="s">
        <v>85</v>
      </c>
      <c r="ZL14" t="s">
        <v>85</v>
      </c>
      <c r="ZM14" t="s">
        <v>85</v>
      </c>
      <c r="ZN14" t="s">
        <v>85</v>
      </c>
      <c r="ZO14" t="s">
        <v>85</v>
      </c>
      <c r="ZP14" t="s">
        <v>85</v>
      </c>
      <c r="ZQ14" t="s">
        <v>85</v>
      </c>
      <c r="ZR14" t="s">
        <v>85</v>
      </c>
      <c r="ZS14" t="s">
        <v>85</v>
      </c>
      <c r="ZT14" t="s">
        <v>85</v>
      </c>
      <c r="ZU14" t="s">
        <v>85</v>
      </c>
      <c r="ZV14" t="s">
        <v>85</v>
      </c>
      <c r="ZW14" t="s">
        <v>85</v>
      </c>
      <c r="ZX14">
        <v>9</v>
      </c>
      <c r="ZY14">
        <v>9</v>
      </c>
      <c r="ZZ14">
        <v>9</v>
      </c>
      <c r="AAA14">
        <v>65</v>
      </c>
      <c r="AAB14">
        <v>69</v>
      </c>
      <c r="AAC14">
        <v>67</v>
      </c>
      <c r="AAD14">
        <v>0</v>
      </c>
      <c r="AAE14">
        <v>2828</v>
      </c>
      <c r="AAF14" t="s">
        <v>85</v>
      </c>
      <c r="AAG14" t="s">
        <v>85</v>
      </c>
      <c r="AAH14" t="s">
        <v>85</v>
      </c>
      <c r="AAI14" t="s">
        <v>85</v>
      </c>
      <c r="AAJ14" t="s">
        <v>85</v>
      </c>
      <c r="AAK14" t="s">
        <v>85</v>
      </c>
      <c r="AAL14" t="s">
        <v>85</v>
      </c>
      <c r="AAM14" t="s">
        <v>85</v>
      </c>
      <c r="AAN14" t="s">
        <v>85</v>
      </c>
      <c r="AAO14" t="s">
        <v>85</v>
      </c>
      <c r="AAP14" t="s">
        <v>85</v>
      </c>
      <c r="AAQ14" t="s">
        <v>85</v>
      </c>
      <c r="AAR14" t="s">
        <v>85</v>
      </c>
      <c r="AAS14" t="s">
        <v>85</v>
      </c>
      <c r="AAT14" t="s">
        <v>85</v>
      </c>
      <c r="AAU14" t="s">
        <v>85</v>
      </c>
      <c r="AAV14" t="s">
        <v>85</v>
      </c>
      <c r="AAW14" t="s">
        <v>85</v>
      </c>
      <c r="AAX14" t="s">
        <v>85</v>
      </c>
      <c r="AAY14" t="s">
        <v>85</v>
      </c>
    </row>
    <row r="15" spans="1:727">
      <c r="A15" s="483">
        <v>9</v>
      </c>
      <c r="B15" s="503">
        <v>-1</v>
      </c>
      <c r="C15" s="503">
        <v>0</v>
      </c>
      <c r="D15" s="503">
        <v>-1</v>
      </c>
      <c r="E15" s="503">
        <v>-1</v>
      </c>
      <c r="F15" s="503">
        <v>24</v>
      </c>
      <c r="G15" s="593">
        <v>6</v>
      </c>
      <c r="H15" s="593">
        <v>6</v>
      </c>
      <c r="I15" s="593">
        <v>6</v>
      </c>
      <c r="J15" s="593">
        <v>0</v>
      </c>
      <c r="K15" s="593">
        <v>88</v>
      </c>
      <c r="L15" s="502">
        <v>7</v>
      </c>
      <c r="M15" s="502">
        <v>7</v>
      </c>
      <c r="N15" s="502">
        <v>6</v>
      </c>
      <c r="O15" s="502">
        <v>0</v>
      </c>
      <c r="P15" s="502">
        <v>35</v>
      </c>
      <c r="Q15" s="504">
        <v>5</v>
      </c>
      <c r="R15" s="504">
        <v>4</v>
      </c>
      <c r="S15" s="504">
        <v>4</v>
      </c>
      <c r="T15" s="504">
        <v>0</v>
      </c>
      <c r="U15" s="504">
        <v>69</v>
      </c>
      <c r="V15" s="505">
        <v>6</v>
      </c>
      <c r="W15" s="505">
        <v>6</v>
      </c>
      <c r="X15" s="505">
        <v>6</v>
      </c>
      <c r="Y15" s="505">
        <v>1</v>
      </c>
      <c r="Z15" s="505">
        <v>0</v>
      </c>
      <c r="AA15" s="506"/>
      <c r="AB15" s="506"/>
      <c r="AC15" s="506"/>
      <c r="AD15" s="506"/>
      <c r="AE15" s="506"/>
      <c r="AF15" s="506"/>
      <c r="AG15" s="507"/>
      <c r="AH15" s="507"/>
      <c r="AI15" s="507"/>
      <c r="AJ15" s="507"/>
      <c r="AK15" s="507"/>
      <c r="AL15" s="508"/>
      <c r="AM15" s="508"/>
      <c r="AN15" s="508"/>
      <c r="AO15" s="508"/>
      <c r="AP15" s="508"/>
      <c r="AQ15" s="509"/>
      <c r="AR15" s="509"/>
      <c r="AS15" s="509"/>
      <c r="AT15" s="509"/>
      <c r="AU15" s="509"/>
      <c r="AV15" s="483"/>
      <c r="AW15" s="483"/>
      <c r="AX15" s="483"/>
      <c r="AY15" s="483"/>
      <c r="AZ15" s="483"/>
      <c r="BA15" s="483"/>
      <c r="BB15" s="483"/>
      <c r="BC15" s="483"/>
      <c r="BD15" s="483"/>
      <c r="BE15" s="483"/>
      <c r="BF15" s="483"/>
      <c r="BG15" s="483"/>
      <c r="BH15" s="483"/>
      <c r="BI15" s="483"/>
      <c r="BJ15" s="483"/>
      <c r="BK15" s="483"/>
      <c r="BL15" s="483"/>
      <c r="BM15" s="483"/>
      <c r="BN15" s="483"/>
      <c r="BO15" s="483"/>
      <c r="BP15" s="483"/>
      <c r="GA15" t="s">
        <v>85</v>
      </c>
      <c r="GB15">
        <v>10</v>
      </c>
      <c r="GC15">
        <v>100</v>
      </c>
      <c r="GD15">
        <v>89</v>
      </c>
      <c r="GE15">
        <v>71</v>
      </c>
      <c r="GF15">
        <v>34</v>
      </c>
      <c r="GG15">
        <v>1693</v>
      </c>
      <c r="GH15">
        <v>54</v>
      </c>
      <c r="GI15">
        <v>45</v>
      </c>
      <c r="GJ15">
        <v>43</v>
      </c>
      <c r="GK15">
        <v>27</v>
      </c>
      <c r="GL15">
        <v>737</v>
      </c>
      <c r="GM15">
        <v>62</v>
      </c>
      <c r="GN15">
        <v>48</v>
      </c>
      <c r="GO15">
        <v>27</v>
      </c>
      <c r="GP15">
        <v>70</v>
      </c>
      <c r="GQ15">
        <v>541</v>
      </c>
      <c r="GR15">
        <v>0</v>
      </c>
      <c r="GS15">
        <v>0</v>
      </c>
      <c r="GT15">
        <v>0</v>
      </c>
      <c r="GU15">
        <v>0</v>
      </c>
      <c r="GV15">
        <v>0</v>
      </c>
      <c r="GW15">
        <v>7</v>
      </c>
      <c r="GX15">
        <v>12</v>
      </c>
      <c r="GY15">
        <v>13</v>
      </c>
      <c r="GZ15">
        <v>22</v>
      </c>
      <c r="HA15">
        <v>-64</v>
      </c>
      <c r="HB15">
        <v>10</v>
      </c>
      <c r="HC15">
        <v>31</v>
      </c>
      <c r="HD15">
        <v>55</v>
      </c>
      <c r="HE15">
        <v>81</v>
      </c>
      <c r="HF15">
        <v>56</v>
      </c>
      <c r="HG15">
        <v>22</v>
      </c>
      <c r="HH15">
        <v>135</v>
      </c>
      <c r="HI15">
        <v>110</v>
      </c>
      <c r="HJ15">
        <v>103</v>
      </c>
      <c r="HK15">
        <v>40</v>
      </c>
      <c r="HL15">
        <v>2311</v>
      </c>
      <c r="HM15">
        <v>119</v>
      </c>
      <c r="HN15">
        <v>110</v>
      </c>
      <c r="HO15">
        <v>133</v>
      </c>
      <c r="HP15">
        <v>40</v>
      </c>
      <c r="HQ15">
        <v>2599</v>
      </c>
      <c r="HR15">
        <v>49</v>
      </c>
      <c r="HS15">
        <v>52</v>
      </c>
      <c r="HT15">
        <v>57</v>
      </c>
      <c r="HU15">
        <v>11</v>
      </c>
      <c r="HV15">
        <v>1011</v>
      </c>
      <c r="HW15">
        <v>9</v>
      </c>
      <c r="HX15">
        <v>16</v>
      </c>
      <c r="HY15">
        <v>21</v>
      </c>
      <c r="HZ15">
        <v>14</v>
      </c>
      <c r="IA15">
        <v>319</v>
      </c>
      <c r="IB15">
        <v>10</v>
      </c>
      <c r="IC15">
        <v>140</v>
      </c>
      <c r="ID15">
        <v>110</v>
      </c>
      <c r="IE15">
        <v>100</v>
      </c>
      <c r="IF15">
        <v>58</v>
      </c>
      <c r="IG15">
        <v>2460</v>
      </c>
      <c r="IH15">
        <v>27</v>
      </c>
      <c r="II15">
        <v>41</v>
      </c>
      <c r="IJ15">
        <v>45</v>
      </c>
      <c r="IK15">
        <v>24</v>
      </c>
      <c r="IL15">
        <v>688</v>
      </c>
      <c r="IM15">
        <v>0</v>
      </c>
      <c r="IN15">
        <v>0</v>
      </c>
      <c r="IO15">
        <v>0</v>
      </c>
      <c r="IP15">
        <v>0</v>
      </c>
      <c r="IQ15">
        <v>123</v>
      </c>
      <c r="IR15">
        <v>27</v>
      </c>
      <c r="IS15">
        <v>17</v>
      </c>
      <c r="IT15">
        <v>27</v>
      </c>
      <c r="IU15">
        <v>22</v>
      </c>
      <c r="IV15">
        <v>64</v>
      </c>
      <c r="IW15">
        <v>27</v>
      </c>
      <c r="IX15">
        <v>28</v>
      </c>
      <c r="IY15">
        <v>20</v>
      </c>
      <c r="IZ15">
        <v>7</v>
      </c>
      <c r="JA15">
        <v>510</v>
      </c>
      <c r="JB15">
        <v>10</v>
      </c>
      <c r="JC15">
        <v>29</v>
      </c>
      <c r="JD15">
        <v>29</v>
      </c>
      <c r="JE15">
        <v>22</v>
      </c>
      <c r="JF15">
        <v>11</v>
      </c>
      <c r="JG15">
        <v>541</v>
      </c>
      <c r="JH15">
        <v>76</v>
      </c>
      <c r="JI15">
        <v>62</v>
      </c>
      <c r="JJ15">
        <v>46</v>
      </c>
      <c r="JK15">
        <v>35</v>
      </c>
      <c r="JL15">
        <v>1492</v>
      </c>
      <c r="JM15">
        <v>81</v>
      </c>
      <c r="JN15">
        <v>79</v>
      </c>
      <c r="JO15">
        <v>57</v>
      </c>
      <c r="JP15">
        <v>28</v>
      </c>
      <c r="JQ15">
        <v>1337</v>
      </c>
      <c r="JR15">
        <v>101</v>
      </c>
      <c r="JS15">
        <v>120</v>
      </c>
      <c r="JT15">
        <v>108</v>
      </c>
      <c r="JU15">
        <v>21</v>
      </c>
      <c r="JV15">
        <v>1604</v>
      </c>
      <c r="JW15">
        <v>22</v>
      </c>
      <c r="JX15">
        <v>6</v>
      </c>
      <c r="JY15">
        <v>26</v>
      </c>
      <c r="JZ15">
        <v>26</v>
      </c>
      <c r="KA15">
        <v>383</v>
      </c>
      <c r="KB15">
        <v>10</v>
      </c>
      <c r="KC15" t="s">
        <v>85</v>
      </c>
      <c r="KD15" t="s">
        <v>85</v>
      </c>
      <c r="KE15" t="s">
        <v>85</v>
      </c>
      <c r="KF15" t="s">
        <v>85</v>
      </c>
      <c r="KG15" t="s">
        <v>85</v>
      </c>
      <c r="KH15" t="s">
        <v>85</v>
      </c>
      <c r="KI15" t="s">
        <v>85</v>
      </c>
      <c r="KJ15" t="s">
        <v>85</v>
      </c>
      <c r="KK15" t="s">
        <v>85</v>
      </c>
      <c r="KL15" t="s">
        <v>85</v>
      </c>
      <c r="KM15" t="s">
        <v>85</v>
      </c>
      <c r="KN15" t="s">
        <v>85</v>
      </c>
      <c r="KO15" t="s">
        <v>85</v>
      </c>
      <c r="KP15" t="s">
        <v>85</v>
      </c>
      <c r="KQ15" t="s">
        <v>85</v>
      </c>
      <c r="KR15" t="s">
        <v>85</v>
      </c>
      <c r="KS15" t="s">
        <v>85</v>
      </c>
      <c r="KT15" t="s">
        <v>85</v>
      </c>
      <c r="KU15" t="s">
        <v>85</v>
      </c>
      <c r="KV15" t="s">
        <v>85</v>
      </c>
      <c r="KW15" t="s">
        <v>85</v>
      </c>
      <c r="KX15" t="s">
        <v>85</v>
      </c>
      <c r="KY15" t="s">
        <v>85</v>
      </c>
      <c r="KZ15" t="s">
        <v>85</v>
      </c>
      <c r="LA15" t="s">
        <v>85</v>
      </c>
      <c r="LB15">
        <v>10</v>
      </c>
      <c r="LC15" t="s">
        <v>85</v>
      </c>
      <c r="LD15" t="s">
        <v>85</v>
      </c>
      <c r="LE15" t="s">
        <v>85</v>
      </c>
      <c r="LF15" t="s">
        <v>85</v>
      </c>
      <c r="LG15" t="s">
        <v>85</v>
      </c>
      <c r="LH15" t="s">
        <v>85</v>
      </c>
      <c r="LI15" t="s">
        <v>85</v>
      </c>
      <c r="LJ15" t="s">
        <v>85</v>
      </c>
      <c r="LK15" t="s">
        <v>85</v>
      </c>
      <c r="LL15" t="s">
        <v>85</v>
      </c>
      <c r="LM15" t="s">
        <v>85</v>
      </c>
      <c r="LN15" t="s">
        <v>85</v>
      </c>
      <c r="LO15" t="s">
        <v>85</v>
      </c>
      <c r="LP15" t="s">
        <v>85</v>
      </c>
      <c r="LQ15" t="s">
        <v>85</v>
      </c>
      <c r="LR15" t="s">
        <v>85</v>
      </c>
      <c r="LS15" t="s">
        <v>85</v>
      </c>
      <c r="LT15" t="s">
        <v>85</v>
      </c>
      <c r="LU15" t="s">
        <v>85</v>
      </c>
      <c r="LV15" t="s">
        <v>85</v>
      </c>
      <c r="LW15" t="s">
        <v>85</v>
      </c>
      <c r="LX15" t="s">
        <v>85</v>
      </c>
      <c r="LY15" t="s">
        <v>85</v>
      </c>
      <c r="LZ15" t="s">
        <v>85</v>
      </c>
      <c r="MA15" t="s">
        <v>85</v>
      </c>
      <c r="MB15">
        <v>10</v>
      </c>
      <c r="MC15" t="s">
        <v>85</v>
      </c>
      <c r="MD15" t="s">
        <v>85</v>
      </c>
      <c r="ME15" t="s">
        <v>85</v>
      </c>
      <c r="MF15" t="s">
        <v>85</v>
      </c>
      <c r="MG15" t="s">
        <v>85</v>
      </c>
      <c r="MH15" t="s">
        <v>85</v>
      </c>
      <c r="MI15" t="s">
        <v>85</v>
      </c>
      <c r="MJ15" t="s">
        <v>85</v>
      </c>
      <c r="MK15" t="s">
        <v>85</v>
      </c>
      <c r="ML15" t="s">
        <v>85</v>
      </c>
      <c r="MM15" t="s">
        <v>85</v>
      </c>
      <c r="MN15" t="s">
        <v>85</v>
      </c>
      <c r="MO15" t="s">
        <v>85</v>
      </c>
      <c r="MP15" t="s">
        <v>85</v>
      </c>
      <c r="MQ15" t="s">
        <v>85</v>
      </c>
      <c r="MR15" t="s">
        <v>85</v>
      </c>
      <c r="MS15" t="s">
        <v>85</v>
      </c>
      <c r="MT15" t="s">
        <v>85</v>
      </c>
      <c r="MU15" t="s">
        <v>85</v>
      </c>
      <c r="MV15" t="s">
        <v>85</v>
      </c>
      <c r="MW15" t="s">
        <v>85</v>
      </c>
      <c r="MX15" t="s">
        <v>85</v>
      </c>
      <c r="MY15" t="s">
        <v>85</v>
      </c>
      <c r="MZ15" t="s">
        <v>85</v>
      </c>
      <c r="NA15">
        <v>10</v>
      </c>
      <c r="NB15">
        <v>-1</v>
      </c>
      <c r="NC15">
        <v>0</v>
      </c>
      <c r="ND15">
        <v>-1</v>
      </c>
      <c r="NE15">
        <v>0</v>
      </c>
      <c r="NF15">
        <v>27</v>
      </c>
      <c r="NG15">
        <v>10</v>
      </c>
      <c r="NH15">
        <v>10</v>
      </c>
      <c r="NI15">
        <v>11</v>
      </c>
      <c r="NJ15">
        <v>0</v>
      </c>
      <c r="NK15">
        <v>208</v>
      </c>
      <c r="NL15">
        <v>11</v>
      </c>
      <c r="NM15">
        <v>11</v>
      </c>
      <c r="NN15">
        <v>11</v>
      </c>
      <c r="NO15">
        <v>0</v>
      </c>
      <c r="NP15">
        <v>191</v>
      </c>
      <c r="NQ15">
        <v>10</v>
      </c>
      <c r="NR15">
        <v>10</v>
      </c>
      <c r="NS15">
        <v>9</v>
      </c>
      <c r="NT15">
        <v>0</v>
      </c>
      <c r="NU15">
        <v>233</v>
      </c>
      <c r="NV15">
        <v>9</v>
      </c>
      <c r="NW15">
        <v>10</v>
      </c>
      <c r="NX15">
        <v>9</v>
      </c>
      <c r="NY15">
        <v>1</v>
      </c>
      <c r="NZ15">
        <v>0</v>
      </c>
      <c r="OA15">
        <v>10</v>
      </c>
      <c r="OB15">
        <v>12</v>
      </c>
      <c r="OC15">
        <v>12</v>
      </c>
      <c r="OD15">
        <v>12</v>
      </c>
      <c r="OE15">
        <v>1</v>
      </c>
      <c r="OF15">
        <v>149</v>
      </c>
      <c r="OG15">
        <v>13</v>
      </c>
      <c r="OH15">
        <v>13</v>
      </c>
      <c r="OI15">
        <v>13</v>
      </c>
      <c r="OJ15">
        <v>1</v>
      </c>
      <c r="OK15">
        <v>118</v>
      </c>
      <c r="OL15">
        <v>1</v>
      </c>
      <c r="OM15">
        <v>1</v>
      </c>
      <c r="ON15">
        <v>1</v>
      </c>
      <c r="OO15">
        <v>1</v>
      </c>
      <c r="OP15">
        <v>48</v>
      </c>
      <c r="OQ15" t="s">
        <v>85</v>
      </c>
      <c r="OR15" t="s">
        <v>85</v>
      </c>
      <c r="OS15" t="s">
        <v>85</v>
      </c>
      <c r="OT15" t="s">
        <v>85</v>
      </c>
      <c r="OU15" t="s">
        <v>85</v>
      </c>
      <c r="OV15" t="s">
        <v>85</v>
      </c>
      <c r="OW15" t="s">
        <v>85</v>
      </c>
      <c r="OX15" t="s">
        <v>85</v>
      </c>
      <c r="OY15" t="s">
        <v>85</v>
      </c>
      <c r="OZ15" t="s">
        <v>85</v>
      </c>
      <c r="PA15">
        <v>10</v>
      </c>
      <c r="PB15">
        <v>22</v>
      </c>
      <c r="PC15">
        <v>23</v>
      </c>
      <c r="PD15">
        <v>23</v>
      </c>
      <c r="PE15">
        <v>0</v>
      </c>
      <c r="PF15">
        <v>853</v>
      </c>
      <c r="PG15">
        <v>19</v>
      </c>
      <c r="PH15">
        <v>17</v>
      </c>
      <c r="PI15">
        <v>17</v>
      </c>
      <c r="PJ15">
        <v>0</v>
      </c>
      <c r="PK15">
        <v>693</v>
      </c>
      <c r="PL15">
        <v>8</v>
      </c>
      <c r="PM15">
        <v>10</v>
      </c>
      <c r="PN15">
        <v>10</v>
      </c>
      <c r="PO15">
        <v>0</v>
      </c>
      <c r="PP15">
        <v>504</v>
      </c>
      <c r="PQ15">
        <v>21</v>
      </c>
      <c r="PR15">
        <v>23</v>
      </c>
      <c r="PS15">
        <v>20</v>
      </c>
      <c r="PT15">
        <v>1</v>
      </c>
      <c r="PU15">
        <v>537</v>
      </c>
      <c r="PV15">
        <v>39</v>
      </c>
      <c r="PW15">
        <v>41</v>
      </c>
      <c r="PX15">
        <v>38</v>
      </c>
      <c r="PY15">
        <v>0</v>
      </c>
      <c r="PZ15">
        <v>1518</v>
      </c>
      <c r="QA15">
        <v>10</v>
      </c>
      <c r="QB15" t="s">
        <v>85</v>
      </c>
      <c r="QC15" t="s">
        <v>85</v>
      </c>
      <c r="QD15" t="s">
        <v>85</v>
      </c>
      <c r="QE15" t="s">
        <v>85</v>
      </c>
      <c r="QF15">
        <v>0</v>
      </c>
      <c r="QG15">
        <v>0</v>
      </c>
      <c r="QH15">
        <v>2</v>
      </c>
      <c r="QI15">
        <v>2</v>
      </c>
      <c r="QJ15">
        <v>0</v>
      </c>
      <c r="QK15">
        <v>59</v>
      </c>
      <c r="QL15" t="s">
        <v>85</v>
      </c>
      <c r="QM15" t="s">
        <v>85</v>
      </c>
      <c r="QN15" t="s">
        <v>85</v>
      </c>
      <c r="QO15" t="s">
        <v>85</v>
      </c>
      <c r="QP15" t="s">
        <v>85</v>
      </c>
      <c r="QQ15" t="s">
        <v>85</v>
      </c>
      <c r="QR15" t="s">
        <v>85</v>
      </c>
      <c r="QS15" t="s">
        <v>85</v>
      </c>
      <c r="QT15" t="s">
        <v>85</v>
      </c>
      <c r="QU15" t="s">
        <v>85</v>
      </c>
      <c r="QV15" t="s">
        <v>85</v>
      </c>
      <c r="QW15" t="s">
        <v>85</v>
      </c>
      <c r="QX15" t="s">
        <v>85</v>
      </c>
      <c r="QY15" t="s">
        <v>85</v>
      </c>
      <c r="QZ15" t="s">
        <v>85</v>
      </c>
      <c r="RA15">
        <v>10</v>
      </c>
      <c r="RB15">
        <v>122</v>
      </c>
      <c r="RC15">
        <v>124</v>
      </c>
      <c r="RD15">
        <v>122</v>
      </c>
      <c r="RE15">
        <v>0</v>
      </c>
      <c r="RF15">
        <v>4151</v>
      </c>
      <c r="RG15">
        <v>14</v>
      </c>
      <c r="RH15">
        <v>14</v>
      </c>
      <c r="RI15">
        <v>14</v>
      </c>
      <c r="RJ15">
        <v>0</v>
      </c>
      <c r="RK15">
        <v>572</v>
      </c>
      <c r="RL15">
        <v>13</v>
      </c>
      <c r="RM15">
        <v>13</v>
      </c>
      <c r="RN15">
        <v>13</v>
      </c>
      <c r="RO15">
        <v>0</v>
      </c>
      <c r="RP15">
        <v>587</v>
      </c>
      <c r="RQ15">
        <v>0</v>
      </c>
      <c r="RR15">
        <v>0</v>
      </c>
      <c r="RS15">
        <v>0</v>
      </c>
      <c r="RT15">
        <v>0</v>
      </c>
      <c r="RU15">
        <v>0</v>
      </c>
      <c r="RV15">
        <v>0</v>
      </c>
      <c r="RW15">
        <v>0</v>
      </c>
      <c r="RX15">
        <v>0</v>
      </c>
      <c r="RY15">
        <v>0</v>
      </c>
      <c r="RZ15">
        <v>0</v>
      </c>
      <c r="SA15">
        <v>10</v>
      </c>
      <c r="SB15">
        <v>0</v>
      </c>
      <c r="SC15">
        <v>0</v>
      </c>
      <c r="SD15">
        <v>0</v>
      </c>
      <c r="SE15">
        <v>0</v>
      </c>
      <c r="SF15">
        <v>0</v>
      </c>
      <c r="SG15" t="s">
        <v>85</v>
      </c>
      <c r="SH15" t="s">
        <v>85</v>
      </c>
      <c r="SI15" t="s">
        <v>85</v>
      </c>
      <c r="SJ15" t="s">
        <v>85</v>
      </c>
      <c r="SK15" t="s">
        <v>85</v>
      </c>
      <c r="SL15" t="s">
        <v>85</v>
      </c>
      <c r="SM15" t="s">
        <v>85</v>
      </c>
      <c r="SN15" t="s">
        <v>85</v>
      </c>
      <c r="SO15" t="s">
        <v>85</v>
      </c>
      <c r="SP15" t="s">
        <v>85</v>
      </c>
      <c r="SQ15" t="s">
        <v>85</v>
      </c>
      <c r="SR15" t="s">
        <v>85</v>
      </c>
      <c r="SS15" t="s">
        <v>85</v>
      </c>
      <c r="ST15" t="s">
        <v>85</v>
      </c>
      <c r="SU15" t="s">
        <v>85</v>
      </c>
      <c r="SV15" t="s">
        <v>85</v>
      </c>
      <c r="SW15" t="s">
        <v>85</v>
      </c>
      <c r="SX15" t="s">
        <v>85</v>
      </c>
      <c r="SY15" t="s">
        <v>85</v>
      </c>
      <c r="SZ15" t="s">
        <v>85</v>
      </c>
      <c r="TA15">
        <v>10</v>
      </c>
      <c r="TB15">
        <v>53</v>
      </c>
      <c r="TC15">
        <v>53</v>
      </c>
      <c r="TD15">
        <v>53</v>
      </c>
      <c r="TE15">
        <v>0</v>
      </c>
      <c r="TF15">
        <v>2667</v>
      </c>
      <c r="TG15">
        <v>0</v>
      </c>
      <c r="TH15">
        <v>0</v>
      </c>
      <c r="TI15">
        <v>0</v>
      </c>
      <c r="TJ15">
        <v>0</v>
      </c>
      <c r="TK15">
        <v>0</v>
      </c>
      <c r="TL15">
        <v>0</v>
      </c>
      <c r="TM15">
        <v>0</v>
      </c>
      <c r="TN15">
        <v>0</v>
      </c>
      <c r="TO15">
        <v>0</v>
      </c>
      <c r="TP15">
        <v>0</v>
      </c>
      <c r="TQ15">
        <v>26</v>
      </c>
      <c r="TR15">
        <v>25</v>
      </c>
      <c r="TS15">
        <v>28</v>
      </c>
      <c r="TT15">
        <v>0</v>
      </c>
      <c r="TU15">
        <v>923</v>
      </c>
      <c r="TV15">
        <v>7</v>
      </c>
      <c r="TW15">
        <v>7</v>
      </c>
      <c r="TX15">
        <v>5</v>
      </c>
      <c r="TY15">
        <v>0</v>
      </c>
      <c r="TZ15">
        <v>258</v>
      </c>
      <c r="UA15">
        <v>10</v>
      </c>
      <c r="UB15">
        <v>68</v>
      </c>
      <c r="UC15">
        <v>72</v>
      </c>
      <c r="UD15">
        <v>70</v>
      </c>
      <c r="UE15">
        <v>0</v>
      </c>
      <c r="UF15">
        <v>2736</v>
      </c>
      <c r="UG15" t="s">
        <v>85</v>
      </c>
      <c r="UH15" t="s">
        <v>85</v>
      </c>
      <c r="UI15" t="s">
        <v>85</v>
      </c>
      <c r="UJ15" t="s">
        <v>85</v>
      </c>
      <c r="UK15" t="s">
        <v>85</v>
      </c>
      <c r="UL15" t="s">
        <v>85</v>
      </c>
      <c r="UM15" t="s">
        <v>85</v>
      </c>
      <c r="UN15" t="s">
        <v>85</v>
      </c>
      <c r="UO15" t="s">
        <v>85</v>
      </c>
      <c r="UP15" t="s">
        <v>85</v>
      </c>
      <c r="UQ15" t="s">
        <v>85</v>
      </c>
      <c r="UR15" t="s">
        <v>85</v>
      </c>
      <c r="US15" t="s">
        <v>85</v>
      </c>
      <c r="UT15" t="s">
        <v>85</v>
      </c>
      <c r="UU15" t="s">
        <v>85</v>
      </c>
      <c r="UV15" t="s">
        <v>85</v>
      </c>
      <c r="UW15" t="s">
        <v>85</v>
      </c>
      <c r="UX15" t="s">
        <v>85</v>
      </c>
      <c r="UY15" t="s">
        <v>85</v>
      </c>
      <c r="UZ15" t="s">
        <v>85</v>
      </c>
      <c r="VX15">
        <v>10</v>
      </c>
      <c r="VY15">
        <v>-1</v>
      </c>
      <c r="VZ15">
        <v>0</v>
      </c>
      <c r="WA15">
        <v>-1</v>
      </c>
      <c r="WB15">
        <v>0</v>
      </c>
      <c r="WC15">
        <v>27</v>
      </c>
      <c r="WD15">
        <v>10</v>
      </c>
      <c r="WE15">
        <v>10</v>
      </c>
      <c r="WF15">
        <v>11</v>
      </c>
      <c r="WG15">
        <v>0</v>
      </c>
      <c r="WH15">
        <v>208</v>
      </c>
      <c r="WI15">
        <v>11</v>
      </c>
      <c r="WJ15">
        <v>11</v>
      </c>
      <c r="WK15">
        <v>11</v>
      </c>
      <c r="WL15">
        <v>0</v>
      </c>
      <c r="WM15">
        <v>191</v>
      </c>
      <c r="WN15">
        <v>10</v>
      </c>
      <c r="WO15">
        <v>10</v>
      </c>
      <c r="WP15">
        <v>9</v>
      </c>
      <c r="WQ15">
        <v>0</v>
      </c>
      <c r="WR15">
        <v>233</v>
      </c>
      <c r="WS15">
        <v>9</v>
      </c>
      <c r="WT15">
        <v>10</v>
      </c>
      <c r="WU15">
        <v>9</v>
      </c>
      <c r="WV15">
        <v>1</v>
      </c>
      <c r="WW15">
        <v>0</v>
      </c>
      <c r="WX15">
        <v>10</v>
      </c>
      <c r="WY15">
        <v>12</v>
      </c>
      <c r="WZ15">
        <v>12</v>
      </c>
      <c r="XA15">
        <v>12</v>
      </c>
      <c r="XB15">
        <v>1</v>
      </c>
      <c r="XC15">
        <v>149</v>
      </c>
      <c r="XD15">
        <v>13</v>
      </c>
      <c r="XE15">
        <v>13</v>
      </c>
      <c r="XF15">
        <v>13</v>
      </c>
      <c r="XG15">
        <v>1</v>
      </c>
      <c r="XH15">
        <v>118</v>
      </c>
      <c r="XI15">
        <v>1</v>
      </c>
      <c r="XJ15">
        <v>1</v>
      </c>
      <c r="XK15">
        <v>1</v>
      </c>
      <c r="XL15">
        <v>1</v>
      </c>
      <c r="XM15">
        <v>48</v>
      </c>
      <c r="XN15" t="s">
        <v>85</v>
      </c>
      <c r="XO15" t="s">
        <v>85</v>
      </c>
      <c r="XP15" t="s">
        <v>85</v>
      </c>
      <c r="XQ15" t="s">
        <v>85</v>
      </c>
      <c r="XR15" t="s">
        <v>85</v>
      </c>
      <c r="XS15" t="s">
        <v>85</v>
      </c>
      <c r="XT15" t="s">
        <v>85</v>
      </c>
      <c r="XU15" t="s">
        <v>85</v>
      </c>
      <c r="XV15" t="s">
        <v>85</v>
      </c>
      <c r="XW15" t="s">
        <v>85</v>
      </c>
      <c r="XX15">
        <v>10</v>
      </c>
      <c r="XY15">
        <v>22</v>
      </c>
      <c r="XZ15">
        <v>23</v>
      </c>
      <c r="YA15">
        <v>23</v>
      </c>
      <c r="YB15">
        <v>0</v>
      </c>
      <c r="YC15">
        <v>853</v>
      </c>
      <c r="YD15">
        <v>19</v>
      </c>
      <c r="YE15">
        <v>17</v>
      </c>
      <c r="YF15">
        <v>17</v>
      </c>
      <c r="YG15">
        <v>0</v>
      </c>
      <c r="YH15">
        <v>693</v>
      </c>
      <c r="YI15">
        <v>8</v>
      </c>
      <c r="YJ15">
        <v>10</v>
      </c>
      <c r="YK15">
        <v>10</v>
      </c>
      <c r="YL15">
        <v>0</v>
      </c>
      <c r="YM15">
        <v>504</v>
      </c>
      <c r="YN15">
        <v>21</v>
      </c>
      <c r="YO15">
        <v>23</v>
      </c>
      <c r="YP15">
        <v>20</v>
      </c>
      <c r="YQ15">
        <v>1</v>
      </c>
      <c r="YR15">
        <v>537</v>
      </c>
      <c r="YS15">
        <v>39</v>
      </c>
      <c r="YT15">
        <v>41</v>
      </c>
      <c r="YU15">
        <v>38</v>
      </c>
      <c r="YV15">
        <v>0</v>
      </c>
      <c r="YW15">
        <v>1518</v>
      </c>
      <c r="YX15">
        <v>10</v>
      </c>
      <c r="YY15" t="s">
        <v>85</v>
      </c>
      <c r="YZ15" t="s">
        <v>85</v>
      </c>
      <c r="ZA15" t="s">
        <v>85</v>
      </c>
      <c r="ZB15" t="s">
        <v>85</v>
      </c>
      <c r="ZC15">
        <v>0</v>
      </c>
      <c r="ZD15">
        <v>0</v>
      </c>
      <c r="ZE15">
        <v>2</v>
      </c>
      <c r="ZF15">
        <v>2</v>
      </c>
      <c r="ZG15">
        <v>0</v>
      </c>
      <c r="ZH15">
        <v>59</v>
      </c>
      <c r="ZI15" t="s">
        <v>85</v>
      </c>
      <c r="ZJ15" t="s">
        <v>85</v>
      </c>
      <c r="ZK15" t="s">
        <v>85</v>
      </c>
      <c r="ZL15" t="s">
        <v>85</v>
      </c>
      <c r="ZM15" t="s">
        <v>85</v>
      </c>
      <c r="ZN15" t="s">
        <v>85</v>
      </c>
      <c r="ZO15" t="s">
        <v>85</v>
      </c>
      <c r="ZP15" t="s">
        <v>85</v>
      </c>
      <c r="ZQ15" t="s">
        <v>85</v>
      </c>
      <c r="ZR15" t="s">
        <v>85</v>
      </c>
      <c r="ZS15" t="s">
        <v>85</v>
      </c>
      <c r="ZT15" t="s">
        <v>85</v>
      </c>
      <c r="ZU15" t="s">
        <v>85</v>
      </c>
      <c r="ZV15" t="s">
        <v>85</v>
      </c>
      <c r="ZW15" t="s">
        <v>85</v>
      </c>
      <c r="ZX15">
        <v>10</v>
      </c>
      <c r="ZY15">
        <v>10</v>
      </c>
      <c r="ZZ15">
        <v>10</v>
      </c>
      <c r="AAA15">
        <v>68</v>
      </c>
      <c r="AAB15">
        <v>72</v>
      </c>
      <c r="AAC15">
        <v>70</v>
      </c>
      <c r="AAD15">
        <v>0</v>
      </c>
      <c r="AAE15">
        <v>2736</v>
      </c>
      <c r="AAF15" t="s">
        <v>85</v>
      </c>
      <c r="AAG15" t="s">
        <v>85</v>
      </c>
      <c r="AAH15" t="s">
        <v>85</v>
      </c>
      <c r="AAI15" t="s">
        <v>85</v>
      </c>
      <c r="AAJ15" t="s">
        <v>85</v>
      </c>
      <c r="AAK15" t="s">
        <v>85</v>
      </c>
      <c r="AAL15" t="s">
        <v>85</v>
      </c>
      <c r="AAM15" t="s">
        <v>85</v>
      </c>
      <c r="AAN15" t="s">
        <v>85</v>
      </c>
      <c r="AAO15" t="s">
        <v>85</v>
      </c>
      <c r="AAP15" t="s">
        <v>85</v>
      </c>
      <c r="AAQ15" t="s">
        <v>85</v>
      </c>
      <c r="AAR15" t="s">
        <v>85</v>
      </c>
      <c r="AAS15" t="s">
        <v>85</v>
      </c>
      <c r="AAT15" t="s">
        <v>85</v>
      </c>
      <c r="AAU15" t="s">
        <v>85</v>
      </c>
      <c r="AAV15" t="s">
        <v>85</v>
      </c>
      <c r="AAW15" t="s">
        <v>85</v>
      </c>
      <c r="AAX15" t="s">
        <v>85</v>
      </c>
      <c r="AAY15" t="s">
        <v>85</v>
      </c>
    </row>
    <row r="16" spans="1:727">
      <c r="A16" s="483">
        <v>10</v>
      </c>
      <c r="B16" s="503">
        <v>0</v>
      </c>
      <c r="C16" s="503">
        <v>-1</v>
      </c>
      <c r="D16" s="503">
        <v>0</v>
      </c>
      <c r="E16" s="503">
        <v>-1</v>
      </c>
      <c r="F16" s="503">
        <v>23</v>
      </c>
      <c r="G16" s="593">
        <v>6</v>
      </c>
      <c r="H16" s="593">
        <v>6</v>
      </c>
      <c r="I16" s="593">
        <v>6</v>
      </c>
      <c r="J16" s="593">
        <v>0</v>
      </c>
      <c r="K16" s="593">
        <v>84</v>
      </c>
      <c r="L16" s="502">
        <v>7</v>
      </c>
      <c r="M16" s="502">
        <v>7</v>
      </c>
      <c r="N16" s="502">
        <v>6</v>
      </c>
      <c r="O16" s="502">
        <v>0</v>
      </c>
      <c r="P16" s="502">
        <v>30</v>
      </c>
      <c r="Q16" s="504">
        <v>5</v>
      </c>
      <c r="R16" s="504">
        <v>5</v>
      </c>
      <c r="S16" s="504">
        <v>4</v>
      </c>
      <c r="T16" s="504">
        <v>0</v>
      </c>
      <c r="U16" s="504">
        <v>60</v>
      </c>
      <c r="V16" s="505">
        <v>6</v>
      </c>
      <c r="W16" s="505">
        <v>6</v>
      </c>
      <c r="X16" s="505">
        <v>5</v>
      </c>
      <c r="Y16" s="505">
        <v>1</v>
      </c>
      <c r="Z16" s="505">
        <v>0</v>
      </c>
      <c r="AA16" s="506"/>
      <c r="AB16" s="506"/>
      <c r="AC16" s="506"/>
      <c r="AD16" s="506"/>
      <c r="AE16" s="506"/>
      <c r="AF16" s="506"/>
      <c r="AG16" s="507"/>
      <c r="AH16" s="507"/>
      <c r="AI16" s="507"/>
      <c r="AJ16" s="507"/>
      <c r="AK16" s="507"/>
      <c r="AL16" s="508"/>
      <c r="AM16" s="508"/>
      <c r="AN16" s="508"/>
      <c r="AO16" s="508"/>
      <c r="AP16" s="508"/>
      <c r="AQ16" s="509"/>
      <c r="AR16" s="509"/>
      <c r="AS16" s="509"/>
      <c r="AT16" s="509"/>
      <c r="AU16" s="509"/>
      <c r="AV16" s="483"/>
      <c r="AW16" s="483"/>
      <c r="AX16" s="483"/>
      <c r="AY16" s="483"/>
      <c r="AZ16" s="483"/>
      <c r="BA16" s="483"/>
      <c r="BB16" s="483"/>
      <c r="BC16" s="483"/>
      <c r="BD16" s="483"/>
      <c r="BE16" s="483"/>
      <c r="BF16" s="483"/>
      <c r="BG16" s="483"/>
      <c r="BH16" s="483"/>
      <c r="BI16" s="483"/>
      <c r="BJ16" s="483"/>
      <c r="BK16" s="483"/>
      <c r="BL16" s="483"/>
      <c r="BM16" s="483"/>
      <c r="BN16" s="483"/>
      <c r="BO16" s="483"/>
      <c r="BP16" s="483"/>
      <c r="GA16" t="s">
        <v>85</v>
      </c>
      <c r="GB16">
        <v>11</v>
      </c>
      <c r="GC16">
        <v>106</v>
      </c>
      <c r="GD16">
        <v>96</v>
      </c>
      <c r="GE16">
        <v>77</v>
      </c>
      <c r="GF16">
        <v>34</v>
      </c>
      <c r="GG16">
        <v>1797</v>
      </c>
      <c r="GH16">
        <v>42</v>
      </c>
      <c r="GI16">
        <v>33</v>
      </c>
      <c r="GJ16">
        <v>27</v>
      </c>
      <c r="GK16">
        <v>30</v>
      </c>
      <c r="GL16">
        <v>778</v>
      </c>
      <c r="GM16">
        <v>59</v>
      </c>
      <c r="GN16">
        <v>60</v>
      </c>
      <c r="GO16">
        <v>35</v>
      </c>
      <c r="GP16">
        <v>67</v>
      </c>
      <c r="GQ16">
        <v>-270</v>
      </c>
      <c r="GR16">
        <v>0</v>
      </c>
      <c r="GS16">
        <v>0</v>
      </c>
      <c r="GT16">
        <v>0</v>
      </c>
      <c r="GU16">
        <v>0</v>
      </c>
      <c r="GV16">
        <v>0</v>
      </c>
      <c r="GW16">
        <v>5</v>
      </c>
      <c r="GX16">
        <v>10</v>
      </c>
      <c r="GY16">
        <v>12</v>
      </c>
      <c r="GZ16">
        <v>19</v>
      </c>
      <c r="HA16">
        <v>-53</v>
      </c>
      <c r="HB16">
        <v>11</v>
      </c>
      <c r="HC16">
        <v>76</v>
      </c>
      <c r="HD16">
        <v>105</v>
      </c>
      <c r="HE16">
        <v>125</v>
      </c>
      <c r="HF16">
        <v>53</v>
      </c>
      <c r="HG16">
        <v>-1450</v>
      </c>
      <c r="HH16">
        <v>148</v>
      </c>
      <c r="HI16">
        <v>126</v>
      </c>
      <c r="HJ16">
        <v>122</v>
      </c>
      <c r="HK16">
        <v>39</v>
      </c>
      <c r="HL16">
        <v>2375</v>
      </c>
      <c r="HM16">
        <v>112</v>
      </c>
      <c r="HN16">
        <v>100</v>
      </c>
      <c r="HO16">
        <v>128</v>
      </c>
      <c r="HP16">
        <v>49</v>
      </c>
      <c r="HQ16">
        <v>2557</v>
      </c>
      <c r="HR16">
        <v>34</v>
      </c>
      <c r="HS16">
        <v>40</v>
      </c>
      <c r="HT16">
        <v>41</v>
      </c>
      <c r="HU16">
        <v>14</v>
      </c>
      <c r="HV16">
        <v>911</v>
      </c>
      <c r="HW16">
        <v>10</v>
      </c>
      <c r="HX16">
        <v>20</v>
      </c>
      <c r="HY16">
        <v>25</v>
      </c>
      <c r="HZ16">
        <v>18</v>
      </c>
      <c r="IA16">
        <v>335</v>
      </c>
      <c r="IB16">
        <v>11</v>
      </c>
      <c r="IC16">
        <v>151</v>
      </c>
      <c r="ID16">
        <v>119</v>
      </c>
      <c r="IE16">
        <v>114</v>
      </c>
      <c r="IF16">
        <v>53</v>
      </c>
      <c r="IG16">
        <v>2268</v>
      </c>
      <c r="IH16">
        <v>27</v>
      </c>
      <c r="II16">
        <v>43</v>
      </c>
      <c r="IJ16">
        <v>43</v>
      </c>
      <c r="IK16">
        <v>24</v>
      </c>
      <c r="IL16">
        <v>690</v>
      </c>
      <c r="IM16">
        <v>0</v>
      </c>
      <c r="IN16">
        <v>0</v>
      </c>
      <c r="IO16">
        <v>0</v>
      </c>
      <c r="IP16">
        <v>0</v>
      </c>
      <c r="IQ16">
        <v>0</v>
      </c>
      <c r="IR16">
        <v>51</v>
      </c>
      <c r="IS16">
        <v>43</v>
      </c>
      <c r="IT16">
        <v>44</v>
      </c>
      <c r="IU16">
        <v>28</v>
      </c>
      <c r="IV16">
        <v>-172</v>
      </c>
      <c r="IW16">
        <v>27</v>
      </c>
      <c r="IX16">
        <v>29</v>
      </c>
      <c r="IY16">
        <v>22</v>
      </c>
      <c r="IZ16">
        <v>7</v>
      </c>
      <c r="JA16">
        <v>517</v>
      </c>
      <c r="JB16">
        <v>11</v>
      </c>
      <c r="JC16">
        <v>35</v>
      </c>
      <c r="JD16">
        <v>27</v>
      </c>
      <c r="JE16">
        <v>27</v>
      </c>
      <c r="JF16">
        <v>9</v>
      </c>
      <c r="JG16">
        <v>579</v>
      </c>
      <c r="JH16">
        <v>86</v>
      </c>
      <c r="JI16">
        <v>69</v>
      </c>
      <c r="JJ16">
        <v>55</v>
      </c>
      <c r="JK16">
        <v>39</v>
      </c>
      <c r="JL16">
        <v>1222</v>
      </c>
      <c r="JM16">
        <v>69</v>
      </c>
      <c r="JN16">
        <v>68</v>
      </c>
      <c r="JO16">
        <v>54</v>
      </c>
      <c r="JP16">
        <v>18</v>
      </c>
      <c r="JQ16">
        <v>992</v>
      </c>
      <c r="JR16">
        <v>84</v>
      </c>
      <c r="JS16">
        <v>89</v>
      </c>
      <c r="JT16">
        <v>82</v>
      </c>
      <c r="JU16">
        <v>16</v>
      </c>
      <c r="JV16">
        <v>1896</v>
      </c>
      <c r="JW16">
        <v>15</v>
      </c>
      <c r="JX16">
        <v>3</v>
      </c>
      <c r="JY16">
        <v>18</v>
      </c>
      <c r="JZ16">
        <v>25</v>
      </c>
      <c r="KA16">
        <v>330</v>
      </c>
      <c r="KB16">
        <v>11</v>
      </c>
      <c r="KC16" t="s">
        <v>85</v>
      </c>
      <c r="KD16" t="s">
        <v>85</v>
      </c>
      <c r="KE16" t="s">
        <v>85</v>
      </c>
      <c r="KF16" t="s">
        <v>85</v>
      </c>
      <c r="KG16" t="s">
        <v>85</v>
      </c>
      <c r="KH16" t="s">
        <v>85</v>
      </c>
      <c r="KI16" t="s">
        <v>85</v>
      </c>
      <c r="KJ16" t="s">
        <v>85</v>
      </c>
      <c r="KK16" t="s">
        <v>85</v>
      </c>
      <c r="KL16" t="s">
        <v>85</v>
      </c>
      <c r="KM16" t="s">
        <v>85</v>
      </c>
      <c r="KN16" t="s">
        <v>85</v>
      </c>
      <c r="KO16" t="s">
        <v>85</v>
      </c>
      <c r="KP16" t="s">
        <v>85</v>
      </c>
      <c r="KQ16" t="s">
        <v>85</v>
      </c>
      <c r="KR16" t="s">
        <v>85</v>
      </c>
      <c r="KS16" t="s">
        <v>85</v>
      </c>
      <c r="KT16" t="s">
        <v>85</v>
      </c>
      <c r="KU16" t="s">
        <v>85</v>
      </c>
      <c r="KV16" t="s">
        <v>85</v>
      </c>
      <c r="KW16" t="s">
        <v>85</v>
      </c>
      <c r="KX16" t="s">
        <v>85</v>
      </c>
      <c r="KY16" t="s">
        <v>85</v>
      </c>
      <c r="KZ16" t="s">
        <v>85</v>
      </c>
      <c r="LA16" t="s">
        <v>85</v>
      </c>
      <c r="LB16">
        <v>11</v>
      </c>
      <c r="LC16" t="s">
        <v>85</v>
      </c>
      <c r="LD16" t="s">
        <v>85</v>
      </c>
      <c r="LE16" t="s">
        <v>85</v>
      </c>
      <c r="LF16" t="s">
        <v>85</v>
      </c>
      <c r="LG16" t="s">
        <v>85</v>
      </c>
      <c r="LH16" t="s">
        <v>85</v>
      </c>
      <c r="LI16" t="s">
        <v>85</v>
      </c>
      <c r="LJ16" t="s">
        <v>85</v>
      </c>
      <c r="LK16" t="s">
        <v>85</v>
      </c>
      <c r="LL16" t="s">
        <v>85</v>
      </c>
      <c r="LM16" t="s">
        <v>85</v>
      </c>
      <c r="LN16" t="s">
        <v>85</v>
      </c>
      <c r="LO16" t="s">
        <v>85</v>
      </c>
      <c r="LP16" t="s">
        <v>85</v>
      </c>
      <c r="LQ16" t="s">
        <v>85</v>
      </c>
      <c r="LR16" t="s">
        <v>85</v>
      </c>
      <c r="LS16" t="s">
        <v>85</v>
      </c>
      <c r="LT16" t="s">
        <v>85</v>
      </c>
      <c r="LU16" t="s">
        <v>85</v>
      </c>
      <c r="LV16" t="s">
        <v>85</v>
      </c>
      <c r="LW16" t="s">
        <v>85</v>
      </c>
      <c r="LX16" t="s">
        <v>85</v>
      </c>
      <c r="LY16" t="s">
        <v>85</v>
      </c>
      <c r="LZ16" t="s">
        <v>85</v>
      </c>
      <c r="MA16" t="s">
        <v>85</v>
      </c>
      <c r="MB16">
        <v>11</v>
      </c>
      <c r="MC16" t="s">
        <v>85</v>
      </c>
      <c r="MD16" t="s">
        <v>85</v>
      </c>
      <c r="ME16" t="s">
        <v>85</v>
      </c>
      <c r="MF16" t="s">
        <v>85</v>
      </c>
      <c r="MG16" t="s">
        <v>85</v>
      </c>
      <c r="MH16" t="s">
        <v>85</v>
      </c>
      <c r="MI16" t="s">
        <v>85</v>
      </c>
      <c r="MJ16" t="s">
        <v>85</v>
      </c>
      <c r="MK16" t="s">
        <v>85</v>
      </c>
      <c r="ML16" t="s">
        <v>85</v>
      </c>
      <c r="MM16" t="s">
        <v>85</v>
      </c>
      <c r="MN16" t="s">
        <v>85</v>
      </c>
      <c r="MO16" t="s">
        <v>85</v>
      </c>
      <c r="MP16" t="s">
        <v>85</v>
      </c>
      <c r="MQ16" t="s">
        <v>85</v>
      </c>
      <c r="MR16" t="s">
        <v>85</v>
      </c>
      <c r="MS16" t="s">
        <v>85</v>
      </c>
      <c r="MT16" t="s">
        <v>85</v>
      </c>
      <c r="MU16" t="s">
        <v>85</v>
      </c>
      <c r="MV16" t="s">
        <v>85</v>
      </c>
      <c r="MW16" t="s">
        <v>85</v>
      </c>
      <c r="MX16" t="s">
        <v>85</v>
      </c>
      <c r="MY16" t="s">
        <v>85</v>
      </c>
      <c r="MZ16" t="s">
        <v>85</v>
      </c>
      <c r="NA16">
        <v>11</v>
      </c>
      <c r="NB16">
        <v>-1</v>
      </c>
      <c r="NC16">
        <v>-1</v>
      </c>
      <c r="ND16">
        <v>-1</v>
      </c>
      <c r="NE16">
        <v>-1</v>
      </c>
      <c r="NF16">
        <v>26</v>
      </c>
      <c r="NG16">
        <v>8</v>
      </c>
      <c r="NH16">
        <v>8</v>
      </c>
      <c r="NI16">
        <v>8</v>
      </c>
      <c r="NJ16">
        <v>0</v>
      </c>
      <c r="NK16">
        <v>402</v>
      </c>
      <c r="NL16">
        <v>11</v>
      </c>
      <c r="NM16">
        <v>11</v>
      </c>
      <c r="NN16">
        <v>10</v>
      </c>
      <c r="NO16">
        <v>0</v>
      </c>
      <c r="NP16">
        <v>481</v>
      </c>
      <c r="NQ16">
        <v>13</v>
      </c>
      <c r="NR16">
        <v>12</v>
      </c>
      <c r="NS16">
        <v>12</v>
      </c>
      <c r="NT16">
        <v>0</v>
      </c>
      <c r="NU16">
        <v>496</v>
      </c>
      <c r="NV16">
        <v>14</v>
      </c>
      <c r="NW16">
        <v>15</v>
      </c>
      <c r="NX16">
        <v>14</v>
      </c>
      <c r="NY16">
        <v>1</v>
      </c>
      <c r="NZ16">
        <v>0</v>
      </c>
      <c r="OA16">
        <v>11</v>
      </c>
      <c r="OB16">
        <v>16</v>
      </c>
      <c r="OC16">
        <v>16</v>
      </c>
      <c r="OD16">
        <v>16</v>
      </c>
      <c r="OE16">
        <v>1</v>
      </c>
      <c r="OF16">
        <v>386</v>
      </c>
      <c r="OG16">
        <v>14</v>
      </c>
      <c r="OH16">
        <v>14</v>
      </c>
      <c r="OI16">
        <v>14</v>
      </c>
      <c r="OJ16">
        <v>1</v>
      </c>
      <c r="OK16">
        <v>206</v>
      </c>
      <c r="OL16">
        <v>1</v>
      </c>
      <c r="OM16">
        <v>1</v>
      </c>
      <c r="ON16">
        <v>1</v>
      </c>
      <c r="OO16">
        <v>1</v>
      </c>
      <c r="OP16">
        <v>48</v>
      </c>
      <c r="OQ16" t="s">
        <v>85</v>
      </c>
      <c r="OR16" t="s">
        <v>85</v>
      </c>
      <c r="OS16" t="s">
        <v>85</v>
      </c>
      <c r="OT16" t="s">
        <v>85</v>
      </c>
      <c r="OU16" t="s">
        <v>85</v>
      </c>
      <c r="OV16" t="s">
        <v>85</v>
      </c>
      <c r="OW16" t="s">
        <v>85</v>
      </c>
      <c r="OX16" t="s">
        <v>85</v>
      </c>
      <c r="OY16" t="s">
        <v>85</v>
      </c>
      <c r="OZ16" t="s">
        <v>85</v>
      </c>
      <c r="PA16">
        <v>11</v>
      </c>
      <c r="PB16">
        <v>23</v>
      </c>
      <c r="PC16">
        <v>23</v>
      </c>
      <c r="PD16">
        <v>23</v>
      </c>
      <c r="PE16">
        <v>0</v>
      </c>
      <c r="PF16">
        <v>856</v>
      </c>
      <c r="PG16">
        <v>23</v>
      </c>
      <c r="PH16">
        <v>21</v>
      </c>
      <c r="PI16">
        <v>21</v>
      </c>
      <c r="PJ16">
        <v>0</v>
      </c>
      <c r="PK16">
        <v>702</v>
      </c>
      <c r="PL16">
        <v>10</v>
      </c>
      <c r="PM16">
        <v>11</v>
      </c>
      <c r="PN16">
        <v>11</v>
      </c>
      <c r="PO16">
        <v>0</v>
      </c>
      <c r="PP16">
        <v>299</v>
      </c>
      <c r="PQ16">
        <v>15</v>
      </c>
      <c r="PR16">
        <v>18</v>
      </c>
      <c r="PS16">
        <v>14</v>
      </c>
      <c r="PT16">
        <v>2</v>
      </c>
      <c r="PU16">
        <v>554</v>
      </c>
      <c r="PV16">
        <v>33</v>
      </c>
      <c r="PW16">
        <v>37</v>
      </c>
      <c r="PX16">
        <v>33</v>
      </c>
      <c r="PY16">
        <v>0</v>
      </c>
      <c r="PZ16">
        <v>1460</v>
      </c>
      <c r="QA16">
        <v>11</v>
      </c>
      <c r="QB16" t="s">
        <v>85</v>
      </c>
      <c r="QC16" t="s">
        <v>85</v>
      </c>
      <c r="QD16" t="s">
        <v>85</v>
      </c>
      <c r="QE16" t="s">
        <v>85</v>
      </c>
      <c r="QF16">
        <v>0</v>
      </c>
      <c r="QG16">
        <v>2</v>
      </c>
      <c r="QH16">
        <v>2</v>
      </c>
      <c r="QI16">
        <v>2</v>
      </c>
      <c r="QJ16">
        <v>0</v>
      </c>
      <c r="QK16">
        <v>59</v>
      </c>
      <c r="QL16" t="s">
        <v>85</v>
      </c>
      <c r="QM16" t="s">
        <v>85</v>
      </c>
      <c r="QN16" t="s">
        <v>85</v>
      </c>
      <c r="QO16" t="s">
        <v>85</v>
      </c>
      <c r="QP16" t="s">
        <v>85</v>
      </c>
      <c r="QQ16" t="s">
        <v>85</v>
      </c>
      <c r="QR16" t="s">
        <v>85</v>
      </c>
      <c r="QS16" t="s">
        <v>85</v>
      </c>
      <c r="QT16" t="s">
        <v>85</v>
      </c>
      <c r="QU16" t="s">
        <v>85</v>
      </c>
      <c r="QV16" t="s">
        <v>85</v>
      </c>
      <c r="QW16" t="s">
        <v>85</v>
      </c>
      <c r="QX16" t="s">
        <v>85</v>
      </c>
      <c r="QY16" t="s">
        <v>85</v>
      </c>
      <c r="QZ16" t="s">
        <v>85</v>
      </c>
      <c r="RA16">
        <v>11</v>
      </c>
      <c r="RB16">
        <v>115</v>
      </c>
      <c r="RC16">
        <v>116</v>
      </c>
      <c r="RD16">
        <v>116</v>
      </c>
      <c r="RE16">
        <v>0</v>
      </c>
      <c r="RF16">
        <v>4342</v>
      </c>
      <c r="RG16">
        <v>14</v>
      </c>
      <c r="RH16">
        <v>14</v>
      </c>
      <c r="RI16">
        <v>14</v>
      </c>
      <c r="RJ16">
        <v>0</v>
      </c>
      <c r="RK16">
        <v>497</v>
      </c>
      <c r="RL16">
        <v>13</v>
      </c>
      <c r="RM16">
        <v>13</v>
      </c>
      <c r="RN16">
        <v>13</v>
      </c>
      <c r="RO16">
        <v>0</v>
      </c>
      <c r="RP16">
        <v>452</v>
      </c>
      <c r="RQ16">
        <v>0</v>
      </c>
      <c r="RR16">
        <v>0</v>
      </c>
      <c r="RS16">
        <v>0</v>
      </c>
      <c r="RT16">
        <v>0</v>
      </c>
      <c r="RU16">
        <v>0</v>
      </c>
      <c r="RV16">
        <v>0</v>
      </c>
      <c r="RW16">
        <v>0</v>
      </c>
      <c r="RX16">
        <v>0</v>
      </c>
      <c r="RY16">
        <v>0</v>
      </c>
      <c r="RZ16">
        <v>0</v>
      </c>
      <c r="SA16">
        <v>11</v>
      </c>
      <c r="SB16">
        <v>0</v>
      </c>
      <c r="SC16">
        <v>0</v>
      </c>
      <c r="SD16">
        <v>0</v>
      </c>
      <c r="SE16">
        <v>0</v>
      </c>
      <c r="SF16">
        <v>0</v>
      </c>
      <c r="SG16" t="s">
        <v>85</v>
      </c>
      <c r="SH16" t="s">
        <v>85</v>
      </c>
      <c r="SI16" t="s">
        <v>85</v>
      </c>
      <c r="SJ16" t="s">
        <v>85</v>
      </c>
      <c r="SK16" t="s">
        <v>85</v>
      </c>
      <c r="SL16" t="s">
        <v>85</v>
      </c>
      <c r="SM16" t="s">
        <v>85</v>
      </c>
      <c r="SN16" t="s">
        <v>85</v>
      </c>
      <c r="SO16" t="s">
        <v>85</v>
      </c>
      <c r="SP16" t="s">
        <v>85</v>
      </c>
      <c r="SQ16" t="s">
        <v>85</v>
      </c>
      <c r="SR16" t="s">
        <v>85</v>
      </c>
      <c r="SS16" t="s">
        <v>85</v>
      </c>
      <c r="ST16" t="s">
        <v>85</v>
      </c>
      <c r="SU16" t="s">
        <v>85</v>
      </c>
      <c r="SV16" t="s">
        <v>85</v>
      </c>
      <c r="SW16" t="s">
        <v>85</v>
      </c>
      <c r="SX16" t="s">
        <v>85</v>
      </c>
      <c r="SY16" t="s">
        <v>85</v>
      </c>
      <c r="SZ16" t="s">
        <v>85</v>
      </c>
      <c r="TA16">
        <v>11</v>
      </c>
      <c r="TB16">
        <v>83</v>
      </c>
      <c r="TC16">
        <v>83</v>
      </c>
      <c r="TD16">
        <v>83</v>
      </c>
      <c r="TE16">
        <v>0</v>
      </c>
      <c r="TF16">
        <v>2493</v>
      </c>
      <c r="TG16">
        <v>0</v>
      </c>
      <c r="TH16">
        <v>0</v>
      </c>
      <c r="TI16">
        <v>0</v>
      </c>
      <c r="TJ16">
        <v>0</v>
      </c>
      <c r="TK16">
        <v>0</v>
      </c>
      <c r="TL16">
        <v>0</v>
      </c>
      <c r="TM16">
        <v>0</v>
      </c>
      <c r="TN16">
        <v>0</v>
      </c>
      <c r="TO16">
        <v>0</v>
      </c>
      <c r="TP16">
        <v>0</v>
      </c>
      <c r="TQ16">
        <v>28</v>
      </c>
      <c r="TR16">
        <v>27</v>
      </c>
      <c r="TS16">
        <v>30</v>
      </c>
      <c r="TT16">
        <v>0</v>
      </c>
      <c r="TU16">
        <v>1045</v>
      </c>
      <c r="TV16">
        <v>7</v>
      </c>
      <c r="TW16">
        <v>7</v>
      </c>
      <c r="TX16">
        <v>5</v>
      </c>
      <c r="TY16">
        <v>0</v>
      </c>
      <c r="TZ16">
        <v>258</v>
      </c>
      <c r="UA16">
        <v>11</v>
      </c>
      <c r="UB16">
        <v>68</v>
      </c>
      <c r="UC16">
        <v>71</v>
      </c>
      <c r="UD16">
        <v>69</v>
      </c>
      <c r="UE16">
        <v>0</v>
      </c>
      <c r="UF16">
        <v>2811</v>
      </c>
      <c r="UG16" t="s">
        <v>85</v>
      </c>
      <c r="UH16" t="s">
        <v>85</v>
      </c>
      <c r="UI16" t="s">
        <v>85</v>
      </c>
      <c r="UJ16" t="s">
        <v>85</v>
      </c>
      <c r="UK16" t="s">
        <v>85</v>
      </c>
      <c r="UL16" t="s">
        <v>85</v>
      </c>
      <c r="UM16" t="s">
        <v>85</v>
      </c>
      <c r="UN16" t="s">
        <v>85</v>
      </c>
      <c r="UO16" t="s">
        <v>85</v>
      </c>
      <c r="UP16" t="s">
        <v>85</v>
      </c>
      <c r="UQ16" t="s">
        <v>85</v>
      </c>
      <c r="UR16" t="s">
        <v>85</v>
      </c>
      <c r="US16" t="s">
        <v>85</v>
      </c>
      <c r="UT16" t="s">
        <v>85</v>
      </c>
      <c r="UU16" t="s">
        <v>85</v>
      </c>
      <c r="UV16" t="s">
        <v>85</v>
      </c>
      <c r="UW16" t="s">
        <v>85</v>
      </c>
      <c r="UX16" t="s">
        <v>85</v>
      </c>
      <c r="UY16" t="s">
        <v>85</v>
      </c>
      <c r="UZ16" t="s">
        <v>85</v>
      </c>
      <c r="VX16">
        <v>11</v>
      </c>
      <c r="VY16">
        <v>-1</v>
      </c>
      <c r="VZ16">
        <v>-1</v>
      </c>
      <c r="WA16">
        <v>-1</v>
      </c>
      <c r="WB16">
        <v>-1</v>
      </c>
      <c r="WC16">
        <v>26</v>
      </c>
      <c r="WD16">
        <v>8</v>
      </c>
      <c r="WE16">
        <v>8</v>
      </c>
      <c r="WF16">
        <v>8</v>
      </c>
      <c r="WG16">
        <v>0</v>
      </c>
      <c r="WH16">
        <v>402</v>
      </c>
      <c r="WI16">
        <v>11</v>
      </c>
      <c r="WJ16">
        <v>11</v>
      </c>
      <c r="WK16">
        <v>10</v>
      </c>
      <c r="WL16">
        <v>0</v>
      </c>
      <c r="WM16">
        <v>481</v>
      </c>
      <c r="WN16">
        <v>13</v>
      </c>
      <c r="WO16">
        <v>12</v>
      </c>
      <c r="WP16">
        <v>12</v>
      </c>
      <c r="WQ16">
        <v>0</v>
      </c>
      <c r="WR16">
        <v>496</v>
      </c>
      <c r="WS16">
        <v>14</v>
      </c>
      <c r="WT16">
        <v>15</v>
      </c>
      <c r="WU16">
        <v>14</v>
      </c>
      <c r="WV16">
        <v>1</v>
      </c>
      <c r="WW16">
        <v>0</v>
      </c>
      <c r="WX16">
        <v>11</v>
      </c>
      <c r="WY16">
        <v>16</v>
      </c>
      <c r="WZ16">
        <v>16</v>
      </c>
      <c r="XA16">
        <v>16</v>
      </c>
      <c r="XB16">
        <v>1</v>
      </c>
      <c r="XC16">
        <v>386</v>
      </c>
      <c r="XD16">
        <v>14</v>
      </c>
      <c r="XE16">
        <v>14</v>
      </c>
      <c r="XF16">
        <v>14</v>
      </c>
      <c r="XG16">
        <v>1</v>
      </c>
      <c r="XH16">
        <v>206</v>
      </c>
      <c r="XI16">
        <v>1</v>
      </c>
      <c r="XJ16">
        <v>1</v>
      </c>
      <c r="XK16">
        <v>1</v>
      </c>
      <c r="XL16">
        <v>1</v>
      </c>
      <c r="XM16">
        <v>48</v>
      </c>
      <c r="XN16" t="s">
        <v>85</v>
      </c>
      <c r="XO16" t="s">
        <v>85</v>
      </c>
      <c r="XP16" t="s">
        <v>85</v>
      </c>
      <c r="XQ16" t="s">
        <v>85</v>
      </c>
      <c r="XR16" t="s">
        <v>85</v>
      </c>
      <c r="XS16" t="s">
        <v>85</v>
      </c>
      <c r="XT16" t="s">
        <v>85</v>
      </c>
      <c r="XU16" t="s">
        <v>85</v>
      </c>
      <c r="XV16" t="s">
        <v>85</v>
      </c>
      <c r="XW16" t="s">
        <v>85</v>
      </c>
      <c r="XX16">
        <v>11</v>
      </c>
      <c r="XY16">
        <v>23</v>
      </c>
      <c r="XZ16">
        <v>23</v>
      </c>
      <c r="YA16">
        <v>23</v>
      </c>
      <c r="YB16">
        <v>0</v>
      </c>
      <c r="YC16">
        <v>856</v>
      </c>
      <c r="YD16">
        <v>23</v>
      </c>
      <c r="YE16">
        <v>21</v>
      </c>
      <c r="YF16">
        <v>21</v>
      </c>
      <c r="YG16">
        <v>0</v>
      </c>
      <c r="YH16">
        <v>702</v>
      </c>
      <c r="YI16">
        <v>10</v>
      </c>
      <c r="YJ16">
        <v>11</v>
      </c>
      <c r="YK16">
        <v>11</v>
      </c>
      <c r="YL16">
        <v>0</v>
      </c>
      <c r="YM16">
        <v>299</v>
      </c>
      <c r="YN16">
        <v>15</v>
      </c>
      <c r="YO16">
        <v>18</v>
      </c>
      <c r="YP16">
        <v>14</v>
      </c>
      <c r="YQ16">
        <v>2</v>
      </c>
      <c r="YR16">
        <v>554</v>
      </c>
      <c r="YS16">
        <v>33</v>
      </c>
      <c r="YT16">
        <v>37</v>
      </c>
      <c r="YU16">
        <v>33</v>
      </c>
      <c r="YV16">
        <v>0</v>
      </c>
      <c r="YW16">
        <v>1460</v>
      </c>
      <c r="YX16">
        <v>11</v>
      </c>
      <c r="YY16" t="s">
        <v>85</v>
      </c>
      <c r="YZ16" t="s">
        <v>85</v>
      </c>
      <c r="ZA16" t="s">
        <v>85</v>
      </c>
      <c r="ZB16" t="s">
        <v>85</v>
      </c>
      <c r="ZC16">
        <v>0</v>
      </c>
      <c r="ZD16">
        <v>2</v>
      </c>
      <c r="ZE16">
        <v>2</v>
      </c>
      <c r="ZF16">
        <v>2</v>
      </c>
      <c r="ZG16">
        <v>0</v>
      </c>
      <c r="ZH16">
        <v>59</v>
      </c>
      <c r="ZI16" t="s">
        <v>85</v>
      </c>
      <c r="ZJ16" t="s">
        <v>85</v>
      </c>
      <c r="ZK16" t="s">
        <v>85</v>
      </c>
      <c r="ZL16" t="s">
        <v>85</v>
      </c>
      <c r="ZM16" t="s">
        <v>85</v>
      </c>
      <c r="ZN16" t="s">
        <v>85</v>
      </c>
      <c r="ZO16" t="s">
        <v>85</v>
      </c>
      <c r="ZP16" t="s">
        <v>85</v>
      </c>
      <c r="ZQ16" t="s">
        <v>85</v>
      </c>
      <c r="ZR16" t="s">
        <v>85</v>
      </c>
      <c r="ZS16" t="s">
        <v>85</v>
      </c>
      <c r="ZT16" t="s">
        <v>85</v>
      </c>
      <c r="ZU16" t="s">
        <v>85</v>
      </c>
      <c r="ZV16" t="s">
        <v>85</v>
      </c>
      <c r="ZW16" t="s">
        <v>85</v>
      </c>
      <c r="ZX16">
        <v>11</v>
      </c>
      <c r="ZY16">
        <v>11</v>
      </c>
      <c r="ZZ16">
        <v>11</v>
      </c>
      <c r="AAA16">
        <v>68</v>
      </c>
      <c r="AAB16">
        <v>71</v>
      </c>
      <c r="AAC16">
        <v>69</v>
      </c>
      <c r="AAD16">
        <v>0</v>
      </c>
      <c r="AAE16">
        <v>2811</v>
      </c>
      <c r="AAF16" t="s">
        <v>85</v>
      </c>
      <c r="AAG16" t="s">
        <v>85</v>
      </c>
      <c r="AAH16" t="s">
        <v>85</v>
      </c>
      <c r="AAI16" t="s">
        <v>85</v>
      </c>
      <c r="AAJ16" t="s">
        <v>85</v>
      </c>
      <c r="AAK16" t="s">
        <v>85</v>
      </c>
      <c r="AAL16" t="s">
        <v>85</v>
      </c>
      <c r="AAM16" t="s">
        <v>85</v>
      </c>
      <c r="AAN16" t="s">
        <v>85</v>
      </c>
      <c r="AAO16" t="s">
        <v>85</v>
      </c>
      <c r="AAP16" t="s">
        <v>85</v>
      </c>
      <c r="AAQ16" t="s">
        <v>85</v>
      </c>
      <c r="AAR16" t="s">
        <v>85</v>
      </c>
      <c r="AAS16" t="s">
        <v>85</v>
      </c>
      <c r="AAT16" t="s">
        <v>85</v>
      </c>
      <c r="AAU16" t="s">
        <v>85</v>
      </c>
      <c r="AAV16" t="s">
        <v>85</v>
      </c>
      <c r="AAW16" t="s">
        <v>85</v>
      </c>
      <c r="AAX16" t="s">
        <v>85</v>
      </c>
      <c r="AAY16" t="s">
        <v>85</v>
      </c>
    </row>
    <row r="17" spans="1:727">
      <c r="A17" s="483">
        <v>11</v>
      </c>
      <c r="B17" s="503">
        <v>-1</v>
      </c>
      <c r="C17" s="503">
        <v>-1</v>
      </c>
      <c r="D17" s="503">
        <v>0</v>
      </c>
      <c r="E17" s="503">
        <v>-1</v>
      </c>
      <c r="F17" s="503">
        <v>23</v>
      </c>
      <c r="G17" s="593">
        <v>6</v>
      </c>
      <c r="H17" s="593">
        <v>6</v>
      </c>
      <c r="I17" s="593">
        <v>6</v>
      </c>
      <c r="J17" s="593">
        <v>0</v>
      </c>
      <c r="K17" s="593">
        <v>131</v>
      </c>
      <c r="L17" s="502">
        <v>7</v>
      </c>
      <c r="M17" s="502">
        <v>7</v>
      </c>
      <c r="N17" s="502">
        <v>7</v>
      </c>
      <c r="O17" s="502">
        <v>0</v>
      </c>
      <c r="P17" s="502">
        <v>48</v>
      </c>
      <c r="Q17" s="504">
        <v>5</v>
      </c>
      <c r="R17" s="504">
        <v>5</v>
      </c>
      <c r="S17" s="504">
        <v>4</v>
      </c>
      <c r="T17" s="504">
        <v>0</v>
      </c>
      <c r="U17" s="504">
        <v>60</v>
      </c>
      <c r="V17" s="505">
        <v>6</v>
      </c>
      <c r="W17" s="505">
        <v>6</v>
      </c>
      <c r="X17" s="505">
        <v>6</v>
      </c>
      <c r="Y17" s="505">
        <v>1</v>
      </c>
      <c r="Z17" s="505">
        <v>0</v>
      </c>
      <c r="AA17" s="506"/>
      <c r="AB17" s="506"/>
      <c r="AC17" s="506"/>
      <c r="AD17" s="506"/>
      <c r="AE17" s="506"/>
      <c r="AF17" s="506"/>
      <c r="AG17" s="507"/>
      <c r="AH17" s="507"/>
      <c r="AI17" s="507"/>
      <c r="AJ17" s="507"/>
      <c r="AK17" s="507"/>
      <c r="AL17" s="508"/>
      <c r="AM17" s="508"/>
      <c r="AN17" s="508"/>
      <c r="AO17" s="508"/>
      <c r="AP17" s="508"/>
      <c r="AQ17" s="509"/>
      <c r="AR17" s="509"/>
      <c r="AS17" s="509"/>
      <c r="AT17" s="509"/>
      <c r="AU17" s="509"/>
      <c r="AV17" s="483"/>
      <c r="AW17" s="483"/>
      <c r="AX17" s="483"/>
      <c r="AY17" s="483"/>
      <c r="AZ17" s="483"/>
      <c r="BA17" s="483"/>
      <c r="BB17" s="483"/>
      <c r="BC17" s="483"/>
      <c r="BD17" s="483"/>
      <c r="BE17" s="483"/>
      <c r="BF17" s="483"/>
      <c r="BG17" s="483"/>
      <c r="BH17" s="483"/>
      <c r="BI17" s="483"/>
      <c r="BJ17" s="483"/>
      <c r="BK17" s="483"/>
      <c r="BL17" s="483"/>
      <c r="BM17" s="483"/>
      <c r="BN17" s="483"/>
      <c r="BO17" s="483"/>
      <c r="BP17" s="483"/>
      <c r="GA17" t="s">
        <v>85</v>
      </c>
      <c r="GB17">
        <v>12</v>
      </c>
      <c r="GC17">
        <v>119</v>
      </c>
      <c r="GD17">
        <v>90</v>
      </c>
      <c r="GE17">
        <v>73</v>
      </c>
      <c r="GF17">
        <v>43</v>
      </c>
      <c r="GG17">
        <v>1881</v>
      </c>
      <c r="GH17">
        <v>27</v>
      </c>
      <c r="GI17">
        <v>30</v>
      </c>
      <c r="GJ17">
        <v>17</v>
      </c>
      <c r="GK17">
        <v>23</v>
      </c>
      <c r="GL17">
        <v>625</v>
      </c>
      <c r="GM17">
        <v>63</v>
      </c>
      <c r="GN17">
        <v>76</v>
      </c>
      <c r="GO17">
        <v>46</v>
      </c>
      <c r="GP17">
        <v>75</v>
      </c>
      <c r="GQ17">
        <v>-444</v>
      </c>
      <c r="GR17">
        <v>0</v>
      </c>
      <c r="GS17">
        <v>0</v>
      </c>
      <c r="GT17">
        <v>0</v>
      </c>
      <c r="GU17">
        <v>0</v>
      </c>
      <c r="GV17">
        <v>0</v>
      </c>
      <c r="GW17">
        <v>12</v>
      </c>
      <c r="GX17">
        <v>21</v>
      </c>
      <c r="GY17">
        <v>23</v>
      </c>
      <c r="GZ17">
        <v>18</v>
      </c>
      <c r="HA17">
        <v>-71</v>
      </c>
      <c r="HB17">
        <v>12</v>
      </c>
      <c r="HC17">
        <v>19</v>
      </c>
      <c r="HD17">
        <v>38</v>
      </c>
      <c r="HE17">
        <v>65</v>
      </c>
      <c r="HF17">
        <v>65</v>
      </c>
      <c r="HG17">
        <v>-993</v>
      </c>
      <c r="HH17">
        <v>141</v>
      </c>
      <c r="HI17">
        <v>113</v>
      </c>
      <c r="HJ17">
        <v>120</v>
      </c>
      <c r="HK17">
        <v>35</v>
      </c>
      <c r="HL17">
        <v>2591</v>
      </c>
      <c r="HM17">
        <v>122</v>
      </c>
      <c r="HN17">
        <v>100</v>
      </c>
      <c r="HO17">
        <v>131</v>
      </c>
      <c r="HP17">
        <v>49</v>
      </c>
      <c r="HQ17">
        <v>2772</v>
      </c>
      <c r="HR17">
        <v>48</v>
      </c>
      <c r="HS17">
        <v>53</v>
      </c>
      <c r="HT17">
        <v>57</v>
      </c>
      <c r="HU17">
        <v>16</v>
      </c>
      <c r="HV17">
        <v>726</v>
      </c>
      <c r="HW17">
        <v>10</v>
      </c>
      <c r="HX17">
        <v>18</v>
      </c>
      <c r="HY17">
        <v>25</v>
      </c>
      <c r="HZ17">
        <v>15</v>
      </c>
      <c r="IA17">
        <v>337</v>
      </c>
      <c r="IB17">
        <v>12</v>
      </c>
      <c r="IC17">
        <v>115</v>
      </c>
      <c r="ID17">
        <v>91</v>
      </c>
      <c r="IE17">
        <v>80</v>
      </c>
      <c r="IF17">
        <v>47</v>
      </c>
      <c r="IG17">
        <v>2437</v>
      </c>
      <c r="IH17">
        <v>26</v>
      </c>
      <c r="II17">
        <v>44</v>
      </c>
      <c r="IJ17">
        <v>45</v>
      </c>
      <c r="IK17">
        <v>27</v>
      </c>
      <c r="IL17">
        <v>712</v>
      </c>
      <c r="IM17">
        <v>0</v>
      </c>
      <c r="IN17">
        <v>0</v>
      </c>
      <c r="IO17">
        <v>0</v>
      </c>
      <c r="IP17">
        <v>0</v>
      </c>
      <c r="IQ17">
        <v>0</v>
      </c>
      <c r="IR17">
        <v>42</v>
      </c>
      <c r="IS17">
        <v>37</v>
      </c>
      <c r="IT17">
        <v>37</v>
      </c>
      <c r="IU17">
        <v>24</v>
      </c>
      <c r="IV17">
        <v>59</v>
      </c>
      <c r="IW17">
        <v>29</v>
      </c>
      <c r="IX17">
        <v>31</v>
      </c>
      <c r="IY17">
        <v>22</v>
      </c>
      <c r="IZ17">
        <v>7</v>
      </c>
      <c r="JA17">
        <v>501</v>
      </c>
      <c r="JB17">
        <v>12</v>
      </c>
      <c r="JC17">
        <v>38</v>
      </c>
      <c r="JD17">
        <v>27</v>
      </c>
      <c r="JE17">
        <v>27</v>
      </c>
      <c r="JF17">
        <v>11</v>
      </c>
      <c r="JG17">
        <v>591</v>
      </c>
      <c r="JH17">
        <v>63</v>
      </c>
      <c r="JI17">
        <v>46</v>
      </c>
      <c r="JJ17">
        <v>34</v>
      </c>
      <c r="JK17">
        <v>35</v>
      </c>
      <c r="JL17">
        <v>1343</v>
      </c>
      <c r="JM17">
        <v>91</v>
      </c>
      <c r="JN17">
        <v>88</v>
      </c>
      <c r="JO17">
        <v>70</v>
      </c>
      <c r="JP17">
        <v>23</v>
      </c>
      <c r="JQ17">
        <v>1425</v>
      </c>
      <c r="JR17">
        <v>75</v>
      </c>
      <c r="JS17">
        <v>82</v>
      </c>
      <c r="JT17">
        <v>80</v>
      </c>
      <c r="JU17">
        <v>25</v>
      </c>
      <c r="JV17">
        <v>1212</v>
      </c>
      <c r="JW17">
        <v>17</v>
      </c>
      <c r="JX17">
        <v>3</v>
      </c>
      <c r="JY17">
        <v>22</v>
      </c>
      <c r="JZ17">
        <v>24</v>
      </c>
      <c r="KA17">
        <v>375</v>
      </c>
      <c r="KB17">
        <v>12</v>
      </c>
      <c r="KC17" t="s">
        <v>85</v>
      </c>
      <c r="KD17" t="s">
        <v>85</v>
      </c>
      <c r="KE17" t="s">
        <v>85</v>
      </c>
      <c r="KF17" t="s">
        <v>85</v>
      </c>
      <c r="KG17" t="s">
        <v>85</v>
      </c>
      <c r="KH17" t="s">
        <v>85</v>
      </c>
      <c r="KI17" t="s">
        <v>85</v>
      </c>
      <c r="KJ17" t="s">
        <v>85</v>
      </c>
      <c r="KK17" t="s">
        <v>85</v>
      </c>
      <c r="KL17" t="s">
        <v>85</v>
      </c>
      <c r="KM17" t="s">
        <v>85</v>
      </c>
      <c r="KN17" t="s">
        <v>85</v>
      </c>
      <c r="KO17" t="s">
        <v>85</v>
      </c>
      <c r="KP17" t="s">
        <v>85</v>
      </c>
      <c r="KQ17" t="s">
        <v>85</v>
      </c>
      <c r="KR17" t="s">
        <v>85</v>
      </c>
      <c r="KS17" t="s">
        <v>85</v>
      </c>
      <c r="KT17" t="s">
        <v>85</v>
      </c>
      <c r="KU17" t="s">
        <v>85</v>
      </c>
      <c r="KV17" t="s">
        <v>85</v>
      </c>
      <c r="KW17" t="s">
        <v>85</v>
      </c>
      <c r="KX17" t="s">
        <v>85</v>
      </c>
      <c r="KY17" t="s">
        <v>85</v>
      </c>
      <c r="KZ17" t="s">
        <v>85</v>
      </c>
      <c r="LA17" t="s">
        <v>85</v>
      </c>
      <c r="LB17">
        <v>12</v>
      </c>
      <c r="LC17" t="s">
        <v>85</v>
      </c>
      <c r="LD17" t="s">
        <v>85</v>
      </c>
      <c r="LE17" t="s">
        <v>85</v>
      </c>
      <c r="LF17" t="s">
        <v>85</v>
      </c>
      <c r="LG17" t="s">
        <v>85</v>
      </c>
      <c r="LH17" t="s">
        <v>85</v>
      </c>
      <c r="LI17" t="s">
        <v>85</v>
      </c>
      <c r="LJ17" t="s">
        <v>85</v>
      </c>
      <c r="LK17" t="s">
        <v>85</v>
      </c>
      <c r="LL17" t="s">
        <v>85</v>
      </c>
      <c r="LM17" t="s">
        <v>85</v>
      </c>
      <c r="LN17" t="s">
        <v>85</v>
      </c>
      <c r="LO17" t="s">
        <v>85</v>
      </c>
      <c r="LP17" t="s">
        <v>85</v>
      </c>
      <c r="LQ17" t="s">
        <v>85</v>
      </c>
      <c r="LR17" t="s">
        <v>85</v>
      </c>
      <c r="LS17" t="s">
        <v>85</v>
      </c>
      <c r="LT17" t="s">
        <v>85</v>
      </c>
      <c r="LU17" t="s">
        <v>85</v>
      </c>
      <c r="LV17" t="s">
        <v>85</v>
      </c>
      <c r="LW17" t="s">
        <v>85</v>
      </c>
      <c r="LX17" t="s">
        <v>85</v>
      </c>
      <c r="LY17" t="s">
        <v>85</v>
      </c>
      <c r="LZ17" t="s">
        <v>85</v>
      </c>
      <c r="MA17" t="s">
        <v>85</v>
      </c>
      <c r="MB17">
        <v>12</v>
      </c>
      <c r="MC17" t="s">
        <v>85</v>
      </c>
      <c r="MD17" t="s">
        <v>85</v>
      </c>
      <c r="ME17" t="s">
        <v>85</v>
      </c>
      <c r="MF17" t="s">
        <v>85</v>
      </c>
      <c r="MG17" t="s">
        <v>85</v>
      </c>
      <c r="MH17" t="s">
        <v>85</v>
      </c>
      <c r="MI17" t="s">
        <v>85</v>
      </c>
      <c r="MJ17" t="s">
        <v>85</v>
      </c>
      <c r="MK17" t="s">
        <v>85</v>
      </c>
      <c r="ML17" t="s">
        <v>85</v>
      </c>
      <c r="MM17" t="s">
        <v>85</v>
      </c>
      <c r="MN17" t="s">
        <v>85</v>
      </c>
      <c r="MO17" t="s">
        <v>85</v>
      </c>
      <c r="MP17" t="s">
        <v>85</v>
      </c>
      <c r="MQ17" t="s">
        <v>85</v>
      </c>
      <c r="MR17" t="s">
        <v>85</v>
      </c>
      <c r="MS17" t="s">
        <v>85</v>
      </c>
      <c r="MT17" t="s">
        <v>85</v>
      </c>
      <c r="MU17" t="s">
        <v>85</v>
      </c>
      <c r="MV17" t="s">
        <v>85</v>
      </c>
      <c r="MW17" t="s">
        <v>85</v>
      </c>
      <c r="MX17" t="s">
        <v>85</v>
      </c>
      <c r="MY17" t="s">
        <v>85</v>
      </c>
      <c r="MZ17" t="s">
        <v>85</v>
      </c>
      <c r="NA17">
        <v>12</v>
      </c>
      <c r="NB17">
        <v>-1</v>
      </c>
      <c r="NC17">
        <v>-1</v>
      </c>
      <c r="ND17">
        <v>-1</v>
      </c>
      <c r="NE17">
        <v>-1</v>
      </c>
      <c r="NF17">
        <v>28</v>
      </c>
      <c r="NG17">
        <v>14</v>
      </c>
      <c r="NH17">
        <v>15</v>
      </c>
      <c r="NI17">
        <v>15</v>
      </c>
      <c r="NJ17">
        <v>0</v>
      </c>
      <c r="NK17">
        <v>343</v>
      </c>
      <c r="NL17">
        <v>21</v>
      </c>
      <c r="NM17">
        <v>21</v>
      </c>
      <c r="NN17">
        <v>21</v>
      </c>
      <c r="NO17">
        <v>0</v>
      </c>
      <c r="NP17">
        <v>414</v>
      </c>
      <c r="NQ17">
        <v>14</v>
      </c>
      <c r="NR17">
        <v>14</v>
      </c>
      <c r="NS17">
        <v>14</v>
      </c>
      <c r="NT17">
        <v>0</v>
      </c>
      <c r="NU17">
        <v>457</v>
      </c>
      <c r="NV17">
        <v>13</v>
      </c>
      <c r="NW17">
        <v>14</v>
      </c>
      <c r="NX17">
        <v>13</v>
      </c>
      <c r="NY17">
        <v>1</v>
      </c>
      <c r="NZ17">
        <v>16</v>
      </c>
      <c r="OA17">
        <v>12</v>
      </c>
      <c r="OB17">
        <v>21</v>
      </c>
      <c r="OC17">
        <v>22</v>
      </c>
      <c r="OD17">
        <v>21</v>
      </c>
      <c r="OE17">
        <v>1</v>
      </c>
      <c r="OF17">
        <v>488</v>
      </c>
      <c r="OG17">
        <v>14</v>
      </c>
      <c r="OH17">
        <v>14</v>
      </c>
      <c r="OI17">
        <v>14</v>
      </c>
      <c r="OJ17">
        <v>1</v>
      </c>
      <c r="OK17">
        <v>275</v>
      </c>
      <c r="OL17">
        <v>1</v>
      </c>
      <c r="OM17">
        <v>1</v>
      </c>
      <c r="ON17">
        <v>1</v>
      </c>
      <c r="OO17">
        <v>1</v>
      </c>
      <c r="OP17">
        <v>48</v>
      </c>
      <c r="OQ17" t="s">
        <v>85</v>
      </c>
      <c r="OR17" t="s">
        <v>85</v>
      </c>
      <c r="OS17" t="s">
        <v>85</v>
      </c>
      <c r="OT17" t="s">
        <v>85</v>
      </c>
      <c r="OU17" t="s">
        <v>85</v>
      </c>
      <c r="OV17" t="s">
        <v>85</v>
      </c>
      <c r="OW17" t="s">
        <v>85</v>
      </c>
      <c r="OX17" t="s">
        <v>85</v>
      </c>
      <c r="OY17" t="s">
        <v>85</v>
      </c>
      <c r="OZ17" t="s">
        <v>85</v>
      </c>
      <c r="PA17">
        <v>12</v>
      </c>
      <c r="PB17">
        <v>23</v>
      </c>
      <c r="PC17">
        <v>23</v>
      </c>
      <c r="PD17">
        <v>23</v>
      </c>
      <c r="PE17">
        <v>0</v>
      </c>
      <c r="PF17">
        <v>865</v>
      </c>
      <c r="PG17">
        <v>52</v>
      </c>
      <c r="PH17">
        <v>50</v>
      </c>
      <c r="PI17">
        <v>50</v>
      </c>
      <c r="PJ17">
        <v>0</v>
      </c>
      <c r="PK17">
        <v>1546</v>
      </c>
      <c r="PL17">
        <v>29</v>
      </c>
      <c r="PM17">
        <v>30</v>
      </c>
      <c r="PN17">
        <v>31</v>
      </c>
      <c r="PO17">
        <v>0</v>
      </c>
      <c r="PP17">
        <v>976</v>
      </c>
      <c r="PQ17">
        <v>12</v>
      </c>
      <c r="PR17">
        <v>14</v>
      </c>
      <c r="PS17">
        <v>12</v>
      </c>
      <c r="PT17">
        <v>2</v>
      </c>
      <c r="PU17">
        <v>237</v>
      </c>
      <c r="PV17">
        <v>30</v>
      </c>
      <c r="PW17">
        <v>31</v>
      </c>
      <c r="PX17">
        <v>29</v>
      </c>
      <c r="PY17">
        <v>0</v>
      </c>
      <c r="PZ17">
        <v>1328</v>
      </c>
      <c r="QA17">
        <v>12</v>
      </c>
      <c r="QB17" t="s">
        <v>85</v>
      </c>
      <c r="QC17" t="s">
        <v>85</v>
      </c>
      <c r="QD17" t="s">
        <v>85</v>
      </c>
      <c r="QE17" t="s">
        <v>85</v>
      </c>
      <c r="QF17">
        <v>0</v>
      </c>
      <c r="QG17">
        <v>2</v>
      </c>
      <c r="QH17">
        <v>2</v>
      </c>
      <c r="QI17">
        <v>2</v>
      </c>
      <c r="QJ17">
        <v>0</v>
      </c>
      <c r="QK17">
        <v>58</v>
      </c>
      <c r="QL17" t="s">
        <v>85</v>
      </c>
      <c r="QM17" t="s">
        <v>85</v>
      </c>
      <c r="QN17" t="s">
        <v>85</v>
      </c>
      <c r="QO17" t="s">
        <v>85</v>
      </c>
      <c r="QP17" t="s">
        <v>85</v>
      </c>
      <c r="QQ17" t="s">
        <v>85</v>
      </c>
      <c r="QR17" t="s">
        <v>85</v>
      </c>
      <c r="QS17" t="s">
        <v>85</v>
      </c>
      <c r="QT17" t="s">
        <v>85</v>
      </c>
      <c r="QU17" t="s">
        <v>85</v>
      </c>
      <c r="QV17" t="s">
        <v>85</v>
      </c>
      <c r="QW17" t="s">
        <v>85</v>
      </c>
      <c r="QX17" t="s">
        <v>85</v>
      </c>
      <c r="QY17" t="s">
        <v>85</v>
      </c>
      <c r="QZ17" t="s">
        <v>85</v>
      </c>
      <c r="RA17">
        <v>12</v>
      </c>
      <c r="RB17">
        <v>102</v>
      </c>
      <c r="RC17">
        <v>101</v>
      </c>
      <c r="RD17">
        <v>101</v>
      </c>
      <c r="RE17">
        <v>0</v>
      </c>
      <c r="RF17">
        <v>3635</v>
      </c>
      <c r="RG17">
        <v>32</v>
      </c>
      <c r="RH17">
        <v>32</v>
      </c>
      <c r="RI17">
        <v>32</v>
      </c>
      <c r="RJ17">
        <v>0</v>
      </c>
      <c r="RK17">
        <v>937</v>
      </c>
      <c r="RL17">
        <v>26</v>
      </c>
      <c r="RM17">
        <v>26</v>
      </c>
      <c r="RN17">
        <v>26</v>
      </c>
      <c r="RO17">
        <v>0</v>
      </c>
      <c r="RP17">
        <v>978</v>
      </c>
      <c r="RQ17">
        <v>0</v>
      </c>
      <c r="RR17">
        <v>0</v>
      </c>
      <c r="RS17">
        <v>0</v>
      </c>
      <c r="RT17">
        <v>0</v>
      </c>
      <c r="RU17">
        <v>0</v>
      </c>
      <c r="RV17">
        <v>0</v>
      </c>
      <c r="RW17">
        <v>0</v>
      </c>
      <c r="RX17">
        <v>0</v>
      </c>
      <c r="RY17">
        <v>0</v>
      </c>
      <c r="RZ17">
        <v>0</v>
      </c>
      <c r="SA17">
        <v>12</v>
      </c>
      <c r="SB17">
        <v>0</v>
      </c>
      <c r="SC17">
        <v>0</v>
      </c>
      <c r="SD17">
        <v>0</v>
      </c>
      <c r="SE17">
        <v>0</v>
      </c>
      <c r="SF17">
        <v>0</v>
      </c>
      <c r="SG17" t="s">
        <v>85</v>
      </c>
      <c r="SH17" t="s">
        <v>85</v>
      </c>
      <c r="SI17" t="s">
        <v>85</v>
      </c>
      <c r="SJ17" t="s">
        <v>85</v>
      </c>
      <c r="SK17" t="s">
        <v>85</v>
      </c>
      <c r="SL17" t="s">
        <v>85</v>
      </c>
      <c r="SM17" t="s">
        <v>85</v>
      </c>
      <c r="SN17" t="s">
        <v>85</v>
      </c>
      <c r="SO17" t="s">
        <v>85</v>
      </c>
      <c r="SP17" t="s">
        <v>85</v>
      </c>
      <c r="SQ17" t="s">
        <v>85</v>
      </c>
      <c r="SR17" t="s">
        <v>85</v>
      </c>
      <c r="SS17" t="s">
        <v>85</v>
      </c>
      <c r="ST17" t="s">
        <v>85</v>
      </c>
      <c r="SU17" t="s">
        <v>85</v>
      </c>
      <c r="SV17" t="s">
        <v>85</v>
      </c>
      <c r="SW17" t="s">
        <v>85</v>
      </c>
      <c r="SX17" t="s">
        <v>85</v>
      </c>
      <c r="SY17" t="s">
        <v>85</v>
      </c>
      <c r="SZ17" t="s">
        <v>85</v>
      </c>
      <c r="TA17">
        <v>12</v>
      </c>
      <c r="TB17">
        <v>104</v>
      </c>
      <c r="TC17">
        <v>104</v>
      </c>
      <c r="TD17">
        <v>104</v>
      </c>
      <c r="TE17">
        <v>0</v>
      </c>
      <c r="TF17">
        <v>4182</v>
      </c>
      <c r="TG17">
        <v>0</v>
      </c>
      <c r="TH17">
        <v>0</v>
      </c>
      <c r="TI17">
        <v>0</v>
      </c>
      <c r="TJ17">
        <v>0</v>
      </c>
      <c r="TK17">
        <v>0</v>
      </c>
      <c r="TL17">
        <v>0</v>
      </c>
      <c r="TM17">
        <v>0</v>
      </c>
      <c r="TN17">
        <v>0</v>
      </c>
      <c r="TO17">
        <v>0</v>
      </c>
      <c r="TP17">
        <v>0</v>
      </c>
      <c r="TQ17">
        <v>23</v>
      </c>
      <c r="TR17">
        <v>22</v>
      </c>
      <c r="TS17">
        <v>24</v>
      </c>
      <c r="TT17">
        <v>0</v>
      </c>
      <c r="TU17">
        <v>926</v>
      </c>
      <c r="TV17">
        <v>7</v>
      </c>
      <c r="TW17">
        <v>8</v>
      </c>
      <c r="TX17">
        <v>6</v>
      </c>
      <c r="TY17">
        <v>0</v>
      </c>
      <c r="TZ17">
        <v>259</v>
      </c>
      <c r="UA17">
        <v>12</v>
      </c>
      <c r="UB17">
        <v>53</v>
      </c>
      <c r="UC17">
        <v>56</v>
      </c>
      <c r="UD17">
        <v>54</v>
      </c>
      <c r="UE17">
        <v>0</v>
      </c>
      <c r="UF17">
        <v>2430</v>
      </c>
      <c r="UG17" t="s">
        <v>85</v>
      </c>
      <c r="UH17" t="s">
        <v>85</v>
      </c>
      <c r="UI17" t="s">
        <v>85</v>
      </c>
      <c r="UJ17" t="s">
        <v>85</v>
      </c>
      <c r="UK17" t="s">
        <v>85</v>
      </c>
      <c r="UL17" t="s">
        <v>85</v>
      </c>
      <c r="UM17" t="s">
        <v>85</v>
      </c>
      <c r="UN17" t="s">
        <v>85</v>
      </c>
      <c r="UO17" t="s">
        <v>85</v>
      </c>
      <c r="UP17" t="s">
        <v>85</v>
      </c>
      <c r="UQ17" t="s">
        <v>85</v>
      </c>
      <c r="UR17" t="s">
        <v>85</v>
      </c>
      <c r="US17" t="s">
        <v>85</v>
      </c>
      <c r="UT17" t="s">
        <v>85</v>
      </c>
      <c r="UU17" t="s">
        <v>85</v>
      </c>
      <c r="UV17" t="s">
        <v>85</v>
      </c>
      <c r="UW17" t="s">
        <v>85</v>
      </c>
      <c r="UX17" t="s">
        <v>85</v>
      </c>
      <c r="UY17" t="s">
        <v>85</v>
      </c>
      <c r="UZ17" t="s">
        <v>85</v>
      </c>
      <c r="VX17">
        <v>12</v>
      </c>
      <c r="VY17">
        <v>-1</v>
      </c>
      <c r="VZ17">
        <v>-1</v>
      </c>
      <c r="WA17">
        <v>-1</v>
      </c>
      <c r="WB17">
        <v>-1</v>
      </c>
      <c r="WC17">
        <v>28</v>
      </c>
      <c r="WD17">
        <v>14</v>
      </c>
      <c r="WE17">
        <v>15</v>
      </c>
      <c r="WF17">
        <v>15</v>
      </c>
      <c r="WG17">
        <v>0</v>
      </c>
      <c r="WH17">
        <v>343</v>
      </c>
      <c r="WI17">
        <v>21</v>
      </c>
      <c r="WJ17">
        <v>21</v>
      </c>
      <c r="WK17">
        <v>21</v>
      </c>
      <c r="WL17">
        <v>0</v>
      </c>
      <c r="WM17">
        <v>414</v>
      </c>
      <c r="WN17">
        <v>14</v>
      </c>
      <c r="WO17">
        <v>14</v>
      </c>
      <c r="WP17">
        <v>14</v>
      </c>
      <c r="WQ17">
        <v>0</v>
      </c>
      <c r="WR17">
        <v>457</v>
      </c>
      <c r="WS17">
        <v>13</v>
      </c>
      <c r="WT17">
        <v>14</v>
      </c>
      <c r="WU17">
        <v>13</v>
      </c>
      <c r="WV17">
        <v>1</v>
      </c>
      <c r="WW17">
        <v>16</v>
      </c>
      <c r="WX17">
        <v>12</v>
      </c>
      <c r="WY17">
        <v>21</v>
      </c>
      <c r="WZ17">
        <v>22</v>
      </c>
      <c r="XA17">
        <v>21</v>
      </c>
      <c r="XB17">
        <v>1</v>
      </c>
      <c r="XC17">
        <v>488</v>
      </c>
      <c r="XD17">
        <v>14</v>
      </c>
      <c r="XE17">
        <v>14</v>
      </c>
      <c r="XF17">
        <v>14</v>
      </c>
      <c r="XG17">
        <v>1</v>
      </c>
      <c r="XH17">
        <v>275</v>
      </c>
      <c r="XI17">
        <v>1</v>
      </c>
      <c r="XJ17">
        <v>1</v>
      </c>
      <c r="XK17">
        <v>1</v>
      </c>
      <c r="XL17">
        <v>1</v>
      </c>
      <c r="XM17">
        <v>48</v>
      </c>
      <c r="XN17" t="s">
        <v>85</v>
      </c>
      <c r="XO17" t="s">
        <v>85</v>
      </c>
      <c r="XP17" t="s">
        <v>85</v>
      </c>
      <c r="XQ17" t="s">
        <v>85</v>
      </c>
      <c r="XR17" t="s">
        <v>85</v>
      </c>
      <c r="XS17" t="s">
        <v>85</v>
      </c>
      <c r="XT17" t="s">
        <v>85</v>
      </c>
      <c r="XU17" t="s">
        <v>85</v>
      </c>
      <c r="XV17" t="s">
        <v>85</v>
      </c>
      <c r="XW17" t="s">
        <v>85</v>
      </c>
      <c r="XX17">
        <v>12</v>
      </c>
      <c r="XY17">
        <v>23</v>
      </c>
      <c r="XZ17">
        <v>23</v>
      </c>
      <c r="YA17">
        <v>23</v>
      </c>
      <c r="YB17">
        <v>0</v>
      </c>
      <c r="YC17">
        <v>865</v>
      </c>
      <c r="YD17">
        <v>52</v>
      </c>
      <c r="YE17">
        <v>50</v>
      </c>
      <c r="YF17">
        <v>50</v>
      </c>
      <c r="YG17">
        <v>0</v>
      </c>
      <c r="YH17">
        <v>1546</v>
      </c>
      <c r="YI17">
        <v>29</v>
      </c>
      <c r="YJ17">
        <v>30</v>
      </c>
      <c r="YK17">
        <v>31</v>
      </c>
      <c r="YL17">
        <v>0</v>
      </c>
      <c r="YM17">
        <v>976</v>
      </c>
      <c r="YN17">
        <v>12</v>
      </c>
      <c r="YO17">
        <v>14</v>
      </c>
      <c r="YP17">
        <v>12</v>
      </c>
      <c r="YQ17">
        <v>2</v>
      </c>
      <c r="YR17">
        <v>237</v>
      </c>
      <c r="YS17">
        <v>30</v>
      </c>
      <c r="YT17">
        <v>31</v>
      </c>
      <c r="YU17">
        <v>29</v>
      </c>
      <c r="YV17">
        <v>0</v>
      </c>
      <c r="YW17">
        <v>1328</v>
      </c>
      <c r="YX17">
        <v>12</v>
      </c>
      <c r="YY17" t="s">
        <v>85</v>
      </c>
      <c r="YZ17" t="s">
        <v>85</v>
      </c>
      <c r="ZA17" t="s">
        <v>85</v>
      </c>
      <c r="ZB17" t="s">
        <v>85</v>
      </c>
      <c r="ZC17">
        <v>0</v>
      </c>
      <c r="ZD17">
        <v>2</v>
      </c>
      <c r="ZE17">
        <v>2</v>
      </c>
      <c r="ZF17">
        <v>2</v>
      </c>
      <c r="ZG17">
        <v>0</v>
      </c>
      <c r="ZH17">
        <v>58</v>
      </c>
      <c r="ZI17" t="s">
        <v>85</v>
      </c>
      <c r="ZJ17" t="s">
        <v>85</v>
      </c>
      <c r="ZK17" t="s">
        <v>85</v>
      </c>
      <c r="ZL17" t="s">
        <v>85</v>
      </c>
      <c r="ZM17" t="s">
        <v>85</v>
      </c>
      <c r="ZN17" t="s">
        <v>85</v>
      </c>
      <c r="ZO17" t="s">
        <v>85</v>
      </c>
      <c r="ZP17" t="s">
        <v>85</v>
      </c>
      <c r="ZQ17" t="s">
        <v>85</v>
      </c>
      <c r="ZR17" t="s">
        <v>85</v>
      </c>
      <c r="ZS17" t="s">
        <v>85</v>
      </c>
      <c r="ZT17" t="s">
        <v>85</v>
      </c>
      <c r="ZU17" t="s">
        <v>85</v>
      </c>
      <c r="ZV17" t="s">
        <v>85</v>
      </c>
      <c r="ZW17" t="s">
        <v>85</v>
      </c>
      <c r="ZX17">
        <v>12</v>
      </c>
      <c r="ZY17">
        <v>12</v>
      </c>
      <c r="ZZ17">
        <v>12</v>
      </c>
      <c r="AAA17">
        <v>53</v>
      </c>
      <c r="AAB17">
        <v>56</v>
      </c>
      <c r="AAC17">
        <v>54</v>
      </c>
      <c r="AAD17">
        <v>0</v>
      </c>
      <c r="AAE17">
        <v>2430</v>
      </c>
      <c r="AAF17" t="s">
        <v>85</v>
      </c>
      <c r="AAG17" t="s">
        <v>85</v>
      </c>
      <c r="AAH17" t="s">
        <v>85</v>
      </c>
      <c r="AAI17" t="s">
        <v>85</v>
      </c>
      <c r="AAJ17" t="s">
        <v>85</v>
      </c>
      <c r="AAK17" t="s">
        <v>85</v>
      </c>
      <c r="AAL17" t="s">
        <v>85</v>
      </c>
      <c r="AAM17" t="s">
        <v>85</v>
      </c>
      <c r="AAN17" t="s">
        <v>85</v>
      </c>
      <c r="AAO17" t="s">
        <v>85</v>
      </c>
      <c r="AAP17" t="s">
        <v>85</v>
      </c>
      <c r="AAQ17" t="s">
        <v>85</v>
      </c>
      <c r="AAR17" t="s">
        <v>85</v>
      </c>
      <c r="AAS17" t="s">
        <v>85</v>
      </c>
      <c r="AAT17" t="s">
        <v>85</v>
      </c>
      <c r="AAU17" t="s">
        <v>85</v>
      </c>
      <c r="AAV17" t="s">
        <v>85</v>
      </c>
      <c r="AAW17" t="s">
        <v>85</v>
      </c>
      <c r="AAX17" t="s">
        <v>85</v>
      </c>
      <c r="AAY17" t="s">
        <v>85</v>
      </c>
    </row>
    <row r="18" spans="1:727">
      <c r="A18" s="483">
        <v>12</v>
      </c>
      <c r="B18" s="503">
        <v>-1</v>
      </c>
      <c r="C18" s="503">
        <v>0</v>
      </c>
      <c r="D18" s="503">
        <v>0</v>
      </c>
      <c r="E18" s="503">
        <v>-1</v>
      </c>
      <c r="F18" s="503">
        <v>24</v>
      </c>
      <c r="G18" s="593">
        <v>6</v>
      </c>
      <c r="H18" s="593">
        <v>7</v>
      </c>
      <c r="I18" s="593">
        <v>7</v>
      </c>
      <c r="J18" s="593">
        <v>0</v>
      </c>
      <c r="K18" s="593">
        <v>221</v>
      </c>
      <c r="L18" s="502">
        <v>9</v>
      </c>
      <c r="M18" s="502">
        <v>9</v>
      </c>
      <c r="N18" s="502">
        <v>8</v>
      </c>
      <c r="O18" s="502">
        <v>0</v>
      </c>
      <c r="P18" s="502">
        <v>144</v>
      </c>
      <c r="Q18" s="504">
        <v>8</v>
      </c>
      <c r="R18" s="504">
        <v>8</v>
      </c>
      <c r="S18" s="504">
        <v>7</v>
      </c>
      <c r="T18" s="504">
        <v>0</v>
      </c>
      <c r="U18" s="504">
        <v>103</v>
      </c>
      <c r="V18" s="505">
        <v>10</v>
      </c>
      <c r="W18" s="505">
        <v>10</v>
      </c>
      <c r="X18" s="505">
        <v>10</v>
      </c>
      <c r="Y18" s="505">
        <v>1</v>
      </c>
      <c r="Z18" s="505">
        <v>0</v>
      </c>
      <c r="AA18" s="506"/>
      <c r="AB18" s="506"/>
      <c r="AC18" s="506"/>
      <c r="AD18" s="506"/>
      <c r="AE18" s="506"/>
      <c r="AF18" s="506"/>
      <c r="AG18" s="507"/>
      <c r="AH18" s="507"/>
      <c r="AI18" s="507"/>
      <c r="AJ18" s="507"/>
      <c r="AK18" s="507"/>
      <c r="AL18" s="508"/>
      <c r="AM18" s="508"/>
      <c r="AN18" s="508"/>
      <c r="AO18" s="508"/>
      <c r="AP18" s="508"/>
      <c r="AQ18" s="509"/>
      <c r="AR18" s="509"/>
      <c r="AS18" s="509"/>
      <c r="AT18" s="509"/>
      <c r="AU18" s="509"/>
      <c r="AV18" s="483"/>
      <c r="AW18" s="483"/>
      <c r="AX18" s="483"/>
      <c r="AY18" s="483"/>
      <c r="AZ18" s="483"/>
      <c r="BA18" s="483"/>
      <c r="BB18" s="483"/>
      <c r="BC18" s="483"/>
      <c r="BD18" s="483"/>
      <c r="BE18" s="483"/>
      <c r="BF18" s="483"/>
      <c r="BG18" s="483"/>
      <c r="BH18" s="483"/>
      <c r="BI18" s="483"/>
      <c r="BJ18" s="483"/>
      <c r="BK18" s="483"/>
      <c r="BL18" s="483"/>
      <c r="BM18" s="483"/>
      <c r="BN18" s="483"/>
      <c r="BO18" s="483"/>
      <c r="BP18" s="483"/>
      <c r="GA18" t="s">
        <v>85</v>
      </c>
      <c r="GB18">
        <v>13</v>
      </c>
      <c r="GC18">
        <v>112</v>
      </c>
      <c r="GD18">
        <v>89</v>
      </c>
      <c r="GE18">
        <v>75</v>
      </c>
      <c r="GF18">
        <v>37</v>
      </c>
      <c r="GG18">
        <v>1853</v>
      </c>
      <c r="GH18">
        <v>20</v>
      </c>
      <c r="GI18">
        <v>30</v>
      </c>
      <c r="GJ18">
        <v>24</v>
      </c>
      <c r="GK18">
        <v>16</v>
      </c>
      <c r="GL18">
        <v>603</v>
      </c>
      <c r="GM18">
        <v>69</v>
      </c>
      <c r="GN18">
        <v>114</v>
      </c>
      <c r="GO18">
        <v>91</v>
      </c>
      <c r="GP18">
        <v>67</v>
      </c>
      <c r="GQ18">
        <v>-815</v>
      </c>
      <c r="GR18">
        <v>13</v>
      </c>
      <c r="GS18">
        <v>7</v>
      </c>
      <c r="GT18">
        <v>10</v>
      </c>
      <c r="GU18">
        <v>14</v>
      </c>
      <c r="GV18">
        <v>113</v>
      </c>
      <c r="GW18">
        <v>9</v>
      </c>
      <c r="GX18">
        <v>20</v>
      </c>
      <c r="GY18">
        <v>24</v>
      </c>
      <c r="GZ18">
        <v>21</v>
      </c>
      <c r="HA18">
        <v>-203</v>
      </c>
      <c r="HB18">
        <v>13</v>
      </c>
      <c r="HC18">
        <v>21</v>
      </c>
      <c r="HD18">
        <v>38</v>
      </c>
      <c r="HE18">
        <v>64</v>
      </c>
      <c r="HF18">
        <v>58</v>
      </c>
      <c r="HG18">
        <v>-722</v>
      </c>
      <c r="HH18">
        <v>131</v>
      </c>
      <c r="HI18">
        <v>103</v>
      </c>
      <c r="HJ18">
        <v>112</v>
      </c>
      <c r="HK18">
        <v>35</v>
      </c>
      <c r="HL18">
        <v>2694</v>
      </c>
      <c r="HM18">
        <v>126</v>
      </c>
      <c r="HN18">
        <v>104</v>
      </c>
      <c r="HO18">
        <v>145</v>
      </c>
      <c r="HP18">
        <v>62</v>
      </c>
      <c r="HQ18">
        <v>2745</v>
      </c>
      <c r="HR18">
        <v>46</v>
      </c>
      <c r="HS18">
        <v>57</v>
      </c>
      <c r="HT18">
        <v>61</v>
      </c>
      <c r="HU18">
        <v>20</v>
      </c>
      <c r="HV18">
        <v>863</v>
      </c>
      <c r="HW18">
        <v>10</v>
      </c>
      <c r="HX18">
        <v>18</v>
      </c>
      <c r="HY18">
        <v>22</v>
      </c>
      <c r="HZ18">
        <v>13</v>
      </c>
      <c r="IA18">
        <v>345</v>
      </c>
      <c r="IB18">
        <v>13</v>
      </c>
      <c r="IC18">
        <v>143</v>
      </c>
      <c r="ID18">
        <v>120</v>
      </c>
      <c r="IE18">
        <v>94</v>
      </c>
      <c r="IF18">
        <v>55</v>
      </c>
      <c r="IG18">
        <v>2288</v>
      </c>
      <c r="IH18">
        <v>28</v>
      </c>
      <c r="II18">
        <v>42</v>
      </c>
      <c r="IJ18">
        <v>47</v>
      </c>
      <c r="IK18">
        <v>27</v>
      </c>
      <c r="IL18">
        <v>750</v>
      </c>
      <c r="IM18">
        <v>60</v>
      </c>
      <c r="IN18">
        <v>57</v>
      </c>
      <c r="IO18">
        <v>72</v>
      </c>
      <c r="IP18">
        <v>33</v>
      </c>
      <c r="IQ18">
        <v>1418</v>
      </c>
      <c r="IR18">
        <v>38</v>
      </c>
      <c r="IS18">
        <v>27</v>
      </c>
      <c r="IT18">
        <v>34</v>
      </c>
      <c r="IU18">
        <v>27</v>
      </c>
      <c r="IV18">
        <v>-206</v>
      </c>
      <c r="IW18">
        <v>27</v>
      </c>
      <c r="IX18">
        <v>30</v>
      </c>
      <c r="IY18">
        <v>21</v>
      </c>
      <c r="IZ18">
        <v>8</v>
      </c>
      <c r="JA18">
        <v>521</v>
      </c>
      <c r="JB18">
        <v>13</v>
      </c>
      <c r="JC18">
        <v>37</v>
      </c>
      <c r="JD18">
        <v>33</v>
      </c>
      <c r="JE18">
        <v>24</v>
      </c>
      <c r="JF18">
        <v>17</v>
      </c>
      <c r="JG18">
        <v>632</v>
      </c>
      <c r="JH18">
        <v>80</v>
      </c>
      <c r="JI18">
        <v>56</v>
      </c>
      <c r="JJ18">
        <v>43</v>
      </c>
      <c r="JK18">
        <v>45</v>
      </c>
      <c r="JL18">
        <v>1145</v>
      </c>
      <c r="JM18">
        <v>56</v>
      </c>
      <c r="JN18">
        <v>40</v>
      </c>
      <c r="JO18">
        <v>26</v>
      </c>
      <c r="JP18">
        <v>30</v>
      </c>
      <c r="JQ18">
        <v>1004</v>
      </c>
      <c r="JR18">
        <v>101</v>
      </c>
      <c r="JS18">
        <v>112</v>
      </c>
      <c r="JT18">
        <v>110</v>
      </c>
      <c r="JU18">
        <v>22</v>
      </c>
      <c r="JV18">
        <v>1062</v>
      </c>
      <c r="JW18">
        <v>20</v>
      </c>
      <c r="JX18">
        <v>2</v>
      </c>
      <c r="JY18">
        <v>19</v>
      </c>
      <c r="JZ18">
        <v>26</v>
      </c>
      <c r="KA18">
        <v>340</v>
      </c>
      <c r="KB18">
        <v>13</v>
      </c>
      <c r="KC18" t="s">
        <v>85</v>
      </c>
      <c r="KD18" t="s">
        <v>85</v>
      </c>
      <c r="KE18" t="s">
        <v>85</v>
      </c>
      <c r="KF18" t="s">
        <v>85</v>
      </c>
      <c r="KG18" t="s">
        <v>85</v>
      </c>
      <c r="KH18" t="s">
        <v>85</v>
      </c>
      <c r="KI18" t="s">
        <v>85</v>
      </c>
      <c r="KJ18" t="s">
        <v>85</v>
      </c>
      <c r="KK18" t="s">
        <v>85</v>
      </c>
      <c r="KL18" t="s">
        <v>85</v>
      </c>
      <c r="KM18" t="s">
        <v>85</v>
      </c>
      <c r="KN18" t="s">
        <v>85</v>
      </c>
      <c r="KO18" t="s">
        <v>85</v>
      </c>
      <c r="KP18" t="s">
        <v>85</v>
      </c>
      <c r="KQ18" t="s">
        <v>85</v>
      </c>
      <c r="KR18" t="s">
        <v>85</v>
      </c>
      <c r="KS18" t="s">
        <v>85</v>
      </c>
      <c r="KT18" t="s">
        <v>85</v>
      </c>
      <c r="KU18" t="s">
        <v>85</v>
      </c>
      <c r="KV18" t="s">
        <v>85</v>
      </c>
      <c r="KW18" t="s">
        <v>85</v>
      </c>
      <c r="KX18" t="s">
        <v>85</v>
      </c>
      <c r="KY18" t="s">
        <v>85</v>
      </c>
      <c r="KZ18" t="s">
        <v>85</v>
      </c>
      <c r="LA18" t="s">
        <v>85</v>
      </c>
      <c r="LB18">
        <v>13</v>
      </c>
      <c r="LC18" t="s">
        <v>85</v>
      </c>
      <c r="LD18" t="s">
        <v>85</v>
      </c>
      <c r="LE18" t="s">
        <v>85</v>
      </c>
      <c r="LF18" t="s">
        <v>85</v>
      </c>
      <c r="LG18" t="s">
        <v>85</v>
      </c>
      <c r="LH18" t="s">
        <v>85</v>
      </c>
      <c r="LI18" t="s">
        <v>85</v>
      </c>
      <c r="LJ18" t="s">
        <v>85</v>
      </c>
      <c r="LK18" t="s">
        <v>85</v>
      </c>
      <c r="LL18" t="s">
        <v>85</v>
      </c>
      <c r="LM18" t="s">
        <v>85</v>
      </c>
      <c r="LN18" t="s">
        <v>85</v>
      </c>
      <c r="LO18" t="s">
        <v>85</v>
      </c>
      <c r="LP18" t="s">
        <v>85</v>
      </c>
      <c r="LQ18" t="s">
        <v>85</v>
      </c>
      <c r="LR18" t="s">
        <v>85</v>
      </c>
      <c r="LS18" t="s">
        <v>85</v>
      </c>
      <c r="LT18" t="s">
        <v>85</v>
      </c>
      <c r="LU18" t="s">
        <v>85</v>
      </c>
      <c r="LV18" t="s">
        <v>85</v>
      </c>
      <c r="LW18" t="s">
        <v>85</v>
      </c>
      <c r="LX18" t="s">
        <v>85</v>
      </c>
      <c r="LY18" t="s">
        <v>85</v>
      </c>
      <c r="LZ18" t="s">
        <v>85</v>
      </c>
      <c r="MA18" t="s">
        <v>85</v>
      </c>
      <c r="MB18">
        <v>13</v>
      </c>
      <c r="MC18" t="s">
        <v>85</v>
      </c>
      <c r="MD18" t="s">
        <v>85</v>
      </c>
      <c r="ME18" t="s">
        <v>85</v>
      </c>
      <c r="MF18" t="s">
        <v>85</v>
      </c>
      <c r="MG18" t="s">
        <v>85</v>
      </c>
      <c r="MH18" t="s">
        <v>85</v>
      </c>
      <c r="MI18" t="s">
        <v>85</v>
      </c>
      <c r="MJ18" t="s">
        <v>85</v>
      </c>
      <c r="MK18" t="s">
        <v>85</v>
      </c>
      <c r="ML18" t="s">
        <v>85</v>
      </c>
      <c r="MM18" t="s">
        <v>85</v>
      </c>
      <c r="MN18" t="s">
        <v>85</v>
      </c>
      <c r="MO18" t="s">
        <v>85</v>
      </c>
      <c r="MP18" t="s">
        <v>85</v>
      </c>
      <c r="MQ18" t="s">
        <v>85</v>
      </c>
      <c r="MR18" t="s">
        <v>85</v>
      </c>
      <c r="MS18" t="s">
        <v>85</v>
      </c>
      <c r="MT18" t="s">
        <v>85</v>
      </c>
      <c r="MU18" t="s">
        <v>85</v>
      </c>
      <c r="MV18" t="s">
        <v>85</v>
      </c>
      <c r="MW18" t="s">
        <v>85</v>
      </c>
      <c r="MX18" t="s">
        <v>85</v>
      </c>
      <c r="MY18" t="s">
        <v>85</v>
      </c>
      <c r="MZ18" t="s">
        <v>85</v>
      </c>
      <c r="NA18">
        <v>13</v>
      </c>
      <c r="NB18">
        <v>0</v>
      </c>
      <c r="NC18">
        <v>0</v>
      </c>
      <c r="ND18">
        <v>-1</v>
      </c>
      <c r="NE18">
        <v>0</v>
      </c>
      <c r="NF18">
        <v>25</v>
      </c>
      <c r="NG18">
        <v>14</v>
      </c>
      <c r="NH18">
        <v>14</v>
      </c>
      <c r="NI18">
        <v>14</v>
      </c>
      <c r="NJ18">
        <v>0</v>
      </c>
      <c r="NK18">
        <v>467</v>
      </c>
      <c r="NL18">
        <v>15</v>
      </c>
      <c r="NM18">
        <v>16</v>
      </c>
      <c r="NN18">
        <v>15</v>
      </c>
      <c r="NO18">
        <v>0</v>
      </c>
      <c r="NP18">
        <v>572</v>
      </c>
      <c r="NQ18">
        <v>17</v>
      </c>
      <c r="NR18">
        <v>17</v>
      </c>
      <c r="NS18">
        <v>16</v>
      </c>
      <c r="NT18">
        <v>0</v>
      </c>
      <c r="NU18">
        <v>598</v>
      </c>
      <c r="NV18">
        <v>16</v>
      </c>
      <c r="NW18">
        <v>16</v>
      </c>
      <c r="NX18">
        <v>15</v>
      </c>
      <c r="NY18">
        <v>1</v>
      </c>
      <c r="NZ18">
        <v>39</v>
      </c>
      <c r="OA18">
        <v>13</v>
      </c>
      <c r="OB18">
        <v>18</v>
      </c>
      <c r="OC18">
        <v>18</v>
      </c>
      <c r="OD18">
        <v>17</v>
      </c>
      <c r="OE18">
        <v>1</v>
      </c>
      <c r="OF18">
        <v>623</v>
      </c>
      <c r="OG18">
        <v>14</v>
      </c>
      <c r="OH18">
        <v>14</v>
      </c>
      <c r="OI18">
        <v>14</v>
      </c>
      <c r="OJ18">
        <v>1</v>
      </c>
      <c r="OK18">
        <v>360</v>
      </c>
      <c r="OL18">
        <v>1</v>
      </c>
      <c r="OM18">
        <v>1</v>
      </c>
      <c r="ON18">
        <v>1</v>
      </c>
      <c r="OO18">
        <v>1</v>
      </c>
      <c r="OP18">
        <v>48</v>
      </c>
      <c r="OQ18" t="s">
        <v>85</v>
      </c>
      <c r="OR18" t="s">
        <v>85</v>
      </c>
      <c r="OS18" t="s">
        <v>85</v>
      </c>
      <c r="OT18" t="s">
        <v>85</v>
      </c>
      <c r="OU18" t="s">
        <v>85</v>
      </c>
      <c r="OV18" t="s">
        <v>85</v>
      </c>
      <c r="OW18" t="s">
        <v>85</v>
      </c>
      <c r="OX18" t="s">
        <v>85</v>
      </c>
      <c r="OY18" t="s">
        <v>85</v>
      </c>
      <c r="OZ18" t="s">
        <v>85</v>
      </c>
      <c r="PA18">
        <v>13</v>
      </c>
      <c r="PB18">
        <v>23</v>
      </c>
      <c r="PC18">
        <v>23</v>
      </c>
      <c r="PD18">
        <v>23</v>
      </c>
      <c r="PE18">
        <v>0</v>
      </c>
      <c r="PF18">
        <v>870</v>
      </c>
      <c r="PG18">
        <v>51</v>
      </c>
      <c r="PH18">
        <v>50</v>
      </c>
      <c r="PI18">
        <v>50</v>
      </c>
      <c r="PJ18">
        <v>0</v>
      </c>
      <c r="PK18">
        <v>2016</v>
      </c>
      <c r="PL18">
        <v>28</v>
      </c>
      <c r="PM18">
        <v>29</v>
      </c>
      <c r="PN18">
        <v>29</v>
      </c>
      <c r="PO18">
        <v>0</v>
      </c>
      <c r="PP18">
        <v>1158</v>
      </c>
      <c r="PQ18">
        <v>14</v>
      </c>
      <c r="PR18">
        <v>16</v>
      </c>
      <c r="PS18">
        <v>15</v>
      </c>
      <c r="PT18">
        <v>2</v>
      </c>
      <c r="PU18">
        <v>381</v>
      </c>
      <c r="PV18">
        <v>31</v>
      </c>
      <c r="PW18">
        <v>33</v>
      </c>
      <c r="PX18">
        <v>31</v>
      </c>
      <c r="PY18">
        <v>0</v>
      </c>
      <c r="PZ18">
        <v>1199</v>
      </c>
      <c r="QA18">
        <v>13</v>
      </c>
      <c r="QB18" t="s">
        <v>85</v>
      </c>
      <c r="QC18" t="s">
        <v>85</v>
      </c>
      <c r="QD18" t="s">
        <v>85</v>
      </c>
      <c r="QE18" t="s">
        <v>85</v>
      </c>
      <c r="QF18">
        <v>0</v>
      </c>
      <c r="QG18">
        <v>2</v>
      </c>
      <c r="QH18">
        <v>2</v>
      </c>
      <c r="QI18">
        <v>2</v>
      </c>
      <c r="QJ18">
        <v>0</v>
      </c>
      <c r="QK18">
        <v>58</v>
      </c>
      <c r="QL18" t="s">
        <v>85</v>
      </c>
      <c r="QM18" t="s">
        <v>85</v>
      </c>
      <c r="QN18" t="s">
        <v>85</v>
      </c>
      <c r="QO18" t="s">
        <v>85</v>
      </c>
      <c r="QP18" t="s">
        <v>85</v>
      </c>
      <c r="QQ18" t="s">
        <v>85</v>
      </c>
      <c r="QR18" t="s">
        <v>85</v>
      </c>
      <c r="QS18" t="s">
        <v>85</v>
      </c>
      <c r="QT18" t="s">
        <v>85</v>
      </c>
      <c r="QU18" t="s">
        <v>85</v>
      </c>
      <c r="QV18" t="s">
        <v>85</v>
      </c>
      <c r="QW18" t="s">
        <v>85</v>
      </c>
      <c r="QX18" t="s">
        <v>85</v>
      </c>
      <c r="QY18" t="s">
        <v>85</v>
      </c>
      <c r="QZ18" t="s">
        <v>85</v>
      </c>
      <c r="RA18">
        <v>13</v>
      </c>
      <c r="RB18">
        <v>100</v>
      </c>
      <c r="RC18">
        <v>98</v>
      </c>
      <c r="RD18">
        <v>97</v>
      </c>
      <c r="RE18">
        <v>0</v>
      </c>
      <c r="RF18">
        <v>3399</v>
      </c>
      <c r="RG18">
        <v>31</v>
      </c>
      <c r="RH18">
        <v>31</v>
      </c>
      <c r="RI18">
        <v>31</v>
      </c>
      <c r="RJ18">
        <v>0</v>
      </c>
      <c r="RK18">
        <v>1225</v>
      </c>
      <c r="RL18">
        <v>29</v>
      </c>
      <c r="RM18">
        <v>29</v>
      </c>
      <c r="RN18">
        <v>29</v>
      </c>
      <c r="RO18">
        <v>0</v>
      </c>
      <c r="RP18">
        <v>1157</v>
      </c>
      <c r="RQ18">
        <v>0</v>
      </c>
      <c r="RR18">
        <v>0</v>
      </c>
      <c r="RS18">
        <v>0</v>
      </c>
      <c r="RT18">
        <v>0</v>
      </c>
      <c r="RU18">
        <v>0</v>
      </c>
      <c r="RV18">
        <v>0</v>
      </c>
      <c r="RW18">
        <v>0</v>
      </c>
      <c r="RX18">
        <v>0</v>
      </c>
      <c r="RY18">
        <v>0</v>
      </c>
      <c r="RZ18">
        <v>0</v>
      </c>
      <c r="SA18">
        <v>13</v>
      </c>
      <c r="SB18">
        <v>0</v>
      </c>
      <c r="SC18">
        <v>0</v>
      </c>
      <c r="SD18">
        <v>0</v>
      </c>
      <c r="SE18">
        <v>0</v>
      </c>
      <c r="SF18">
        <v>0</v>
      </c>
      <c r="SG18" t="s">
        <v>85</v>
      </c>
      <c r="SH18" t="s">
        <v>85</v>
      </c>
      <c r="SI18" t="s">
        <v>85</v>
      </c>
      <c r="SJ18" t="s">
        <v>85</v>
      </c>
      <c r="SK18" t="s">
        <v>85</v>
      </c>
      <c r="SL18" t="s">
        <v>85</v>
      </c>
      <c r="SM18" t="s">
        <v>85</v>
      </c>
      <c r="SN18" t="s">
        <v>85</v>
      </c>
      <c r="SO18" t="s">
        <v>85</v>
      </c>
      <c r="SP18" t="s">
        <v>85</v>
      </c>
      <c r="SQ18" t="s">
        <v>85</v>
      </c>
      <c r="SR18" t="s">
        <v>85</v>
      </c>
      <c r="SS18" t="s">
        <v>85</v>
      </c>
      <c r="ST18" t="s">
        <v>85</v>
      </c>
      <c r="SU18" t="s">
        <v>85</v>
      </c>
      <c r="SV18" t="s">
        <v>85</v>
      </c>
      <c r="SW18" t="s">
        <v>85</v>
      </c>
      <c r="SX18" t="s">
        <v>85</v>
      </c>
      <c r="SY18" t="s">
        <v>85</v>
      </c>
      <c r="SZ18" t="s">
        <v>85</v>
      </c>
      <c r="TA18">
        <v>13</v>
      </c>
      <c r="TB18">
        <v>134</v>
      </c>
      <c r="TC18">
        <v>134</v>
      </c>
      <c r="TD18">
        <v>134</v>
      </c>
      <c r="TE18">
        <v>0</v>
      </c>
      <c r="TF18">
        <v>5324</v>
      </c>
      <c r="TG18">
        <v>0</v>
      </c>
      <c r="TH18">
        <v>0</v>
      </c>
      <c r="TI18">
        <v>0</v>
      </c>
      <c r="TJ18">
        <v>0</v>
      </c>
      <c r="TK18">
        <v>0</v>
      </c>
      <c r="TL18">
        <v>0</v>
      </c>
      <c r="TM18">
        <v>0</v>
      </c>
      <c r="TN18">
        <v>0</v>
      </c>
      <c r="TO18">
        <v>0</v>
      </c>
      <c r="TP18">
        <v>0</v>
      </c>
      <c r="TQ18">
        <v>23</v>
      </c>
      <c r="TR18">
        <v>22</v>
      </c>
      <c r="TS18">
        <v>24</v>
      </c>
      <c r="TT18">
        <v>0</v>
      </c>
      <c r="TU18">
        <v>843</v>
      </c>
      <c r="TV18">
        <v>7</v>
      </c>
      <c r="TW18">
        <v>8</v>
      </c>
      <c r="TX18">
        <v>6</v>
      </c>
      <c r="TY18">
        <v>0</v>
      </c>
      <c r="TZ18">
        <v>270</v>
      </c>
      <c r="UA18">
        <v>13</v>
      </c>
      <c r="UB18">
        <v>56</v>
      </c>
      <c r="UC18">
        <v>59</v>
      </c>
      <c r="UD18">
        <v>57</v>
      </c>
      <c r="UE18">
        <v>0</v>
      </c>
      <c r="UF18">
        <v>2188</v>
      </c>
      <c r="UG18" t="s">
        <v>85</v>
      </c>
      <c r="UH18" t="s">
        <v>85</v>
      </c>
      <c r="UI18" t="s">
        <v>85</v>
      </c>
      <c r="UJ18" t="s">
        <v>85</v>
      </c>
      <c r="UK18" t="s">
        <v>85</v>
      </c>
      <c r="UL18" t="s">
        <v>85</v>
      </c>
      <c r="UM18" t="s">
        <v>85</v>
      </c>
      <c r="UN18" t="s">
        <v>85</v>
      </c>
      <c r="UO18" t="s">
        <v>85</v>
      </c>
      <c r="UP18" t="s">
        <v>85</v>
      </c>
      <c r="UQ18" t="s">
        <v>85</v>
      </c>
      <c r="UR18" t="s">
        <v>85</v>
      </c>
      <c r="US18" t="s">
        <v>85</v>
      </c>
      <c r="UT18" t="s">
        <v>85</v>
      </c>
      <c r="UU18" t="s">
        <v>85</v>
      </c>
      <c r="UV18" t="s">
        <v>85</v>
      </c>
      <c r="UW18" t="s">
        <v>85</v>
      </c>
      <c r="UX18" t="s">
        <v>85</v>
      </c>
      <c r="UY18" t="s">
        <v>85</v>
      </c>
      <c r="UZ18" t="s">
        <v>85</v>
      </c>
      <c r="VX18">
        <v>13</v>
      </c>
      <c r="VY18">
        <v>0</v>
      </c>
      <c r="VZ18">
        <v>0</v>
      </c>
      <c r="WA18">
        <v>-1</v>
      </c>
      <c r="WB18">
        <v>0</v>
      </c>
      <c r="WC18">
        <v>25</v>
      </c>
      <c r="WD18">
        <v>14</v>
      </c>
      <c r="WE18">
        <v>14</v>
      </c>
      <c r="WF18">
        <v>14</v>
      </c>
      <c r="WG18">
        <v>0</v>
      </c>
      <c r="WH18">
        <v>467</v>
      </c>
      <c r="WI18">
        <v>15</v>
      </c>
      <c r="WJ18">
        <v>16</v>
      </c>
      <c r="WK18">
        <v>15</v>
      </c>
      <c r="WL18">
        <v>0</v>
      </c>
      <c r="WM18">
        <v>572</v>
      </c>
      <c r="WN18">
        <v>17</v>
      </c>
      <c r="WO18">
        <v>17</v>
      </c>
      <c r="WP18">
        <v>16</v>
      </c>
      <c r="WQ18">
        <v>0</v>
      </c>
      <c r="WR18">
        <v>598</v>
      </c>
      <c r="WS18">
        <v>16</v>
      </c>
      <c r="WT18">
        <v>16</v>
      </c>
      <c r="WU18">
        <v>15</v>
      </c>
      <c r="WV18">
        <v>1</v>
      </c>
      <c r="WW18">
        <v>39</v>
      </c>
      <c r="WX18">
        <v>13</v>
      </c>
      <c r="WY18">
        <v>18</v>
      </c>
      <c r="WZ18">
        <v>18</v>
      </c>
      <c r="XA18">
        <v>17</v>
      </c>
      <c r="XB18">
        <v>1</v>
      </c>
      <c r="XC18">
        <v>623</v>
      </c>
      <c r="XD18">
        <v>14</v>
      </c>
      <c r="XE18">
        <v>14</v>
      </c>
      <c r="XF18">
        <v>14</v>
      </c>
      <c r="XG18">
        <v>1</v>
      </c>
      <c r="XH18">
        <v>360</v>
      </c>
      <c r="XI18">
        <v>1</v>
      </c>
      <c r="XJ18">
        <v>1</v>
      </c>
      <c r="XK18">
        <v>1</v>
      </c>
      <c r="XL18">
        <v>1</v>
      </c>
      <c r="XM18">
        <v>48</v>
      </c>
      <c r="XN18" t="s">
        <v>85</v>
      </c>
      <c r="XO18" t="s">
        <v>85</v>
      </c>
      <c r="XP18" t="s">
        <v>85</v>
      </c>
      <c r="XQ18" t="s">
        <v>85</v>
      </c>
      <c r="XR18" t="s">
        <v>85</v>
      </c>
      <c r="XS18" t="s">
        <v>85</v>
      </c>
      <c r="XT18" t="s">
        <v>85</v>
      </c>
      <c r="XU18" t="s">
        <v>85</v>
      </c>
      <c r="XV18" t="s">
        <v>85</v>
      </c>
      <c r="XW18" t="s">
        <v>85</v>
      </c>
      <c r="XX18">
        <v>13</v>
      </c>
      <c r="XY18">
        <v>23</v>
      </c>
      <c r="XZ18">
        <v>23</v>
      </c>
      <c r="YA18">
        <v>23</v>
      </c>
      <c r="YB18">
        <v>0</v>
      </c>
      <c r="YC18">
        <v>870</v>
      </c>
      <c r="YD18">
        <v>51</v>
      </c>
      <c r="YE18">
        <v>50</v>
      </c>
      <c r="YF18">
        <v>50</v>
      </c>
      <c r="YG18">
        <v>0</v>
      </c>
      <c r="YH18">
        <v>2016</v>
      </c>
      <c r="YI18">
        <v>28</v>
      </c>
      <c r="YJ18">
        <v>29</v>
      </c>
      <c r="YK18">
        <v>29</v>
      </c>
      <c r="YL18">
        <v>0</v>
      </c>
      <c r="YM18">
        <v>1158</v>
      </c>
      <c r="YN18">
        <v>14</v>
      </c>
      <c r="YO18">
        <v>16</v>
      </c>
      <c r="YP18">
        <v>15</v>
      </c>
      <c r="YQ18">
        <v>2</v>
      </c>
      <c r="YR18">
        <v>381</v>
      </c>
      <c r="YS18">
        <v>31</v>
      </c>
      <c r="YT18">
        <v>33</v>
      </c>
      <c r="YU18">
        <v>31</v>
      </c>
      <c r="YV18">
        <v>0</v>
      </c>
      <c r="YW18">
        <v>1199</v>
      </c>
      <c r="YX18">
        <v>13</v>
      </c>
      <c r="YY18" t="s">
        <v>85</v>
      </c>
      <c r="YZ18" t="s">
        <v>85</v>
      </c>
      <c r="ZA18" t="s">
        <v>85</v>
      </c>
      <c r="ZB18" t="s">
        <v>85</v>
      </c>
      <c r="ZC18">
        <v>0</v>
      </c>
      <c r="ZD18">
        <v>2</v>
      </c>
      <c r="ZE18">
        <v>2</v>
      </c>
      <c r="ZF18">
        <v>2</v>
      </c>
      <c r="ZG18">
        <v>0</v>
      </c>
      <c r="ZH18">
        <v>58</v>
      </c>
      <c r="ZI18" t="s">
        <v>85</v>
      </c>
      <c r="ZJ18" t="s">
        <v>85</v>
      </c>
      <c r="ZK18" t="s">
        <v>85</v>
      </c>
      <c r="ZL18" t="s">
        <v>85</v>
      </c>
      <c r="ZM18" t="s">
        <v>85</v>
      </c>
      <c r="ZN18" t="s">
        <v>85</v>
      </c>
      <c r="ZO18" t="s">
        <v>85</v>
      </c>
      <c r="ZP18" t="s">
        <v>85</v>
      </c>
      <c r="ZQ18" t="s">
        <v>85</v>
      </c>
      <c r="ZR18" t="s">
        <v>85</v>
      </c>
      <c r="ZS18" t="s">
        <v>85</v>
      </c>
      <c r="ZT18" t="s">
        <v>85</v>
      </c>
      <c r="ZU18" t="s">
        <v>85</v>
      </c>
      <c r="ZV18" t="s">
        <v>85</v>
      </c>
      <c r="ZW18" t="s">
        <v>85</v>
      </c>
      <c r="ZX18">
        <v>13</v>
      </c>
      <c r="ZY18">
        <v>13</v>
      </c>
      <c r="ZZ18">
        <v>13</v>
      </c>
      <c r="AAA18">
        <v>56</v>
      </c>
      <c r="AAB18">
        <v>59</v>
      </c>
      <c r="AAC18">
        <v>57</v>
      </c>
      <c r="AAD18">
        <v>0</v>
      </c>
      <c r="AAE18">
        <v>2188</v>
      </c>
      <c r="AAF18" t="s">
        <v>85</v>
      </c>
      <c r="AAG18" t="s">
        <v>85</v>
      </c>
      <c r="AAH18" t="s">
        <v>85</v>
      </c>
      <c r="AAI18" t="s">
        <v>85</v>
      </c>
      <c r="AAJ18" t="s">
        <v>85</v>
      </c>
      <c r="AAK18" t="s">
        <v>85</v>
      </c>
      <c r="AAL18" t="s">
        <v>85</v>
      </c>
      <c r="AAM18" t="s">
        <v>85</v>
      </c>
      <c r="AAN18" t="s">
        <v>85</v>
      </c>
      <c r="AAO18" t="s">
        <v>85</v>
      </c>
      <c r="AAP18" t="s">
        <v>85</v>
      </c>
      <c r="AAQ18" t="s">
        <v>85</v>
      </c>
      <c r="AAR18" t="s">
        <v>85</v>
      </c>
      <c r="AAS18" t="s">
        <v>85</v>
      </c>
      <c r="AAT18" t="s">
        <v>85</v>
      </c>
      <c r="AAU18" t="s">
        <v>85</v>
      </c>
      <c r="AAV18" t="s">
        <v>85</v>
      </c>
      <c r="AAW18" t="s">
        <v>85</v>
      </c>
      <c r="AAX18" t="s">
        <v>85</v>
      </c>
      <c r="AAY18" t="s">
        <v>85</v>
      </c>
    </row>
    <row r="19" spans="1:727">
      <c r="A19" s="483">
        <v>13</v>
      </c>
      <c r="B19" s="503">
        <v>0</v>
      </c>
      <c r="C19" s="503">
        <v>0</v>
      </c>
      <c r="D19" s="503">
        <v>0</v>
      </c>
      <c r="E19" s="503">
        <v>-1</v>
      </c>
      <c r="F19" s="503">
        <v>24</v>
      </c>
      <c r="G19" s="593">
        <v>9</v>
      </c>
      <c r="H19" s="593">
        <v>10</v>
      </c>
      <c r="I19" s="593">
        <v>9</v>
      </c>
      <c r="J19" s="593">
        <v>0</v>
      </c>
      <c r="K19" s="593">
        <v>213</v>
      </c>
      <c r="L19" s="502">
        <v>10</v>
      </c>
      <c r="M19" s="502">
        <v>10</v>
      </c>
      <c r="N19" s="502">
        <v>10</v>
      </c>
      <c r="O19" s="502">
        <v>0</v>
      </c>
      <c r="P19" s="502">
        <v>191</v>
      </c>
      <c r="Q19" s="504">
        <v>6</v>
      </c>
      <c r="R19" s="504">
        <v>6</v>
      </c>
      <c r="S19" s="504">
        <v>6</v>
      </c>
      <c r="T19" s="504">
        <v>0</v>
      </c>
      <c r="U19" s="504">
        <v>159</v>
      </c>
      <c r="V19" s="505">
        <v>8</v>
      </c>
      <c r="W19" s="505">
        <v>8</v>
      </c>
      <c r="X19" s="505">
        <v>7</v>
      </c>
      <c r="Y19" s="505">
        <v>1</v>
      </c>
      <c r="Z19" s="505">
        <v>0</v>
      </c>
      <c r="AA19" s="506"/>
      <c r="AB19" s="506"/>
      <c r="AC19" s="506"/>
      <c r="AD19" s="506"/>
      <c r="AE19" s="506"/>
      <c r="AF19" s="506"/>
      <c r="AG19" s="507"/>
      <c r="AH19" s="507"/>
      <c r="AI19" s="507"/>
      <c r="AJ19" s="507"/>
      <c r="AK19" s="507"/>
      <c r="AL19" s="508"/>
      <c r="AM19" s="508"/>
      <c r="AN19" s="508"/>
      <c r="AO19" s="508"/>
      <c r="AP19" s="508"/>
      <c r="AQ19" s="509"/>
      <c r="AR19" s="509"/>
      <c r="AS19" s="509"/>
      <c r="AT19" s="509"/>
      <c r="AU19" s="509"/>
      <c r="AV19" s="483"/>
      <c r="AW19" s="483"/>
      <c r="AX19" s="483"/>
      <c r="AY19" s="483"/>
      <c r="AZ19" s="483"/>
      <c r="BA19" s="483"/>
      <c r="BB19" s="483"/>
      <c r="BC19" s="483"/>
      <c r="BD19" s="483"/>
      <c r="BE19" s="483"/>
      <c r="BF19" s="483"/>
      <c r="BG19" s="483"/>
      <c r="BH19" s="483"/>
      <c r="BI19" s="483"/>
      <c r="BJ19" s="483"/>
      <c r="BK19" s="483"/>
      <c r="BL19" s="483"/>
      <c r="BM19" s="483"/>
      <c r="BN19" s="483"/>
      <c r="BO19" s="483"/>
      <c r="BP19" s="483"/>
      <c r="GA19" t="s">
        <v>85</v>
      </c>
      <c r="GB19">
        <v>14</v>
      </c>
      <c r="GC19">
        <v>117</v>
      </c>
      <c r="GD19">
        <v>99</v>
      </c>
      <c r="GE19">
        <v>75</v>
      </c>
      <c r="GF19">
        <v>44</v>
      </c>
      <c r="GG19">
        <v>1935</v>
      </c>
      <c r="GH19">
        <v>22</v>
      </c>
      <c r="GI19">
        <v>29</v>
      </c>
      <c r="GJ19">
        <v>31</v>
      </c>
      <c r="GK19">
        <v>16</v>
      </c>
      <c r="GL19">
        <v>485</v>
      </c>
      <c r="GM19">
        <v>80</v>
      </c>
      <c r="GN19">
        <v>122</v>
      </c>
      <c r="GO19">
        <v>92</v>
      </c>
      <c r="GP19">
        <v>69</v>
      </c>
      <c r="GQ19">
        <v>-904</v>
      </c>
      <c r="GR19">
        <v>15</v>
      </c>
      <c r="GS19">
        <v>11</v>
      </c>
      <c r="GT19">
        <v>13</v>
      </c>
      <c r="GU19">
        <v>11</v>
      </c>
      <c r="GV19">
        <v>81</v>
      </c>
      <c r="GW19">
        <v>9</v>
      </c>
      <c r="GX19">
        <v>5</v>
      </c>
      <c r="GY19">
        <v>8</v>
      </c>
      <c r="GZ19">
        <v>18</v>
      </c>
      <c r="HA19">
        <v>-157</v>
      </c>
      <c r="HB19">
        <v>14</v>
      </c>
      <c r="HC19">
        <v>19</v>
      </c>
      <c r="HD19">
        <v>35</v>
      </c>
      <c r="HE19">
        <v>60</v>
      </c>
      <c r="HF19">
        <v>56</v>
      </c>
      <c r="HG19">
        <v>-1283</v>
      </c>
      <c r="HH19">
        <v>165</v>
      </c>
      <c r="HI19">
        <v>133</v>
      </c>
      <c r="HJ19">
        <v>128</v>
      </c>
      <c r="HK19">
        <v>45</v>
      </c>
      <c r="HL19">
        <v>2599</v>
      </c>
      <c r="HM19">
        <v>134</v>
      </c>
      <c r="HN19">
        <v>115</v>
      </c>
      <c r="HO19">
        <v>146</v>
      </c>
      <c r="HP19">
        <v>50</v>
      </c>
      <c r="HQ19">
        <v>2479</v>
      </c>
      <c r="HR19">
        <v>53</v>
      </c>
      <c r="HS19">
        <v>55</v>
      </c>
      <c r="HT19">
        <v>64</v>
      </c>
      <c r="HU19">
        <v>16</v>
      </c>
      <c r="HV19">
        <v>825</v>
      </c>
      <c r="HW19">
        <v>10</v>
      </c>
      <c r="HX19">
        <v>16</v>
      </c>
      <c r="HY19">
        <v>26</v>
      </c>
      <c r="HZ19">
        <v>19</v>
      </c>
      <c r="IA19">
        <v>330</v>
      </c>
      <c r="IB19">
        <v>14</v>
      </c>
      <c r="IC19">
        <v>115</v>
      </c>
      <c r="ID19">
        <v>95</v>
      </c>
      <c r="IE19">
        <v>86</v>
      </c>
      <c r="IF19">
        <v>34</v>
      </c>
      <c r="IG19">
        <v>2304</v>
      </c>
      <c r="IH19">
        <v>27</v>
      </c>
      <c r="II19">
        <v>45</v>
      </c>
      <c r="IJ19">
        <v>46</v>
      </c>
      <c r="IK19">
        <v>28</v>
      </c>
      <c r="IL19">
        <v>743</v>
      </c>
      <c r="IM19">
        <v>106</v>
      </c>
      <c r="IN19">
        <v>105</v>
      </c>
      <c r="IO19">
        <v>123</v>
      </c>
      <c r="IP19">
        <v>31</v>
      </c>
      <c r="IQ19">
        <v>1712</v>
      </c>
      <c r="IR19">
        <v>17</v>
      </c>
      <c r="IS19">
        <v>7</v>
      </c>
      <c r="IT19">
        <v>26</v>
      </c>
      <c r="IU19">
        <v>29</v>
      </c>
      <c r="IV19">
        <v>-281</v>
      </c>
      <c r="IW19">
        <v>30</v>
      </c>
      <c r="IX19">
        <v>30</v>
      </c>
      <c r="IY19">
        <v>22</v>
      </c>
      <c r="IZ19">
        <v>7</v>
      </c>
      <c r="JA19">
        <v>525</v>
      </c>
      <c r="JB19">
        <v>14</v>
      </c>
      <c r="JC19">
        <v>37</v>
      </c>
      <c r="JD19">
        <v>38</v>
      </c>
      <c r="JE19">
        <v>29</v>
      </c>
      <c r="JF19">
        <v>14</v>
      </c>
      <c r="JG19">
        <v>682</v>
      </c>
      <c r="JH19">
        <v>86</v>
      </c>
      <c r="JI19">
        <v>64</v>
      </c>
      <c r="JJ19">
        <v>63</v>
      </c>
      <c r="JK19">
        <v>41</v>
      </c>
      <c r="JL19">
        <v>1162</v>
      </c>
      <c r="JM19">
        <v>69</v>
      </c>
      <c r="JN19">
        <v>61</v>
      </c>
      <c r="JO19">
        <v>41</v>
      </c>
      <c r="JP19">
        <v>31</v>
      </c>
      <c r="JQ19">
        <v>728</v>
      </c>
      <c r="JR19">
        <v>70</v>
      </c>
      <c r="JS19">
        <v>68</v>
      </c>
      <c r="JT19">
        <v>85</v>
      </c>
      <c r="JU19">
        <v>41</v>
      </c>
      <c r="JV19">
        <v>1429</v>
      </c>
      <c r="JW19">
        <v>21</v>
      </c>
      <c r="JX19">
        <v>2</v>
      </c>
      <c r="JY19">
        <v>21</v>
      </c>
      <c r="JZ19">
        <v>28</v>
      </c>
      <c r="KA19">
        <v>320</v>
      </c>
      <c r="KB19">
        <v>14</v>
      </c>
      <c r="KC19" t="s">
        <v>85</v>
      </c>
      <c r="KD19" t="s">
        <v>85</v>
      </c>
      <c r="KE19" t="s">
        <v>85</v>
      </c>
      <c r="KF19" t="s">
        <v>85</v>
      </c>
      <c r="KG19" t="s">
        <v>85</v>
      </c>
      <c r="KH19" t="s">
        <v>85</v>
      </c>
      <c r="KI19" t="s">
        <v>85</v>
      </c>
      <c r="KJ19" t="s">
        <v>85</v>
      </c>
      <c r="KK19" t="s">
        <v>85</v>
      </c>
      <c r="KL19" t="s">
        <v>85</v>
      </c>
      <c r="KM19" t="s">
        <v>85</v>
      </c>
      <c r="KN19" t="s">
        <v>85</v>
      </c>
      <c r="KO19" t="s">
        <v>85</v>
      </c>
      <c r="KP19" t="s">
        <v>85</v>
      </c>
      <c r="KQ19" t="s">
        <v>85</v>
      </c>
      <c r="KR19" t="s">
        <v>85</v>
      </c>
      <c r="KS19" t="s">
        <v>85</v>
      </c>
      <c r="KT19" t="s">
        <v>85</v>
      </c>
      <c r="KU19" t="s">
        <v>85</v>
      </c>
      <c r="KV19" t="s">
        <v>85</v>
      </c>
      <c r="KW19" t="s">
        <v>85</v>
      </c>
      <c r="KX19" t="s">
        <v>85</v>
      </c>
      <c r="KY19" t="s">
        <v>85</v>
      </c>
      <c r="KZ19" t="s">
        <v>85</v>
      </c>
      <c r="LA19" t="s">
        <v>85</v>
      </c>
      <c r="LB19">
        <v>14</v>
      </c>
      <c r="LC19" t="s">
        <v>85</v>
      </c>
      <c r="LD19" t="s">
        <v>85</v>
      </c>
      <c r="LE19" t="s">
        <v>85</v>
      </c>
      <c r="LF19" t="s">
        <v>85</v>
      </c>
      <c r="LG19" t="s">
        <v>85</v>
      </c>
      <c r="LH19" t="s">
        <v>85</v>
      </c>
      <c r="LI19" t="s">
        <v>85</v>
      </c>
      <c r="LJ19" t="s">
        <v>85</v>
      </c>
      <c r="LK19" t="s">
        <v>85</v>
      </c>
      <c r="LL19" t="s">
        <v>85</v>
      </c>
      <c r="LM19" t="s">
        <v>85</v>
      </c>
      <c r="LN19" t="s">
        <v>85</v>
      </c>
      <c r="LO19" t="s">
        <v>85</v>
      </c>
      <c r="LP19" t="s">
        <v>85</v>
      </c>
      <c r="LQ19" t="s">
        <v>85</v>
      </c>
      <c r="LR19" t="s">
        <v>85</v>
      </c>
      <c r="LS19" t="s">
        <v>85</v>
      </c>
      <c r="LT19" t="s">
        <v>85</v>
      </c>
      <c r="LU19" t="s">
        <v>85</v>
      </c>
      <c r="LV19" t="s">
        <v>85</v>
      </c>
      <c r="LW19" t="s">
        <v>85</v>
      </c>
      <c r="LX19" t="s">
        <v>85</v>
      </c>
      <c r="LY19" t="s">
        <v>85</v>
      </c>
      <c r="LZ19" t="s">
        <v>85</v>
      </c>
      <c r="MA19" t="s">
        <v>85</v>
      </c>
      <c r="MB19">
        <v>14</v>
      </c>
      <c r="MC19" t="s">
        <v>85</v>
      </c>
      <c r="MD19" t="s">
        <v>85</v>
      </c>
      <c r="ME19" t="s">
        <v>85</v>
      </c>
      <c r="MF19" t="s">
        <v>85</v>
      </c>
      <c r="MG19" t="s">
        <v>85</v>
      </c>
      <c r="MH19" t="s">
        <v>85</v>
      </c>
      <c r="MI19" t="s">
        <v>85</v>
      </c>
      <c r="MJ19" t="s">
        <v>85</v>
      </c>
      <c r="MK19" t="s">
        <v>85</v>
      </c>
      <c r="ML19" t="s">
        <v>85</v>
      </c>
      <c r="MM19" t="s">
        <v>85</v>
      </c>
      <c r="MN19" t="s">
        <v>85</v>
      </c>
      <c r="MO19" t="s">
        <v>85</v>
      </c>
      <c r="MP19" t="s">
        <v>85</v>
      </c>
      <c r="MQ19" t="s">
        <v>85</v>
      </c>
      <c r="MR19" t="s">
        <v>85</v>
      </c>
      <c r="MS19" t="s">
        <v>85</v>
      </c>
      <c r="MT19" t="s">
        <v>85</v>
      </c>
      <c r="MU19" t="s">
        <v>85</v>
      </c>
      <c r="MV19" t="s">
        <v>85</v>
      </c>
      <c r="MW19" t="s">
        <v>85</v>
      </c>
      <c r="MX19" t="s">
        <v>85</v>
      </c>
      <c r="MY19" t="s">
        <v>85</v>
      </c>
      <c r="MZ19" t="s">
        <v>85</v>
      </c>
      <c r="NA19">
        <v>14</v>
      </c>
      <c r="NB19">
        <v>0</v>
      </c>
      <c r="NC19">
        <v>-1</v>
      </c>
      <c r="ND19">
        <v>-1</v>
      </c>
      <c r="NE19">
        <v>-1</v>
      </c>
      <c r="NF19">
        <v>25</v>
      </c>
      <c r="NG19">
        <v>15</v>
      </c>
      <c r="NH19">
        <v>15</v>
      </c>
      <c r="NI19">
        <v>15</v>
      </c>
      <c r="NJ19">
        <v>0</v>
      </c>
      <c r="NK19">
        <v>572</v>
      </c>
      <c r="NL19">
        <v>21</v>
      </c>
      <c r="NM19">
        <v>22</v>
      </c>
      <c r="NN19">
        <v>20</v>
      </c>
      <c r="NO19">
        <v>0</v>
      </c>
      <c r="NP19">
        <v>714</v>
      </c>
      <c r="NQ19">
        <v>24</v>
      </c>
      <c r="NR19">
        <v>25</v>
      </c>
      <c r="NS19">
        <v>24</v>
      </c>
      <c r="NT19">
        <v>0</v>
      </c>
      <c r="NU19">
        <v>774</v>
      </c>
      <c r="NV19">
        <v>24</v>
      </c>
      <c r="NW19">
        <v>24</v>
      </c>
      <c r="NX19">
        <v>24</v>
      </c>
      <c r="NY19">
        <v>1</v>
      </c>
      <c r="NZ19">
        <v>254</v>
      </c>
      <c r="OA19">
        <v>14</v>
      </c>
      <c r="OB19">
        <v>23</v>
      </c>
      <c r="OC19">
        <v>23</v>
      </c>
      <c r="OD19">
        <v>22</v>
      </c>
      <c r="OE19">
        <v>1</v>
      </c>
      <c r="OF19">
        <v>743</v>
      </c>
      <c r="OG19">
        <v>16</v>
      </c>
      <c r="OH19">
        <v>16</v>
      </c>
      <c r="OI19">
        <v>16</v>
      </c>
      <c r="OJ19">
        <v>1</v>
      </c>
      <c r="OK19">
        <v>392</v>
      </c>
      <c r="OL19">
        <v>1</v>
      </c>
      <c r="OM19">
        <v>1</v>
      </c>
      <c r="ON19">
        <v>1</v>
      </c>
      <c r="OO19">
        <v>1</v>
      </c>
      <c r="OP19">
        <v>48</v>
      </c>
      <c r="OQ19" t="s">
        <v>85</v>
      </c>
      <c r="OR19" t="s">
        <v>85</v>
      </c>
      <c r="OS19" t="s">
        <v>85</v>
      </c>
      <c r="OT19" t="s">
        <v>85</v>
      </c>
      <c r="OU19" t="s">
        <v>85</v>
      </c>
      <c r="OV19" t="s">
        <v>85</v>
      </c>
      <c r="OW19" t="s">
        <v>85</v>
      </c>
      <c r="OX19" t="s">
        <v>85</v>
      </c>
      <c r="OY19" t="s">
        <v>85</v>
      </c>
      <c r="OZ19" t="s">
        <v>85</v>
      </c>
      <c r="PA19">
        <v>14</v>
      </c>
      <c r="PB19">
        <v>23</v>
      </c>
      <c r="PC19">
        <v>23</v>
      </c>
      <c r="PD19">
        <v>23</v>
      </c>
      <c r="PE19">
        <v>0</v>
      </c>
      <c r="PF19">
        <v>873</v>
      </c>
      <c r="PG19">
        <v>42</v>
      </c>
      <c r="PH19">
        <v>41</v>
      </c>
      <c r="PI19">
        <v>41</v>
      </c>
      <c r="PJ19">
        <v>0</v>
      </c>
      <c r="PK19">
        <v>1798</v>
      </c>
      <c r="PL19">
        <v>10</v>
      </c>
      <c r="PM19">
        <v>11</v>
      </c>
      <c r="PN19">
        <v>11</v>
      </c>
      <c r="PO19">
        <v>0</v>
      </c>
      <c r="PP19">
        <v>998</v>
      </c>
      <c r="PQ19">
        <v>14</v>
      </c>
      <c r="PR19">
        <v>17</v>
      </c>
      <c r="PS19">
        <v>13</v>
      </c>
      <c r="PT19">
        <v>2</v>
      </c>
      <c r="PU19">
        <v>248</v>
      </c>
      <c r="PV19">
        <v>31</v>
      </c>
      <c r="PW19">
        <v>34</v>
      </c>
      <c r="PX19">
        <v>31</v>
      </c>
      <c r="PY19">
        <v>0</v>
      </c>
      <c r="PZ19">
        <v>1268</v>
      </c>
      <c r="QA19">
        <v>14</v>
      </c>
      <c r="QB19" t="s">
        <v>85</v>
      </c>
      <c r="QC19" t="s">
        <v>85</v>
      </c>
      <c r="QD19" t="s">
        <v>85</v>
      </c>
      <c r="QE19" t="s">
        <v>85</v>
      </c>
      <c r="QF19">
        <v>0</v>
      </c>
      <c r="QG19">
        <v>2</v>
      </c>
      <c r="QH19">
        <v>2</v>
      </c>
      <c r="QI19">
        <v>2</v>
      </c>
      <c r="QJ19">
        <v>0</v>
      </c>
      <c r="QK19">
        <v>59</v>
      </c>
      <c r="QL19" t="s">
        <v>85</v>
      </c>
      <c r="QM19" t="s">
        <v>85</v>
      </c>
      <c r="QN19" t="s">
        <v>85</v>
      </c>
      <c r="QO19" t="s">
        <v>85</v>
      </c>
      <c r="QP19" t="s">
        <v>85</v>
      </c>
      <c r="QQ19" t="s">
        <v>85</v>
      </c>
      <c r="QR19" t="s">
        <v>85</v>
      </c>
      <c r="QS19" t="s">
        <v>85</v>
      </c>
      <c r="QT19" t="s">
        <v>85</v>
      </c>
      <c r="QU19" t="s">
        <v>85</v>
      </c>
      <c r="QV19" t="s">
        <v>85</v>
      </c>
      <c r="QW19" t="s">
        <v>85</v>
      </c>
      <c r="QX19" t="s">
        <v>85</v>
      </c>
      <c r="QY19" t="s">
        <v>85</v>
      </c>
      <c r="QZ19" t="s">
        <v>85</v>
      </c>
      <c r="RA19">
        <v>14</v>
      </c>
      <c r="RB19">
        <v>113</v>
      </c>
      <c r="RC19">
        <v>111</v>
      </c>
      <c r="RD19">
        <v>110</v>
      </c>
      <c r="RE19">
        <v>0</v>
      </c>
      <c r="RF19">
        <v>3548</v>
      </c>
      <c r="RG19">
        <v>29</v>
      </c>
      <c r="RH19">
        <v>29</v>
      </c>
      <c r="RI19">
        <v>28</v>
      </c>
      <c r="RJ19">
        <v>0</v>
      </c>
      <c r="RK19">
        <v>1124</v>
      </c>
      <c r="RL19">
        <v>26</v>
      </c>
      <c r="RM19">
        <v>26</v>
      </c>
      <c r="RN19">
        <v>26</v>
      </c>
      <c r="RO19">
        <v>0</v>
      </c>
      <c r="RP19">
        <v>1062</v>
      </c>
      <c r="RQ19">
        <v>0</v>
      </c>
      <c r="RR19">
        <v>0</v>
      </c>
      <c r="RS19">
        <v>0</v>
      </c>
      <c r="RT19">
        <v>0</v>
      </c>
      <c r="RU19">
        <v>0</v>
      </c>
      <c r="RV19">
        <v>0</v>
      </c>
      <c r="RW19">
        <v>0</v>
      </c>
      <c r="RX19">
        <v>0</v>
      </c>
      <c r="RY19">
        <v>0</v>
      </c>
      <c r="RZ19">
        <v>0</v>
      </c>
      <c r="SA19">
        <v>14</v>
      </c>
      <c r="SB19">
        <v>0</v>
      </c>
      <c r="SC19">
        <v>0</v>
      </c>
      <c r="SD19">
        <v>0</v>
      </c>
      <c r="SE19">
        <v>0</v>
      </c>
      <c r="SF19">
        <v>0</v>
      </c>
      <c r="SG19" t="s">
        <v>85</v>
      </c>
      <c r="SH19" t="s">
        <v>85</v>
      </c>
      <c r="SI19" t="s">
        <v>85</v>
      </c>
      <c r="SJ19" t="s">
        <v>85</v>
      </c>
      <c r="SK19" t="s">
        <v>85</v>
      </c>
      <c r="SL19" t="s">
        <v>85</v>
      </c>
      <c r="SM19" t="s">
        <v>85</v>
      </c>
      <c r="SN19" t="s">
        <v>85</v>
      </c>
      <c r="SO19" t="s">
        <v>85</v>
      </c>
      <c r="SP19" t="s">
        <v>85</v>
      </c>
      <c r="SQ19" t="s">
        <v>85</v>
      </c>
      <c r="SR19" t="s">
        <v>85</v>
      </c>
      <c r="SS19" t="s">
        <v>85</v>
      </c>
      <c r="ST19" t="s">
        <v>85</v>
      </c>
      <c r="SU19" t="s">
        <v>85</v>
      </c>
      <c r="SV19" t="s">
        <v>85</v>
      </c>
      <c r="SW19" t="s">
        <v>85</v>
      </c>
      <c r="SX19" t="s">
        <v>85</v>
      </c>
      <c r="SY19" t="s">
        <v>85</v>
      </c>
      <c r="SZ19" t="s">
        <v>85</v>
      </c>
      <c r="TA19">
        <v>14</v>
      </c>
      <c r="TB19">
        <v>113</v>
      </c>
      <c r="TC19">
        <v>114</v>
      </c>
      <c r="TD19">
        <v>113</v>
      </c>
      <c r="TE19">
        <v>0</v>
      </c>
      <c r="TF19">
        <v>4874</v>
      </c>
      <c r="TG19">
        <v>0</v>
      </c>
      <c r="TH19">
        <v>0</v>
      </c>
      <c r="TI19">
        <v>0</v>
      </c>
      <c r="TJ19">
        <v>0</v>
      </c>
      <c r="TK19">
        <v>0</v>
      </c>
      <c r="TL19">
        <v>0</v>
      </c>
      <c r="TM19">
        <v>0</v>
      </c>
      <c r="TN19">
        <v>0</v>
      </c>
      <c r="TO19">
        <v>0</v>
      </c>
      <c r="TP19">
        <v>0</v>
      </c>
      <c r="TQ19">
        <v>27</v>
      </c>
      <c r="TR19">
        <v>24</v>
      </c>
      <c r="TS19">
        <v>27</v>
      </c>
      <c r="TT19">
        <v>0</v>
      </c>
      <c r="TU19">
        <v>778</v>
      </c>
      <c r="TV19">
        <v>7</v>
      </c>
      <c r="TW19">
        <v>8</v>
      </c>
      <c r="TX19">
        <v>6</v>
      </c>
      <c r="TY19">
        <v>0</v>
      </c>
      <c r="TZ19">
        <v>269</v>
      </c>
      <c r="UA19">
        <v>14</v>
      </c>
      <c r="UB19">
        <v>63</v>
      </c>
      <c r="UC19">
        <v>67</v>
      </c>
      <c r="UD19">
        <v>64</v>
      </c>
      <c r="UE19">
        <v>0</v>
      </c>
      <c r="UF19">
        <v>2376</v>
      </c>
      <c r="UG19" t="s">
        <v>85</v>
      </c>
      <c r="UH19" t="s">
        <v>85</v>
      </c>
      <c r="UI19" t="s">
        <v>85</v>
      </c>
      <c r="UJ19" t="s">
        <v>85</v>
      </c>
      <c r="UK19" t="s">
        <v>85</v>
      </c>
      <c r="UL19" t="s">
        <v>85</v>
      </c>
      <c r="UM19" t="s">
        <v>85</v>
      </c>
      <c r="UN19" t="s">
        <v>85</v>
      </c>
      <c r="UO19" t="s">
        <v>85</v>
      </c>
      <c r="UP19" t="s">
        <v>85</v>
      </c>
      <c r="UQ19" t="s">
        <v>85</v>
      </c>
      <c r="UR19" t="s">
        <v>85</v>
      </c>
      <c r="US19" t="s">
        <v>85</v>
      </c>
      <c r="UT19" t="s">
        <v>85</v>
      </c>
      <c r="UU19" t="s">
        <v>85</v>
      </c>
      <c r="UV19" t="s">
        <v>85</v>
      </c>
      <c r="UW19" t="s">
        <v>85</v>
      </c>
      <c r="UX19" t="s">
        <v>85</v>
      </c>
      <c r="UY19" t="s">
        <v>85</v>
      </c>
      <c r="UZ19" t="s">
        <v>85</v>
      </c>
      <c r="VX19">
        <v>14</v>
      </c>
      <c r="VY19">
        <v>0</v>
      </c>
      <c r="VZ19">
        <v>-1</v>
      </c>
      <c r="WA19">
        <v>-1</v>
      </c>
      <c r="WB19">
        <v>-1</v>
      </c>
      <c r="WC19">
        <v>25</v>
      </c>
      <c r="WD19">
        <v>15</v>
      </c>
      <c r="WE19">
        <v>15</v>
      </c>
      <c r="WF19">
        <v>15</v>
      </c>
      <c r="WG19">
        <v>0</v>
      </c>
      <c r="WH19">
        <v>572</v>
      </c>
      <c r="WI19">
        <v>21</v>
      </c>
      <c r="WJ19">
        <v>22</v>
      </c>
      <c r="WK19">
        <v>20</v>
      </c>
      <c r="WL19">
        <v>0</v>
      </c>
      <c r="WM19">
        <v>714</v>
      </c>
      <c r="WN19">
        <v>24</v>
      </c>
      <c r="WO19">
        <v>25</v>
      </c>
      <c r="WP19">
        <v>24</v>
      </c>
      <c r="WQ19">
        <v>0</v>
      </c>
      <c r="WR19">
        <v>774</v>
      </c>
      <c r="WS19">
        <v>24</v>
      </c>
      <c r="WT19">
        <v>24</v>
      </c>
      <c r="WU19">
        <v>24</v>
      </c>
      <c r="WV19">
        <v>1</v>
      </c>
      <c r="WW19">
        <v>254</v>
      </c>
      <c r="WX19">
        <v>14</v>
      </c>
      <c r="WY19">
        <v>23</v>
      </c>
      <c r="WZ19">
        <v>23</v>
      </c>
      <c r="XA19">
        <v>22</v>
      </c>
      <c r="XB19">
        <v>1</v>
      </c>
      <c r="XC19">
        <v>743</v>
      </c>
      <c r="XD19">
        <v>16</v>
      </c>
      <c r="XE19">
        <v>16</v>
      </c>
      <c r="XF19">
        <v>16</v>
      </c>
      <c r="XG19">
        <v>1</v>
      </c>
      <c r="XH19">
        <v>392</v>
      </c>
      <c r="XI19">
        <v>1</v>
      </c>
      <c r="XJ19">
        <v>1</v>
      </c>
      <c r="XK19">
        <v>1</v>
      </c>
      <c r="XL19">
        <v>1</v>
      </c>
      <c r="XM19">
        <v>48</v>
      </c>
      <c r="XN19" t="s">
        <v>85</v>
      </c>
      <c r="XO19" t="s">
        <v>85</v>
      </c>
      <c r="XP19" t="s">
        <v>85</v>
      </c>
      <c r="XQ19" t="s">
        <v>85</v>
      </c>
      <c r="XR19" t="s">
        <v>85</v>
      </c>
      <c r="XS19" t="s">
        <v>85</v>
      </c>
      <c r="XT19" t="s">
        <v>85</v>
      </c>
      <c r="XU19" t="s">
        <v>85</v>
      </c>
      <c r="XV19" t="s">
        <v>85</v>
      </c>
      <c r="XW19" t="s">
        <v>85</v>
      </c>
      <c r="XX19">
        <v>14</v>
      </c>
      <c r="XY19">
        <v>23</v>
      </c>
      <c r="XZ19">
        <v>23</v>
      </c>
      <c r="YA19">
        <v>23</v>
      </c>
      <c r="YB19">
        <v>0</v>
      </c>
      <c r="YC19">
        <v>873</v>
      </c>
      <c r="YD19">
        <v>42</v>
      </c>
      <c r="YE19">
        <v>41</v>
      </c>
      <c r="YF19">
        <v>41</v>
      </c>
      <c r="YG19">
        <v>0</v>
      </c>
      <c r="YH19">
        <v>1798</v>
      </c>
      <c r="YI19">
        <v>10</v>
      </c>
      <c r="YJ19">
        <v>11</v>
      </c>
      <c r="YK19">
        <v>11</v>
      </c>
      <c r="YL19">
        <v>0</v>
      </c>
      <c r="YM19">
        <v>998</v>
      </c>
      <c r="YN19">
        <v>14</v>
      </c>
      <c r="YO19">
        <v>17</v>
      </c>
      <c r="YP19">
        <v>13</v>
      </c>
      <c r="YQ19">
        <v>2</v>
      </c>
      <c r="YR19">
        <v>248</v>
      </c>
      <c r="YS19">
        <v>31</v>
      </c>
      <c r="YT19">
        <v>34</v>
      </c>
      <c r="YU19">
        <v>31</v>
      </c>
      <c r="YV19">
        <v>0</v>
      </c>
      <c r="YW19">
        <v>1268</v>
      </c>
      <c r="YX19">
        <v>14</v>
      </c>
      <c r="YY19" t="s">
        <v>85</v>
      </c>
      <c r="YZ19" t="s">
        <v>85</v>
      </c>
      <c r="ZA19" t="s">
        <v>85</v>
      </c>
      <c r="ZB19" t="s">
        <v>85</v>
      </c>
      <c r="ZC19">
        <v>0</v>
      </c>
      <c r="ZD19">
        <v>2</v>
      </c>
      <c r="ZE19">
        <v>2</v>
      </c>
      <c r="ZF19">
        <v>2</v>
      </c>
      <c r="ZG19">
        <v>0</v>
      </c>
      <c r="ZH19">
        <v>59</v>
      </c>
      <c r="ZI19" t="s">
        <v>85</v>
      </c>
      <c r="ZJ19" t="s">
        <v>85</v>
      </c>
      <c r="ZK19" t="s">
        <v>85</v>
      </c>
      <c r="ZL19" t="s">
        <v>85</v>
      </c>
      <c r="ZM19" t="s">
        <v>85</v>
      </c>
      <c r="ZN19" t="s">
        <v>85</v>
      </c>
      <c r="ZO19" t="s">
        <v>85</v>
      </c>
      <c r="ZP19" t="s">
        <v>85</v>
      </c>
      <c r="ZQ19" t="s">
        <v>85</v>
      </c>
      <c r="ZR19" t="s">
        <v>85</v>
      </c>
      <c r="ZS19" t="s">
        <v>85</v>
      </c>
      <c r="ZT19" t="s">
        <v>85</v>
      </c>
      <c r="ZU19" t="s">
        <v>85</v>
      </c>
      <c r="ZV19" t="s">
        <v>85</v>
      </c>
      <c r="ZW19" t="s">
        <v>85</v>
      </c>
      <c r="ZX19">
        <v>14</v>
      </c>
      <c r="ZY19">
        <v>14</v>
      </c>
      <c r="ZZ19">
        <v>14</v>
      </c>
      <c r="AAA19">
        <v>63</v>
      </c>
      <c r="AAB19">
        <v>67</v>
      </c>
      <c r="AAC19">
        <v>64</v>
      </c>
      <c r="AAD19">
        <v>0</v>
      </c>
      <c r="AAE19">
        <v>2376</v>
      </c>
      <c r="AAF19" t="s">
        <v>85</v>
      </c>
      <c r="AAG19" t="s">
        <v>85</v>
      </c>
      <c r="AAH19" t="s">
        <v>85</v>
      </c>
      <c r="AAI19" t="s">
        <v>85</v>
      </c>
      <c r="AAJ19" t="s">
        <v>85</v>
      </c>
      <c r="AAK19" t="s">
        <v>85</v>
      </c>
      <c r="AAL19" t="s">
        <v>85</v>
      </c>
      <c r="AAM19" t="s">
        <v>85</v>
      </c>
      <c r="AAN19" t="s">
        <v>85</v>
      </c>
      <c r="AAO19" t="s">
        <v>85</v>
      </c>
      <c r="AAP19" t="s">
        <v>85</v>
      </c>
      <c r="AAQ19" t="s">
        <v>85</v>
      </c>
      <c r="AAR19" t="s">
        <v>85</v>
      </c>
      <c r="AAS19" t="s">
        <v>85</v>
      </c>
      <c r="AAT19" t="s">
        <v>85</v>
      </c>
      <c r="AAU19" t="s">
        <v>85</v>
      </c>
      <c r="AAV19" t="s">
        <v>85</v>
      </c>
      <c r="AAW19" t="s">
        <v>85</v>
      </c>
      <c r="AAX19" t="s">
        <v>85</v>
      </c>
      <c r="AAY19" t="s">
        <v>85</v>
      </c>
    </row>
    <row r="20" spans="1:727">
      <c r="A20" s="483">
        <v>14</v>
      </c>
      <c r="B20" s="503">
        <v>-1</v>
      </c>
      <c r="C20" s="503">
        <v>-1</v>
      </c>
      <c r="D20" s="503">
        <v>0</v>
      </c>
      <c r="E20" s="503">
        <v>-1</v>
      </c>
      <c r="F20" s="503">
        <v>24</v>
      </c>
      <c r="G20" s="593">
        <v>13</v>
      </c>
      <c r="H20" s="593">
        <v>13</v>
      </c>
      <c r="I20" s="593">
        <v>13</v>
      </c>
      <c r="J20" s="593">
        <v>0</v>
      </c>
      <c r="K20" s="593">
        <v>305</v>
      </c>
      <c r="L20" s="502">
        <v>18</v>
      </c>
      <c r="M20" s="502">
        <v>18</v>
      </c>
      <c r="N20" s="502">
        <v>17</v>
      </c>
      <c r="O20" s="502">
        <v>0</v>
      </c>
      <c r="P20" s="502">
        <v>383</v>
      </c>
      <c r="Q20" s="504">
        <v>6</v>
      </c>
      <c r="R20" s="504">
        <v>6</v>
      </c>
      <c r="S20" s="504">
        <v>6</v>
      </c>
      <c r="T20" s="504">
        <v>0</v>
      </c>
      <c r="U20" s="504">
        <v>250</v>
      </c>
      <c r="V20" s="505">
        <v>11</v>
      </c>
      <c r="W20" s="505">
        <v>11</v>
      </c>
      <c r="X20" s="505">
        <v>11</v>
      </c>
      <c r="Y20" s="505">
        <v>1</v>
      </c>
      <c r="Z20" s="505">
        <v>2</v>
      </c>
      <c r="AA20" s="506"/>
      <c r="AB20" s="506"/>
      <c r="AC20" s="506"/>
      <c r="AD20" s="506"/>
      <c r="AE20" s="506"/>
      <c r="AF20" s="506"/>
      <c r="AG20" s="507"/>
      <c r="AH20" s="507"/>
      <c r="AI20" s="507"/>
      <c r="AJ20" s="507"/>
      <c r="AK20" s="507"/>
      <c r="AL20" s="508"/>
      <c r="AM20" s="508"/>
      <c r="AN20" s="508"/>
      <c r="AO20" s="508"/>
      <c r="AP20" s="508"/>
      <c r="AQ20" s="509"/>
      <c r="AR20" s="509"/>
      <c r="AS20" s="509"/>
      <c r="AT20" s="509"/>
      <c r="AU20" s="509"/>
      <c r="AV20" s="483"/>
      <c r="AW20" s="483"/>
      <c r="AX20" s="483"/>
      <c r="AY20" s="483"/>
      <c r="AZ20" s="483"/>
      <c r="BA20" s="483"/>
      <c r="BB20" s="483"/>
      <c r="BC20" s="483"/>
      <c r="BD20" s="483"/>
      <c r="BE20" s="483"/>
      <c r="BF20" s="483"/>
      <c r="BG20" s="483"/>
      <c r="BH20" s="483"/>
      <c r="BI20" s="483"/>
      <c r="BJ20" s="483"/>
      <c r="BK20" s="483"/>
      <c r="BL20" s="483"/>
      <c r="BM20" s="483"/>
      <c r="BN20" s="483"/>
      <c r="BO20" s="483"/>
      <c r="BP20" s="483"/>
      <c r="GA20" t="s">
        <v>85</v>
      </c>
      <c r="GB20">
        <v>15</v>
      </c>
      <c r="GC20">
        <v>106</v>
      </c>
      <c r="GD20">
        <v>97</v>
      </c>
      <c r="GE20">
        <v>76</v>
      </c>
      <c r="GF20">
        <v>37</v>
      </c>
      <c r="GG20">
        <v>1932</v>
      </c>
      <c r="GH20">
        <v>33</v>
      </c>
      <c r="GI20">
        <v>32</v>
      </c>
      <c r="GJ20">
        <v>37</v>
      </c>
      <c r="GK20">
        <v>15</v>
      </c>
      <c r="GL20">
        <v>561</v>
      </c>
      <c r="GM20">
        <v>62</v>
      </c>
      <c r="GN20">
        <v>74</v>
      </c>
      <c r="GO20">
        <v>46</v>
      </c>
      <c r="GP20">
        <v>80</v>
      </c>
      <c r="GQ20">
        <v>-681</v>
      </c>
      <c r="GR20">
        <v>8</v>
      </c>
      <c r="GS20">
        <v>4</v>
      </c>
      <c r="GT20">
        <v>7</v>
      </c>
      <c r="GU20">
        <v>12</v>
      </c>
      <c r="GV20">
        <v>131</v>
      </c>
      <c r="GW20">
        <v>6</v>
      </c>
      <c r="GX20">
        <v>15</v>
      </c>
      <c r="GY20">
        <v>20</v>
      </c>
      <c r="GZ20">
        <v>28</v>
      </c>
      <c r="HA20">
        <v>-134</v>
      </c>
      <c r="HB20">
        <v>15</v>
      </c>
      <c r="HC20">
        <v>19</v>
      </c>
      <c r="HD20">
        <v>16</v>
      </c>
      <c r="HE20">
        <v>42</v>
      </c>
      <c r="HF20">
        <v>54</v>
      </c>
      <c r="HG20">
        <v>-827</v>
      </c>
      <c r="HH20">
        <v>156</v>
      </c>
      <c r="HI20">
        <v>134</v>
      </c>
      <c r="HJ20">
        <v>119</v>
      </c>
      <c r="HK20">
        <v>45</v>
      </c>
      <c r="HL20">
        <v>2591</v>
      </c>
      <c r="HM20">
        <v>138</v>
      </c>
      <c r="HN20">
        <v>122</v>
      </c>
      <c r="HO20">
        <v>157</v>
      </c>
      <c r="HP20">
        <v>51</v>
      </c>
      <c r="HQ20">
        <v>2648</v>
      </c>
      <c r="HR20">
        <v>48</v>
      </c>
      <c r="HS20">
        <v>55</v>
      </c>
      <c r="HT20">
        <v>62</v>
      </c>
      <c r="HU20">
        <v>16</v>
      </c>
      <c r="HV20">
        <v>872</v>
      </c>
      <c r="HW20">
        <v>9</v>
      </c>
      <c r="HX20">
        <v>16</v>
      </c>
      <c r="HY20">
        <v>25</v>
      </c>
      <c r="HZ20">
        <v>19</v>
      </c>
      <c r="IA20">
        <v>341</v>
      </c>
      <c r="IB20">
        <v>15</v>
      </c>
      <c r="IC20">
        <v>170</v>
      </c>
      <c r="ID20">
        <v>147</v>
      </c>
      <c r="IE20">
        <v>125</v>
      </c>
      <c r="IF20">
        <v>54</v>
      </c>
      <c r="IG20">
        <v>2329</v>
      </c>
      <c r="IH20">
        <v>28</v>
      </c>
      <c r="II20">
        <v>43</v>
      </c>
      <c r="IJ20">
        <v>46</v>
      </c>
      <c r="IK20">
        <v>24</v>
      </c>
      <c r="IL20">
        <v>746</v>
      </c>
      <c r="IM20">
        <v>97</v>
      </c>
      <c r="IN20">
        <v>102</v>
      </c>
      <c r="IO20">
        <v>118</v>
      </c>
      <c r="IP20">
        <v>29</v>
      </c>
      <c r="IQ20">
        <v>2128</v>
      </c>
      <c r="IR20">
        <v>17</v>
      </c>
      <c r="IS20">
        <v>8</v>
      </c>
      <c r="IT20">
        <v>30</v>
      </c>
      <c r="IU20">
        <v>31</v>
      </c>
      <c r="IV20">
        <v>-294</v>
      </c>
      <c r="IW20">
        <v>28</v>
      </c>
      <c r="IX20">
        <v>31</v>
      </c>
      <c r="IY20">
        <v>23</v>
      </c>
      <c r="IZ20">
        <v>8</v>
      </c>
      <c r="JA20">
        <v>534</v>
      </c>
      <c r="JB20">
        <v>15</v>
      </c>
      <c r="JC20">
        <v>40</v>
      </c>
      <c r="JD20">
        <v>34</v>
      </c>
      <c r="JE20">
        <v>26</v>
      </c>
      <c r="JF20">
        <v>14</v>
      </c>
      <c r="JG20">
        <v>694</v>
      </c>
      <c r="JH20">
        <v>92</v>
      </c>
      <c r="JI20">
        <v>78</v>
      </c>
      <c r="JJ20">
        <v>68</v>
      </c>
      <c r="JK20">
        <v>32</v>
      </c>
      <c r="JL20">
        <v>1330</v>
      </c>
      <c r="JM20">
        <v>72</v>
      </c>
      <c r="JN20">
        <v>66</v>
      </c>
      <c r="JO20">
        <v>52</v>
      </c>
      <c r="JP20">
        <v>25</v>
      </c>
      <c r="JQ20">
        <v>943</v>
      </c>
      <c r="JR20">
        <v>103</v>
      </c>
      <c r="JS20">
        <v>108</v>
      </c>
      <c r="JT20">
        <v>111</v>
      </c>
      <c r="JU20">
        <v>29</v>
      </c>
      <c r="JV20">
        <v>1353</v>
      </c>
      <c r="JW20">
        <v>21</v>
      </c>
      <c r="JX20">
        <v>5</v>
      </c>
      <c r="JY20">
        <v>25</v>
      </c>
      <c r="JZ20">
        <v>26</v>
      </c>
      <c r="KA20">
        <v>343</v>
      </c>
      <c r="KB20">
        <v>15</v>
      </c>
      <c r="KC20" t="s">
        <v>85</v>
      </c>
      <c r="KD20" t="s">
        <v>85</v>
      </c>
      <c r="KE20" t="s">
        <v>85</v>
      </c>
      <c r="KF20" t="s">
        <v>85</v>
      </c>
      <c r="KG20" t="s">
        <v>85</v>
      </c>
      <c r="KH20" t="s">
        <v>85</v>
      </c>
      <c r="KI20" t="s">
        <v>85</v>
      </c>
      <c r="KJ20" t="s">
        <v>85</v>
      </c>
      <c r="KK20" t="s">
        <v>85</v>
      </c>
      <c r="KL20" t="s">
        <v>85</v>
      </c>
      <c r="KM20" t="s">
        <v>85</v>
      </c>
      <c r="KN20" t="s">
        <v>85</v>
      </c>
      <c r="KO20" t="s">
        <v>85</v>
      </c>
      <c r="KP20" t="s">
        <v>85</v>
      </c>
      <c r="KQ20" t="s">
        <v>85</v>
      </c>
      <c r="KR20" t="s">
        <v>85</v>
      </c>
      <c r="KS20" t="s">
        <v>85</v>
      </c>
      <c r="KT20" t="s">
        <v>85</v>
      </c>
      <c r="KU20" t="s">
        <v>85</v>
      </c>
      <c r="KV20" t="s">
        <v>85</v>
      </c>
      <c r="KW20" t="s">
        <v>85</v>
      </c>
      <c r="KX20" t="s">
        <v>85</v>
      </c>
      <c r="KY20" t="s">
        <v>85</v>
      </c>
      <c r="KZ20" t="s">
        <v>85</v>
      </c>
      <c r="LA20" t="s">
        <v>85</v>
      </c>
      <c r="LB20">
        <v>15</v>
      </c>
      <c r="LC20" t="s">
        <v>85</v>
      </c>
      <c r="LD20" t="s">
        <v>85</v>
      </c>
      <c r="LE20" t="s">
        <v>85</v>
      </c>
      <c r="LF20" t="s">
        <v>85</v>
      </c>
      <c r="LG20" t="s">
        <v>85</v>
      </c>
      <c r="LH20" t="s">
        <v>85</v>
      </c>
      <c r="LI20" t="s">
        <v>85</v>
      </c>
      <c r="LJ20" t="s">
        <v>85</v>
      </c>
      <c r="LK20" t="s">
        <v>85</v>
      </c>
      <c r="LL20" t="s">
        <v>85</v>
      </c>
      <c r="LM20" t="s">
        <v>85</v>
      </c>
      <c r="LN20" t="s">
        <v>85</v>
      </c>
      <c r="LO20" t="s">
        <v>85</v>
      </c>
      <c r="LP20" t="s">
        <v>85</v>
      </c>
      <c r="LQ20" t="s">
        <v>85</v>
      </c>
      <c r="LR20" t="s">
        <v>85</v>
      </c>
      <c r="LS20" t="s">
        <v>85</v>
      </c>
      <c r="LT20" t="s">
        <v>85</v>
      </c>
      <c r="LU20" t="s">
        <v>85</v>
      </c>
      <c r="LV20" t="s">
        <v>85</v>
      </c>
      <c r="LW20" t="s">
        <v>85</v>
      </c>
      <c r="LX20" t="s">
        <v>85</v>
      </c>
      <c r="LY20" t="s">
        <v>85</v>
      </c>
      <c r="LZ20" t="s">
        <v>85</v>
      </c>
      <c r="MA20" t="s">
        <v>85</v>
      </c>
      <c r="MB20">
        <v>15</v>
      </c>
      <c r="MC20" t="s">
        <v>85</v>
      </c>
      <c r="MD20" t="s">
        <v>85</v>
      </c>
      <c r="ME20" t="s">
        <v>85</v>
      </c>
      <c r="MF20" t="s">
        <v>85</v>
      </c>
      <c r="MG20" t="s">
        <v>85</v>
      </c>
      <c r="MH20" t="s">
        <v>85</v>
      </c>
      <c r="MI20" t="s">
        <v>85</v>
      </c>
      <c r="MJ20" t="s">
        <v>85</v>
      </c>
      <c r="MK20" t="s">
        <v>85</v>
      </c>
      <c r="ML20" t="s">
        <v>85</v>
      </c>
      <c r="MM20" t="s">
        <v>85</v>
      </c>
      <c r="MN20" t="s">
        <v>85</v>
      </c>
      <c r="MO20" t="s">
        <v>85</v>
      </c>
      <c r="MP20" t="s">
        <v>85</v>
      </c>
      <c r="MQ20" t="s">
        <v>85</v>
      </c>
      <c r="MR20" t="s">
        <v>85</v>
      </c>
      <c r="MS20" t="s">
        <v>85</v>
      </c>
      <c r="MT20" t="s">
        <v>85</v>
      </c>
      <c r="MU20" t="s">
        <v>85</v>
      </c>
      <c r="MV20" t="s">
        <v>85</v>
      </c>
      <c r="MW20" t="s">
        <v>85</v>
      </c>
      <c r="MX20" t="s">
        <v>85</v>
      </c>
      <c r="MY20" t="s">
        <v>85</v>
      </c>
      <c r="MZ20" t="s">
        <v>85</v>
      </c>
      <c r="NA20">
        <v>15</v>
      </c>
      <c r="NB20">
        <v>0</v>
      </c>
      <c r="NC20">
        <v>-1</v>
      </c>
      <c r="ND20">
        <v>-1</v>
      </c>
      <c r="NE20">
        <v>-1</v>
      </c>
      <c r="NF20">
        <v>25</v>
      </c>
      <c r="NG20">
        <v>23</v>
      </c>
      <c r="NH20">
        <v>23</v>
      </c>
      <c r="NI20">
        <v>22</v>
      </c>
      <c r="NJ20">
        <v>0</v>
      </c>
      <c r="NK20">
        <v>744</v>
      </c>
      <c r="NL20">
        <v>21</v>
      </c>
      <c r="NM20">
        <v>21</v>
      </c>
      <c r="NN20">
        <v>21</v>
      </c>
      <c r="NO20">
        <v>0</v>
      </c>
      <c r="NP20">
        <v>899</v>
      </c>
      <c r="NQ20">
        <v>28</v>
      </c>
      <c r="NR20">
        <v>29</v>
      </c>
      <c r="NS20">
        <v>28</v>
      </c>
      <c r="NT20">
        <v>0</v>
      </c>
      <c r="NU20">
        <v>917</v>
      </c>
      <c r="NV20">
        <v>28</v>
      </c>
      <c r="NW20">
        <v>29</v>
      </c>
      <c r="NX20">
        <v>28</v>
      </c>
      <c r="NY20">
        <v>1</v>
      </c>
      <c r="NZ20">
        <v>558</v>
      </c>
      <c r="OA20">
        <v>15</v>
      </c>
      <c r="OB20">
        <v>29</v>
      </c>
      <c r="OC20">
        <v>29</v>
      </c>
      <c r="OD20">
        <v>29</v>
      </c>
      <c r="OE20">
        <v>1</v>
      </c>
      <c r="OF20">
        <v>909</v>
      </c>
      <c r="OG20">
        <v>19</v>
      </c>
      <c r="OH20">
        <v>19</v>
      </c>
      <c r="OI20">
        <v>18</v>
      </c>
      <c r="OJ20">
        <v>1</v>
      </c>
      <c r="OK20">
        <v>468</v>
      </c>
      <c r="OL20">
        <v>1</v>
      </c>
      <c r="OM20">
        <v>1</v>
      </c>
      <c r="ON20">
        <v>1</v>
      </c>
      <c r="OO20">
        <v>1</v>
      </c>
      <c r="OP20">
        <v>48</v>
      </c>
      <c r="OQ20" t="s">
        <v>85</v>
      </c>
      <c r="OR20" t="s">
        <v>85</v>
      </c>
      <c r="OS20" t="s">
        <v>85</v>
      </c>
      <c r="OT20" t="s">
        <v>85</v>
      </c>
      <c r="OU20" t="s">
        <v>85</v>
      </c>
      <c r="OV20" t="s">
        <v>85</v>
      </c>
      <c r="OW20" t="s">
        <v>85</v>
      </c>
      <c r="OX20" t="s">
        <v>85</v>
      </c>
      <c r="OY20" t="s">
        <v>85</v>
      </c>
      <c r="OZ20" t="s">
        <v>85</v>
      </c>
      <c r="PA20">
        <v>15</v>
      </c>
      <c r="PB20">
        <v>23</v>
      </c>
      <c r="PC20">
        <v>23</v>
      </c>
      <c r="PD20">
        <v>23</v>
      </c>
      <c r="PE20">
        <v>0</v>
      </c>
      <c r="PF20">
        <v>873</v>
      </c>
      <c r="PG20">
        <v>41</v>
      </c>
      <c r="PH20">
        <v>39</v>
      </c>
      <c r="PI20">
        <v>39</v>
      </c>
      <c r="PJ20">
        <v>0</v>
      </c>
      <c r="PK20">
        <v>1377</v>
      </c>
      <c r="PL20">
        <v>17</v>
      </c>
      <c r="PM20">
        <v>19</v>
      </c>
      <c r="PN20">
        <v>19</v>
      </c>
      <c r="PO20">
        <v>0</v>
      </c>
      <c r="PP20">
        <v>726</v>
      </c>
      <c r="PQ20">
        <v>12</v>
      </c>
      <c r="PR20">
        <v>14</v>
      </c>
      <c r="PS20">
        <v>12</v>
      </c>
      <c r="PT20">
        <v>1</v>
      </c>
      <c r="PU20">
        <v>178</v>
      </c>
      <c r="PV20">
        <v>35</v>
      </c>
      <c r="PW20">
        <v>39</v>
      </c>
      <c r="PX20">
        <v>36</v>
      </c>
      <c r="PY20">
        <v>0</v>
      </c>
      <c r="PZ20">
        <v>1207</v>
      </c>
      <c r="QA20">
        <v>15</v>
      </c>
      <c r="QB20" t="s">
        <v>85</v>
      </c>
      <c r="QC20" t="s">
        <v>85</v>
      </c>
      <c r="QD20" t="s">
        <v>85</v>
      </c>
      <c r="QE20" t="s">
        <v>85</v>
      </c>
      <c r="QF20">
        <v>0</v>
      </c>
      <c r="QG20">
        <v>2</v>
      </c>
      <c r="QH20">
        <v>2</v>
      </c>
      <c r="QI20">
        <v>2</v>
      </c>
      <c r="QJ20">
        <v>0</v>
      </c>
      <c r="QK20">
        <v>58</v>
      </c>
      <c r="QL20" t="s">
        <v>85</v>
      </c>
      <c r="QM20" t="s">
        <v>85</v>
      </c>
      <c r="QN20" t="s">
        <v>85</v>
      </c>
      <c r="QO20" t="s">
        <v>85</v>
      </c>
      <c r="QP20" t="s">
        <v>85</v>
      </c>
      <c r="QQ20" t="s">
        <v>85</v>
      </c>
      <c r="QR20" t="s">
        <v>85</v>
      </c>
      <c r="QS20" t="s">
        <v>85</v>
      </c>
      <c r="QT20" t="s">
        <v>85</v>
      </c>
      <c r="QU20" t="s">
        <v>85</v>
      </c>
      <c r="QV20" t="s">
        <v>85</v>
      </c>
      <c r="QW20" t="s">
        <v>85</v>
      </c>
      <c r="QX20" t="s">
        <v>85</v>
      </c>
      <c r="QY20" t="s">
        <v>85</v>
      </c>
      <c r="QZ20" t="s">
        <v>85</v>
      </c>
      <c r="RA20">
        <v>15</v>
      </c>
      <c r="RB20">
        <v>110</v>
      </c>
      <c r="RC20">
        <v>111</v>
      </c>
      <c r="RD20">
        <v>110</v>
      </c>
      <c r="RE20">
        <v>0</v>
      </c>
      <c r="RF20">
        <v>3811</v>
      </c>
      <c r="RG20">
        <v>25</v>
      </c>
      <c r="RH20">
        <v>25</v>
      </c>
      <c r="RI20">
        <v>25</v>
      </c>
      <c r="RJ20">
        <v>0</v>
      </c>
      <c r="RK20">
        <v>893</v>
      </c>
      <c r="RL20">
        <v>19</v>
      </c>
      <c r="RM20">
        <v>19</v>
      </c>
      <c r="RN20">
        <v>19</v>
      </c>
      <c r="RO20">
        <v>0</v>
      </c>
      <c r="RP20">
        <v>819</v>
      </c>
      <c r="RQ20">
        <v>0</v>
      </c>
      <c r="RR20">
        <v>0</v>
      </c>
      <c r="RS20">
        <v>0</v>
      </c>
      <c r="RT20">
        <v>0</v>
      </c>
      <c r="RU20">
        <v>0</v>
      </c>
      <c r="RV20">
        <v>0</v>
      </c>
      <c r="RW20">
        <v>0</v>
      </c>
      <c r="RX20">
        <v>0</v>
      </c>
      <c r="RY20">
        <v>0</v>
      </c>
      <c r="RZ20">
        <v>0</v>
      </c>
      <c r="SA20">
        <v>15</v>
      </c>
      <c r="SB20">
        <v>0</v>
      </c>
      <c r="SC20">
        <v>0</v>
      </c>
      <c r="SD20">
        <v>0</v>
      </c>
      <c r="SE20">
        <v>0</v>
      </c>
      <c r="SF20">
        <v>0</v>
      </c>
      <c r="SG20" t="s">
        <v>85</v>
      </c>
      <c r="SH20" t="s">
        <v>85</v>
      </c>
      <c r="SI20" t="s">
        <v>85</v>
      </c>
      <c r="SJ20" t="s">
        <v>85</v>
      </c>
      <c r="SK20" t="s">
        <v>85</v>
      </c>
      <c r="SL20" t="s">
        <v>85</v>
      </c>
      <c r="SM20" t="s">
        <v>85</v>
      </c>
      <c r="SN20" t="s">
        <v>85</v>
      </c>
      <c r="SO20" t="s">
        <v>85</v>
      </c>
      <c r="SP20" t="s">
        <v>85</v>
      </c>
      <c r="SQ20" t="s">
        <v>85</v>
      </c>
      <c r="SR20" t="s">
        <v>85</v>
      </c>
      <c r="SS20" t="s">
        <v>85</v>
      </c>
      <c r="ST20" t="s">
        <v>85</v>
      </c>
      <c r="SU20" t="s">
        <v>85</v>
      </c>
      <c r="SV20" t="s">
        <v>85</v>
      </c>
      <c r="SW20" t="s">
        <v>85</v>
      </c>
      <c r="SX20" t="s">
        <v>85</v>
      </c>
      <c r="SY20" t="s">
        <v>85</v>
      </c>
      <c r="SZ20" t="s">
        <v>85</v>
      </c>
      <c r="TA20">
        <v>15</v>
      </c>
      <c r="TB20">
        <v>107</v>
      </c>
      <c r="TC20">
        <v>107</v>
      </c>
      <c r="TD20">
        <v>107</v>
      </c>
      <c r="TE20">
        <v>0</v>
      </c>
      <c r="TF20">
        <v>3815</v>
      </c>
      <c r="TG20">
        <v>0</v>
      </c>
      <c r="TH20">
        <v>0</v>
      </c>
      <c r="TI20">
        <v>0</v>
      </c>
      <c r="TJ20">
        <v>0</v>
      </c>
      <c r="TK20">
        <v>0</v>
      </c>
      <c r="TL20">
        <v>0</v>
      </c>
      <c r="TM20">
        <v>0</v>
      </c>
      <c r="TN20">
        <v>0</v>
      </c>
      <c r="TO20">
        <v>0</v>
      </c>
      <c r="TP20">
        <v>0</v>
      </c>
      <c r="TQ20">
        <v>20</v>
      </c>
      <c r="TR20">
        <v>20</v>
      </c>
      <c r="TS20">
        <v>21</v>
      </c>
      <c r="TT20">
        <v>0</v>
      </c>
      <c r="TU20">
        <v>835</v>
      </c>
      <c r="TV20">
        <v>7</v>
      </c>
      <c r="TW20">
        <v>8</v>
      </c>
      <c r="TX20">
        <v>6</v>
      </c>
      <c r="TY20">
        <v>0</v>
      </c>
      <c r="TZ20">
        <v>268</v>
      </c>
      <c r="UA20">
        <v>15</v>
      </c>
      <c r="UB20">
        <v>66</v>
      </c>
      <c r="UC20">
        <v>69</v>
      </c>
      <c r="UD20">
        <v>66</v>
      </c>
      <c r="UE20">
        <v>0</v>
      </c>
      <c r="UF20">
        <v>2550</v>
      </c>
      <c r="UG20" t="s">
        <v>85</v>
      </c>
      <c r="UH20" t="s">
        <v>85</v>
      </c>
      <c r="UI20" t="s">
        <v>85</v>
      </c>
      <c r="UJ20" t="s">
        <v>85</v>
      </c>
      <c r="UK20" t="s">
        <v>85</v>
      </c>
      <c r="UL20" t="s">
        <v>85</v>
      </c>
      <c r="UM20" t="s">
        <v>85</v>
      </c>
      <c r="UN20" t="s">
        <v>85</v>
      </c>
      <c r="UO20" t="s">
        <v>85</v>
      </c>
      <c r="UP20" t="s">
        <v>85</v>
      </c>
      <c r="UQ20" t="s">
        <v>85</v>
      </c>
      <c r="UR20" t="s">
        <v>85</v>
      </c>
      <c r="US20" t="s">
        <v>85</v>
      </c>
      <c r="UT20" t="s">
        <v>85</v>
      </c>
      <c r="UU20" t="s">
        <v>85</v>
      </c>
      <c r="UV20" t="s">
        <v>85</v>
      </c>
      <c r="UW20" t="s">
        <v>85</v>
      </c>
      <c r="UX20" t="s">
        <v>85</v>
      </c>
      <c r="UY20" t="s">
        <v>85</v>
      </c>
      <c r="UZ20" t="s">
        <v>85</v>
      </c>
      <c r="VX20">
        <v>15</v>
      </c>
      <c r="VY20">
        <v>0</v>
      </c>
      <c r="VZ20">
        <v>-1</v>
      </c>
      <c r="WA20">
        <v>-1</v>
      </c>
      <c r="WB20">
        <v>-1</v>
      </c>
      <c r="WC20">
        <v>25</v>
      </c>
      <c r="WD20">
        <v>23</v>
      </c>
      <c r="WE20">
        <v>23</v>
      </c>
      <c r="WF20">
        <v>22</v>
      </c>
      <c r="WG20">
        <v>0</v>
      </c>
      <c r="WH20">
        <v>744</v>
      </c>
      <c r="WI20">
        <v>21</v>
      </c>
      <c r="WJ20">
        <v>21</v>
      </c>
      <c r="WK20">
        <v>21</v>
      </c>
      <c r="WL20">
        <v>0</v>
      </c>
      <c r="WM20">
        <v>899</v>
      </c>
      <c r="WN20">
        <v>28</v>
      </c>
      <c r="WO20">
        <v>29</v>
      </c>
      <c r="WP20">
        <v>28</v>
      </c>
      <c r="WQ20">
        <v>0</v>
      </c>
      <c r="WR20">
        <v>917</v>
      </c>
      <c r="WS20">
        <v>28</v>
      </c>
      <c r="WT20">
        <v>29</v>
      </c>
      <c r="WU20">
        <v>28</v>
      </c>
      <c r="WV20">
        <v>1</v>
      </c>
      <c r="WW20">
        <v>558</v>
      </c>
      <c r="WX20">
        <v>15</v>
      </c>
      <c r="WY20">
        <v>29</v>
      </c>
      <c r="WZ20">
        <v>29</v>
      </c>
      <c r="XA20">
        <v>29</v>
      </c>
      <c r="XB20">
        <v>1</v>
      </c>
      <c r="XC20">
        <v>909</v>
      </c>
      <c r="XD20">
        <v>19</v>
      </c>
      <c r="XE20">
        <v>19</v>
      </c>
      <c r="XF20">
        <v>18</v>
      </c>
      <c r="XG20">
        <v>1</v>
      </c>
      <c r="XH20">
        <v>468</v>
      </c>
      <c r="XI20">
        <v>1</v>
      </c>
      <c r="XJ20">
        <v>1</v>
      </c>
      <c r="XK20">
        <v>1</v>
      </c>
      <c r="XL20">
        <v>1</v>
      </c>
      <c r="XM20">
        <v>48</v>
      </c>
      <c r="XN20" t="s">
        <v>85</v>
      </c>
      <c r="XO20" t="s">
        <v>85</v>
      </c>
      <c r="XP20" t="s">
        <v>85</v>
      </c>
      <c r="XQ20" t="s">
        <v>85</v>
      </c>
      <c r="XR20" t="s">
        <v>85</v>
      </c>
      <c r="XS20" t="s">
        <v>85</v>
      </c>
      <c r="XT20" t="s">
        <v>85</v>
      </c>
      <c r="XU20" t="s">
        <v>85</v>
      </c>
      <c r="XV20" t="s">
        <v>85</v>
      </c>
      <c r="XW20" t="s">
        <v>85</v>
      </c>
      <c r="XX20">
        <v>15</v>
      </c>
      <c r="XY20">
        <v>23</v>
      </c>
      <c r="XZ20">
        <v>23</v>
      </c>
      <c r="YA20">
        <v>23</v>
      </c>
      <c r="YB20">
        <v>0</v>
      </c>
      <c r="YC20">
        <v>873</v>
      </c>
      <c r="YD20">
        <v>41</v>
      </c>
      <c r="YE20">
        <v>39</v>
      </c>
      <c r="YF20">
        <v>39</v>
      </c>
      <c r="YG20">
        <v>0</v>
      </c>
      <c r="YH20">
        <v>1377</v>
      </c>
      <c r="YI20">
        <v>17</v>
      </c>
      <c r="YJ20">
        <v>19</v>
      </c>
      <c r="YK20">
        <v>19</v>
      </c>
      <c r="YL20">
        <v>0</v>
      </c>
      <c r="YM20">
        <v>726</v>
      </c>
      <c r="YN20">
        <v>12</v>
      </c>
      <c r="YO20">
        <v>14</v>
      </c>
      <c r="YP20">
        <v>12</v>
      </c>
      <c r="YQ20">
        <v>1</v>
      </c>
      <c r="YR20">
        <v>178</v>
      </c>
      <c r="YS20">
        <v>35</v>
      </c>
      <c r="YT20">
        <v>39</v>
      </c>
      <c r="YU20">
        <v>36</v>
      </c>
      <c r="YV20">
        <v>0</v>
      </c>
      <c r="YW20">
        <v>1207</v>
      </c>
      <c r="YX20">
        <v>15</v>
      </c>
      <c r="YY20" t="s">
        <v>85</v>
      </c>
      <c r="YZ20" t="s">
        <v>85</v>
      </c>
      <c r="ZA20" t="s">
        <v>85</v>
      </c>
      <c r="ZB20" t="s">
        <v>85</v>
      </c>
      <c r="ZC20">
        <v>0</v>
      </c>
      <c r="ZD20">
        <v>2</v>
      </c>
      <c r="ZE20">
        <v>2</v>
      </c>
      <c r="ZF20">
        <v>2</v>
      </c>
      <c r="ZG20">
        <v>0</v>
      </c>
      <c r="ZH20">
        <v>58</v>
      </c>
      <c r="ZI20" t="s">
        <v>85</v>
      </c>
      <c r="ZJ20" t="s">
        <v>85</v>
      </c>
      <c r="ZK20" t="s">
        <v>85</v>
      </c>
      <c r="ZL20" t="s">
        <v>85</v>
      </c>
      <c r="ZM20" t="s">
        <v>85</v>
      </c>
      <c r="ZN20" t="s">
        <v>85</v>
      </c>
      <c r="ZO20" t="s">
        <v>85</v>
      </c>
      <c r="ZP20" t="s">
        <v>85</v>
      </c>
      <c r="ZQ20" t="s">
        <v>85</v>
      </c>
      <c r="ZR20" t="s">
        <v>85</v>
      </c>
      <c r="ZS20" t="s">
        <v>85</v>
      </c>
      <c r="ZT20" t="s">
        <v>85</v>
      </c>
      <c r="ZU20" t="s">
        <v>85</v>
      </c>
      <c r="ZV20" t="s">
        <v>85</v>
      </c>
      <c r="ZW20" t="s">
        <v>85</v>
      </c>
      <c r="ZX20">
        <v>15</v>
      </c>
      <c r="ZY20">
        <v>15</v>
      </c>
      <c r="ZZ20">
        <v>15</v>
      </c>
      <c r="AAA20">
        <v>66</v>
      </c>
      <c r="AAB20">
        <v>69</v>
      </c>
      <c r="AAC20">
        <v>66</v>
      </c>
      <c r="AAD20">
        <v>0</v>
      </c>
      <c r="AAE20">
        <v>2550</v>
      </c>
      <c r="AAF20" t="s">
        <v>85</v>
      </c>
      <c r="AAG20" t="s">
        <v>85</v>
      </c>
      <c r="AAH20" t="s">
        <v>85</v>
      </c>
      <c r="AAI20" t="s">
        <v>85</v>
      </c>
      <c r="AAJ20" t="s">
        <v>85</v>
      </c>
      <c r="AAK20" t="s">
        <v>85</v>
      </c>
      <c r="AAL20" t="s">
        <v>85</v>
      </c>
      <c r="AAM20" t="s">
        <v>85</v>
      </c>
      <c r="AAN20" t="s">
        <v>85</v>
      </c>
      <c r="AAO20" t="s">
        <v>85</v>
      </c>
      <c r="AAP20" t="s">
        <v>85</v>
      </c>
      <c r="AAQ20" t="s">
        <v>85</v>
      </c>
      <c r="AAR20" t="s">
        <v>85</v>
      </c>
      <c r="AAS20" t="s">
        <v>85</v>
      </c>
      <c r="AAT20" t="s">
        <v>85</v>
      </c>
      <c r="AAU20" t="s">
        <v>85</v>
      </c>
      <c r="AAV20" t="s">
        <v>85</v>
      </c>
      <c r="AAW20" t="s">
        <v>85</v>
      </c>
      <c r="AAX20" t="s">
        <v>85</v>
      </c>
      <c r="AAY20" t="s">
        <v>85</v>
      </c>
    </row>
    <row r="21" spans="1:727">
      <c r="A21" s="483">
        <v>15</v>
      </c>
      <c r="B21" s="503">
        <v>-1</v>
      </c>
      <c r="C21" s="503">
        <v>0</v>
      </c>
      <c r="D21" s="503">
        <v>-1</v>
      </c>
      <c r="E21" s="503">
        <v>0</v>
      </c>
      <c r="F21" s="503">
        <v>25</v>
      </c>
      <c r="G21" s="593">
        <v>16</v>
      </c>
      <c r="H21" s="593">
        <v>16</v>
      </c>
      <c r="I21" s="593">
        <v>18</v>
      </c>
      <c r="J21" s="593">
        <v>0</v>
      </c>
      <c r="K21" s="593">
        <v>298</v>
      </c>
      <c r="L21" s="502">
        <v>9</v>
      </c>
      <c r="M21" s="502">
        <v>9</v>
      </c>
      <c r="N21" s="502">
        <v>8</v>
      </c>
      <c r="O21" s="502">
        <v>0</v>
      </c>
      <c r="P21" s="502">
        <v>335</v>
      </c>
      <c r="Q21" s="504">
        <v>9</v>
      </c>
      <c r="R21" s="504">
        <v>9</v>
      </c>
      <c r="S21" s="504">
        <v>8</v>
      </c>
      <c r="T21" s="504">
        <v>0</v>
      </c>
      <c r="U21" s="504">
        <v>348</v>
      </c>
      <c r="V21" s="505">
        <v>13</v>
      </c>
      <c r="W21" s="505">
        <v>13</v>
      </c>
      <c r="X21" s="505">
        <v>12</v>
      </c>
      <c r="Y21" s="505">
        <v>1</v>
      </c>
      <c r="Z21" s="505">
        <v>24</v>
      </c>
      <c r="AA21" s="506"/>
      <c r="AB21" s="506"/>
      <c r="AC21" s="506"/>
      <c r="AD21" s="506"/>
      <c r="AE21" s="506"/>
      <c r="AF21" s="506"/>
      <c r="AG21" s="507"/>
      <c r="AH21" s="507"/>
      <c r="AI21" s="507"/>
      <c r="AJ21" s="507"/>
      <c r="AK21" s="507"/>
      <c r="AL21" s="508"/>
      <c r="AM21" s="508"/>
      <c r="AN21" s="508"/>
      <c r="AO21" s="508"/>
      <c r="AP21" s="508"/>
      <c r="AQ21" s="509"/>
      <c r="AR21" s="509"/>
      <c r="AS21" s="509"/>
      <c r="AT21" s="509"/>
      <c r="AU21" s="509"/>
      <c r="AV21" s="483"/>
      <c r="AW21" s="483"/>
      <c r="AX21" s="483"/>
      <c r="AY21" s="483"/>
      <c r="AZ21" s="483"/>
      <c r="BA21" s="483"/>
      <c r="BB21" s="483"/>
      <c r="BC21" s="483"/>
      <c r="BD21" s="483"/>
      <c r="BE21" s="483"/>
      <c r="BF21" s="483"/>
      <c r="BG21" s="483"/>
      <c r="BH21" s="483"/>
      <c r="BI21" s="483"/>
      <c r="BJ21" s="483"/>
      <c r="BK21" s="483"/>
      <c r="BL21" s="483"/>
      <c r="BM21" s="483"/>
      <c r="BN21" s="483"/>
      <c r="BO21" s="483"/>
      <c r="BP21" s="483"/>
      <c r="GA21" t="s">
        <v>85</v>
      </c>
      <c r="GB21">
        <v>16</v>
      </c>
      <c r="GC21">
        <v>112</v>
      </c>
      <c r="GD21">
        <v>98</v>
      </c>
      <c r="GE21">
        <v>80</v>
      </c>
      <c r="GF21">
        <v>37</v>
      </c>
      <c r="GG21">
        <v>1897</v>
      </c>
      <c r="GH21">
        <v>40</v>
      </c>
      <c r="GI21">
        <v>35</v>
      </c>
      <c r="GJ21">
        <v>43</v>
      </c>
      <c r="GK21">
        <v>18</v>
      </c>
      <c r="GL21">
        <v>751</v>
      </c>
      <c r="GM21">
        <v>65</v>
      </c>
      <c r="GN21">
        <v>52</v>
      </c>
      <c r="GO21">
        <v>33</v>
      </c>
      <c r="GP21">
        <v>77</v>
      </c>
      <c r="GQ21">
        <v>30</v>
      </c>
      <c r="GR21">
        <v>13</v>
      </c>
      <c r="GS21">
        <v>7</v>
      </c>
      <c r="GT21">
        <v>10</v>
      </c>
      <c r="GU21">
        <v>13</v>
      </c>
      <c r="GV21">
        <v>211</v>
      </c>
      <c r="GW21">
        <v>11</v>
      </c>
      <c r="GX21">
        <v>10</v>
      </c>
      <c r="GY21">
        <v>10</v>
      </c>
      <c r="GZ21">
        <v>26</v>
      </c>
      <c r="HA21">
        <v>62</v>
      </c>
      <c r="HB21">
        <v>16</v>
      </c>
      <c r="HC21">
        <v>24</v>
      </c>
      <c r="HD21">
        <v>11</v>
      </c>
      <c r="HE21">
        <v>36</v>
      </c>
      <c r="HF21">
        <v>61</v>
      </c>
      <c r="HG21">
        <v>-156</v>
      </c>
      <c r="HH21">
        <v>142</v>
      </c>
      <c r="HI21">
        <v>122</v>
      </c>
      <c r="HJ21">
        <v>128</v>
      </c>
      <c r="HK21">
        <v>27</v>
      </c>
      <c r="HL21">
        <v>2727</v>
      </c>
      <c r="HM21">
        <v>151</v>
      </c>
      <c r="HN21">
        <v>137</v>
      </c>
      <c r="HO21">
        <v>171</v>
      </c>
      <c r="HP21">
        <v>47</v>
      </c>
      <c r="HQ21">
        <v>3041</v>
      </c>
      <c r="HR21">
        <v>52</v>
      </c>
      <c r="HS21">
        <v>59</v>
      </c>
      <c r="HT21">
        <v>67</v>
      </c>
      <c r="HU21">
        <v>16</v>
      </c>
      <c r="HV21">
        <v>1193</v>
      </c>
      <c r="HW21">
        <v>11</v>
      </c>
      <c r="HX21">
        <v>21</v>
      </c>
      <c r="HY21">
        <v>25</v>
      </c>
      <c r="HZ21">
        <v>14</v>
      </c>
      <c r="IA21">
        <v>365</v>
      </c>
      <c r="IB21">
        <v>16</v>
      </c>
      <c r="IC21">
        <v>150</v>
      </c>
      <c r="ID21">
        <v>128</v>
      </c>
      <c r="IE21">
        <v>119</v>
      </c>
      <c r="IF21">
        <v>47</v>
      </c>
      <c r="IG21">
        <v>2545</v>
      </c>
      <c r="IH21">
        <v>29</v>
      </c>
      <c r="II21">
        <v>46</v>
      </c>
      <c r="IJ21">
        <v>48</v>
      </c>
      <c r="IK21">
        <v>25</v>
      </c>
      <c r="IL21">
        <v>799</v>
      </c>
      <c r="IM21">
        <v>104</v>
      </c>
      <c r="IN21">
        <v>104</v>
      </c>
      <c r="IO21">
        <v>124</v>
      </c>
      <c r="IP21">
        <v>33</v>
      </c>
      <c r="IQ21">
        <v>2403</v>
      </c>
      <c r="IR21">
        <v>21</v>
      </c>
      <c r="IS21">
        <v>23</v>
      </c>
      <c r="IT21">
        <v>46</v>
      </c>
      <c r="IU21">
        <v>37</v>
      </c>
      <c r="IV21">
        <v>214</v>
      </c>
      <c r="IW21">
        <v>26</v>
      </c>
      <c r="IX21">
        <v>28</v>
      </c>
      <c r="IY21">
        <v>20</v>
      </c>
      <c r="IZ21">
        <v>7</v>
      </c>
      <c r="JA21">
        <v>515</v>
      </c>
      <c r="JB21">
        <v>16</v>
      </c>
      <c r="JC21">
        <v>38</v>
      </c>
      <c r="JD21">
        <v>29</v>
      </c>
      <c r="JE21">
        <v>27</v>
      </c>
      <c r="JF21">
        <v>10</v>
      </c>
      <c r="JG21">
        <v>634</v>
      </c>
      <c r="JH21">
        <v>101</v>
      </c>
      <c r="JI21">
        <v>78</v>
      </c>
      <c r="JJ21">
        <v>65</v>
      </c>
      <c r="JK21">
        <v>42</v>
      </c>
      <c r="JL21">
        <v>1704</v>
      </c>
      <c r="JM21">
        <v>51</v>
      </c>
      <c r="JN21">
        <v>51</v>
      </c>
      <c r="JO21">
        <v>33</v>
      </c>
      <c r="JP21">
        <v>27</v>
      </c>
      <c r="JQ21">
        <v>1216</v>
      </c>
      <c r="JR21">
        <v>118</v>
      </c>
      <c r="JS21">
        <v>129</v>
      </c>
      <c r="JT21">
        <v>129</v>
      </c>
      <c r="JU21">
        <v>25</v>
      </c>
      <c r="JV21">
        <v>2369</v>
      </c>
      <c r="JW21">
        <v>25</v>
      </c>
      <c r="JX21">
        <v>11</v>
      </c>
      <c r="JY21">
        <v>30</v>
      </c>
      <c r="JZ21">
        <v>20</v>
      </c>
      <c r="KA21">
        <v>423</v>
      </c>
      <c r="KB21">
        <v>16</v>
      </c>
      <c r="KC21" t="s">
        <v>85</v>
      </c>
      <c r="KD21" t="s">
        <v>85</v>
      </c>
      <c r="KE21" t="s">
        <v>85</v>
      </c>
      <c r="KF21" t="s">
        <v>85</v>
      </c>
      <c r="KG21" t="s">
        <v>85</v>
      </c>
      <c r="KH21" t="s">
        <v>85</v>
      </c>
      <c r="KI21" t="s">
        <v>85</v>
      </c>
      <c r="KJ21" t="s">
        <v>85</v>
      </c>
      <c r="KK21" t="s">
        <v>85</v>
      </c>
      <c r="KL21" t="s">
        <v>85</v>
      </c>
      <c r="KM21" t="s">
        <v>85</v>
      </c>
      <c r="KN21" t="s">
        <v>85</v>
      </c>
      <c r="KO21" t="s">
        <v>85</v>
      </c>
      <c r="KP21" t="s">
        <v>85</v>
      </c>
      <c r="KQ21" t="s">
        <v>85</v>
      </c>
      <c r="KR21" t="s">
        <v>85</v>
      </c>
      <c r="KS21" t="s">
        <v>85</v>
      </c>
      <c r="KT21" t="s">
        <v>85</v>
      </c>
      <c r="KU21" t="s">
        <v>85</v>
      </c>
      <c r="KV21" t="s">
        <v>85</v>
      </c>
      <c r="KW21" t="s">
        <v>85</v>
      </c>
      <c r="KX21" t="s">
        <v>85</v>
      </c>
      <c r="KY21" t="s">
        <v>85</v>
      </c>
      <c r="KZ21" t="s">
        <v>85</v>
      </c>
      <c r="LA21" t="s">
        <v>85</v>
      </c>
      <c r="LB21">
        <v>16</v>
      </c>
      <c r="LC21" t="s">
        <v>85</v>
      </c>
      <c r="LD21" t="s">
        <v>85</v>
      </c>
      <c r="LE21" t="s">
        <v>85</v>
      </c>
      <c r="LF21" t="s">
        <v>85</v>
      </c>
      <c r="LG21" t="s">
        <v>85</v>
      </c>
      <c r="LH21" t="s">
        <v>85</v>
      </c>
      <c r="LI21" t="s">
        <v>85</v>
      </c>
      <c r="LJ21" t="s">
        <v>85</v>
      </c>
      <c r="LK21" t="s">
        <v>85</v>
      </c>
      <c r="LL21" t="s">
        <v>85</v>
      </c>
      <c r="LM21" t="s">
        <v>85</v>
      </c>
      <c r="LN21" t="s">
        <v>85</v>
      </c>
      <c r="LO21" t="s">
        <v>85</v>
      </c>
      <c r="LP21" t="s">
        <v>85</v>
      </c>
      <c r="LQ21" t="s">
        <v>85</v>
      </c>
      <c r="LR21" t="s">
        <v>85</v>
      </c>
      <c r="LS21" t="s">
        <v>85</v>
      </c>
      <c r="LT21" t="s">
        <v>85</v>
      </c>
      <c r="LU21" t="s">
        <v>85</v>
      </c>
      <c r="LV21" t="s">
        <v>85</v>
      </c>
      <c r="LW21" t="s">
        <v>85</v>
      </c>
      <c r="LX21" t="s">
        <v>85</v>
      </c>
      <c r="LY21" t="s">
        <v>85</v>
      </c>
      <c r="LZ21" t="s">
        <v>85</v>
      </c>
      <c r="MA21" t="s">
        <v>85</v>
      </c>
      <c r="MB21">
        <v>16</v>
      </c>
      <c r="MC21" t="s">
        <v>85</v>
      </c>
      <c r="MD21" t="s">
        <v>85</v>
      </c>
      <c r="ME21" t="s">
        <v>85</v>
      </c>
      <c r="MF21" t="s">
        <v>85</v>
      </c>
      <c r="MG21" t="s">
        <v>85</v>
      </c>
      <c r="MH21" t="s">
        <v>85</v>
      </c>
      <c r="MI21" t="s">
        <v>85</v>
      </c>
      <c r="MJ21" t="s">
        <v>85</v>
      </c>
      <c r="MK21" t="s">
        <v>85</v>
      </c>
      <c r="ML21" t="s">
        <v>85</v>
      </c>
      <c r="MM21" t="s">
        <v>85</v>
      </c>
      <c r="MN21" t="s">
        <v>85</v>
      </c>
      <c r="MO21" t="s">
        <v>85</v>
      </c>
      <c r="MP21" t="s">
        <v>85</v>
      </c>
      <c r="MQ21" t="s">
        <v>85</v>
      </c>
      <c r="MR21" t="s">
        <v>85</v>
      </c>
      <c r="MS21" t="s">
        <v>85</v>
      </c>
      <c r="MT21" t="s">
        <v>85</v>
      </c>
      <c r="MU21" t="s">
        <v>85</v>
      </c>
      <c r="MV21" t="s">
        <v>85</v>
      </c>
      <c r="MW21" t="s">
        <v>85</v>
      </c>
      <c r="MX21" t="s">
        <v>85</v>
      </c>
      <c r="MY21" t="s">
        <v>85</v>
      </c>
      <c r="MZ21" t="s">
        <v>85</v>
      </c>
      <c r="NA21">
        <v>16</v>
      </c>
      <c r="NB21">
        <v>-1</v>
      </c>
      <c r="NC21">
        <v>-1</v>
      </c>
      <c r="ND21">
        <v>-1</v>
      </c>
      <c r="NE21">
        <v>-1</v>
      </c>
      <c r="NF21">
        <v>25</v>
      </c>
      <c r="NG21">
        <v>15</v>
      </c>
      <c r="NH21">
        <v>16</v>
      </c>
      <c r="NI21">
        <v>16</v>
      </c>
      <c r="NJ21">
        <v>0</v>
      </c>
      <c r="NK21">
        <v>762</v>
      </c>
      <c r="NL21">
        <v>20</v>
      </c>
      <c r="NM21">
        <v>20</v>
      </c>
      <c r="NN21">
        <v>20</v>
      </c>
      <c r="NO21">
        <v>0</v>
      </c>
      <c r="NP21">
        <v>935</v>
      </c>
      <c r="NQ21">
        <v>19</v>
      </c>
      <c r="NR21">
        <v>19</v>
      </c>
      <c r="NS21">
        <v>18</v>
      </c>
      <c r="NT21">
        <v>0</v>
      </c>
      <c r="NU21">
        <v>1001</v>
      </c>
      <c r="NV21">
        <v>20</v>
      </c>
      <c r="NW21">
        <v>20</v>
      </c>
      <c r="NX21">
        <v>20</v>
      </c>
      <c r="NY21">
        <v>1</v>
      </c>
      <c r="NZ21">
        <v>648</v>
      </c>
      <c r="OA21">
        <v>16</v>
      </c>
      <c r="OB21">
        <v>23</v>
      </c>
      <c r="OC21">
        <v>24</v>
      </c>
      <c r="OD21">
        <v>23</v>
      </c>
      <c r="OE21">
        <v>1</v>
      </c>
      <c r="OF21">
        <v>983</v>
      </c>
      <c r="OG21">
        <v>18</v>
      </c>
      <c r="OH21">
        <v>18</v>
      </c>
      <c r="OI21">
        <v>18</v>
      </c>
      <c r="OJ21">
        <v>1</v>
      </c>
      <c r="OK21">
        <v>502</v>
      </c>
      <c r="OL21">
        <v>1</v>
      </c>
      <c r="OM21">
        <v>1</v>
      </c>
      <c r="ON21">
        <v>1</v>
      </c>
      <c r="OO21">
        <v>1</v>
      </c>
      <c r="OP21">
        <v>48</v>
      </c>
      <c r="OQ21" t="s">
        <v>85</v>
      </c>
      <c r="OR21" t="s">
        <v>85</v>
      </c>
      <c r="OS21" t="s">
        <v>85</v>
      </c>
      <c r="OT21" t="s">
        <v>85</v>
      </c>
      <c r="OU21" t="s">
        <v>85</v>
      </c>
      <c r="OV21" t="s">
        <v>85</v>
      </c>
      <c r="OW21" t="s">
        <v>85</v>
      </c>
      <c r="OX21" t="s">
        <v>85</v>
      </c>
      <c r="OY21" t="s">
        <v>85</v>
      </c>
      <c r="OZ21" t="s">
        <v>85</v>
      </c>
      <c r="PA21">
        <v>16</v>
      </c>
      <c r="PB21">
        <v>23</v>
      </c>
      <c r="PC21">
        <v>23</v>
      </c>
      <c r="PD21">
        <v>23</v>
      </c>
      <c r="PE21">
        <v>0</v>
      </c>
      <c r="PF21">
        <v>868</v>
      </c>
      <c r="PG21">
        <v>10</v>
      </c>
      <c r="PH21">
        <v>8</v>
      </c>
      <c r="PI21">
        <v>8</v>
      </c>
      <c r="PJ21">
        <v>0</v>
      </c>
      <c r="PK21">
        <v>1015</v>
      </c>
      <c r="PL21">
        <v>6</v>
      </c>
      <c r="PM21">
        <v>8</v>
      </c>
      <c r="PN21">
        <v>7</v>
      </c>
      <c r="PO21">
        <v>0</v>
      </c>
      <c r="PP21">
        <v>509</v>
      </c>
      <c r="PQ21">
        <v>19</v>
      </c>
      <c r="PR21">
        <v>20</v>
      </c>
      <c r="PS21">
        <v>17</v>
      </c>
      <c r="PT21">
        <v>1</v>
      </c>
      <c r="PU21">
        <v>383</v>
      </c>
      <c r="PV21">
        <v>40</v>
      </c>
      <c r="PW21">
        <v>42</v>
      </c>
      <c r="PX21">
        <v>40</v>
      </c>
      <c r="PY21">
        <v>0</v>
      </c>
      <c r="PZ21">
        <v>1346</v>
      </c>
      <c r="QA21">
        <v>16</v>
      </c>
      <c r="QB21" t="s">
        <v>85</v>
      </c>
      <c r="QC21" t="s">
        <v>85</v>
      </c>
      <c r="QD21" t="s">
        <v>85</v>
      </c>
      <c r="QE21" t="s">
        <v>85</v>
      </c>
      <c r="QF21">
        <v>0</v>
      </c>
      <c r="QG21">
        <v>2</v>
      </c>
      <c r="QH21">
        <v>2</v>
      </c>
      <c r="QI21">
        <v>2</v>
      </c>
      <c r="QJ21">
        <v>0</v>
      </c>
      <c r="QK21">
        <v>58</v>
      </c>
      <c r="QL21" t="s">
        <v>85</v>
      </c>
      <c r="QM21" t="s">
        <v>85</v>
      </c>
      <c r="QN21" t="s">
        <v>85</v>
      </c>
      <c r="QO21" t="s">
        <v>85</v>
      </c>
      <c r="QP21" t="s">
        <v>85</v>
      </c>
      <c r="QQ21" t="s">
        <v>85</v>
      </c>
      <c r="QR21" t="s">
        <v>85</v>
      </c>
      <c r="QS21" t="s">
        <v>85</v>
      </c>
      <c r="QT21" t="s">
        <v>85</v>
      </c>
      <c r="QU21" t="s">
        <v>85</v>
      </c>
      <c r="QV21" t="s">
        <v>85</v>
      </c>
      <c r="QW21" t="s">
        <v>85</v>
      </c>
      <c r="QX21" t="s">
        <v>85</v>
      </c>
      <c r="QY21" t="s">
        <v>85</v>
      </c>
      <c r="QZ21" t="s">
        <v>85</v>
      </c>
      <c r="RA21">
        <v>16</v>
      </c>
      <c r="RB21">
        <v>122</v>
      </c>
      <c r="RC21">
        <v>124</v>
      </c>
      <c r="RD21">
        <v>123</v>
      </c>
      <c r="RE21">
        <v>0</v>
      </c>
      <c r="RF21">
        <v>4061</v>
      </c>
      <c r="RG21">
        <v>9</v>
      </c>
      <c r="RH21">
        <v>10</v>
      </c>
      <c r="RI21">
        <v>9</v>
      </c>
      <c r="RJ21">
        <v>0</v>
      </c>
      <c r="RK21">
        <v>668</v>
      </c>
      <c r="RL21">
        <v>9</v>
      </c>
      <c r="RM21">
        <v>9</v>
      </c>
      <c r="RN21">
        <v>9</v>
      </c>
      <c r="RO21">
        <v>0</v>
      </c>
      <c r="RP21">
        <v>622</v>
      </c>
      <c r="RQ21">
        <v>0</v>
      </c>
      <c r="RR21">
        <v>0</v>
      </c>
      <c r="RS21">
        <v>0</v>
      </c>
      <c r="RT21">
        <v>0</v>
      </c>
      <c r="RU21">
        <v>0</v>
      </c>
      <c r="RV21">
        <v>0</v>
      </c>
      <c r="RW21">
        <v>0</v>
      </c>
      <c r="RX21">
        <v>0</v>
      </c>
      <c r="RY21">
        <v>0</v>
      </c>
      <c r="RZ21">
        <v>0</v>
      </c>
      <c r="SA21">
        <v>16</v>
      </c>
      <c r="SB21">
        <v>0</v>
      </c>
      <c r="SC21">
        <v>0</v>
      </c>
      <c r="SD21">
        <v>0</v>
      </c>
      <c r="SE21">
        <v>0</v>
      </c>
      <c r="SF21">
        <v>0</v>
      </c>
      <c r="SG21" t="s">
        <v>85</v>
      </c>
      <c r="SH21" t="s">
        <v>85</v>
      </c>
      <c r="SI21" t="s">
        <v>85</v>
      </c>
      <c r="SJ21" t="s">
        <v>85</v>
      </c>
      <c r="SK21" t="s">
        <v>85</v>
      </c>
      <c r="SL21" t="s">
        <v>85</v>
      </c>
      <c r="SM21" t="s">
        <v>85</v>
      </c>
      <c r="SN21" t="s">
        <v>85</v>
      </c>
      <c r="SO21" t="s">
        <v>85</v>
      </c>
      <c r="SP21" t="s">
        <v>85</v>
      </c>
      <c r="SQ21" t="s">
        <v>85</v>
      </c>
      <c r="SR21" t="s">
        <v>85</v>
      </c>
      <c r="SS21" t="s">
        <v>85</v>
      </c>
      <c r="ST21" t="s">
        <v>85</v>
      </c>
      <c r="SU21" t="s">
        <v>85</v>
      </c>
      <c r="SV21" t="s">
        <v>85</v>
      </c>
      <c r="SW21" t="s">
        <v>85</v>
      </c>
      <c r="SX21" t="s">
        <v>85</v>
      </c>
      <c r="SY21" t="s">
        <v>85</v>
      </c>
      <c r="SZ21" t="s">
        <v>85</v>
      </c>
      <c r="TA21">
        <v>16</v>
      </c>
      <c r="TB21">
        <v>64</v>
      </c>
      <c r="TC21">
        <v>64</v>
      </c>
      <c r="TD21">
        <v>64</v>
      </c>
      <c r="TE21">
        <v>0</v>
      </c>
      <c r="TF21">
        <v>2974</v>
      </c>
      <c r="TG21">
        <v>0</v>
      </c>
      <c r="TH21">
        <v>0</v>
      </c>
      <c r="TI21">
        <v>0</v>
      </c>
      <c r="TJ21">
        <v>0</v>
      </c>
      <c r="TK21">
        <v>0</v>
      </c>
      <c r="TL21">
        <v>0</v>
      </c>
      <c r="TM21">
        <v>0</v>
      </c>
      <c r="TN21">
        <v>0</v>
      </c>
      <c r="TO21">
        <v>0</v>
      </c>
      <c r="TP21">
        <v>0</v>
      </c>
      <c r="TQ21">
        <v>21</v>
      </c>
      <c r="TR21">
        <v>19</v>
      </c>
      <c r="TS21">
        <v>22</v>
      </c>
      <c r="TT21">
        <v>0</v>
      </c>
      <c r="TU21">
        <v>814</v>
      </c>
      <c r="TV21">
        <v>7</v>
      </c>
      <c r="TW21">
        <v>7</v>
      </c>
      <c r="TX21">
        <v>5</v>
      </c>
      <c r="TY21">
        <v>0</v>
      </c>
      <c r="TZ21">
        <v>270</v>
      </c>
      <c r="UA21">
        <v>16</v>
      </c>
      <c r="UB21">
        <v>76</v>
      </c>
      <c r="UC21">
        <v>79</v>
      </c>
      <c r="UD21">
        <v>78</v>
      </c>
      <c r="UE21">
        <v>0</v>
      </c>
      <c r="UF21">
        <v>2741</v>
      </c>
      <c r="UG21" t="s">
        <v>85</v>
      </c>
      <c r="UH21" t="s">
        <v>85</v>
      </c>
      <c r="UI21" t="s">
        <v>85</v>
      </c>
      <c r="UJ21" t="s">
        <v>85</v>
      </c>
      <c r="UK21" t="s">
        <v>85</v>
      </c>
      <c r="UL21" t="s">
        <v>85</v>
      </c>
      <c r="UM21" t="s">
        <v>85</v>
      </c>
      <c r="UN21" t="s">
        <v>85</v>
      </c>
      <c r="UO21" t="s">
        <v>85</v>
      </c>
      <c r="UP21" t="s">
        <v>85</v>
      </c>
      <c r="UQ21" t="s">
        <v>85</v>
      </c>
      <c r="UR21" t="s">
        <v>85</v>
      </c>
      <c r="US21" t="s">
        <v>85</v>
      </c>
      <c r="UT21" t="s">
        <v>85</v>
      </c>
      <c r="UU21" t="s">
        <v>85</v>
      </c>
      <c r="UV21" t="s">
        <v>85</v>
      </c>
      <c r="UW21" t="s">
        <v>85</v>
      </c>
      <c r="UX21" t="s">
        <v>85</v>
      </c>
      <c r="UY21" t="s">
        <v>85</v>
      </c>
      <c r="UZ21" t="s">
        <v>85</v>
      </c>
      <c r="VX21">
        <v>16</v>
      </c>
      <c r="VY21">
        <v>-1</v>
      </c>
      <c r="VZ21">
        <v>-1</v>
      </c>
      <c r="WA21">
        <v>-1</v>
      </c>
      <c r="WB21">
        <v>-1</v>
      </c>
      <c r="WC21">
        <v>25</v>
      </c>
      <c r="WD21">
        <v>15</v>
      </c>
      <c r="WE21">
        <v>16</v>
      </c>
      <c r="WF21">
        <v>16</v>
      </c>
      <c r="WG21">
        <v>0</v>
      </c>
      <c r="WH21">
        <v>762</v>
      </c>
      <c r="WI21">
        <v>20</v>
      </c>
      <c r="WJ21">
        <v>20</v>
      </c>
      <c r="WK21">
        <v>20</v>
      </c>
      <c r="WL21">
        <v>0</v>
      </c>
      <c r="WM21">
        <v>935</v>
      </c>
      <c r="WN21">
        <v>19</v>
      </c>
      <c r="WO21">
        <v>19</v>
      </c>
      <c r="WP21">
        <v>18</v>
      </c>
      <c r="WQ21">
        <v>0</v>
      </c>
      <c r="WR21">
        <v>1001</v>
      </c>
      <c r="WS21">
        <v>20</v>
      </c>
      <c r="WT21">
        <v>20</v>
      </c>
      <c r="WU21">
        <v>20</v>
      </c>
      <c r="WV21">
        <v>1</v>
      </c>
      <c r="WW21">
        <v>648</v>
      </c>
      <c r="WX21">
        <v>16</v>
      </c>
      <c r="WY21">
        <v>23</v>
      </c>
      <c r="WZ21">
        <v>24</v>
      </c>
      <c r="XA21">
        <v>23</v>
      </c>
      <c r="XB21">
        <v>1</v>
      </c>
      <c r="XC21">
        <v>983</v>
      </c>
      <c r="XD21">
        <v>18</v>
      </c>
      <c r="XE21">
        <v>18</v>
      </c>
      <c r="XF21">
        <v>18</v>
      </c>
      <c r="XG21">
        <v>1</v>
      </c>
      <c r="XH21">
        <v>502</v>
      </c>
      <c r="XI21">
        <v>1</v>
      </c>
      <c r="XJ21">
        <v>1</v>
      </c>
      <c r="XK21">
        <v>1</v>
      </c>
      <c r="XL21">
        <v>1</v>
      </c>
      <c r="XM21">
        <v>48</v>
      </c>
      <c r="XN21" t="s">
        <v>85</v>
      </c>
      <c r="XO21" t="s">
        <v>85</v>
      </c>
      <c r="XP21" t="s">
        <v>85</v>
      </c>
      <c r="XQ21" t="s">
        <v>85</v>
      </c>
      <c r="XR21" t="s">
        <v>85</v>
      </c>
      <c r="XS21" t="s">
        <v>85</v>
      </c>
      <c r="XT21" t="s">
        <v>85</v>
      </c>
      <c r="XU21" t="s">
        <v>85</v>
      </c>
      <c r="XV21" t="s">
        <v>85</v>
      </c>
      <c r="XW21" t="s">
        <v>85</v>
      </c>
      <c r="XX21">
        <v>16</v>
      </c>
      <c r="XY21">
        <v>23</v>
      </c>
      <c r="XZ21">
        <v>23</v>
      </c>
      <c r="YA21">
        <v>23</v>
      </c>
      <c r="YB21">
        <v>0</v>
      </c>
      <c r="YC21">
        <v>868</v>
      </c>
      <c r="YD21">
        <v>10</v>
      </c>
      <c r="YE21">
        <v>8</v>
      </c>
      <c r="YF21">
        <v>8</v>
      </c>
      <c r="YG21">
        <v>0</v>
      </c>
      <c r="YH21">
        <v>1015</v>
      </c>
      <c r="YI21">
        <v>6</v>
      </c>
      <c r="YJ21">
        <v>8</v>
      </c>
      <c r="YK21">
        <v>7</v>
      </c>
      <c r="YL21">
        <v>0</v>
      </c>
      <c r="YM21">
        <v>509</v>
      </c>
      <c r="YN21">
        <v>19</v>
      </c>
      <c r="YO21">
        <v>20</v>
      </c>
      <c r="YP21">
        <v>17</v>
      </c>
      <c r="YQ21">
        <v>1</v>
      </c>
      <c r="YR21">
        <v>383</v>
      </c>
      <c r="YS21">
        <v>40</v>
      </c>
      <c r="YT21">
        <v>42</v>
      </c>
      <c r="YU21">
        <v>40</v>
      </c>
      <c r="YV21">
        <v>0</v>
      </c>
      <c r="YW21">
        <v>1346</v>
      </c>
      <c r="YX21">
        <v>16</v>
      </c>
      <c r="YY21" t="s">
        <v>85</v>
      </c>
      <c r="YZ21" t="s">
        <v>85</v>
      </c>
      <c r="ZA21" t="s">
        <v>85</v>
      </c>
      <c r="ZB21" t="s">
        <v>85</v>
      </c>
      <c r="ZC21">
        <v>0</v>
      </c>
      <c r="ZD21">
        <v>2</v>
      </c>
      <c r="ZE21">
        <v>2</v>
      </c>
      <c r="ZF21">
        <v>2</v>
      </c>
      <c r="ZG21">
        <v>0</v>
      </c>
      <c r="ZH21">
        <v>58</v>
      </c>
      <c r="ZI21" t="s">
        <v>85</v>
      </c>
      <c r="ZJ21" t="s">
        <v>85</v>
      </c>
      <c r="ZK21" t="s">
        <v>85</v>
      </c>
      <c r="ZL21" t="s">
        <v>85</v>
      </c>
      <c r="ZM21" t="s">
        <v>85</v>
      </c>
      <c r="ZN21" t="s">
        <v>85</v>
      </c>
      <c r="ZO21" t="s">
        <v>85</v>
      </c>
      <c r="ZP21" t="s">
        <v>85</v>
      </c>
      <c r="ZQ21" t="s">
        <v>85</v>
      </c>
      <c r="ZR21" t="s">
        <v>85</v>
      </c>
      <c r="ZS21" t="s">
        <v>85</v>
      </c>
      <c r="ZT21" t="s">
        <v>85</v>
      </c>
      <c r="ZU21" t="s">
        <v>85</v>
      </c>
      <c r="ZV21" t="s">
        <v>85</v>
      </c>
      <c r="ZW21" t="s">
        <v>85</v>
      </c>
      <c r="ZX21">
        <v>16</v>
      </c>
      <c r="ZY21">
        <v>16</v>
      </c>
      <c r="ZZ21">
        <v>16</v>
      </c>
      <c r="AAA21">
        <v>76</v>
      </c>
      <c r="AAB21">
        <v>79</v>
      </c>
      <c r="AAC21">
        <v>78</v>
      </c>
      <c r="AAD21">
        <v>0</v>
      </c>
      <c r="AAE21">
        <v>2741</v>
      </c>
      <c r="AAF21" t="s">
        <v>85</v>
      </c>
      <c r="AAG21" t="s">
        <v>85</v>
      </c>
      <c r="AAH21" t="s">
        <v>85</v>
      </c>
      <c r="AAI21" t="s">
        <v>85</v>
      </c>
      <c r="AAJ21" t="s">
        <v>85</v>
      </c>
      <c r="AAK21" t="s">
        <v>85</v>
      </c>
      <c r="AAL21" t="s">
        <v>85</v>
      </c>
      <c r="AAM21" t="s">
        <v>85</v>
      </c>
      <c r="AAN21" t="s">
        <v>85</v>
      </c>
      <c r="AAO21" t="s">
        <v>85</v>
      </c>
      <c r="AAP21" t="s">
        <v>85</v>
      </c>
      <c r="AAQ21" t="s">
        <v>85</v>
      </c>
      <c r="AAR21" t="s">
        <v>85</v>
      </c>
      <c r="AAS21" t="s">
        <v>85</v>
      </c>
      <c r="AAT21" t="s">
        <v>85</v>
      </c>
      <c r="AAU21" t="s">
        <v>85</v>
      </c>
      <c r="AAV21" t="s">
        <v>85</v>
      </c>
      <c r="AAW21" t="s">
        <v>85</v>
      </c>
      <c r="AAX21" t="s">
        <v>85</v>
      </c>
      <c r="AAY21" t="s">
        <v>85</v>
      </c>
    </row>
    <row r="22" spans="1:727">
      <c r="A22" s="483">
        <v>16</v>
      </c>
      <c r="B22" s="503">
        <v>0</v>
      </c>
      <c r="C22" s="503">
        <v>-1</v>
      </c>
      <c r="D22" s="503">
        <v>-1</v>
      </c>
      <c r="E22" s="503">
        <v>-1</v>
      </c>
      <c r="F22" s="503">
        <v>24</v>
      </c>
      <c r="G22" s="593">
        <v>10</v>
      </c>
      <c r="H22" s="593">
        <v>11</v>
      </c>
      <c r="I22" s="593">
        <v>9</v>
      </c>
      <c r="J22" s="593">
        <v>0</v>
      </c>
      <c r="K22" s="593">
        <v>407</v>
      </c>
      <c r="L22" s="502">
        <v>13</v>
      </c>
      <c r="M22" s="502">
        <v>13</v>
      </c>
      <c r="N22" s="502">
        <v>12</v>
      </c>
      <c r="O22" s="502">
        <v>0</v>
      </c>
      <c r="P22" s="502">
        <v>414</v>
      </c>
      <c r="Q22" s="504">
        <v>8</v>
      </c>
      <c r="R22" s="504">
        <v>8</v>
      </c>
      <c r="S22" s="504">
        <v>7</v>
      </c>
      <c r="T22" s="504">
        <v>0</v>
      </c>
      <c r="U22" s="504">
        <v>342</v>
      </c>
      <c r="V22" s="505">
        <v>9</v>
      </c>
      <c r="W22" s="505">
        <v>9</v>
      </c>
      <c r="X22" s="505">
        <v>8</v>
      </c>
      <c r="Y22" s="505">
        <v>1</v>
      </c>
      <c r="Z22" s="505">
        <v>12</v>
      </c>
      <c r="AA22" s="506"/>
      <c r="AB22" s="506"/>
      <c r="AC22" s="506"/>
      <c r="AD22" s="506"/>
      <c r="AE22" s="506"/>
      <c r="AF22" s="506"/>
      <c r="AG22" s="507"/>
      <c r="AH22" s="507"/>
      <c r="AI22" s="507"/>
      <c r="AJ22" s="507"/>
      <c r="AK22" s="507"/>
      <c r="AL22" s="508"/>
      <c r="AM22" s="508"/>
      <c r="AN22" s="508"/>
      <c r="AO22" s="508"/>
      <c r="AP22" s="508"/>
      <c r="AQ22" s="509"/>
      <c r="AR22" s="509"/>
      <c r="AS22" s="509"/>
      <c r="AT22" s="509"/>
      <c r="AU22" s="509"/>
      <c r="AV22" s="483"/>
      <c r="AW22" s="483"/>
      <c r="AX22" s="483"/>
      <c r="AY22" s="483"/>
      <c r="AZ22" s="483"/>
      <c r="BA22" s="483"/>
      <c r="BB22" s="483"/>
      <c r="BC22" s="483"/>
      <c r="BD22" s="483"/>
      <c r="BE22" s="483"/>
      <c r="BF22" s="483"/>
      <c r="BG22" s="483"/>
      <c r="BH22" s="483"/>
      <c r="BI22" s="483"/>
      <c r="BJ22" s="483"/>
      <c r="BK22" s="483"/>
      <c r="BL22" s="483"/>
      <c r="BM22" s="483"/>
      <c r="BN22" s="483"/>
      <c r="BO22" s="483"/>
      <c r="BP22" s="483"/>
      <c r="GA22" t="s">
        <v>85</v>
      </c>
      <c r="GB22">
        <v>17</v>
      </c>
      <c r="GC22">
        <v>111</v>
      </c>
      <c r="GD22">
        <v>99</v>
      </c>
      <c r="GE22">
        <v>82</v>
      </c>
      <c r="GF22">
        <v>36</v>
      </c>
      <c r="GG22">
        <v>1947</v>
      </c>
      <c r="GH22">
        <v>46</v>
      </c>
      <c r="GI22">
        <v>46</v>
      </c>
      <c r="GJ22">
        <v>44</v>
      </c>
      <c r="GK22">
        <v>17</v>
      </c>
      <c r="GL22">
        <v>829</v>
      </c>
      <c r="GM22">
        <v>111</v>
      </c>
      <c r="GN22">
        <v>50</v>
      </c>
      <c r="GO22">
        <v>45</v>
      </c>
      <c r="GP22">
        <v>88</v>
      </c>
      <c r="GQ22">
        <v>796</v>
      </c>
      <c r="GR22">
        <v>14</v>
      </c>
      <c r="GS22">
        <v>14</v>
      </c>
      <c r="GT22">
        <v>16</v>
      </c>
      <c r="GU22">
        <v>10</v>
      </c>
      <c r="GV22">
        <v>254</v>
      </c>
      <c r="GW22">
        <v>24</v>
      </c>
      <c r="GX22">
        <v>16</v>
      </c>
      <c r="GY22">
        <v>3</v>
      </c>
      <c r="GZ22">
        <v>27</v>
      </c>
      <c r="HA22">
        <v>174</v>
      </c>
      <c r="HB22">
        <v>17</v>
      </c>
      <c r="HC22">
        <v>66</v>
      </c>
      <c r="HD22">
        <v>46</v>
      </c>
      <c r="HE22">
        <v>22</v>
      </c>
      <c r="HF22">
        <v>60</v>
      </c>
      <c r="HG22">
        <v>434</v>
      </c>
      <c r="HH22">
        <v>143</v>
      </c>
      <c r="HI22">
        <v>143</v>
      </c>
      <c r="HJ22">
        <v>126</v>
      </c>
      <c r="HK22">
        <v>41</v>
      </c>
      <c r="HL22">
        <v>2846</v>
      </c>
      <c r="HM22">
        <v>165</v>
      </c>
      <c r="HN22">
        <v>152</v>
      </c>
      <c r="HO22">
        <v>181</v>
      </c>
      <c r="HP22">
        <v>43</v>
      </c>
      <c r="HQ22">
        <v>3222</v>
      </c>
      <c r="HR22">
        <v>70</v>
      </c>
      <c r="HS22">
        <v>81</v>
      </c>
      <c r="HT22">
        <v>90</v>
      </c>
      <c r="HU22">
        <v>20</v>
      </c>
      <c r="HV22">
        <v>1416</v>
      </c>
      <c r="HW22">
        <v>13</v>
      </c>
      <c r="HX22">
        <v>24</v>
      </c>
      <c r="HY22">
        <v>27</v>
      </c>
      <c r="HZ22">
        <v>14</v>
      </c>
      <c r="IA22">
        <v>386</v>
      </c>
      <c r="IB22">
        <v>17</v>
      </c>
      <c r="IC22">
        <v>174</v>
      </c>
      <c r="ID22">
        <v>148</v>
      </c>
      <c r="IE22">
        <v>129</v>
      </c>
      <c r="IF22">
        <v>59</v>
      </c>
      <c r="IG22">
        <v>2833</v>
      </c>
      <c r="IH22">
        <v>29</v>
      </c>
      <c r="II22">
        <v>43</v>
      </c>
      <c r="IJ22">
        <v>49</v>
      </c>
      <c r="IK22">
        <v>26</v>
      </c>
      <c r="IL22">
        <v>801</v>
      </c>
      <c r="IM22">
        <v>121</v>
      </c>
      <c r="IN22">
        <v>119</v>
      </c>
      <c r="IO22">
        <v>145</v>
      </c>
      <c r="IP22">
        <v>40</v>
      </c>
      <c r="IQ22">
        <v>2438</v>
      </c>
      <c r="IR22">
        <v>27</v>
      </c>
      <c r="IS22">
        <v>30</v>
      </c>
      <c r="IT22">
        <v>44</v>
      </c>
      <c r="IU22">
        <v>26</v>
      </c>
      <c r="IV22">
        <v>661</v>
      </c>
      <c r="IW22">
        <v>25</v>
      </c>
      <c r="IX22">
        <v>28</v>
      </c>
      <c r="IY22">
        <v>20</v>
      </c>
      <c r="IZ22">
        <v>7</v>
      </c>
      <c r="JA22">
        <v>468</v>
      </c>
      <c r="JB22">
        <v>17</v>
      </c>
      <c r="JC22">
        <v>41</v>
      </c>
      <c r="JD22">
        <v>34</v>
      </c>
      <c r="JE22">
        <v>30</v>
      </c>
      <c r="JF22">
        <v>13</v>
      </c>
      <c r="JG22">
        <v>679</v>
      </c>
      <c r="JH22">
        <v>116</v>
      </c>
      <c r="JI22">
        <v>95</v>
      </c>
      <c r="JJ22">
        <v>81</v>
      </c>
      <c r="JK22">
        <v>41</v>
      </c>
      <c r="JL22">
        <v>1766</v>
      </c>
      <c r="JM22">
        <v>109</v>
      </c>
      <c r="JN22">
        <v>98</v>
      </c>
      <c r="JO22">
        <v>83</v>
      </c>
      <c r="JP22">
        <v>30</v>
      </c>
      <c r="JQ22">
        <v>1779</v>
      </c>
      <c r="JR22">
        <v>159</v>
      </c>
      <c r="JS22">
        <v>172</v>
      </c>
      <c r="JT22">
        <v>166</v>
      </c>
      <c r="JU22">
        <v>16</v>
      </c>
      <c r="JV22">
        <v>2961</v>
      </c>
      <c r="JW22">
        <v>35</v>
      </c>
      <c r="JX22">
        <v>20</v>
      </c>
      <c r="JY22">
        <v>39</v>
      </c>
      <c r="JZ22">
        <v>22</v>
      </c>
      <c r="KA22">
        <v>583</v>
      </c>
      <c r="KB22">
        <v>17</v>
      </c>
      <c r="KC22" t="s">
        <v>85</v>
      </c>
      <c r="KD22" t="s">
        <v>85</v>
      </c>
      <c r="KE22" t="s">
        <v>85</v>
      </c>
      <c r="KF22" t="s">
        <v>85</v>
      </c>
      <c r="KG22" t="s">
        <v>85</v>
      </c>
      <c r="KH22" t="s">
        <v>85</v>
      </c>
      <c r="KI22" t="s">
        <v>85</v>
      </c>
      <c r="KJ22" t="s">
        <v>85</v>
      </c>
      <c r="KK22" t="s">
        <v>85</v>
      </c>
      <c r="KL22" t="s">
        <v>85</v>
      </c>
      <c r="KM22" t="s">
        <v>85</v>
      </c>
      <c r="KN22" t="s">
        <v>85</v>
      </c>
      <c r="KO22" t="s">
        <v>85</v>
      </c>
      <c r="KP22" t="s">
        <v>85</v>
      </c>
      <c r="KQ22" t="s">
        <v>85</v>
      </c>
      <c r="KR22" t="s">
        <v>85</v>
      </c>
      <c r="KS22" t="s">
        <v>85</v>
      </c>
      <c r="KT22" t="s">
        <v>85</v>
      </c>
      <c r="KU22" t="s">
        <v>85</v>
      </c>
      <c r="KV22" t="s">
        <v>85</v>
      </c>
      <c r="KW22" t="s">
        <v>85</v>
      </c>
      <c r="KX22" t="s">
        <v>85</v>
      </c>
      <c r="KY22" t="s">
        <v>85</v>
      </c>
      <c r="KZ22" t="s">
        <v>85</v>
      </c>
      <c r="LA22" t="s">
        <v>85</v>
      </c>
      <c r="LB22">
        <v>17</v>
      </c>
      <c r="LC22" t="s">
        <v>85</v>
      </c>
      <c r="LD22" t="s">
        <v>85</v>
      </c>
      <c r="LE22" t="s">
        <v>85</v>
      </c>
      <c r="LF22" t="s">
        <v>85</v>
      </c>
      <c r="LG22" t="s">
        <v>85</v>
      </c>
      <c r="LH22" t="s">
        <v>85</v>
      </c>
      <c r="LI22" t="s">
        <v>85</v>
      </c>
      <c r="LJ22" t="s">
        <v>85</v>
      </c>
      <c r="LK22" t="s">
        <v>85</v>
      </c>
      <c r="LL22" t="s">
        <v>85</v>
      </c>
      <c r="LM22" t="s">
        <v>85</v>
      </c>
      <c r="LN22" t="s">
        <v>85</v>
      </c>
      <c r="LO22" t="s">
        <v>85</v>
      </c>
      <c r="LP22" t="s">
        <v>85</v>
      </c>
      <c r="LQ22" t="s">
        <v>85</v>
      </c>
      <c r="LR22" t="s">
        <v>85</v>
      </c>
      <c r="LS22" t="s">
        <v>85</v>
      </c>
      <c r="LT22" t="s">
        <v>85</v>
      </c>
      <c r="LU22" t="s">
        <v>85</v>
      </c>
      <c r="LV22" t="s">
        <v>85</v>
      </c>
      <c r="LW22" t="s">
        <v>85</v>
      </c>
      <c r="LX22" t="s">
        <v>85</v>
      </c>
      <c r="LY22" t="s">
        <v>85</v>
      </c>
      <c r="LZ22" t="s">
        <v>85</v>
      </c>
      <c r="MA22" t="s">
        <v>85</v>
      </c>
      <c r="MB22">
        <v>17</v>
      </c>
      <c r="MC22" t="s">
        <v>85</v>
      </c>
      <c r="MD22" t="s">
        <v>85</v>
      </c>
      <c r="ME22" t="s">
        <v>85</v>
      </c>
      <c r="MF22" t="s">
        <v>85</v>
      </c>
      <c r="MG22" t="s">
        <v>85</v>
      </c>
      <c r="MH22" t="s">
        <v>85</v>
      </c>
      <c r="MI22" t="s">
        <v>85</v>
      </c>
      <c r="MJ22" t="s">
        <v>85</v>
      </c>
      <c r="MK22" t="s">
        <v>85</v>
      </c>
      <c r="ML22" t="s">
        <v>85</v>
      </c>
      <c r="MM22" t="s">
        <v>85</v>
      </c>
      <c r="MN22" t="s">
        <v>85</v>
      </c>
      <c r="MO22" t="s">
        <v>85</v>
      </c>
      <c r="MP22" t="s">
        <v>85</v>
      </c>
      <c r="MQ22" t="s">
        <v>85</v>
      </c>
      <c r="MR22" t="s">
        <v>85</v>
      </c>
      <c r="MS22" t="s">
        <v>85</v>
      </c>
      <c r="MT22" t="s">
        <v>85</v>
      </c>
      <c r="MU22" t="s">
        <v>85</v>
      </c>
      <c r="MV22" t="s">
        <v>85</v>
      </c>
      <c r="MW22" t="s">
        <v>85</v>
      </c>
      <c r="MX22" t="s">
        <v>85</v>
      </c>
      <c r="MY22" t="s">
        <v>85</v>
      </c>
      <c r="MZ22" t="s">
        <v>85</v>
      </c>
      <c r="NA22">
        <v>17</v>
      </c>
      <c r="NB22">
        <v>0</v>
      </c>
      <c r="NC22">
        <v>-1</v>
      </c>
      <c r="ND22">
        <v>-1</v>
      </c>
      <c r="NE22">
        <v>-1</v>
      </c>
      <c r="NF22">
        <v>24</v>
      </c>
      <c r="NG22">
        <v>8</v>
      </c>
      <c r="NH22">
        <v>8</v>
      </c>
      <c r="NI22">
        <v>8</v>
      </c>
      <c r="NJ22">
        <v>0</v>
      </c>
      <c r="NK22">
        <v>484</v>
      </c>
      <c r="NL22">
        <v>14</v>
      </c>
      <c r="NM22">
        <v>15</v>
      </c>
      <c r="NN22">
        <v>14</v>
      </c>
      <c r="NO22">
        <v>0</v>
      </c>
      <c r="NP22">
        <v>554</v>
      </c>
      <c r="NQ22">
        <v>12</v>
      </c>
      <c r="NR22">
        <v>12</v>
      </c>
      <c r="NS22">
        <v>11</v>
      </c>
      <c r="NT22">
        <v>0</v>
      </c>
      <c r="NU22">
        <v>668</v>
      </c>
      <c r="NV22">
        <v>12</v>
      </c>
      <c r="NW22">
        <v>13</v>
      </c>
      <c r="NX22">
        <v>12</v>
      </c>
      <c r="NY22">
        <v>1</v>
      </c>
      <c r="NZ22">
        <v>288</v>
      </c>
      <c r="OA22">
        <v>17</v>
      </c>
      <c r="OB22">
        <v>14</v>
      </c>
      <c r="OC22">
        <v>14</v>
      </c>
      <c r="OD22">
        <v>13</v>
      </c>
      <c r="OE22">
        <v>1</v>
      </c>
      <c r="OF22">
        <v>650</v>
      </c>
      <c r="OG22">
        <v>15</v>
      </c>
      <c r="OH22">
        <v>15</v>
      </c>
      <c r="OI22">
        <v>14</v>
      </c>
      <c r="OJ22">
        <v>1</v>
      </c>
      <c r="OK22">
        <v>350</v>
      </c>
      <c r="OL22">
        <v>1</v>
      </c>
      <c r="OM22">
        <v>1</v>
      </c>
      <c r="ON22">
        <v>1</v>
      </c>
      <c r="OO22">
        <v>1</v>
      </c>
      <c r="OP22">
        <v>48</v>
      </c>
      <c r="OQ22" t="s">
        <v>85</v>
      </c>
      <c r="OR22" t="s">
        <v>85</v>
      </c>
      <c r="OS22" t="s">
        <v>85</v>
      </c>
      <c r="OT22" t="s">
        <v>85</v>
      </c>
      <c r="OU22" t="s">
        <v>85</v>
      </c>
      <c r="OV22" t="s">
        <v>85</v>
      </c>
      <c r="OW22" t="s">
        <v>85</v>
      </c>
      <c r="OX22" t="s">
        <v>85</v>
      </c>
      <c r="OY22" t="s">
        <v>85</v>
      </c>
      <c r="OZ22" t="s">
        <v>85</v>
      </c>
      <c r="PA22">
        <v>17</v>
      </c>
      <c r="PB22">
        <v>23</v>
      </c>
      <c r="PC22">
        <v>23</v>
      </c>
      <c r="PD22">
        <v>24</v>
      </c>
      <c r="PE22">
        <v>0</v>
      </c>
      <c r="PF22">
        <v>894</v>
      </c>
      <c r="PG22">
        <v>9</v>
      </c>
      <c r="PH22">
        <v>8</v>
      </c>
      <c r="PI22">
        <v>8</v>
      </c>
      <c r="PJ22">
        <v>0</v>
      </c>
      <c r="PK22">
        <v>515</v>
      </c>
      <c r="PL22">
        <v>5</v>
      </c>
      <c r="PM22">
        <v>6</v>
      </c>
      <c r="PN22">
        <v>5</v>
      </c>
      <c r="PO22">
        <v>0</v>
      </c>
      <c r="PP22">
        <v>182</v>
      </c>
      <c r="PQ22">
        <v>29</v>
      </c>
      <c r="PR22">
        <v>29</v>
      </c>
      <c r="PS22">
        <v>28</v>
      </c>
      <c r="PT22">
        <v>2</v>
      </c>
      <c r="PU22">
        <v>790</v>
      </c>
      <c r="PV22">
        <v>38</v>
      </c>
      <c r="PW22">
        <v>40</v>
      </c>
      <c r="PX22">
        <v>38</v>
      </c>
      <c r="PY22">
        <v>0</v>
      </c>
      <c r="PZ22">
        <v>1527</v>
      </c>
      <c r="QA22">
        <v>17</v>
      </c>
      <c r="QB22" t="s">
        <v>85</v>
      </c>
      <c r="QC22" t="s">
        <v>85</v>
      </c>
      <c r="QD22" t="s">
        <v>85</v>
      </c>
      <c r="QE22" t="s">
        <v>85</v>
      </c>
      <c r="QF22">
        <v>0</v>
      </c>
      <c r="QG22">
        <v>2</v>
      </c>
      <c r="QH22">
        <v>2</v>
      </c>
      <c r="QI22">
        <v>2</v>
      </c>
      <c r="QJ22">
        <v>0</v>
      </c>
      <c r="QK22">
        <v>59</v>
      </c>
      <c r="QL22" t="s">
        <v>85</v>
      </c>
      <c r="QM22" t="s">
        <v>85</v>
      </c>
      <c r="QN22" t="s">
        <v>85</v>
      </c>
      <c r="QO22" t="s">
        <v>85</v>
      </c>
      <c r="QP22" t="s">
        <v>85</v>
      </c>
      <c r="QQ22" t="s">
        <v>85</v>
      </c>
      <c r="QR22" t="s">
        <v>85</v>
      </c>
      <c r="QS22" t="s">
        <v>85</v>
      </c>
      <c r="QT22" t="s">
        <v>85</v>
      </c>
      <c r="QU22" t="s">
        <v>85</v>
      </c>
      <c r="QV22" t="s">
        <v>85</v>
      </c>
      <c r="QW22" t="s">
        <v>85</v>
      </c>
      <c r="QX22" t="s">
        <v>85</v>
      </c>
      <c r="QY22" t="s">
        <v>85</v>
      </c>
      <c r="QZ22" t="s">
        <v>85</v>
      </c>
      <c r="RA22">
        <v>17</v>
      </c>
      <c r="RB22">
        <v>122</v>
      </c>
      <c r="RC22">
        <v>121</v>
      </c>
      <c r="RD22">
        <v>120</v>
      </c>
      <c r="RE22">
        <v>0</v>
      </c>
      <c r="RF22">
        <v>4289</v>
      </c>
      <c r="RG22">
        <v>7</v>
      </c>
      <c r="RH22">
        <v>7</v>
      </c>
      <c r="RI22">
        <v>6</v>
      </c>
      <c r="RJ22">
        <v>0</v>
      </c>
      <c r="RK22">
        <v>372</v>
      </c>
      <c r="RL22">
        <v>6</v>
      </c>
      <c r="RM22">
        <v>6</v>
      </c>
      <c r="RN22">
        <v>6</v>
      </c>
      <c r="RO22">
        <v>0</v>
      </c>
      <c r="RP22">
        <v>345</v>
      </c>
      <c r="RQ22">
        <v>0</v>
      </c>
      <c r="RR22">
        <v>0</v>
      </c>
      <c r="RS22">
        <v>0</v>
      </c>
      <c r="RT22">
        <v>0</v>
      </c>
      <c r="RU22">
        <v>0</v>
      </c>
      <c r="RV22">
        <v>0</v>
      </c>
      <c r="RW22">
        <v>0</v>
      </c>
      <c r="RX22">
        <v>0</v>
      </c>
      <c r="RY22">
        <v>0</v>
      </c>
      <c r="RZ22">
        <v>0</v>
      </c>
      <c r="SA22">
        <v>17</v>
      </c>
      <c r="SB22">
        <v>0</v>
      </c>
      <c r="SC22">
        <v>0</v>
      </c>
      <c r="SD22">
        <v>0</v>
      </c>
      <c r="SE22">
        <v>0</v>
      </c>
      <c r="SF22">
        <v>0</v>
      </c>
      <c r="SG22" t="s">
        <v>85</v>
      </c>
      <c r="SH22" t="s">
        <v>85</v>
      </c>
      <c r="SI22" t="s">
        <v>85</v>
      </c>
      <c r="SJ22" t="s">
        <v>85</v>
      </c>
      <c r="SK22" t="s">
        <v>85</v>
      </c>
      <c r="SL22" t="s">
        <v>85</v>
      </c>
      <c r="SM22" t="s">
        <v>85</v>
      </c>
      <c r="SN22" t="s">
        <v>85</v>
      </c>
      <c r="SO22" t="s">
        <v>85</v>
      </c>
      <c r="SP22" t="s">
        <v>85</v>
      </c>
      <c r="SQ22" t="s">
        <v>85</v>
      </c>
      <c r="SR22" t="s">
        <v>85</v>
      </c>
      <c r="SS22" t="s">
        <v>85</v>
      </c>
      <c r="ST22" t="s">
        <v>85</v>
      </c>
      <c r="SU22" t="s">
        <v>85</v>
      </c>
      <c r="SV22" t="s">
        <v>85</v>
      </c>
      <c r="SW22" t="s">
        <v>85</v>
      </c>
      <c r="SX22" t="s">
        <v>85</v>
      </c>
      <c r="SY22" t="s">
        <v>85</v>
      </c>
      <c r="SZ22" t="s">
        <v>85</v>
      </c>
      <c r="TA22">
        <v>17</v>
      </c>
      <c r="TB22">
        <v>26</v>
      </c>
      <c r="TC22">
        <v>26</v>
      </c>
      <c r="TD22">
        <v>26</v>
      </c>
      <c r="TE22">
        <v>0</v>
      </c>
      <c r="TF22">
        <v>1674</v>
      </c>
      <c r="TG22">
        <v>0</v>
      </c>
      <c r="TH22">
        <v>0</v>
      </c>
      <c r="TI22">
        <v>0</v>
      </c>
      <c r="TJ22">
        <v>0</v>
      </c>
      <c r="TK22">
        <v>0</v>
      </c>
      <c r="TL22">
        <v>0</v>
      </c>
      <c r="TM22">
        <v>0</v>
      </c>
      <c r="TN22">
        <v>0</v>
      </c>
      <c r="TO22">
        <v>0</v>
      </c>
      <c r="TP22">
        <v>0</v>
      </c>
      <c r="TQ22">
        <v>24</v>
      </c>
      <c r="TR22">
        <v>23</v>
      </c>
      <c r="TS22">
        <v>25</v>
      </c>
      <c r="TT22">
        <v>0</v>
      </c>
      <c r="TU22">
        <v>869</v>
      </c>
      <c r="TV22">
        <v>7</v>
      </c>
      <c r="TW22">
        <v>7</v>
      </c>
      <c r="TX22">
        <v>5</v>
      </c>
      <c r="TY22">
        <v>0</v>
      </c>
      <c r="TZ22">
        <v>260</v>
      </c>
      <c r="UA22">
        <v>17</v>
      </c>
      <c r="UB22">
        <v>74</v>
      </c>
      <c r="UC22">
        <v>78</v>
      </c>
      <c r="UD22">
        <v>77</v>
      </c>
      <c r="UE22">
        <v>0</v>
      </c>
      <c r="UF22">
        <v>2919</v>
      </c>
      <c r="UG22" t="s">
        <v>85</v>
      </c>
      <c r="UH22" t="s">
        <v>85</v>
      </c>
      <c r="UI22" t="s">
        <v>85</v>
      </c>
      <c r="UJ22" t="s">
        <v>85</v>
      </c>
      <c r="UK22" t="s">
        <v>85</v>
      </c>
      <c r="UL22" t="s">
        <v>85</v>
      </c>
      <c r="UM22" t="s">
        <v>85</v>
      </c>
      <c r="UN22" t="s">
        <v>85</v>
      </c>
      <c r="UO22" t="s">
        <v>85</v>
      </c>
      <c r="UP22" t="s">
        <v>85</v>
      </c>
      <c r="UQ22" t="s">
        <v>85</v>
      </c>
      <c r="UR22" t="s">
        <v>85</v>
      </c>
      <c r="US22" t="s">
        <v>85</v>
      </c>
      <c r="UT22" t="s">
        <v>85</v>
      </c>
      <c r="UU22" t="s">
        <v>85</v>
      </c>
      <c r="UV22" t="s">
        <v>85</v>
      </c>
      <c r="UW22" t="s">
        <v>85</v>
      </c>
      <c r="UX22" t="s">
        <v>85</v>
      </c>
      <c r="UY22" t="s">
        <v>85</v>
      </c>
      <c r="UZ22" t="s">
        <v>85</v>
      </c>
      <c r="VX22">
        <v>17</v>
      </c>
      <c r="VY22">
        <v>0</v>
      </c>
      <c r="VZ22">
        <v>-1</v>
      </c>
      <c r="WA22">
        <v>-1</v>
      </c>
      <c r="WB22">
        <v>-1</v>
      </c>
      <c r="WC22">
        <v>24</v>
      </c>
      <c r="WD22">
        <v>8</v>
      </c>
      <c r="WE22">
        <v>8</v>
      </c>
      <c r="WF22">
        <v>8</v>
      </c>
      <c r="WG22">
        <v>0</v>
      </c>
      <c r="WH22">
        <v>484</v>
      </c>
      <c r="WI22">
        <v>14</v>
      </c>
      <c r="WJ22">
        <v>15</v>
      </c>
      <c r="WK22">
        <v>14</v>
      </c>
      <c r="WL22">
        <v>0</v>
      </c>
      <c r="WM22">
        <v>554</v>
      </c>
      <c r="WN22">
        <v>12</v>
      </c>
      <c r="WO22">
        <v>12</v>
      </c>
      <c r="WP22">
        <v>11</v>
      </c>
      <c r="WQ22">
        <v>0</v>
      </c>
      <c r="WR22">
        <v>668</v>
      </c>
      <c r="WS22">
        <v>12</v>
      </c>
      <c r="WT22">
        <v>13</v>
      </c>
      <c r="WU22">
        <v>12</v>
      </c>
      <c r="WV22">
        <v>1</v>
      </c>
      <c r="WW22">
        <v>288</v>
      </c>
      <c r="WX22">
        <v>17</v>
      </c>
      <c r="WY22">
        <v>14</v>
      </c>
      <c r="WZ22">
        <v>14</v>
      </c>
      <c r="XA22">
        <v>13</v>
      </c>
      <c r="XB22">
        <v>1</v>
      </c>
      <c r="XC22">
        <v>650</v>
      </c>
      <c r="XD22">
        <v>15</v>
      </c>
      <c r="XE22">
        <v>15</v>
      </c>
      <c r="XF22">
        <v>14</v>
      </c>
      <c r="XG22">
        <v>1</v>
      </c>
      <c r="XH22">
        <v>350</v>
      </c>
      <c r="XI22">
        <v>1</v>
      </c>
      <c r="XJ22">
        <v>1</v>
      </c>
      <c r="XK22">
        <v>1</v>
      </c>
      <c r="XL22">
        <v>1</v>
      </c>
      <c r="XM22">
        <v>48</v>
      </c>
      <c r="XN22" t="s">
        <v>85</v>
      </c>
      <c r="XO22" t="s">
        <v>85</v>
      </c>
      <c r="XP22" t="s">
        <v>85</v>
      </c>
      <c r="XQ22" t="s">
        <v>85</v>
      </c>
      <c r="XR22" t="s">
        <v>85</v>
      </c>
      <c r="XS22" t="s">
        <v>85</v>
      </c>
      <c r="XT22" t="s">
        <v>85</v>
      </c>
      <c r="XU22" t="s">
        <v>85</v>
      </c>
      <c r="XV22" t="s">
        <v>85</v>
      </c>
      <c r="XW22" t="s">
        <v>85</v>
      </c>
      <c r="XX22">
        <v>17</v>
      </c>
      <c r="XY22">
        <v>23</v>
      </c>
      <c r="XZ22">
        <v>23</v>
      </c>
      <c r="YA22">
        <v>24</v>
      </c>
      <c r="YB22">
        <v>0</v>
      </c>
      <c r="YC22">
        <v>894</v>
      </c>
      <c r="YD22">
        <v>9</v>
      </c>
      <c r="YE22">
        <v>8</v>
      </c>
      <c r="YF22">
        <v>8</v>
      </c>
      <c r="YG22">
        <v>0</v>
      </c>
      <c r="YH22">
        <v>515</v>
      </c>
      <c r="YI22">
        <v>5</v>
      </c>
      <c r="YJ22">
        <v>6</v>
      </c>
      <c r="YK22">
        <v>5</v>
      </c>
      <c r="YL22">
        <v>0</v>
      </c>
      <c r="YM22">
        <v>182</v>
      </c>
      <c r="YN22">
        <v>29</v>
      </c>
      <c r="YO22">
        <v>29</v>
      </c>
      <c r="YP22">
        <v>28</v>
      </c>
      <c r="YQ22">
        <v>2</v>
      </c>
      <c r="YR22">
        <v>790</v>
      </c>
      <c r="YS22">
        <v>38</v>
      </c>
      <c r="YT22">
        <v>40</v>
      </c>
      <c r="YU22">
        <v>38</v>
      </c>
      <c r="YV22">
        <v>0</v>
      </c>
      <c r="YW22">
        <v>1527</v>
      </c>
      <c r="YX22">
        <v>17</v>
      </c>
      <c r="YY22" t="s">
        <v>85</v>
      </c>
      <c r="YZ22" t="s">
        <v>85</v>
      </c>
      <c r="ZA22" t="s">
        <v>85</v>
      </c>
      <c r="ZB22" t="s">
        <v>85</v>
      </c>
      <c r="ZC22">
        <v>0</v>
      </c>
      <c r="ZD22">
        <v>2</v>
      </c>
      <c r="ZE22">
        <v>2</v>
      </c>
      <c r="ZF22">
        <v>2</v>
      </c>
      <c r="ZG22">
        <v>0</v>
      </c>
      <c r="ZH22">
        <v>59</v>
      </c>
      <c r="ZI22" t="s">
        <v>85</v>
      </c>
      <c r="ZJ22" t="s">
        <v>85</v>
      </c>
      <c r="ZK22" t="s">
        <v>85</v>
      </c>
      <c r="ZL22" t="s">
        <v>85</v>
      </c>
      <c r="ZM22" t="s">
        <v>85</v>
      </c>
      <c r="ZN22" t="s">
        <v>85</v>
      </c>
      <c r="ZO22" t="s">
        <v>85</v>
      </c>
      <c r="ZP22" t="s">
        <v>85</v>
      </c>
      <c r="ZQ22" t="s">
        <v>85</v>
      </c>
      <c r="ZR22" t="s">
        <v>85</v>
      </c>
      <c r="ZS22" t="s">
        <v>85</v>
      </c>
      <c r="ZT22" t="s">
        <v>85</v>
      </c>
      <c r="ZU22" t="s">
        <v>85</v>
      </c>
      <c r="ZV22" t="s">
        <v>85</v>
      </c>
      <c r="ZW22" t="s">
        <v>85</v>
      </c>
      <c r="ZX22">
        <v>17</v>
      </c>
      <c r="ZY22">
        <v>17</v>
      </c>
      <c r="ZZ22">
        <v>17</v>
      </c>
      <c r="AAA22">
        <v>74</v>
      </c>
      <c r="AAB22">
        <v>78</v>
      </c>
      <c r="AAC22">
        <v>77</v>
      </c>
      <c r="AAD22">
        <v>0</v>
      </c>
      <c r="AAE22">
        <v>2919</v>
      </c>
      <c r="AAF22" t="s">
        <v>85</v>
      </c>
      <c r="AAG22" t="s">
        <v>85</v>
      </c>
      <c r="AAH22" t="s">
        <v>85</v>
      </c>
      <c r="AAI22" t="s">
        <v>85</v>
      </c>
      <c r="AAJ22" t="s">
        <v>85</v>
      </c>
      <c r="AAK22" t="s">
        <v>85</v>
      </c>
      <c r="AAL22" t="s">
        <v>85</v>
      </c>
      <c r="AAM22" t="s">
        <v>85</v>
      </c>
      <c r="AAN22" t="s">
        <v>85</v>
      </c>
      <c r="AAO22" t="s">
        <v>85</v>
      </c>
      <c r="AAP22" t="s">
        <v>85</v>
      </c>
      <c r="AAQ22" t="s">
        <v>85</v>
      </c>
      <c r="AAR22" t="s">
        <v>85</v>
      </c>
      <c r="AAS22" t="s">
        <v>85</v>
      </c>
      <c r="AAT22" t="s">
        <v>85</v>
      </c>
      <c r="AAU22" t="s">
        <v>85</v>
      </c>
      <c r="AAV22" t="s">
        <v>85</v>
      </c>
      <c r="AAW22" t="s">
        <v>85</v>
      </c>
      <c r="AAX22" t="s">
        <v>85</v>
      </c>
      <c r="AAY22" t="s">
        <v>85</v>
      </c>
    </row>
    <row r="23" spans="1:727">
      <c r="A23" s="483">
        <v>17</v>
      </c>
      <c r="B23" s="503">
        <v>-1</v>
      </c>
      <c r="C23" s="503">
        <v>-1</v>
      </c>
      <c r="D23" s="503">
        <v>-1</v>
      </c>
      <c r="E23" s="503">
        <v>-1</v>
      </c>
      <c r="F23" s="503">
        <v>24</v>
      </c>
      <c r="G23" s="593">
        <v>6</v>
      </c>
      <c r="H23" s="593">
        <v>7</v>
      </c>
      <c r="I23" s="593">
        <v>7</v>
      </c>
      <c r="J23" s="593">
        <v>0</v>
      </c>
      <c r="K23" s="593">
        <v>177</v>
      </c>
      <c r="L23" s="502">
        <v>9</v>
      </c>
      <c r="M23" s="502">
        <v>9</v>
      </c>
      <c r="N23" s="502">
        <v>8</v>
      </c>
      <c r="O23" s="502">
        <v>0</v>
      </c>
      <c r="P23" s="502">
        <v>162</v>
      </c>
      <c r="Q23" s="504">
        <v>5</v>
      </c>
      <c r="R23" s="504">
        <v>4</v>
      </c>
      <c r="S23" s="504">
        <v>4</v>
      </c>
      <c r="T23" s="504">
        <v>0</v>
      </c>
      <c r="U23" s="504">
        <v>125</v>
      </c>
      <c r="V23" s="505">
        <v>7</v>
      </c>
      <c r="W23" s="505">
        <v>6</v>
      </c>
      <c r="X23" s="505">
        <v>6</v>
      </c>
      <c r="Y23" s="505">
        <v>1</v>
      </c>
      <c r="Z23" s="505">
        <v>0</v>
      </c>
      <c r="AA23" s="506"/>
      <c r="AB23" s="506"/>
      <c r="AC23" s="506"/>
      <c r="AD23" s="506"/>
      <c r="AE23" s="506"/>
      <c r="AF23" s="506"/>
      <c r="AG23" s="507"/>
      <c r="AH23" s="507"/>
      <c r="AI23" s="507"/>
      <c r="AJ23" s="507"/>
      <c r="AK23" s="507"/>
      <c r="AL23" s="508"/>
      <c r="AM23" s="508"/>
      <c r="AN23" s="508"/>
      <c r="AO23" s="508"/>
      <c r="AP23" s="508"/>
      <c r="AQ23" s="509"/>
      <c r="AR23" s="509"/>
      <c r="AS23" s="509"/>
      <c r="AT23" s="509"/>
      <c r="AU23" s="509"/>
      <c r="AV23" s="483"/>
      <c r="AW23" s="483"/>
      <c r="AX23" s="483"/>
      <c r="AY23" s="483"/>
      <c r="AZ23" s="483"/>
      <c r="BA23" s="483"/>
      <c r="BB23" s="483"/>
      <c r="BC23" s="483"/>
      <c r="BD23" s="483"/>
      <c r="BE23" s="483"/>
      <c r="BF23" s="483"/>
      <c r="BG23" s="483"/>
      <c r="BH23" s="483"/>
      <c r="BI23" s="483"/>
      <c r="BJ23" s="483"/>
      <c r="BK23" s="483"/>
      <c r="BL23" s="483"/>
      <c r="BM23" s="483"/>
      <c r="BN23" s="483"/>
      <c r="BO23" s="483"/>
      <c r="BP23" s="483"/>
      <c r="GA23" t="s">
        <v>85</v>
      </c>
      <c r="GB23">
        <v>18</v>
      </c>
      <c r="GC23">
        <v>113</v>
      </c>
      <c r="GD23">
        <v>90</v>
      </c>
      <c r="GE23">
        <v>75</v>
      </c>
      <c r="GF23">
        <v>35</v>
      </c>
      <c r="GG23">
        <v>1925</v>
      </c>
      <c r="GH23">
        <v>48</v>
      </c>
      <c r="GI23">
        <v>47</v>
      </c>
      <c r="GJ23">
        <v>48</v>
      </c>
      <c r="GK23">
        <v>13</v>
      </c>
      <c r="GL23">
        <v>926</v>
      </c>
      <c r="GM23">
        <v>127</v>
      </c>
      <c r="GN23">
        <v>54</v>
      </c>
      <c r="GO23">
        <v>74</v>
      </c>
      <c r="GP23">
        <v>84</v>
      </c>
      <c r="GQ23">
        <v>1436</v>
      </c>
      <c r="GR23">
        <v>19</v>
      </c>
      <c r="GS23">
        <v>17</v>
      </c>
      <c r="GT23">
        <v>20</v>
      </c>
      <c r="GU23">
        <v>11</v>
      </c>
      <c r="GV23">
        <v>331</v>
      </c>
      <c r="GW23">
        <v>22</v>
      </c>
      <c r="GX23">
        <v>17</v>
      </c>
      <c r="GY23">
        <v>9</v>
      </c>
      <c r="GZ23">
        <v>19</v>
      </c>
      <c r="HA23">
        <v>255</v>
      </c>
      <c r="HB23">
        <v>18</v>
      </c>
      <c r="HC23">
        <v>77</v>
      </c>
      <c r="HD23">
        <v>54</v>
      </c>
      <c r="HE23">
        <v>27</v>
      </c>
      <c r="HF23">
        <v>62</v>
      </c>
      <c r="HG23">
        <v>919</v>
      </c>
      <c r="HH23">
        <v>156</v>
      </c>
      <c r="HI23">
        <v>151</v>
      </c>
      <c r="HJ23">
        <v>135</v>
      </c>
      <c r="HK23">
        <v>34</v>
      </c>
      <c r="HL23">
        <v>2847</v>
      </c>
      <c r="HM23">
        <v>188</v>
      </c>
      <c r="HN23">
        <v>162</v>
      </c>
      <c r="HO23">
        <v>187</v>
      </c>
      <c r="HP23">
        <v>45</v>
      </c>
      <c r="HQ23">
        <v>3388</v>
      </c>
      <c r="HR23">
        <v>83</v>
      </c>
      <c r="HS23">
        <v>94</v>
      </c>
      <c r="HT23">
        <v>97</v>
      </c>
      <c r="HU23">
        <v>17</v>
      </c>
      <c r="HV23">
        <v>1674</v>
      </c>
      <c r="HW23">
        <v>11</v>
      </c>
      <c r="HX23">
        <v>20</v>
      </c>
      <c r="HY23">
        <v>23</v>
      </c>
      <c r="HZ23">
        <v>13</v>
      </c>
      <c r="IA23">
        <v>390</v>
      </c>
      <c r="IB23">
        <v>18</v>
      </c>
      <c r="IC23">
        <v>178</v>
      </c>
      <c r="ID23">
        <v>160</v>
      </c>
      <c r="IE23">
        <v>128</v>
      </c>
      <c r="IF23">
        <v>69</v>
      </c>
      <c r="IG23">
        <v>3034</v>
      </c>
      <c r="IH23">
        <v>28</v>
      </c>
      <c r="II23">
        <v>47</v>
      </c>
      <c r="IJ23">
        <v>43</v>
      </c>
      <c r="IK23">
        <v>25</v>
      </c>
      <c r="IL23">
        <v>754</v>
      </c>
      <c r="IM23">
        <v>121</v>
      </c>
      <c r="IN23">
        <v>116</v>
      </c>
      <c r="IO23">
        <v>137</v>
      </c>
      <c r="IP23">
        <v>35</v>
      </c>
      <c r="IQ23">
        <v>2600</v>
      </c>
      <c r="IR23">
        <v>55</v>
      </c>
      <c r="IS23">
        <v>56</v>
      </c>
      <c r="IT23">
        <v>65</v>
      </c>
      <c r="IU23">
        <v>19</v>
      </c>
      <c r="IV23">
        <v>1008</v>
      </c>
      <c r="IW23">
        <v>23</v>
      </c>
      <c r="IX23">
        <v>26</v>
      </c>
      <c r="IY23">
        <v>18</v>
      </c>
      <c r="IZ23">
        <v>7</v>
      </c>
      <c r="JA23">
        <v>466</v>
      </c>
      <c r="JB23">
        <v>18</v>
      </c>
      <c r="JC23">
        <v>42</v>
      </c>
      <c r="JD23">
        <v>35</v>
      </c>
      <c r="JE23">
        <v>33</v>
      </c>
      <c r="JF23">
        <v>10</v>
      </c>
      <c r="JG23">
        <v>730</v>
      </c>
      <c r="JH23">
        <v>112</v>
      </c>
      <c r="JI23">
        <v>102</v>
      </c>
      <c r="JJ23">
        <v>81</v>
      </c>
      <c r="JK23">
        <v>33</v>
      </c>
      <c r="JL23">
        <v>2019</v>
      </c>
      <c r="JM23">
        <v>127</v>
      </c>
      <c r="JN23">
        <v>112</v>
      </c>
      <c r="JO23">
        <v>102</v>
      </c>
      <c r="JP23">
        <v>29</v>
      </c>
      <c r="JQ23">
        <v>2178</v>
      </c>
      <c r="JR23">
        <v>192</v>
      </c>
      <c r="JS23">
        <v>199</v>
      </c>
      <c r="JT23">
        <v>206</v>
      </c>
      <c r="JU23">
        <v>26</v>
      </c>
      <c r="JV23">
        <v>3582</v>
      </c>
      <c r="JW23">
        <v>39</v>
      </c>
      <c r="JX23">
        <v>22</v>
      </c>
      <c r="JY23">
        <v>38</v>
      </c>
      <c r="JZ23">
        <v>23</v>
      </c>
      <c r="KA23">
        <v>637</v>
      </c>
      <c r="KB23">
        <v>18</v>
      </c>
      <c r="KC23" t="s">
        <v>85</v>
      </c>
      <c r="KD23" t="s">
        <v>85</v>
      </c>
      <c r="KE23" t="s">
        <v>85</v>
      </c>
      <c r="KF23" t="s">
        <v>85</v>
      </c>
      <c r="KG23" t="s">
        <v>85</v>
      </c>
      <c r="KH23" t="s">
        <v>85</v>
      </c>
      <c r="KI23" t="s">
        <v>85</v>
      </c>
      <c r="KJ23" t="s">
        <v>85</v>
      </c>
      <c r="KK23" t="s">
        <v>85</v>
      </c>
      <c r="KL23" t="s">
        <v>85</v>
      </c>
      <c r="KM23" t="s">
        <v>85</v>
      </c>
      <c r="KN23" t="s">
        <v>85</v>
      </c>
      <c r="KO23" t="s">
        <v>85</v>
      </c>
      <c r="KP23" t="s">
        <v>85</v>
      </c>
      <c r="KQ23" t="s">
        <v>85</v>
      </c>
      <c r="KR23" t="s">
        <v>85</v>
      </c>
      <c r="KS23" t="s">
        <v>85</v>
      </c>
      <c r="KT23" t="s">
        <v>85</v>
      </c>
      <c r="KU23" t="s">
        <v>85</v>
      </c>
      <c r="KV23" t="s">
        <v>85</v>
      </c>
      <c r="KW23" t="s">
        <v>85</v>
      </c>
      <c r="KX23" t="s">
        <v>85</v>
      </c>
      <c r="KY23" t="s">
        <v>85</v>
      </c>
      <c r="KZ23" t="s">
        <v>85</v>
      </c>
      <c r="LA23" t="s">
        <v>85</v>
      </c>
      <c r="LB23">
        <v>18</v>
      </c>
      <c r="LC23" t="s">
        <v>85</v>
      </c>
      <c r="LD23" t="s">
        <v>85</v>
      </c>
      <c r="LE23" t="s">
        <v>85</v>
      </c>
      <c r="LF23" t="s">
        <v>85</v>
      </c>
      <c r="LG23" t="s">
        <v>85</v>
      </c>
      <c r="LH23" t="s">
        <v>85</v>
      </c>
      <c r="LI23" t="s">
        <v>85</v>
      </c>
      <c r="LJ23" t="s">
        <v>85</v>
      </c>
      <c r="LK23" t="s">
        <v>85</v>
      </c>
      <c r="LL23" t="s">
        <v>85</v>
      </c>
      <c r="LM23" t="s">
        <v>85</v>
      </c>
      <c r="LN23" t="s">
        <v>85</v>
      </c>
      <c r="LO23" t="s">
        <v>85</v>
      </c>
      <c r="LP23" t="s">
        <v>85</v>
      </c>
      <c r="LQ23" t="s">
        <v>85</v>
      </c>
      <c r="LR23" t="s">
        <v>85</v>
      </c>
      <c r="LS23" t="s">
        <v>85</v>
      </c>
      <c r="LT23" t="s">
        <v>85</v>
      </c>
      <c r="LU23" t="s">
        <v>85</v>
      </c>
      <c r="LV23" t="s">
        <v>85</v>
      </c>
      <c r="LW23" t="s">
        <v>85</v>
      </c>
      <c r="LX23" t="s">
        <v>85</v>
      </c>
      <c r="LY23" t="s">
        <v>85</v>
      </c>
      <c r="LZ23" t="s">
        <v>85</v>
      </c>
      <c r="MA23" t="s">
        <v>85</v>
      </c>
      <c r="MB23">
        <v>18</v>
      </c>
      <c r="MC23" t="s">
        <v>85</v>
      </c>
      <c r="MD23" t="s">
        <v>85</v>
      </c>
      <c r="ME23" t="s">
        <v>85</v>
      </c>
      <c r="MF23" t="s">
        <v>85</v>
      </c>
      <c r="MG23" t="s">
        <v>85</v>
      </c>
      <c r="MH23" t="s">
        <v>85</v>
      </c>
      <c r="MI23" t="s">
        <v>85</v>
      </c>
      <c r="MJ23" t="s">
        <v>85</v>
      </c>
      <c r="MK23" t="s">
        <v>85</v>
      </c>
      <c r="ML23" t="s">
        <v>85</v>
      </c>
      <c r="MM23" t="s">
        <v>85</v>
      </c>
      <c r="MN23" t="s">
        <v>85</v>
      </c>
      <c r="MO23" t="s">
        <v>85</v>
      </c>
      <c r="MP23" t="s">
        <v>85</v>
      </c>
      <c r="MQ23" t="s">
        <v>85</v>
      </c>
      <c r="MR23" t="s">
        <v>85</v>
      </c>
      <c r="MS23" t="s">
        <v>85</v>
      </c>
      <c r="MT23" t="s">
        <v>85</v>
      </c>
      <c r="MU23" t="s">
        <v>85</v>
      </c>
      <c r="MV23" t="s">
        <v>85</v>
      </c>
      <c r="MW23" t="s">
        <v>85</v>
      </c>
      <c r="MX23" t="s">
        <v>85</v>
      </c>
      <c r="MY23" t="s">
        <v>85</v>
      </c>
      <c r="MZ23" t="s">
        <v>85</v>
      </c>
      <c r="NA23">
        <v>18</v>
      </c>
      <c r="NB23">
        <v>0</v>
      </c>
      <c r="NC23">
        <v>-1</v>
      </c>
      <c r="ND23">
        <v>0</v>
      </c>
      <c r="NE23">
        <v>-1</v>
      </c>
      <c r="NF23">
        <v>24</v>
      </c>
      <c r="NG23">
        <v>9</v>
      </c>
      <c r="NH23">
        <v>9</v>
      </c>
      <c r="NI23">
        <v>10</v>
      </c>
      <c r="NJ23">
        <v>0</v>
      </c>
      <c r="NK23">
        <v>290</v>
      </c>
      <c r="NL23">
        <v>10</v>
      </c>
      <c r="NM23">
        <v>10</v>
      </c>
      <c r="NN23">
        <v>9</v>
      </c>
      <c r="NO23">
        <v>0</v>
      </c>
      <c r="NP23">
        <v>316</v>
      </c>
      <c r="NQ23">
        <v>8</v>
      </c>
      <c r="NR23">
        <v>8</v>
      </c>
      <c r="NS23">
        <v>8</v>
      </c>
      <c r="NT23">
        <v>0</v>
      </c>
      <c r="NU23">
        <v>303</v>
      </c>
      <c r="NV23">
        <v>10</v>
      </c>
      <c r="NW23">
        <v>10</v>
      </c>
      <c r="NX23">
        <v>9</v>
      </c>
      <c r="NY23">
        <v>1</v>
      </c>
      <c r="NZ23">
        <v>0</v>
      </c>
      <c r="OA23">
        <v>18</v>
      </c>
      <c r="OB23">
        <v>12</v>
      </c>
      <c r="OC23">
        <v>12</v>
      </c>
      <c r="OD23">
        <v>12</v>
      </c>
      <c r="OE23">
        <v>1</v>
      </c>
      <c r="OF23">
        <v>246</v>
      </c>
      <c r="OG23">
        <v>13</v>
      </c>
      <c r="OH23">
        <v>13</v>
      </c>
      <c r="OI23">
        <v>13</v>
      </c>
      <c r="OJ23">
        <v>1</v>
      </c>
      <c r="OK23">
        <v>176</v>
      </c>
      <c r="OL23">
        <v>1</v>
      </c>
      <c r="OM23">
        <v>1</v>
      </c>
      <c r="ON23">
        <v>1</v>
      </c>
      <c r="OO23">
        <v>1</v>
      </c>
      <c r="OP23">
        <v>48</v>
      </c>
      <c r="OQ23" t="s">
        <v>85</v>
      </c>
      <c r="OR23" t="s">
        <v>85</v>
      </c>
      <c r="OS23" t="s">
        <v>85</v>
      </c>
      <c r="OT23" t="s">
        <v>85</v>
      </c>
      <c r="OU23" t="s">
        <v>85</v>
      </c>
      <c r="OV23" t="s">
        <v>85</v>
      </c>
      <c r="OW23" t="s">
        <v>85</v>
      </c>
      <c r="OX23" t="s">
        <v>85</v>
      </c>
      <c r="OY23" t="s">
        <v>85</v>
      </c>
      <c r="OZ23" t="s">
        <v>85</v>
      </c>
      <c r="PA23">
        <v>18</v>
      </c>
      <c r="PB23">
        <v>24</v>
      </c>
      <c r="PC23">
        <v>24</v>
      </c>
      <c r="PD23">
        <v>24</v>
      </c>
      <c r="PE23">
        <v>0</v>
      </c>
      <c r="PF23">
        <v>881</v>
      </c>
      <c r="PG23">
        <v>7</v>
      </c>
      <c r="PH23">
        <v>6</v>
      </c>
      <c r="PI23">
        <v>5</v>
      </c>
      <c r="PJ23">
        <v>0</v>
      </c>
      <c r="PK23">
        <v>226</v>
      </c>
      <c r="PL23">
        <v>6</v>
      </c>
      <c r="PM23">
        <v>7</v>
      </c>
      <c r="PN23">
        <v>5</v>
      </c>
      <c r="PO23">
        <v>0</v>
      </c>
      <c r="PP23">
        <v>6</v>
      </c>
      <c r="PQ23">
        <v>32</v>
      </c>
      <c r="PR23">
        <v>32</v>
      </c>
      <c r="PS23">
        <v>30</v>
      </c>
      <c r="PT23">
        <v>1</v>
      </c>
      <c r="PU23">
        <v>985</v>
      </c>
      <c r="PV23">
        <v>41</v>
      </c>
      <c r="PW23">
        <v>43</v>
      </c>
      <c r="PX23">
        <v>41</v>
      </c>
      <c r="PY23">
        <v>0</v>
      </c>
      <c r="PZ23">
        <v>1503</v>
      </c>
      <c r="QA23">
        <v>18</v>
      </c>
      <c r="QB23" t="s">
        <v>85</v>
      </c>
      <c r="QC23" t="s">
        <v>85</v>
      </c>
      <c r="QD23" t="s">
        <v>85</v>
      </c>
      <c r="QE23" t="s">
        <v>85</v>
      </c>
      <c r="QF23">
        <v>0</v>
      </c>
      <c r="QG23">
        <v>2</v>
      </c>
      <c r="QH23">
        <v>2</v>
      </c>
      <c r="QI23">
        <v>2</v>
      </c>
      <c r="QJ23">
        <v>0</v>
      </c>
      <c r="QK23">
        <v>59</v>
      </c>
      <c r="QL23" t="s">
        <v>85</v>
      </c>
      <c r="QM23" t="s">
        <v>85</v>
      </c>
      <c r="QN23" t="s">
        <v>85</v>
      </c>
      <c r="QO23" t="s">
        <v>85</v>
      </c>
      <c r="QP23" t="s">
        <v>85</v>
      </c>
      <c r="QQ23" t="s">
        <v>85</v>
      </c>
      <c r="QR23" t="s">
        <v>85</v>
      </c>
      <c r="QS23" t="s">
        <v>85</v>
      </c>
      <c r="QT23" t="s">
        <v>85</v>
      </c>
      <c r="QU23" t="s">
        <v>85</v>
      </c>
      <c r="QV23" t="s">
        <v>85</v>
      </c>
      <c r="QW23" t="s">
        <v>85</v>
      </c>
      <c r="QX23" t="s">
        <v>85</v>
      </c>
      <c r="QY23" t="s">
        <v>85</v>
      </c>
      <c r="QZ23" t="s">
        <v>85</v>
      </c>
      <c r="RA23">
        <v>18</v>
      </c>
      <c r="RB23">
        <v>125</v>
      </c>
      <c r="RC23">
        <v>125</v>
      </c>
      <c r="RD23">
        <v>124</v>
      </c>
      <c r="RE23">
        <v>0</v>
      </c>
      <c r="RF23">
        <v>4422</v>
      </c>
      <c r="RG23">
        <v>5</v>
      </c>
      <c r="RH23">
        <v>5</v>
      </c>
      <c r="RI23">
        <v>5</v>
      </c>
      <c r="RJ23">
        <v>0</v>
      </c>
      <c r="RK23">
        <v>222</v>
      </c>
      <c r="RL23">
        <v>6</v>
      </c>
      <c r="RM23">
        <v>6</v>
      </c>
      <c r="RN23">
        <v>5</v>
      </c>
      <c r="RO23">
        <v>0</v>
      </c>
      <c r="RP23">
        <v>197</v>
      </c>
      <c r="RQ23">
        <v>0</v>
      </c>
      <c r="RR23">
        <v>0</v>
      </c>
      <c r="RS23">
        <v>0</v>
      </c>
      <c r="RT23">
        <v>0</v>
      </c>
      <c r="RU23">
        <v>0</v>
      </c>
      <c r="RV23">
        <v>0</v>
      </c>
      <c r="RW23">
        <v>0</v>
      </c>
      <c r="RX23">
        <v>0</v>
      </c>
      <c r="RY23">
        <v>0</v>
      </c>
      <c r="RZ23">
        <v>0</v>
      </c>
      <c r="SA23">
        <v>18</v>
      </c>
      <c r="SB23">
        <v>0</v>
      </c>
      <c r="SC23">
        <v>0</v>
      </c>
      <c r="SD23">
        <v>0</v>
      </c>
      <c r="SE23">
        <v>0</v>
      </c>
      <c r="SF23">
        <v>0</v>
      </c>
      <c r="SG23" t="s">
        <v>85</v>
      </c>
      <c r="SH23" t="s">
        <v>85</v>
      </c>
      <c r="SI23" t="s">
        <v>85</v>
      </c>
      <c r="SJ23" t="s">
        <v>85</v>
      </c>
      <c r="SK23" t="s">
        <v>85</v>
      </c>
      <c r="SL23" t="s">
        <v>85</v>
      </c>
      <c r="SM23" t="s">
        <v>85</v>
      </c>
      <c r="SN23" t="s">
        <v>85</v>
      </c>
      <c r="SO23" t="s">
        <v>85</v>
      </c>
      <c r="SP23" t="s">
        <v>85</v>
      </c>
      <c r="SQ23" t="s">
        <v>85</v>
      </c>
      <c r="SR23" t="s">
        <v>85</v>
      </c>
      <c r="SS23" t="s">
        <v>85</v>
      </c>
      <c r="ST23" t="s">
        <v>85</v>
      </c>
      <c r="SU23" t="s">
        <v>85</v>
      </c>
      <c r="SV23" t="s">
        <v>85</v>
      </c>
      <c r="SW23" t="s">
        <v>85</v>
      </c>
      <c r="SX23" t="s">
        <v>85</v>
      </c>
      <c r="SY23" t="s">
        <v>85</v>
      </c>
      <c r="SZ23" t="s">
        <v>85</v>
      </c>
      <c r="TA23">
        <v>18</v>
      </c>
      <c r="TB23">
        <v>12</v>
      </c>
      <c r="TC23">
        <v>12</v>
      </c>
      <c r="TD23">
        <v>12</v>
      </c>
      <c r="TE23">
        <v>0</v>
      </c>
      <c r="TF23">
        <v>894</v>
      </c>
      <c r="TG23">
        <v>0</v>
      </c>
      <c r="TH23">
        <v>0</v>
      </c>
      <c r="TI23">
        <v>0</v>
      </c>
      <c r="TJ23">
        <v>0</v>
      </c>
      <c r="TK23">
        <v>0</v>
      </c>
      <c r="TL23">
        <v>0</v>
      </c>
      <c r="TM23">
        <v>0</v>
      </c>
      <c r="TN23">
        <v>0</v>
      </c>
      <c r="TO23">
        <v>0</v>
      </c>
      <c r="TP23">
        <v>0</v>
      </c>
      <c r="TQ23">
        <v>26</v>
      </c>
      <c r="TR23">
        <v>25</v>
      </c>
      <c r="TS23">
        <v>28</v>
      </c>
      <c r="TT23">
        <v>0</v>
      </c>
      <c r="TU23">
        <v>986</v>
      </c>
      <c r="TV23">
        <v>7</v>
      </c>
      <c r="TW23">
        <v>8</v>
      </c>
      <c r="TX23">
        <v>6</v>
      </c>
      <c r="TY23">
        <v>0</v>
      </c>
      <c r="TZ23">
        <v>271</v>
      </c>
      <c r="UA23">
        <v>18</v>
      </c>
      <c r="UB23">
        <v>77</v>
      </c>
      <c r="UC23">
        <v>80</v>
      </c>
      <c r="UD23">
        <v>78</v>
      </c>
      <c r="UE23">
        <v>0</v>
      </c>
      <c r="UF23">
        <v>2970</v>
      </c>
      <c r="UG23" t="s">
        <v>85</v>
      </c>
      <c r="UH23" t="s">
        <v>85</v>
      </c>
      <c r="UI23" t="s">
        <v>85</v>
      </c>
      <c r="UJ23" t="s">
        <v>85</v>
      </c>
      <c r="UK23" t="s">
        <v>85</v>
      </c>
      <c r="UL23" t="s">
        <v>85</v>
      </c>
      <c r="UM23" t="s">
        <v>85</v>
      </c>
      <c r="UN23" t="s">
        <v>85</v>
      </c>
      <c r="UO23" t="s">
        <v>85</v>
      </c>
      <c r="UP23" t="s">
        <v>85</v>
      </c>
      <c r="UQ23" t="s">
        <v>85</v>
      </c>
      <c r="UR23" t="s">
        <v>85</v>
      </c>
      <c r="US23" t="s">
        <v>85</v>
      </c>
      <c r="UT23" t="s">
        <v>85</v>
      </c>
      <c r="UU23" t="s">
        <v>85</v>
      </c>
      <c r="UV23" t="s">
        <v>85</v>
      </c>
      <c r="UW23" t="s">
        <v>85</v>
      </c>
      <c r="UX23" t="s">
        <v>85</v>
      </c>
      <c r="UY23" t="s">
        <v>85</v>
      </c>
      <c r="UZ23" t="s">
        <v>85</v>
      </c>
      <c r="VX23">
        <v>18</v>
      </c>
      <c r="VY23">
        <v>0</v>
      </c>
      <c r="VZ23">
        <v>-1</v>
      </c>
      <c r="WA23">
        <v>0</v>
      </c>
      <c r="WB23">
        <v>-1</v>
      </c>
      <c r="WC23">
        <v>24</v>
      </c>
      <c r="WD23">
        <v>9</v>
      </c>
      <c r="WE23">
        <v>9</v>
      </c>
      <c r="WF23">
        <v>10</v>
      </c>
      <c r="WG23">
        <v>0</v>
      </c>
      <c r="WH23">
        <v>290</v>
      </c>
      <c r="WI23">
        <v>10</v>
      </c>
      <c r="WJ23">
        <v>10</v>
      </c>
      <c r="WK23">
        <v>9</v>
      </c>
      <c r="WL23">
        <v>0</v>
      </c>
      <c r="WM23">
        <v>316</v>
      </c>
      <c r="WN23">
        <v>8</v>
      </c>
      <c r="WO23">
        <v>8</v>
      </c>
      <c r="WP23">
        <v>8</v>
      </c>
      <c r="WQ23">
        <v>0</v>
      </c>
      <c r="WR23">
        <v>303</v>
      </c>
      <c r="WS23">
        <v>10</v>
      </c>
      <c r="WT23">
        <v>10</v>
      </c>
      <c r="WU23">
        <v>9</v>
      </c>
      <c r="WV23">
        <v>1</v>
      </c>
      <c r="WW23">
        <v>0</v>
      </c>
      <c r="WX23">
        <v>18</v>
      </c>
      <c r="WY23">
        <v>12</v>
      </c>
      <c r="WZ23">
        <v>12</v>
      </c>
      <c r="XA23">
        <v>12</v>
      </c>
      <c r="XB23">
        <v>1</v>
      </c>
      <c r="XC23">
        <v>246</v>
      </c>
      <c r="XD23">
        <v>13</v>
      </c>
      <c r="XE23">
        <v>13</v>
      </c>
      <c r="XF23">
        <v>13</v>
      </c>
      <c r="XG23">
        <v>1</v>
      </c>
      <c r="XH23">
        <v>176</v>
      </c>
      <c r="XI23">
        <v>1</v>
      </c>
      <c r="XJ23">
        <v>1</v>
      </c>
      <c r="XK23">
        <v>1</v>
      </c>
      <c r="XL23">
        <v>1</v>
      </c>
      <c r="XM23">
        <v>48</v>
      </c>
      <c r="XN23" t="s">
        <v>85</v>
      </c>
      <c r="XO23" t="s">
        <v>85</v>
      </c>
      <c r="XP23" t="s">
        <v>85</v>
      </c>
      <c r="XQ23" t="s">
        <v>85</v>
      </c>
      <c r="XR23" t="s">
        <v>85</v>
      </c>
      <c r="XS23" t="s">
        <v>85</v>
      </c>
      <c r="XT23" t="s">
        <v>85</v>
      </c>
      <c r="XU23" t="s">
        <v>85</v>
      </c>
      <c r="XV23" t="s">
        <v>85</v>
      </c>
      <c r="XW23" t="s">
        <v>85</v>
      </c>
      <c r="XX23">
        <v>18</v>
      </c>
      <c r="XY23">
        <v>24</v>
      </c>
      <c r="XZ23">
        <v>24</v>
      </c>
      <c r="YA23">
        <v>24</v>
      </c>
      <c r="YB23">
        <v>0</v>
      </c>
      <c r="YC23">
        <v>881</v>
      </c>
      <c r="YD23">
        <v>7</v>
      </c>
      <c r="YE23">
        <v>6</v>
      </c>
      <c r="YF23">
        <v>5</v>
      </c>
      <c r="YG23">
        <v>0</v>
      </c>
      <c r="YH23">
        <v>226</v>
      </c>
      <c r="YI23">
        <v>6</v>
      </c>
      <c r="YJ23">
        <v>7</v>
      </c>
      <c r="YK23">
        <v>5</v>
      </c>
      <c r="YL23">
        <v>0</v>
      </c>
      <c r="YM23">
        <v>6</v>
      </c>
      <c r="YN23">
        <v>32</v>
      </c>
      <c r="YO23">
        <v>32</v>
      </c>
      <c r="YP23">
        <v>30</v>
      </c>
      <c r="YQ23">
        <v>1</v>
      </c>
      <c r="YR23">
        <v>985</v>
      </c>
      <c r="YS23">
        <v>41</v>
      </c>
      <c r="YT23">
        <v>43</v>
      </c>
      <c r="YU23">
        <v>41</v>
      </c>
      <c r="YV23">
        <v>0</v>
      </c>
      <c r="YW23">
        <v>1503</v>
      </c>
      <c r="YX23">
        <v>18</v>
      </c>
      <c r="YY23" t="s">
        <v>85</v>
      </c>
      <c r="YZ23" t="s">
        <v>85</v>
      </c>
      <c r="ZA23" t="s">
        <v>85</v>
      </c>
      <c r="ZB23" t="s">
        <v>85</v>
      </c>
      <c r="ZC23">
        <v>0</v>
      </c>
      <c r="ZD23">
        <v>2</v>
      </c>
      <c r="ZE23">
        <v>2</v>
      </c>
      <c r="ZF23">
        <v>2</v>
      </c>
      <c r="ZG23">
        <v>0</v>
      </c>
      <c r="ZH23">
        <v>59</v>
      </c>
      <c r="ZI23" t="s">
        <v>85</v>
      </c>
      <c r="ZJ23" t="s">
        <v>85</v>
      </c>
      <c r="ZK23" t="s">
        <v>85</v>
      </c>
      <c r="ZL23" t="s">
        <v>85</v>
      </c>
      <c r="ZM23" t="s">
        <v>85</v>
      </c>
      <c r="ZN23" t="s">
        <v>85</v>
      </c>
      <c r="ZO23" t="s">
        <v>85</v>
      </c>
      <c r="ZP23" t="s">
        <v>85</v>
      </c>
      <c r="ZQ23" t="s">
        <v>85</v>
      </c>
      <c r="ZR23" t="s">
        <v>85</v>
      </c>
      <c r="ZS23" t="s">
        <v>85</v>
      </c>
      <c r="ZT23" t="s">
        <v>85</v>
      </c>
      <c r="ZU23" t="s">
        <v>85</v>
      </c>
      <c r="ZV23" t="s">
        <v>85</v>
      </c>
      <c r="ZW23" t="s">
        <v>85</v>
      </c>
      <c r="ZX23">
        <v>18</v>
      </c>
      <c r="ZY23">
        <v>18</v>
      </c>
      <c r="ZZ23">
        <v>18</v>
      </c>
      <c r="AAA23">
        <v>77</v>
      </c>
      <c r="AAB23">
        <v>80</v>
      </c>
      <c r="AAC23">
        <v>78</v>
      </c>
      <c r="AAD23">
        <v>0</v>
      </c>
      <c r="AAE23">
        <v>2970</v>
      </c>
      <c r="AAF23" t="s">
        <v>85</v>
      </c>
      <c r="AAG23" t="s">
        <v>85</v>
      </c>
      <c r="AAH23" t="s">
        <v>85</v>
      </c>
      <c r="AAI23" t="s">
        <v>85</v>
      </c>
      <c r="AAJ23" t="s">
        <v>85</v>
      </c>
      <c r="AAK23" t="s">
        <v>85</v>
      </c>
      <c r="AAL23" t="s">
        <v>85</v>
      </c>
      <c r="AAM23" t="s">
        <v>85</v>
      </c>
      <c r="AAN23" t="s">
        <v>85</v>
      </c>
      <c r="AAO23" t="s">
        <v>85</v>
      </c>
      <c r="AAP23" t="s">
        <v>85</v>
      </c>
      <c r="AAQ23" t="s">
        <v>85</v>
      </c>
      <c r="AAR23" t="s">
        <v>85</v>
      </c>
      <c r="AAS23" t="s">
        <v>85</v>
      </c>
      <c r="AAT23" t="s">
        <v>85</v>
      </c>
      <c r="AAU23" t="s">
        <v>85</v>
      </c>
      <c r="AAV23" t="s">
        <v>85</v>
      </c>
      <c r="AAW23" t="s">
        <v>85</v>
      </c>
      <c r="AAX23" t="s">
        <v>85</v>
      </c>
      <c r="AAY23" t="s">
        <v>85</v>
      </c>
    </row>
    <row r="24" spans="1:727">
      <c r="A24" s="483">
        <v>18</v>
      </c>
      <c r="B24" s="503">
        <v>0</v>
      </c>
      <c r="C24" s="503">
        <v>-1</v>
      </c>
      <c r="D24" s="503">
        <v>-1</v>
      </c>
      <c r="E24" s="503">
        <v>-1</v>
      </c>
      <c r="F24" s="503">
        <v>25</v>
      </c>
      <c r="G24" s="593">
        <v>6</v>
      </c>
      <c r="H24" s="593">
        <v>6</v>
      </c>
      <c r="I24" s="593">
        <v>6</v>
      </c>
      <c r="J24" s="593">
        <v>0</v>
      </c>
      <c r="K24" s="593">
        <v>101</v>
      </c>
      <c r="L24" s="502">
        <v>7</v>
      </c>
      <c r="M24" s="502">
        <v>7</v>
      </c>
      <c r="N24" s="502">
        <v>6</v>
      </c>
      <c r="O24" s="502">
        <v>0</v>
      </c>
      <c r="P24" s="502">
        <v>75</v>
      </c>
      <c r="Q24" s="504">
        <v>5</v>
      </c>
      <c r="R24" s="504">
        <v>5</v>
      </c>
      <c r="S24" s="504">
        <v>4</v>
      </c>
      <c r="T24" s="504">
        <v>0</v>
      </c>
      <c r="U24" s="504">
        <v>67</v>
      </c>
      <c r="V24" s="505">
        <v>6</v>
      </c>
      <c r="W24" s="505">
        <v>6</v>
      </c>
      <c r="X24" s="505">
        <v>6</v>
      </c>
      <c r="Y24" s="505">
        <v>1</v>
      </c>
      <c r="Z24" s="505">
        <v>0</v>
      </c>
      <c r="AA24" s="506"/>
      <c r="AB24" s="506"/>
      <c r="AC24" s="506"/>
      <c r="AD24" s="506"/>
      <c r="AE24" s="506"/>
      <c r="AF24" s="506"/>
      <c r="AG24" s="507"/>
      <c r="AH24" s="507"/>
      <c r="AI24" s="507"/>
      <c r="AJ24" s="507"/>
      <c r="AK24" s="507"/>
      <c r="AL24" s="508"/>
      <c r="AM24" s="508"/>
      <c r="AN24" s="508"/>
      <c r="AO24" s="508"/>
      <c r="AP24" s="508"/>
      <c r="AQ24" s="509"/>
      <c r="AR24" s="509"/>
      <c r="AS24" s="509"/>
      <c r="AT24" s="509"/>
      <c r="AU24" s="509"/>
      <c r="AV24" s="483"/>
      <c r="AW24" s="483"/>
      <c r="AX24" s="483"/>
      <c r="AY24" s="483"/>
      <c r="AZ24" s="483"/>
      <c r="BA24" s="483"/>
      <c r="BB24" s="483"/>
      <c r="BC24" s="483"/>
      <c r="BD24" s="483"/>
      <c r="BE24" s="483"/>
      <c r="BF24" s="483"/>
      <c r="BG24" s="483"/>
      <c r="BH24" s="483"/>
      <c r="BI24" s="483"/>
      <c r="BJ24" s="483"/>
      <c r="BK24" s="483"/>
      <c r="BL24" s="483"/>
      <c r="BM24" s="483"/>
      <c r="BN24" s="483"/>
      <c r="BO24" s="483"/>
      <c r="BP24" s="483"/>
      <c r="GA24" t="s">
        <v>85</v>
      </c>
      <c r="GB24">
        <v>19</v>
      </c>
      <c r="GC24">
        <v>142</v>
      </c>
      <c r="GD24">
        <v>106</v>
      </c>
      <c r="GE24">
        <v>89</v>
      </c>
      <c r="GF24">
        <v>50</v>
      </c>
      <c r="GG24">
        <v>2048</v>
      </c>
      <c r="GH24">
        <v>53</v>
      </c>
      <c r="GI24">
        <v>50</v>
      </c>
      <c r="GJ24">
        <v>58</v>
      </c>
      <c r="GK24">
        <v>11</v>
      </c>
      <c r="GL24">
        <v>997</v>
      </c>
      <c r="GM24">
        <v>146</v>
      </c>
      <c r="GN24">
        <v>59</v>
      </c>
      <c r="GO24">
        <v>81</v>
      </c>
      <c r="GP24">
        <v>93</v>
      </c>
      <c r="GQ24">
        <v>1730</v>
      </c>
      <c r="GR24">
        <v>25</v>
      </c>
      <c r="GS24">
        <v>22</v>
      </c>
      <c r="GT24">
        <v>22</v>
      </c>
      <c r="GU24">
        <v>9</v>
      </c>
      <c r="GV24">
        <v>435</v>
      </c>
      <c r="GW24">
        <v>23</v>
      </c>
      <c r="GX24">
        <v>21</v>
      </c>
      <c r="GY24">
        <v>11</v>
      </c>
      <c r="GZ24">
        <v>17</v>
      </c>
      <c r="HA24">
        <v>344</v>
      </c>
      <c r="HB24">
        <v>19</v>
      </c>
      <c r="HC24">
        <v>100</v>
      </c>
      <c r="HD24">
        <v>77</v>
      </c>
      <c r="HE24">
        <v>48</v>
      </c>
      <c r="HF24">
        <v>60</v>
      </c>
      <c r="HG24">
        <v>1272</v>
      </c>
      <c r="HH24">
        <v>179</v>
      </c>
      <c r="HI24">
        <v>155</v>
      </c>
      <c r="HJ24">
        <v>146</v>
      </c>
      <c r="HK24">
        <v>39</v>
      </c>
      <c r="HL24">
        <v>3074</v>
      </c>
      <c r="HM24">
        <v>190</v>
      </c>
      <c r="HN24">
        <v>168</v>
      </c>
      <c r="HO24">
        <v>199</v>
      </c>
      <c r="HP24">
        <v>47</v>
      </c>
      <c r="HQ24">
        <v>3672</v>
      </c>
      <c r="HR24">
        <v>95</v>
      </c>
      <c r="HS24">
        <v>110</v>
      </c>
      <c r="HT24">
        <v>126</v>
      </c>
      <c r="HU24">
        <v>31</v>
      </c>
      <c r="HV24">
        <v>1978</v>
      </c>
      <c r="HW24">
        <v>10</v>
      </c>
      <c r="HX24">
        <v>19</v>
      </c>
      <c r="HY24">
        <v>29</v>
      </c>
      <c r="HZ24">
        <v>19</v>
      </c>
      <c r="IA24">
        <v>375</v>
      </c>
      <c r="IB24">
        <v>19</v>
      </c>
      <c r="IC24">
        <v>203</v>
      </c>
      <c r="ID24">
        <v>176</v>
      </c>
      <c r="IE24">
        <v>144</v>
      </c>
      <c r="IF24">
        <v>75</v>
      </c>
      <c r="IG24">
        <v>3307</v>
      </c>
      <c r="IH24">
        <v>29</v>
      </c>
      <c r="II24">
        <v>49</v>
      </c>
      <c r="IJ24">
        <v>48</v>
      </c>
      <c r="IK24">
        <v>28</v>
      </c>
      <c r="IL24">
        <v>754</v>
      </c>
      <c r="IM24">
        <v>133</v>
      </c>
      <c r="IN24">
        <v>133</v>
      </c>
      <c r="IO24">
        <v>156</v>
      </c>
      <c r="IP24">
        <v>37</v>
      </c>
      <c r="IQ24">
        <v>2742</v>
      </c>
      <c r="IR24">
        <v>59</v>
      </c>
      <c r="IS24">
        <v>62</v>
      </c>
      <c r="IT24">
        <v>71</v>
      </c>
      <c r="IU24">
        <v>22</v>
      </c>
      <c r="IV24">
        <v>1245</v>
      </c>
      <c r="IW24">
        <v>27</v>
      </c>
      <c r="IX24">
        <v>30</v>
      </c>
      <c r="IY24">
        <v>21</v>
      </c>
      <c r="IZ24">
        <v>8</v>
      </c>
      <c r="JA24">
        <v>480</v>
      </c>
      <c r="JB24">
        <v>19</v>
      </c>
      <c r="JC24">
        <v>46</v>
      </c>
      <c r="JD24">
        <v>36</v>
      </c>
      <c r="JE24">
        <v>31</v>
      </c>
      <c r="JF24">
        <v>15</v>
      </c>
      <c r="JG24">
        <v>744</v>
      </c>
      <c r="JH24">
        <v>117</v>
      </c>
      <c r="JI24">
        <v>108</v>
      </c>
      <c r="JJ24">
        <v>90</v>
      </c>
      <c r="JK24">
        <v>31</v>
      </c>
      <c r="JL24">
        <v>2062</v>
      </c>
      <c r="JM24">
        <v>164</v>
      </c>
      <c r="JN24">
        <v>153</v>
      </c>
      <c r="JO24">
        <v>133</v>
      </c>
      <c r="JP24">
        <v>29</v>
      </c>
      <c r="JQ24">
        <v>2636</v>
      </c>
      <c r="JR24">
        <v>226</v>
      </c>
      <c r="JS24">
        <v>225</v>
      </c>
      <c r="JT24">
        <v>228</v>
      </c>
      <c r="JU24">
        <v>21</v>
      </c>
      <c r="JV24">
        <v>4132</v>
      </c>
      <c r="JW24">
        <v>42</v>
      </c>
      <c r="JX24">
        <v>28</v>
      </c>
      <c r="JY24">
        <v>47</v>
      </c>
      <c r="JZ24">
        <v>21</v>
      </c>
      <c r="KA24">
        <v>756</v>
      </c>
      <c r="KB24">
        <v>19</v>
      </c>
      <c r="KC24" t="s">
        <v>85</v>
      </c>
      <c r="KD24" t="s">
        <v>85</v>
      </c>
      <c r="KE24" t="s">
        <v>85</v>
      </c>
      <c r="KF24" t="s">
        <v>85</v>
      </c>
      <c r="KG24" t="s">
        <v>85</v>
      </c>
      <c r="KH24" t="s">
        <v>85</v>
      </c>
      <c r="KI24" t="s">
        <v>85</v>
      </c>
      <c r="KJ24" t="s">
        <v>85</v>
      </c>
      <c r="KK24" t="s">
        <v>85</v>
      </c>
      <c r="KL24" t="s">
        <v>85</v>
      </c>
      <c r="KM24" t="s">
        <v>85</v>
      </c>
      <c r="KN24" t="s">
        <v>85</v>
      </c>
      <c r="KO24" t="s">
        <v>85</v>
      </c>
      <c r="KP24" t="s">
        <v>85</v>
      </c>
      <c r="KQ24" t="s">
        <v>85</v>
      </c>
      <c r="KR24" t="s">
        <v>85</v>
      </c>
      <c r="KS24" t="s">
        <v>85</v>
      </c>
      <c r="KT24" t="s">
        <v>85</v>
      </c>
      <c r="KU24" t="s">
        <v>85</v>
      </c>
      <c r="KV24" t="s">
        <v>85</v>
      </c>
      <c r="KW24" t="s">
        <v>85</v>
      </c>
      <c r="KX24" t="s">
        <v>85</v>
      </c>
      <c r="KY24" t="s">
        <v>85</v>
      </c>
      <c r="KZ24" t="s">
        <v>85</v>
      </c>
      <c r="LA24" t="s">
        <v>85</v>
      </c>
      <c r="LB24">
        <v>19</v>
      </c>
      <c r="LC24" t="s">
        <v>85</v>
      </c>
      <c r="LD24" t="s">
        <v>85</v>
      </c>
      <c r="LE24" t="s">
        <v>85</v>
      </c>
      <c r="LF24" t="s">
        <v>85</v>
      </c>
      <c r="LG24" t="s">
        <v>85</v>
      </c>
      <c r="LH24" t="s">
        <v>85</v>
      </c>
      <c r="LI24" t="s">
        <v>85</v>
      </c>
      <c r="LJ24" t="s">
        <v>85</v>
      </c>
      <c r="LK24" t="s">
        <v>85</v>
      </c>
      <c r="LL24" t="s">
        <v>85</v>
      </c>
      <c r="LM24" t="s">
        <v>85</v>
      </c>
      <c r="LN24" t="s">
        <v>85</v>
      </c>
      <c r="LO24" t="s">
        <v>85</v>
      </c>
      <c r="LP24" t="s">
        <v>85</v>
      </c>
      <c r="LQ24" t="s">
        <v>85</v>
      </c>
      <c r="LR24" t="s">
        <v>85</v>
      </c>
      <c r="LS24" t="s">
        <v>85</v>
      </c>
      <c r="LT24" t="s">
        <v>85</v>
      </c>
      <c r="LU24" t="s">
        <v>85</v>
      </c>
      <c r="LV24" t="s">
        <v>85</v>
      </c>
      <c r="LW24" t="s">
        <v>85</v>
      </c>
      <c r="LX24" t="s">
        <v>85</v>
      </c>
      <c r="LY24" t="s">
        <v>85</v>
      </c>
      <c r="LZ24" t="s">
        <v>85</v>
      </c>
      <c r="MA24" t="s">
        <v>85</v>
      </c>
      <c r="MB24">
        <v>19</v>
      </c>
      <c r="MC24" t="s">
        <v>85</v>
      </c>
      <c r="MD24" t="s">
        <v>85</v>
      </c>
      <c r="ME24" t="s">
        <v>85</v>
      </c>
      <c r="MF24" t="s">
        <v>85</v>
      </c>
      <c r="MG24" t="s">
        <v>85</v>
      </c>
      <c r="MH24" t="s">
        <v>85</v>
      </c>
      <c r="MI24" t="s">
        <v>85</v>
      </c>
      <c r="MJ24" t="s">
        <v>85</v>
      </c>
      <c r="MK24" t="s">
        <v>85</v>
      </c>
      <c r="ML24" t="s">
        <v>85</v>
      </c>
      <c r="MM24" t="s">
        <v>85</v>
      </c>
      <c r="MN24" t="s">
        <v>85</v>
      </c>
      <c r="MO24" t="s">
        <v>85</v>
      </c>
      <c r="MP24" t="s">
        <v>85</v>
      </c>
      <c r="MQ24" t="s">
        <v>85</v>
      </c>
      <c r="MR24" t="s">
        <v>85</v>
      </c>
      <c r="MS24" t="s">
        <v>85</v>
      </c>
      <c r="MT24" t="s">
        <v>85</v>
      </c>
      <c r="MU24" t="s">
        <v>85</v>
      </c>
      <c r="MV24" t="s">
        <v>85</v>
      </c>
      <c r="MW24" t="s">
        <v>85</v>
      </c>
      <c r="MX24" t="s">
        <v>85</v>
      </c>
      <c r="MY24" t="s">
        <v>85</v>
      </c>
      <c r="MZ24" t="s">
        <v>85</v>
      </c>
      <c r="NA24">
        <v>19</v>
      </c>
      <c r="NB24">
        <v>-1</v>
      </c>
      <c r="NC24">
        <v>0</v>
      </c>
      <c r="ND24">
        <v>-1</v>
      </c>
      <c r="NE24">
        <v>-1</v>
      </c>
      <c r="NF24">
        <v>24</v>
      </c>
      <c r="NG24">
        <v>5</v>
      </c>
      <c r="NH24">
        <v>6</v>
      </c>
      <c r="NI24">
        <v>6</v>
      </c>
      <c r="NJ24">
        <v>0</v>
      </c>
      <c r="NK24">
        <v>101</v>
      </c>
      <c r="NL24">
        <v>7</v>
      </c>
      <c r="NM24">
        <v>7</v>
      </c>
      <c r="NN24">
        <v>6</v>
      </c>
      <c r="NO24">
        <v>0</v>
      </c>
      <c r="NP24">
        <v>73</v>
      </c>
      <c r="NQ24">
        <v>5</v>
      </c>
      <c r="NR24">
        <v>5</v>
      </c>
      <c r="NS24">
        <v>4</v>
      </c>
      <c r="NT24">
        <v>0</v>
      </c>
      <c r="NU24">
        <v>122</v>
      </c>
      <c r="NV24">
        <v>6</v>
      </c>
      <c r="NW24">
        <v>6</v>
      </c>
      <c r="NX24">
        <v>6</v>
      </c>
      <c r="NY24">
        <v>1</v>
      </c>
      <c r="NZ24">
        <v>0</v>
      </c>
      <c r="OA24">
        <v>19</v>
      </c>
      <c r="OB24">
        <v>10</v>
      </c>
      <c r="OC24">
        <v>10</v>
      </c>
      <c r="OD24">
        <v>9</v>
      </c>
      <c r="OE24">
        <v>1</v>
      </c>
      <c r="OF24">
        <v>135</v>
      </c>
      <c r="OG24">
        <v>12</v>
      </c>
      <c r="OH24">
        <v>12</v>
      </c>
      <c r="OI24">
        <v>12</v>
      </c>
      <c r="OJ24">
        <v>1</v>
      </c>
      <c r="OK24">
        <v>129</v>
      </c>
      <c r="OL24">
        <v>1</v>
      </c>
      <c r="OM24">
        <v>1</v>
      </c>
      <c r="ON24">
        <v>1</v>
      </c>
      <c r="OO24">
        <v>1</v>
      </c>
      <c r="OP24">
        <v>48</v>
      </c>
      <c r="OQ24" t="s">
        <v>85</v>
      </c>
      <c r="OR24" t="s">
        <v>85</v>
      </c>
      <c r="OS24" t="s">
        <v>85</v>
      </c>
      <c r="OT24" t="s">
        <v>85</v>
      </c>
      <c r="OU24" t="s">
        <v>85</v>
      </c>
      <c r="OV24" t="s">
        <v>85</v>
      </c>
      <c r="OW24" t="s">
        <v>85</v>
      </c>
      <c r="OX24" t="s">
        <v>85</v>
      </c>
      <c r="OY24" t="s">
        <v>85</v>
      </c>
      <c r="OZ24" t="s">
        <v>85</v>
      </c>
      <c r="PA24">
        <v>19</v>
      </c>
      <c r="PB24">
        <v>23</v>
      </c>
      <c r="PC24">
        <v>23</v>
      </c>
      <c r="PD24">
        <v>24</v>
      </c>
      <c r="PE24">
        <v>0</v>
      </c>
      <c r="PF24">
        <v>870</v>
      </c>
      <c r="PG24">
        <v>9</v>
      </c>
      <c r="PH24">
        <v>6</v>
      </c>
      <c r="PI24">
        <v>6</v>
      </c>
      <c r="PJ24">
        <v>0</v>
      </c>
      <c r="PK24">
        <v>190</v>
      </c>
      <c r="PL24">
        <v>7</v>
      </c>
      <c r="PM24">
        <v>7</v>
      </c>
      <c r="PN24">
        <v>6</v>
      </c>
      <c r="PO24">
        <v>0</v>
      </c>
      <c r="PP24">
        <v>4</v>
      </c>
      <c r="PQ24">
        <v>36</v>
      </c>
      <c r="PR24">
        <v>36</v>
      </c>
      <c r="PS24">
        <v>35</v>
      </c>
      <c r="PT24">
        <v>1</v>
      </c>
      <c r="PU24">
        <v>1216</v>
      </c>
      <c r="PV24">
        <v>38</v>
      </c>
      <c r="PW24">
        <v>40</v>
      </c>
      <c r="PX24">
        <v>39</v>
      </c>
      <c r="PY24">
        <v>0</v>
      </c>
      <c r="PZ24">
        <v>1459</v>
      </c>
      <c r="QA24">
        <v>19</v>
      </c>
      <c r="QB24" t="s">
        <v>85</v>
      </c>
      <c r="QC24" t="s">
        <v>85</v>
      </c>
      <c r="QD24" t="s">
        <v>85</v>
      </c>
      <c r="QE24" t="s">
        <v>85</v>
      </c>
      <c r="QF24">
        <v>0</v>
      </c>
      <c r="QG24">
        <v>2</v>
      </c>
      <c r="QH24">
        <v>2</v>
      </c>
      <c r="QI24">
        <v>2</v>
      </c>
      <c r="QJ24">
        <v>0</v>
      </c>
      <c r="QK24">
        <v>58</v>
      </c>
      <c r="QL24" t="s">
        <v>85</v>
      </c>
      <c r="QM24" t="s">
        <v>85</v>
      </c>
      <c r="QN24" t="s">
        <v>85</v>
      </c>
      <c r="QO24" t="s">
        <v>85</v>
      </c>
      <c r="QP24" t="s">
        <v>85</v>
      </c>
      <c r="QQ24" t="s">
        <v>85</v>
      </c>
      <c r="QR24" t="s">
        <v>85</v>
      </c>
      <c r="QS24" t="s">
        <v>85</v>
      </c>
      <c r="QT24" t="s">
        <v>85</v>
      </c>
      <c r="QU24" t="s">
        <v>85</v>
      </c>
      <c r="QV24" t="s">
        <v>85</v>
      </c>
      <c r="QW24" t="s">
        <v>85</v>
      </c>
      <c r="QX24" t="s">
        <v>85</v>
      </c>
      <c r="QY24" t="s">
        <v>85</v>
      </c>
      <c r="QZ24" t="s">
        <v>85</v>
      </c>
      <c r="RA24">
        <v>19</v>
      </c>
      <c r="RB24">
        <v>131</v>
      </c>
      <c r="RC24">
        <v>131</v>
      </c>
      <c r="RD24">
        <v>130</v>
      </c>
      <c r="RE24">
        <v>0</v>
      </c>
      <c r="RF24">
        <v>4608</v>
      </c>
      <c r="RG24">
        <v>8</v>
      </c>
      <c r="RH24">
        <v>7</v>
      </c>
      <c r="RI24">
        <v>7</v>
      </c>
      <c r="RJ24">
        <v>0</v>
      </c>
      <c r="RK24">
        <v>212</v>
      </c>
      <c r="RL24">
        <v>6</v>
      </c>
      <c r="RM24">
        <v>6</v>
      </c>
      <c r="RN24">
        <v>5</v>
      </c>
      <c r="RO24">
        <v>0</v>
      </c>
      <c r="RP24">
        <v>167</v>
      </c>
      <c r="RQ24">
        <v>0</v>
      </c>
      <c r="RR24">
        <v>0</v>
      </c>
      <c r="RS24">
        <v>0</v>
      </c>
      <c r="RT24">
        <v>0</v>
      </c>
      <c r="RU24">
        <v>0</v>
      </c>
      <c r="RV24">
        <v>0</v>
      </c>
      <c r="RW24">
        <v>0</v>
      </c>
      <c r="RX24">
        <v>0</v>
      </c>
      <c r="RY24">
        <v>0</v>
      </c>
      <c r="RZ24">
        <v>0</v>
      </c>
      <c r="SA24">
        <v>19</v>
      </c>
      <c r="SB24">
        <v>0</v>
      </c>
      <c r="SC24">
        <v>0</v>
      </c>
      <c r="SD24">
        <v>0</v>
      </c>
      <c r="SE24">
        <v>0</v>
      </c>
      <c r="SF24">
        <v>0</v>
      </c>
      <c r="SG24" t="s">
        <v>85</v>
      </c>
      <c r="SH24" t="s">
        <v>85</v>
      </c>
      <c r="SI24" t="s">
        <v>85</v>
      </c>
      <c r="SJ24" t="s">
        <v>85</v>
      </c>
      <c r="SK24" t="s">
        <v>85</v>
      </c>
      <c r="SL24" t="s">
        <v>85</v>
      </c>
      <c r="SM24" t="s">
        <v>85</v>
      </c>
      <c r="SN24" t="s">
        <v>85</v>
      </c>
      <c r="SO24" t="s">
        <v>85</v>
      </c>
      <c r="SP24" t="s">
        <v>85</v>
      </c>
      <c r="SQ24" t="s">
        <v>85</v>
      </c>
      <c r="SR24" t="s">
        <v>85</v>
      </c>
      <c r="SS24" t="s">
        <v>85</v>
      </c>
      <c r="ST24" t="s">
        <v>85</v>
      </c>
      <c r="SU24" t="s">
        <v>85</v>
      </c>
      <c r="SV24" t="s">
        <v>85</v>
      </c>
      <c r="SW24" t="s">
        <v>85</v>
      </c>
      <c r="SX24" t="s">
        <v>85</v>
      </c>
      <c r="SY24" t="s">
        <v>85</v>
      </c>
      <c r="SZ24" t="s">
        <v>85</v>
      </c>
      <c r="TA24">
        <v>19</v>
      </c>
      <c r="TB24">
        <v>2</v>
      </c>
      <c r="TC24">
        <v>1</v>
      </c>
      <c r="TD24">
        <v>1</v>
      </c>
      <c r="TE24">
        <v>0</v>
      </c>
      <c r="TF24">
        <v>191</v>
      </c>
      <c r="TG24">
        <v>0</v>
      </c>
      <c r="TH24">
        <v>0</v>
      </c>
      <c r="TI24">
        <v>0</v>
      </c>
      <c r="TJ24">
        <v>0</v>
      </c>
      <c r="TK24">
        <v>0</v>
      </c>
      <c r="TL24">
        <v>0</v>
      </c>
      <c r="TM24">
        <v>0</v>
      </c>
      <c r="TN24">
        <v>0</v>
      </c>
      <c r="TO24">
        <v>0</v>
      </c>
      <c r="TP24">
        <v>0</v>
      </c>
      <c r="TQ24">
        <v>28</v>
      </c>
      <c r="TR24">
        <v>27</v>
      </c>
      <c r="TS24">
        <v>30</v>
      </c>
      <c r="TT24">
        <v>0</v>
      </c>
      <c r="TU24">
        <v>1066</v>
      </c>
      <c r="TV24">
        <v>7</v>
      </c>
      <c r="TW24">
        <v>8</v>
      </c>
      <c r="TX24">
        <v>6</v>
      </c>
      <c r="TY24">
        <v>0</v>
      </c>
      <c r="TZ24">
        <v>266</v>
      </c>
      <c r="UA24">
        <v>19</v>
      </c>
      <c r="UB24">
        <v>77</v>
      </c>
      <c r="UC24">
        <v>80</v>
      </c>
      <c r="UD24">
        <v>80</v>
      </c>
      <c r="UE24">
        <v>0</v>
      </c>
      <c r="UF24">
        <v>3070</v>
      </c>
      <c r="UG24" t="s">
        <v>85</v>
      </c>
      <c r="UH24" t="s">
        <v>85</v>
      </c>
      <c r="UI24" t="s">
        <v>85</v>
      </c>
      <c r="UJ24" t="s">
        <v>85</v>
      </c>
      <c r="UK24" t="s">
        <v>85</v>
      </c>
      <c r="UL24" t="s">
        <v>85</v>
      </c>
      <c r="UM24" t="s">
        <v>85</v>
      </c>
      <c r="UN24" t="s">
        <v>85</v>
      </c>
      <c r="UO24" t="s">
        <v>85</v>
      </c>
      <c r="UP24" t="s">
        <v>85</v>
      </c>
      <c r="UQ24" t="s">
        <v>85</v>
      </c>
      <c r="UR24" t="s">
        <v>85</v>
      </c>
      <c r="US24" t="s">
        <v>85</v>
      </c>
      <c r="UT24" t="s">
        <v>85</v>
      </c>
      <c r="UU24" t="s">
        <v>85</v>
      </c>
      <c r="UV24" t="s">
        <v>85</v>
      </c>
      <c r="UW24" t="s">
        <v>85</v>
      </c>
      <c r="UX24" t="s">
        <v>85</v>
      </c>
      <c r="UY24" t="s">
        <v>85</v>
      </c>
      <c r="UZ24" t="s">
        <v>85</v>
      </c>
      <c r="VX24">
        <v>19</v>
      </c>
      <c r="VY24">
        <v>-1</v>
      </c>
      <c r="VZ24">
        <v>0</v>
      </c>
      <c r="WA24">
        <v>-1</v>
      </c>
      <c r="WB24">
        <v>-1</v>
      </c>
      <c r="WC24">
        <v>24</v>
      </c>
      <c r="WD24">
        <v>5</v>
      </c>
      <c r="WE24">
        <v>6</v>
      </c>
      <c r="WF24">
        <v>6</v>
      </c>
      <c r="WG24">
        <v>0</v>
      </c>
      <c r="WH24">
        <v>101</v>
      </c>
      <c r="WI24">
        <v>7</v>
      </c>
      <c r="WJ24">
        <v>7</v>
      </c>
      <c r="WK24">
        <v>6</v>
      </c>
      <c r="WL24">
        <v>0</v>
      </c>
      <c r="WM24">
        <v>73</v>
      </c>
      <c r="WN24">
        <v>5</v>
      </c>
      <c r="WO24">
        <v>5</v>
      </c>
      <c r="WP24">
        <v>4</v>
      </c>
      <c r="WQ24">
        <v>0</v>
      </c>
      <c r="WR24">
        <v>122</v>
      </c>
      <c r="WS24">
        <v>6</v>
      </c>
      <c r="WT24">
        <v>6</v>
      </c>
      <c r="WU24">
        <v>6</v>
      </c>
      <c r="WV24">
        <v>1</v>
      </c>
      <c r="WW24">
        <v>0</v>
      </c>
      <c r="WX24">
        <v>19</v>
      </c>
      <c r="WY24">
        <v>10</v>
      </c>
      <c r="WZ24">
        <v>10</v>
      </c>
      <c r="XA24">
        <v>9</v>
      </c>
      <c r="XB24">
        <v>1</v>
      </c>
      <c r="XC24">
        <v>135</v>
      </c>
      <c r="XD24">
        <v>12</v>
      </c>
      <c r="XE24">
        <v>12</v>
      </c>
      <c r="XF24">
        <v>12</v>
      </c>
      <c r="XG24">
        <v>1</v>
      </c>
      <c r="XH24">
        <v>129</v>
      </c>
      <c r="XI24">
        <v>1</v>
      </c>
      <c r="XJ24">
        <v>1</v>
      </c>
      <c r="XK24">
        <v>1</v>
      </c>
      <c r="XL24">
        <v>1</v>
      </c>
      <c r="XM24">
        <v>48</v>
      </c>
      <c r="XN24" t="s">
        <v>85</v>
      </c>
      <c r="XO24" t="s">
        <v>85</v>
      </c>
      <c r="XP24" t="s">
        <v>85</v>
      </c>
      <c r="XQ24" t="s">
        <v>85</v>
      </c>
      <c r="XR24" t="s">
        <v>85</v>
      </c>
      <c r="XS24" t="s">
        <v>85</v>
      </c>
      <c r="XT24" t="s">
        <v>85</v>
      </c>
      <c r="XU24" t="s">
        <v>85</v>
      </c>
      <c r="XV24" t="s">
        <v>85</v>
      </c>
      <c r="XW24" t="s">
        <v>85</v>
      </c>
      <c r="XX24">
        <v>19</v>
      </c>
      <c r="XY24">
        <v>23</v>
      </c>
      <c r="XZ24">
        <v>23</v>
      </c>
      <c r="YA24">
        <v>24</v>
      </c>
      <c r="YB24">
        <v>0</v>
      </c>
      <c r="YC24">
        <v>870</v>
      </c>
      <c r="YD24">
        <v>9</v>
      </c>
      <c r="YE24">
        <v>6</v>
      </c>
      <c r="YF24">
        <v>6</v>
      </c>
      <c r="YG24">
        <v>0</v>
      </c>
      <c r="YH24">
        <v>190</v>
      </c>
      <c r="YI24">
        <v>7</v>
      </c>
      <c r="YJ24">
        <v>7</v>
      </c>
      <c r="YK24">
        <v>6</v>
      </c>
      <c r="YL24">
        <v>0</v>
      </c>
      <c r="YM24">
        <v>4</v>
      </c>
      <c r="YN24">
        <v>36</v>
      </c>
      <c r="YO24">
        <v>36</v>
      </c>
      <c r="YP24">
        <v>35</v>
      </c>
      <c r="YQ24">
        <v>1</v>
      </c>
      <c r="YR24">
        <v>1216</v>
      </c>
      <c r="YS24">
        <v>38</v>
      </c>
      <c r="YT24">
        <v>40</v>
      </c>
      <c r="YU24">
        <v>39</v>
      </c>
      <c r="YV24">
        <v>0</v>
      </c>
      <c r="YW24">
        <v>1459</v>
      </c>
      <c r="YX24">
        <v>19</v>
      </c>
      <c r="YY24" t="s">
        <v>85</v>
      </c>
      <c r="YZ24" t="s">
        <v>85</v>
      </c>
      <c r="ZA24" t="s">
        <v>85</v>
      </c>
      <c r="ZB24" t="s">
        <v>85</v>
      </c>
      <c r="ZC24">
        <v>0</v>
      </c>
      <c r="ZD24">
        <v>2</v>
      </c>
      <c r="ZE24">
        <v>2</v>
      </c>
      <c r="ZF24">
        <v>2</v>
      </c>
      <c r="ZG24">
        <v>0</v>
      </c>
      <c r="ZH24">
        <v>58</v>
      </c>
      <c r="ZI24" t="s">
        <v>85</v>
      </c>
      <c r="ZJ24" t="s">
        <v>85</v>
      </c>
      <c r="ZK24" t="s">
        <v>85</v>
      </c>
      <c r="ZL24" t="s">
        <v>85</v>
      </c>
      <c r="ZM24" t="s">
        <v>85</v>
      </c>
      <c r="ZN24" t="s">
        <v>85</v>
      </c>
      <c r="ZO24" t="s">
        <v>85</v>
      </c>
      <c r="ZP24" t="s">
        <v>85</v>
      </c>
      <c r="ZQ24" t="s">
        <v>85</v>
      </c>
      <c r="ZR24" t="s">
        <v>85</v>
      </c>
      <c r="ZS24" t="s">
        <v>85</v>
      </c>
      <c r="ZT24" t="s">
        <v>85</v>
      </c>
      <c r="ZU24" t="s">
        <v>85</v>
      </c>
      <c r="ZV24" t="s">
        <v>85</v>
      </c>
      <c r="ZW24" t="s">
        <v>85</v>
      </c>
      <c r="ZX24">
        <v>19</v>
      </c>
      <c r="ZY24">
        <v>19</v>
      </c>
      <c r="ZZ24">
        <v>19</v>
      </c>
      <c r="AAA24">
        <v>77</v>
      </c>
      <c r="AAB24">
        <v>80</v>
      </c>
      <c r="AAC24">
        <v>80</v>
      </c>
      <c r="AAD24">
        <v>0</v>
      </c>
      <c r="AAE24">
        <v>3070</v>
      </c>
      <c r="AAF24" t="s">
        <v>85</v>
      </c>
      <c r="AAG24" t="s">
        <v>85</v>
      </c>
      <c r="AAH24" t="s">
        <v>85</v>
      </c>
      <c r="AAI24" t="s">
        <v>85</v>
      </c>
      <c r="AAJ24" t="s">
        <v>85</v>
      </c>
      <c r="AAK24" t="s">
        <v>85</v>
      </c>
      <c r="AAL24" t="s">
        <v>85</v>
      </c>
      <c r="AAM24" t="s">
        <v>85</v>
      </c>
      <c r="AAN24" t="s">
        <v>85</v>
      </c>
      <c r="AAO24" t="s">
        <v>85</v>
      </c>
      <c r="AAP24" t="s">
        <v>85</v>
      </c>
      <c r="AAQ24" t="s">
        <v>85</v>
      </c>
      <c r="AAR24" t="s">
        <v>85</v>
      </c>
      <c r="AAS24" t="s">
        <v>85</v>
      </c>
      <c r="AAT24" t="s">
        <v>85</v>
      </c>
      <c r="AAU24" t="s">
        <v>85</v>
      </c>
      <c r="AAV24" t="s">
        <v>85</v>
      </c>
      <c r="AAW24" t="s">
        <v>85</v>
      </c>
      <c r="AAX24" t="s">
        <v>85</v>
      </c>
      <c r="AAY24" t="s">
        <v>85</v>
      </c>
    </row>
    <row r="25" spans="1:727">
      <c r="A25" s="483">
        <v>19</v>
      </c>
      <c r="B25" s="503">
        <v>-1</v>
      </c>
      <c r="C25" s="503">
        <v>-1</v>
      </c>
      <c r="D25" s="503">
        <v>-1</v>
      </c>
      <c r="E25" s="503">
        <v>0</v>
      </c>
      <c r="F25" s="503">
        <v>24</v>
      </c>
      <c r="G25" s="593">
        <v>6</v>
      </c>
      <c r="H25" s="593">
        <v>6</v>
      </c>
      <c r="I25" s="593">
        <v>6</v>
      </c>
      <c r="J25" s="593">
        <v>0</v>
      </c>
      <c r="K25" s="593">
        <v>85</v>
      </c>
      <c r="L25" s="502">
        <v>7</v>
      </c>
      <c r="M25" s="502">
        <v>7</v>
      </c>
      <c r="N25" s="502">
        <v>6</v>
      </c>
      <c r="O25" s="502">
        <v>0</v>
      </c>
      <c r="P25" s="502">
        <v>48</v>
      </c>
      <c r="Q25" s="504">
        <v>5</v>
      </c>
      <c r="R25" s="504">
        <v>4</v>
      </c>
      <c r="S25" s="504">
        <v>4</v>
      </c>
      <c r="T25" s="504">
        <v>0</v>
      </c>
      <c r="U25" s="504">
        <v>59</v>
      </c>
      <c r="V25" s="505">
        <v>6</v>
      </c>
      <c r="W25" s="505">
        <v>6</v>
      </c>
      <c r="X25" s="505">
        <v>6</v>
      </c>
      <c r="Y25" s="505">
        <v>1</v>
      </c>
      <c r="Z25" s="505">
        <v>0</v>
      </c>
      <c r="AA25" s="506"/>
      <c r="AB25" s="506"/>
      <c r="AC25" s="506"/>
      <c r="AD25" s="506"/>
      <c r="AE25" s="506"/>
      <c r="AF25" s="506"/>
      <c r="AG25" s="507"/>
      <c r="AH25" s="507"/>
      <c r="AI25" s="507"/>
      <c r="AJ25" s="507"/>
      <c r="AK25" s="507"/>
      <c r="AL25" s="508"/>
      <c r="AM25" s="508"/>
      <c r="AN25" s="508"/>
      <c r="AO25" s="508"/>
      <c r="AP25" s="508"/>
      <c r="AQ25" s="509"/>
      <c r="AR25" s="509"/>
      <c r="AS25" s="509"/>
      <c r="AT25" s="509"/>
      <c r="AU25" s="509"/>
      <c r="AV25" s="483"/>
      <c r="AW25" s="483"/>
      <c r="AX25" s="483"/>
      <c r="AY25" s="483"/>
      <c r="AZ25" s="483"/>
      <c r="BA25" s="483"/>
      <c r="BB25" s="483"/>
      <c r="BC25" s="483"/>
      <c r="BD25" s="483"/>
      <c r="BE25" s="483"/>
      <c r="BF25" s="483"/>
      <c r="BG25" s="483"/>
      <c r="BH25" s="483"/>
      <c r="BI25" s="483"/>
      <c r="BJ25" s="483"/>
      <c r="BK25" s="483"/>
      <c r="BL25" s="483"/>
      <c r="BM25" s="483"/>
      <c r="BN25" s="483"/>
      <c r="BO25" s="483"/>
      <c r="BP25" s="483"/>
      <c r="GA25" t="s">
        <v>85</v>
      </c>
      <c r="GB25">
        <v>20</v>
      </c>
      <c r="GC25">
        <v>156</v>
      </c>
      <c r="GD25">
        <v>106</v>
      </c>
      <c r="GE25">
        <v>102</v>
      </c>
      <c r="GF25">
        <v>51</v>
      </c>
      <c r="GG25">
        <v>2410</v>
      </c>
      <c r="GH25">
        <v>60</v>
      </c>
      <c r="GI25">
        <v>57</v>
      </c>
      <c r="GJ25">
        <v>53</v>
      </c>
      <c r="GK25">
        <v>17</v>
      </c>
      <c r="GL25">
        <v>1112</v>
      </c>
      <c r="GM25">
        <v>147</v>
      </c>
      <c r="GN25">
        <v>63</v>
      </c>
      <c r="GO25">
        <v>93</v>
      </c>
      <c r="GP25">
        <v>91</v>
      </c>
      <c r="GQ25">
        <v>2077</v>
      </c>
      <c r="GR25">
        <v>26</v>
      </c>
      <c r="GS25">
        <v>24</v>
      </c>
      <c r="GT25">
        <v>23</v>
      </c>
      <c r="GU25">
        <v>9</v>
      </c>
      <c r="GV25">
        <v>474</v>
      </c>
      <c r="GW25">
        <v>28</v>
      </c>
      <c r="GX25">
        <v>23</v>
      </c>
      <c r="GY25">
        <v>12</v>
      </c>
      <c r="GZ25">
        <v>21</v>
      </c>
      <c r="HA25">
        <v>396</v>
      </c>
      <c r="HB25">
        <v>20</v>
      </c>
      <c r="HC25">
        <v>97</v>
      </c>
      <c r="HD25">
        <v>72</v>
      </c>
      <c r="HE25">
        <v>45</v>
      </c>
      <c r="HF25">
        <v>56</v>
      </c>
      <c r="HG25">
        <v>1435</v>
      </c>
      <c r="HH25">
        <v>204</v>
      </c>
      <c r="HI25">
        <v>158</v>
      </c>
      <c r="HJ25">
        <v>165</v>
      </c>
      <c r="HK25">
        <v>48</v>
      </c>
      <c r="HL25">
        <v>3387</v>
      </c>
      <c r="HM25">
        <v>191</v>
      </c>
      <c r="HN25">
        <v>174</v>
      </c>
      <c r="HO25">
        <v>205</v>
      </c>
      <c r="HP25">
        <v>43</v>
      </c>
      <c r="HQ25">
        <v>3836</v>
      </c>
      <c r="HR25">
        <v>102</v>
      </c>
      <c r="HS25">
        <v>114</v>
      </c>
      <c r="HT25">
        <v>130</v>
      </c>
      <c r="HU25">
        <v>32</v>
      </c>
      <c r="HV25">
        <v>2260</v>
      </c>
      <c r="HW25">
        <v>14</v>
      </c>
      <c r="HX25">
        <v>22</v>
      </c>
      <c r="HY25">
        <v>29</v>
      </c>
      <c r="HZ25">
        <v>15</v>
      </c>
      <c r="IA25">
        <v>410</v>
      </c>
      <c r="IB25">
        <v>20</v>
      </c>
      <c r="IC25">
        <v>208</v>
      </c>
      <c r="ID25">
        <v>189</v>
      </c>
      <c r="IE25">
        <v>164</v>
      </c>
      <c r="IF25">
        <v>58</v>
      </c>
      <c r="IG25">
        <v>3677</v>
      </c>
      <c r="IH25">
        <v>31</v>
      </c>
      <c r="II25">
        <v>52</v>
      </c>
      <c r="IJ25">
        <v>50</v>
      </c>
      <c r="IK25">
        <v>25</v>
      </c>
      <c r="IL25">
        <v>815</v>
      </c>
      <c r="IM25">
        <v>134</v>
      </c>
      <c r="IN25">
        <v>137</v>
      </c>
      <c r="IO25">
        <v>165</v>
      </c>
      <c r="IP25">
        <v>42</v>
      </c>
      <c r="IQ25">
        <v>2861</v>
      </c>
      <c r="IR25">
        <v>72</v>
      </c>
      <c r="IS25">
        <v>73</v>
      </c>
      <c r="IT25">
        <v>84</v>
      </c>
      <c r="IU25">
        <v>22</v>
      </c>
      <c r="IV25">
        <v>1506</v>
      </c>
      <c r="IW25">
        <v>25</v>
      </c>
      <c r="IX25">
        <v>31</v>
      </c>
      <c r="IY25">
        <v>21</v>
      </c>
      <c r="IZ25">
        <v>11</v>
      </c>
      <c r="JA25">
        <v>500</v>
      </c>
      <c r="JB25">
        <v>20</v>
      </c>
      <c r="JC25">
        <v>54</v>
      </c>
      <c r="JD25">
        <v>35</v>
      </c>
      <c r="JE25">
        <v>34</v>
      </c>
      <c r="JF25">
        <v>15</v>
      </c>
      <c r="JG25">
        <v>825</v>
      </c>
      <c r="JH25">
        <v>126</v>
      </c>
      <c r="JI25">
        <v>116</v>
      </c>
      <c r="JJ25">
        <v>102</v>
      </c>
      <c r="JK25">
        <v>28</v>
      </c>
      <c r="JL25">
        <v>2188</v>
      </c>
      <c r="JM25">
        <v>173</v>
      </c>
      <c r="JN25">
        <v>169</v>
      </c>
      <c r="JO25">
        <v>148</v>
      </c>
      <c r="JP25">
        <v>32</v>
      </c>
      <c r="JQ25">
        <v>3232</v>
      </c>
      <c r="JR25">
        <v>233</v>
      </c>
      <c r="JS25">
        <v>239</v>
      </c>
      <c r="JT25">
        <v>238</v>
      </c>
      <c r="JU25">
        <v>18</v>
      </c>
      <c r="JV25">
        <v>4696</v>
      </c>
      <c r="JW25">
        <v>43</v>
      </c>
      <c r="JX25">
        <v>31</v>
      </c>
      <c r="JY25">
        <v>52</v>
      </c>
      <c r="JZ25">
        <v>25</v>
      </c>
      <c r="KA25">
        <v>861</v>
      </c>
      <c r="KB25">
        <v>20</v>
      </c>
      <c r="KC25" t="s">
        <v>85</v>
      </c>
      <c r="KD25" t="s">
        <v>85</v>
      </c>
      <c r="KE25" t="s">
        <v>85</v>
      </c>
      <c r="KF25" t="s">
        <v>85</v>
      </c>
      <c r="KG25" t="s">
        <v>85</v>
      </c>
      <c r="KH25" t="s">
        <v>85</v>
      </c>
      <c r="KI25" t="s">
        <v>85</v>
      </c>
      <c r="KJ25" t="s">
        <v>85</v>
      </c>
      <c r="KK25" t="s">
        <v>85</v>
      </c>
      <c r="KL25" t="s">
        <v>85</v>
      </c>
      <c r="KM25" t="s">
        <v>85</v>
      </c>
      <c r="KN25" t="s">
        <v>85</v>
      </c>
      <c r="KO25" t="s">
        <v>85</v>
      </c>
      <c r="KP25" t="s">
        <v>85</v>
      </c>
      <c r="KQ25" t="s">
        <v>85</v>
      </c>
      <c r="KR25" t="s">
        <v>85</v>
      </c>
      <c r="KS25" t="s">
        <v>85</v>
      </c>
      <c r="KT25" t="s">
        <v>85</v>
      </c>
      <c r="KU25" t="s">
        <v>85</v>
      </c>
      <c r="KV25" t="s">
        <v>85</v>
      </c>
      <c r="KW25" t="s">
        <v>85</v>
      </c>
      <c r="KX25" t="s">
        <v>85</v>
      </c>
      <c r="KY25" t="s">
        <v>85</v>
      </c>
      <c r="KZ25" t="s">
        <v>85</v>
      </c>
      <c r="LA25" t="s">
        <v>85</v>
      </c>
      <c r="LB25">
        <v>20</v>
      </c>
      <c r="LC25" t="s">
        <v>85</v>
      </c>
      <c r="LD25" t="s">
        <v>85</v>
      </c>
      <c r="LE25" t="s">
        <v>85</v>
      </c>
      <c r="LF25" t="s">
        <v>85</v>
      </c>
      <c r="LG25" t="s">
        <v>85</v>
      </c>
      <c r="LH25" t="s">
        <v>85</v>
      </c>
      <c r="LI25" t="s">
        <v>85</v>
      </c>
      <c r="LJ25" t="s">
        <v>85</v>
      </c>
      <c r="LK25" t="s">
        <v>85</v>
      </c>
      <c r="LL25" t="s">
        <v>85</v>
      </c>
      <c r="LM25" t="s">
        <v>85</v>
      </c>
      <c r="LN25" t="s">
        <v>85</v>
      </c>
      <c r="LO25" t="s">
        <v>85</v>
      </c>
      <c r="LP25" t="s">
        <v>85</v>
      </c>
      <c r="LQ25" t="s">
        <v>85</v>
      </c>
      <c r="LR25" t="s">
        <v>85</v>
      </c>
      <c r="LS25" t="s">
        <v>85</v>
      </c>
      <c r="LT25" t="s">
        <v>85</v>
      </c>
      <c r="LU25" t="s">
        <v>85</v>
      </c>
      <c r="LV25" t="s">
        <v>85</v>
      </c>
      <c r="LW25" t="s">
        <v>85</v>
      </c>
      <c r="LX25" t="s">
        <v>85</v>
      </c>
      <c r="LY25" t="s">
        <v>85</v>
      </c>
      <c r="LZ25" t="s">
        <v>85</v>
      </c>
      <c r="MA25" t="s">
        <v>85</v>
      </c>
      <c r="MB25">
        <v>20</v>
      </c>
      <c r="MC25" t="s">
        <v>85</v>
      </c>
      <c r="MD25" t="s">
        <v>85</v>
      </c>
      <c r="ME25" t="s">
        <v>85</v>
      </c>
      <c r="MF25" t="s">
        <v>85</v>
      </c>
      <c r="MG25" t="s">
        <v>85</v>
      </c>
      <c r="MH25" t="s">
        <v>85</v>
      </c>
      <c r="MI25" t="s">
        <v>85</v>
      </c>
      <c r="MJ25" t="s">
        <v>85</v>
      </c>
      <c r="MK25" t="s">
        <v>85</v>
      </c>
      <c r="ML25" t="s">
        <v>85</v>
      </c>
      <c r="MM25" t="s">
        <v>85</v>
      </c>
      <c r="MN25" t="s">
        <v>85</v>
      </c>
      <c r="MO25" t="s">
        <v>85</v>
      </c>
      <c r="MP25" t="s">
        <v>85</v>
      </c>
      <c r="MQ25" t="s">
        <v>85</v>
      </c>
      <c r="MR25" t="s">
        <v>85</v>
      </c>
      <c r="MS25" t="s">
        <v>85</v>
      </c>
      <c r="MT25" t="s">
        <v>85</v>
      </c>
      <c r="MU25" t="s">
        <v>85</v>
      </c>
      <c r="MV25" t="s">
        <v>85</v>
      </c>
      <c r="MW25" t="s">
        <v>85</v>
      </c>
      <c r="MX25" t="s">
        <v>85</v>
      </c>
      <c r="MY25" t="s">
        <v>85</v>
      </c>
      <c r="MZ25" t="s">
        <v>85</v>
      </c>
      <c r="NA25">
        <v>20</v>
      </c>
      <c r="NB25">
        <v>-1</v>
      </c>
      <c r="NC25">
        <v>-1</v>
      </c>
      <c r="ND25">
        <v>-1</v>
      </c>
      <c r="NE25">
        <v>-1</v>
      </c>
      <c r="NF25">
        <v>24</v>
      </c>
      <c r="NG25">
        <v>5</v>
      </c>
      <c r="NH25">
        <v>6</v>
      </c>
      <c r="NI25">
        <v>6</v>
      </c>
      <c r="NJ25">
        <v>0</v>
      </c>
      <c r="NK25">
        <v>80</v>
      </c>
      <c r="NL25">
        <v>7</v>
      </c>
      <c r="NM25">
        <v>6</v>
      </c>
      <c r="NN25">
        <v>6</v>
      </c>
      <c r="NO25">
        <v>0</v>
      </c>
      <c r="NP25">
        <v>61</v>
      </c>
      <c r="NQ25">
        <v>5</v>
      </c>
      <c r="NR25">
        <v>5</v>
      </c>
      <c r="NS25">
        <v>4</v>
      </c>
      <c r="NT25">
        <v>0</v>
      </c>
      <c r="NU25">
        <v>71</v>
      </c>
      <c r="NV25">
        <v>6</v>
      </c>
      <c r="NW25">
        <v>6</v>
      </c>
      <c r="NX25">
        <v>6</v>
      </c>
      <c r="NY25">
        <v>1</v>
      </c>
      <c r="NZ25">
        <v>0</v>
      </c>
      <c r="OA25">
        <v>20</v>
      </c>
      <c r="OB25">
        <v>10</v>
      </c>
      <c r="OC25">
        <v>10</v>
      </c>
      <c r="OD25">
        <v>10</v>
      </c>
      <c r="OE25">
        <v>1</v>
      </c>
      <c r="OF25">
        <v>95</v>
      </c>
      <c r="OG25">
        <v>12</v>
      </c>
      <c r="OH25">
        <v>12</v>
      </c>
      <c r="OI25">
        <v>12</v>
      </c>
      <c r="OJ25">
        <v>1</v>
      </c>
      <c r="OK25">
        <v>96</v>
      </c>
      <c r="OL25">
        <v>1</v>
      </c>
      <c r="OM25">
        <v>1</v>
      </c>
      <c r="ON25">
        <v>1</v>
      </c>
      <c r="OO25">
        <v>1</v>
      </c>
      <c r="OP25">
        <v>48</v>
      </c>
      <c r="OQ25" t="s">
        <v>85</v>
      </c>
      <c r="OR25" t="s">
        <v>85</v>
      </c>
      <c r="OS25" t="s">
        <v>85</v>
      </c>
      <c r="OT25" t="s">
        <v>85</v>
      </c>
      <c r="OU25" t="s">
        <v>85</v>
      </c>
      <c r="OV25" t="s">
        <v>85</v>
      </c>
      <c r="OW25" t="s">
        <v>85</v>
      </c>
      <c r="OX25" t="s">
        <v>85</v>
      </c>
      <c r="OY25" t="s">
        <v>85</v>
      </c>
      <c r="OZ25" t="s">
        <v>85</v>
      </c>
      <c r="PA25">
        <v>20</v>
      </c>
      <c r="PB25">
        <v>23</v>
      </c>
      <c r="PC25">
        <v>23</v>
      </c>
      <c r="PD25">
        <v>24</v>
      </c>
      <c r="PE25">
        <v>0</v>
      </c>
      <c r="PF25">
        <v>886</v>
      </c>
      <c r="PG25">
        <v>8</v>
      </c>
      <c r="PH25">
        <v>6</v>
      </c>
      <c r="PI25">
        <v>6</v>
      </c>
      <c r="PJ25">
        <v>0</v>
      </c>
      <c r="PK25">
        <v>222</v>
      </c>
      <c r="PL25">
        <v>7</v>
      </c>
      <c r="PM25">
        <v>7</v>
      </c>
      <c r="PN25">
        <v>6</v>
      </c>
      <c r="PO25">
        <v>0</v>
      </c>
      <c r="PP25">
        <v>39</v>
      </c>
      <c r="PQ25">
        <v>37</v>
      </c>
      <c r="PR25">
        <v>38</v>
      </c>
      <c r="PS25">
        <v>35</v>
      </c>
      <c r="PT25">
        <v>2</v>
      </c>
      <c r="PU25">
        <v>1347</v>
      </c>
      <c r="PV25">
        <v>35</v>
      </c>
      <c r="PW25">
        <v>38</v>
      </c>
      <c r="PX25">
        <v>37</v>
      </c>
      <c r="PY25">
        <v>0</v>
      </c>
      <c r="PZ25">
        <v>1450</v>
      </c>
      <c r="QA25">
        <v>20</v>
      </c>
      <c r="QB25" t="s">
        <v>85</v>
      </c>
      <c r="QC25" t="s">
        <v>85</v>
      </c>
      <c r="QD25" t="s">
        <v>85</v>
      </c>
      <c r="QE25" t="s">
        <v>85</v>
      </c>
      <c r="QF25">
        <v>0</v>
      </c>
      <c r="QG25">
        <v>2</v>
      </c>
      <c r="QH25">
        <v>2</v>
      </c>
      <c r="QI25">
        <v>2</v>
      </c>
      <c r="QJ25">
        <v>0</v>
      </c>
      <c r="QK25">
        <v>58</v>
      </c>
      <c r="QL25" t="s">
        <v>85</v>
      </c>
      <c r="QM25" t="s">
        <v>85</v>
      </c>
      <c r="QN25" t="s">
        <v>85</v>
      </c>
      <c r="QO25" t="s">
        <v>85</v>
      </c>
      <c r="QP25" t="s">
        <v>85</v>
      </c>
      <c r="QQ25" t="s">
        <v>85</v>
      </c>
      <c r="QR25" t="s">
        <v>85</v>
      </c>
      <c r="QS25" t="s">
        <v>85</v>
      </c>
      <c r="QT25" t="s">
        <v>85</v>
      </c>
      <c r="QU25" t="s">
        <v>85</v>
      </c>
      <c r="QV25" t="s">
        <v>85</v>
      </c>
      <c r="QW25" t="s">
        <v>85</v>
      </c>
      <c r="QX25" t="s">
        <v>85</v>
      </c>
      <c r="QY25" t="s">
        <v>85</v>
      </c>
      <c r="QZ25" t="s">
        <v>85</v>
      </c>
      <c r="RA25">
        <v>20</v>
      </c>
      <c r="RB25">
        <v>134</v>
      </c>
      <c r="RC25">
        <v>134</v>
      </c>
      <c r="RD25">
        <v>134</v>
      </c>
      <c r="RE25">
        <v>0</v>
      </c>
      <c r="RF25">
        <v>4721</v>
      </c>
      <c r="RG25">
        <v>8</v>
      </c>
      <c r="RH25">
        <v>7</v>
      </c>
      <c r="RI25">
        <v>7</v>
      </c>
      <c r="RJ25">
        <v>0</v>
      </c>
      <c r="RK25">
        <v>251</v>
      </c>
      <c r="RL25">
        <v>6</v>
      </c>
      <c r="RM25">
        <v>6</v>
      </c>
      <c r="RN25">
        <v>5</v>
      </c>
      <c r="RO25">
        <v>0</v>
      </c>
      <c r="RP25">
        <v>178</v>
      </c>
      <c r="RQ25">
        <v>0</v>
      </c>
      <c r="RR25">
        <v>0</v>
      </c>
      <c r="RS25">
        <v>0</v>
      </c>
      <c r="RT25">
        <v>0</v>
      </c>
      <c r="RU25">
        <v>0</v>
      </c>
      <c r="RV25">
        <v>0</v>
      </c>
      <c r="RW25">
        <v>0</v>
      </c>
      <c r="RX25">
        <v>0</v>
      </c>
      <c r="RY25">
        <v>0</v>
      </c>
      <c r="RZ25">
        <v>0</v>
      </c>
      <c r="SA25">
        <v>20</v>
      </c>
      <c r="SB25">
        <v>0</v>
      </c>
      <c r="SC25">
        <v>0</v>
      </c>
      <c r="SD25">
        <v>0</v>
      </c>
      <c r="SE25">
        <v>0</v>
      </c>
      <c r="SF25">
        <v>0</v>
      </c>
      <c r="SG25" t="s">
        <v>85</v>
      </c>
      <c r="SH25" t="s">
        <v>85</v>
      </c>
      <c r="SI25" t="s">
        <v>85</v>
      </c>
      <c r="SJ25" t="s">
        <v>85</v>
      </c>
      <c r="SK25" t="s">
        <v>85</v>
      </c>
      <c r="SL25" t="s">
        <v>85</v>
      </c>
      <c r="SM25" t="s">
        <v>85</v>
      </c>
      <c r="SN25" t="s">
        <v>85</v>
      </c>
      <c r="SO25" t="s">
        <v>85</v>
      </c>
      <c r="SP25" t="s">
        <v>85</v>
      </c>
      <c r="SQ25" t="s">
        <v>85</v>
      </c>
      <c r="SR25" t="s">
        <v>85</v>
      </c>
      <c r="SS25" t="s">
        <v>85</v>
      </c>
      <c r="ST25" t="s">
        <v>85</v>
      </c>
      <c r="SU25" t="s">
        <v>85</v>
      </c>
      <c r="SV25" t="s">
        <v>85</v>
      </c>
      <c r="SW25" t="s">
        <v>85</v>
      </c>
      <c r="SX25" t="s">
        <v>85</v>
      </c>
      <c r="SY25" t="s">
        <v>85</v>
      </c>
      <c r="SZ25" t="s">
        <v>85</v>
      </c>
      <c r="TA25">
        <v>20</v>
      </c>
      <c r="TB25">
        <v>1</v>
      </c>
      <c r="TC25">
        <v>1</v>
      </c>
      <c r="TD25">
        <v>0</v>
      </c>
      <c r="TE25">
        <v>0</v>
      </c>
      <c r="TF25">
        <v>0</v>
      </c>
      <c r="TG25">
        <v>0</v>
      </c>
      <c r="TH25">
        <v>0</v>
      </c>
      <c r="TI25">
        <v>0</v>
      </c>
      <c r="TJ25">
        <v>0</v>
      </c>
      <c r="TK25">
        <v>0</v>
      </c>
      <c r="TL25">
        <v>0</v>
      </c>
      <c r="TM25">
        <v>0</v>
      </c>
      <c r="TN25">
        <v>0</v>
      </c>
      <c r="TO25">
        <v>0</v>
      </c>
      <c r="TP25">
        <v>0</v>
      </c>
      <c r="TQ25">
        <v>30</v>
      </c>
      <c r="TR25">
        <v>28</v>
      </c>
      <c r="TS25">
        <v>31</v>
      </c>
      <c r="TT25">
        <v>0</v>
      </c>
      <c r="TU25">
        <v>1149</v>
      </c>
      <c r="TV25">
        <v>7</v>
      </c>
      <c r="TW25">
        <v>8</v>
      </c>
      <c r="TX25">
        <v>6</v>
      </c>
      <c r="TY25">
        <v>0</v>
      </c>
      <c r="TZ25">
        <v>270</v>
      </c>
      <c r="UA25">
        <v>20</v>
      </c>
      <c r="UB25">
        <v>77</v>
      </c>
      <c r="UC25">
        <v>80</v>
      </c>
      <c r="UD25">
        <v>78</v>
      </c>
      <c r="UE25">
        <v>0</v>
      </c>
      <c r="UF25">
        <v>3103</v>
      </c>
      <c r="UG25" t="s">
        <v>85</v>
      </c>
      <c r="UH25" t="s">
        <v>85</v>
      </c>
      <c r="UI25" t="s">
        <v>85</v>
      </c>
      <c r="UJ25" t="s">
        <v>85</v>
      </c>
      <c r="UK25" t="s">
        <v>85</v>
      </c>
      <c r="UL25" t="s">
        <v>85</v>
      </c>
      <c r="UM25" t="s">
        <v>85</v>
      </c>
      <c r="UN25" t="s">
        <v>85</v>
      </c>
      <c r="UO25" t="s">
        <v>85</v>
      </c>
      <c r="UP25" t="s">
        <v>85</v>
      </c>
      <c r="UQ25" t="s">
        <v>85</v>
      </c>
      <c r="UR25" t="s">
        <v>85</v>
      </c>
      <c r="US25" t="s">
        <v>85</v>
      </c>
      <c r="UT25" t="s">
        <v>85</v>
      </c>
      <c r="UU25" t="s">
        <v>85</v>
      </c>
      <c r="UV25" t="s">
        <v>85</v>
      </c>
      <c r="UW25" t="s">
        <v>85</v>
      </c>
      <c r="UX25" t="s">
        <v>85</v>
      </c>
      <c r="UY25" t="s">
        <v>85</v>
      </c>
      <c r="UZ25" t="s">
        <v>85</v>
      </c>
      <c r="VX25">
        <v>20</v>
      </c>
      <c r="VY25">
        <v>-1</v>
      </c>
      <c r="VZ25">
        <v>-1</v>
      </c>
      <c r="WA25">
        <v>-1</v>
      </c>
      <c r="WB25">
        <v>-1</v>
      </c>
      <c r="WC25">
        <v>24</v>
      </c>
      <c r="WD25">
        <v>5</v>
      </c>
      <c r="WE25">
        <v>6</v>
      </c>
      <c r="WF25">
        <v>6</v>
      </c>
      <c r="WG25">
        <v>0</v>
      </c>
      <c r="WH25">
        <v>80</v>
      </c>
      <c r="WI25">
        <v>7</v>
      </c>
      <c r="WJ25">
        <v>6</v>
      </c>
      <c r="WK25">
        <v>6</v>
      </c>
      <c r="WL25">
        <v>0</v>
      </c>
      <c r="WM25">
        <v>61</v>
      </c>
      <c r="WN25">
        <v>5</v>
      </c>
      <c r="WO25">
        <v>5</v>
      </c>
      <c r="WP25">
        <v>4</v>
      </c>
      <c r="WQ25">
        <v>0</v>
      </c>
      <c r="WR25">
        <v>71</v>
      </c>
      <c r="WS25">
        <v>6</v>
      </c>
      <c r="WT25">
        <v>6</v>
      </c>
      <c r="WU25">
        <v>6</v>
      </c>
      <c r="WV25">
        <v>1</v>
      </c>
      <c r="WW25">
        <v>0</v>
      </c>
      <c r="WX25">
        <v>20</v>
      </c>
      <c r="WY25">
        <v>10</v>
      </c>
      <c r="WZ25">
        <v>10</v>
      </c>
      <c r="XA25">
        <v>10</v>
      </c>
      <c r="XB25">
        <v>1</v>
      </c>
      <c r="XC25">
        <v>95</v>
      </c>
      <c r="XD25">
        <v>12</v>
      </c>
      <c r="XE25">
        <v>12</v>
      </c>
      <c r="XF25">
        <v>12</v>
      </c>
      <c r="XG25">
        <v>1</v>
      </c>
      <c r="XH25">
        <v>96</v>
      </c>
      <c r="XI25">
        <v>1</v>
      </c>
      <c r="XJ25">
        <v>1</v>
      </c>
      <c r="XK25">
        <v>1</v>
      </c>
      <c r="XL25">
        <v>1</v>
      </c>
      <c r="XM25">
        <v>48</v>
      </c>
      <c r="XN25" t="s">
        <v>85</v>
      </c>
      <c r="XO25" t="s">
        <v>85</v>
      </c>
      <c r="XP25" t="s">
        <v>85</v>
      </c>
      <c r="XQ25" t="s">
        <v>85</v>
      </c>
      <c r="XR25" t="s">
        <v>85</v>
      </c>
      <c r="XS25" t="s">
        <v>85</v>
      </c>
      <c r="XT25" t="s">
        <v>85</v>
      </c>
      <c r="XU25" t="s">
        <v>85</v>
      </c>
      <c r="XV25" t="s">
        <v>85</v>
      </c>
      <c r="XW25" t="s">
        <v>85</v>
      </c>
      <c r="XX25">
        <v>20</v>
      </c>
      <c r="XY25">
        <v>23</v>
      </c>
      <c r="XZ25">
        <v>23</v>
      </c>
      <c r="YA25">
        <v>24</v>
      </c>
      <c r="YB25">
        <v>0</v>
      </c>
      <c r="YC25">
        <v>886</v>
      </c>
      <c r="YD25">
        <v>8</v>
      </c>
      <c r="YE25">
        <v>6</v>
      </c>
      <c r="YF25">
        <v>6</v>
      </c>
      <c r="YG25">
        <v>0</v>
      </c>
      <c r="YH25">
        <v>222</v>
      </c>
      <c r="YI25">
        <v>7</v>
      </c>
      <c r="YJ25">
        <v>7</v>
      </c>
      <c r="YK25">
        <v>6</v>
      </c>
      <c r="YL25">
        <v>0</v>
      </c>
      <c r="YM25">
        <v>39</v>
      </c>
      <c r="YN25">
        <v>37</v>
      </c>
      <c r="YO25">
        <v>38</v>
      </c>
      <c r="YP25">
        <v>35</v>
      </c>
      <c r="YQ25">
        <v>2</v>
      </c>
      <c r="YR25">
        <v>1347</v>
      </c>
      <c r="YS25">
        <v>35</v>
      </c>
      <c r="YT25">
        <v>38</v>
      </c>
      <c r="YU25">
        <v>37</v>
      </c>
      <c r="YV25">
        <v>0</v>
      </c>
      <c r="YW25">
        <v>1450</v>
      </c>
      <c r="YX25">
        <v>20</v>
      </c>
      <c r="YY25" t="s">
        <v>85</v>
      </c>
      <c r="YZ25" t="s">
        <v>85</v>
      </c>
      <c r="ZA25" t="s">
        <v>85</v>
      </c>
      <c r="ZB25" t="s">
        <v>85</v>
      </c>
      <c r="ZC25">
        <v>0</v>
      </c>
      <c r="ZD25">
        <v>2</v>
      </c>
      <c r="ZE25">
        <v>2</v>
      </c>
      <c r="ZF25">
        <v>2</v>
      </c>
      <c r="ZG25">
        <v>0</v>
      </c>
      <c r="ZH25">
        <v>58</v>
      </c>
      <c r="ZI25" t="s">
        <v>85</v>
      </c>
      <c r="ZJ25" t="s">
        <v>85</v>
      </c>
      <c r="ZK25" t="s">
        <v>85</v>
      </c>
      <c r="ZL25" t="s">
        <v>85</v>
      </c>
      <c r="ZM25" t="s">
        <v>85</v>
      </c>
      <c r="ZN25" t="s">
        <v>85</v>
      </c>
      <c r="ZO25" t="s">
        <v>85</v>
      </c>
      <c r="ZP25" t="s">
        <v>85</v>
      </c>
      <c r="ZQ25" t="s">
        <v>85</v>
      </c>
      <c r="ZR25" t="s">
        <v>85</v>
      </c>
      <c r="ZS25" t="s">
        <v>85</v>
      </c>
      <c r="ZT25" t="s">
        <v>85</v>
      </c>
      <c r="ZU25" t="s">
        <v>85</v>
      </c>
      <c r="ZV25" t="s">
        <v>85</v>
      </c>
      <c r="ZW25" t="s">
        <v>85</v>
      </c>
      <c r="ZX25">
        <v>20</v>
      </c>
      <c r="ZY25">
        <v>20</v>
      </c>
      <c r="ZZ25">
        <v>20</v>
      </c>
      <c r="AAA25">
        <v>77</v>
      </c>
      <c r="AAB25">
        <v>80</v>
      </c>
      <c r="AAC25">
        <v>78</v>
      </c>
      <c r="AAD25">
        <v>0</v>
      </c>
      <c r="AAE25">
        <v>3103</v>
      </c>
      <c r="AAF25" t="s">
        <v>85</v>
      </c>
      <c r="AAG25" t="s">
        <v>85</v>
      </c>
      <c r="AAH25" t="s">
        <v>85</v>
      </c>
      <c r="AAI25" t="s">
        <v>85</v>
      </c>
      <c r="AAJ25" t="s">
        <v>85</v>
      </c>
      <c r="AAK25" t="s">
        <v>85</v>
      </c>
      <c r="AAL25" t="s">
        <v>85</v>
      </c>
      <c r="AAM25" t="s">
        <v>85</v>
      </c>
      <c r="AAN25" t="s">
        <v>85</v>
      </c>
      <c r="AAO25" t="s">
        <v>85</v>
      </c>
      <c r="AAP25" t="s">
        <v>85</v>
      </c>
      <c r="AAQ25" t="s">
        <v>85</v>
      </c>
      <c r="AAR25" t="s">
        <v>85</v>
      </c>
      <c r="AAS25" t="s">
        <v>85</v>
      </c>
      <c r="AAT25" t="s">
        <v>85</v>
      </c>
      <c r="AAU25" t="s">
        <v>85</v>
      </c>
      <c r="AAV25" t="s">
        <v>85</v>
      </c>
      <c r="AAW25" t="s">
        <v>85</v>
      </c>
      <c r="AAX25" t="s">
        <v>85</v>
      </c>
      <c r="AAY25" t="s">
        <v>85</v>
      </c>
    </row>
    <row r="26" spans="1:727">
      <c r="A26" s="483">
        <v>20</v>
      </c>
      <c r="B26" s="503">
        <v>0</v>
      </c>
      <c r="C26" s="503">
        <v>-1</v>
      </c>
      <c r="D26" s="503">
        <v>0</v>
      </c>
      <c r="E26" s="503">
        <v>0</v>
      </c>
      <c r="F26" s="503">
        <v>26</v>
      </c>
      <c r="G26" s="593">
        <v>6</v>
      </c>
      <c r="H26" s="593">
        <v>6</v>
      </c>
      <c r="I26" s="593">
        <v>6</v>
      </c>
      <c r="J26" s="593">
        <v>0</v>
      </c>
      <c r="K26" s="593">
        <v>93</v>
      </c>
      <c r="L26" s="502">
        <v>7</v>
      </c>
      <c r="M26" s="502">
        <v>7</v>
      </c>
      <c r="N26" s="502">
        <v>6</v>
      </c>
      <c r="O26" s="502">
        <v>0</v>
      </c>
      <c r="P26" s="502">
        <v>55</v>
      </c>
      <c r="Q26" s="504">
        <v>5</v>
      </c>
      <c r="R26" s="504">
        <v>4</v>
      </c>
      <c r="S26" s="504">
        <v>4</v>
      </c>
      <c r="T26" s="504">
        <v>0</v>
      </c>
      <c r="U26" s="504">
        <v>58</v>
      </c>
      <c r="V26" s="505">
        <v>6</v>
      </c>
      <c r="W26" s="505">
        <v>6</v>
      </c>
      <c r="X26" s="505">
        <v>6</v>
      </c>
      <c r="Y26" s="505">
        <v>1</v>
      </c>
      <c r="Z26" s="505">
        <v>0</v>
      </c>
      <c r="AA26" s="506"/>
      <c r="AB26" s="506"/>
      <c r="AC26" s="506"/>
      <c r="AD26" s="506"/>
      <c r="AE26" s="506"/>
      <c r="AF26" s="506"/>
      <c r="AG26" s="507"/>
      <c r="AH26" s="507"/>
      <c r="AI26" s="507"/>
      <c r="AJ26" s="507"/>
      <c r="AK26" s="507"/>
      <c r="AL26" s="508"/>
      <c r="AM26" s="508"/>
      <c r="AN26" s="508"/>
      <c r="AO26" s="508"/>
      <c r="AP26" s="508"/>
      <c r="AQ26" s="509"/>
      <c r="AR26" s="509"/>
      <c r="AS26" s="509"/>
      <c r="AT26" s="509"/>
      <c r="AU26" s="509"/>
      <c r="AV26" s="483"/>
      <c r="AW26" s="483"/>
      <c r="AX26" s="483"/>
      <c r="AY26" s="483"/>
      <c r="AZ26" s="483"/>
      <c r="BA26" s="483"/>
      <c r="BB26" s="483"/>
      <c r="BC26" s="483"/>
      <c r="BD26" s="483"/>
      <c r="BE26" s="483"/>
      <c r="BF26" s="483"/>
      <c r="BG26" s="483"/>
      <c r="BH26" s="483"/>
      <c r="BI26" s="483"/>
      <c r="BJ26" s="483"/>
      <c r="BK26" s="483"/>
      <c r="BL26" s="483"/>
      <c r="BM26" s="483"/>
      <c r="BN26" s="483"/>
      <c r="BO26" s="483"/>
      <c r="BP26" s="483"/>
      <c r="GA26" t="s">
        <v>85</v>
      </c>
      <c r="GB26">
        <v>21</v>
      </c>
      <c r="GC26">
        <v>153</v>
      </c>
      <c r="GD26">
        <v>111</v>
      </c>
      <c r="GE26">
        <v>110</v>
      </c>
      <c r="GF26">
        <v>39</v>
      </c>
      <c r="GG26">
        <v>2531</v>
      </c>
      <c r="GH26">
        <v>61</v>
      </c>
      <c r="GI26">
        <v>59</v>
      </c>
      <c r="GJ26">
        <v>57</v>
      </c>
      <c r="GK26">
        <v>16</v>
      </c>
      <c r="GL26">
        <v>1165</v>
      </c>
      <c r="GM26">
        <v>153</v>
      </c>
      <c r="GN26">
        <v>70</v>
      </c>
      <c r="GO26">
        <v>101</v>
      </c>
      <c r="GP26">
        <v>91</v>
      </c>
      <c r="GQ26">
        <v>2069</v>
      </c>
      <c r="GR26">
        <v>26</v>
      </c>
      <c r="GS26">
        <v>26</v>
      </c>
      <c r="GT26">
        <v>25</v>
      </c>
      <c r="GU26">
        <v>9</v>
      </c>
      <c r="GV26">
        <v>508</v>
      </c>
      <c r="GW26">
        <v>29</v>
      </c>
      <c r="GX26">
        <v>20</v>
      </c>
      <c r="GY26">
        <v>11</v>
      </c>
      <c r="GZ26">
        <v>21</v>
      </c>
      <c r="HA26">
        <v>385</v>
      </c>
      <c r="HB26">
        <v>21</v>
      </c>
      <c r="HC26">
        <v>89</v>
      </c>
      <c r="HD26">
        <v>65</v>
      </c>
      <c r="HE26">
        <v>43</v>
      </c>
      <c r="HF26">
        <v>48</v>
      </c>
      <c r="HG26">
        <v>1389</v>
      </c>
      <c r="HH26">
        <v>197</v>
      </c>
      <c r="HI26">
        <v>166</v>
      </c>
      <c r="HJ26">
        <v>164</v>
      </c>
      <c r="HK26">
        <v>45</v>
      </c>
      <c r="HL26">
        <v>3640</v>
      </c>
      <c r="HM26">
        <v>186</v>
      </c>
      <c r="HN26">
        <v>170</v>
      </c>
      <c r="HO26">
        <v>199</v>
      </c>
      <c r="HP26">
        <v>40</v>
      </c>
      <c r="HQ26">
        <v>3803</v>
      </c>
      <c r="HR26">
        <v>106</v>
      </c>
      <c r="HS26">
        <v>116</v>
      </c>
      <c r="HT26">
        <v>129</v>
      </c>
      <c r="HU26">
        <v>27</v>
      </c>
      <c r="HV26">
        <v>2301</v>
      </c>
      <c r="HW26">
        <v>12</v>
      </c>
      <c r="HX26">
        <v>20</v>
      </c>
      <c r="HY26">
        <v>30</v>
      </c>
      <c r="HZ26">
        <v>19</v>
      </c>
      <c r="IA26">
        <v>418</v>
      </c>
      <c r="IB26">
        <v>21</v>
      </c>
      <c r="IC26">
        <v>224</v>
      </c>
      <c r="ID26">
        <v>195</v>
      </c>
      <c r="IE26">
        <v>171</v>
      </c>
      <c r="IF26">
        <v>71</v>
      </c>
      <c r="IG26">
        <v>3781</v>
      </c>
      <c r="IH26">
        <v>30</v>
      </c>
      <c r="II26">
        <v>53</v>
      </c>
      <c r="IJ26">
        <v>48</v>
      </c>
      <c r="IK26">
        <v>29</v>
      </c>
      <c r="IL26">
        <v>830</v>
      </c>
      <c r="IM26">
        <v>130</v>
      </c>
      <c r="IN26">
        <v>129</v>
      </c>
      <c r="IO26">
        <v>158</v>
      </c>
      <c r="IP26">
        <v>42</v>
      </c>
      <c r="IQ26">
        <v>2900</v>
      </c>
      <c r="IR26">
        <v>69</v>
      </c>
      <c r="IS26">
        <v>71</v>
      </c>
      <c r="IT26">
        <v>81</v>
      </c>
      <c r="IU26">
        <v>23</v>
      </c>
      <c r="IV26">
        <v>1426</v>
      </c>
      <c r="IW26">
        <v>22</v>
      </c>
      <c r="IX26">
        <v>29</v>
      </c>
      <c r="IY26">
        <v>19</v>
      </c>
      <c r="IZ26">
        <v>11</v>
      </c>
      <c r="JA26">
        <v>495</v>
      </c>
      <c r="JB26">
        <v>21</v>
      </c>
      <c r="JC26">
        <v>55</v>
      </c>
      <c r="JD26">
        <v>29</v>
      </c>
      <c r="JE26">
        <v>32</v>
      </c>
      <c r="JF26">
        <v>21</v>
      </c>
      <c r="JG26">
        <v>815</v>
      </c>
      <c r="JH26">
        <v>121</v>
      </c>
      <c r="JI26">
        <v>110</v>
      </c>
      <c r="JJ26">
        <v>100</v>
      </c>
      <c r="JK26">
        <v>27</v>
      </c>
      <c r="JL26">
        <v>2266</v>
      </c>
      <c r="JM26">
        <v>177</v>
      </c>
      <c r="JN26">
        <v>167</v>
      </c>
      <c r="JO26">
        <v>136</v>
      </c>
      <c r="JP26">
        <v>40</v>
      </c>
      <c r="JQ26">
        <v>3299</v>
      </c>
      <c r="JR26">
        <v>229</v>
      </c>
      <c r="JS26">
        <v>216</v>
      </c>
      <c r="JT26">
        <v>229</v>
      </c>
      <c r="JU26">
        <v>30</v>
      </c>
      <c r="JV26">
        <v>4637</v>
      </c>
      <c r="JW26">
        <v>46</v>
      </c>
      <c r="JX26">
        <v>27</v>
      </c>
      <c r="JY26">
        <v>49</v>
      </c>
      <c r="JZ26">
        <v>27</v>
      </c>
      <c r="KA26">
        <v>855</v>
      </c>
      <c r="KB26">
        <v>21</v>
      </c>
      <c r="KC26" t="s">
        <v>85</v>
      </c>
      <c r="KD26" t="s">
        <v>85</v>
      </c>
      <c r="KE26" t="s">
        <v>85</v>
      </c>
      <c r="KF26" t="s">
        <v>85</v>
      </c>
      <c r="KG26" t="s">
        <v>85</v>
      </c>
      <c r="KH26" t="s">
        <v>85</v>
      </c>
      <c r="KI26" t="s">
        <v>85</v>
      </c>
      <c r="KJ26" t="s">
        <v>85</v>
      </c>
      <c r="KK26" t="s">
        <v>85</v>
      </c>
      <c r="KL26" t="s">
        <v>85</v>
      </c>
      <c r="KM26" t="s">
        <v>85</v>
      </c>
      <c r="KN26" t="s">
        <v>85</v>
      </c>
      <c r="KO26" t="s">
        <v>85</v>
      </c>
      <c r="KP26" t="s">
        <v>85</v>
      </c>
      <c r="KQ26" t="s">
        <v>85</v>
      </c>
      <c r="KR26" t="s">
        <v>85</v>
      </c>
      <c r="KS26" t="s">
        <v>85</v>
      </c>
      <c r="KT26" t="s">
        <v>85</v>
      </c>
      <c r="KU26" t="s">
        <v>85</v>
      </c>
      <c r="KV26" t="s">
        <v>85</v>
      </c>
      <c r="KW26" t="s">
        <v>85</v>
      </c>
      <c r="KX26" t="s">
        <v>85</v>
      </c>
      <c r="KY26" t="s">
        <v>85</v>
      </c>
      <c r="KZ26" t="s">
        <v>85</v>
      </c>
      <c r="LA26" t="s">
        <v>85</v>
      </c>
      <c r="LB26">
        <v>21</v>
      </c>
      <c r="LC26" t="s">
        <v>85</v>
      </c>
      <c r="LD26" t="s">
        <v>85</v>
      </c>
      <c r="LE26" t="s">
        <v>85</v>
      </c>
      <c r="LF26" t="s">
        <v>85</v>
      </c>
      <c r="LG26" t="s">
        <v>85</v>
      </c>
      <c r="LH26" t="s">
        <v>85</v>
      </c>
      <c r="LI26" t="s">
        <v>85</v>
      </c>
      <c r="LJ26" t="s">
        <v>85</v>
      </c>
      <c r="LK26" t="s">
        <v>85</v>
      </c>
      <c r="LL26" t="s">
        <v>85</v>
      </c>
      <c r="LM26" t="s">
        <v>85</v>
      </c>
      <c r="LN26" t="s">
        <v>85</v>
      </c>
      <c r="LO26" t="s">
        <v>85</v>
      </c>
      <c r="LP26" t="s">
        <v>85</v>
      </c>
      <c r="LQ26" t="s">
        <v>85</v>
      </c>
      <c r="LR26" t="s">
        <v>85</v>
      </c>
      <c r="LS26" t="s">
        <v>85</v>
      </c>
      <c r="LT26" t="s">
        <v>85</v>
      </c>
      <c r="LU26" t="s">
        <v>85</v>
      </c>
      <c r="LV26" t="s">
        <v>85</v>
      </c>
      <c r="LW26" t="s">
        <v>85</v>
      </c>
      <c r="LX26" t="s">
        <v>85</v>
      </c>
      <c r="LY26" t="s">
        <v>85</v>
      </c>
      <c r="LZ26" t="s">
        <v>85</v>
      </c>
      <c r="MA26" t="s">
        <v>85</v>
      </c>
      <c r="MB26">
        <v>21</v>
      </c>
      <c r="MC26" t="s">
        <v>85</v>
      </c>
      <c r="MD26" t="s">
        <v>85</v>
      </c>
      <c r="ME26" t="s">
        <v>85</v>
      </c>
      <c r="MF26" t="s">
        <v>85</v>
      </c>
      <c r="MG26" t="s">
        <v>85</v>
      </c>
      <c r="MH26" t="s">
        <v>85</v>
      </c>
      <c r="MI26" t="s">
        <v>85</v>
      </c>
      <c r="MJ26" t="s">
        <v>85</v>
      </c>
      <c r="MK26" t="s">
        <v>85</v>
      </c>
      <c r="ML26" t="s">
        <v>85</v>
      </c>
      <c r="MM26" t="s">
        <v>85</v>
      </c>
      <c r="MN26" t="s">
        <v>85</v>
      </c>
      <c r="MO26" t="s">
        <v>85</v>
      </c>
      <c r="MP26" t="s">
        <v>85</v>
      </c>
      <c r="MQ26" t="s">
        <v>85</v>
      </c>
      <c r="MR26" t="s">
        <v>85</v>
      </c>
      <c r="MS26" t="s">
        <v>85</v>
      </c>
      <c r="MT26" t="s">
        <v>85</v>
      </c>
      <c r="MU26" t="s">
        <v>85</v>
      </c>
      <c r="MV26" t="s">
        <v>85</v>
      </c>
      <c r="MW26" t="s">
        <v>85</v>
      </c>
      <c r="MX26" t="s">
        <v>85</v>
      </c>
      <c r="MY26" t="s">
        <v>85</v>
      </c>
      <c r="MZ26" t="s">
        <v>85</v>
      </c>
      <c r="NA26">
        <v>21</v>
      </c>
      <c r="NB26">
        <v>-1</v>
      </c>
      <c r="NC26">
        <v>-1</v>
      </c>
      <c r="ND26">
        <v>-1</v>
      </c>
      <c r="NE26">
        <v>0</v>
      </c>
      <c r="NF26">
        <v>24</v>
      </c>
      <c r="NG26">
        <v>5</v>
      </c>
      <c r="NH26">
        <v>6</v>
      </c>
      <c r="NI26">
        <v>6</v>
      </c>
      <c r="NJ26">
        <v>0</v>
      </c>
      <c r="NK26">
        <v>71</v>
      </c>
      <c r="NL26">
        <v>7</v>
      </c>
      <c r="NM26">
        <v>7</v>
      </c>
      <c r="NN26">
        <v>6</v>
      </c>
      <c r="NO26">
        <v>0</v>
      </c>
      <c r="NP26">
        <v>61</v>
      </c>
      <c r="NQ26">
        <v>5</v>
      </c>
      <c r="NR26">
        <v>5</v>
      </c>
      <c r="NS26">
        <v>4</v>
      </c>
      <c r="NT26">
        <v>0</v>
      </c>
      <c r="NU26">
        <v>54</v>
      </c>
      <c r="NV26">
        <v>6</v>
      </c>
      <c r="NW26">
        <v>6</v>
      </c>
      <c r="NX26">
        <v>6</v>
      </c>
      <c r="NY26">
        <v>1</v>
      </c>
      <c r="NZ26">
        <v>0</v>
      </c>
      <c r="OA26">
        <v>21</v>
      </c>
      <c r="OB26">
        <v>11</v>
      </c>
      <c r="OC26">
        <v>10</v>
      </c>
      <c r="OD26">
        <v>10</v>
      </c>
      <c r="OE26">
        <v>1</v>
      </c>
      <c r="OF26">
        <v>103</v>
      </c>
      <c r="OG26">
        <v>12</v>
      </c>
      <c r="OH26">
        <v>12</v>
      </c>
      <c r="OI26">
        <v>12</v>
      </c>
      <c r="OJ26">
        <v>1</v>
      </c>
      <c r="OK26">
        <v>109</v>
      </c>
      <c r="OL26">
        <v>1</v>
      </c>
      <c r="OM26">
        <v>1</v>
      </c>
      <c r="ON26">
        <v>1</v>
      </c>
      <c r="OO26">
        <v>1</v>
      </c>
      <c r="OP26">
        <v>48</v>
      </c>
      <c r="OQ26" t="s">
        <v>85</v>
      </c>
      <c r="OR26" t="s">
        <v>85</v>
      </c>
      <c r="OS26" t="s">
        <v>85</v>
      </c>
      <c r="OT26" t="s">
        <v>85</v>
      </c>
      <c r="OU26" t="s">
        <v>85</v>
      </c>
      <c r="OV26" t="s">
        <v>85</v>
      </c>
      <c r="OW26" t="s">
        <v>85</v>
      </c>
      <c r="OX26" t="s">
        <v>85</v>
      </c>
      <c r="OY26" t="s">
        <v>85</v>
      </c>
      <c r="OZ26" t="s">
        <v>85</v>
      </c>
      <c r="PA26">
        <v>21</v>
      </c>
      <c r="PB26">
        <v>24</v>
      </c>
      <c r="PC26">
        <v>24</v>
      </c>
      <c r="PD26">
        <v>24</v>
      </c>
      <c r="PE26">
        <v>0</v>
      </c>
      <c r="PF26">
        <v>883</v>
      </c>
      <c r="PG26">
        <v>8</v>
      </c>
      <c r="PH26">
        <v>6</v>
      </c>
      <c r="PI26">
        <v>6</v>
      </c>
      <c r="PJ26">
        <v>0</v>
      </c>
      <c r="PK26">
        <v>219</v>
      </c>
      <c r="PL26">
        <v>7</v>
      </c>
      <c r="PM26">
        <v>8</v>
      </c>
      <c r="PN26">
        <v>6</v>
      </c>
      <c r="PO26">
        <v>0</v>
      </c>
      <c r="PP26">
        <v>51</v>
      </c>
      <c r="PQ26">
        <v>38</v>
      </c>
      <c r="PR26">
        <v>38</v>
      </c>
      <c r="PS26">
        <v>36</v>
      </c>
      <c r="PT26">
        <v>2</v>
      </c>
      <c r="PU26">
        <v>1379</v>
      </c>
      <c r="PV26">
        <v>40</v>
      </c>
      <c r="PW26">
        <v>42</v>
      </c>
      <c r="PX26">
        <v>40</v>
      </c>
      <c r="PY26">
        <v>0</v>
      </c>
      <c r="PZ26">
        <v>1565</v>
      </c>
      <c r="QA26">
        <v>21</v>
      </c>
      <c r="QB26" t="s">
        <v>85</v>
      </c>
      <c r="QC26" t="s">
        <v>85</v>
      </c>
      <c r="QD26" t="s">
        <v>85</v>
      </c>
      <c r="QE26" t="s">
        <v>85</v>
      </c>
      <c r="QF26">
        <v>0</v>
      </c>
      <c r="QG26">
        <v>2</v>
      </c>
      <c r="QH26">
        <v>2</v>
      </c>
      <c r="QI26">
        <v>2</v>
      </c>
      <c r="QJ26">
        <v>0</v>
      </c>
      <c r="QK26">
        <v>59</v>
      </c>
      <c r="QL26" t="s">
        <v>85</v>
      </c>
      <c r="QM26" t="s">
        <v>85</v>
      </c>
      <c r="QN26" t="s">
        <v>85</v>
      </c>
      <c r="QO26" t="s">
        <v>85</v>
      </c>
      <c r="QP26" t="s">
        <v>85</v>
      </c>
      <c r="QQ26" t="s">
        <v>85</v>
      </c>
      <c r="QR26" t="s">
        <v>85</v>
      </c>
      <c r="QS26" t="s">
        <v>85</v>
      </c>
      <c r="QT26" t="s">
        <v>85</v>
      </c>
      <c r="QU26" t="s">
        <v>85</v>
      </c>
      <c r="QV26" t="s">
        <v>85</v>
      </c>
      <c r="QW26" t="s">
        <v>85</v>
      </c>
      <c r="QX26" t="s">
        <v>85</v>
      </c>
      <c r="QY26" t="s">
        <v>85</v>
      </c>
      <c r="QZ26" t="s">
        <v>85</v>
      </c>
      <c r="RA26">
        <v>21</v>
      </c>
      <c r="RB26">
        <v>134</v>
      </c>
      <c r="RC26">
        <v>134</v>
      </c>
      <c r="RD26">
        <v>133</v>
      </c>
      <c r="RE26">
        <v>0</v>
      </c>
      <c r="RF26">
        <v>4730</v>
      </c>
      <c r="RG26">
        <v>8</v>
      </c>
      <c r="RH26">
        <v>7</v>
      </c>
      <c r="RI26">
        <v>7</v>
      </c>
      <c r="RJ26">
        <v>0</v>
      </c>
      <c r="RK26">
        <v>251</v>
      </c>
      <c r="RL26">
        <v>6</v>
      </c>
      <c r="RM26">
        <v>6</v>
      </c>
      <c r="RN26">
        <v>5</v>
      </c>
      <c r="RO26">
        <v>0</v>
      </c>
      <c r="RP26">
        <v>183</v>
      </c>
      <c r="RQ26">
        <v>0</v>
      </c>
      <c r="RR26">
        <v>0</v>
      </c>
      <c r="RS26">
        <v>0</v>
      </c>
      <c r="RT26">
        <v>0</v>
      </c>
      <c r="RU26">
        <v>0</v>
      </c>
      <c r="RV26">
        <v>0</v>
      </c>
      <c r="RW26">
        <v>0</v>
      </c>
      <c r="RX26">
        <v>0</v>
      </c>
      <c r="RY26">
        <v>0</v>
      </c>
      <c r="RZ26">
        <v>0</v>
      </c>
      <c r="SA26">
        <v>21</v>
      </c>
      <c r="SB26">
        <v>0</v>
      </c>
      <c r="SC26">
        <v>0</v>
      </c>
      <c r="SD26">
        <v>0</v>
      </c>
      <c r="SE26">
        <v>0</v>
      </c>
      <c r="SF26">
        <v>0</v>
      </c>
      <c r="SG26" t="s">
        <v>85</v>
      </c>
      <c r="SH26" t="s">
        <v>85</v>
      </c>
      <c r="SI26" t="s">
        <v>85</v>
      </c>
      <c r="SJ26" t="s">
        <v>85</v>
      </c>
      <c r="SK26" t="s">
        <v>85</v>
      </c>
      <c r="SL26" t="s">
        <v>85</v>
      </c>
      <c r="SM26" t="s">
        <v>85</v>
      </c>
      <c r="SN26" t="s">
        <v>85</v>
      </c>
      <c r="SO26" t="s">
        <v>85</v>
      </c>
      <c r="SP26" t="s">
        <v>85</v>
      </c>
      <c r="SQ26" t="s">
        <v>85</v>
      </c>
      <c r="SR26" t="s">
        <v>85</v>
      </c>
      <c r="SS26" t="s">
        <v>85</v>
      </c>
      <c r="ST26" t="s">
        <v>85</v>
      </c>
      <c r="SU26" t="s">
        <v>85</v>
      </c>
      <c r="SV26" t="s">
        <v>85</v>
      </c>
      <c r="SW26" t="s">
        <v>85</v>
      </c>
      <c r="SX26" t="s">
        <v>85</v>
      </c>
      <c r="SY26" t="s">
        <v>85</v>
      </c>
      <c r="SZ26" t="s">
        <v>85</v>
      </c>
      <c r="TA26">
        <v>21</v>
      </c>
      <c r="TB26">
        <v>1</v>
      </c>
      <c r="TC26">
        <v>1</v>
      </c>
      <c r="TD26">
        <v>0</v>
      </c>
      <c r="TE26">
        <v>0</v>
      </c>
      <c r="TF26">
        <v>0</v>
      </c>
      <c r="TG26">
        <v>0</v>
      </c>
      <c r="TH26">
        <v>0</v>
      </c>
      <c r="TI26">
        <v>0</v>
      </c>
      <c r="TJ26">
        <v>0</v>
      </c>
      <c r="TK26">
        <v>0</v>
      </c>
      <c r="TL26">
        <v>0</v>
      </c>
      <c r="TM26">
        <v>0</v>
      </c>
      <c r="TN26">
        <v>0</v>
      </c>
      <c r="TO26">
        <v>0</v>
      </c>
      <c r="TP26">
        <v>0</v>
      </c>
      <c r="TQ26">
        <v>29</v>
      </c>
      <c r="TR26">
        <v>27</v>
      </c>
      <c r="TS26">
        <v>30</v>
      </c>
      <c r="TT26">
        <v>0</v>
      </c>
      <c r="TU26">
        <v>1153</v>
      </c>
      <c r="TV26">
        <v>7</v>
      </c>
      <c r="TW26">
        <v>8</v>
      </c>
      <c r="TX26">
        <v>6</v>
      </c>
      <c r="TY26">
        <v>0</v>
      </c>
      <c r="TZ26">
        <v>270</v>
      </c>
      <c r="UA26">
        <v>21</v>
      </c>
      <c r="UB26">
        <v>80</v>
      </c>
      <c r="UC26">
        <v>83</v>
      </c>
      <c r="UD26">
        <v>82</v>
      </c>
      <c r="UE26">
        <v>0</v>
      </c>
      <c r="UF26">
        <v>3102</v>
      </c>
      <c r="UG26" t="s">
        <v>85</v>
      </c>
      <c r="UH26" t="s">
        <v>85</v>
      </c>
      <c r="UI26" t="s">
        <v>85</v>
      </c>
      <c r="UJ26" t="s">
        <v>85</v>
      </c>
      <c r="UK26" t="s">
        <v>85</v>
      </c>
      <c r="UL26" t="s">
        <v>85</v>
      </c>
      <c r="UM26" t="s">
        <v>85</v>
      </c>
      <c r="UN26" t="s">
        <v>85</v>
      </c>
      <c r="UO26" t="s">
        <v>85</v>
      </c>
      <c r="UP26" t="s">
        <v>85</v>
      </c>
      <c r="UQ26" t="s">
        <v>85</v>
      </c>
      <c r="UR26" t="s">
        <v>85</v>
      </c>
      <c r="US26" t="s">
        <v>85</v>
      </c>
      <c r="UT26" t="s">
        <v>85</v>
      </c>
      <c r="UU26" t="s">
        <v>85</v>
      </c>
      <c r="UV26" t="s">
        <v>85</v>
      </c>
      <c r="UW26" t="s">
        <v>85</v>
      </c>
      <c r="UX26" t="s">
        <v>85</v>
      </c>
      <c r="UY26" t="s">
        <v>85</v>
      </c>
      <c r="UZ26" t="s">
        <v>85</v>
      </c>
      <c r="VX26">
        <v>21</v>
      </c>
      <c r="VY26">
        <v>-1</v>
      </c>
      <c r="VZ26">
        <v>-1</v>
      </c>
      <c r="WA26">
        <v>-1</v>
      </c>
      <c r="WB26">
        <v>0</v>
      </c>
      <c r="WC26">
        <v>24</v>
      </c>
      <c r="WD26">
        <v>5</v>
      </c>
      <c r="WE26">
        <v>6</v>
      </c>
      <c r="WF26">
        <v>6</v>
      </c>
      <c r="WG26">
        <v>0</v>
      </c>
      <c r="WH26">
        <v>71</v>
      </c>
      <c r="WI26">
        <v>7</v>
      </c>
      <c r="WJ26">
        <v>7</v>
      </c>
      <c r="WK26">
        <v>6</v>
      </c>
      <c r="WL26">
        <v>0</v>
      </c>
      <c r="WM26">
        <v>61</v>
      </c>
      <c r="WN26">
        <v>5</v>
      </c>
      <c r="WO26">
        <v>5</v>
      </c>
      <c r="WP26">
        <v>4</v>
      </c>
      <c r="WQ26">
        <v>0</v>
      </c>
      <c r="WR26">
        <v>54</v>
      </c>
      <c r="WS26">
        <v>6</v>
      </c>
      <c r="WT26">
        <v>6</v>
      </c>
      <c r="WU26">
        <v>6</v>
      </c>
      <c r="WV26">
        <v>1</v>
      </c>
      <c r="WW26">
        <v>0</v>
      </c>
      <c r="WX26">
        <v>21</v>
      </c>
      <c r="WY26">
        <v>11</v>
      </c>
      <c r="WZ26">
        <v>10</v>
      </c>
      <c r="XA26">
        <v>10</v>
      </c>
      <c r="XB26">
        <v>1</v>
      </c>
      <c r="XC26">
        <v>103</v>
      </c>
      <c r="XD26">
        <v>12</v>
      </c>
      <c r="XE26">
        <v>12</v>
      </c>
      <c r="XF26">
        <v>12</v>
      </c>
      <c r="XG26">
        <v>1</v>
      </c>
      <c r="XH26">
        <v>109</v>
      </c>
      <c r="XI26">
        <v>1</v>
      </c>
      <c r="XJ26">
        <v>1</v>
      </c>
      <c r="XK26">
        <v>1</v>
      </c>
      <c r="XL26">
        <v>1</v>
      </c>
      <c r="XM26">
        <v>48</v>
      </c>
      <c r="XN26" t="s">
        <v>85</v>
      </c>
      <c r="XO26" t="s">
        <v>85</v>
      </c>
      <c r="XP26" t="s">
        <v>85</v>
      </c>
      <c r="XQ26" t="s">
        <v>85</v>
      </c>
      <c r="XR26" t="s">
        <v>85</v>
      </c>
      <c r="XS26" t="s">
        <v>85</v>
      </c>
      <c r="XT26" t="s">
        <v>85</v>
      </c>
      <c r="XU26" t="s">
        <v>85</v>
      </c>
      <c r="XV26" t="s">
        <v>85</v>
      </c>
      <c r="XW26" t="s">
        <v>85</v>
      </c>
      <c r="XX26">
        <v>21</v>
      </c>
      <c r="XY26">
        <v>24</v>
      </c>
      <c r="XZ26">
        <v>24</v>
      </c>
      <c r="YA26">
        <v>24</v>
      </c>
      <c r="YB26">
        <v>0</v>
      </c>
      <c r="YC26">
        <v>883</v>
      </c>
      <c r="YD26">
        <v>8</v>
      </c>
      <c r="YE26">
        <v>6</v>
      </c>
      <c r="YF26">
        <v>6</v>
      </c>
      <c r="YG26">
        <v>0</v>
      </c>
      <c r="YH26">
        <v>219</v>
      </c>
      <c r="YI26">
        <v>7</v>
      </c>
      <c r="YJ26">
        <v>8</v>
      </c>
      <c r="YK26">
        <v>6</v>
      </c>
      <c r="YL26">
        <v>0</v>
      </c>
      <c r="YM26">
        <v>51</v>
      </c>
      <c r="YN26">
        <v>38</v>
      </c>
      <c r="YO26">
        <v>38</v>
      </c>
      <c r="YP26">
        <v>36</v>
      </c>
      <c r="YQ26">
        <v>2</v>
      </c>
      <c r="YR26">
        <v>1379</v>
      </c>
      <c r="YS26">
        <v>40</v>
      </c>
      <c r="YT26">
        <v>42</v>
      </c>
      <c r="YU26">
        <v>40</v>
      </c>
      <c r="YV26">
        <v>0</v>
      </c>
      <c r="YW26">
        <v>1565</v>
      </c>
      <c r="YX26">
        <v>21</v>
      </c>
      <c r="YY26" t="s">
        <v>85</v>
      </c>
      <c r="YZ26" t="s">
        <v>85</v>
      </c>
      <c r="ZA26" t="s">
        <v>85</v>
      </c>
      <c r="ZB26" t="s">
        <v>85</v>
      </c>
      <c r="ZC26">
        <v>0</v>
      </c>
      <c r="ZD26">
        <v>2</v>
      </c>
      <c r="ZE26">
        <v>2</v>
      </c>
      <c r="ZF26">
        <v>2</v>
      </c>
      <c r="ZG26">
        <v>0</v>
      </c>
      <c r="ZH26">
        <v>59</v>
      </c>
      <c r="ZI26" t="s">
        <v>85</v>
      </c>
      <c r="ZJ26" t="s">
        <v>85</v>
      </c>
      <c r="ZK26" t="s">
        <v>85</v>
      </c>
      <c r="ZL26" t="s">
        <v>85</v>
      </c>
      <c r="ZM26" t="s">
        <v>85</v>
      </c>
      <c r="ZN26" t="s">
        <v>85</v>
      </c>
      <c r="ZO26" t="s">
        <v>85</v>
      </c>
      <c r="ZP26" t="s">
        <v>85</v>
      </c>
      <c r="ZQ26" t="s">
        <v>85</v>
      </c>
      <c r="ZR26" t="s">
        <v>85</v>
      </c>
      <c r="ZS26" t="s">
        <v>85</v>
      </c>
      <c r="ZT26" t="s">
        <v>85</v>
      </c>
      <c r="ZU26" t="s">
        <v>85</v>
      </c>
      <c r="ZV26" t="s">
        <v>85</v>
      </c>
      <c r="ZW26" t="s">
        <v>85</v>
      </c>
      <c r="ZX26">
        <v>21</v>
      </c>
      <c r="ZY26">
        <v>21</v>
      </c>
      <c r="ZZ26">
        <v>21</v>
      </c>
      <c r="AAA26">
        <v>80</v>
      </c>
      <c r="AAB26">
        <v>83</v>
      </c>
      <c r="AAC26">
        <v>82</v>
      </c>
      <c r="AAD26">
        <v>0</v>
      </c>
      <c r="AAE26">
        <v>3102</v>
      </c>
      <c r="AAF26" t="s">
        <v>85</v>
      </c>
      <c r="AAG26" t="s">
        <v>85</v>
      </c>
      <c r="AAH26" t="s">
        <v>85</v>
      </c>
      <c r="AAI26" t="s">
        <v>85</v>
      </c>
      <c r="AAJ26" t="s">
        <v>85</v>
      </c>
      <c r="AAK26" t="s">
        <v>85</v>
      </c>
      <c r="AAL26" t="s">
        <v>85</v>
      </c>
      <c r="AAM26" t="s">
        <v>85</v>
      </c>
      <c r="AAN26" t="s">
        <v>85</v>
      </c>
      <c r="AAO26" t="s">
        <v>85</v>
      </c>
      <c r="AAP26" t="s">
        <v>85</v>
      </c>
      <c r="AAQ26" t="s">
        <v>85</v>
      </c>
      <c r="AAR26" t="s">
        <v>85</v>
      </c>
      <c r="AAS26" t="s">
        <v>85</v>
      </c>
      <c r="AAT26" t="s">
        <v>85</v>
      </c>
      <c r="AAU26" t="s">
        <v>85</v>
      </c>
      <c r="AAV26" t="s">
        <v>85</v>
      </c>
      <c r="AAW26" t="s">
        <v>85</v>
      </c>
      <c r="AAX26" t="s">
        <v>85</v>
      </c>
      <c r="AAY26" t="s">
        <v>85</v>
      </c>
    </row>
    <row r="27" spans="1:727">
      <c r="A27" s="483">
        <v>21</v>
      </c>
      <c r="B27" s="503">
        <v>0</v>
      </c>
      <c r="C27" s="503">
        <v>0</v>
      </c>
      <c r="D27" s="503">
        <v>-1</v>
      </c>
      <c r="E27" s="503">
        <v>-1</v>
      </c>
      <c r="F27" s="503">
        <v>25</v>
      </c>
      <c r="G27" s="593">
        <v>5</v>
      </c>
      <c r="H27" s="593">
        <v>6</v>
      </c>
      <c r="I27" s="593">
        <v>6</v>
      </c>
      <c r="J27" s="593">
        <v>0</v>
      </c>
      <c r="K27" s="593">
        <v>89</v>
      </c>
      <c r="L27" s="502">
        <v>7</v>
      </c>
      <c r="M27" s="502">
        <v>7</v>
      </c>
      <c r="N27" s="502">
        <v>6</v>
      </c>
      <c r="O27" s="502">
        <v>0</v>
      </c>
      <c r="P27" s="502">
        <v>53</v>
      </c>
      <c r="Q27" s="504">
        <v>5</v>
      </c>
      <c r="R27" s="504">
        <v>4</v>
      </c>
      <c r="S27" s="504">
        <v>4</v>
      </c>
      <c r="T27" s="504">
        <v>0</v>
      </c>
      <c r="U27" s="504">
        <v>54</v>
      </c>
      <c r="V27" s="505">
        <v>6</v>
      </c>
      <c r="W27" s="505">
        <v>6</v>
      </c>
      <c r="X27" s="505">
        <v>6</v>
      </c>
      <c r="Y27" s="505">
        <v>1</v>
      </c>
      <c r="Z27" s="505">
        <v>0</v>
      </c>
      <c r="AA27" s="506"/>
      <c r="AB27" s="506"/>
      <c r="AC27" s="506"/>
      <c r="AD27" s="506"/>
      <c r="AE27" s="506"/>
      <c r="AF27" s="506"/>
      <c r="AG27" s="507"/>
      <c r="AH27" s="507"/>
      <c r="AI27" s="507"/>
      <c r="AJ27" s="507"/>
      <c r="AK27" s="507"/>
      <c r="AL27" s="508"/>
      <c r="AM27" s="508"/>
      <c r="AN27" s="508"/>
      <c r="AO27" s="508"/>
      <c r="AP27" s="508"/>
      <c r="AQ27" s="509"/>
      <c r="AR27" s="509"/>
      <c r="AS27" s="509"/>
      <c r="AT27" s="509"/>
      <c r="AU27" s="509"/>
      <c r="AV27" s="483"/>
      <c r="AW27" s="483"/>
      <c r="AX27" s="483"/>
      <c r="AY27" s="483"/>
      <c r="AZ27" s="483"/>
      <c r="BA27" s="483"/>
      <c r="BB27" s="483"/>
      <c r="BC27" s="483"/>
      <c r="BD27" s="483"/>
      <c r="BE27" s="483"/>
      <c r="BF27" s="483"/>
      <c r="BG27" s="483"/>
      <c r="BH27" s="483"/>
      <c r="BI27" s="483"/>
      <c r="BJ27" s="483"/>
      <c r="BK27" s="483"/>
      <c r="BL27" s="483"/>
      <c r="BM27" s="483"/>
      <c r="BN27" s="483"/>
      <c r="BO27" s="483"/>
      <c r="BP27" s="483"/>
      <c r="GA27" t="s">
        <v>85</v>
      </c>
      <c r="GB27">
        <v>22</v>
      </c>
      <c r="GC27">
        <v>157</v>
      </c>
      <c r="GD27">
        <v>109</v>
      </c>
      <c r="GE27">
        <v>103</v>
      </c>
      <c r="GF27">
        <v>54</v>
      </c>
      <c r="GG27">
        <v>2523</v>
      </c>
      <c r="GH27">
        <v>63</v>
      </c>
      <c r="GI27">
        <v>53</v>
      </c>
      <c r="GJ27">
        <v>56</v>
      </c>
      <c r="GK27">
        <v>18</v>
      </c>
      <c r="GL27">
        <v>1192</v>
      </c>
      <c r="GM27">
        <v>145</v>
      </c>
      <c r="GN27">
        <v>61</v>
      </c>
      <c r="GO27">
        <v>91</v>
      </c>
      <c r="GP27">
        <v>91</v>
      </c>
      <c r="GQ27">
        <v>2087</v>
      </c>
      <c r="GR27">
        <v>31</v>
      </c>
      <c r="GS27">
        <v>25</v>
      </c>
      <c r="GT27">
        <v>25</v>
      </c>
      <c r="GU27">
        <v>11</v>
      </c>
      <c r="GV27">
        <v>534</v>
      </c>
      <c r="GW27">
        <v>26</v>
      </c>
      <c r="GX27">
        <v>19</v>
      </c>
      <c r="GY27">
        <v>11</v>
      </c>
      <c r="GZ27">
        <v>20</v>
      </c>
      <c r="HA27">
        <v>375</v>
      </c>
      <c r="HB27">
        <v>22</v>
      </c>
      <c r="HC27">
        <v>83</v>
      </c>
      <c r="HD27">
        <v>61</v>
      </c>
      <c r="HE27">
        <v>43</v>
      </c>
      <c r="HF27">
        <v>38</v>
      </c>
      <c r="HG27">
        <v>1278</v>
      </c>
      <c r="HH27">
        <v>193</v>
      </c>
      <c r="HI27">
        <v>165</v>
      </c>
      <c r="HJ27">
        <v>164</v>
      </c>
      <c r="HK27">
        <v>41</v>
      </c>
      <c r="HL27">
        <v>3558</v>
      </c>
      <c r="HM27">
        <v>182</v>
      </c>
      <c r="HN27">
        <v>169</v>
      </c>
      <c r="HO27">
        <v>197</v>
      </c>
      <c r="HP27">
        <v>39</v>
      </c>
      <c r="HQ27">
        <v>3804</v>
      </c>
      <c r="HR27">
        <v>102</v>
      </c>
      <c r="HS27">
        <v>112</v>
      </c>
      <c r="HT27">
        <v>125</v>
      </c>
      <c r="HU27">
        <v>26</v>
      </c>
      <c r="HV27">
        <v>2278</v>
      </c>
      <c r="HW27">
        <v>11</v>
      </c>
      <c r="HX27">
        <v>20</v>
      </c>
      <c r="HY27">
        <v>28</v>
      </c>
      <c r="HZ27">
        <v>15</v>
      </c>
      <c r="IA27">
        <v>409</v>
      </c>
      <c r="IB27">
        <v>22</v>
      </c>
      <c r="IC27">
        <v>205</v>
      </c>
      <c r="ID27">
        <v>187</v>
      </c>
      <c r="IE27">
        <v>164</v>
      </c>
      <c r="IF27">
        <v>58</v>
      </c>
      <c r="IG27">
        <v>3820</v>
      </c>
      <c r="IH27">
        <v>31</v>
      </c>
      <c r="II27">
        <v>49</v>
      </c>
      <c r="IJ27">
        <v>47</v>
      </c>
      <c r="IK27">
        <v>24</v>
      </c>
      <c r="IL27">
        <v>785</v>
      </c>
      <c r="IM27">
        <v>128</v>
      </c>
      <c r="IN27">
        <v>131</v>
      </c>
      <c r="IO27">
        <v>162</v>
      </c>
      <c r="IP27">
        <v>42</v>
      </c>
      <c r="IQ27">
        <v>2875</v>
      </c>
      <c r="IR27">
        <v>76</v>
      </c>
      <c r="IS27">
        <v>76</v>
      </c>
      <c r="IT27">
        <v>86</v>
      </c>
      <c r="IU27">
        <v>20</v>
      </c>
      <c r="IV27">
        <v>1476</v>
      </c>
      <c r="IW27">
        <v>23</v>
      </c>
      <c r="IX27">
        <v>29</v>
      </c>
      <c r="IY27">
        <v>18</v>
      </c>
      <c r="IZ27">
        <v>11</v>
      </c>
      <c r="JA27">
        <v>487</v>
      </c>
      <c r="JB27">
        <v>22</v>
      </c>
      <c r="JC27">
        <v>57</v>
      </c>
      <c r="JD27">
        <v>32</v>
      </c>
      <c r="JE27">
        <v>31</v>
      </c>
      <c r="JF27">
        <v>22</v>
      </c>
      <c r="JG27">
        <v>796</v>
      </c>
      <c r="JH27">
        <v>139</v>
      </c>
      <c r="JI27">
        <v>121</v>
      </c>
      <c r="JJ27">
        <v>110</v>
      </c>
      <c r="JK27">
        <v>38</v>
      </c>
      <c r="JL27">
        <v>2359</v>
      </c>
      <c r="JM27">
        <v>171</v>
      </c>
      <c r="JN27">
        <v>169</v>
      </c>
      <c r="JO27">
        <v>139</v>
      </c>
      <c r="JP27">
        <v>38</v>
      </c>
      <c r="JQ27">
        <v>3181</v>
      </c>
      <c r="JR27">
        <v>213</v>
      </c>
      <c r="JS27">
        <v>210</v>
      </c>
      <c r="JT27">
        <v>217</v>
      </c>
      <c r="JU27">
        <v>25</v>
      </c>
      <c r="JV27">
        <v>4399</v>
      </c>
      <c r="JW27">
        <v>45</v>
      </c>
      <c r="JX27">
        <v>26</v>
      </c>
      <c r="JY27">
        <v>47</v>
      </c>
      <c r="JZ27">
        <v>28</v>
      </c>
      <c r="KA27">
        <v>811</v>
      </c>
      <c r="KB27">
        <v>22</v>
      </c>
      <c r="KC27" t="s">
        <v>85</v>
      </c>
      <c r="KD27" t="s">
        <v>85</v>
      </c>
      <c r="KE27" t="s">
        <v>85</v>
      </c>
      <c r="KF27" t="s">
        <v>85</v>
      </c>
      <c r="KG27" t="s">
        <v>85</v>
      </c>
      <c r="KH27" t="s">
        <v>85</v>
      </c>
      <c r="KI27" t="s">
        <v>85</v>
      </c>
      <c r="KJ27" t="s">
        <v>85</v>
      </c>
      <c r="KK27" t="s">
        <v>85</v>
      </c>
      <c r="KL27" t="s">
        <v>85</v>
      </c>
      <c r="KM27" t="s">
        <v>85</v>
      </c>
      <c r="KN27" t="s">
        <v>85</v>
      </c>
      <c r="KO27" t="s">
        <v>85</v>
      </c>
      <c r="KP27" t="s">
        <v>85</v>
      </c>
      <c r="KQ27" t="s">
        <v>85</v>
      </c>
      <c r="KR27" t="s">
        <v>85</v>
      </c>
      <c r="KS27" t="s">
        <v>85</v>
      </c>
      <c r="KT27" t="s">
        <v>85</v>
      </c>
      <c r="KU27" t="s">
        <v>85</v>
      </c>
      <c r="KV27" t="s">
        <v>85</v>
      </c>
      <c r="KW27" t="s">
        <v>85</v>
      </c>
      <c r="KX27" t="s">
        <v>85</v>
      </c>
      <c r="KY27" t="s">
        <v>85</v>
      </c>
      <c r="KZ27" t="s">
        <v>85</v>
      </c>
      <c r="LA27" t="s">
        <v>85</v>
      </c>
      <c r="LB27">
        <v>22</v>
      </c>
      <c r="LC27" t="s">
        <v>85</v>
      </c>
      <c r="LD27" t="s">
        <v>85</v>
      </c>
      <c r="LE27" t="s">
        <v>85</v>
      </c>
      <c r="LF27" t="s">
        <v>85</v>
      </c>
      <c r="LG27" t="s">
        <v>85</v>
      </c>
      <c r="LH27" t="s">
        <v>85</v>
      </c>
      <c r="LI27" t="s">
        <v>85</v>
      </c>
      <c r="LJ27" t="s">
        <v>85</v>
      </c>
      <c r="LK27" t="s">
        <v>85</v>
      </c>
      <c r="LL27" t="s">
        <v>85</v>
      </c>
      <c r="LM27" t="s">
        <v>85</v>
      </c>
      <c r="LN27" t="s">
        <v>85</v>
      </c>
      <c r="LO27" t="s">
        <v>85</v>
      </c>
      <c r="LP27" t="s">
        <v>85</v>
      </c>
      <c r="LQ27" t="s">
        <v>85</v>
      </c>
      <c r="LR27" t="s">
        <v>85</v>
      </c>
      <c r="LS27" t="s">
        <v>85</v>
      </c>
      <c r="LT27" t="s">
        <v>85</v>
      </c>
      <c r="LU27" t="s">
        <v>85</v>
      </c>
      <c r="LV27" t="s">
        <v>85</v>
      </c>
      <c r="LW27" t="s">
        <v>85</v>
      </c>
      <c r="LX27" t="s">
        <v>85</v>
      </c>
      <c r="LY27" t="s">
        <v>85</v>
      </c>
      <c r="LZ27" t="s">
        <v>85</v>
      </c>
      <c r="MA27" t="s">
        <v>85</v>
      </c>
      <c r="MB27">
        <v>22</v>
      </c>
      <c r="MC27" t="s">
        <v>85</v>
      </c>
      <c r="MD27" t="s">
        <v>85</v>
      </c>
      <c r="ME27" t="s">
        <v>85</v>
      </c>
      <c r="MF27" t="s">
        <v>85</v>
      </c>
      <c r="MG27" t="s">
        <v>85</v>
      </c>
      <c r="MH27" t="s">
        <v>85</v>
      </c>
      <c r="MI27" t="s">
        <v>85</v>
      </c>
      <c r="MJ27" t="s">
        <v>85</v>
      </c>
      <c r="MK27" t="s">
        <v>85</v>
      </c>
      <c r="ML27" t="s">
        <v>85</v>
      </c>
      <c r="MM27" t="s">
        <v>85</v>
      </c>
      <c r="MN27" t="s">
        <v>85</v>
      </c>
      <c r="MO27" t="s">
        <v>85</v>
      </c>
      <c r="MP27" t="s">
        <v>85</v>
      </c>
      <c r="MQ27" t="s">
        <v>85</v>
      </c>
      <c r="MR27" t="s">
        <v>85</v>
      </c>
      <c r="MS27" t="s">
        <v>85</v>
      </c>
      <c r="MT27" t="s">
        <v>85</v>
      </c>
      <c r="MU27" t="s">
        <v>85</v>
      </c>
      <c r="MV27" t="s">
        <v>85</v>
      </c>
      <c r="MW27" t="s">
        <v>85</v>
      </c>
      <c r="MX27" t="s">
        <v>85</v>
      </c>
      <c r="MY27" t="s">
        <v>85</v>
      </c>
      <c r="MZ27" t="s">
        <v>85</v>
      </c>
      <c r="NA27">
        <v>22</v>
      </c>
      <c r="NB27">
        <v>-1</v>
      </c>
      <c r="NC27">
        <v>0</v>
      </c>
      <c r="ND27">
        <v>-1</v>
      </c>
      <c r="NE27">
        <v>-1</v>
      </c>
      <c r="NF27">
        <v>25</v>
      </c>
      <c r="NG27">
        <v>6</v>
      </c>
      <c r="NH27">
        <v>6</v>
      </c>
      <c r="NI27">
        <v>6</v>
      </c>
      <c r="NJ27">
        <v>0</v>
      </c>
      <c r="NK27">
        <v>86</v>
      </c>
      <c r="NL27">
        <v>7</v>
      </c>
      <c r="NM27">
        <v>7</v>
      </c>
      <c r="NN27">
        <v>7</v>
      </c>
      <c r="NO27">
        <v>0</v>
      </c>
      <c r="NP27">
        <v>49</v>
      </c>
      <c r="NQ27">
        <v>5</v>
      </c>
      <c r="NR27">
        <v>5</v>
      </c>
      <c r="NS27">
        <v>5</v>
      </c>
      <c r="NT27">
        <v>0</v>
      </c>
      <c r="NU27">
        <v>55</v>
      </c>
      <c r="NV27">
        <v>6</v>
      </c>
      <c r="NW27">
        <v>6</v>
      </c>
      <c r="NX27">
        <v>6</v>
      </c>
      <c r="NY27">
        <v>1</v>
      </c>
      <c r="NZ27">
        <v>0</v>
      </c>
      <c r="OA27">
        <v>22</v>
      </c>
      <c r="OB27">
        <v>11</v>
      </c>
      <c r="OC27">
        <v>11</v>
      </c>
      <c r="OD27">
        <v>10</v>
      </c>
      <c r="OE27">
        <v>1</v>
      </c>
      <c r="OF27">
        <v>97</v>
      </c>
      <c r="OG27">
        <v>12</v>
      </c>
      <c r="OH27">
        <v>12</v>
      </c>
      <c r="OI27">
        <v>12</v>
      </c>
      <c r="OJ27">
        <v>1</v>
      </c>
      <c r="OK27">
        <v>97</v>
      </c>
      <c r="OL27">
        <v>1</v>
      </c>
      <c r="OM27">
        <v>1</v>
      </c>
      <c r="ON27">
        <v>1</v>
      </c>
      <c r="OO27">
        <v>1</v>
      </c>
      <c r="OP27">
        <v>48</v>
      </c>
      <c r="OQ27" t="s">
        <v>85</v>
      </c>
      <c r="OR27" t="s">
        <v>85</v>
      </c>
      <c r="OS27" t="s">
        <v>85</v>
      </c>
      <c r="OT27" t="s">
        <v>85</v>
      </c>
      <c r="OU27" t="s">
        <v>85</v>
      </c>
      <c r="OV27" t="s">
        <v>85</v>
      </c>
      <c r="OW27" t="s">
        <v>85</v>
      </c>
      <c r="OX27" t="s">
        <v>85</v>
      </c>
      <c r="OY27" t="s">
        <v>85</v>
      </c>
      <c r="OZ27" t="s">
        <v>85</v>
      </c>
      <c r="PA27">
        <v>22</v>
      </c>
      <c r="PB27">
        <v>23</v>
      </c>
      <c r="PC27">
        <v>23</v>
      </c>
      <c r="PD27">
        <v>23</v>
      </c>
      <c r="PE27">
        <v>0</v>
      </c>
      <c r="PF27">
        <v>862</v>
      </c>
      <c r="PG27">
        <v>8</v>
      </c>
      <c r="PH27">
        <v>6</v>
      </c>
      <c r="PI27">
        <v>6</v>
      </c>
      <c r="PJ27">
        <v>0</v>
      </c>
      <c r="PK27">
        <v>219</v>
      </c>
      <c r="PL27">
        <v>7</v>
      </c>
      <c r="PM27">
        <v>8</v>
      </c>
      <c r="PN27">
        <v>6</v>
      </c>
      <c r="PO27">
        <v>0</v>
      </c>
      <c r="PP27">
        <v>49</v>
      </c>
      <c r="PQ27">
        <v>39</v>
      </c>
      <c r="PR27">
        <v>38</v>
      </c>
      <c r="PS27">
        <v>37</v>
      </c>
      <c r="PT27">
        <v>2</v>
      </c>
      <c r="PU27">
        <v>1354</v>
      </c>
      <c r="PV27">
        <v>41</v>
      </c>
      <c r="PW27">
        <v>42</v>
      </c>
      <c r="PX27">
        <v>41</v>
      </c>
      <c r="PY27">
        <v>0</v>
      </c>
      <c r="PZ27">
        <v>1543</v>
      </c>
      <c r="QA27">
        <v>22</v>
      </c>
      <c r="QB27" t="s">
        <v>85</v>
      </c>
      <c r="QC27" t="s">
        <v>85</v>
      </c>
      <c r="QD27" t="s">
        <v>85</v>
      </c>
      <c r="QE27" t="s">
        <v>85</v>
      </c>
      <c r="QF27">
        <v>0</v>
      </c>
      <c r="QG27">
        <v>2</v>
      </c>
      <c r="QH27">
        <v>2</v>
      </c>
      <c r="QI27">
        <v>2</v>
      </c>
      <c r="QJ27">
        <v>0</v>
      </c>
      <c r="QK27">
        <v>59</v>
      </c>
      <c r="QL27" t="s">
        <v>85</v>
      </c>
      <c r="QM27" t="s">
        <v>85</v>
      </c>
      <c r="QN27" t="s">
        <v>85</v>
      </c>
      <c r="QO27" t="s">
        <v>85</v>
      </c>
      <c r="QP27" t="s">
        <v>85</v>
      </c>
      <c r="QQ27" t="s">
        <v>85</v>
      </c>
      <c r="QR27" t="s">
        <v>85</v>
      </c>
      <c r="QS27" t="s">
        <v>85</v>
      </c>
      <c r="QT27" t="s">
        <v>85</v>
      </c>
      <c r="QU27" t="s">
        <v>85</v>
      </c>
      <c r="QV27" t="s">
        <v>85</v>
      </c>
      <c r="QW27" t="s">
        <v>85</v>
      </c>
      <c r="QX27" t="s">
        <v>85</v>
      </c>
      <c r="QY27" t="s">
        <v>85</v>
      </c>
      <c r="QZ27" t="s">
        <v>85</v>
      </c>
      <c r="RA27">
        <v>22</v>
      </c>
      <c r="RB27">
        <v>129</v>
      </c>
      <c r="RC27">
        <v>128</v>
      </c>
      <c r="RD27">
        <v>128</v>
      </c>
      <c r="RE27">
        <v>0</v>
      </c>
      <c r="RF27">
        <v>4687</v>
      </c>
      <c r="RG27">
        <v>8</v>
      </c>
      <c r="RH27">
        <v>7</v>
      </c>
      <c r="RI27">
        <v>7</v>
      </c>
      <c r="RJ27">
        <v>0</v>
      </c>
      <c r="RK27">
        <v>247</v>
      </c>
      <c r="RL27">
        <v>6</v>
      </c>
      <c r="RM27">
        <v>6</v>
      </c>
      <c r="RN27">
        <v>6</v>
      </c>
      <c r="RO27">
        <v>0</v>
      </c>
      <c r="RP27">
        <v>184</v>
      </c>
      <c r="RQ27">
        <v>0</v>
      </c>
      <c r="RR27">
        <v>0</v>
      </c>
      <c r="RS27">
        <v>0</v>
      </c>
      <c r="RT27">
        <v>0</v>
      </c>
      <c r="RU27">
        <v>0</v>
      </c>
      <c r="RV27">
        <v>0</v>
      </c>
      <c r="RW27">
        <v>0</v>
      </c>
      <c r="RX27">
        <v>0</v>
      </c>
      <c r="RY27">
        <v>0</v>
      </c>
      <c r="RZ27">
        <v>0</v>
      </c>
      <c r="SA27">
        <v>22</v>
      </c>
      <c r="SB27">
        <v>0</v>
      </c>
      <c r="SC27">
        <v>0</v>
      </c>
      <c r="SD27">
        <v>0</v>
      </c>
      <c r="SE27">
        <v>0</v>
      </c>
      <c r="SF27">
        <v>0</v>
      </c>
      <c r="SG27" t="s">
        <v>85</v>
      </c>
      <c r="SH27" t="s">
        <v>85</v>
      </c>
      <c r="SI27" t="s">
        <v>85</v>
      </c>
      <c r="SJ27" t="s">
        <v>85</v>
      </c>
      <c r="SK27" t="s">
        <v>85</v>
      </c>
      <c r="SL27" t="s">
        <v>85</v>
      </c>
      <c r="SM27" t="s">
        <v>85</v>
      </c>
      <c r="SN27" t="s">
        <v>85</v>
      </c>
      <c r="SO27" t="s">
        <v>85</v>
      </c>
      <c r="SP27" t="s">
        <v>85</v>
      </c>
      <c r="SQ27" t="s">
        <v>85</v>
      </c>
      <c r="SR27" t="s">
        <v>85</v>
      </c>
      <c r="SS27" t="s">
        <v>85</v>
      </c>
      <c r="ST27" t="s">
        <v>85</v>
      </c>
      <c r="SU27" t="s">
        <v>85</v>
      </c>
      <c r="SV27" t="s">
        <v>85</v>
      </c>
      <c r="SW27" t="s">
        <v>85</v>
      </c>
      <c r="SX27" t="s">
        <v>85</v>
      </c>
      <c r="SY27" t="s">
        <v>85</v>
      </c>
      <c r="SZ27" t="s">
        <v>85</v>
      </c>
      <c r="TA27">
        <v>22</v>
      </c>
      <c r="TB27">
        <v>1</v>
      </c>
      <c r="TC27">
        <v>1</v>
      </c>
      <c r="TD27">
        <v>1</v>
      </c>
      <c r="TE27">
        <v>0</v>
      </c>
      <c r="TF27">
        <v>0</v>
      </c>
      <c r="TG27">
        <v>0</v>
      </c>
      <c r="TH27">
        <v>0</v>
      </c>
      <c r="TI27">
        <v>0</v>
      </c>
      <c r="TJ27">
        <v>0</v>
      </c>
      <c r="TK27">
        <v>0</v>
      </c>
      <c r="TL27">
        <v>0</v>
      </c>
      <c r="TM27">
        <v>0</v>
      </c>
      <c r="TN27">
        <v>0</v>
      </c>
      <c r="TO27">
        <v>0</v>
      </c>
      <c r="TP27">
        <v>0</v>
      </c>
      <c r="TQ27">
        <v>28</v>
      </c>
      <c r="TR27">
        <v>27</v>
      </c>
      <c r="TS27">
        <v>29</v>
      </c>
      <c r="TT27">
        <v>0</v>
      </c>
      <c r="TU27">
        <v>1128</v>
      </c>
      <c r="TV27">
        <v>7</v>
      </c>
      <c r="TW27">
        <v>8</v>
      </c>
      <c r="TX27">
        <v>6</v>
      </c>
      <c r="TY27">
        <v>0</v>
      </c>
      <c r="TZ27">
        <v>268</v>
      </c>
      <c r="UA27">
        <v>22</v>
      </c>
      <c r="UB27">
        <v>80</v>
      </c>
      <c r="UC27">
        <v>83</v>
      </c>
      <c r="UD27">
        <v>81</v>
      </c>
      <c r="UE27">
        <v>0</v>
      </c>
      <c r="UF27">
        <v>3128</v>
      </c>
      <c r="UG27" t="s">
        <v>85</v>
      </c>
      <c r="UH27" t="s">
        <v>85</v>
      </c>
      <c r="UI27" t="s">
        <v>85</v>
      </c>
      <c r="UJ27" t="s">
        <v>85</v>
      </c>
      <c r="UK27" t="s">
        <v>85</v>
      </c>
      <c r="UL27" t="s">
        <v>85</v>
      </c>
      <c r="UM27" t="s">
        <v>85</v>
      </c>
      <c r="UN27" t="s">
        <v>85</v>
      </c>
      <c r="UO27" t="s">
        <v>85</v>
      </c>
      <c r="UP27" t="s">
        <v>85</v>
      </c>
      <c r="UQ27" t="s">
        <v>85</v>
      </c>
      <c r="UR27" t="s">
        <v>85</v>
      </c>
      <c r="US27" t="s">
        <v>85</v>
      </c>
      <c r="UT27" t="s">
        <v>85</v>
      </c>
      <c r="UU27" t="s">
        <v>85</v>
      </c>
      <c r="UV27" t="s">
        <v>85</v>
      </c>
      <c r="UW27" t="s">
        <v>85</v>
      </c>
      <c r="UX27" t="s">
        <v>85</v>
      </c>
      <c r="UY27" t="s">
        <v>85</v>
      </c>
      <c r="UZ27" t="s">
        <v>85</v>
      </c>
      <c r="VX27">
        <v>22</v>
      </c>
      <c r="VY27">
        <v>-1</v>
      </c>
      <c r="VZ27">
        <v>0</v>
      </c>
      <c r="WA27">
        <v>-1</v>
      </c>
      <c r="WB27">
        <v>-1</v>
      </c>
      <c r="WC27">
        <v>25</v>
      </c>
      <c r="WD27">
        <v>6</v>
      </c>
      <c r="WE27">
        <v>6</v>
      </c>
      <c r="WF27">
        <v>6</v>
      </c>
      <c r="WG27">
        <v>0</v>
      </c>
      <c r="WH27">
        <v>86</v>
      </c>
      <c r="WI27">
        <v>7</v>
      </c>
      <c r="WJ27">
        <v>7</v>
      </c>
      <c r="WK27">
        <v>7</v>
      </c>
      <c r="WL27">
        <v>0</v>
      </c>
      <c r="WM27">
        <v>49</v>
      </c>
      <c r="WN27">
        <v>5</v>
      </c>
      <c r="WO27">
        <v>5</v>
      </c>
      <c r="WP27">
        <v>5</v>
      </c>
      <c r="WQ27">
        <v>0</v>
      </c>
      <c r="WR27">
        <v>55</v>
      </c>
      <c r="WS27">
        <v>6</v>
      </c>
      <c r="WT27">
        <v>6</v>
      </c>
      <c r="WU27">
        <v>6</v>
      </c>
      <c r="WV27">
        <v>1</v>
      </c>
      <c r="WW27">
        <v>0</v>
      </c>
      <c r="WX27">
        <v>22</v>
      </c>
      <c r="WY27">
        <v>11</v>
      </c>
      <c r="WZ27">
        <v>11</v>
      </c>
      <c r="XA27">
        <v>10</v>
      </c>
      <c r="XB27">
        <v>1</v>
      </c>
      <c r="XC27">
        <v>97</v>
      </c>
      <c r="XD27">
        <v>12</v>
      </c>
      <c r="XE27">
        <v>12</v>
      </c>
      <c r="XF27">
        <v>12</v>
      </c>
      <c r="XG27">
        <v>1</v>
      </c>
      <c r="XH27">
        <v>97</v>
      </c>
      <c r="XI27">
        <v>1</v>
      </c>
      <c r="XJ27">
        <v>1</v>
      </c>
      <c r="XK27">
        <v>1</v>
      </c>
      <c r="XL27">
        <v>1</v>
      </c>
      <c r="XM27">
        <v>48</v>
      </c>
      <c r="XN27" t="s">
        <v>85</v>
      </c>
      <c r="XO27" t="s">
        <v>85</v>
      </c>
      <c r="XP27" t="s">
        <v>85</v>
      </c>
      <c r="XQ27" t="s">
        <v>85</v>
      </c>
      <c r="XR27" t="s">
        <v>85</v>
      </c>
      <c r="XS27" t="s">
        <v>85</v>
      </c>
      <c r="XT27" t="s">
        <v>85</v>
      </c>
      <c r="XU27" t="s">
        <v>85</v>
      </c>
      <c r="XV27" t="s">
        <v>85</v>
      </c>
      <c r="XW27" t="s">
        <v>85</v>
      </c>
      <c r="XX27">
        <v>22</v>
      </c>
      <c r="XY27">
        <v>23</v>
      </c>
      <c r="XZ27">
        <v>23</v>
      </c>
      <c r="YA27">
        <v>23</v>
      </c>
      <c r="YB27">
        <v>0</v>
      </c>
      <c r="YC27">
        <v>862</v>
      </c>
      <c r="YD27">
        <v>8</v>
      </c>
      <c r="YE27">
        <v>6</v>
      </c>
      <c r="YF27">
        <v>6</v>
      </c>
      <c r="YG27">
        <v>0</v>
      </c>
      <c r="YH27">
        <v>219</v>
      </c>
      <c r="YI27">
        <v>7</v>
      </c>
      <c r="YJ27">
        <v>8</v>
      </c>
      <c r="YK27">
        <v>6</v>
      </c>
      <c r="YL27">
        <v>0</v>
      </c>
      <c r="YM27">
        <v>49</v>
      </c>
      <c r="YN27">
        <v>39</v>
      </c>
      <c r="YO27">
        <v>38</v>
      </c>
      <c r="YP27">
        <v>37</v>
      </c>
      <c r="YQ27">
        <v>2</v>
      </c>
      <c r="YR27">
        <v>1354</v>
      </c>
      <c r="YS27">
        <v>41</v>
      </c>
      <c r="YT27">
        <v>42</v>
      </c>
      <c r="YU27">
        <v>41</v>
      </c>
      <c r="YV27">
        <v>0</v>
      </c>
      <c r="YW27">
        <v>1543</v>
      </c>
      <c r="YX27">
        <v>22</v>
      </c>
      <c r="YY27" t="s">
        <v>85</v>
      </c>
      <c r="YZ27" t="s">
        <v>85</v>
      </c>
      <c r="ZA27" t="s">
        <v>85</v>
      </c>
      <c r="ZB27" t="s">
        <v>85</v>
      </c>
      <c r="ZC27">
        <v>0</v>
      </c>
      <c r="ZD27">
        <v>2</v>
      </c>
      <c r="ZE27">
        <v>2</v>
      </c>
      <c r="ZF27">
        <v>2</v>
      </c>
      <c r="ZG27">
        <v>0</v>
      </c>
      <c r="ZH27">
        <v>59</v>
      </c>
      <c r="ZI27" t="s">
        <v>85</v>
      </c>
      <c r="ZJ27" t="s">
        <v>85</v>
      </c>
      <c r="ZK27" t="s">
        <v>85</v>
      </c>
      <c r="ZL27" t="s">
        <v>85</v>
      </c>
      <c r="ZM27" t="s">
        <v>85</v>
      </c>
      <c r="ZN27" t="s">
        <v>85</v>
      </c>
      <c r="ZO27" t="s">
        <v>85</v>
      </c>
      <c r="ZP27" t="s">
        <v>85</v>
      </c>
      <c r="ZQ27" t="s">
        <v>85</v>
      </c>
      <c r="ZR27" t="s">
        <v>85</v>
      </c>
      <c r="ZS27" t="s">
        <v>85</v>
      </c>
      <c r="ZT27" t="s">
        <v>85</v>
      </c>
      <c r="ZU27" t="s">
        <v>85</v>
      </c>
      <c r="ZV27" t="s">
        <v>85</v>
      </c>
      <c r="ZW27" t="s">
        <v>85</v>
      </c>
      <c r="ZX27">
        <v>22</v>
      </c>
      <c r="ZY27">
        <v>22</v>
      </c>
      <c r="ZZ27">
        <v>22</v>
      </c>
      <c r="AAA27">
        <v>80</v>
      </c>
      <c r="AAB27">
        <v>83</v>
      </c>
      <c r="AAC27">
        <v>81</v>
      </c>
      <c r="AAD27">
        <v>0</v>
      </c>
      <c r="AAE27">
        <v>3128</v>
      </c>
      <c r="AAF27" t="s">
        <v>85</v>
      </c>
      <c r="AAG27" t="s">
        <v>85</v>
      </c>
      <c r="AAH27" t="s">
        <v>85</v>
      </c>
      <c r="AAI27" t="s">
        <v>85</v>
      </c>
      <c r="AAJ27" t="s">
        <v>85</v>
      </c>
      <c r="AAK27" t="s">
        <v>85</v>
      </c>
      <c r="AAL27" t="s">
        <v>85</v>
      </c>
      <c r="AAM27" t="s">
        <v>85</v>
      </c>
      <c r="AAN27" t="s">
        <v>85</v>
      </c>
      <c r="AAO27" t="s">
        <v>85</v>
      </c>
      <c r="AAP27" t="s">
        <v>85</v>
      </c>
      <c r="AAQ27" t="s">
        <v>85</v>
      </c>
      <c r="AAR27" t="s">
        <v>85</v>
      </c>
      <c r="AAS27" t="s">
        <v>85</v>
      </c>
      <c r="AAT27" t="s">
        <v>85</v>
      </c>
      <c r="AAU27" t="s">
        <v>85</v>
      </c>
      <c r="AAV27" t="s">
        <v>85</v>
      </c>
      <c r="AAW27" t="s">
        <v>85</v>
      </c>
      <c r="AAX27" t="s">
        <v>85</v>
      </c>
      <c r="AAY27" t="s">
        <v>85</v>
      </c>
    </row>
    <row r="28" spans="1:727">
      <c r="A28" s="483">
        <v>22</v>
      </c>
      <c r="B28" s="503">
        <v>0</v>
      </c>
      <c r="C28" s="503">
        <v>-1</v>
      </c>
      <c r="D28" s="503">
        <v>-1</v>
      </c>
      <c r="E28" s="503">
        <v>-1</v>
      </c>
      <c r="F28" s="503">
        <v>25</v>
      </c>
      <c r="G28" s="593">
        <v>5</v>
      </c>
      <c r="H28" s="593">
        <v>6</v>
      </c>
      <c r="I28" s="593">
        <v>6</v>
      </c>
      <c r="J28" s="593">
        <v>0</v>
      </c>
      <c r="K28" s="593">
        <v>88</v>
      </c>
      <c r="L28" s="502">
        <v>7</v>
      </c>
      <c r="M28" s="502">
        <v>7</v>
      </c>
      <c r="N28" s="502">
        <v>6</v>
      </c>
      <c r="O28" s="502">
        <v>0</v>
      </c>
      <c r="P28" s="502">
        <v>64</v>
      </c>
      <c r="Q28" s="504">
        <v>4</v>
      </c>
      <c r="R28" s="504">
        <v>4</v>
      </c>
      <c r="S28" s="504">
        <v>4</v>
      </c>
      <c r="T28" s="504">
        <v>0</v>
      </c>
      <c r="U28" s="504">
        <v>59</v>
      </c>
      <c r="V28" s="505">
        <v>6</v>
      </c>
      <c r="W28" s="505">
        <v>6</v>
      </c>
      <c r="X28" s="505">
        <v>6</v>
      </c>
      <c r="Y28" s="505">
        <v>1</v>
      </c>
      <c r="Z28" s="505">
        <v>0</v>
      </c>
      <c r="AA28" s="506"/>
      <c r="AB28" s="506"/>
      <c r="AC28" s="506"/>
      <c r="AD28" s="506"/>
      <c r="AE28" s="506"/>
      <c r="AF28" s="506"/>
      <c r="AG28" s="507"/>
      <c r="AH28" s="507"/>
      <c r="AI28" s="507"/>
      <c r="AJ28" s="507"/>
      <c r="AK28" s="507"/>
      <c r="AL28" s="508"/>
      <c r="AM28" s="508"/>
      <c r="AN28" s="508"/>
      <c r="AO28" s="508"/>
      <c r="AP28" s="508"/>
      <c r="AQ28" s="509"/>
      <c r="AR28" s="509"/>
      <c r="AS28" s="509"/>
      <c r="AT28" s="509"/>
      <c r="AU28" s="509"/>
      <c r="AV28" s="483"/>
      <c r="AW28" s="483"/>
      <c r="AX28" s="483"/>
      <c r="AY28" s="483"/>
      <c r="AZ28" s="483"/>
      <c r="BA28" s="483"/>
      <c r="BB28" s="483"/>
      <c r="BC28" s="483"/>
      <c r="BD28" s="483"/>
      <c r="BE28" s="483"/>
      <c r="BF28" s="483"/>
      <c r="BG28" s="483"/>
      <c r="BH28" s="483"/>
      <c r="BI28" s="483"/>
      <c r="BJ28" s="483"/>
      <c r="BK28" s="483"/>
      <c r="BL28" s="483"/>
      <c r="BM28" s="483"/>
      <c r="BN28" s="483"/>
      <c r="BO28" s="483"/>
      <c r="BP28" s="483"/>
      <c r="GA28" t="s">
        <v>85</v>
      </c>
      <c r="GB28">
        <v>23</v>
      </c>
      <c r="GC28">
        <v>149</v>
      </c>
      <c r="GD28">
        <v>100</v>
      </c>
      <c r="GE28">
        <v>106</v>
      </c>
      <c r="GF28">
        <v>48</v>
      </c>
      <c r="GG28">
        <v>2449</v>
      </c>
      <c r="GH28">
        <v>59</v>
      </c>
      <c r="GI28">
        <v>52</v>
      </c>
      <c r="GJ28">
        <v>55</v>
      </c>
      <c r="GK28">
        <v>16</v>
      </c>
      <c r="GL28">
        <v>1145</v>
      </c>
      <c r="GM28">
        <v>153</v>
      </c>
      <c r="GN28">
        <v>59</v>
      </c>
      <c r="GO28">
        <v>100</v>
      </c>
      <c r="GP28">
        <v>102</v>
      </c>
      <c r="GQ28">
        <v>1971</v>
      </c>
      <c r="GR28">
        <v>23</v>
      </c>
      <c r="GS28">
        <v>21</v>
      </c>
      <c r="GT28">
        <v>21</v>
      </c>
      <c r="GU28">
        <v>9</v>
      </c>
      <c r="GV28">
        <v>482</v>
      </c>
      <c r="GW28">
        <v>22</v>
      </c>
      <c r="GX28">
        <v>17</v>
      </c>
      <c r="GY28">
        <v>10</v>
      </c>
      <c r="GZ28">
        <v>17</v>
      </c>
      <c r="HA28">
        <v>348</v>
      </c>
      <c r="HB28">
        <v>23</v>
      </c>
      <c r="HC28">
        <v>82</v>
      </c>
      <c r="HD28">
        <v>56</v>
      </c>
      <c r="HE28">
        <v>40</v>
      </c>
      <c r="HF28">
        <v>34</v>
      </c>
      <c r="HG28">
        <v>1174</v>
      </c>
      <c r="HH28">
        <v>178</v>
      </c>
      <c r="HI28">
        <v>152</v>
      </c>
      <c r="HJ28">
        <v>157</v>
      </c>
      <c r="HK28">
        <v>37</v>
      </c>
      <c r="HL28">
        <v>3395</v>
      </c>
      <c r="HM28">
        <v>188</v>
      </c>
      <c r="HN28">
        <v>174</v>
      </c>
      <c r="HO28">
        <v>200</v>
      </c>
      <c r="HP28">
        <v>37</v>
      </c>
      <c r="HQ28">
        <v>3770</v>
      </c>
      <c r="HR28">
        <v>90</v>
      </c>
      <c r="HS28">
        <v>100</v>
      </c>
      <c r="HT28">
        <v>121</v>
      </c>
      <c r="HU28">
        <v>33</v>
      </c>
      <c r="HV28">
        <v>2151</v>
      </c>
      <c r="HW28">
        <v>13</v>
      </c>
      <c r="HX28">
        <v>20</v>
      </c>
      <c r="HY28">
        <v>27</v>
      </c>
      <c r="HZ28">
        <v>14</v>
      </c>
      <c r="IA28">
        <v>396</v>
      </c>
      <c r="IB28">
        <v>23</v>
      </c>
      <c r="IC28">
        <v>206</v>
      </c>
      <c r="ID28">
        <v>185</v>
      </c>
      <c r="IE28">
        <v>162</v>
      </c>
      <c r="IF28">
        <v>60</v>
      </c>
      <c r="IG28">
        <v>3678</v>
      </c>
      <c r="IH28">
        <v>30</v>
      </c>
      <c r="II28">
        <v>46</v>
      </c>
      <c r="IJ28">
        <v>43</v>
      </c>
      <c r="IK28">
        <v>22</v>
      </c>
      <c r="IL28">
        <v>746</v>
      </c>
      <c r="IM28">
        <v>118</v>
      </c>
      <c r="IN28">
        <v>121</v>
      </c>
      <c r="IO28">
        <v>146</v>
      </c>
      <c r="IP28">
        <v>37</v>
      </c>
      <c r="IQ28">
        <v>2703</v>
      </c>
      <c r="IR28">
        <v>71</v>
      </c>
      <c r="IS28">
        <v>67</v>
      </c>
      <c r="IT28">
        <v>81</v>
      </c>
      <c r="IU28">
        <v>22</v>
      </c>
      <c r="IV28">
        <v>1413</v>
      </c>
      <c r="IW28">
        <v>26</v>
      </c>
      <c r="IX28">
        <v>32</v>
      </c>
      <c r="IY28">
        <v>21</v>
      </c>
      <c r="IZ28">
        <v>11</v>
      </c>
      <c r="JA28">
        <v>488</v>
      </c>
      <c r="JB28">
        <v>23</v>
      </c>
      <c r="JC28">
        <v>46</v>
      </c>
      <c r="JD28">
        <v>28</v>
      </c>
      <c r="JE28">
        <v>30</v>
      </c>
      <c r="JF28">
        <v>14</v>
      </c>
      <c r="JG28">
        <v>740</v>
      </c>
      <c r="JH28">
        <v>110</v>
      </c>
      <c r="JI28">
        <v>99</v>
      </c>
      <c r="JJ28">
        <v>91</v>
      </c>
      <c r="JK28">
        <v>31</v>
      </c>
      <c r="JL28">
        <v>2153</v>
      </c>
      <c r="JM28">
        <v>159</v>
      </c>
      <c r="JN28">
        <v>151</v>
      </c>
      <c r="JO28">
        <v>130</v>
      </c>
      <c r="JP28">
        <v>29</v>
      </c>
      <c r="JQ28">
        <v>3062</v>
      </c>
      <c r="JR28">
        <v>208</v>
      </c>
      <c r="JS28">
        <v>201</v>
      </c>
      <c r="JT28">
        <v>222</v>
      </c>
      <c r="JU28">
        <v>34</v>
      </c>
      <c r="JV28">
        <v>4172</v>
      </c>
      <c r="JW28">
        <v>47</v>
      </c>
      <c r="JX28">
        <v>26</v>
      </c>
      <c r="JY28">
        <v>47</v>
      </c>
      <c r="JZ28">
        <v>29</v>
      </c>
      <c r="KA28">
        <v>789</v>
      </c>
      <c r="KB28">
        <v>23</v>
      </c>
      <c r="KC28" t="s">
        <v>85</v>
      </c>
      <c r="KD28" t="s">
        <v>85</v>
      </c>
      <c r="KE28" t="s">
        <v>85</v>
      </c>
      <c r="KF28" t="s">
        <v>85</v>
      </c>
      <c r="KG28" t="s">
        <v>85</v>
      </c>
      <c r="KH28" t="s">
        <v>85</v>
      </c>
      <c r="KI28" t="s">
        <v>85</v>
      </c>
      <c r="KJ28" t="s">
        <v>85</v>
      </c>
      <c r="KK28" t="s">
        <v>85</v>
      </c>
      <c r="KL28" t="s">
        <v>85</v>
      </c>
      <c r="KM28" t="s">
        <v>85</v>
      </c>
      <c r="KN28" t="s">
        <v>85</v>
      </c>
      <c r="KO28" t="s">
        <v>85</v>
      </c>
      <c r="KP28" t="s">
        <v>85</v>
      </c>
      <c r="KQ28" t="s">
        <v>85</v>
      </c>
      <c r="KR28" t="s">
        <v>85</v>
      </c>
      <c r="KS28" t="s">
        <v>85</v>
      </c>
      <c r="KT28" t="s">
        <v>85</v>
      </c>
      <c r="KU28" t="s">
        <v>85</v>
      </c>
      <c r="KV28" t="s">
        <v>85</v>
      </c>
      <c r="KW28" t="s">
        <v>85</v>
      </c>
      <c r="KX28" t="s">
        <v>85</v>
      </c>
      <c r="KY28" t="s">
        <v>85</v>
      </c>
      <c r="KZ28" t="s">
        <v>85</v>
      </c>
      <c r="LA28" t="s">
        <v>85</v>
      </c>
      <c r="LB28">
        <v>23</v>
      </c>
      <c r="LC28" t="s">
        <v>85</v>
      </c>
      <c r="LD28" t="s">
        <v>85</v>
      </c>
      <c r="LE28" t="s">
        <v>85</v>
      </c>
      <c r="LF28" t="s">
        <v>85</v>
      </c>
      <c r="LG28" t="s">
        <v>85</v>
      </c>
      <c r="LH28" t="s">
        <v>85</v>
      </c>
      <c r="LI28" t="s">
        <v>85</v>
      </c>
      <c r="LJ28" t="s">
        <v>85</v>
      </c>
      <c r="LK28" t="s">
        <v>85</v>
      </c>
      <c r="LL28" t="s">
        <v>85</v>
      </c>
      <c r="LM28" t="s">
        <v>85</v>
      </c>
      <c r="LN28" t="s">
        <v>85</v>
      </c>
      <c r="LO28" t="s">
        <v>85</v>
      </c>
      <c r="LP28" t="s">
        <v>85</v>
      </c>
      <c r="LQ28" t="s">
        <v>85</v>
      </c>
      <c r="LR28" t="s">
        <v>85</v>
      </c>
      <c r="LS28" t="s">
        <v>85</v>
      </c>
      <c r="LT28" t="s">
        <v>85</v>
      </c>
      <c r="LU28" t="s">
        <v>85</v>
      </c>
      <c r="LV28" t="s">
        <v>85</v>
      </c>
      <c r="LW28" t="s">
        <v>85</v>
      </c>
      <c r="LX28" t="s">
        <v>85</v>
      </c>
      <c r="LY28" t="s">
        <v>85</v>
      </c>
      <c r="LZ28" t="s">
        <v>85</v>
      </c>
      <c r="MA28" t="s">
        <v>85</v>
      </c>
      <c r="MB28">
        <v>23</v>
      </c>
      <c r="MC28" t="s">
        <v>85</v>
      </c>
      <c r="MD28" t="s">
        <v>85</v>
      </c>
      <c r="ME28" t="s">
        <v>85</v>
      </c>
      <c r="MF28" t="s">
        <v>85</v>
      </c>
      <c r="MG28" t="s">
        <v>85</v>
      </c>
      <c r="MH28" t="s">
        <v>85</v>
      </c>
      <c r="MI28" t="s">
        <v>85</v>
      </c>
      <c r="MJ28" t="s">
        <v>85</v>
      </c>
      <c r="MK28" t="s">
        <v>85</v>
      </c>
      <c r="ML28" t="s">
        <v>85</v>
      </c>
      <c r="MM28" t="s">
        <v>85</v>
      </c>
      <c r="MN28" t="s">
        <v>85</v>
      </c>
      <c r="MO28" t="s">
        <v>85</v>
      </c>
      <c r="MP28" t="s">
        <v>85</v>
      </c>
      <c r="MQ28" t="s">
        <v>85</v>
      </c>
      <c r="MR28" t="s">
        <v>85</v>
      </c>
      <c r="MS28" t="s">
        <v>85</v>
      </c>
      <c r="MT28" t="s">
        <v>85</v>
      </c>
      <c r="MU28" t="s">
        <v>85</v>
      </c>
      <c r="MV28" t="s">
        <v>85</v>
      </c>
      <c r="MW28" t="s">
        <v>85</v>
      </c>
      <c r="MX28" t="s">
        <v>85</v>
      </c>
      <c r="MY28" t="s">
        <v>85</v>
      </c>
      <c r="MZ28" t="s">
        <v>85</v>
      </c>
      <c r="NA28">
        <v>23</v>
      </c>
      <c r="NB28">
        <v>-1</v>
      </c>
      <c r="NC28">
        <v>-1</v>
      </c>
      <c r="ND28">
        <v>0</v>
      </c>
      <c r="NE28">
        <v>-1</v>
      </c>
      <c r="NF28">
        <v>27</v>
      </c>
      <c r="NG28">
        <v>5</v>
      </c>
      <c r="NH28">
        <v>6</v>
      </c>
      <c r="NI28">
        <v>6</v>
      </c>
      <c r="NJ28">
        <v>0</v>
      </c>
      <c r="NK28">
        <v>88</v>
      </c>
      <c r="NL28">
        <v>7</v>
      </c>
      <c r="NM28">
        <v>7</v>
      </c>
      <c r="NN28">
        <v>7</v>
      </c>
      <c r="NO28">
        <v>0</v>
      </c>
      <c r="NP28">
        <v>56</v>
      </c>
      <c r="NQ28">
        <v>5</v>
      </c>
      <c r="NR28">
        <v>5</v>
      </c>
      <c r="NS28">
        <v>4</v>
      </c>
      <c r="NT28">
        <v>0</v>
      </c>
      <c r="NU28">
        <v>55</v>
      </c>
      <c r="NV28">
        <v>6</v>
      </c>
      <c r="NW28">
        <v>6</v>
      </c>
      <c r="NX28">
        <v>6</v>
      </c>
      <c r="NY28">
        <v>1</v>
      </c>
      <c r="NZ28">
        <v>0</v>
      </c>
      <c r="OA28">
        <v>23</v>
      </c>
      <c r="OB28">
        <v>10</v>
      </c>
      <c r="OC28">
        <v>10</v>
      </c>
      <c r="OD28">
        <v>10</v>
      </c>
      <c r="OE28">
        <v>1</v>
      </c>
      <c r="OF28">
        <v>103</v>
      </c>
      <c r="OG28">
        <v>12</v>
      </c>
      <c r="OH28">
        <v>12</v>
      </c>
      <c r="OI28">
        <v>12</v>
      </c>
      <c r="OJ28">
        <v>1</v>
      </c>
      <c r="OK28">
        <v>96</v>
      </c>
      <c r="OL28">
        <v>1</v>
      </c>
      <c r="OM28">
        <v>1</v>
      </c>
      <c r="ON28">
        <v>1</v>
      </c>
      <c r="OO28">
        <v>1</v>
      </c>
      <c r="OP28">
        <v>48</v>
      </c>
      <c r="OQ28" t="s">
        <v>85</v>
      </c>
      <c r="OR28" t="s">
        <v>85</v>
      </c>
      <c r="OS28" t="s">
        <v>85</v>
      </c>
      <c r="OT28" t="s">
        <v>85</v>
      </c>
      <c r="OU28" t="s">
        <v>85</v>
      </c>
      <c r="OV28" t="s">
        <v>85</v>
      </c>
      <c r="OW28" t="s">
        <v>85</v>
      </c>
      <c r="OX28" t="s">
        <v>85</v>
      </c>
      <c r="OY28" t="s">
        <v>85</v>
      </c>
      <c r="OZ28" t="s">
        <v>85</v>
      </c>
      <c r="PA28">
        <v>23</v>
      </c>
      <c r="PB28">
        <v>23</v>
      </c>
      <c r="PC28">
        <v>23</v>
      </c>
      <c r="PD28">
        <v>23</v>
      </c>
      <c r="PE28">
        <v>0</v>
      </c>
      <c r="PF28">
        <v>849</v>
      </c>
      <c r="PG28">
        <v>8</v>
      </c>
      <c r="PH28">
        <v>6</v>
      </c>
      <c r="PI28">
        <v>6</v>
      </c>
      <c r="PJ28">
        <v>0</v>
      </c>
      <c r="PK28">
        <v>222</v>
      </c>
      <c r="PL28">
        <v>7</v>
      </c>
      <c r="PM28">
        <v>7</v>
      </c>
      <c r="PN28">
        <v>6</v>
      </c>
      <c r="PO28">
        <v>0</v>
      </c>
      <c r="PP28">
        <v>44</v>
      </c>
      <c r="PQ28">
        <v>37</v>
      </c>
      <c r="PR28">
        <v>38</v>
      </c>
      <c r="PS28">
        <v>36</v>
      </c>
      <c r="PT28">
        <v>2</v>
      </c>
      <c r="PU28">
        <v>1378</v>
      </c>
      <c r="PV28">
        <v>38</v>
      </c>
      <c r="PW28">
        <v>41</v>
      </c>
      <c r="PX28">
        <v>39</v>
      </c>
      <c r="PY28">
        <v>0</v>
      </c>
      <c r="PZ28">
        <v>1593</v>
      </c>
      <c r="QA28">
        <v>23</v>
      </c>
      <c r="QB28" t="s">
        <v>85</v>
      </c>
      <c r="QC28" t="s">
        <v>85</v>
      </c>
      <c r="QD28" t="s">
        <v>85</v>
      </c>
      <c r="QE28" t="s">
        <v>85</v>
      </c>
      <c r="QF28">
        <v>0</v>
      </c>
      <c r="QG28">
        <v>2</v>
      </c>
      <c r="QH28">
        <v>2</v>
      </c>
      <c r="QI28">
        <v>2</v>
      </c>
      <c r="QJ28">
        <v>0</v>
      </c>
      <c r="QK28">
        <v>59</v>
      </c>
      <c r="QL28" t="s">
        <v>85</v>
      </c>
      <c r="QM28" t="s">
        <v>85</v>
      </c>
      <c r="QN28" t="s">
        <v>85</v>
      </c>
      <c r="QO28" t="s">
        <v>85</v>
      </c>
      <c r="QP28" t="s">
        <v>85</v>
      </c>
      <c r="QQ28" t="s">
        <v>85</v>
      </c>
      <c r="QR28" t="s">
        <v>85</v>
      </c>
      <c r="QS28" t="s">
        <v>85</v>
      </c>
      <c r="QT28" t="s">
        <v>85</v>
      </c>
      <c r="QU28" t="s">
        <v>85</v>
      </c>
      <c r="QV28" t="s">
        <v>85</v>
      </c>
      <c r="QW28" t="s">
        <v>85</v>
      </c>
      <c r="QX28" t="s">
        <v>85</v>
      </c>
      <c r="QY28" t="s">
        <v>85</v>
      </c>
      <c r="QZ28" t="s">
        <v>85</v>
      </c>
      <c r="RA28">
        <v>23</v>
      </c>
      <c r="RB28">
        <v>135</v>
      </c>
      <c r="RC28">
        <v>135</v>
      </c>
      <c r="RD28">
        <v>133</v>
      </c>
      <c r="RE28">
        <v>0</v>
      </c>
      <c r="RF28">
        <v>4594</v>
      </c>
      <c r="RG28">
        <v>8</v>
      </c>
      <c r="RH28">
        <v>7</v>
      </c>
      <c r="RI28">
        <v>7</v>
      </c>
      <c r="RJ28">
        <v>0</v>
      </c>
      <c r="RK28">
        <v>247</v>
      </c>
      <c r="RL28">
        <v>6</v>
      </c>
      <c r="RM28">
        <v>6</v>
      </c>
      <c r="RN28">
        <v>5</v>
      </c>
      <c r="RO28">
        <v>0</v>
      </c>
      <c r="RP28">
        <v>187</v>
      </c>
      <c r="RQ28">
        <v>0</v>
      </c>
      <c r="RR28">
        <v>0</v>
      </c>
      <c r="RS28">
        <v>0</v>
      </c>
      <c r="RT28">
        <v>0</v>
      </c>
      <c r="RU28">
        <v>0</v>
      </c>
      <c r="RV28">
        <v>0</v>
      </c>
      <c r="RW28">
        <v>0</v>
      </c>
      <c r="RX28">
        <v>0</v>
      </c>
      <c r="RY28">
        <v>0</v>
      </c>
      <c r="RZ28">
        <v>0</v>
      </c>
      <c r="SA28">
        <v>23</v>
      </c>
      <c r="SB28">
        <v>0</v>
      </c>
      <c r="SC28">
        <v>0</v>
      </c>
      <c r="SD28">
        <v>0</v>
      </c>
      <c r="SE28">
        <v>0</v>
      </c>
      <c r="SF28">
        <v>0</v>
      </c>
      <c r="SG28" t="s">
        <v>85</v>
      </c>
      <c r="SH28" t="s">
        <v>85</v>
      </c>
      <c r="SI28" t="s">
        <v>85</v>
      </c>
      <c r="SJ28" t="s">
        <v>85</v>
      </c>
      <c r="SK28" t="s">
        <v>85</v>
      </c>
      <c r="SL28" t="s">
        <v>85</v>
      </c>
      <c r="SM28" t="s">
        <v>85</v>
      </c>
      <c r="SN28" t="s">
        <v>85</v>
      </c>
      <c r="SO28" t="s">
        <v>85</v>
      </c>
      <c r="SP28" t="s">
        <v>85</v>
      </c>
      <c r="SQ28" t="s">
        <v>85</v>
      </c>
      <c r="SR28" t="s">
        <v>85</v>
      </c>
      <c r="SS28" t="s">
        <v>85</v>
      </c>
      <c r="ST28" t="s">
        <v>85</v>
      </c>
      <c r="SU28" t="s">
        <v>85</v>
      </c>
      <c r="SV28" t="s">
        <v>85</v>
      </c>
      <c r="SW28" t="s">
        <v>85</v>
      </c>
      <c r="SX28" t="s">
        <v>85</v>
      </c>
      <c r="SY28" t="s">
        <v>85</v>
      </c>
      <c r="SZ28" t="s">
        <v>85</v>
      </c>
      <c r="TA28">
        <v>23</v>
      </c>
      <c r="TB28">
        <v>1</v>
      </c>
      <c r="TC28">
        <v>1</v>
      </c>
      <c r="TD28">
        <v>0</v>
      </c>
      <c r="TE28">
        <v>0</v>
      </c>
      <c r="TF28">
        <v>0</v>
      </c>
      <c r="TG28">
        <v>0</v>
      </c>
      <c r="TH28">
        <v>0</v>
      </c>
      <c r="TI28">
        <v>0</v>
      </c>
      <c r="TJ28">
        <v>0</v>
      </c>
      <c r="TK28">
        <v>0</v>
      </c>
      <c r="TL28">
        <v>0</v>
      </c>
      <c r="TM28">
        <v>0</v>
      </c>
      <c r="TN28">
        <v>0</v>
      </c>
      <c r="TO28">
        <v>0</v>
      </c>
      <c r="TP28">
        <v>0</v>
      </c>
      <c r="TQ28">
        <v>24</v>
      </c>
      <c r="TR28">
        <v>23</v>
      </c>
      <c r="TS28">
        <v>25</v>
      </c>
      <c r="TT28">
        <v>0</v>
      </c>
      <c r="TU28">
        <v>1035</v>
      </c>
      <c r="TV28">
        <v>7</v>
      </c>
      <c r="TW28">
        <v>8</v>
      </c>
      <c r="TX28">
        <v>6</v>
      </c>
      <c r="TY28">
        <v>0</v>
      </c>
      <c r="TZ28">
        <v>267</v>
      </c>
      <c r="UA28">
        <v>23</v>
      </c>
      <c r="UB28">
        <v>77</v>
      </c>
      <c r="UC28">
        <v>80</v>
      </c>
      <c r="UD28">
        <v>79</v>
      </c>
      <c r="UE28">
        <v>0</v>
      </c>
      <c r="UF28">
        <v>3060</v>
      </c>
      <c r="UG28" t="s">
        <v>85</v>
      </c>
      <c r="UH28" t="s">
        <v>85</v>
      </c>
      <c r="UI28" t="s">
        <v>85</v>
      </c>
      <c r="UJ28" t="s">
        <v>85</v>
      </c>
      <c r="UK28" t="s">
        <v>85</v>
      </c>
      <c r="UL28" t="s">
        <v>85</v>
      </c>
      <c r="UM28" t="s">
        <v>85</v>
      </c>
      <c r="UN28" t="s">
        <v>85</v>
      </c>
      <c r="UO28" t="s">
        <v>85</v>
      </c>
      <c r="UP28" t="s">
        <v>85</v>
      </c>
      <c r="UQ28" t="s">
        <v>85</v>
      </c>
      <c r="UR28" t="s">
        <v>85</v>
      </c>
      <c r="US28" t="s">
        <v>85</v>
      </c>
      <c r="UT28" t="s">
        <v>85</v>
      </c>
      <c r="UU28" t="s">
        <v>85</v>
      </c>
      <c r="UV28" t="s">
        <v>85</v>
      </c>
      <c r="UW28" t="s">
        <v>85</v>
      </c>
      <c r="UX28" t="s">
        <v>85</v>
      </c>
      <c r="UY28" t="s">
        <v>85</v>
      </c>
      <c r="UZ28" t="s">
        <v>85</v>
      </c>
      <c r="VX28">
        <v>23</v>
      </c>
      <c r="VY28">
        <v>-1</v>
      </c>
      <c r="VZ28">
        <v>-1</v>
      </c>
      <c r="WA28">
        <v>0</v>
      </c>
      <c r="WB28">
        <v>-1</v>
      </c>
      <c r="WC28">
        <v>27</v>
      </c>
      <c r="WD28">
        <v>5</v>
      </c>
      <c r="WE28">
        <v>6</v>
      </c>
      <c r="WF28">
        <v>6</v>
      </c>
      <c r="WG28">
        <v>0</v>
      </c>
      <c r="WH28">
        <v>88</v>
      </c>
      <c r="WI28">
        <v>7</v>
      </c>
      <c r="WJ28">
        <v>7</v>
      </c>
      <c r="WK28">
        <v>7</v>
      </c>
      <c r="WL28">
        <v>0</v>
      </c>
      <c r="WM28">
        <v>56</v>
      </c>
      <c r="WN28">
        <v>5</v>
      </c>
      <c r="WO28">
        <v>5</v>
      </c>
      <c r="WP28">
        <v>4</v>
      </c>
      <c r="WQ28">
        <v>0</v>
      </c>
      <c r="WR28">
        <v>55</v>
      </c>
      <c r="WS28">
        <v>6</v>
      </c>
      <c r="WT28">
        <v>6</v>
      </c>
      <c r="WU28">
        <v>6</v>
      </c>
      <c r="WV28">
        <v>1</v>
      </c>
      <c r="WW28">
        <v>0</v>
      </c>
      <c r="WX28">
        <v>23</v>
      </c>
      <c r="WY28">
        <v>10</v>
      </c>
      <c r="WZ28">
        <v>10</v>
      </c>
      <c r="XA28">
        <v>10</v>
      </c>
      <c r="XB28">
        <v>1</v>
      </c>
      <c r="XC28">
        <v>103</v>
      </c>
      <c r="XD28">
        <v>12</v>
      </c>
      <c r="XE28">
        <v>12</v>
      </c>
      <c r="XF28">
        <v>12</v>
      </c>
      <c r="XG28">
        <v>1</v>
      </c>
      <c r="XH28">
        <v>96</v>
      </c>
      <c r="XI28">
        <v>1</v>
      </c>
      <c r="XJ28">
        <v>1</v>
      </c>
      <c r="XK28">
        <v>1</v>
      </c>
      <c r="XL28">
        <v>1</v>
      </c>
      <c r="XM28">
        <v>48</v>
      </c>
      <c r="XN28" t="s">
        <v>85</v>
      </c>
      <c r="XO28" t="s">
        <v>85</v>
      </c>
      <c r="XP28" t="s">
        <v>85</v>
      </c>
      <c r="XQ28" t="s">
        <v>85</v>
      </c>
      <c r="XR28" t="s">
        <v>85</v>
      </c>
      <c r="XS28" t="s">
        <v>85</v>
      </c>
      <c r="XT28" t="s">
        <v>85</v>
      </c>
      <c r="XU28" t="s">
        <v>85</v>
      </c>
      <c r="XV28" t="s">
        <v>85</v>
      </c>
      <c r="XW28" t="s">
        <v>85</v>
      </c>
      <c r="XX28">
        <v>23</v>
      </c>
      <c r="XY28">
        <v>23</v>
      </c>
      <c r="XZ28">
        <v>23</v>
      </c>
      <c r="YA28">
        <v>23</v>
      </c>
      <c r="YB28">
        <v>0</v>
      </c>
      <c r="YC28">
        <v>849</v>
      </c>
      <c r="YD28">
        <v>8</v>
      </c>
      <c r="YE28">
        <v>6</v>
      </c>
      <c r="YF28">
        <v>6</v>
      </c>
      <c r="YG28">
        <v>0</v>
      </c>
      <c r="YH28">
        <v>222</v>
      </c>
      <c r="YI28">
        <v>7</v>
      </c>
      <c r="YJ28">
        <v>7</v>
      </c>
      <c r="YK28">
        <v>6</v>
      </c>
      <c r="YL28">
        <v>0</v>
      </c>
      <c r="YM28">
        <v>44</v>
      </c>
      <c r="YN28">
        <v>37</v>
      </c>
      <c r="YO28">
        <v>38</v>
      </c>
      <c r="YP28">
        <v>36</v>
      </c>
      <c r="YQ28">
        <v>2</v>
      </c>
      <c r="YR28">
        <v>1378</v>
      </c>
      <c r="YS28">
        <v>38</v>
      </c>
      <c r="YT28">
        <v>41</v>
      </c>
      <c r="YU28">
        <v>39</v>
      </c>
      <c r="YV28">
        <v>0</v>
      </c>
      <c r="YW28">
        <v>1593</v>
      </c>
      <c r="YX28">
        <v>23</v>
      </c>
      <c r="YY28" t="s">
        <v>85</v>
      </c>
      <c r="YZ28" t="s">
        <v>85</v>
      </c>
      <c r="ZA28" t="s">
        <v>85</v>
      </c>
      <c r="ZB28" t="s">
        <v>85</v>
      </c>
      <c r="ZC28">
        <v>0</v>
      </c>
      <c r="ZD28">
        <v>2</v>
      </c>
      <c r="ZE28">
        <v>2</v>
      </c>
      <c r="ZF28">
        <v>2</v>
      </c>
      <c r="ZG28">
        <v>0</v>
      </c>
      <c r="ZH28">
        <v>59</v>
      </c>
      <c r="ZI28" t="s">
        <v>85</v>
      </c>
      <c r="ZJ28" t="s">
        <v>85</v>
      </c>
      <c r="ZK28" t="s">
        <v>85</v>
      </c>
      <c r="ZL28" t="s">
        <v>85</v>
      </c>
      <c r="ZM28" t="s">
        <v>85</v>
      </c>
      <c r="ZN28" t="s">
        <v>85</v>
      </c>
      <c r="ZO28" t="s">
        <v>85</v>
      </c>
      <c r="ZP28" t="s">
        <v>85</v>
      </c>
      <c r="ZQ28" t="s">
        <v>85</v>
      </c>
      <c r="ZR28" t="s">
        <v>85</v>
      </c>
      <c r="ZS28" t="s">
        <v>85</v>
      </c>
      <c r="ZT28" t="s">
        <v>85</v>
      </c>
      <c r="ZU28" t="s">
        <v>85</v>
      </c>
      <c r="ZV28" t="s">
        <v>85</v>
      </c>
      <c r="ZW28" t="s">
        <v>85</v>
      </c>
      <c r="ZX28">
        <v>23</v>
      </c>
      <c r="ZY28">
        <v>23</v>
      </c>
      <c r="ZZ28">
        <v>23</v>
      </c>
      <c r="AAA28">
        <v>77</v>
      </c>
      <c r="AAB28">
        <v>80</v>
      </c>
      <c r="AAC28">
        <v>79</v>
      </c>
      <c r="AAD28">
        <v>0</v>
      </c>
      <c r="AAE28">
        <v>3060</v>
      </c>
      <c r="AAF28" t="s">
        <v>85</v>
      </c>
      <c r="AAG28" t="s">
        <v>85</v>
      </c>
      <c r="AAH28" t="s">
        <v>85</v>
      </c>
      <c r="AAI28" t="s">
        <v>85</v>
      </c>
      <c r="AAJ28" t="s">
        <v>85</v>
      </c>
      <c r="AAK28" t="s">
        <v>85</v>
      </c>
      <c r="AAL28" t="s">
        <v>85</v>
      </c>
      <c r="AAM28" t="s">
        <v>85</v>
      </c>
      <c r="AAN28" t="s">
        <v>85</v>
      </c>
      <c r="AAO28" t="s">
        <v>85</v>
      </c>
      <c r="AAP28" t="s">
        <v>85</v>
      </c>
      <c r="AAQ28" t="s">
        <v>85</v>
      </c>
      <c r="AAR28" t="s">
        <v>85</v>
      </c>
      <c r="AAS28" t="s">
        <v>85</v>
      </c>
      <c r="AAT28" t="s">
        <v>85</v>
      </c>
      <c r="AAU28" t="s">
        <v>85</v>
      </c>
      <c r="AAV28" t="s">
        <v>85</v>
      </c>
      <c r="AAW28" t="s">
        <v>85</v>
      </c>
      <c r="AAX28" t="s">
        <v>85</v>
      </c>
      <c r="AAY28" t="s">
        <v>85</v>
      </c>
    </row>
    <row r="29" spans="1:727">
      <c r="A29" s="483">
        <v>23</v>
      </c>
      <c r="B29" s="503">
        <v>-1</v>
      </c>
      <c r="C29" s="503">
        <v>-1</v>
      </c>
      <c r="D29" s="503">
        <v>-1</v>
      </c>
      <c r="E29" s="503">
        <v>-1</v>
      </c>
      <c r="F29" s="503">
        <v>25</v>
      </c>
      <c r="G29" s="593">
        <v>6</v>
      </c>
      <c r="H29" s="593">
        <v>6</v>
      </c>
      <c r="I29" s="593">
        <v>6</v>
      </c>
      <c r="J29" s="593">
        <v>0</v>
      </c>
      <c r="K29" s="593">
        <v>81</v>
      </c>
      <c r="L29" s="502">
        <v>8</v>
      </c>
      <c r="M29" s="502">
        <v>7</v>
      </c>
      <c r="N29" s="502">
        <v>7</v>
      </c>
      <c r="O29" s="502">
        <v>0</v>
      </c>
      <c r="P29" s="502">
        <v>71</v>
      </c>
      <c r="Q29" s="504">
        <v>5</v>
      </c>
      <c r="R29" s="504">
        <v>4</v>
      </c>
      <c r="S29" s="504">
        <v>4</v>
      </c>
      <c r="T29" s="504">
        <v>0</v>
      </c>
      <c r="U29" s="504">
        <v>55</v>
      </c>
      <c r="V29" s="505">
        <v>6</v>
      </c>
      <c r="W29" s="505">
        <v>6</v>
      </c>
      <c r="X29" s="505">
        <v>6</v>
      </c>
      <c r="Y29" s="505">
        <v>1</v>
      </c>
      <c r="Z29" s="505">
        <v>0</v>
      </c>
      <c r="AA29" s="506"/>
      <c r="AB29" s="506"/>
      <c r="AC29" s="506"/>
      <c r="AD29" s="506"/>
      <c r="AE29" s="506"/>
      <c r="AF29" s="506"/>
      <c r="AG29" s="507"/>
      <c r="AH29" s="507"/>
      <c r="AI29" s="507"/>
      <c r="AJ29" s="507"/>
      <c r="AK29" s="507"/>
      <c r="AL29" s="508"/>
      <c r="AM29" s="508"/>
      <c r="AN29" s="508"/>
      <c r="AO29" s="508"/>
      <c r="AP29" s="508"/>
      <c r="AQ29" s="509"/>
      <c r="AR29" s="509"/>
      <c r="AS29" s="509"/>
      <c r="AT29" s="509"/>
      <c r="AU29" s="509"/>
      <c r="AV29" s="483"/>
      <c r="AW29" s="483"/>
      <c r="AX29" s="483"/>
      <c r="AY29" s="483"/>
      <c r="AZ29" s="483"/>
      <c r="BA29" s="483"/>
      <c r="BB29" s="483"/>
      <c r="BC29" s="483"/>
      <c r="BD29" s="483"/>
      <c r="BE29" s="483"/>
      <c r="BF29" s="483"/>
      <c r="BG29" s="483"/>
      <c r="BH29" s="483"/>
      <c r="BI29" s="483"/>
      <c r="BJ29" s="483"/>
      <c r="BK29" s="483"/>
      <c r="BL29" s="483"/>
      <c r="BM29" s="483"/>
      <c r="BN29" s="483"/>
      <c r="BO29" s="483"/>
      <c r="BP29" s="483"/>
      <c r="GA29" t="s">
        <v>85</v>
      </c>
      <c r="GB29">
        <v>24</v>
      </c>
      <c r="GC29">
        <v>137</v>
      </c>
      <c r="GD29">
        <v>96</v>
      </c>
      <c r="GE29">
        <v>94</v>
      </c>
      <c r="GF29">
        <v>44</v>
      </c>
      <c r="GG29">
        <v>2277</v>
      </c>
      <c r="GH29">
        <v>54</v>
      </c>
      <c r="GI29">
        <v>48</v>
      </c>
      <c r="GJ29">
        <v>53</v>
      </c>
      <c r="GK29">
        <v>15</v>
      </c>
      <c r="GL29">
        <v>1078</v>
      </c>
      <c r="GM29">
        <v>141</v>
      </c>
      <c r="GN29">
        <v>61</v>
      </c>
      <c r="GO29">
        <v>88</v>
      </c>
      <c r="GP29">
        <v>89</v>
      </c>
      <c r="GQ29">
        <v>1919</v>
      </c>
      <c r="GR29">
        <v>25</v>
      </c>
      <c r="GS29">
        <v>20</v>
      </c>
      <c r="GT29">
        <v>20</v>
      </c>
      <c r="GU29">
        <v>11</v>
      </c>
      <c r="GV29">
        <v>437</v>
      </c>
      <c r="GW29">
        <v>21</v>
      </c>
      <c r="GX29">
        <v>17</v>
      </c>
      <c r="GY29">
        <v>10</v>
      </c>
      <c r="GZ29">
        <v>15</v>
      </c>
      <c r="HA29">
        <v>316</v>
      </c>
      <c r="HB29">
        <v>24</v>
      </c>
      <c r="HC29">
        <v>80</v>
      </c>
      <c r="HD29">
        <v>54</v>
      </c>
      <c r="HE29">
        <v>43</v>
      </c>
      <c r="HF29">
        <v>28</v>
      </c>
      <c r="HG29">
        <v>1107</v>
      </c>
      <c r="HH29">
        <v>171</v>
      </c>
      <c r="HI29">
        <v>142</v>
      </c>
      <c r="HJ29">
        <v>141</v>
      </c>
      <c r="HK29">
        <v>42</v>
      </c>
      <c r="HL29">
        <v>3128</v>
      </c>
      <c r="HM29">
        <v>171</v>
      </c>
      <c r="HN29">
        <v>153</v>
      </c>
      <c r="HO29">
        <v>182</v>
      </c>
      <c r="HP29">
        <v>42</v>
      </c>
      <c r="HQ29">
        <v>3593</v>
      </c>
      <c r="HR29">
        <v>80</v>
      </c>
      <c r="HS29">
        <v>89</v>
      </c>
      <c r="HT29">
        <v>110</v>
      </c>
      <c r="HU29">
        <v>32</v>
      </c>
      <c r="HV29">
        <v>1965</v>
      </c>
      <c r="HW29">
        <v>11</v>
      </c>
      <c r="HX29">
        <v>18</v>
      </c>
      <c r="HY29">
        <v>25</v>
      </c>
      <c r="HZ29">
        <v>13</v>
      </c>
      <c r="IA29">
        <v>369</v>
      </c>
      <c r="IB29">
        <v>24</v>
      </c>
      <c r="IC29">
        <v>178</v>
      </c>
      <c r="ID29">
        <v>164</v>
      </c>
      <c r="IE29">
        <v>150</v>
      </c>
      <c r="IF29">
        <v>42</v>
      </c>
      <c r="IG29">
        <v>3437</v>
      </c>
      <c r="IH29">
        <v>30</v>
      </c>
      <c r="II29">
        <v>48</v>
      </c>
      <c r="IJ29">
        <v>45</v>
      </c>
      <c r="IK29">
        <v>22</v>
      </c>
      <c r="IL29">
        <v>703</v>
      </c>
      <c r="IM29">
        <v>110</v>
      </c>
      <c r="IN29">
        <v>113</v>
      </c>
      <c r="IO29">
        <v>137</v>
      </c>
      <c r="IP29">
        <v>32</v>
      </c>
      <c r="IQ29">
        <v>2424</v>
      </c>
      <c r="IR29">
        <v>62</v>
      </c>
      <c r="IS29">
        <v>61</v>
      </c>
      <c r="IT29">
        <v>71</v>
      </c>
      <c r="IU29">
        <v>19</v>
      </c>
      <c r="IV29">
        <v>1380</v>
      </c>
      <c r="IW29">
        <v>23</v>
      </c>
      <c r="IX29">
        <v>30</v>
      </c>
      <c r="IY29">
        <v>19</v>
      </c>
      <c r="IZ29">
        <v>11</v>
      </c>
      <c r="JA29">
        <v>495</v>
      </c>
      <c r="JB29">
        <v>24</v>
      </c>
      <c r="JC29">
        <v>46</v>
      </c>
      <c r="JD29">
        <v>26</v>
      </c>
      <c r="JE29">
        <v>28</v>
      </c>
      <c r="JF29">
        <v>18</v>
      </c>
      <c r="JG29">
        <v>686</v>
      </c>
      <c r="JH29">
        <v>112</v>
      </c>
      <c r="JI29">
        <v>100</v>
      </c>
      <c r="JJ29">
        <v>90</v>
      </c>
      <c r="JK29">
        <v>31</v>
      </c>
      <c r="JL29">
        <v>2057</v>
      </c>
      <c r="JM29">
        <v>144</v>
      </c>
      <c r="JN29">
        <v>139</v>
      </c>
      <c r="JO29">
        <v>122</v>
      </c>
      <c r="JP29">
        <v>26</v>
      </c>
      <c r="JQ29">
        <v>2834</v>
      </c>
      <c r="JR29">
        <v>190</v>
      </c>
      <c r="JS29">
        <v>183</v>
      </c>
      <c r="JT29">
        <v>197</v>
      </c>
      <c r="JU29">
        <v>29</v>
      </c>
      <c r="JV29">
        <v>3920</v>
      </c>
      <c r="JW29">
        <v>41</v>
      </c>
      <c r="JX29">
        <v>26</v>
      </c>
      <c r="JY29">
        <v>42</v>
      </c>
      <c r="JZ29">
        <v>23</v>
      </c>
      <c r="KA29">
        <v>741</v>
      </c>
      <c r="KB29">
        <v>24</v>
      </c>
      <c r="KC29" t="s">
        <v>85</v>
      </c>
      <c r="KD29" t="s">
        <v>85</v>
      </c>
      <c r="KE29" t="s">
        <v>85</v>
      </c>
      <c r="KF29" t="s">
        <v>85</v>
      </c>
      <c r="KG29" t="s">
        <v>85</v>
      </c>
      <c r="KH29" t="s">
        <v>85</v>
      </c>
      <c r="KI29" t="s">
        <v>85</v>
      </c>
      <c r="KJ29" t="s">
        <v>85</v>
      </c>
      <c r="KK29" t="s">
        <v>85</v>
      </c>
      <c r="KL29" t="s">
        <v>85</v>
      </c>
      <c r="KM29" t="s">
        <v>85</v>
      </c>
      <c r="KN29" t="s">
        <v>85</v>
      </c>
      <c r="KO29" t="s">
        <v>85</v>
      </c>
      <c r="KP29" t="s">
        <v>85</v>
      </c>
      <c r="KQ29" t="s">
        <v>85</v>
      </c>
      <c r="KR29" t="s">
        <v>85</v>
      </c>
      <c r="KS29" t="s">
        <v>85</v>
      </c>
      <c r="KT29" t="s">
        <v>85</v>
      </c>
      <c r="KU29" t="s">
        <v>85</v>
      </c>
      <c r="KV29" t="s">
        <v>85</v>
      </c>
      <c r="KW29" t="s">
        <v>85</v>
      </c>
      <c r="KX29" t="s">
        <v>85</v>
      </c>
      <c r="KY29" t="s">
        <v>85</v>
      </c>
      <c r="KZ29" t="s">
        <v>85</v>
      </c>
      <c r="LA29" t="s">
        <v>85</v>
      </c>
      <c r="LB29">
        <v>24</v>
      </c>
      <c r="LC29" t="s">
        <v>85</v>
      </c>
      <c r="LD29" t="s">
        <v>85</v>
      </c>
      <c r="LE29" t="s">
        <v>85</v>
      </c>
      <c r="LF29" t="s">
        <v>85</v>
      </c>
      <c r="LG29" t="s">
        <v>85</v>
      </c>
      <c r="LH29" t="s">
        <v>85</v>
      </c>
      <c r="LI29" t="s">
        <v>85</v>
      </c>
      <c r="LJ29" t="s">
        <v>85</v>
      </c>
      <c r="LK29" t="s">
        <v>85</v>
      </c>
      <c r="LL29" t="s">
        <v>85</v>
      </c>
      <c r="LM29" t="s">
        <v>85</v>
      </c>
      <c r="LN29" t="s">
        <v>85</v>
      </c>
      <c r="LO29" t="s">
        <v>85</v>
      </c>
      <c r="LP29" t="s">
        <v>85</v>
      </c>
      <c r="LQ29" t="s">
        <v>85</v>
      </c>
      <c r="LR29" t="s">
        <v>85</v>
      </c>
      <c r="LS29" t="s">
        <v>85</v>
      </c>
      <c r="LT29" t="s">
        <v>85</v>
      </c>
      <c r="LU29" t="s">
        <v>85</v>
      </c>
      <c r="LV29" t="s">
        <v>85</v>
      </c>
      <c r="LW29" t="s">
        <v>85</v>
      </c>
      <c r="LX29" t="s">
        <v>85</v>
      </c>
      <c r="LY29" t="s">
        <v>85</v>
      </c>
      <c r="LZ29" t="s">
        <v>85</v>
      </c>
      <c r="MA29" t="s">
        <v>85</v>
      </c>
      <c r="MB29">
        <v>24</v>
      </c>
      <c r="MC29" t="s">
        <v>85</v>
      </c>
      <c r="MD29" t="s">
        <v>85</v>
      </c>
      <c r="ME29" t="s">
        <v>85</v>
      </c>
      <c r="MF29" t="s">
        <v>85</v>
      </c>
      <c r="MG29" t="s">
        <v>85</v>
      </c>
      <c r="MH29" t="s">
        <v>85</v>
      </c>
      <c r="MI29" t="s">
        <v>85</v>
      </c>
      <c r="MJ29" t="s">
        <v>85</v>
      </c>
      <c r="MK29" t="s">
        <v>85</v>
      </c>
      <c r="ML29" t="s">
        <v>85</v>
      </c>
      <c r="MM29" t="s">
        <v>85</v>
      </c>
      <c r="MN29" t="s">
        <v>85</v>
      </c>
      <c r="MO29" t="s">
        <v>85</v>
      </c>
      <c r="MP29" t="s">
        <v>85</v>
      </c>
      <c r="MQ29" t="s">
        <v>85</v>
      </c>
      <c r="MR29" t="s">
        <v>85</v>
      </c>
      <c r="MS29" t="s">
        <v>85</v>
      </c>
      <c r="MT29" t="s">
        <v>85</v>
      </c>
      <c r="MU29" t="s">
        <v>85</v>
      </c>
      <c r="MV29" t="s">
        <v>85</v>
      </c>
      <c r="MW29" t="s">
        <v>85</v>
      </c>
      <c r="MX29" t="s">
        <v>85</v>
      </c>
      <c r="MY29" t="s">
        <v>85</v>
      </c>
      <c r="MZ29" t="s">
        <v>85</v>
      </c>
      <c r="NA29">
        <v>24</v>
      </c>
      <c r="NB29">
        <v>-1</v>
      </c>
      <c r="NC29">
        <v>-1</v>
      </c>
      <c r="ND29">
        <v>-1</v>
      </c>
      <c r="NE29">
        <v>-1</v>
      </c>
      <c r="NF29">
        <v>26</v>
      </c>
      <c r="NG29">
        <v>5</v>
      </c>
      <c r="NH29">
        <v>6</v>
      </c>
      <c r="NI29">
        <v>6</v>
      </c>
      <c r="NJ29">
        <v>0</v>
      </c>
      <c r="NK29">
        <v>81</v>
      </c>
      <c r="NL29">
        <v>7</v>
      </c>
      <c r="NM29">
        <v>7</v>
      </c>
      <c r="NN29">
        <v>6</v>
      </c>
      <c r="NO29">
        <v>0</v>
      </c>
      <c r="NP29">
        <v>56</v>
      </c>
      <c r="NQ29">
        <v>5</v>
      </c>
      <c r="NR29">
        <v>4</v>
      </c>
      <c r="NS29">
        <v>4</v>
      </c>
      <c r="NT29">
        <v>0</v>
      </c>
      <c r="NU29">
        <v>54</v>
      </c>
      <c r="NV29">
        <v>6</v>
      </c>
      <c r="NW29">
        <v>6</v>
      </c>
      <c r="NX29">
        <v>5</v>
      </c>
      <c r="NY29">
        <v>1</v>
      </c>
      <c r="NZ29">
        <v>0</v>
      </c>
      <c r="OA29">
        <v>24</v>
      </c>
      <c r="OB29">
        <v>10</v>
      </c>
      <c r="OC29">
        <v>10</v>
      </c>
      <c r="OD29">
        <v>10</v>
      </c>
      <c r="OE29">
        <v>1</v>
      </c>
      <c r="OF29">
        <v>96</v>
      </c>
      <c r="OG29">
        <v>12</v>
      </c>
      <c r="OH29">
        <v>12</v>
      </c>
      <c r="OI29">
        <v>12</v>
      </c>
      <c r="OJ29">
        <v>1</v>
      </c>
      <c r="OK29">
        <v>107</v>
      </c>
      <c r="OL29">
        <v>1</v>
      </c>
      <c r="OM29">
        <v>1</v>
      </c>
      <c r="ON29">
        <v>1</v>
      </c>
      <c r="OO29">
        <v>1</v>
      </c>
      <c r="OP29">
        <v>47</v>
      </c>
      <c r="OQ29" t="s">
        <v>85</v>
      </c>
      <c r="OR29" t="s">
        <v>85</v>
      </c>
      <c r="OS29" t="s">
        <v>85</v>
      </c>
      <c r="OT29" t="s">
        <v>85</v>
      </c>
      <c r="OU29" t="s">
        <v>85</v>
      </c>
      <c r="OV29" t="s">
        <v>85</v>
      </c>
      <c r="OW29" t="s">
        <v>85</v>
      </c>
      <c r="OX29" t="s">
        <v>85</v>
      </c>
      <c r="OY29" t="s">
        <v>85</v>
      </c>
      <c r="OZ29" t="s">
        <v>85</v>
      </c>
      <c r="PA29">
        <v>24</v>
      </c>
      <c r="PB29">
        <v>23</v>
      </c>
      <c r="PC29">
        <v>23</v>
      </c>
      <c r="PD29">
        <v>23</v>
      </c>
      <c r="PE29">
        <v>0</v>
      </c>
      <c r="PF29">
        <v>847</v>
      </c>
      <c r="PG29">
        <v>9</v>
      </c>
      <c r="PH29">
        <v>7</v>
      </c>
      <c r="PI29">
        <v>7</v>
      </c>
      <c r="PJ29">
        <v>0</v>
      </c>
      <c r="PK29">
        <v>217</v>
      </c>
      <c r="PL29">
        <v>7</v>
      </c>
      <c r="PM29">
        <v>8</v>
      </c>
      <c r="PN29">
        <v>6</v>
      </c>
      <c r="PO29">
        <v>0</v>
      </c>
      <c r="PP29">
        <v>45</v>
      </c>
      <c r="PQ29">
        <v>38</v>
      </c>
      <c r="PR29">
        <v>38</v>
      </c>
      <c r="PS29">
        <v>35</v>
      </c>
      <c r="PT29">
        <v>2</v>
      </c>
      <c r="PU29">
        <v>1346</v>
      </c>
      <c r="PV29">
        <v>37</v>
      </c>
      <c r="PW29">
        <v>39</v>
      </c>
      <c r="PX29">
        <v>37</v>
      </c>
      <c r="PY29">
        <v>0</v>
      </c>
      <c r="PZ29">
        <v>1524</v>
      </c>
      <c r="QA29">
        <v>24</v>
      </c>
      <c r="QB29" t="s">
        <v>85</v>
      </c>
      <c r="QC29" t="s">
        <v>85</v>
      </c>
      <c r="QD29" t="s">
        <v>85</v>
      </c>
      <c r="QE29" t="s">
        <v>85</v>
      </c>
      <c r="QF29">
        <v>0</v>
      </c>
      <c r="QG29">
        <v>2</v>
      </c>
      <c r="QH29">
        <v>2</v>
      </c>
      <c r="QI29">
        <v>2</v>
      </c>
      <c r="QJ29">
        <v>0</v>
      </c>
      <c r="QK29">
        <v>58</v>
      </c>
      <c r="QL29" t="s">
        <v>85</v>
      </c>
      <c r="QM29" t="s">
        <v>85</v>
      </c>
      <c r="QN29" t="s">
        <v>85</v>
      </c>
      <c r="QO29" t="s">
        <v>85</v>
      </c>
      <c r="QP29" t="s">
        <v>85</v>
      </c>
      <c r="QQ29" t="s">
        <v>85</v>
      </c>
      <c r="QR29" t="s">
        <v>85</v>
      </c>
      <c r="QS29" t="s">
        <v>85</v>
      </c>
      <c r="QT29" t="s">
        <v>85</v>
      </c>
      <c r="QU29" t="s">
        <v>85</v>
      </c>
      <c r="QV29" t="s">
        <v>85</v>
      </c>
      <c r="QW29" t="s">
        <v>85</v>
      </c>
      <c r="QX29" t="s">
        <v>85</v>
      </c>
      <c r="QY29" t="s">
        <v>85</v>
      </c>
      <c r="QZ29" t="s">
        <v>85</v>
      </c>
      <c r="RA29">
        <v>24</v>
      </c>
      <c r="RB29">
        <v>134</v>
      </c>
      <c r="RC29">
        <v>135</v>
      </c>
      <c r="RD29">
        <v>133</v>
      </c>
      <c r="RE29">
        <v>0</v>
      </c>
      <c r="RF29">
        <v>4765</v>
      </c>
      <c r="RG29">
        <v>8</v>
      </c>
      <c r="RH29">
        <v>7</v>
      </c>
      <c r="RI29">
        <v>7</v>
      </c>
      <c r="RJ29">
        <v>0</v>
      </c>
      <c r="RK29">
        <v>248</v>
      </c>
      <c r="RL29">
        <v>6</v>
      </c>
      <c r="RM29">
        <v>6</v>
      </c>
      <c r="RN29">
        <v>6</v>
      </c>
      <c r="RO29">
        <v>0</v>
      </c>
      <c r="RP29">
        <v>188</v>
      </c>
      <c r="RQ29">
        <v>0</v>
      </c>
      <c r="RR29">
        <v>0</v>
      </c>
      <c r="RS29">
        <v>0</v>
      </c>
      <c r="RT29">
        <v>0</v>
      </c>
      <c r="RU29">
        <v>0</v>
      </c>
      <c r="RV29">
        <v>0</v>
      </c>
      <c r="RW29">
        <v>0</v>
      </c>
      <c r="RX29">
        <v>0</v>
      </c>
      <c r="RY29">
        <v>0</v>
      </c>
      <c r="RZ29">
        <v>0</v>
      </c>
      <c r="SA29">
        <v>24</v>
      </c>
      <c r="SB29">
        <v>0</v>
      </c>
      <c r="SC29">
        <v>0</v>
      </c>
      <c r="SD29">
        <v>0</v>
      </c>
      <c r="SE29">
        <v>0</v>
      </c>
      <c r="SF29">
        <v>0</v>
      </c>
      <c r="SG29" t="s">
        <v>85</v>
      </c>
      <c r="SH29" t="s">
        <v>85</v>
      </c>
      <c r="SI29" t="s">
        <v>85</v>
      </c>
      <c r="SJ29" t="s">
        <v>85</v>
      </c>
      <c r="SK29" t="s">
        <v>85</v>
      </c>
      <c r="SL29" t="s">
        <v>85</v>
      </c>
      <c r="SM29" t="s">
        <v>85</v>
      </c>
      <c r="SN29" t="s">
        <v>85</v>
      </c>
      <c r="SO29" t="s">
        <v>85</v>
      </c>
      <c r="SP29" t="s">
        <v>85</v>
      </c>
      <c r="SQ29" t="s">
        <v>85</v>
      </c>
      <c r="SR29" t="s">
        <v>85</v>
      </c>
      <c r="SS29" t="s">
        <v>85</v>
      </c>
      <c r="ST29" t="s">
        <v>85</v>
      </c>
      <c r="SU29" t="s">
        <v>85</v>
      </c>
      <c r="SV29" t="s">
        <v>85</v>
      </c>
      <c r="SW29" t="s">
        <v>85</v>
      </c>
      <c r="SX29" t="s">
        <v>85</v>
      </c>
      <c r="SY29" t="s">
        <v>85</v>
      </c>
      <c r="SZ29" t="s">
        <v>85</v>
      </c>
      <c r="TA29">
        <v>24</v>
      </c>
      <c r="TB29">
        <v>1</v>
      </c>
      <c r="TC29">
        <v>1</v>
      </c>
      <c r="TD29">
        <v>0</v>
      </c>
      <c r="TE29">
        <v>0</v>
      </c>
      <c r="TF29">
        <v>0</v>
      </c>
      <c r="TG29">
        <v>0</v>
      </c>
      <c r="TH29">
        <v>0</v>
      </c>
      <c r="TI29">
        <v>0</v>
      </c>
      <c r="TJ29">
        <v>0</v>
      </c>
      <c r="TK29">
        <v>0</v>
      </c>
      <c r="TL29">
        <v>0</v>
      </c>
      <c r="TM29">
        <v>0</v>
      </c>
      <c r="TN29">
        <v>0</v>
      </c>
      <c r="TO29">
        <v>0</v>
      </c>
      <c r="TP29">
        <v>0</v>
      </c>
      <c r="TQ29">
        <v>27</v>
      </c>
      <c r="TR29">
        <v>26</v>
      </c>
      <c r="TS29">
        <v>28</v>
      </c>
      <c r="TT29">
        <v>0</v>
      </c>
      <c r="TU29">
        <v>994</v>
      </c>
      <c r="TV29">
        <v>7</v>
      </c>
      <c r="TW29">
        <v>8</v>
      </c>
      <c r="TX29">
        <v>6</v>
      </c>
      <c r="TY29">
        <v>0</v>
      </c>
      <c r="TZ29">
        <v>267</v>
      </c>
      <c r="UA29">
        <v>24</v>
      </c>
      <c r="UB29">
        <v>77</v>
      </c>
      <c r="UC29">
        <v>79</v>
      </c>
      <c r="UD29">
        <v>79</v>
      </c>
      <c r="UE29">
        <v>0</v>
      </c>
      <c r="UF29">
        <v>3023</v>
      </c>
      <c r="UG29" t="s">
        <v>85</v>
      </c>
      <c r="UH29" t="s">
        <v>85</v>
      </c>
      <c r="UI29" t="s">
        <v>85</v>
      </c>
      <c r="UJ29" t="s">
        <v>85</v>
      </c>
      <c r="UK29" t="s">
        <v>85</v>
      </c>
      <c r="UL29" t="s">
        <v>85</v>
      </c>
      <c r="UM29" t="s">
        <v>85</v>
      </c>
      <c r="UN29" t="s">
        <v>85</v>
      </c>
      <c r="UO29" t="s">
        <v>85</v>
      </c>
      <c r="UP29" t="s">
        <v>85</v>
      </c>
      <c r="UQ29" t="s">
        <v>85</v>
      </c>
      <c r="UR29" t="s">
        <v>85</v>
      </c>
      <c r="US29" t="s">
        <v>85</v>
      </c>
      <c r="UT29" t="s">
        <v>85</v>
      </c>
      <c r="UU29" t="s">
        <v>85</v>
      </c>
      <c r="UV29" t="s">
        <v>85</v>
      </c>
      <c r="UW29" t="s">
        <v>85</v>
      </c>
      <c r="UX29" t="s">
        <v>85</v>
      </c>
      <c r="UY29" t="s">
        <v>85</v>
      </c>
      <c r="UZ29" t="s">
        <v>85</v>
      </c>
      <c r="VX29">
        <v>24</v>
      </c>
      <c r="VY29">
        <v>-1</v>
      </c>
      <c r="VZ29">
        <v>-1</v>
      </c>
      <c r="WA29">
        <v>-1</v>
      </c>
      <c r="WB29">
        <v>-1</v>
      </c>
      <c r="WC29">
        <v>26</v>
      </c>
      <c r="WD29">
        <v>5</v>
      </c>
      <c r="WE29">
        <v>6</v>
      </c>
      <c r="WF29">
        <v>6</v>
      </c>
      <c r="WG29">
        <v>0</v>
      </c>
      <c r="WH29">
        <v>81</v>
      </c>
      <c r="WI29">
        <v>7</v>
      </c>
      <c r="WJ29">
        <v>7</v>
      </c>
      <c r="WK29">
        <v>6</v>
      </c>
      <c r="WL29">
        <v>0</v>
      </c>
      <c r="WM29">
        <v>56</v>
      </c>
      <c r="WN29">
        <v>5</v>
      </c>
      <c r="WO29">
        <v>4</v>
      </c>
      <c r="WP29">
        <v>4</v>
      </c>
      <c r="WQ29">
        <v>0</v>
      </c>
      <c r="WR29">
        <v>54</v>
      </c>
      <c r="WS29">
        <v>6</v>
      </c>
      <c r="WT29">
        <v>6</v>
      </c>
      <c r="WU29">
        <v>5</v>
      </c>
      <c r="WV29">
        <v>1</v>
      </c>
      <c r="WW29">
        <v>0</v>
      </c>
      <c r="WX29">
        <v>24</v>
      </c>
      <c r="WY29">
        <v>10</v>
      </c>
      <c r="WZ29">
        <v>10</v>
      </c>
      <c r="XA29">
        <v>10</v>
      </c>
      <c r="XB29">
        <v>1</v>
      </c>
      <c r="XC29">
        <v>96</v>
      </c>
      <c r="XD29">
        <v>12</v>
      </c>
      <c r="XE29">
        <v>12</v>
      </c>
      <c r="XF29">
        <v>12</v>
      </c>
      <c r="XG29">
        <v>1</v>
      </c>
      <c r="XH29">
        <v>107</v>
      </c>
      <c r="XI29">
        <v>1</v>
      </c>
      <c r="XJ29">
        <v>1</v>
      </c>
      <c r="XK29">
        <v>1</v>
      </c>
      <c r="XL29">
        <v>1</v>
      </c>
      <c r="XM29">
        <v>47</v>
      </c>
      <c r="XN29" t="s">
        <v>85</v>
      </c>
      <c r="XO29" t="s">
        <v>85</v>
      </c>
      <c r="XP29" t="s">
        <v>85</v>
      </c>
      <c r="XQ29" t="s">
        <v>85</v>
      </c>
      <c r="XR29" t="s">
        <v>85</v>
      </c>
      <c r="XS29" t="s">
        <v>85</v>
      </c>
      <c r="XT29" t="s">
        <v>85</v>
      </c>
      <c r="XU29" t="s">
        <v>85</v>
      </c>
      <c r="XV29" t="s">
        <v>85</v>
      </c>
      <c r="XW29" t="s">
        <v>85</v>
      </c>
      <c r="XX29">
        <v>24</v>
      </c>
      <c r="XY29">
        <v>23</v>
      </c>
      <c r="XZ29">
        <v>23</v>
      </c>
      <c r="YA29">
        <v>23</v>
      </c>
      <c r="YB29">
        <v>0</v>
      </c>
      <c r="YC29">
        <v>847</v>
      </c>
      <c r="YD29">
        <v>9</v>
      </c>
      <c r="YE29">
        <v>7</v>
      </c>
      <c r="YF29">
        <v>7</v>
      </c>
      <c r="YG29">
        <v>0</v>
      </c>
      <c r="YH29">
        <v>217</v>
      </c>
      <c r="YI29">
        <v>7</v>
      </c>
      <c r="YJ29">
        <v>8</v>
      </c>
      <c r="YK29">
        <v>6</v>
      </c>
      <c r="YL29">
        <v>0</v>
      </c>
      <c r="YM29">
        <v>45</v>
      </c>
      <c r="YN29">
        <v>38</v>
      </c>
      <c r="YO29">
        <v>38</v>
      </c>
      <c r="YP29">
        <v>35</v>
      </c>
      <c r="YQ29">
        <v>2</v>
      </c>
      <c r="YR29">
        <v>1346</v>
      </c>
      <c r="YS29">
        <v>37</v>
      </c>
      <c r="YT29">
        <v>39</v>
      </c>
      <c r="YU29">
        <v>37</v>
      </c>
      <c r="YV29">
        <v>0</v>
      </c>
      <c r="YW29">
        <v>1524</v>
      </c>
      <c r="YX29">
        <v>24</v>
      </c>
      <c r="YY29" t="s">
        <v>85</v>
      </c>
      <c r="YZ29" t="s">
        <v>85</v>
      </c>
      <c r="ZA29" t="s">
        <v>85</v>
      </c>
      <c r="ZB29" t="s">
        <v>85</v>
      </c>
      <c r="ZC29">
        <v>0</v>
      </c>
      <c r="ZD29">
        <v>2</v>
      </c>
      <c r="ZE29">
        <v>2</v>
      </c>
      <c r="ZF29">
        <v>2</v>
      </c>
      <c r="ZG29">
        <v>0</v>
      </c>
      <c r="ZH29">
        <v>58</v>
      </c>
      <c r="ZI29" t="s">
        <v>85</v>
      </c>
      <c r="ZJ29" t="s">
        <v>85</v>
      </c>
      <c r="ZK29" t="s">
        <v>85</v>
      </c>
      <c r="ZL29" t="s">
        <v>85</v>
      </c>
      <c r="ZM29" t="s">
        <v>85</v>
      </c>
      <c r="ZN29" t="s">
        <v>85</v>
      </c>
      <c r="ZO29" t="s">
        <v>85</v>
      </c>
      <c r="ZP29" t="s">
        <v>85</v>
      </c>
      <c r="ZQ29" t="s">
        <v>85</v>
      </c>
      <c r="ZR29" t="s">
        <v>85</v>
      </c>
      <c r="ZS29" t="s">
        <v>85</v>
      </c>
      <c r="ZT29" t="s">
        <v>85</v>
      </c>
      <c r="ZU29" t="s">
        <v>85</v>
      </c>
      <c r="ZV29" t="s">
        <v>85</v>
      </c>
      <c r="ZW29" t="s">
        <v>85</v>
      </c>
      <c r="ZX29">
        <v>24</v>
      </c>
      <c r="ZY29">
        <v>24</v>
      </c>
      <c r="ZZ29">
        <v>24</v>
      </c>
      <c r="AAA29">
        <v>77</v>
      </c>
      <c r="AAB29">
        <v>79</v>
      </c>
      <c r="AAC29">
        <v>79</v>
      </c>
      <c r="AAD29">
        <v>0</v>
      </c>
      <c r="AAE29">
        <v>3023</v>
      </c>
      <c r="AAF29" t="s">
        <v>85</v>
      </c>
      <c r="AAG29" t="s">
        <v>85</v>
      </c>
      <c r="AAH29" t="s">
        <v>85</v>
      </c>
      <c r="AAI29" t="s">
        <v>85</v>
      </c>
      <c r="AAJ29" t="s">
        <v>85</v>
      </c>
      <c r="AAK29" t="s">
        <v>85</v>
      </c>
      <c r="AAL29" t="s">
        <v>85</v>
      </c>
      <c r="AAM29" t="s">
        <v>85</v>
      </c>
      <c r="AAN29" t="s">
        <v>85</v>
      </c>
      <c r="AAO29" t="s">
        <v>85</v>
      </c>
      <c r="AAP29" t="s">
        <v>85</v>
      </c>
      <c r="AAQ29" t="s">
        <v>85</v>
      </c>
      <c r="AAR29" t="s">
        <v>85</v>
      </c>
      <c r="AAS29" t="s">
        <v>85</v>
      </c>
      <c r="AAT29" t="s">
        <v>85</v>
      </c>
      <c r="AAU29" t="s">
        <v>85</v>
      </c>
      <c r="AAV29" t="s">
        <v>85</v>
      </c>
      <c r="AAW29" t="s">
        <v>85</v>
      </c>
      <c r="AAX29" t="s">
        <v>85</v>
      </c>
      <c r="AAY29" t="s">
        <v>85</v>
      </c>
    </row>
    <row r="30" spans="1:727">
      <c r="A30" s="483">
        <v>24</v>
      </c>
      <c r="B30" s="503">
        <v>-1</v>
      </c>
      <c r="C30" s="503">
        <v>-1</v>
      </c>
      <c r="D30" s="503">
        <v>-1</v>
      </c>
      <c r="E30" s="503">
        <v>-1</v>
      </c>
      <c r="F30" s="503">
        <v>24</v>
      </c>
      <c r="G30" s="593">
        <v>5</v>
      </c>
      <c r="H30" s="593">
        <v>5</v>
      </c>
      <c r="I30" s="593">
        <v>5</v>
      </c>
      <c r="J30" s="593">
        <v>0</v>
      </c>
      <c r="K30" s="593">
        <v>83</v>
      </c>
      <c r="L30" s="502">
        <v>6</v>
      </c>
      <c r="M30" s="502">
        <v>6</v>
      </c>
      <c r="N30" s="502">
        <v>6</v>
      </c>
      <c r="O30" s="502">
        <v>0</v>
      </c>
      <c r="P30" s="502">
        <v>52</v>
      </c>
      <c r="Q30" s="504">
        <v>5</v>
      </c>
      <c r="R30" s="504">
        <v>4</v>
      </c>
      <c r="S30" s="504">
        <v>4</v>
      </c>
      <c r="T30" s="504">
        <v>0</v>
      </c>
      <c r="U30" s="504">
        <v>56</v>
      </c>
      <c r="V30" s="505">
        <v>6</v>
      </c>
      <c r="W30" s="505">
        <v>6</v>
      </c>
      <c r="X30" s="505">
        <v>6</v>
      </c>
      <c r="Y30" s="505">
        <v>1</v>
      </c>
      <c r="Z30" s="505">
        <v>0</v>
      </c>
      <c r="AA30" s="506"/>
      <c r="AB30" s="506"/>
      <c r="AC30" s="506"/>
      <c r="AD30" s="506"/>
      <c r="AE30" s="506"/>
      <c r="AF30" s="506"/>
      <c r="AG30" s="507"/>
      <c r="AH30" s="507"/>
      <c r="AI30" s="507"/>
      <c r="AJ30" s="507"/>
      <c r="AK30" s="507"/>
      <c r="AL30" s="508"/>
      <c r="AM30" s="508"/>
      <c r="AN30" s="508"/>
      <c r="AO30" s="508"/>
      <c r="AP30" s="508"/>
      <c r="AQ30" s="509"/>
      <c r="AR30" s="509"/>
      <c r="AS30" s="509"/>
      <c r="AT30" s="509"/>
      <c r="AU30" s="509"/>
      <c r="AV30" s="483"/>
      <c r="AW30" s="483"/>
      <c r="AX30" s="483"/>
      <c r="AY30" s="483"/>
      <c r="AZ30" s="483"/>
      <c r="BA30" s="483"/>
      <c r="BB30" s="483"/>
      <c r="BC30" s="483"/>
      <c r="BD30" s="483"/>
      <c r="BE30" s="483"/>
      <c r="BF30" s="483"/>
      <c r="BG30" s="483"/>
      <c r="BH30" s="483"/>
      <c r="BI30" s="483"/>
      <c r="BJ30" s="483"/>
      <c r="BK30" s="483"/>
      <c r="BL30" s="483"/>
      <c r="BM30" s="483"/>
      <c r="BN30" s="483"/>
      <c r="BO30" s="483"/>
      <c r="BP30" s="483"/>
      <c r="GA30" t="s">
        <v>85</v>
      </c>
      <c r="GB30" t="s">
        <v>765</v>
      </c>
      <c r="GC30" t="s">
        <v>85</v>
      </c>
      <c r="GD30" t="s">
        <v>85</v>
      </c>
      <c r="GE30" t="s">
        <v>85</v>
      </c>
      <c r="GF30" t="s">
        <v>85</v>
      </c>
      <c r="GG30">
        <v>47009</v>
      </c>
      <c r="GH30" t="s">
        <v>85</v>
      </c>
      <c r="GI30" t="s">
        <v>85</v>
      </c>
      <c r="GJ30" t="s">
        <v>85</v>
      </c>
      <c r="GK30" t="s">
        <v>85</v>
      </c>
      <c r="GL30">
        <v>21190</v>
      </c>
      <c r="GM30" t="s">
        <v>85</v>
      </c>
      <c r="GN30" t="s">
        <v>85</v>
      </c>
      <c r="GO30" t="s">
        <v>85</v>
      </c>
      <c r="GP30" t="s">
        <v>85</v>
      </c>
      <c r="GQ30">
        <v>22514</v>
      </c>
      <c r="GR30" t="s">
        <v>85</v>
      </c>
      <c r="GS30" t="s">
        <v>85</v>
      </c>
      <c r="GT30" t="s">
        <v>85</v>
      </c>
      <c r="GU30" t="s">
        <v>85</v>
      </c>
      <c r="GV30">
        <v>6952</v>
      </c>
      <c r="GW30" t="s">
        <v>85</v>
      </c>
      <c r="GX30" t="s">
        <v>85</v>
      </c>
      <c r="GY30" t="s">
        <v>85</v>
      </c>
      <c r="GZ30" t="s">
        <v>85</v>
      </c>
      <c r="HA30">
        <v>3905</v>
      </c>
      <c r="HB30" t="s">
        <v>765</v>
      </c>
      <c r="HC30" t="s">
        <v>85</v>
      </c>
      <c r="HD30" t="s">
        <v>85</v>
      </c>
      <c r="HE30" t="s">
        <v>85</v>
      </c>
      <c r="HF30" t="s">
        <v>85</v>
      </c>
      <c r="HG30">
        <v>15279</v>
      </c>
      <c r="HH30" t="s">
        <v>85</v>
      </c>
      <c r="HI30" t="s">
        <v>85</v>
      </c>
      <c r="HJ30" t="s">
        <v>85</v>
      </c>
      <c r="HK30" t="s">
        <v>85</v>
      </c>
      <c r="HL30">
        <v>65179</v>
      </c>
      <c r="HM30" t="s">
        <v>85</v>
      </c>
      <c r="HN30" t="s">
        <v>85</v>
      </c>
      <c r="HO30" t="s">
        <v>85</v>
      </c>
      <c r="HP30" t="s">
        <v>85</v>
      </c>
      <c r="HQ30">
        <v>75764</v>
      </c>
      <c r="HR30" t="s">
        <v>85</v>
      </c>
      <c r="HS30" t="s">
        <v>85</v>
      </c>
      <c r="HT30" t="s">
        <v>85</v>
      </c>
      <c r="HU30" t="s">
        <v>85</v>
      </c>
      <c r="HV30">
        <v>35460</v>
      </c>
      <c r="HW30" t="s">
        <v>85</v>
      </c>
      <c r="HX30" t="s">
        <v>85</v>
      </c>
      <c r="HY30" t="s">
        <v>85</v>
      </c>
      <c r="HZ30" t="s">
        <v>85</v>
      </c>
      <c r="IA30">
        <v>9236</v>
      </c>
      <c r="IB30" t="s">
        <v>765</v>
      </c>
      <c r="IC30" t="s">
        <v>85</v>
      </c>
      <c r="ID30" t="s">
        <v>85</v>
      </c>
      <c r="IE30" t="s">
        <v>85</v>
      </c>
      <c r="IF30" t="s">
        <v>85</v>
      </c>
      <c r="IG30">
        <v>74981</v>
      </c>
      <c r="IH30" t="s">
        <v>85</v>
      </c>
      <c r="II30" t="s">
        <v>85</v>
      </c>
      <c r="IJ30" t="s">
        <v>85</v>
      </c>
      <c r="IK30" t="s">
        <v>85</v>
      </c>
      <c r="IL30">
        <v>16462</v>
      </c>
      <c r="IM30" t="s">
        <v>85</v>
      </c>
      <c r="IN30" t="s">
        <v>85</v>
      </c>
      <c r="IO30" t="s">
        <v>85</v>
      </c>
      <c r="IP30" t="s">
        <v>85</v>
      </c>
      <c r="IQ30">
        <v>51213</v>
      </c>
      <c r="IR30" t="s">
        <v>85</v>
      </c>
      <c r="IS30" t="s">
        <v>85</v>
      </c>
      <c r="IT30" t="s">
        <v>85</v>
      </c>
      <c r="IU30" t="s">
        <v>85</v>
      </c>
      <c r="IV30">
        <v>18925</v>
      </c>
      <c r="IW30" t="s">
        <v>85</v>
      </c>
      <c r="IX30" t="s">
        <v>85</v>
      </c>
      <c r="IY30" t="s">
        <v>85</v>
      </c>
      <c r="IZ30" t="s">
        <v>85</v>
      </c>
      <c r="JA30">
        <v>11222</v>
      </c>
      <c r="JB30" t="s">
        <v>765</v>
      </c>
      <c r="JC30" t="s">
        <v>85</v>
      </c>
      <c r="JD30" t="s">
        <v>85</v>
      </c>
      <c r="JE30" t="s">
        <v>85</v>
      </c>
      <c r="JF30" t="s">
        <v>85</v>
      </c>
      <c r="JG30">
        <v>15585</v>
      </c>
      <c r="JH30" t="s">
        <v>85</v>
      </c>
      <c r="JI30" t="s">
        <v>85</v>
      </c>
      <c r="JJ30" t="s">
        <v>85</v>
      </c>
      <c r="JK30" t="s">
        <v>85</v>
      </c>
      <c r="JL30">
        <v>42182</v>
      </c>
      <c r="JM30" t="s">
        <v>85</v>
      </c>
      <c r="JN30" t="s">
        <v>85</v>
      </c>
      <c r="JO30" t="s">
        <v>85</v>
      </c>
      <c r="JP30" t="s">
        <v>85</v>
      </c>
      <c r="JQ30">
        <v>48520</v>
      </c>
      <c r="JR30" t="s">
        <v>85</v>
      </c>
      <c r="JS30" t="s">
        <v>85</v>
      </c>
      <c r="JT30" t="s">
        <v>85</v>
      </c>
      <c r="JU30" t="s">
        <v>85</v>
      </c>
      <c r="JV30">
        <v>72206</v>
      </c>
      <c r="JW30" t="s">
        <v>85</v>
      </c>
      <c r="JX30" t="s">
        <v>85</v>
      </c>
      <c r="JY30" t="s">
        <v>85</v>
      </c>
      <c r="JZ30" t="s">
        <v>85</v>
      </c>
      <c r="KA30">
        <v>13508</v>
      </c>
      <c r="KB30" t="s">
        <v>765</v>
      </c>
      <c r="KC30" t="s">
        <v>85</v>
      </c>
      <c r="KD30" t="s">
        <v>85</v>
      </c>
      <c r="KE30" t="s">
        <v>85</v>
      </c>
      <c r="KF30" t="s">
        <v>85</v>
      </c>
      <c r="KG30" t="s">
        <v>85</v>
      </c>
      <c r="KH30" t="s">
        <v>85</v>
      </c>
      <c r="KI30" t="s">
        <v>85</v>
      </c>
      <c r="KJ30" t="s">
        <v>85</v>
      </c>
      <c r="KK30" t="s">
        <v>85</v>
      </c>
      <c r="KL30" t="s">
        <v>85</v>
      </c>
      <c r="KM30" t="s">
        <v>85</v>
      </c>
      <c r="KN30" t="s">
        <v>85</v>
      </c>
      <c r="KO30" t="s">
        <v>85</v>
      </c>
      <c r="KP30" t="s">
        <v>85</v>
      </c>
      <c r="KQ30" t="s">
        <v>85</v>
      </c>
      <c r="KR30" t="s">
        <v>85</v>
      </c>
      <c r="KS30" t="s">
        <v>85</v>
      </c>
      <c r="KT30" t="s">
        <v>85</v>
      </c>
      <c r="KU30" t="s">
        <v>85</v>
      </c>
      <c r="KV30" t="s">
        <v>85</v>
      </c>
      <c r="KW30" t="s">
        <v>85</v>
      </c>
      <c r="KX30" t="s">
        <v>85</v>
      </c>
      <c r="KY30" t="s">
        <v>85</v>
      </c>
      <c r="KZ30" t="s">
        <v>85</v>
      </c>
      <c r="LA30" t="s">
        <v>85</v>
      </c>
      <c r="LB30" t="s">
        <v>765</v>
      </c>
      <c r="LC30" t="s">
        <v>85</v>
      </c>
      <c r="LD30" t="s">
        <v>85</v>
      </c>
      <c r="LE30" t="s">
        <v>85</v>
      </c>
      <c r="LF30" t="s">
        <v>85</v>
      </c>
      <c r="LG30" t="s">
        <v>85</v>
      </c>
      <c r="LH30" t="s">
        <v>85</v>
      </c>
      <c r="LI30" t="s">
        <v>85</v>
      </c>
      <c r="LJ30" t="s">
        <v>85</v>
      </c>
      <c r="LK30" t="s">
        <v>85</v>
      </c>
      <c r="LL30" t="s">
        <v>85</v>
      </c>
      <c r="LM30" t="s">
        <v>85</v>
      </c>
      <c r="LN30" t="s">
        <v>85</v>
      </c>
      <c r="LO30" t="s">
        <v>85</v>
      </c>
      <c r="LP30" t="s">
        <v>85</v>
      </c>
      <c r="LQ30" t="s">
        <v>85</v>
      </c>
      <c r="LR30" t="s">
        <v>85</v>
      </c>
      <c r="LS30" t="s">
        <v>85</v>
      </c>
      <c r="LT30" t="s">
        <v>85</v>
      </c>
      <c r="LU30" t="s">
        <v>85</v>
      </c>
      <c r="LV30" t="s">
        <v>85</v>
      </c>
      <c r="LW30" t="s">
        <v>85</v>
      </c>
      <c r="LX30" t="s">
        <v>85</v>
      </c>
      <c r="LY30" t="s">
        <v>85</v>
      </c>
      <c r="LZ30" t="s">
        <v>85</v>
      </c>
      <c r="MA30" t="s">
        <v>85</v>
      </c>
      <c r="MB30" t="s">
        <v>765</v>
      </c>
      <c r="MC30" t="s">
        <v>85</v>
      </c>
      <c r="MD30" t="s">
        <v>85</v>
      </c>
      <c r="ME30" t="s">
        <v>85</v>
      </c>
      <c r="MF30" t="s">
        <v>85</v>
      </c>
      <c r="MG30" t="s">
        <v>85</v>
      </c>
      <c r="MH30" t="s">
        <v>85</v>
      </c>
      <c r="MI30" t="s">
        <v>85</v>
      </c>
      <c r="MJ30" t="s">
        <v>85</v>
      </c>
      <c r="MK30" t="s">
        <v>85</v>
      </c>
      <c r="ML30" t="s">
        <v>85</v>
      </c>
      <c r="MM30" t="s">
        <v>85</v>
      </c>
      <c r="MN30" t="s">
        <v>85</v>
      </c>
      <c r="MO30" t="s">
        <v>85</v>
      </c>
      <c r="MP30" t="s">
        <v>85</v>
      </c>
      <c r="MQ30" t="s">
        <v>85</v>
      </c>
      <c r="MR30" t="s">
        <v>85</v>
      </c>
      <c r="MS30" t="s">
        <v>85</v>
      </c>
      <c r="MT30" t="s">
        <v>85</v>
      </c>
      <c r="MU30" t="s">
        <v>85</v>
      </c>
      <c r="MV30" t="s">
        <v>85</v>
      </c>
      <c r="MW30" t="s">
        <v>85</v>
      </c>
      <c r="MX30" t="s">
        <v>85</v>
      </c>
      <c r="MY30" t="s">
        <v>85</v>
      </c>
      <c r="MZ30" t="s">
        <v>85</v>
      </c>
      <c r="NA30" t="s">
        <v>777</v>
      </c>
      <c r="NB30" t="s">
        <v>85</v>
      </c>
      <c r="NC30" t="s">
        <v>85</v>
      </c>
      <c r="ND30" t="s">
        <v>85</v>
      </c>
      <c r="NE30" t="s">
        <v>85</v>
      </c>
      <c r="NF30">
        <v>612</v>
      </c>
      <c r="NG30" t="s">
        <v>85</v>
      </c>
      <c r="NH30" t="s">
        <v>85</v>
      </c>
      <c r="NI30" t="s">
        <v>85</v>
      </c>
      <c r="NJ30" t="s">
        <v>85</v>
      </c>
      <c r="NK30">
        <v>5501</v>
      </c>
      <c r="NL30" t="s">
        <v>85</v>
      </c>
      <c r="NM30" t="s">
        <v>85</v>
      </c>
      <c r="NN30" t="s">
        <v>85</v>
      </c>
      <c r="NO30" t="s">
        <v>85</v>
      </c>
      <c r="NP30">
        <v>5830</v>
      </c>
      <c r="NQ30" t="s">
        <v>85</v>
      </c>
      <c r="NR30" t="s">
        <v>85</v>
      </c>
      <c r="NS30" t="s">
        <v>85</v>
      </c>
      <c r="NT30" t="s">
        <v>85</v>
      </c>
      <c r="NU30">
        <v>6398</v>
      </c>
      <c r="NV30" t="s">
        <v>85</v>
      </c>
      <c r="NW30" t="s">
        <v>85</v>
      </c>
      <c r="NX30" t="s">
        <v>85</v>
      </c>
      <c r="NY30" t="s">
        <v>85</v>
      </c>
      <c r="NZ30">
        <v>1803</v>
      </c>
      <c r="OA30" t="s">
        <v>765</v>
      </c>
      <c r="OB30" t="s">
        <v>85</v>
      </c>
      <c r="OC30" t="s">
        <v>85</v>
      </c>
      <c r="OD30" t="s">
        <v>85</v>
      </c>
      <c r="OE30" t="s">
        <v>85</v>
      </c>
      <c r="OF30">
        <v>6629</v>
      </c>
      <c r="OG30" t="s">
        <v>85</v>
      </c>
      <c r="OH30" t="s">
        <v>85</v>
      </c>
      <c r="OI30" t="s">
        <v>85</v>
      </c>
      <c r="OJ30" t="s">
        <v>85</v>
      </c>
      <c r="OK30">
        <v>4365</v>
      </c>
      <c r="OL30" t="s">
        <v>85</v>
      </c>
      <c r="OM30" t="s">
        <v>85</v>
      </c>
      <c r="ON30" t="s">
        <v>85</v>
      </c>
      <c r="OO30" t="s">
        <v>85</v>
      </c>
      <c r="OP30">
        <v>1140</v>
      </c>
      <c r="OQ30" t="s">
        <v>85</v>
      </c>
      <c r="OR30" t="s">
        <v>85</v>
      </c>
      <c r="OS30" t="s">
        <v>85</v>
      </c>
      <c r="OT30" t="s">
        <v>85</v>
      </c>
      <c r="OU30" t="s">
        <v>85</v>
      </c>
      <c r="OV30" t="s">
        <v>85</v>
      </c>
      <c r="OW30" t="s">
        <v>85</v>
      </c>
      <c r="OX30" t="s">
        <v>85</v>
      </c>
      <c r="OY30" t="s">
        <v>85</v>
      </c>
      <c r="OZ30" t="s">
        <v>85</v>
      </c>
      <c r="PA30" t="s">
        <v>765</v>
      </c>
      <c r="PB30" t="s">
        <v>85</v>
      </c>
      <c r="PC30" t="s">
        <v>85</v>
      </c>
      <c r="PD30" t="s">
        <v>85</v>
      </c>
      <c r="PE30" t="s">
        <v>85</v>
      </c>
      <c r="PF30">
        <v>20760</v>
      </c>
      <c r="PG30" t="s">
        <v>85</v>
      </c>
      <c r="PH30" t="s">
        <v>85</v>
      </c>
      <c r="PI30" t="s">
        <v>85</v>
      </c>
      <c r="PJ30" t="s">
        <v>85</v>
      </c>
      <c r="PK30">
        <v>13720</v>
      </c>
      <c r="PL30" t="s">
        <v>85</v>
      </c>
      <c r="PM30" t="s">
        <v>85</v>
      </c>
      <c r="PN30" t="s">
        <v>85</v>
      </c>
      <c r="PO30" t="s">
        <v>85</v>
      </c>
      <c r="PP30">
        <v>6367</v>
      </c>
      <c r="PQ30" t="s">
        <v>85</v>
      </c>
      <c r="PR30" t="s">
        <v>85</v>
      </c>
      <c r="PS30" t="s">
        <v>85</v>
      </c>
      <c r="PT30" t="s">
        <v>85</v>
      </c>
      <c r="PU30">
        <v>22470</v>
      </c>
      <c r="PV30" t="s">
        <v>85</v>
      </c>
      <c r="PW30" t="s">
        <v>85</v>
      </c>
      <c r="PX30" t="s">
        <v>85</v>
      </c>
      <c r="PY30" t="s">
        <v>85</v>
      </c>
      <c r="PZ30">
        <v>36006</v>
      </c>
      <c r="QA30" t="s">
        <v>765</v>
      </c>
      <c r="QB30" t="s">
        <v>85</v>
      </c>
      <c r="QC30" t="s">
        <v>85</v>
      </c>
      <c r="QD30" t="s">
        <v>85</v>
      </c>
      <c r="QE30" t="s">
        <v>85</v>
      </c>
      <c r="QF30">
        <v>0</v>
      </c>
      <c r="QG30" t="s">
        <v>85</v>
      </c>
      <c r="QH30" t="s">
        <v>85</v>
      </c>
      <c r="QI30" t="s">
        <v>85</v>
      </c>
      <c r="QJ30" t="s">
        <v>85</v>
      </c>
      <c r="QK30">
        <v>1404</v>
      </c>
      <c r="QL30" t="s">
        <v>85</v>
      </c>
      <c r="QM30" t="s">
        <v>85</v>
      </c>
      <c r="QN30" t="s">
        <v>85</v>
      </c>
      <c r="QO30" t="s">
        <v>85</v>
      </c>
      <c r="QP30" t="s">
        <v>85</v>
      </c>
      <c r="QQ30" t="s">
        <v>85</v>
      </c>
      <c r="QR30" t="s">
        <v>85</v>
      </c>
      <c r="QS30" t="s">
        <v>85</v>
      </c>
      <c r="QT30" t="s">
        <v>85</v>
      </c>
      <c r="QU30" t="s">
        <v>85</v>
      </c>
      <c r="QV30" t="s">
        <v>85</v>
      </c>
      <c r="QW30" t="s">
        <v>85</v>
      </c>
      <c r="QX30" t="s">
        <v>85</v>
      </c>
      <c r="QY30" t="s">
        <v>85</v>
      </c>
      <c r="QZ30" t="s">
        <v>85</v>
      </c>
      <c r="RA30" t="s">
        <v>765</v>
      </c>
      <c r="RB30" t="s">
        <v>85</v>
      </c>
      <c r="RC30" t="s">
        <v>85</v>
      </c>
      <c r="RD30" t="s">
        <v>85</v>
      </c>
      <c r="RE30" t="s">
        <v>85</v>
      </c>
      <c r="RF30">
        <v>106563</v>
      </c>
      <c r="RG30" t="s">
        <v>85</v>
      </c>
      <c r="RH30" t="s">
        <v>85</v>
      </c>
      <c r="RI30" t="s">
        <v>85</v>
      </c>
      <c r="RJ30" t="s">
        <v>85</v>
      </c>
      <c r="RK30">
        <v>10583</v>
      </c>
      <c r="RL30" t="s">
        <v>85</v>
      </c>
      <c r="RM30" t="s">
        <v>85</v>
      </c>
      <c r="RN30" t="s">
        <v>85</v>
      </c>
      <c r="RO30" t="s">
        <v>85</v>
      </c>
      <c r="RP30">
        <v>9847</v>
      </c>
      <c r="RQ30" t="s">
        <v>85</v>
      </c>
      <c r="RR30" t="s">
        <v>85</v>
      </c>
      <c r="RS30" t="s">
        <v>85</v>
      </c>
      <c r="RT30" t="s">
        <v>85</v>
      </c>
      <c r="RU30">
        <v>0</v>
      </c>
      <c r="RV30" t="s">
        <v>85</v>
      </c>
      <c r="RW30" t="s">
        <v>85</v>
      </c>
      <c r="RX30" t="s">
        <v>85</v>
      </c>
      <c r="RY30" t="s">
        <v>85</v>
      </c>
      <c r="RZ30">
        <v>0</v>
      </c>
      <c r="SA30" t="s">
        <v>765</v>
      </c>
      <c r="SB30" t="s">
        <v>85</v>
      </c>
      <c r="SC30" t="s">
        <v>85</v>
      </c>
      <c r="SD30" t="s">
        <v>85</v>
      </c>
      <c r="SE30" t="s">
        <v>85</v>
      </c>
      <c r="SF30">
        <v>0</v>
      </c>
      <c r="SG30" t="s">
        <v>85</v>
      </c>
      <c r="SH30" t="s">
        <v>85</v>
      </c>
      <c r="SI30" t="s">
        <v>85</v>
      </c>
      <c r="SJ30" t="s">
        <v>85</v>
      </c>
      <c r="SK30" t="s">
        <v>85</v>
      </c>
      <c r="SL30" t="s">
        <v>85</v>
      </c>
      <c r="SM30" t="s">
        <v>85</v>
      </c>
      <c r="SN30" t="s">
        <v>85</v>
      </c>
      <c r="SO30" t="s">
        <v>85</v>
      </c>
      <c r="SP30" t="s">
        <v>85</v>
      </c>
      <c r="SQ30" t="s">
        <v>85</v>
      </c>
      <c r="SR30" t="s">
        <v>85</v>
      </c>
      <c r="SS30" t="s">
        <v>85</v>
      </c>
      <c r="ST30" t="s">
        <v>85</v>
      </c>
      <c r="SU30" t="s">
        <v>85</v>
      </c>
      <c r="SV30" t="s">
        <v>85</v>
      </c>
      <c r="SW30" t="s">
        <v>85</v>
      </c>
      <c r="SX30" t="s">
        <v>85</v>
      </c>
      <c r="SY30" t="s">
        <v>85</v>
      </c>
      <c r="SZ30" t="s">
        <v>85</v>
      </c>
      <c r="TA30" t="s">
        <v>765</v>
      </c>
      <c r="TB30" t="s">
        <v>85</v>
      </c>
      <c r="TC30" t="s">
        <v>85</v>
      </c>
      <c r="TD30" t="s">
        <v>85</v>
      </c>
      <c r="TE30" t="s">
        <v>85</v>
      </c>
      <c r="TF30">
        <v>33140</v>
      </c>
      <c r="TG30" t="s">
        <v>85</v>
      </c>
      <c r="TH30" t="s">
        <v>85</v>
      </c>
      <c r="TI30" t="s">
        <v>85</v>
      </c>
      <c r="TJ30" t="s">
        <v>85</v>
      </c>
      <c r="TK30">
        <v>0</v>
      </c>
      <c r="TL30" t="s">
        <v>85</v>
      </c>
      <c r="TM30" t="s">
        <v>85</v>
      </c>
      <c r="TN30" t="s">
        <v>85</v>
      </c>
      <c r="TO30" t="s">
        <v>85</v>
      </c>
      <c r="TP30">
        <v>0</v>
      </c>
      <c r="TQ30" t="s">
        <v>85</v>
      </c>
      <c r="TR30" t="s">
        <v>85</v>
      </c>
      <c r="TS30" t="s">
        <v>85</v>
      </c>
      <c r="TT30" t="s">
        <v>85</v>
      </c>
      <c r="TU30">
        <v>25880</v>
      </c>
      <c r="TV30" t="s">
        <v>85</v>
      </c>
      <c r="TW30" t="s">
        <v>85</v>
      </c>
      <c r="TX30" t="s">
        <v>85</v>
      </c>
      <c r="TY30" t="s">
        <v>85</v>
      </c>
      <c r="TZ30">
        <v>6351</v>
      </c>
      <c r="UA30" t="s">
        <v>765</v>
      </c>
      <c r="UB30" t="s">
        <v>85</v>
      </c>
      <c r="UC30" t="s">
        <v>85</v>
      </c>
      <c r="UD30" t="s">
        <v>85</v>
      </c>
      <c r="UE30" t="s">
        <v>85</v>
      </c>
      <c r="UF30">
        <v>71282</v>
      </c>
      <c r="UG30" t="s">
        <v>85</v>
      </c>
      <c r="UH30" t="s">
        <v>85</v>
      </c>
      <c r="UI30" t="s">
        <v>85</v>
      </c>
      <c r="UJ30" t="s">
        <v>85</v>
      </c>
      <c r="UK30" t="s">
        <v>85</v>
      </c>
      <c r="UL30" t="s">
        <v>85</v>
      </c>
      <c r="UM30" t="s">
        <v>85</v>
      </c>
      <c r="UN30" t="s">
        <v>85</v>
      </c>
      <c r="UO30" t="s">
        <v>85</v>
      </c>
      <c r="UP30" t="s">
        <v>85</v>
      </c>
      <c r="UQ30" t="s">
        <v>85</v>
      </c>
      <c r="UR30" t="s">
        <v>85</v>
      </c>
      <c r="US30" t="s">
        <v>85</v>
      </c>
      <c r="UT30" t="s">
        <v>85</v>
      </c>
      <c r="UU30" t="s">
        <v>85</v>
      </c>
      <c r="UV30" t="s">
        <v>85</v>
      </c>
      <c r="UW30" t="s">
        <v>85</v>
      </c>
      <c r="UX30" t="s">
        <v>85</v>
      </c>
      <c r="UY30" t="s">
        <v>85</v>
      </c>
      <c r="UZ30" t="s">
        <v>85</v>
      </c>
      <c r="VX30" t="s">
        <v>765</v>
      </c>
      <c r="VY30" t="s">
        <v>85</v>
      </c>
      <c r="VZ30" t="s">
        <v>85</v>
      </c>
      <c r="WA30" t="s">
        <v>85</v>
      </c>
      <c r="WB30" t="s">
        <v>85</v>
      </c>
      <c r="WC30">
        <v>612</v>
      </c>
      <c r="WD30" t="s">
        <v>85</v>
      </c>
      <c r="WE30" t="s">
        <v>85</v>
      </c>
      <c r="WF30" t="s">
        <v>85</v>
      </c>
      <c r="WG30" t="s">
        <v>85</v>
      </c>
      <c r="WH30">
        <v>5501</v>
      </c>
      <c r="WI30" t="s">
        <v>85</v>
      </c>
      <c r="WJ30" t="s">
        <v>85</v>
      </c>
      <c r="WK30" t="s">
        <v>85</v>
      </c>
      <c r="WL30" t="s">
        <v>85</v>
      </c>
      <c r="WM30">
        <v>5830</v>
      </c>
      <c r="WN30" t="s">
        <v>85</v>
      </c>
      <c r="WO30" t="s">
        <v>85</v>
      </c>
      <c r="WP30" t="s">
        <v>85</v>
      </c>
      <c r="WQ30" t="s">
        <v>85</v>
      </c>
      <c r="WR30">
        <v>6398</v>
      </c>
      <c r="WS30" t="s">
        <v>85</v>
      </c>
      <c r="WT30" t="s">
        <v>85</v>
      </c>
      <c r="WU30" t="s">
        <v>85</v>
      </c>
      <c r="WV30" t="s">
        <v>85</v>
      </c>
      <c r="WW30">
        <v>1803</v>
      </c>
      <c r="WX30" t="s">
        <v>765</v>
      </c>
      <c r="WY30" t="s">
        <v>85</v>
      </c>
      <c r="WZ30" t="s">
        <v>85</v>
      </c>
      <c r="XA30" t="s">
        <v>85</v>
      </c>
      <c r="XB30" t="s">
        <v>85</v>
      </c>
      <c r="XC30">
        <v>6629</v>
      </c>
      <c r="XD30" t="s">
        <v>85</v>
      </c>
      <c r="XE30" t="s">
        <v>85</v>
      </c>
      <c r="XF30" t="s">
        <v>85</v>
      </c>
      <c r="XG30" t="s">
        <v>85</v>
      </c>
      <c r="XH30">
        <v>4365</v>
      </c>
      <c r="XI30" t="s">
        <v>85</v>
      </c>
      <c r="XJ30" t="s">
        <v>85</v>
      </c>
      <c r="XK30" t="s">
        <v>85</v>
      </c>
      <c r="XL30" t="s">
        <v>85</v>
      </c>
      <c r="XM30">
        <v>1140</v>
      </c>
      <c r="XN30" t="s">
        <v>85</v>
      </c>
      <c r="XO30" t="s">
        <v>85</v>
      </c>
      <c r="XP30" t="s">
        <v>85</v>
      </c>
      <c r="XQ30" t="s">
        <v>85</v>
      </c>
      <c r="XR30" t="s">
        <v>85</v>
      </c>
      <c r="XS30" t="s">
        <v>85</v>
      </c>
      <c r="XT30" t="s">
        <v>85</v>
      </c>
      <c r="XU30" t="s">
        <v>85</v>
      </c>
      <c r="XV30" t="s">
        <v>85</v>
      </c>
      <c r="XW30" t="s">
        <v>85</v>
      </c>
      <c r="XX30" t="s">
        <v>765</v>
      </c>
      <c r="XY30" t="s">
        <v>85</v>
      </c>
      <c r="XZ30" t="s">
        <v>85</v>
      </c>
      <c r="YA30" t="s">
        <v>85</v>
      </c>
      <c r="YB30" t="s">
        <v>85</v>
      </c>
      <c r="YC30">
        <v>20760</v>
      </c>
      <c r="YD30" t="s">
        <v>85</v>
      </c>
      <c r="YE30" t="s">
        <v>85</v>
      </c>
      <c r="YF30" t="s">
        <v>85</v>
      </c>
      <c r="YG30" t="s">
        <v>85</v>
      </c>
      <c r="YH30">
        <v>13720</v>
      </c>
      <c r="YI30" t="s">
        <v>85</v>
      </c>
      <c r="YJ30" t="s">
        <v>85</v>
      </c>
      <c r="YK30" t="s">
        <v>85</v>
      </c>
      <c r="YL30" t="s">
        <v>85</v>
      </c>
      <c r="YM30">
        <v>6367</v>
      </c>
      <c r="YN30" t="s">
        <v>85</v>
      </c>
      <c r="YO30" t="s">
        <v>85</v>
      </c>
      <c r="YP30" t="s">
        <v>85</v>
      </c>
      <c r="YQ30" t="s">
        <v>85</v>
      </c>
      <c r="YR30">
        <v>22470</v>
      </c>
      <c r="YS30" t="s">
        <v>85</v>
      </c>
      <c r="YT30" t="s">
        <v>85</v>
      </c>
      <c r="YU30" t="s">
        <v>85</v>
      </c>
      <c r="YV30" t="s">
        <v>85</v>
      </c>
      <c r="YW30">
        <v>36006</v>
      </c>
      <c r="YX30" t="s">
        <v>765</v>
      </c>
      <c r="YY30" t="s">
        <v>85</v>
      </c>
      <c r="YZ30" t="s">
        <v>85</v>
      </c>
      <c r="ZA30" t="s">
        <v>85</v>
      </c>
      <c r="ZB30" t="s">
        <v>85</v>
      </c>
      <c r="ZC30">
        <v>0</v>
      </c>
      <c r="ZD30" t="s">
        <v>85</v>
      </c>
      <c r="ZE30" t="s">
        <v>85</v>
      </c>
      <c r="ZF30" t="s">
        <v>85</v>
      </c>
      <c r="ZG30" t="s">
        <v>85</v>
      </c>
      <c r="ZH30">
        <v>1404</v>
      </c>
      <c r="ZI30" t="s">
        <v>85</v>
      </c>
      <c r="ZJ30" t="s">
        <v>85</v>
      </c>
      <c r="ZK30" t="s">
        <v>85</v>
      </c>
      <c r="ZL30" t="s">
        <v>85</v>
      </c>
      <c r="ZM30" t="s">
        <v>85</v>
      </c>
      <c r="ZN30" t="s">
        <v>85</v>
      </c>
      <c r="ZO30" t="s">
        <v>85</v>
      </c>
      <c r="ZP30" t="s">
        <v>85</v>
      </c>
      <c r="ZQ30" t="s">
        <v>85</v>
      </c>
      <c r="ZR30" t="s">
        <v>85</v>
      </c>
      <c r="ZS30" t="s">
        <v>85</v>
      </c>
      <c r="ZT30" t="s">
        <v>85</v>
      </c>
      <c r="ZU30" t="s">
        <v>85</v>
      </c>
      <c r="ZV30" t="s">
        <v>85</v>
      </c>
      <c r="ZW30" t="s">
        <v>85</v>
      </c>
      <c r="ZX30" t="s">
        <v>765</v>
      </c>
      <c r="ZY30" t="s">
        <v>777</v>
      </c>
      <c r="ZZ30" t="s">
        <v>777</v>
      </c>
      <c r="AAA30" t="s">
        <v>358</v>
      </c>
      <c r="AAB30" t="s">
        <v>358</v>
      </c>
      <c r="AAC30" t="s">
        <v>358</v>
      </c>
      <c r="AAD30" t="s">
        <v>358</v>
      </c>
      <c r="AAE30">
        <v>71282</v>
      </c>
      <c r="AAF30" t="s">
        <v>358</v>
      </c>
      <c r="AAG30" t="s">
        <v>358</v>
      </c>
      <c r="AAH30" t="s">
        <v>358</v>
      </c>
      <c r="AAI30" t="s">
        <v>358</v>
      </c>
      <c r="AAJ30" t="s">
        <v>85</v>
      </c>
      <c r="AAK30" t="s">
        <v>358</v>
      </c>
      <c r="AAL30" t="s">
        <v>358</v>
      </c>
      <c r="AAM30" t="s">
        <v>358</v>
      </c>
      <c r="AAN30" t="s">
        <v>358</v>
      </c>
      <c r="AAO30" t="s">
        <v>85</v>
      </c>
      <c r="AAP30" t="s">
        <v>358</v>
      </c>
      <c r="AAQ30" t="s">
        <v>358</v>
      </c>
      <c r="AAR30" t="s">
        <v>358</v>
      </c>
      <c r="AAS30" t="s">
        <v>358</v>
      </c>
      <c r="AAT30" t="s">
        <v>85</v>
      </c>
      <c r="AAU30" t="s">
        <v>358</v>
      </c>
      <c r="AAV30" t="s">
        <v>358</v>
      </c>
      <c r="AAW30" t="s">
        <v>358</v>
      </c>
      <c r="AAX30" t="s">
        <v>358</v>
      </c>
      <c r="AAY30" t="s">
        <v>85</v>
      </c>
    </row>
    <row r="31" spans="1:727">
      <c r="A31" s="483" t="s">
        <v>777</v>
      </c>
      <c r="B31" s="503" t="s">
        <v>4793</v>
      </c>
      <c r="C31" s="503" t="s">
        <v>4793</v>
      </c>
      <c r="D31" s="503" t="s">
        <v>4793</v>
      </c>
      <c r="E31" s="503" t="s">
        <v>4793</v>
      </c>
      <c r="F31" s="503">
        <v>576</v>
      </c>
      <c r="G31" s="593" t="s">
        <v>4793</v>
      </c>
      <c r="H31" s="593" t="s">
        <v>4793</v>
      </c>
      <c r="I31" s="593" t="s">
        <v>4793</v>
      </c>
      <c r="J31" s="593" t="s">
        <v>4793</v>
      </c>
      <c r="K31" s="593">
        <v>3584</v>
      </c>
      <c r="L31" s="502" t="s">
        <v>4793</v>
      </c>
      <c r="M31" s="502" t="s">
        <v>4793</v>
      </c>
      <c r="N31" s="502" t="s">
        <v>4793</v>
      </c>
      <c r="O31" s="502" t="s">
        <v>4793</v>
      </c>
      <c r="P31" s="502">
        <v>3179</v>
      </c>
      <c r="Q31" s="504" t="s">
        <v>4793</v>
      </c>
      <c r="R31" s="504" t="s">
        <v>4793</v>
      </c>
      <c r="S31" s="504" t="s">
        <v>4793</v>
      </c>
      <c r="T31" s="504" t="s">
        <v>4793</v>
      </c>
      <c r="U31" s="504">
        <v>2454</v>
      </c>
      <c r="V31" s="505" t="s">
        <v>4793</v>
      </c>
      <c r="W31" s="505" t="s">
        <v>4793</v>
      </c>
      <c r="X31" s="505" t="s">
        <v>4793</v>
      </c>
      <c r="Y31" s="505" t="s">
        <v>4793</v>
      </c>
      <c r="Z31" s="505">
        <v>38</v>
      </c>
      <c r="AA31" s="506"/>
      <c r="AB31" s="506"/>
      <c r="AC31" s="506"/>
      <c r="AD31" s="506"/>
      <c r="AE31" s="506"/>
      <c r="AF31" s="506"/>
      <c r="AG31" s="507"/>
      <c r="AH31" s="507"/>
      <c r="AI31" s="507"/>
      <c r="AJ31" s="507"/>
      <c r="AK31" s="507"/>
      <c r="AL31" s="508"/>
      <c r="AM31" s="508"/>
      <c r="AN31" s="508"/>
      <c r="AO31" s="508"/>
      <c r="AP31" s="508"/>
      <c r="AQ31" s="509"/>
      <c r="AR31" s="509"/>
      <c r="AS31" s="509"/>
      <c r="AT31" s="509"/>
      <c r="AU31" s="509"/>
      <c r="AV31" s="483"/>
      <c r="AW31" s="483"/>
      <c r="AX31" s="483"/>
      <c r="AY31" s="483"/>
      <c r="AZ31" s="483"/>
      <c r="BA31" s="483"/>
      <c r="BB31" s="483"/>
      <c r="BC31" s="483"/>
      <c r="BD31" s="483"/>
      <c r="BE31" s="483"/>
      <c r="BF31" s="483"/>
      <c r="BG31" s="483"/>
      <c r="BH31" s="483"/>
      <c r="BI31" s="483"/>
      <c r="BJ31" s="483"/>
      <c r="BK31" s="483"/>
      <c r="BL31" s="483"/>
      <c r="BM31" s="483"/>
      <c r="BN31" s="483"/>
      <c r="BO31" s="483"/>
      <c r="BP31" s="483"/>
      <c r="GA31" t="s">
        <v>85</v>
      </c>
      <c r="GB31" t="s">
        <v>766</v>
      </c>
      <c r="GC31">
        <v>118</v>
      </c>
      <c r="GD31">
        <v>91</v>
      </c>
      <c r="GE31">
        <v>80</v>
      </c>
      <c r="GF31">
        <v>39</v>
      </c>
      <c r="GG31">
        <v>1959</v>
      </c>
      <c r="GH31">
        <v>46</v>
      </c>
      <c r="GI31">
        <v>44</v>
      </c>
      <c r="GJ31">
        <v>44</v>
      </c>
      <c r="GK31">
        <v>17</v>
      </c>
      <c r="GL31">
        <v>883</v>
      </c>
      <c r="GM31">
        <v>104</v>
      </c>
      <c r="GN31">
        <v>60</v>
      </c>
      <c r="GO31">
        <v>66</v>
      </c>
      <c r="GP31">
        <v>79</v>
      </c>
      <c r="GQ31">
        <v>938</v>
      </c>
      <c r="GR31">
        <v>16</v>
      </c>
      <c r="GS31">
        <v>14</v>
      </c>
      <c r="GT31">
        <v>14</v>
      </c>
      <c r="GU31">
        <v>9</v>
      </c>
      <c r="GV31">
        <v>290</v>
      </c>
      <c r="GW31">
        <v>17</v>
      </c>
      <c r="GX31">
        <v>15</v>
      </c>
      <c r="GY31">
        <v>10</v>
      </c>
      <c r="GZ31">
        <v>18</v>
      </c>
      <c r="HA31">
        <v>163</v>
      </c>
      <c r="HB31" t="s">
        <v>766</v>
      </c>
      <c r="HC31">
        <v>67</v>
      </c>
      <c r="HD31">
        <v>57</v>
      </c>
      <c r="HE31">
        <v>56</v>
      </c>
      <c r="HF31">
        <v>48</v>
      </c>
      <c r="HG31">
        <v>637</v>
      </c>
      <c r="HH31">
        <v>150</v>
      </c>
      <c r="HI31">
        <v>126</v>
      </c>
      <c r="HJ31">
        <v>127</v>
      </c>
      <c r="HK31">
        <v>36</v>
      </c>
      <c r="HL31">
        <v>2716</v>
      </c>
      <c r="HM31">
        <v>155</v>
      </c>
      <c r="HN31">
        <v>140</v>
      </c>
      <c r="HO31">
        <v>166</v>
      </c>
      <c r="HP31">
        <v>40</v>
      </c>
      <c r="HQ31">
        <v>3157</v>
      </c>
      <c r="HR31">
        <v>68</v>
      </c>
      <c r="HS31">
        <v>76</v>
      </c>
      <c r="HT31">
        <v>87</v>
      </c>
      <c r="HU31">
        <v>21</v>
      </c>
      <c r="HV31">
        <v>1478</v>
      </c>
      <c r="HW31">
        <v>12</v>
      </c>
      <c r="HX31">
        <v>20</v>
      </c>
      <c r="HY31">
        <v>26</v>
      </c>
      <c r="HZ31">
        <v>16</v>
      </c>
      <c r="IA31">
        <v>385</v>
      </c>
      <c r="IB31" t="s">
        <v>766</v>
      </c>
      <c r="IC31">
        <v>175</v>
      </c>
      <c r="ID31">
        <v>153</v>
      </c>
      <c r="IE31">
        <v>138</v>
      </c>
      <c r="IF31">
        <v>53</v>
      </c>
      <c r="IG31">
        <v>3124</v>
      </c>
      <c r="IH31">
        <v>28</v>
      </c>
      <c r="II31">
        <v>43</v>
      </c>
      <c r="IJ31">
        <v>42</v>
      </c>
      <c r="IK31">
        <v>23</v>
      </c>
      <c r="IL31">
        <v>686</v>
      </c>
      <c r="IM31">
        <v>97</v>
      </c>
      <c r="IN31">
        <v>99</v>
      </c>
      <c r="IO31">
        <v>116</v>
      </c>
      <c r="IP31">
        <v>28</v>
      </c>
      <c r="IQ31">
        <v>2134</v>
      </c>
      <c r="IR31">
        <v>47</v>
      </c>
      <c r="IS31">
        <v>46</v>
      </c>
      <c r="IT31">
        <v>56</v>
      </c>
      <c r="IU31">
        <v>23</v>
      </c>
      <c r="IV31">
        <v>789</v>
      </c>
      <c r="IW31">
        <v>24</v>
      </c>
      <c r="IX31">
        <v>28</v>
      </c>
      <c r="IY31">
        <v>19</v>
      </c>
      <c r="IZ31">
        <v>8</v>
      </c>
      <c r="JA31">
        <v>468</v>
      </c>
      <c r="JB31" t="s">
        <v>766</v>
      </c>
      <c r="JC31">
        <v>41</v>
      </c>
      <c r="JD31">
        <v>30</v>
      </c>
      <c r="JE31">
        <v>26</v>
      </c>
      <c r="JF31">
        <v>16</v>
      </c>
      <c r="JG31">
        <v>649</v>
      </c>
      <c r="JH31">
        <v>101</v>
      </c>
      <c r="JI31">
        <v>87</v>
      </c>
      <c r="JJ31">
        <v>75</v>
      </c>
      <c r="JK31">
        <v>34</v>
      </c>
      <c r="JL31">
        <v>1758</v>
      </c>
      <c r="JM31">
        <v>109</v>
      </c>
      <c r="JN31">
        <v>106</v>
      </c>
      <c r="JO31">
        <v>87</v>
      </c>
      <c r="JP31">
        <v>27</v>
      </c>
      <c r="JQ31">
        <v>2022</v>
      </c>
      <c r="JR31">
        <v>154</v>
      </c>
      <c r="JS31">
        <v>156</v>
      </c>
      <c r="JT31">
        <v>162</v>
      </c>
      <c r="JU31">
        <v>26</v>
      </c>
      <c r="JV31">
        <v>3009</v>
      </c>
      <c r="JW31">
        <v>31</v>
      </c>
      <c r="JX31">
        <v>16</v>
      </c>
      <c r="JY31">
        <v>35</v>
      </c>
      <c r="JZ31">
        <v>23</v>
      </c>
      <c r="KA31">
        <v>563</v>
      </c>
      <c r="KB31" t="s">
        <v>766</v>
      </c>
      <c r="KC31" t="s">
        <v>85</v>
      </c>
      <c r="KD31" t="s">
        <v>85</v>
      </c>
      <c r="KE31" t="s">
        <v>85</v>
      </c>
      <c r="KF31" t="s">
        <v>85</v>
      </c>
      <c r="KG31" t="s">
        <v>85</v>
      </c>
      <c r="KH31" t="s">
        <v>85</v>
      </c>
      <c r="KI31" t="s">
        <v>85</v>
      </c>
      <c r="KJ31" t="s">
        <v>85</v>
      </c>
      <c r="KK31" t="s">
        <v>85</v>
      </c>
      <c r="KL31" t="s">
        <v>85</v>
      </c>
      <c r="KM31" t="s">
        <v>85</v>
      </c>
      <c r="KN31" t="s">
        <v>85</v>
      </c>
      <c r="KO31" t="s">
        <v>85</v>
      </c>
      <c r="KP31" t="s">
        <v>85</v>
      </c>
      <c r="KQ31" t="s">
        <v>85</v>
      </c>
      <c r="KR31" t="s">
        <v>85</v>
      </c>
      <c r="KS31" t="s">
        <v>85</v>
      </c>
      <c r="KT31" t="s">
        <v>85</v>
      </c>
      <c r="KU31" t="s">
        <v>85</v>
      </c>
      <c r="KV31" t="s">
        <v>85</v>
      </c>
      <c r="KW31" t="s">
        <v>85</v>
      </c>
      <c r="KX31" t="s">
        <v>85</v>
      </c>
      <c r="KY31" t="s">
        <v>85</v>
      </c>
      <c r="KZ31" t="s">
        <v>85</v>
      </c>
      <c r="LA31" t="s">
        <v>85</v>
      </c>
      <c r="LB31" t="s">
        <v>766</v>
      </c>
      <c r="LC31" t="s">
        <v>85</v>
      </c>
      <c r="LD31" t="s">
        <v>85</v>
      </c>
      <c r="LE31" t="s">
        <v>85</v>
      </c>
      <c r="LF31" t="s">
        <v>85</v>
      </c>
      <c r="LG31" t="s">
        <v>85</v>
      </c>
      <c r="LH31" t="s">
        <v>85</v>
      </c>
      <c r="LI31" t="s">
        <v>85</v>
      </c>
      <c r="LJ31" t="s">
        <v>85</v>
      </c>
      <c r="LK31" t="s">
        <v>85</v>
      </c>
      <c r="LL31" t="s">
        <v>85</v>
      </c>
      <c r="LM31" t="s">
        <v>85</v>
      </c>
      <c r="LN31" t="s">
        <v>85</v>
      </c>
      <c r="LO31" t="s">
        <v>85</v>
      </c>
      <c r="LP31" t="s">
        <v>85</v>
      </c>
      <c r="LQ31" t="s">
        <v>85</v>
      </c>
      <c r="LR31" t="s">
        <v>85</v>
      </c>
      <c r="LS31" t="s">
        <v>85</v>
      </c>
      <c r="LT31" t="s">
        <v>85</v>
      </c>
      <c r="LU31" t="s">
        <v>85</v>
      </c>
      <c r="LV31" t="s">
        <v>85</v>
      </c>
      <c r="LW31" t="s">
        <v>85</v>
      </c>
      <c r="LX31" t="s">
        <v>85</v>
      </c>
      <c r="LY31" t="s">
        <v>85</v>
      </c>
      <c r="LZ31" t="s">
        <v>85</v>
      </c>
      <c r="MA31" t="s">
        <v>85</v>
      </c>
      <c r="MB31" t="s">
        <v>766</v>
      </c>
      <c r="MC31" t="s">
        <v>85</v>
      </c>
      <c r="MD31" t="s">
        <v>85</v>
      </c>
      <c r="ME31" t="s">
        <v>85</v>
      </c>
      <c r="MF31" t="s">
        <v>85</v>
      </c>
      <c r="MG31" t="s">
        <v>85</v>
      </c>
      <c r="MH31" t="s">
        <v>85</v>
      </c>
      <c r="MI31" t="s">
        <v>85</v>
      </c>
      <c r="MJ31" t="s">
        <v>85</v>
      </c>
      <c r="MK31" t="s">
        <v>85</v>
      </c>
      <c r="ML31" t="s">
        <v>85</v>
      </c>
      <c r="MM31" t="s">
        <v>85</v>
      </c>
      <c r="MN31" t="s">
        <v>85</v>
      </c>
      <c r="MO31" t="s">
        <v>85</v>
      </c>
      <c r="MP31" t="s">
        <v>85</v>
      </c>
      <c r="MQ31" t="s">
        <v>85</v>
      </c>
      <c r="MR31" t="s">
        <v>85</v>
      </c>
      <c r="MS31" t="s">
        <v>85</v>
      </c>
      <c r="MT31" t="s">
        <v>85</v>
      </c>
      <c r="MU31" t="s">
        <v>85</v>
      </c>
      <c r="MV31" t="s">
        <v>85</v>
      </c>
      <c r="MW31" t="s">
        <v>85</v>
      </c>
      <c r="MX31" t="s">
        <v>85</v>
      </c>
      <c r="MY31" t="s">
        <v>85</v>
      </c>
      <c r="MZ31" t="s">
        <v>85</v>
      </c>
      <c r="NA31" t="s">
        <v>778</v>
      </c>
      <c r="NB31">
        <v>-1</v>
      </c>
      <c r="NC31">
        <v>-1</v>
      </c>
      <c r="ND31">
        <v>-1</v>
      </c>
      <c r="NE31">
        <v>-1</v>
      </c>
      <c r="NF31">
        <v>25</v>
      </c>
      <c r="NG31">
        <v>8</v>
      </c>
      <c r="NH31">
        <v>9</v>
      </c>
      <c r="NI31">
        <v>9</v>
      </c>
      <c r="NJ31">
        <v>0</v>
      </c>
      <c r="NK31">
        <v>229</v>
      </c>
      <c r="NL31">
        <v>10</v>
      </c>
      <c r="NM31">
        <v>10</v>
      </c>
      <c r="NN31">
        <v>10</v>
      </c>
      <c r="NO31">
        <v>0</v>
      </c>
      <c r="NP31">
        <v>243</v>
      </c>
      <c r="NQ31">
        <v>9</v>
      </c>
      <c r="NR31">
        <v>9</v>
      </c>
      <c r="NS31">
        <v>9</v>
      </c>
      <c r="NT31">
        <v>0</v>
      </c>
      <c r="NU31">
        <v>267</v>
      </c>
      <c r="NV31">
        <v>10</v>
      </c>
      <c r="NW31">
        <v>10</v>
      </c>
      <c r="NX31">
        <v>10</v>
      </c>
      <c r="NY31">
        <v>1</v>
      </c>
      <c r="NZ31">
        <v>75</v>
      </c>
      <c r="OA31" t="s">
        <v>766</v>
      </c>
      <c r="OB31">
        <v>13</v>
      </c>
      <c r="OC31">
        <v>13</v>
      </c>
      <c r="OD31">
        <v>13</v>
      </c>
      <c r="OE31">
        <v>1</v>
      </c>
      <c r="OF31">
        <v>276</v>
      </c>
      <c r="OG31">
        <v>13</v>
      </c>
      <c r="OH31">
        <v>13</v>
      </c>
      <c r="OI31">
        <v>13</v>
      </c>
      <c r="OJ31">
        <v>1</v>
      </c>
      <c r="OK31">
        <v>182</v>
      </c>
      <c r="OL31">
        <v>1</v>
      </c>
      <c r="OM31">
        <v>1</v>
      </c>
      <c r="ON31">
        <v>1</v>
      </c>
      <c r="OO31">
        <v>1</v>
      </c>
      <c r="OP31">
        <v>47</v>
      </c>
      <c r="OQ31" t="s">
        <v>85</v>
      </c>
      <c r="OR31" t="s">
        <v>85</v>
      </c>
      <c r="OS31" t="s">
        <v>85</v>
      </c>
      <c r="OT31" t="s">
        <v>85</v>
      </c>
      <c r="OU31" t="s">
        <v>85</v>
      </c>
      <c r="OV31" t="s">
        <v>85</v>
      </c>
      <c r="OW31" t="s">
        <v>85</v>
      </c>
      <c r="OX31" t="s">
        <v>85</v>
      </c>
      <c r="OY31" t="s">
        <v>85</v>
      </c>
      <c r="OZ31" t="s">
        <v>85</v>
      </c>
      <c r="PA31" t="s">
        <v>766</v>
      </c>
      <c r="PB31">
        <v>23</v>
      </c>
      <c r="PC31">
        <v>23</v>
      </c>
      <c r="PD31">
        <v>23</v>
      </c>
      <c r="PE31">
        <v>0</v>
      </c>
      <c r="PF31">
        <v>865</v>
      </c>
      <c r="PG31">
        <v>17</v>
      </c>
      <c r="PH31">
        <v>15</v>
      </c>
      <c r="PI31">
        <v>15</v>
      </c>
      <c r="PJ31">
        <v>0</v>
      </c>
      <c r="PK31">
        <v>572</v>
      </c>
      <c r="PL31">
        <v>9</v>
      </c>
      <c r="PM31">
        <v>11</v>
      </c>
      <c r="PN31">
        <v>9</v>
      </c>
      <c r="PO31">
        <v>0</v>
      </c>
      <c r="PP31">
        <v>265</v>
      </c>
      <c r="PQ31">
        <v>28</v>
      </c>
      <c r="PR31">
        <v>29</v>
      </c>
      <c r="PS31">
        <v>27</v>
      </c>
      <c r="PT31">
        <v>1</v>
      </c>
      <c r="PU31">
        <v>936</v>
      </c>
      <c r="PV31">
        <v>38</v>
      </c>
      <c r="PW31">
        <v>40</v>
      </c>
      <c r="PX31">
        <v>38</v>
      </c>
      <c r="PY31">
        <v>0</v>
      </c>
      <c r="PZ31">
        <v>1500</v>
      </c>
      <c r="QA31" t="s">
        <v>766</v>
      </c>
      <c r="QB31" t="s">
        <v>85</v>
      </c>
      <c r="QC31" t="s">
        <v>85</v>
      </c>
      <c r="QD31" t="s">
        <v>85</v>
      </c>
      <c r="QE31" t="s">
        <v>85</v>
      </c>
      <c r="QF31">
        <v>0</v>
      </c>
      <c r="QG31">
        <v>1</v>
      </c>
      <c r="QH31">
        <v>2</v>
      </c>
      <c r="QI31">
        <v>2</v>
      </c>
      <c r="QJ31">
        <v>0</v>
      </c>
      <c r="QK31">
        <v>58</v>
      </c>
      <c r="QL31" t="s">
        <v>85</v>
      </c>
      <c r="QM31" t="s">
        <v>85</v>
      </c>
      <c r="QN31" t="s">
        <v>85</v>
      </c>
      <c r="QO31" t="s">
        <v>85</v>
      </c>
      <c r="QP31" t="s">
        <v>85</v>
      </c>
      <c r="QQ31" t="s">
        <v>85</v>
      </c>
      <c r="QR31" t="s">
        <v>85</v>
      </c>
      <c r="QS31" t="s">
        <v>85</v>
      </c>
      <c r="QT31" t="s">
        <v>85</v>
      </c>
      <c r="QU31" t="s">
        <v>85</v>
      </c>
      <c r="QV31" t="s">
        <v>85</v>
      </c>
      <c r="QW31" t="s">
        <v>85</v>
      </c>
      <c r="QX31" t="s">
        <v>85</v>
      </c>
      <c r="QY31" t="s">
        <v>85</v>
      </c>
      <c r="QZ31" t="s">
        <v>85</v>
      </c>
      <c r="RA31" t="s">
        <v>766</v>
      </c>
      <c r="RB31">
        <v>125</v>
      </c>
      <c r="RC31">
        <v>126</v>
      </c>
      <c r="RD31">
        <v>125</v>
      </c>
      <c r="RE31">
        <v>0</v>
      </c>
      <c r="RF31">
        <v>4440</v>
      </c>
      <c r="RG31">
        <v>12</v>
      </c>
      <c r="RH31">
        <v>12</v>
      </c>
      <c r="RI31">
        <v>12</v>
      </c>
      <c r="RJ31">
        <v>0</v>
      </c>
      <c r="RK31">
        <v>441</v>
      </c>
      <c r="RL31">
        <v>11</v>
      </c>
      <c r="RM31">
        <v>11</v>
      </c>
      <c r="RN31">
        <v>11</v>
      </c>
      <c r="RO31">
        <v>0</v>
      </c>
      <c r="RP31">
        <v>410</v>
      </c>
      <c r="RQ31">
        <v>0</v>
      </c>
      <c r="RR31">
        <v>0</v>
      </c>
      <c r="RS31">
        <v>0</v>
      </c>
      <c r="RT31">
        <v>0</v>
      </c>
      <c r="RU31">
        <v>0</v>
      </c>
      <c r="RV31">
        <v>0</v>
      </c>
      <c r="RW31">
        <v>0</v>
      </c>
      <c r="RX31">
        <v>0</v>
      </c>
      <c r="RY31">
        <v>0</v>
      </c>
      <c r="RZ31">
        <v>0</v>
      </c>
      <c r="SA31" t="s">
        <v>766</v>
      </c>
      <c r="SB31">
        <v>0</v>
      </c>
      <c r="SC31">
        <v>0</v>
      </c>
      <c r="SD31">
        <v>0</v>
      </c>
      <c r="SE31">
        <v>0</v>
      </c>
      <c r="SF31">
        <v>0</v>
      </c>
      <c r="SG31" t="s">
        <v>85</v>
      </c>
      <c r="SH31" t="s">
        <v>85</v>
      </c>
      <c r="SI31" t="s">
        <v>85</v>
      </c>
      <c r="SJ31" t="s">
        <v>85</v>
      </c>
      <c r="SK31" t="s">
        <v>85</v>
      </c>
      <c r="SL31" t="s">
        <v>85</v>
      </c>
      <c r="SM31" t="s">
        <v>85</v>
      </c>
      <c r="SN31" t="s">
        <v>85</v>
      </c>
      <c r="SO31" t="s">
        <v>85</v>
      </c>
      <c r="SP31" t="s">
        <v>85</v>
      </c>
      <c r="SQ31" t="s">
        <v>85</v>
      </c>
      <c r="SR31" t="s">
        <v>85</v>
      </c>
      <c r="SS31" t="s">
        <v>85</v>
      </c>
      <c r="ST31" t="s">
        <v>85</v>
      </c>
      <c r="SU31" t="s">
        <v>85</v>
      </c>
      <c r="SV31" t="s">
        <v>85</v>
      </c>
      <c r="SW31" t="s">
        <v>85</v>
      </c>
      <c r="SX31" t="s">
        <v>85</v>
      </c>
      <c r="SY31" t="s">
        <v>85</v>
      </c>
      <c r="SZ31" t="s">
        <v>85</v>
      </c>
      <c r="TA31" t="s">
        <v>766</v>
      </c>
      <c r="TB31">
        <v>35</v>
      </c>
      <c r="TC31">
        <v>35</v>
      </c>
      <c r="TD31">
        <v>35</v>
      </c>
      <c r="TE31">
        <v>0</v>
      </c>
      <c r="TF31">
        <v>1381</v>
      </c>
      <c r="TG31">
        <v>0</v>
      </c>
      <c r="TH31">
        <v>0</v>
      </c>
      <c r="TI31">
        <v>0</v>
      </c>
      <c r="TJ31">
        <v>0</v>
      </c>
      <c r="TK31">
        <v>0</v>
      </c>
      <c r="TL31">
        <v>0</v>
      </c>
      <c r="TM31">
        <v>0</v>
      </c>
      <c r="TN31">
        <v>0</v>
      </c>
      <c r="TO31">
        <v>0</v>
      </c>
      <c r="TP31">
        <v>0</v>
      </c>
      <c r="TQ31">
        <v>27</v>
      </c>
      <c r="TR31">
        <v>26</v>
      </c>
      <c r="TS31">
        <v>28</v>
      </c>
      <c r="TT31">
        <v>0</v>
      </c>
      <c r="TU31">
        <v>1078</v>
      </c>
      <c r="TV31">
        <v>7</v>
      </c>
      <c r="TW31">
        <v>7</v>
      </c>
      <c r="TX31">
        <v>6</v>
      </c>
      <c r="TY31">
        <v>0</v>
      </c>
      <c r="TZ31">
        <v>265</v>
      </c>
      <c r="UA31" t="s">
        <v>766</v>
      </c>
      <c r="UB31">
        <v>74</v>
      </c>
      <c r="UC31">
        <v>78</v>
      </c>
      <c r="UD31">
        <v>76</v>
      </c>
      <c r="UE31">
        <v>0</v>
      </c>
      <c r="UF31">
        <v>2970</v>
      </c>
      <c r="UG31" t="s">
        <v>85</v>
      </c>
      <c r="UH31" t="s">
        <v>85</v>
      </c>
      <c r="UI31" t="s">
        <v>85</v>
      </c>
      <c r="UJ31" t="s">
        <v>85</v>
      </c>
      <c r="UK31" t="s">
        <v>85</v>
      </c>
      <c r="UL31" t="s">
        <v>85</v>
      </c>
      <c r="UM31" t="s">
        <v>85</v>
      </c>
      <c r="UN31" t="s">
        <v>85</v>
      </c>
      <c r="UO31" t="s">
        <v>85</v>
      </c>
      <c r="UP31" t="s">
        <v>85</v>
      </c>
      <c r="UQ31" t="s">
        <v>85</v>
      </c>
      <c r="UR31" t="s">
        <v>85</v>
      </c>
      <c r="US31" t="s">
        <v>85</v>
      </c>
      <c r="UT31" t="s">
        <v>85</v>
      </c>
      <c r="UU31" t="s">
        <v>85</v>
      </c>
      <c r="UV31" t="s">
        <v>85</v>
      </c>
      <c r="UW31" t="s">
        <v>85</v>
      </c>
      <c r="UX31" t="s">
        <v>85</v>
      </c>
      <c r="UY31" t="s">
        <v>85</v>
      </c>
      <c r="UZ31" t="s">
        <v>85</v>
      </c>
      <c r="VX31" t="s">
        <v>766</v>
      </c>
      <c r="VY31">
        <v>-1</v>
      </c>
      <c r="VZ31">
        <v>-1</v>
      </c>
      <c r="WA31">
        <v>-1</v>
      </c>
      <c r="WB31">
        <v>-1</v>
      </c>
      <c r="WC31">
        <v>25</v>
      </c>
      <c r="WD31">
        <v>8</v>
      </c>
      <c r="WE31">
        <v>9</v>
      </c>
      <c r="WF31">
        <v>9</v>
      </c>
      <c r="WG31">
        <v>0</v>
      </c>
      <c r="WH31">
        <v>229</v>
      </c>
      <c r="WI31">
        <v>10</v>
      </c>
      <c r="WJ31">
        <v>10</v>
      </c>
      <c r="WK31">
        <v>10</v>
      </c>
      <c r="WL31">
        <v>0</v>
      </c>
      <c r="WM31">
        <v>243</v>
      </c>
      <c r="WN31">
        <v>9</v>
      </c>
      <c r="WO31">
        <v>9</v>
      </c>
      <c r="WP31">
        <v>9</v>
      </c>
      <c r="WQ31">
        <v>0</v>
      </c>
      <c r="WR31">
        <v>267</v>
      </c>
      <c r="WS31">
        <v>10</v>
      </c>
      <c r="WT31">
        <v>10</v>
      </c>
      <c r="WU31">
        <v>10</v>
      </c>
      <c r="WV31">
        <v>1</v>
      </c>
      <c r="WW31">
        <v>75</v>
      </c>
      <c r="WX31" t="s">
        <v>766</v>
      </c>
      <c r="WY31">
        <v>13</v>
      </c>
      <c r="WZ31">
        <v>13</v>
      </c>
      <c r="XA31">
        <v>13</v>
      </c>
      <c r="XB31">
        <v>1</v>
      </c>
      <c r="XC31">
        <v>276</v>
      </c>
      <c r="XD31">
        <v>13</v>
      </c>
      <c r="XE31">
        <v>13</v>
      </c>
      <c r="XF31">
        <v>13</v>
      </c>
      <c r="XG31">
        <v>1</v>
      </c>
      <c r="XH31">
        <v>182</v>
      </c>
      <c r="XI31">
        <v>1</v>
      </c>
      <c r="XJ31">
        <v>1</v>
      </c>
      <c r="XK31">
        <v>1</v>
      </c>
      <c r="XL31">
        <v>1</v>
      </c>
      <c r="XM31">
        <v>47</v>
      </c>
      <c r="XN31" t="s">
        <v>85</v>
      </c>
      <c r="XO31" t="s">
        <v>85</v>
      </c>
      <c r="XP31" t="s">
        <v>85</v>
      </c>
      <c r="XQ31" t="s">
        <v>85</v>
      </c>
      <c r="XR31" t="s">
        <v>85</v>
      </c>
      <c r="XS31" t="s">
        <v>85</v>
      </c>
      <c r="XT31" t="s">
        <v>85</v>
      </c>
      <c r="XU31" t="s">
        <v>85</v>
      </c>
      <c r="XV31" t="s">
        <v>85</v>
      </c>
      <c r="XW31" t="s">
        <v>85</v>
      </c>
      <c r="XX31" t="s">
        <v>766</v>
      </c>
      <c r="XY31">
        <v>23</v>
      </c>
      <c r="XZ31">
        <v>23</v>
      </c>
      <c r="YA31">
        <v>23</v>
      </c>
      <c r="YB31">
        <v>0</v>
      </c>
      <c r="YC31">
        <v>865</v>
      </c>
      <c r="YD31">
        <v>17</v>
      </c>
      <c r="YE31">
        <v>15</v>
      </c>
      <c r="YF31">
        <v>15</v>
      </c>
      <c r="YG31">
        <v>0</v>
      </c>
      <c r="YH31">
        <v>572</v>
      </c>
      <c r="YI31">
        <v>9</v>
      </c>
      <c r="YJ31">
        <v>11</v>
      </c>
      <c r="YK31">
        <v>9</v>
      </c>
      <c r="YL31">
        <v>0</v>
      </c>
      <c r="YM31">
        <v>265</v>
      </c>
      <c r="YN31">
        <v>28</v>
      </c>
      <c r="YO31">
        <v>29</v>
      </c>
      <c r="YP31">
        <v>27</v>
      </c>
      <c r="YQ31">
        <v>1</v>
      </c>
      <c r="YR31">
        <v>936</v>
      </c>
      <c r="YS31">
        <v>38</v>
      </c>
      <c r="YT31">
        <v>40</v>
      </c>
      <c r="YU31">
        <v>38</v>
      </c>
      <c r="YV31">
        <v>0</v>
      </c>
      <c r="YW31">
        <v>1500</v>
      </c>
      <c r="YX31" t="s">
        <v>766</v>
      </c>
      <c r="YY31" t="s">
        <v>85</v>
      </c>
      <c r="YZ31" t="s">
        <v>85</v>
      </c>
      <c r="ZA31" t="s">
        <v>85</v>
      </c>
      <c r="ZB31" t="s">
        <v>85</v>
      </c>
      <c r="ZC31">
        <v>0</v>
      </c>
      <c r="ZD31">
        <v>1</v>
      </c>
      <c r="ZE31">
        <v>2</v>
      </c>
      <c r="ZF31">
        <v>2</v>
      </c>
      <c r="ZG31">
        <v>0</v>
      </c>
      <c r="ZH31">
        <v>58</v>
      </c>
      <c r="ZI31" t="s">
        <v>85</v>
      </c>
      <c r="ZJ31" t="s">
        <v>85</v>
      </c>
      <c r="ZK31" t="s">
        <v>85</v>
      </c>
      <c r="ZL31" t="s">
        <v>85</v>
      </c>
      <c r="ZM31" t="s">
        <v>85</v>
      </c>
      <c r="ZN31" t="s">
        <v>85</v>
      </c>
      <c r="ZO31" t="s">
        <v>85</v>
      </c>
      <c r="ZP31" t="s">
        <v>85</v>
      </c>
      <c r="ZQ31" t="s">
        <v>85</v>
      </c>
      <c r="ZR31" t="s">
        <v>85</v>
      </c>
      <c r="ZS31" t="s">
        <v>85</v>
      </c>
      <c r="ZT31" t="s">
        <v>85</v>
      </c>
      <c r="ZU31" t="s">
        <v>85</v>
      </c>
      <c r="ZV31" t="s">
        <v>85</v>
      </c>
      <c r="ZW31" t="s">
        <v>85</v>
      </c>
      <c r="ZX31" t="s">
        <v>766</v>
      </c>
      <c r="ZY31" t="s">
        <v>766</v>
      </c>
      <c r="ZZ31" t="s">
        <v>778</v>
      </c>
      <c r="AAA31">
        <v>74</v>
      </c>
      <c r="AAB31">
        <v>78</v>
      </c>
      <c r="AAC31">
        <v>76</v>
      </c>
      <c r="AAD31">
        <v>0</v>
      </c>
      <c r="AAE31">
        <v>2970</v>
      </c>
      <c r="AAF31" t="s">
        <v>85</v>
      </c>
      <c r="AAG31" t="s">
        <v>85</v>
      </c>
      <c r="AAH31" t="s">
        <v>85</v>
      </c>
      <c r="AAI31" t="s">
        <v>85</v>
      </c>
      <c r="AAJ31" t="s">
        <v>85</v>
      </c>
      <c r="AAK31" t="s">
        <v>85</v>
      </c>
      <c r="AAL31" t="s">
        <v>85</v>
      </c>
      <c r="AAM31" t="s">
        <v>85</v>
      </c>
      <c r="AAN31" t="s">
        <v>85</v>
      </c>
      <c r="AAO31" t="s">
        <v>85</v>
      </c>
      <c r="AAP31" t="s">
        <v>85</v>
      </c>
      <c r="AAQ31" t="s">
        <v>85</v>
      </c>
      <c r="AAR31" t="s">
        <v>85</v>
      </c>
      <c r="AAS31" t="s">
        <v>85</v>
      </c>
      <c r="AAT31" t="s">
        <v>85</v>
      </c>
      <c r="AAU31" t="s">
        <v>85</v>
      </c>
      <c r="AAV31" t="s">
        <v>85</v>
      </c>
      <c r="AAW31" t="s">
        <v>85</v>
      </c>
      <c r="AAX31" t="s">
        <v>85</v>
      </c>
      <c r="AAY31" t="s">
        <v>85</v>
      </c>
    </row>
    <row r="32" spans="1:727">
      <c r="A32" s="483" t="s">
        <v>778</v>
      </c>
      <c r="B32" s="503">
        <v>-1</v>
      </c>
      <c r="C32" s="503">
        <v>-1</v>
      </c>
      <c r="D32" s="503">
        <v>-1</v>
      </c>
      <c r="E32" s="503">
        <v>-1</v>
      </c>
      <c r="F32" s="503">
        <v>24</v>
      </c>
      <c r="G32" s="593">
        <v>7</v>
      </c>
      <c r="H32" s="593">
        <v>7</v>
      </c>
      <c r="I32" s="593">
        <v>7</v>
      </c>
      <c r="J32" s="593">
        <v>0</v>
      </c>
      <c r="K32" s="593">
        <v>149</v>
      </c>
      <c r="L32" s="502">
        <v>8</v>
      </c>
      <c r="M32" s="502">
        <v>8</v>
      </c>
      <c r="N32" s="502">
        <v>8</v>
      </c>
      <c r="O32" s="502">
        <v>0</v>
      </c>
      <c r="P32" s="502">
        <v>132</v>
      </c>
      <c r="Q32" s="504">
        <v>5</v>
      </c>
      <c r="R32" s="504">
        <v>5</v>
      </c>
      <c r="S32" s="504">
        <v>5</v>
      </c>
      <c r="T32" s="504">
        <v>0</v>
      </c>
      <c r="U32" s="504">
        <v>102</v>
      </c>
      <c r="V32" s="505">
        <v>7</v>
      </c>
      <c r="W32" s="505">
        <v>7</v>
      </c>
      <c r="X32" s="505">
        <v>7</v>
      </c>
      <c r="Y32" s="505">
        <v>1</v>
      </c>
      <c r="Z32" s="505">
        <v>2</v>
      </c>
      <c r="AA32" s="506"/>
      <c r="AB32" s="506"/>
      <c r="AC32" s="506"/>
      <c r="AD32" s="506"/>
      <c r="AE32" s="506"/>
      <c r="AF32" s="506"/>
      <c r="AG32" s="507"/>
      <c r="AH32" s="507"/>
      <c r="AI32" s="507"/>
      <c r="AJ32" s="507"/>
      <c r="AK32" s="507"/>
      <c r="AL32" s="508"/>
      <c r="AM32" s="508"/>
      <c r="AN32" s="508"/>
      <c r="AO32" s="508"/>
      <c r="AP32" s="508"/>
      <c r="AQ32" s="509"/>
      <c r="AR32" s="509"/>
      <c r="AS32" s="509"/>
      <c r="AT32" s="509"/>
      <c r="AU32" s="509"/>
      <c r="AV32" s="483"/>
      <c r="AW32" s="483"/>
      <c r="AX32" s="483"/>
      <c r="AY32" s="483"/>
      <c r="AZ32" s="483"/>
      <c r="BA32" s="483"/>
      <c r="BB32" s="483"/>
      <c r="BC32" s="483"/>
      <c r="BD32" s="483"/>
      <c r="BE32" s="483"/>
      <c r="BF32" s="483"/>
      <c r="BG32" s="483"/>
      <c r="BH32" s="483"/>
      <c r="BI32" s="483"/>
      <c r="BJ32" s="483"/>
      <c r="BK32" s="483"/>
      <c r="BL32" s="483"/>
      <c r="BM32" s="483"/>
      <c r="BN32" s="483"/>
      <c r="BO32" s="483"/>
      <c r="BP32" s="483"/>
      <c r="GA32" t="s">
        <v>85</v>
      </c>
      <c r="GB32" t="s">
        <v>767</v>
      </c>
      <c r="GC32">
        <v>157</v>
      </c>
      <c r="GD32">
        <v>111</v>
      </c>
      <c r="GE32">
        <v>110</v>
      </c>
      <c r="GF32">
        <v>54</v>
      </c>
      <c r="GG32">
        <v>2531</v>
      </c>
      <c r="GH32">
        <v>63</v>
      </c>
      <c r="GI32">
        <v>59</v>
      </c>
      <c r="GJ32">
        <v>58</v>
      </c>
      <c r="GK32">
        <v>30</v>
      </c>
      <c r="GL32">
        <v>1192</v>
      </c>
      <c r="GM32">
        <v>153</v>
      </c>
      <c r="GN32">
        <v>122</v>
      </c>
      <c r="GO32">
        <v>101</v>
      </c>
      <c r="GP32">
        <v>102</v>
      </c>
      <c r="GQ32">
        <v>2087</v>
      </c>
      <c r="GR32">
        <v>31</v>
      </c>
      <c r="GS32">
        <v>26</v>
      </c>
      <c r="GT32">
        <v>25</v>
      </c>
      <c r="GU32">
        <v>14</v>
      </c>
      <c r="GV32">
        <v>534</v>
      </c>
      <c r="GW32">
        <v>29</v>
      </c>
      <c r="GX32">
        <v>23</v>
      </c>
      <c r="GY32">
        <v>24</v>
      </c>
      <c r="GZ32">
        <v>28</v>
      </c>
      <c r="HA32">
        <v>396</v>
      </c>
      <c r="HB32" t="s">
        <v>767</v>
      </c>
      <c r="HC32">
        <v>119</v>
      </c>
      <c r="HD32">
        <v>105</v>
      </c>
      <c r="HE32">
        <v>125</v>
      </c>
      <c r="HF32">
        <v>65</v>
      </c>
      <c r="HG32">
        <v>1988</v>
      </c>
      <c r="HH32">
        <v>204</v>
      </c>
      <c r="HI32">
        <v>166</v>
      </c>
      <c r="HJ32">
        <v>165</v>
      </c>
      <c r="HK32">
        <v>48</v>
      </c>
      <c r="HL32">
        <v>3640</v>
      </c>
      <c r="HM32">
        <v>191</v>
      </c>
      <c r="HN32">
        <v>174</v>
      </c>
      <c r="HO32">
        <v>205</v>
      </c>
      <c r="HP32">
        <v>62</v>
      </c>
      <c r="HQ32">
        <v>3836</v>
      </c>
      <c r="HR32">
        <v>106</v>
      </c>
      <c r="HS32">
        <v>116</v>
      </c>
      <c r="HT32">
        <v>130</v>
      </c>
      <c r="HU32">
        <v>33</v>
      </c>
      <c r="HV32">
        <v>2301</v>
      </c>
      <c r="HW32">
        <v>18</v>
      </c>
      <c r="HX32">
        <v>25</v>
      </c>
      <c r="HY32">
        <v>33</v>
      </c>
      <c r="HZ32">
        <v>19</v>
      </c>
      <c r="IA32">
        <v>522</v>
      </c>
      <c r="IB32" t="s">
        <v>767</v>
      </c>
      <c r="IC32">
        <v>236</v>
      </c>
      <c r="ID32">
        <v>216</v>
      </c>
      <c r="IE32">
        <v>206</v>
      </c>
      <c r="IF32">
        <v>75</v>
      </c>
      <c r="IG32">
        <v>4509</v>
      </c>
      <c r="IH32">
        <v>31</v>
      </c>
      <c r="II32">
        <v>53</v>
      </c>
      <c r="IJ32">
        <v>50</v>
      </c>
      <c r="IK32">
        <v>29</v>
      </c>
      <c r="IL32">
        <v>929</v>
      </c>
      <c r="IM32">
        <v>134</v>
      </c>
      <c r="IN32">
        <v>137</v>
      </c>
      <c r="IO32">
        <v>165</v>
      </c>
      <c r="IP32">
        <v>42</v>
      </c>
      <c r="IQ32">
        <v>3092</v>
      </c>
      <c r="IR32">
        <v>76</v>
      </c>
      <c r="IS32">
        <v>76</v>
      </c>
      <c r="IT32">
        <v>86</v>
      </c>
      <c r="IU32">
        <v>37</v>
      </c>
      <c r="IV32">
        <v>1506</v>
      </c>
      <c r="IW32">
        <v>30</v>
      </c>
      <c r="IX32">
        <v>32</v>
      </c>
      <c r="IY32">
        <v>23</v>
      </c>
      <c r="IZ32">
        <v>11</v>
      </c>
      <c r="JA32">
        <v>534</v>
      </c>
      <c r="JB32" t="s">
        <v>767</v>
      </c>
      <c r="JC32">
        <v>57</v>
      </c>
      <c r="JD32">
        <v>38</v>
      </c>
      <c r="JE32">
        <v>34</v>
      </c>
      <c r="JF32">
        <v>26</v>
      </c>
      <c r="JG32">
        <v>825</v>
      </c>
      <c r="JH32">
        <v>139</v>
      </c>
      <c r="JI32">
        <v>121</v>
      </c>
      <c r="JJ32">
        <v>110</v>
      </c>
      <c r="JK32">
        <v>45</v>
      </c>
      <c r="JL32">
        <v>2359</v>
      </c>
      <c r="JM32">
        <v>177</v>
      </c>
      <c r="JN32">
        <v>169</v>
      </c>
      <c r="JO32">
        <v>148</v>
      </c>
      <c r="JP32">
        <v>40</v>
      </c>
      <c r="JQ32">
        <v>3299</v>
      </c>
      <c r="JR32">
        <v>233</v>
      </c>
      <c r="JS32">
        <v>239</v>
      </c>
      <c r="JT32">
        <v>238</v>
      </c>
      <c r="JU32">
        <v>41</v>
      </c>
      <c r="JV32">
        <v>4696</v>
      </c>
      <c r="JW32">
        <v>47</v>
      </c>
      <c r="JX32">
        <v>31</v>
      </c>
      <c r="JY32">
        <v>52</v>
      </c>
      <c r="JZ32">
        <v>29</v>
      </c>
      <c r="KA32">
        <v>861</v>
      </c>
      <c r="KB32" t="s">
        <v>767</v>
      </c>
      <c r="KC32" t="s">
        <v>85</v>
      </c>
      <c r="KD32" t="s">
        <v>85</v>
      </c>
      <c r="KE32" t="s">
        <v>85</v>
      </c>
      <c r="KF32" t="s">
        <v>85</v>
      </c>
      <c r="KG32" t="s">
        <v>85</v>
      </c>
      <c r="KH32" t="s">
        <v>85</v>
      </c>
      <c r="KI32" t="s">
        <v>85</v>
      </c>
      <c r="KJ32" t="s">
        <v>85</v>
      </c>
      <c r="KK32" t="s">
        <v>85</v>
      </c>
      <c r="KL32" t="s">
        <v>85</v>
      </c>
      <c r="KM32" t="s">
        <v>85</v>
      </c>
      <c r="KN32" t="s">
        <v>85</v>
      </c>
      <c r="KO32" t="s">
        <v>85</v>
      </c>
      <c r="KP32" t="s">
        <v>85</v>
      </c>
      <c r="KQ32" t="s">
        <v>85</v>
      </c>
      <c r="KR32" t="s">
        <v>85</v>
      </c>
      <c r="KS32" t="s">
        <v>85</v>
      </c>
      <c r="KT32" t="s">
        <v>85</v>
      </c>
      <c r="KU32" t="s">
        <v>85</v>
      </c>
      <c r="KV32" t="s">
        <v>85</v>
      </c>
      <c r="KW32" t="s">
        <v>85</v>
      </c>
      <c r="KX32" t="s">
        <v>85</v>
      </c>
      <c r="KY32" t="s">
        <v>85</v>
      </c>
      <c r="KZ32" t="s">
        <v>85</v>
      </c>
      <c r="LA32" t="s">
        <v>85</v>
      </c>
      <c r="LB32" t="s">
        <v>767</v>
      </c>
      <c r="LC32" t="s">
        <v>85</v>
      </c>
      <c r="LD32" t="s">
        <v>85</v>
      </c>
      <c r="LE32" t="s">
        <v>85</v>
      </c>
      <c r="LF32" t="s">
        <v>85</v>
      </c>
      <c r="LG32" t="s">
        <v>85</v>
      </c>
      <c r="LH32" t="s">
        <v>85</v>
      </c>
      <c r="LI32" t="s">
        <v>85</v>
      </c>
      <c r="LJ32" t="s">
        <v>85</v>
      </c>
      <c r="LK32" t="s">
        <v>85</v>
      </c>
      <c r="LL32" t="s">
        <v>85</v>
      </c>
      <c r="LM32" t="s">
        <v>85</v>
      </c>
      <c r="LN32" t="s">
        <v>85</v>
      </c>
      <c r="LO32" t="s">
        <v>85</v>
      </c>
      <c r="LP32" t="s">
        <v>85</v>
      </c>
      <c r="LQ32" t="s">
        <v>85</v>
      </c>
      <c r="LR32" t="s">
        <v>85</v>
      </c>
      <c r="LS32" t="s">
        <v>85</v>
      </c>
      <c r="LT32" t="s">
        <v>85</v>
      </c>
      <c r="LU32" t="s">
        <v>85</v>
      </c>
      <c r="LV32" t="s">
        <v>85</v>
      </c>
      <c r="LW32" t="s">
        <v>85</v>
      </c>
      <c r="LX32" t="s">
        <v>85</v>
      </c>
      <c r="LY32" t="s">
        <v>85</v>
      </c>
      <c r="LZ32" t="s">
        <v>85</v>
      </c>
      <c r="MA32" t="s">
        <v>85</v>
      </c>
      <c r="MB32" t="s">
        <v>767</v>
      </c>
      <c r="MC32" t="s">
        <v>85</v>
      </c>
      <c r="MD32" t="s">
        <v>85</v>
      </c>
      <c r="ME32" t="s">
        <v>85</v>
      </c>
      <c r="MF32" t="s">
        <v>85</v>
      </c>
      <c r="MG32" t="s">
        <v>85</v>
      </c>
      <c r="MH32" t="s">
        <v>85</v>
      </c>
      <c r="MI32" t="s">
        <v>85</v>
      </c>
      <c r="MJ32" t="s">
        <v>85</v>
      </c>
      <c r="MK32" t="s">
        <v>85</v>
      </c>
      <c r="ML32" t="s">
        <v>85</v>
      </c>
      <c r="MM32" t="s">
        <v>85</v>
      </c>
      <c r="MN32" t="s">
        <v>85</v>
      </c>
      <c r="MO32" t="s">
        <v>85</v>
      </c>
      <c r="MP32" t="s">
        <v>85</v>
      </c>
      <c r="MQ32" t="s">
        <v>85</v>
      </c>
      <c r="MR32" t="s">
        <v>85</v>
      </c>
      <c r="MS32" t="s">
        <v>85</v>
      </c>
      <c r="MT32" t="s">
        <v>85</v>
      </c>
      <c r="MU32" t="s">
        <v>85</v>
      </c>
      <c r="MV32" t="s">
        <v>85</v>
      </c>
      <c r="MW32" t="s">
        <v>85</v>
      </c>
      <c r="MX32" t="s">
        <v>85</v>
      </c>
      <c r="MY32" t="s">
        <v>85</v>
      </c>
      <c r="MZ32" t="s">
        <v>85</v>
      </c>
      <c r="NA32" t="s">
        <v>779</v>
      </c>
      <c r="NB32">
        <v>-1</v>
      </c>
      <c r="NC32">
        <v>-1</v>
      </c>
      <c r="ND32">
        <v>-1</v>
      </c>
      <c r="NE32">
        <v>-1</v>
      </c>
      <c r="NF32">
        <v>28</v>
      </c>
      <c r="NG32">
        <v>23</v>
      </c>
      <c r="NH32">
        <v>23</v>
      </c>
      <c r="NI32">
        <v>22</v>
      </c>
      <c r="NJ32">
        <v>0</v>
      </c>
      <c r="NK32">
        <v>762</v>
      </c>
      <c r="NL32">
        <v>21</v>
      </c>
      <c r="NM32">
        <v>22</v>
      </c>
      <c r="NN32">
        <v>21</v>
      </c>
      <c r="NO32">
        <v>0</v>
      </c>
      <c r="NP32">
        <v>935</v>
      </c>
      <c r="NQ32">
        <v>28</v>
      </c>
      <c r="NR32">
        <v>29</v>
      </c>
      <c r="NS32">
        <v>28</v>
      </c>
      <c r="NT32">
        <v>0</v>
      </c>
      <c r="NU32">
        <v>1001</v>
      </c>
      <c r="NV32">
        <v>28</v>
      </c>
      <c r="NW32">
        <v>29</v>
      </c>
      <c r="NX32">
        <v>28</v>
      </c>
      <c r="NY32">
        <v>1</v>
      </c>
      <c r="NZ32">
        <v>648</v>
      </c>
      <c r="OA32" t="s">
        <v>767</v>
      </c>
      <c r="OB32">
        <v>29</v>
      </c>
      <c r="OC32">
        <v>29</v>
      </c>
      <c r="OD32">
        <v>29</v>
      </c>
      <c r="OE32">
        <v>1</v>
      </c>
      <c r="OF32">
        <v>983</v>
      </c>
      <c r="OG32">
        <v>19</v>
      </c>
      <c r="OH32">
        <v>19</v>
      </c>
      <c r="OI32">
        <v>18</v>
      </c>
      <c r="OJ32">
        <v>1</v>
      </c>
      <c r="OK32">
        <v>502</v>
      </c>
      <c r="OL32">
        <v>1</v>
      </c>
      <c r="OM32">
        <v>1</v>
      </c>
      <c r="ON32">
        <v>1</v>
      </c>
      <c r="OO32">
        <v>1</v>
      </c>
      <c r="OP32">
        <v>48</v>
      </c>
      <c r="OQ32" t="s">
        <v>85</v>
      </c>
      <c r="OR32" t="s">
        <v>85</v>
      </c>
      <c r="OS32" t="s">
        <v>85</v>
      </c>
      <c r="OT32" t="s">
        <v>85</v>
      </c>
      <c r="OU32" t="s">
        <v>85</v>
      </c>
      <c r="OV32" t="s">
        <v>85</v>
      </c>
      <c r="OW32" t="s">
        <v>85</v>
      </c>
      <c r="OX32" t="s">
        <v>85</v>
      </c>
      <c r="OY32" t="s">
        <v>85</v>
      </c>
      <c r="OZ32" t="s">
        <v>85</v>
      </c>
      <c r="PA32" t="s">
        <v>767</v>
      </c>
      <c r="PB32">
        <v>24</v>
      </c>
      <c r="PC32">
        <v>24</v>
      </c>
      <c r="PD32">
        <v>25</v>
      </c>
      <c r="PE32">
        <v>0</v>
      </c>
      <c r="PF32">
        <v>894</v>
      </c>
      <c r="PG32">
        <v>52</v>
      </c>
      <c r="PH32">
        <v>50</v>
      </c>
      <c r="PI32">
        <v>50</v>
      </c>
      <c r="PJ32">
        <v>0</v>
      </c>
      <c r="PK32">
        <v>2016</v>
      </c>
      <c r="PL32">
        <v>29</v>
      </c>
      <c r="PM32">
        <v>30</v>
      </c>
      <c r="PN32">
        <v>31</v>
      </c>
      <c r="PO32">
        <v>0</v>
      </c>
      <c r="PP32">
        <v>1158</v>
      </c>
      <c r="PQ32">
        <v>39</v>
      </c>
      <c r="PR32">
        <v>39</v>
      </c>
      <c r="PS32">
        <v>37</v>
      </c>
      <c r="PT32">
        <v>2</v>
      </c>
      <c r="PU32">
        <v>1379</v>
      </c>
      <c r="PV32">
        <v>48</v>
      </c>
      <c r="PW32">
        <v>50</v>
      </c>
      <c r="PX32">
        <v>48</v>
      </c>
      <c r="PY32">
        <v>0</v>
      </c>
      <c r="PZ32">
        <v>1895</v>
      </c>
      <c r="QA32" t="s">
        <v>767</v>
      </c>
      <c r="QB32" t="s">
        <v>85</v>
      </c>
      <c r="QC32" t="s">
        <v>85</v>
      </c>
      <c r="QD32" t="s">
        <v>85</v>
      </c>
      <c r="QE32" t="s">
        <v>85</v>
      </c>
      <c r="QF32">
        <v>0</v>
      </c>
      <c r="QG32">
        <v>2</v>
      </c>
      <c r="QH32">
        <v>2</v>
      </c>
      <c r="QI32">
        <v>2</v>
      </c>
      <c r="QJ32">
        <v>0</v>
      </c>
      <c r="QK32">
        <v>59</v>
      </c>
      <c r="QL32" t="s">
        <v>85</v>
      </c>
      <c r="QM32" t="s">
        <v>85</v>
      </c>
      <c r="QN32" t="s">
        <v>85</v>
      </c>
      <c r="QO32" t="s">
        <v>85</v>
      </c>
      <c r="QP32" t="s">
        <v>85</v>
      </c>
      <c r="QQ32" t="s">
        <v>85</v>
      </c>
      <c r="QR32" t="s">
        <v>85</v>
      </c>
      <c r="QS32" t="s">
        <v>85</v>
      </c>
      <c r="QT32" t="s">
        <v>85</v>
      </c>
      <c r="QU32" t="s">
        <v>85</v>
      </c>
      <c r="QV32" t="s">
        <v>85</v>
      </c>
      <c r="QW32" t="s">
        <v>85</v>
      </c>
      <c r="QX32" t="s">
        <v>85</v>
      </c>
      <c r="QY32" t="s">
        <v>85</v>
      </c>
      <c r="QZ32" t="s">
        <v>85</v>
      </c>
      <c r="RA32" t="s">
        <v>767</v>
      </c>
      <c r="RB32">
        <v>137</v>
      </c>
      <c r="RC32">
        <v>138</v>
      </c>
      <c r="RD32">
        <v>137</v>
      </c>
      <c r="RE32">
        <v>0</v>
      </c>
      <c r="RF32">
        <v>5008</v>
      </c>
      <c r="RG32">
        <v>32</v>
      </c>
      <c r="RH32">
        <v>32</v>
      </c>
      <c r="RI32">
        <v>32</v>
      </c>
      <c r="RJ32">
        <v>0</v>
      </c>
      <c r="RK32">
        <v>1225</v>
      </c>
      <c r="RL32">
        <v>29</v>
      </c>
      <c r="RM32">
        <v>29</v>
      </c>
      <c r="RN32">
        <v>29</v>
      </c>
      <c r="RO32">
        <v>0</v>
      </c>
      <c r="RP32">
        <v>1157</v>
      </c>
      <c r="RQ32">
        <v>0</v>
      </c>
      <c r="RR32">
        <v>0</v>
      </c>
      <c r="RS32">
        <v>0</v>
      </c>
      <c r="RT32">
        <v>0</v>
      </c>
      <c r="RU32">
        <v>0</v>
      </c>
      <c r="RV32">
        <v>0</v>
      </c>
      <c r="RW32">
        <v>0</v>
      </c>
      <c r="RX32">
        <v>0</v>
      </c>
      <c r="RY32">
        <v>0</v>
      </c>
      <c r="RZ32">
        <v>0</v>
      </c>
      <c r="SA32" t="s">
        <v>767</v>
      </c>
      <c r="SB32">
        <v>0</v>
      </c>
      <c r="SC32">
        <v>0</v>
      </c>
      <c r="SD32">
        <v>0</v>
      </c>
      <c r="SE32">
        <v>0</v>
      </c>
      <c r="SF32">
        <v>0</v>
      </c>
      <c r="SG32" t="s">
        <v>85</v>
      </c>
      <c r="SH32" t="s">
        <v>85</v>
      </c>
      <c r="SI32" t="s">
        <v>85</v>
      </c>
      <c r="SJ32" t="s">
        <v>85</v>
      </c>
      <c r="SK32" t="s">
        <v>85</v>
      </c>
      <c r="SL32" t="s">
        <v>85</v>
      </c>
      <c r="SM32" t="s">
        <v>85</v>
      </c>
      <c r="SN32" t="s">
        <v>85</v>
      </c>
      <c r="SO32" t="s">
        <v>85</v>
      </c>
      <c r="SP32" t="s">
        <v>85</v>
      </c>
      <c r="SQ32" t="s">
        <v>85</v>
      </c>
      <c r="SR32" t="s">
        <v>85</v>
      </c>
      <c r="SS32" t="s">
        <v>85</v>
      </c>
      <c r="ST32" t="s">
        <v>85</v>
      </c>
      <c r="SU32" t="s">
        <v>85</v>
      </c>
      <c r="SV32" t="s">
        <v>85</v>
      </c>
      <c r="SW32" t="s">
        <v>85</v>
      </c>
      <c r="SX32" t="s">
        <v>85</v>
      </c>
      <c r="SY32" t="s">
        <v>85</v>
      </c>
      <c r="SZ32" t="s">
        <v>85</v>
      </c>
      <c r="TA32" t="s">
        <v>767</v>
      </c>
      <c r="TB32">
        <v>134</v>
      </c>
      <c r="TC32">
        <v>134</v>
      </c>
      <c r="TD32">
        <v>134</v>
      </c>
      <c r="TE32">
        <v>0</v>
      </c>
      <c r="TF32">
        <v>5324</v>
      </c>
      <c r="TG32">
        <v>0</v>
      </c>
      <c r="TH32">
        <v>0</v>
      </c>
      <c r="TI32">
        <v>0</v>
      </c>
      <c r="TJ32">
        <v>0</v>
      </c>
      <c r="TK32">
        <v>0</v>
      </c>
      <c r="TL32">
        <v>0</v>
      </c>
      <c r="TM32">
        <v>0</v>
      </c>
      <c r="TN32">
        <v>0</v>
      </c>
      <c r="TO32">
        <v>0</v>
      </c>
      <c r="TP32">
        <v>0</v>
      </c>
      <c r="TQ32">
        <v>36</v>
      </c>
      <c r="TR32">
        <v>38</v>
      </c>
      <c r="TS32">
        <v>40</v>
      </c>
      <c r="TT32">
        <v>0</v>
      </c>
      <c r="TU32">
        <v>1414</v>
      </c>
      <c r="TV32">
        <v>7</v>
      </c>
      <c r="TW32">
        <v>8</v>
      </c>
      <c r="TX32">
        <v>6</v>
      </c>
      <c r="TY32">
        <v>0</v>
      </c>
      <c r="TZ32">
        <v>271</v>
      </c>
      <c r="UA32" t="s">
        <v>767</v>
      </c>
      <c r="UB32">
        <v>86</v>
      </c>
      <c r="UC32">
        <v>90</v>
      </c>
      <c r="UD32">
        <v>87</v>
      </c>
      <c r="UE32">
        <v>0</v>
      </c>
      <c r="UF32">
        <v>3434</v>
      </c>
      <c r="UG32" t="s">
        <v>85</v>
      </c>
      <c r="UH32" t="s">
        <v>85</v>
      </c>
      <c r="UI32" t="s">
        <v>85</v>
      </c>
      <c r="UJ32" t="s">
        <v>85</v>
      </c>
      <c r="UK32" t="s">
        <v>85</v>
      </c>
      <c r="UL32" t="s">
        <v>85</v>
      </c>
      <c r="UM32" t="s">
        <v>85</v>
      </c>
      <c r="UN32" t="s">
        <v>85</v>
      </c>
      <c r="UO32" t="s">
        <v>85</v>
      </c>
      <c r="UP32" t="s">
        <v>85</v>
      </c>
      <c r="UQ32" t="s">
        <v>85</v>
      </c>
      <c r="UR32" t="s">
        <v>85</v>
      </c>
      <c r="US32" t="s">
        <v>85</v>
      </c>
      <c r="UT32" t="s">
        <v>85</v>
      </c>
      <c r="UU32" t="s">
        <v>85</v>
      </c>
      <c r="UV32" t="s">
        <v>85</v>
      </c>
      <c r="UW32" t="s">
        <v>85</v>
      </c>
      <c r="UX32" t="s">
        <v>85</v>
      </c>
      <c r="UY32" t="s">
        <v>85</v>
      </c>
      <c r="UZ32" t="s">
        <v>85</v>
      </c>
      <c r="VX32" t="s">
        <v>767</v>
      </c>
      <c r="VY32">
        <v>-1</v>
      </c>
      <c r="VZ32">
        <v>-1</v>
      </c>
      <c r="WA32">
        <v>-1</v>
      </c>
      <c r="WB32">
        <v>-1</v>
      </c>
      <c r="WC32">
        <v>28</v>
      </c>
      <c r="WD32">
        <v>23</v>
      </c>
      <c r="WE32">
        <v>23</v>
      </c>
      <c r="WF32">
        <v>22</v>
      </c>
      <c r="WG32">
        <v>0</v>
      </c>
      <c r="WH32">
        <v>762</v>
      </c>
      <c r="WI32">
        <v>21</v>
      </c>
      <c r="WJ32">
        <v>22</v>
      </c>
      <c r="WK32">
        <v>21</v>
      </c>
      <c r="WL32">
        <v>0</v>
      </c>
      <c r="WM32">
        <v>935</v>
      </c>
      <c r="WN32">
        <v>28</v>
      </c>
      <c r="WO32">
        <v>29</v>
      </c>
      <c r="WP32">
        <v>28</v>
      </c>
      <c r="WQ32">
        <v>0</v>
      </c>
      <c r="WR32">
        <v>1001</v>
      </c>
      <c r="WS32">
        <v>28</v>
      </c>
      <c r="WT32">
        <v>29</v>
      </c>
      <c r="WU32">
        <v>28</v>
      </c>
      <c r="WV32">
        <v>1</v>
      </c>
      <c r="WW32">
        <v>648</v>
      </c>
      <c r="WX32" t="s">
        <v>767</v>
      </c>
      <c r="WY32">
        <v>29</v>
      </c>
      <c r="WZ32">
        <v>29</v>
      </c>
      <c r="XA32">
        <v>29</v>
      </c>
      <c r="XB32">
        <v>1</v>
      </c>
      <c r="XC32">
        <v>983</v>
      </c>
      <c r="XD32">
        <v>19</v>
      </c>
      <c r="XE32">
        <v>19</v>
      </c>
      <c r="XF32">
        <v>18</v>
      </c>
      <c r="XG32">
        <v>1</v>
      </c>
      <c r="XH32">
        <v>502</v>
      </c>
      <c r="XI32">
        <v>1</v>
      </c>
      <c r="XJ32">
        <v>1</v>
      </c>
      <c r="XK32">
        <v>1</v>
      </c>
      <c r="XL32">
        <v>1</v>
      </c>
      <c r="XM32">
        <v>48</v>
      </c>
      <c r="XN32" t="s">
        <v>85</v>
      </c>
      <c r="XO32" t="s">
        <v>85</v>
      </c>
      <c r="XP32" t="s">
        <v>85</v>
      </c>
      <c r="XQ32" t="s">
        <v>85</v>
      </c>
      <c r="XR32" t="s">
        <v>85</v>
      </c>
      <c r="XS32" t="s">
        <v>85</v>
      </c>
      <c r="XT32" t="s">
        <v>85</v>
      </c>
      <c r="XU32" t="s">
        <v>85</v>
      </c>
      <c r="XV32" t="s">
        <v>85</v>
      </c>
      <c r="XW32" t="s">
        <v>85</v>
      </c>
      <c r="XX32" t="s">
        <v>767</v>
      </c>
      <c r="XY32">
        <v>24</v>
      </c>
      <c r="XZ32">
        <v>24</v>
      </c>
      <c r="YA32">
        <v>25</v>
      </c>
      <c r="YB32">
        <v>0</v>
      </c>
      <c r="YC32">
        <v>894</v>
      </c>
      <c r="YD32">
        <v>52</v>
      </c>
      <c r="YE32">
        <v>50</v>
      </c>
      <c r="YF32">
        <v>50</v>
      </c>
      <c r="YG32">
        <v>0</v>
      </c>
      <c r="YH32">
        <v>2016</v>
      </c>
      <c r="YI32">
        <v>29</v>
      </c>
      <c r="YJ32">
        <v>30</v>
      </c>
      <c r="YK32">
        <v>31</v>
      </c>
      <c r="YL32">
        <v>0</v>
      </c>
      <c r="YM32">
        <v>1158</v>
      </c>
      <c r="YN32">
        <v>39</v>
      </c>
      <c r="YO32">
        <v>39</v>
      </c>
      <c r="YP32">
        <v>37</v>
      </c>
      <c r="YQ32">
        <v>2</v>
      </c>
      <c r="YR32">
        <v>1379</v>
      </c>
      <c r="YS32">
        <v>48</v>
      </c>
      <c r="YT32">
        <v>50</v>
      </c>
      <c r="YU32">
        <v>48</v>
      </c>
      <c r="YV32">
        <v>0</v>
      </c>
      <c r="YW32">
        <v>1895</v>
      </c>
      <c r="YX32" t="s">
        <v>767</v>
      </c>
      <c r="YY32" t="s">
        <v>85</v>
      </c>
      <c r="YZ32" t="s">
        <v>85</v>
      </c>
      <c r="ZA32" t="s">
        <v>85</v>
      </c>
      <c r="ZB32" t="s">
        <v>85</v>
      </c>
      <c r="ZC32">
        <v>0</v>
      </c>
      <c r="ZD32">
        <v>2</v>
      </c>
      <c r="ZE32">
        <v>2</v>
      </c>
      <c r="ZF32">
        <v>2</v>
      </c>
      <c r="ZG32">
        <v>0</v>
      </c>
      <c r="ZH32">
        <v>59</v>
      </c>
      <c r="ZI32" t="s">
        <v>85</v>
      </c>
      <c r="ZJ32" t="s">
        <v>85</v>
      </c>
      <c r="ZK32" t="s">
        <v>85</v>
      </c>
      <c r="ZL32" t="s">
        <v>85</v>
      </c>
      <c r="ZM32" t="s">
        <v>85</v>
      </c>
      <c r="ZN32" t="s">
        <v>85</v>
      </c>
      <c r="ZO32" t="s">
        <v>85</v>
      </c>
      <c r="ZP32" t="s">
        <v>85</v>
      </c>
      <c r="ZQ32" t="s">
        <v>85</v>
      </c>
      <c r="ZR32" t="s">
        <v>85</v>
      </c>
      <c r="ZS32" t="s">
        <v>85</v>
      </c>
      <c r="ZT32" t="s">
        <v>85</v>
      </c>
      <c r="ZU32" t="s">
        <v>85</v>
      </c>
      <c r="ZV32" t="s">
        <v>85</v>
      </c>
      <c r="ZW32" t="s">
        <v>85</v>
      </c>
      <c r="ZX32" t="s">
        <v>767</v>
      </c>
      <c r="ZY32" t="s">
        <v>767</v>
      </c>
      <c r="ZZ32" t="s">
        <v>779</v>
      </c>
      <c r="AAA32">
        <v>86</v>
      </c>
      <c r="AAB32">
        <v>90</v>
      </c>
      <c r="AAC32">
        <v>87</v>
      </c>
      <c r="AAD32">
        <v>0</v>
      </c>
      <c r="AAE32">
        <v>3434</v>
      </c>
      <c r="AAF32" t="s">
        <v>85</v>
      </c>
      <c r="AAG32" t="s">
        <v>85</v>
      </c>
      <c r="AAH32" t="s">
        <v>85</v>
      </c>
      <c r="AAI32" t="s">
        <v>85</v>
      </c>
      <c r="AAJ32" t="s">
        <v>85</v>
      </c>
      <c r="AAK32" t="s">
        <v>85</v>
      </c>
      <c r="AAL32" t="s">
        <v>85</v>
      </c>
      <c r="AAM32" t="s">
        <v>85</v>
      </c>
      <c r="AAN32" t="s">
        <v>85</v>
      </c>
      <c r="AAO32" t="s">
        <v>85</v>
      </c>
      <c r="AAP32" t="s">
        <v>85</v>
      </c>
      <c r="AAQ32" t="s">
        <v>85</v>
      </c>
      <c r="AAR32" t="s">
        <v>85</v>
      </c>
      <c r="AAS32" t="s">
        <v>85</v>
      </c>
      <c r="AAT32" t="s">
        <v>85</v>
      </c>
      <c r="AAU32" t="s">
        <v>85</v>
      </c>
      <c r="AAV32" t="s">
        <v>85</v>
      </c>
      <c r="AAW32" t="s">
        <v>85</v>
      </c>
      <c r="AAX32" t="s">
        <v>85</v>
      </c>
      <c r="AAY32" t="s">
        <v>85</v>
      </c>
    </row>
    <row r="33" spans="1:727">
      <c r="A33" s="483" t="s">
        <v>779</v>
      </c>
      <c r="B33" s="503">
        <v>0</v>
      </c>
      <c r="C33" s="503">
        <v>0</v>
      </c>
      <c r="D33" s="503">
        <v>0</v>
      </c>
      <c r="E33" s="503">
        <v>0</v>
      </c>
      <c r="F33" s="503">
        <v>26</v>
      </c>
      <c r="G33" s="593">
        <v>16</v>
      </c>
      <c r="H33" s="593">
        <v>16</v>
      </c>
      <c r="I33" s="593">
        <v>18</v>
      </c>
      <c r="J33" s="593">
        <v>0</v>
      </c>
      <c r="K33" s="593">
        <v>407</v>
      </c>
      <c r="L33" s="502">
        <v>18</v>
      </c>
      <c r="M33" s="502">
        <v>18</v>
      </c>
      <c r="N33" s="502">
        <v>17</v>
      </c>
      <c r="O33" s="502">
        <v>0</v>
      </c>
      <c r="P33" s="502">
        <v>509</v>
      </c>
      <c r="Q33" s="504">
        <v>9</v>
      </c>
      <c r="R33" s="504">
        <v>9</v>
      </c>
      <c r="S33" s="504">
        <v>8</v>
      </c>
      <c r="T33" s="504">
        <v>0</v>
      </c>
      <c r="U33" s="504">
        <v>348</v>
      </c>
      <c r="V33" s="505">
        <v>13</v>
      </c>
      <c r="W33" s="505">
        <v>13</v>
      </c>
      <c r="X33" s="505">
        <v>12</v>
      </c>
      <c r="Y33" s="505">
        <v>1</v>
      </c>
      <c r="Z33" s="505">
        <v>24</v>
      </c>
      <c r="AA33" s="506"/>
      <c r="AB33" s="506"/>
      <c r="AC33" s="506"/>
      <c r="AD33" s="506"/>
      <c r="AE33" s="506"/>
      <c r="AF33" s="506"/>
      <c r="AG33" s="507"/>
      <c r="AH33" s="507"/>
      <c r="AI33" s="507"/>
      <c r="AJ33" s="507"/>
      <c r="AK33" s="507"/>
      <c r="AL33" s="508"/>
      <c r="AM33" s="508"/>
      <c r="AN33" s="508"/>
      <c r="AO33" s="508"/>
      <c r="AP33" s="508"/>
      <c r="AQ33" s="509"/>
      <c r="AR33" s="509"/>
      <c r="AS33" s="509"/>
      <c r="AT33" s="509"/>
      <c r="AU33" s="509"/>
      <c r="AV33" s="483"/>
      <c r="AW33" s="483"/>
      <c r="AX33" s="483"/>
      <c r="AY33" s="483"/>
      <c r="AZ33" s="483"/>
      <c r="BA33" s="483"/>
      <c r="BB33" s="483"/>
      <c r="BC33" s="483"/>
      <c r="BD33" s="483"/>
      <c r="BE33" s="483"/>
      <c r="BF33" s="483"/>
      <c r="BG33" s="483"/>
      <c r="BH33" s="483"/>
      <c r="BI33" s="483"/>
      <c r="BJ33" s="483"/>
      <c r="BK33" s="483"/>
      <c r="BL33" s="483"/>
      <c r="BM33" s="483"/>
      <c r="BN33" s="483"/>
      <c r="BO33" s="483"/>
      <c r="BP33" s="483"/>
      <c r="GA33" t="s">
        <v>85</v>
      </c>
      <c r="GB33" t="s">
        <v>768</v>
      </c>
      <c r="GC33">
        <v>22</v>
      </c>
      <c r="GD33">
        <v>21</v>
      </c>
      <c r="GE33">
        <v>21</v>
      </c>
      <c r="GF33">
        <v>22</v>
      </c>
      <c r="GG33">
        <v>21</v>
      </c>
      <c r="GH33">
        <v>22</v>
      </c>
      <c r="GI33">
        <v>21</v>
      </c>
      <c r="GJ33">
        <v>19</v>
      </c>
      <c r="GK33">
        <v>11</v>
      </c>
      <c r="GL33">
        <v>22</v>
      </c>
      <c r="GM33">
        <v>21</v>
      </c>
      <c r="GN33">
        <v>14</v>
      </c>
      <c r="GO33">
        <v>21</v>
      </c>
      <c r="GP33">
        <v>23</v>
      </c>
      <c r="GQ33">
        <v>22</v>
      </c>
      <c r="GR33">
        <v>22</v>
      </c>
      <c r="GS33">
        <v>21</v>
      </c>
      <c r="GT33">
        <v>22</v>
      </c>
      <c r="GU33">
        <v>13</v>
      </c>
      <c r="GV33">
        <v>22</v>
      </c>
      <c r="GW33">
        <v>21</v>
      </c>
      <c r="GX33">
        <v>20</v>
      </c>
      <c r="GY33">
        <v>13</v>
      </c>
      <c r="GZ33">
        <v>15</v>
      </c>
      <c r="HA33">
        <v>20</v>
      </c>
      <c r="HB33" t="s">
        <v>768</v>
      </c>
      <c r="HC33">
        <v>1</v>
      </c>
      <c r="HD33">
        <v>11</v>
      </c>
      <c r="HE33">
        <v>11</v>
      </c>
      <c r="HF33">
        <v>12</v>
      </c>
      <c r="HG33">
        <v>1</v>
      </c>
      <c r="HH33">
        <v>20</v>
      </c>
      <c r="HI33">
        <v>21</v>
      </c>
      <c r="HJ33">
        <v>20</v>
      </c>
      <c r="HK33">
        <v>20</v>
      </c>
      <c r="HL33">
        <v>21</v>
      </c>
      <c r="HM33">
        <v>20</v>
      </c>
      <c r="HN33">
        <v>23</v>
      </c>
      <c r="HO33">
        <v>20</v>
      </c>
      <c r="HP33">
        <v>13</v>
      </c>
      <c r="HQ33">
        <v>20</v>
      </c>
      <c r="HR33">
        <v>21</v>
      </c>
      <c r="HS33">
        <v>21</v>
      </c>
      <c r="HT33">
        <v>20</v>
      </c>
      <c r="HU33">
        <v>23</v>
      </c>
      <c r="HV33">
        <v>21</v>
      </c>
      <c r="HW33">
        <v>1</v>
      </c>
      <c r="HX33">
        <v>1</v>
      </c>
      <c r="HY33">
        <v>1</v>
      </c>
      <c r="HZ33">
        <v>15</v>
      </c>
      <c r="IA33">
        <v>1</v>
      </c>
      <c r="IB33" t="s">
        <v>768</v>
      </c>
      <c r="IC33">
        <v>1</v>
      </c>
      <c r="ID33">
        <v>1</v>
      </c>
      <c r="IE33">
        <v>1</v>
      </c>
      <c r="IF33">
        <v>19</v>
      </c>
      <c r="IG33">
        <v>1</v>
      </c>
      <c r="IH33">
        <v>20</v>
      </c>
      <c r="II33">
        <v>21</v>
      </c>
      <c r="IJ33">
        <v>20</v>
      </c>
      <c r="IK33">
        <v>21</v>
      </c>
      <c r="IL33">
        <v>1</v>
      </c>
      <c r="IM33">
        <v>20</v>
      </c>
      <c r="IN33">
        <v>20</v>
      </c>
      <c r="IO33">
        <v>20</v>
      </c>
      <c r="IP33">
        <v>21</v>
      </c>
      <c r="IQ33">
        <v>1</v>
      </c>
      <c r="IR33">
        <v>22</v>
      </c>
      <c r="IS33">
        <v>22</v>
      </c>
      <c r="IT33">
        <v>22</v>
      </c>
      <c r="IU33">
        <v>16</v>
      </c>
      <c r="IV33">
        <v>20</v>
      </c>
      <c r="IW33">
        <v>14</v>
      </c>
      <c r="IX33">
        <v>23</v>
      </c>
      <c r="IY33">
        <v>9</v>
      </c>
      <c r="IZ33">
        <v>23</v>
      </c>
      <c r="JA33">
        <v>15</v>
      </c>
      <c r="JB33" t="s">
        <v>768</v>
      </c>
      <c r="JC33">
        <v>22</v>
      </c>
      <c r="JD33">
        <v>14</v>
      </c>
      <c r="JE33">
        <v>20</v>
      </c>
      <c r="JF33">
        <v>1</v>
      </c>
      <c r="JG33">
        <v>20</v>
      </c>
      <c r="JH33">
        <v>22</v>
      </c>
      <c r="JI33">
        <v>22</v>
      </c>
      <c r="JJ33">
        <v>22</v>
      </c>
      <c r="JK33">
        <v>13</v>
      </c>
      <c r="JL33">
        <v>22</v>
      </c>
      <c r="JM33">
        <v>21</v>
      </c>
      <c r="JN33">
        <v>20</v>
      </c>
      <c r="JO33">
        <v>20</v>
      </c>
      <c r="JP33">
        <v>21</v>
      </c>
      <c r="JQ33">
        <v>21</v>
      </c>
      <c r="JR33">
        <v>20</v>
      </c>
      <c r="JS33">
        <v>20</v>
      </c>
      <c r="JT33">
        <v>20</v>
      </c>
      <c r="JU33">
        <v>14</v>
      </c>
      <c r="JV33">
        <v>20</v>
      </c>
      <c r="JW33">
        <v>23</v>
      </c>
      <c r="JX33">
        <v>20</v>
      </c>
      <c r="JY33">
        <v>20</v>
      </c>
      <c r="JZ33">
        <v>23</v>
      </c>
      <c r="KA33">
        <v>20</v>
      </c>
      <c r="KB33" t="s">
        <v>768</v>
      </c>
      <c r="KC33" t="s">
        <v>85</v>
      </c>
      <c r="KD33" t="s">
        <v>85</v>
      </c>
      <c r="KE33" t="s">
        <v>85</v>
      </c>
      <c r="KF33" t="s">
        <v>85</v>
      </c>
      <c r="KG33" t="s">
        <v>85</v>
      </c>
      <c r="KH33" t="s">
        <v>85</v>
      </c>
      <c r="KI33" t="s">
        <v>85</v>
      </c>
      <c r="KJ33" t="s">
        <v>85</v>
      </c>
      <c r="KK33" t="s">
        <v>85</v>
      </c>
      <c r="KL33" t="s">
        <v>85</v>
      </c>
      <c r="KM33" t="s">
        <v>85</v>
      </c>
      <c r="KN33" t="s">
        <v>85</v>
      </c>
      <c r="KO33" t="s">
        <v>85</v>
      </c>
      <c r="KP33" t="s">
        <v>85</v>
      </c>
      <c r="KQ33" t="s">
        <v>85</v>
      </c>
      <c r="KR33" t="s">
        <v>85</v>
      </c>
      <c r="KS33" t="s">
        <v>85</v>
      </c>
      <c r="KT33" t="s">
        <v>85</v>
      </c>
      <c r="KU33" t="s">
        <v>85</v>
      </c>
      <c r="KV33" t="s">
        <v>85</v>
      </c>
      <c r="KW33" t="s">
        <v>85</v>
      </c>
      <c r="KX33" t="s">
        <v>85</v>
      </c>
      <c r="KY33" t="s">
        <v>85</v>
      </c>
      <c r="KZ33" t="s">
        <v>85</v>
      </c>
      <c r="LA33" t="s">
        <v>85</v>
      </c>
      <c r="LB33" t="s">
        <v>768</v>
      </c>
      <c r="LC33" t="s">
        <v>85</v>
      </c>
      <c r="LD33" t="s">
        <v>85</v>
      </c>
      <c r="LE33" t="s">
        <v>85</v>
      </c>
      <c r="LF33" t="s">
        <v>85</v>
      </c>
      <c r="LG33" t="s">
        <v>85</v>
      </c>
      <c r="LH33" t="s">
        <v>85</v>
      </c>
      <c r="LI33" t="s">
        <v>85</v>
      </c>
      <c r="LJ33" t="s">
        <v>85</v>
      </c>
      <c r="LK33" t="s">
        <v>85</v>
      </c>
      <c r="LL33" t="s">
        <v>85</v>
      </c>
      <c r="LM33" t="s">
        <v>85</v>
      </c>
      <c r="LN33" t="s">
        <v>85</v>
      </c>
      <c r="LO33" t="s">
        <v>85</v>
      </c>
      <c r="LP33" t="s">
        <v>85</v>
      </c>
      <c r="LQ33" t="s">
        <v>85</v>
      </c>
      <c r="LR33" t="s">
        <v>85</v>
      </c>
      <c r="LS33" t="s">
        <v>85</v>
      </c>
      <c r="LT33" t="s">
        <v>85</v>
      </c>
      <c r="LU33" t="s">
        <v>85</v>
      </c>
      <c r="LV33" t="s">
        <v>85</v>
      </c>
      <c r="LW33" t="s">
        <v>85</v>
      </c>
      <c r="LX33" t="s">
        <v>85</v>
      </c>
      <c r="LY33" t="s">
        <v>85</v>
      </c>
      <c r="LZ33" t="s">
        <v>85</v>
      </c>
      <c r="MA33" t="s">
        <v>85</v>
      </c>
      <c r="MB33" t="s">
        <v>768</v>
      </c>
      <c r="MC33" t="s">
        <v>85</v>
      </c>
      <c r="MD33" t="s">
        <v>85</v>
      </c>
      <c r="ME33" t="s">
        <v>85</v>
      </c>
      <c r="MF33" t="s">
        <v>85</v>
      </c>
      <c r="MG33" t="s">
        <v>85</v>
      </c>
      <c r="MH33" t="s">
        <v>85</v>
      </c>
      <c r="MI33" t="s">
        <v>85</v>
      </c>
      <c r="MJ33" t="s">
        <v>85</v>
      </c>
      <c r="MK33" t="s">
        <v>85</v>
      </c>
      <c r="ML33" t="s">
        <v>85</v>
      </c>
      <c r="MM33" t="s">
        <v>85</v>
      </c>
      <c r="MN33" t="s">
        <v>85</v>
      </c>
      <c r="MO33" t="s">
        <v>85</v>
      </c>
      <c r="MP33" t="s">
        <v>85</v>
      </c>
      <c r="MQ33" t="s">
        <v>85</v>
      </c>
      <c r="MR33" t="s">
        <v>85</v>
      </c>
      <c r="MS33" t="s">
        <v>85</v>
      </c>
      <c r="MT33" t="s">
        <v>85</v>
      </c>
      <c r="MU33" t="s">
        <v>85</v>
      </c>
      <c r="MV33" t="s">
        <v>85</v>
      </c>
      <c r="MW33" t="s">
        <v>85</v>
      </c>
      <c r="MX33" t="s">
        <v>85</v>
      </c>
      <c r="MY33" t="s">
        <v>85</v>
      </c>
      <c r="MZ33" t="s">
        <v>85</v>
      </c>
      <c r="NA33" t="s">
        <v>780</v>
      </c>
      <c r="NB33">
        <v>4</v>
      </c>
      <c r="NC33">
        <v>1</v>
      </c>
      <c r="ND33">
        <v>1</v>
      </c>
      <c r="NE33">
        <v>3</v>
      </c>
      <c r="NF33">
        <v>12</v>
      </c>
      <c r="NG33">
        <v>15</v>
      </c>
      <c r="NH33">
        <v>15</v>
      </c>
      <c r="NI33">
        <v>15</v>
      </c>
      <c r="NJ33">
        <v>1</v>
      </c>
      <c r="NK33">
        <v>16</v>
      </c>
      <c r="NL33">
        <v>14</v>
      </c>
      <c r="NM33">
        <v>14</v>
      </c>
      <c r="NN33">
        <v>12</v>
      </c>
      <c r="NO33">
        <v>1</v>
      </c>
      <c r="NP33">
        <v>16</v>
      </c>
      <c r="NQ33">
        <v>15</v>
      </c>
      <c r="NR33">
        <v>15</v>
      </c>
      <c r="NS33">
        <v>15</v>
      </c>
      <c r="NT33">
        <v>1</v>
      </c>
      <c r="NU33">
        <v>16</v>
      </c>
      <c r="NV33">
        <v>15</v>
      </c>
      <c r="NW33">
        <v>15</v>
      </c>
      <c r="NX33">
        <v>15</v>
      </c>
      <c r="NY33">
        <v>1</v>
      </c>
      <c r="NZ33">
        <v>16</v>
      </c>
      <c r="OA33" t="s">
        <v>768</v>
      </c>
      <c r="OB33">
        <v>15</v>
      </c>
      <c r="OC33">
        <v>15</v>
      </c>
      <c r="OD33">
        <v>15</v>
      </c>
      <c r="OE33">
        <v>1</v>
      </c>
      <c r="OF33">
        <v>16</v>
      </c>
      <c r="OG33">
        <v>15</v>
      </c>
      <c r="OH33">
        <v>15</v>
      </c>
      <c r="OI33">
        <v>15</v>
      </c>
      <c r="OJ33">
        <v>1</v>
      </c>
      <c r="OK33">
        <v>16</v>
      </c>
      <c r="OL33">
        <v>1</v>
      </c>
      <c r="OM33">
        <v>1</v>
      </c>
      <c r="ON33">
        <v>1</v>
      </c>
      <c r="OO33">
        <v>1</v>
      </c>
      <c r="OP33">
        <v>17</v>
      </c>
      <c r="OQ33" t="s">
        <v>85</v>
      </c>
      <c r="OR33" t="s">
        <v>85</v>
      </c>
      <c r="OS33" t="s">
        <v>85</v>
      </c>
      <c r="OT33" t="s">
        <v>85</v>
      </c>
      <c r="OU33" t="s">
        <v>85</v>
      </c>
      <c r="OV33" t="s">
        <v>85</v>
      </c>
      <c r="OW33" t="s">
        <v>85</v>
      </c>
      <c r="OX33" t="s">
        <v>85</v>
      </c>
      <c r="OY33" t="s">
        <v>85</v>
      </c>
      <c r="OZ33" t="s">
        <v>85</v>
      </c>
      <c r="PA33" t="s">
        <v>768</v>
      </c>
      <c r="PB33">
        <v>2</v>
      </c>
      <c r="PC33">
        <v>2</v>
      </c>
      <c r="PD33">
        <v>2</v>
      </c>
      <c r="PE33">
        <v>1</v>
      </c>
      <c r="PF33">
        <v>17</v>
      </c>
      <c r="PG33">
        <v>12</v>
      </c>
      <c r="PH33">
        <v>12</v>
      </c>
      <c r="PI33">
        <v>12</v>
      </c>
      <c r="PJ33">
        <v>1</v>
      </c>
      <c r="PK33">
        <v>13</v>
      </c>
      <c r="PL33">
        <v>12</v>
      </c>
      <c r="PM33">
        <v>12</v>
      </c>
      <c r="PN33">
        <v>12</v>
      </c>
      <c r="PO33">
        <v>1</v>
      </c>
      <c r="PP33">
        <v>13</v>
      </c>
      <c r="PQ33">
        <v>22</v>
      </c>
      <c r="PR33">
        <v>1</v>
      </c>
      <c r="PS33">
        <v>1</v>
      </c>
      <c r="PT33">
        <v>24</v>
      </c>
      <c r="PU33">
        <v>21</v>
      </c>
      <c r="PV33">
        <v>1</v>
      </c>
      <c r="PW33">
        <v>1</v>
      </c>
      <c r="PX33">
        <v>1</v>
      </c>
      <c r="PY33">
        <v>1</v>
      </c>
      <c r="PZ33">
        <v>1</v>
      </c>
      <c r="QA33" t="s">
        <v>768</v>
      </c>
      <c r="QB33" t="s">
        <v>85</v>
      </c>
      <c r="QC33" t="s">
        <v>85</v>
      </c>
      <c r="QD33" t="s">
        <v>85</v>
      </c>
      <c r="QE33" t="s">
        <v>85</v>
      </c>
      <c r="QF33">
        <v>1</v>
      </c>
      <c r="QG33">
        <v>1</v>
      </c>
      <c r="QH33">
        <v>1</v>
      </c>
      <c r="QI33">
        <v>1</v>
      </c>
      <c r="QJ33">
        <v>1</v>
      </c>
      <c r="QK33">
        <v>23</v>
      </c>
      <c r="QL33" t="s">
        <v>85</v>
      </c>
      <c r="QM33" t="s">
        <v>85</v>
      </c>
      <c r="QN33" t="s">
        <v>85</v>
      </c>
      <c r="QO33" t="s">
        <v>85</v>
      </c>
      <c r="QP33" t="s">
        <v>85</v>
      </c>
      <c r="QQ33" t="s">
        <v>85</v>
      </c>
      <c r="QR33" t="s">
        <v>85</v>
      </c>
      <c r="QS33" t="s">
        <v>85</v>
      </c>
      <c r="QT33" t="s">
        <v>85</v>
      </c>
      <c r="QU33" t="s">
        <v>85</v>
      </c>
      <c r="QV33" t="s">
        <v>85</v>
      </c>
      <c r="QW33" t="s">
        <v>85</v>
      </c>
      <c r="QX33" t="s">
        <v>85</v>
      </c>
      <c r="QY33" t="s">
        <v>85</v>
      </c>
      <c r="QZ33" t="s">
        <v>85</v>
      </c>
      <c r="RA33" t="s">
        <v>768</v>
      </c>
      <c r="RB33">
        <v>1</v>
      </c>
      <c r="RC33">
        <v>3</v>
      </c>
      <c r="RD33">
        <v>1</v>
      </c>
      <c r="RE33">
        <v>1</v>
      </c>
      <c r="RF33">
        <v>1</v>
      </c>
      <c r="RG33">
        <v>12</v>
      </c>
      <c r="RH33">
        <v>12</v>
      </c>
      <c r="RI33">
        <v>12</v>
      </c>
      <c r="RJ33">
        <v>1</v>
      </c>
      <c r="RK33">
        <v>13</v>
      </c>
      <c r="RL33">
        <v>13</v>
      </c>
      <c r="RM33">
        <v>13</v>
      </c>
      <c r="RN33">
        <v>13</v>
      </c>
      <c r="RO33">
        <v>1</v>
      </c>
      <c r="RP33">
        <v>13</v>
      </c>
      <c r="RQ33">
        <v>1</v>
      </c>
      <c r="RR33">
        <v>1</v>
      </c>
      <c r="RS33">
        <v>1</v>
      </c>
      <c r="RT33">
        <v>1</v>
      </c>
      <c r="RU33">
        <v>1</v>
      </c>
      <c r="RV33">
        <v>1</v>
      </c>
      <c r="RW33">
        <v>1</v>
      </c>
      <c r="RX33">
        <v>1</v>
      </c>
      <c r="RY33">
        <v>1</v>
      </c>
      <c r="RZ33">
        <v>1</v>
      </c>
      <c r="SA33" t="s">
        <v>768</v>
      </c>
      <c r="SB33">
        <v>1</v>
      </c>
      <c r="SC33">
        <v>1</v>
      </c>
      <c r="SD33">
        <v>1</v>
      </c>
      <c r="SE33">
        <v>1</v>
      </c>
      <c r="SF33">
        <v>1</v>
      </c>
      <c r="SG33" t="s">
        <v>85</v>
      </c>
      <c r="SH33" t="s">
        <v>85</v>
      </c>
      <c r="SI33" t="s">
        <v>85</v>
      </c>
      <c r="SJ33" t="s">
        <v>85</v>
      </c>
      <c r="SK33" t="s">
        <v>85</v>
      </c>
      <c r="SL33" t="s">
        <v>85</v>
      </c>
      <c r="SM33" t="s">
        <v>85</v>
      </c>
      <c r="SN33" t="s">
        <v>85</v>
      </c>
      <c r="SO33" t="s">
        <v>85</v>
      </c>
      <c r="SP33" t="s">
        <v>85</v>
      </c>
      <c r="SQ33" t="s">
        <v>85</v>
      </c>
      <c r="SR33" t="s">
        <v>85</v>
      </c>
      <c r="SS33" t="s">
        <v>85</v>
      </c>
      <c r="ST33" t="s">
        <v>85</v>
      </c>
      <c r="SU33" t="s">
        <v>85</v>
      </c>
      <c r="SV33" t="s">
        <v>85</v>
      </c>
      <c r="SW33" t="s">
        <v>85</v>
      </c>
      <c r="SX33" t="s">
        <v>85</v>
      </c>
      <c r="SY33" t="s">
        <v>85</v>
      </c>
      <c r="SZ33" t="s">
        <v>85</v>
      </c>
      <c r="TA33" t="s">
        <v>768</v>
      </c>
      <c r="TB33">
        <v>13</v>
      </c>
      <c r="TC33">
        <v>13</v>
      </c>
      <c r="TD33">
        <v>13</v>
      </c>
      <c r="TE33">
        <v>1</v>
      </c>
      <c r="TF33">
        <v>13</v>
      </c>
      <c r="TG33">
        <v>1</v>
      </c>
      <c r="TH33">
        <v>1</v>
      </c>
      <c r="TI33">
        <v>1</v>
      </c>
      <c r="TJ33">
        <v>1</v>
      </c>
      <c r="TK33">
        <v>1</v>
      </c>
      <c r="TL33">
        <v>1</v>
      </c>
      <c r="TM33">
        <v>1</v>
      </c>
      <c r="TN33">
        <v>1</v>
      </c>
      <c r="TO33">
        <v>1</v>
      </c>
      <c r="TP33">
        <v>1</v>
      </c>
      <c r="TQ33">
        <v>5</v>
      </c>
      <c r="TR33">
        <v>5</v>
      </c>
      <c r="TS33">
        <v>5</v>
      </c>
      <c r="TT33">
        <v>1</v>
      </c>
      <c r="TU33">
        <v>5</v>
      </c>
      <c r="TV33">
        <v>1</v>
      </c>
      <c r="TW33">
        <v>1</v>
      </c>
      <c r="TX33">
        <v>1</v>
      </c>
      <c r="TY33">
        <v>1</v>
      </c>
      <c r="TZ33">
        <v>18</v>
      </c>
      <c r="UA33" t="s">
        <v>768</v>
      </c>
      <c r="UB33">
        <v>2</v>
      </c>
      <c r="UC33">
        <v>2</v>
      </c>
      <c r="UD33">
        <v>2</v>
      </c>
      <c r="UE33">
        <v>1</v>
      </c>
      <c r="UF33">
        <v>1</v>
      </c>
      <c r="UG33" t="s">
        <v>85</v>
      </c>
      <c r="UH33" t="s">
        <v>85</v>
      </c>
      <c r="UI33" t="s">
        <v>85</v>
      </c>
      <c r="UJ33" t="s">
        <v>85</v>
      </c>
      <c r="UK33" t="s">
        <v>85</v>
      </c>
      <c r="UL33" t="s">
        <v>85</v>
      </c>
      <c r="UM33" t="s">
        <v>85</v>
      </c>
      <c r="UN33" t="s">
        <v>85</v>
      </c>
      <c r="UO33" t="s">
        <v>85</v>
      </c>
      <c r="UP33" t="s">
        <v>85</v>
      </c>
      <c r="UQ33" t="s">
        <v>85</v>
      </c>
      <c r="UR33" t="s">
        <v>85</v>
      </c>
      <c r="US33" t="s">
        <v>85</v>
      </c>
      <c r="UT33" t="s">
        <v>85</v>
      </c>
      <c r="UU33" t="s">
        <v>85</v>
      </c>
      <c r="UV33" t="s">
        <v>85</v>
      </c>
      <c r="UW33" t="s">
        <v>85</v>
      </c>
      <c r="UX33" t="s">
        <v>85</v>
      </c>
      <c r="UY33" t="s">
        <v>85</v>
      </c>
      <c r="UZ33" t="s">
        <v>85</v>
      </c>
      <c r="VX33" t="s">
        <v>768</v>
      </c>
      <c r="VY33">
        <v>4</v>
      </c>
      <c r="VZ33">
        <v>1</v>
      </c>
      <c r="WA33">
        <v>1</v>
      </c>
      <c r="WB33">
        <v>3</v>
      </c>
      <c r="WC33">
        <v>12</v>
      </c>
      <c r="WD33">
        <v>15</v>
      </c>
      <c r="WE33">
        <v>15</v>
      </c>
      <c r="WF33">
        <v>15</v>
      </c>
      <c r="WG33">
        <v>1</v>
      </c>
      <c r="WH33">
        <v>16</v>
      </c>
      <c r="WI33">
        <v>14</v>
      </c>
      <c r="WJ33">
        <v>14</v>
      </c>
      <c r="WK33">
        <v>12</v>
      </c>
      <c r="WL33">
        <v>1</v>
      </c>
      <c r="WM33">
        <v>16</v>
      </c>
      <c r="WN33">
        <v>15</v>
      </c>
      <c r="WO33">
        <v>15</v>
      </c>
      <c r="WP33">
        <v>15</v>
      </c>
      <c r="WQ33">
        <v>1</v>
      </c>
      <c r="WR33">
        <v>16</v>
      </c>
      <c r="WS33">
        <v>15</v>
      </c>
      <c r="WT33">
        <v>15</v>
      </c>
      <c r="WU33">
        <v>15</v>
      </c>
      <c r="WV33">
        <v>1</v>
      </c>
      <c r="WW33">
        <v>16</v>
      </c>
      <c r="WX33" t="s">
        <v>768</v>
      </c>
      <c r="WY33">
        <v>15</v>
      </c>
      <c r="WZ33">
        <v>15</v>
      </c>
      <c r="XA33">
        <v>15</v>
      </c>
      <c r="XB33">
        <v>1</v>
      </c>
      <c r="XC33">
        <v>16</v>
      </c>
      <c r="XD33">
        <v>15</v>
      </c>
      <c r="XE33">
        <v>15</v>
      </c>
      <c r="XF33">
        <v>15</v>
      </c>
      <c r="XG33">
        <v>1</v>
      </c>
      <c r="XH33">
        <v>16</v>
      </c>
      <c r="XI33">
        <v>1</v>
      </c>
      <c r="XJ33">
        <v>1</v>
      </c>
      <c r="XK33">
        <v>1</v>
      </c>
      <c r="XL33">
        <v>1</v>
      </c>
      <c r="XM33">
        <v>17</v>
      </c>
      <c r="XN33" t="s">
        <v>85</v>
      </c>
      <c r="XO33" t="s">
        <v>85</v>
      </c>
      <c r="XP33" t="s">
        <v>85</v>
      </c>
      <c r="XQ33" t="s">
        <v>85</v>
      </c>
      <c r="XR33" t="s">
        <v>85</v>
      </c>
      <c r="XS33" t="s">
        <v>85</v>
      </c>
      <c r="XT33" t="s">
        <v>85</v>
      </c>
      <c r="XU33" t="s">
        <v>85</v>
      </c>
      <c r="XV33" t="s">
        <v>85</v>
      </c>
      <c r="XW33" t="s">
        <v>85</v>
      </c>
      <c r="XX33" t="s">
        <v>768</v>
      </c>
      <c r="XY33">
        <v>2</v>
      </c>
      <c r="XZ33">
        <v>2</v>
      </c>
      <c r="YA33">
        <v>2</v>
      </c>
      <c r="YB33">
        <v>1</v>
      </c>
      <c r="YC33">
        <v>17</v>
      </c>
      <c r="YD33">
        <v>12</v>
      </c>
      <c r="YE33">
        <v>12</v>
      </c>
      <c r="YF33">
        <v>12</v>
      </c>
      <c r="YG33">
        <v>1</v>
      </c>
      <c r="YH33">
        <v>13</v>
      </c>
      <c r="YI33">
        <v>12</v>
      </c>
      <c r="YJ33">
        <v>12</v>
      </c>
      <c r="YK33">
        <v>12</v>
      </c>
      <c r="YL33">
        <v>1</v>
      </c>
      <c r="YM33">
        <v>13</v>
      </c>
      <c r="YN33">
        <v>22</v>
      </c>
      <c r="YO33">
        <v>1</v>
      </c>
      <c r="YP33">
        <v>1</v>
      </c>
      <c r="YQ33">
        <v>24</v>
      </c>
      <c r="YR33">
        <v>21</v>
      </c>
      <c r="YS33">
        <v>1</v>
      </c>
      <c r="YT33">
        <v>1</v>
      </c>
      <c r="YU33">
        <v>1</v>
      </c>
      <c r="YV33">
        <v>1</v>
      </c>
      <c r="YW33">
        <v>1</v>
      </c>
      <c r="YX33" t="s">
        <v>768</v>
      </c>
      <c r="YY33" t="s">
        <v>85</v>
      </c>
      <c r="YZ33" t="s">
        <v>85</v>
      </c>
      <c r="ZA33" t="s">
        <v>85</v>
      </c>
      <c r="ZB33" t="s">
        <v>85</v>
      </c>
      <c r="ZC33">
        <v>1</v>
      </c>
      <c r="ZD33">
        <v>1</v>
      </c>
      <c r="ZE33">
        <v>1</v>
      </c>
      <c r="ZF33">
        <v>1</v>
      </c>
      <c r="ZG33">
        <v>1</v>
      </c>
      <c r="ZH33">
        <v>23</v>
      </c>
      <c r="ZI33" t="s">
        <v>85</v>
      </c>
      <c r="ZJ33" t="s">
        <v>85</v>
      </c>
      <c r="ZK33" t="s">
        <v>85</v>
      </c>
      <c r="ZL33" t="s">
        <v>85</v>
      </c>
      <c r="ZM33" t="s">
        <v>85</v>
      </c>
      <c r="ZN33" t="s">
        <v>85</v>
      </c>
      <c r="ZO33" t="s">
        <v>85</v>
      </c>
      <c r="ZP33" t="s">
        <v>85</v>
      </c>
      <c r="ZQ33" t="s">
        <v>85</v>
      </c>
      <c r="ZR33" t="s">
        <v>85</v>
      </c>
      <c r="ZS33" t="s">
        <v>85</v>
      </c>
      <c r="ZT33" t="s">
        <v>85</v>
      </c>
      <c r="ZU33" t="s">
        <v>85</v>
      </c>
      <c r="ZV33" t="s">
        <v>85</v>
      </c>
      <c r="ZW33" t="s">
        <v>85</v>
      </c>
      <c r="ZX33" t="s">
        <v>768</v>
      </c>
      <c r="ZY33" t="s">
        <v>768</v>
      </c>
      <c r="ZZ33" t="s">
        <v>780</v>
      </c>
      <c r="AAA33">
        <v>2</v>
      </c>
      <c r="AAB33">
        <v>2</v>
      </c>
      <c r="AAC33">
        <v>2</v>
      </c>
      <c r="AAD33">
        <v>1</v>
      </c>
      <c r="AAE33">
        <v>1</v>
      </c>
      <c r="AAF33" t="s">
        <v>85</v>
      </c>
      <c r="AAG33" t="s">
        <v>85</v>
      </c>
      <c r="AAH33" t="s">
        <v>85</v>
      </c>
      <c r="AAI33" t="s">
        <v>85</v>
      </c>
      <c r="AAJ33" t="s">
        <v>85</v>
      </c>
      <c r="AAK33" t="s">
        <v>85</v>
      </c>
      <c r="AAL33" t="s">
        <v>85</v>
      </c>
      <c r="AAM33" t="s">
        <v>85</v>
      </c>
      <c r="AAN33" t="s">
        <v>85</v>
      </c>
      <c r="AAO33" t="s">
        <v>85</v>
      </c>
      <c r="AAP33" t="s">
        <v>85</v>
      </c>
      <c r="AAQ33" t="s">
        <v>85</v>
      </c>
      <c r="AAR33" t="s">
        <v>85</v>
      </c>
      <c r="AAS33" t="s">
        <v>85</v>
      </c>
      <c r="AAT33" t="s">
        <v>85</v>
      </c>
      <c r="AAU33" t="s">
        <v>85</v>
      </c>
      <c r="AAV33" t="s">
        <v>85</v>
      </c>
      <c r="AAW33" t="s">
        <v>85</v>
      </c>
      <c r="AAX33" t="s">
        <v>85</v>
      </c>
      <c r="AAY33" t="s">
        <v>85</v>
      </c>
    </row>
    <row r="34" spans="1:727">
      <c r="A34" s="483" t="s">
        <v>780</v>
      </c>
      <c r="B34" s="503">
        <v>2</v>
      </c>
      <c r="C34" s="503">
        <v>6</v>
      </c>
      <c r="D34" s="503">
        <v>2</v>
      </c>
      <c r="E34" s="503">
        <v>1</v>
      </c>
      <c r="F34" s="503">
        <v>20</v>
      </c>
      <c r="G34" s="593">
        <v>15</v>
      </c>
      <c r="H34" s="593">
        <v>15</v>
      </c>
      <c r="I34" s="593">
        <v>15</v>
      </c>
      <c r="J34" s="593">
        <v>1</v>
      </c>
      <c r="K34" s="593">
        <v>16</v>
      </c>
      <c r="L34" s="502">
        <v>14</v>
      </c>
      <c r="M34" s="502">
        <v>14</v>
      </c>
      <c r="N34" s="502">
        <v>14</v>
      </c>
      <c r="O34" s="502">
        <v>1</v>
      </c>
      <c r="P34" s="502">
        <v>1</v>
      </c>
      <c r="Q34" s="504">
        <v>15</v>
      </c>
      <c r="R34" s="504">
        <v>15</v>
      </c>
      <c r="S34" s="504">
        <v>15</v>
      </c>
      <c r="T34" s="504">
        <v>1</v>
      </c>
      <c r="U34" s="504">
        <v>15</v>
      </c>
      <c r="V34" s="505">
        <v>15</v>
      </c>
      <c r="W34" s="505">
        <v>15</v>
      </c>
      <c r="X34" s="505">
        <v>15</v>
      </c>
      <c r="Y34" s="505">
        <v>1</v>
      </c>
      <c r="Z34" s="505">
        <v>15</v>
      </c>
      <c r="AA34" s="506"/>
      <c r="AB34" s="506"/>
      <c r="AC34" s="506"/>
      <c r="AD34" s="506"/>
      <c r="AE34" s="506"/>
      <c r="AF34" s="506"/>
      <c r="AG34" s="507"/>
      <c r="AH34" s="507"/>
      <c r="AI34" s="507"/>
      <c r="AJ34" s="507"/>
      <c r="AK34" s="507"/>
      <c r="AL34" s="508"/>
      <c r="AM34" s="508"/>
      <c r="AN34" s="508"/>
      <c r="AO34" s="508"/>
      <c r="AP34" s="508"/>
      <c r="AQ34" s="509"/>
      <c r="AR34" s="509"/>
      <c r="AS34" s="509"/>
      <c r="AT34" s="509"/>
      <c r="AU34" s="509"/>
      <c r="AV34" s="483"/>
      <c r="AW34" s="483"/>
      <c r="AX34" s="483"/>
      <c r="AY34" s="483"/>
      <c r="AZ34" s="483"/>
      <c r="BA34" s="483"/>
      <c r="BB34" s="483"/>
      <c r="BC34" s="483"/>
      <c r="BD34" s="483"/>
      <c r="BE34" s="483"/>
      <c r="BF34" s="483"/>
      <c r="BG34" s="483"/>
      <c r="BH34" s="483"/>
      <c r="BI34" s="483"/>
      <c r="BJ34" s="483"/>
      <c r="BK34" s="483"/>
      <c r="BL34" s="483"/>
      <c r="BM34" s="483"/>
      <c r="BN34" s="483"/>
      <c r="BO34" s="483"/>
      <c r="BP34" s="483"/>
      <c r="GA34" t="s">
        <v>85</v>
      </c>
      <c r="GB34" t="s">
        <v>769</v>
      </c>
      <c r="GC34">
        <v>91</v>
      </c>
      <c r="GD34">
        <v>69</v>
      </c>
      <c r="GE34">
        <v>54</v>
      </c>
      <c r="GF34">
        <v>27</v>
      </c>
      <c r="GG34">
        <v>1436</v>
      </c>
      <c r="GH34">
        <v>20</v>
      </c>
      <c r="GI34">
        <v>29</v>
      </c>
      <c r="GJ34">
        <v>17</v>
      </c>
      <c r="GK34">
        <v>11</v>
      </c>
      <c r="GL34">
        <v>485</v>
      </c>
      <c r="GM34">
        <v>59</v>
      </c>
      <c r="GN34">
        <v>33</v>
      </c>
      <c r="GO34">
        <v>27</v>
      </c>
      <c r="GP34">
        <v>62</v>
      </c>
      <c r="GQ34">
        <v>30</v>
      </c>
      <c r="GR34">
        <v>3</v>
      </c>
      <c r="GS34">
        <v>3</v>
      </c>
      <c r="GT34">
        <v>3</v>
      </c>
      <c r="GU34">
        <v>8</v>
      </c>
      <c r="GV34">
        <v>0</v>
      </c>
      <c r="GW34">
        <v>5</v>
      </c>
      <c r="GX34">
        <v>4</v>
      </c>
      <c r="GY34">
        <v>3</v>
      </c>
      <c r="GZ34">
        <v>12</v>
      </c>
      <c r="HA34">
        <v>32</v>
      </c>
      <c r="HB34" t="s">
        <v>769</v>
      </c>
      <c r="HC34">
        <v>16</v>
      </c>
      <c r="HD34">
        <v>11</v>
      </c>
      <c r="HE34">
        <v>22</v>
      </c>
      <c r="HF34">
        <v>28</v>
      </c>
      <c r="HG34">
        <v>22</v>
      </c>
      <c r="HH34">
        <v>106</v>
      </c>
      <c r="HI34">
        <v>90</v>
      </c>
      <c r="HJ34">
        <v>92</v>
      </c>
      <c r="HK34">
        <v>27</v>
      </c>
      <c r="HL34">
        <v>2032</v>
      </c>
      <c r="HM34">
        <v>112</v>
      </c>
      <c r="HN34">
        <v>100</v>
      </c>
      <c r="HO34">
        <v>128</v>
      </c>
      <c r="HP34">
        <v>28</v>
      </c>
      <c r="HQ34">
        <v>2479</v>
      </c>
      <c r="HR34">
        <v>34</v>
      </c>
      <c r="HS34">
        <v>40</v>
      </c>
      <c r="HT34">
        <v>41</v>
      </c>
      <c r="HU34">
        <v>11</v>
      </c>
      <c r="HV34">
        <v>726</v>
      </c>
      <c r="HW34">
        <v>9</v>
      </c>
      <c r="HX34">
        <v>16</v>
      </c>
      <c r="HY34">
        <v>21</v>
      </c>
      <c r="HZ34">
        <v>13</v>
      </c>
      <c r="IA34">
        <v>319</v>
      </c>
      <c r="IB34" t="s">
        <v>769</v>
      </c>
      <c r="IC34">
        <v>115</v>
      </c>
      <c r="ID34">
        <v>91</v>
      </c>
      <c r="IE34">
        <v>80</v>
      </c>
      <c r="IF34">
        <v>34</v>
      </c>
      <c r="IG34">
        <v>2268</v>
      </c>
      <c r="IH34">
        <v>25</v>
      </c>
      <c r="II34">
        <v>34</v>
      </c>
      <c r="IJ34">
        <v>30</v>
      </c>
      <c r="IK34">
        <v>15</v>
      </c>
      <c r="IL34">
        <v>460</v>
      </c>
      <c r="IM34">
        <v>56</v>
      </c>
      <c r="IN34">
        <v>52</v>
      </c>
      <c r="IO34">
        <v>68</v>
      </c>
      <c r="IP34">
        <v>17</v>
      </c>
      <c r="IQ34">
        <v>123</v>
      </c>
      <c r="IR34">
        <v>17</v>
      </c>
      <c r="IS34">
        <v>7</v>
      </c>
      <c r="IT34">
        <v>26</v>
      </c>
      <c r="IU34">
        <v>15</v>
      </c>
      <c r="IV34">
        <v>59</v>
      </c>
      <c r="IW34">
        <v>19</v>
      </c>
      <c r="IX34">
        <v>25</v>
      </c>
      <c r="IY34">
        <v>16</v>
      </c>
      <c r="IZ34">
        <v>6</v>
      </c>
      <c r="JA34">
        <v>364</v>
      </c>
      <c r="JB34" t="s">
        <v>769</v>
      </c>
      <c r="JC34">
        <v>29</v>
      </c>
      <c r="JD34">
        <v>24</v>
      </c>
      <c r="JE34">
        <v>16</v>
      </c>
      <c r="JF34">
        <v>9</v>
      </c>
      <c r="JG34">
        <v>535</v>
      </c>
      <c r="JH34">
        <v>63</v>
      </c>
      <c r="JI34">
        <v>46</v>
      </c>
      <c r="JJ34">
        <v>34</v>
      </c>
      <c r="JK34">
        <v>25</v>
      </c>
      <c r="JL34">
        <v>1145</v>
      </c>
      <c r="JM34">
        <v>49</v>
      </c>
      <c r="JN34">
        <v>40</v>
      </c>
      <c r="JO34">
        <v>26</v>
      </c>
      <c r="JP34">
        <v>14</v>
      </c>
      <c r="JQ34">
        <v>728</v>
      </c>
      <c r="JR34">
        <v>70</v>
      </c>
      <c r="JS34">
        <v>68</v>
      </c>
      <c r="JT34">
        <v>80</v>
      </c>
      <c r="JU34">
        <v>16</v>
      </c>
      <c r="JV34">
        <v>1062</v>
      </c>
      <c r="JW34">
        <v>15</v>
      </c>
      <c r="JX34">
        <v>2</v>
      </c>
      <c r="JY34">
        <v>18</v>
      </c>
      <c r="JZ34">
        <v>19</v>
      </c>
      <c r="KA34">
        <v>320</v>
      </c>
      <c r="KB34" t="s">
        <v>769</v>
      </c>
      <c r="KC34" t="s">
        <v>85</v>
      </c>
      <c r="KD34" t="s">
        <v>85</v>
      </c>
      <c r="KE34" t="s">
        <v>85</v>
      </c>
      <c r="KF34" t="s">
        <v>85</v>
      </c>
      <c r="KG34" t="s">
        <v>85</v>
      </c>
      <c r="KH34" t="s">
        <v>85</v>
      </c>
      <c r="KI34" t="s">
        <v>85</v>
      </c>
      <c r="KJ34" t="s">
        <v>85</v>
      </c>
      <c r="KK34" t="s">
        <v>85</v>
      </c>
      <c r="KL34" t="s">
        <v>85</v>
      </c>
      <c r="KM34" t="s">
        <v>85</v>
      </c>
      <c r="KN34" t="s">
        <v>85</v>
      </c>
      <c r="KO34" t="s">
        <v>85</v>
      </c>
      <c r="KP34" t="s">
        <v>85</v>
      </c>
      <c r="KQ34" t="s">
        <v>85</v>
      </c>
      <c r="KR34" t="s">
        <v>85</v>
      </c>
      <c r="KS34" t="s">
        <v>85</v>
      </c>
      <c r="KT34" t="s">
        <v>85</v>
      </c>
      <c r="KU34" t="s">
        <v>85</v>
      </c>
      <c r="KV34" t="s">
        <v>85</v>
      </c>
      <c r="KW34" t="s">
        <v>85</v>
      </c>
      <c r="KX34" t="s">
        <v>85</v>
      </c>
      <c r="KY34" t="s">
        <v>85</v>
      </c>
      <c r="KZ34" t="s">
        <v>85</v>
      </c>
      <c r="LA34" t="s">
        <v>85</v>
      </c>
      <c r="LB34" t="s">
        <v>769</v>
      </c>
      <c r="LC34" t="s">
        <v>85</v>
      </c>
      <c r="LD34" t="s">
        <v>85</v>
      </c>
      <c r="LE34" t="s">
        <v>85</v>
      </c>
      <c r="LF34" t="s">
        <v>85</v>
      </c>
      <c r="LG34" t="s">
        <v>85</v>
      </c>
      <c r="LH34" t="s">
        <v>85</v>
      </c>
      <c r="LI34" t="s">
        <v>85</v>
      </c>
      <c r="LJ34" t="s">
        <v>85</v>
      </c>
      <c r="LK34" t="s">
        <v>85</v>
      </c>
      <c r="LL34" t="s">
        <v>85</v>
      </c>
      <c r="LM34" t="s">
        <v>85</v>
      </c>
      <c r="LN34" t="s">
        <v>85</v>
      </c>
      <c r="LO34" t="s">
        <v>85</v>
      </c>
      <c r="LP34" t="s">
        <v>85</v>
      </c>
      <c r="LQ34" t="s">
        <v>85</v>
      </c>
      <c r="LR34" t="s">
        <v>85</v>
      </c>
      <c r="LS34" t="s">
        <v>85</v>
      </c>
      <c r="LT34" t="s">
        <v>85</v>
      </c>
      <c r="LU34" t="s">
        <v>85</v>
      </c>
      <c r="LV34" t="s">
        <v>85</v>
      </c>
      <c r="LW34" t="s">
        <v>85</v>
      </c>
      <c r="LX34" t="s">
        <v>85</v>
      </c>
      <c r="LY34" t="s">
        <v>85</v>
      </c>
      <c r="LZ34" t="s">
        <v>85</v>
      </c>
      <c r="MA34" t="s">
        <v>85</v>
      </c>
      <c r="MB34" t="s">
        <v>769</v>
      </c>
      <c r="MC34" t="s">
        <v>85</v>
      </c>
      <c r="MD34" t="s">
        <v>85</v>
      </c>
      <c r="ME34" t="s">
        <v>85</v>
      </c>
      <c r="MF34" t="s">
        <v>85</v>
      </c>
      <c r="MG34" t="s">
        <v>85</v>
      </c>
      <c r="MH34" t="s">
        <v>85</v>
      </c>
      <c r="MI34" t="s">
        <v>85</v>
      </c>
      <c r="MJ34" t="s">
        <v>85</v>
      </c>
      <c r="MK34" t="s">
        <v>85</v>
      </c>
      <c r="ML34" t="s">
        <v>85</v>
      </c>
      <c r="MM34" t="s">
        <v>85</v>
      </c>
      <c r="MN34" t="s">
        <v>85</v>
      </c>
      <c r="MO34" t="s">
        <v>85</v>
      </c>
      <c r="MP34" t="s">
        <v>85</v>
      </c>
      <c r="MQ34" t="s">
        <v>85</v>
      </c>
      <c r="MR34" t="s">
        <v>85</v>
      </c>
      <c r="MS34" t="s">
        <v>85</v>
      </c>
      <c r="MT34" t="s">
        <v>85</v>
      </c>
      <c r="MU34" t="s">
        <v>85</v>
      </c>
      <c r="MV34" t="s">
        <v>85</v>
      </c>
      <c r="MW34" t="s">
        <v>85</v>
      </c>
      <c r="MX34" t="s">
        <v>85</v>
      </c>
      <c r="MY34" t="s">
        <v>85</v>
      </c>
      <c r="MZ34" t="s">
        <v>85</v>
      </c>
      <c r="NA34" t="s">
        <v>781</v>
      </c>
      <c r="NB34">
        <v>0</v>
      </c>
      <c r="NC34">
        <v>-1</v>
      </c>
      <c r="ND34">
        <v>-1</v>
      </c>
      <c r="NE34">
        <v>0</v>
      </c>
      <c r="NF34">
        <v>24</v>
      </c>
      <c r="NG34">
        <v>5</v>
      </c>
      <c r="NH34">
        <v>6</v>
      </c>
      <c r="NI34">
        <v>6</v>
      </c>
      <c r="NJ34">
        <v>0</v>
      </c>
      <c r="NK34">
        <v>69</v>
      </c>
      <c r="NL34">
        <v>7</v>
      </c>
      <c r="NM34">
        <v>6</v>
      </c>
      <c r="NN34">
        <v>6</v>
      </c>
      <c r="NO34">
        <v>0</v>
      </c>
      <c r="NP34">
        <v>26</v>
      </c>
      <c r="NQ34">
        <v>5</v>
      </c>
      <c r="NR34">
        <v>4</v>
      </c>
      <c r="NS34">
        <v>4</v>
      </c>
      <c r="NT34">
        <v>0</v>
      </c>
      <c r="NU34">
        <v>50</v>
      </c>
      <c r="NV34">
        <v>6</v>
      </c>
      <c r="NW34">
        <v>6</v>
      </c>
      <c r="NX34">
        <v>5</v>
      </c>
      <c r="NY34">
        <v>1</v>
      </c>
      <c r="NZ34">
        <v>0</v>
      </c>
      <c r="OA34" t="s">
        <v>769</v>
      </c>
      <c r="OB34">
        <v>10</v>
      </c>
      <c r="OC34">
        <v>10</v>
      </c>
      <c r="OD34">
        <v>9</v>
      </c>
      <c r="OE34">
        <v>1</v>
      </c>
      <c r="OF34">
        <v>84</v>
      </c>
      <c r="OG34">
        <v>12</v>
      </c>
      <c r="OH34">
        <v>12</v>
      </c>
      <c r="OI34">
        <v>12</v>
      </c>
      <c r="OJ34">
        <v>1</v>
      </c>
      <c r="OK34">
        <v>88</v>
      </c>
      <c r="OL34">
        <v>1</v>
      </c>
      <c r="OM34">
        <v>1</v>
      </c>
      <c r="ON34">
        <v>1</v>
      </c>
      <c r="OO34">
        <v>1</v>
      </c>
      <c r="OP34">
        <v>47</v>
      </c>
      <c r="OQ34" t="s">
        <v>85</v>
      </c>
      <c r="OR34" t="s">
        <v>85</v>
      </c>
      <c r="OS34" t="s">
        <v>85</v>
      </c>
      <c r="OT34" t="s">
        <v>85</v>
      </c>
      <c r="OU34" t="s">
        <v>85</v>
      </c>
      <c r="OV34" t="s">
        <v>85</v>
      </c>
      <c r="OW34" t="s">
        <v>85</v>
      </c>
      <c r="OX34" t="s">
        <v>85</v>
      </c>
      <c r="OY34" t="s">
        <v>85</v>
      </c>
      <c r="OZ34" t="s">
        <v>85</v>
      </c>
      <c r="PA34" t="s">
        <v>769</v>
      </c>
      <c r="PB34">
        <v>21</v>
      </c>
      <c r="PC34">
        <v>22</v>
      </c>
      <c r="PD34">
        <v>22</v>
      </c>
      <c r="PE34">
        <v>0</v>
      </c>
      <c r="PF34">
        <v>809</v>
      </c>
      <c r="PG34">
        <v>7</v>
      </c>
      <c r="PH34">
        <v>6</v>
      </c>
      <c r="PI34">
        <v>5</v>
      </c>
      <c r="PJ34">
        <v>0</v>
      </c>
      <c r="PK34">
        <v>190</v>
      </c>
      <c r="PL34">
        <v>5</v>
      </c>
      <c r="PM34">
        <v>6</v>
      </c>
      <c r="PN34">
        <v>5</v>
      </c>
      <c r="PO34">
        <v>0</v>
      </c>
      <c r="PP34">
        <v>4</v>
      </c>
      <c r="PQ34">
        <v>12</v>
      </c>
      <c r="PR34">
        <v>14</v>
      </c>
      <c r="PS34">
        <v>12</v>
      </c>
      <c r="PT34">
        <v>1</v>
      </c>
      <c r="PU34">
        <v>178</v>
      </c>
      <c r="PV34">
        <v>30</v>
      </c>
      <c r="PW34">
        <v>31</v>
      </c>
      <c r="PX34">
        <v>29</v>
      </c>
      <c r="PY34">
        <v>0</v>
      </c>
      <c r="PZ34">
        <v>1199</v>
      </c>
      <c r="QA34" t="s">
        <v>769</v>
      </c>
      <c r="QB34" t="s">
        <v>85</v>
      </c>
      <c r="QC34" t="s">
        <v>85</v>
      </c>
      <c r="QD34" t="s">
        <v>85</v>
      </c>
      <c r="QE34" t="s">
        <v>85</v>
      </c>
      <c r="QF34">
        <v>0</v>
      </c>
      <c r="QG34">
        <v>2</v>
      </c>
      <c r="QH34">
        <v>2</v>
      </c>
      <c r="QI34">
        <v>2</v>
      </c>
      <c r="QJ34">
        <v>0</v>
      </c>
      <c r="QK34">
        <v>58</v>
      </c>
      <c r="QL34" t="s">
        <v>85</v>
      </c>
      <c r="QM34" t="s">
        <v>85</v>
      </c>
      <c r="QN34" t="s">
        <v>85</v>
      </c>
      <c r="QO34" t="s">
        <v>85</v>
      </c>
      <c r="QP34" t="s">
        <v>85</v>
      </c>
      <c r="QQ34" t="s">
        <v>85</v>
      </c>
      <c r="QR34" t="s">
        <v>85</v>
      </c>
      <c r="QS34" t="s">
        <v>85</v>
      </c>
      <c r="QT34" t="s">
        <v>85</v>
      </c>
      <c r="QU34" t="s">
        <v>85</v>
      </c>
      <c r="QV34" t="s">
        <v>85</v>
      </c>
      <c r="QW34" t="s">
        <v>85</v>
      </c>
      <c r="QX34" t="s">
        <v>85</v>
      </c>
      <c r="QY34" t="s">
        <v>85</v>
      </c>
      <c r="QZ34" t="s">
        <v>85</v>
      </c>
      <c r="RA34" t="s">
        <v>769</v>
      </c>
      <c r="RB34">
        <v>100</v>
      </c>
      <c r="RC34">
        <v>98</v>
      </c>
      <c r="RD34">
        <v>97</v>
      </c>
      <c r="RE34">
        <v>0</v>
      </c>
      <c r="RF34">
        <v>3399</v>
      </c>
      <c r="RG34">
        <v>5</v>
      </c>
      <c r="RH34">
        <v>5</v>
      </c>
      <c r="RI34">
        <v>5</v>
      </c>
      <c r="RJ34">
        <v>0</v>
      </c>
      <c r="RK34">
        <v>212</v>
      </c>
      <c r="RL34">
        <v>6</v>
      </c>
      <c r="RM34">
        <v>6</v>
      </c>
      <c r="RN34">
        <v>5</v>
      </c>
      <c r="RO34">
        <v>0</v>
      </c>
      <c r="RP34">
        <v>167</v>
      </c>
      <c r="RQ34">
        <v>0</v>
      </c>
      <c r="RR34">
        <v>0</v>
      </c>
      <c r="RS34">
        <v>0</v>
      </c>
      <c r="RT34">
        <v>0</v>
      </c>
      <c r="RU34">
        <v>0</v>
      </c>
      <c r="RV34">
        <v>0</v>
      </c>
      <c r="RW34">
        <v>0</v>
      </c>
      <c r="RX34">
        <v>0</v>
      </c>
      <c r="RY34">
        <v>0</v>
      </c>
      <c r="RZ34">
        <v>0</v>
      </c>
      <c r="SA34" t="s">
        <v>769</v>
      </c>
      <c r="SB34">
        <v>0</v>
      </c>
      <c r="SC34">
        <v>0</v>
      </c>
      <c r="SD34">
        <v>0</v>
      </c>
      <c r="SE34">
        <v>0</v>
      </c>
      <c r="SF34">
        <v>0</v>
      </c>
      <c r="SG34" t="s">
        <v>85</v>
      </c>
      <c r="SH34" t="s">
        <v>85</v>
      </c>
      <c r="SI34" t="s">
        <v>85</v>
      </c>
      <c r="SJ34" t="s">
        <v>85</v>
      </c>
      <c r="SK34" t="s">
        <v>85</v>
      </c>
      <c r="SL34" t="s">
        <v>85</v>
      </c>
      <c r="SM34" t="s">
        <v>85</v>
      </c>
      <c r="SN34" t="s">
        <v>85</v>
      </c>
      <c r="SO34" t="s">
        <v>85</v>
      </c>
      <c r="SP34" t="s">
        <v>85</v>
      </c>
      <c r="SQ34" t="s">
        <v>85</v>
      </c>
      <c r="SR34" t="s">
        <v>85</v>
      </c>
      <c r="SS34" t="s">
        <v>85</v>
      </c>
      <c r="ST34" t="s">
        <v>85</v>
      </c>
      <c r="SU34" t="s">
        <v>85</v>
      </c>
      <c r="SV34" t="s">
        <v>85</v>
      </c>
      <c r="SW34" t="s">
        <v>85</v>
      </c>
      <c r="SX34" t="s">
        <v>85</v>
      </c>
      <c r="SY34" t="s">
        <v>85</v>
      </c>
      <c r="SZ34" t="s">
        <v>85</v>
      </c>
      <c r="TA34" t="s">
        <v>769</v>
      </c>
      <c r="TB34">
        <v>1</v>
      </c>
      <c r="TC34">
        <v>1</v>
      </c>
      <c r="TD34">
        <v>1</v>
      </c>
      <c r="TE34">
        <v>0</v>
      </c>
      <c r="TF34">
        <v>0</v>
      </c>
      <c r="TG34">
        <v>0</v>
      </c>
      <c r="TH34">
        <v>0</v>
      </c>
      <c r="TI34">
        <v>0</v>
      </c>
      <c r="TJ34">
        <v>0</v>
      </c>
      <c r="TK34">
        <v>0</v>
      </c>
      <c r="TL34">
        <v>0</v>
      </c>
      <c r="TM34">
        <v>0</v>
      </c>
      <c r="TN34">
        <v>0</v>
      </c>
      <c r="TO34">
        <v>0</v>
      </c>
      <c r="TP34">
        <v>0</v>
      </c>
      <c r="TQ34">
        <v>20</v>
      </c>
      <c r="TR34">
        <v>19</v>
      </c>
      <c r="TS34">
        <v>21</v>
      </c>
      <c r="TT34">
        <v>0</v>
      </c>
      <c r="TU34">
        <v>778</v>
      </c>
      <c r="TV34">
        <v>7</v>
      </c>
      <c r="TW34">
        <v>7</v>
      </c>
      <c r="TX34">
        <v>5</v>
      </c>
      <c r="TY34">
        <v>0</v>
      </c>
      <c r="TZ34">
        <v>254</v>
      </c>
      <c r="UA34" t="s">
        <v>769</v>
      </c>
      <c r="UB34">
        <v>53</v>
      </c>
      <c r="UC34">
        <v>56</v>
      </c>
      <c r="UD34">
        <v>54</v>
      </c>
      <c r="UE34">
        <v>0</v>
      </c>
      <c r="UF34">
        <v>2188</v>
      </c>
      <c r="UG34" t="s">
        <v>85</v>
      </c>
      <c r="UH34" t="s">
        <v>85</v>
      </c>
      <c r="UI34" t="s">
        <v>85</v>
      </c>
      <c r="UJ34" t="s">
        <v>85</v>
      </c>
      <c r="UK34" t="s">
        <v>85</v>
      </c>
      <c r="UL34" t="s">
        <v>85</v>
      </c>
      <c r="UM34" t="s">
        <v>85</v>
      </c>
      <c r="UN34" t="s">
        <v>85</v>
      </c>
      <c r="UO34" t="s">
        <v>85</v>
      </c>
      <c r="UP34" t="s">
        <v>85</v>
      </c>
      <c r="UQ34" t="s">
        <v>85</v>
      </c>
      <c r="UR34" t="s">
        <v>85</v>
      </c>
      <c r="US34" t="s">
        <v>85</v>
      </c>
      <c r="UT34" t="s">
        <v>85</v>
      </c>
      <c r="UU34" t="s">
        <v>85</v>
      </c>
      <c r="UV34" t="s">
        <v>85</v>
      </c>
      <c r="UW34" t="s">
        <v>85</v>
      </c>
      <c r="UX34" t="s">
        <v>85</v>
      </c>
      <c r="UY34" t="s">
        <v>85</v>
      </c>
      <c r="UZ34" t="s">
        <v>85</v>
      </c>
      <c r="VX34" t="s">
        <v>769</v>
      </c>
      <c r="VY34">
        <v>0</v>
      </c>
      <c r="VZ34">
        <v>-1</v>
      </c>
      <c r="WA34">
        <v>-1</v>
      </c>
      <c r="WB34">
        <v>0</v>
      </c>
      <c r="WC34">
        <v>24</v>
      </c>
      <c r="WD34">
        <v>5</v>
      </c>
      <c r="WE34">
        <v>6</v>
      </c>
      <c r="WF34">
        <v>6</v>
      </c>
      <c r="WG34">
        <v>0</v>
      </c>
      <c r="WH34">
        <v>69</v>
      </c>
      <c r="WI34">
        <v>7</v>
      </c>
      <c r="WJ34">
        <v>6</v>
      </c>
      <c r="WK34">
        <v>6</v>
      </c>
      <c r="WL34">
        <v>0</v>
      </c>
      <c r="WM34">
        <v>26</v>
      </c>
      <c r="WN34">
        <v>5</v>
      </c>
      <c r="WO34">
        <v>4</v>
      </c>
      <c r="WP34">
        <v>4</v>
      </c>
      <c r="WQ34">
        <v>0</v>
      </c>
      <c r="WR34">
        <v>50</v>
      </c>
      <c r="WS34">
        <v>6</v>
      </c>
      <c r="WT34">
        <v>6</v>
      </c>
      <c r="WU34">
        <v>5</v>
      </c>
      <c r="WV34">
        <v>1</v>
      </c>
      <c r="WW34">
        <v>0</v>
      </c>
      <c r="WX34" t="s">
        <v>769</v>
      </c>
      <c r="WY34">
        <v>10</v>
      </c>
      <c r="WZ34">
        <v>10</v>
      </c>
      <c r="XA34">
        <v>9</v>
      </c>
      <c r="XB34">
        <v>1</v>
      </c>
      <c r="XC34">
        <v>84</v>
      </c>
      <c r="XD34">
        <v>12</v>
      </c>
      <c r="XE34">
        <v>12</v>
      </c>
      <c r="XF34">
        <v>12</v>
      </c>
      <c r="XG34">
        <v>1</v>
      </c>
      <c r="XH34">
        <v>88</v>
      </c>
      <c r="XI34">
        <v>1</v>
      </c>
      <c r="XJ34">
        <v>1</v>
      </c>
      <c r="XK34">
        <v>1</v>
      </c>
      <c r="XL34">
        <v>1</v>
      </c>
      <c r="XM34">
        <v>47</v>
      </c>
      <c r="XN34" t="s">
        <v>85</v>
      </c>
      <c r="XO34" t="s">
        <v>85</v>
      </c>
      <c r="XP34" t="s">
        <v>85</v>
      </c>
      <c r="XQ34" t="s">
        <v>85</v>
      </c>
      <c r="XR34" t="s">
        <v>85</v>
      </c>
      <c r="XS34" t="s">
        <v>85</v>
      </c>
      <c r="XT34" t="s">
        <v>85</v>
      </c>
      <c r="XU34" t="s">
        <v>85</v>
      </c>
      <c r="XV34" t="s">
        <v>85</v>
      </c>
      <c r="XW34" t="s">
        <v>85</v>
      </c>
      <c r="XX34" t="s">
        <v>769</v>
      </c>
      <c r="XY34">
        <v>21</v>
      </c>
      <c r="XZ34">
        <v>22</v>
      </c>
      <c r="YA34">
        <v>22</v>
      </c>
      <c r="YB34">
        <v>0</v>
      </c>
      <c r="YC34">
        <v>809</v>
      </c>
      <c r="YD34">
        <v>7</v>
      </c>
      <c r="YE34">
        <v>6</v>
      </c>
      <c r="YF34">
        <v>5</v>
      </c>
      <c r="YG34">
        <v>0</v>
      </c>
      <c r="YH34">
        <v>190</v>
      </c>
      <c r="YI34">
        <v>5</v>
      </c>
      <c r="YJ34">
        <v>6</v>
      </c>
      <c r="YK34">
        <v>5</v>
      </c>
      <c r="YL34">
        <v>0</v>
      </c>
      <c r="YM34">
        <v>4</v>
      </c>
      <c r="YN34">
        <v>12</v>
      </c>
      <c r="YO34">
        <v>14</v>
      </c>
      <c r="YP34">
        <v>12</v>
      </c>
      <c r="YQ34">
        <v>1</v>
      </c>
      <c r="YR34">
        <v>178</v>
      </c>
      <c r="YS34">
        <v>30</v>
      </c>
      <c r="YT34">
        <v>31</v>
      </c>
      <c r="YU34">
        <v>29</v>
      </c>
      <c r="YV34">
        <v>0</v>
      </c>
      <c r="YW34">
        <v>1199</v>
      </c>
      <c r="YX34" t="s">
        <v>769</v>
      </c>
      <c r="YY34" t="s">
        <v>85</v>
      </c>
      <c r="YZ34" t="s">
        <v>85</v>
      </c>
      <c r="ZA34" t="s">
        <v>85</v>
      </c>
      <c r="ZB34" t="s">
        <v>85</v>
      </c>
      <c r="ZC34">
        <v>0</v>
      </c>
      <c r="ZD34">
        <v>2</v>
      </c>
      <c r="ZE34">
        <v>2</v>
      </c>
      <c r="ZF34">
        <v>2</v>
      </c>
      <c r="ZG34">
        <v>0</v>
      </c>
      <c r="ZH34">
        <v>58</v>
      </c>
      <c r="ZI34" t="s">
        <v>85</v>
      </c>
      <c r="ZJ34" t="s">
        <v>85</v>
      </c>
      <c r="ZK34" t="s">
        <v>85</v>
      </c>
      <c r="ZL34" t="s">
        <v>85</v>
      </c>
      <c r="ZM34" t="s">
        <v>85</v>
      </c>
      <c r="ZN34" t="s">
        <v>85</v>
      </c>
      <c r="ZO34" t="s">
        <v>85</v>
      </c>
      <c r="ZP34" t="s">
        <v>85</v>
      </c>
      <c r="ZQ34" t="s">
        <v>85</v>
      </c>
      <c r="ZR34" t="s">
        <v>85</v>
      </c>
      <c r="ZS34" t="s">
        <v>85</v>
      </c>
      <c r="ZT34" t="s">
        <v>85</v>
      </c>
      <c r="ZU34" t="s">
        <v>85</v>
      </c>
      <c r="ZV34" t="s">
        <v>85</v>
      </c>
      <c r="ZW34" t="s">
        <v>85</v>
      </c>
      <c r="ZX34" t="s">
        <v>769</v>
      </c>
      <c r="ZY34" t="s">
        <v>769</v>
      </c>
      <c r="ZZ34" t="s">
        <v>781</v>
      </c>
      <c r="AAA34">
        <v>53</v>
      </c>
      <c r="AAB34">
        <v>56</v>
      </c>
      <c r="AAC34">
        <v>54</v>
      </c>
      <c r="AAD34">
        <v>0</v>
      </c>
      <c r="AAE34">
        <v>2188</v>
      </c>
      <c r="AAF34" t="s">
        <v>85</v>
      </c>
      <c r="AAG34" t="s">
        <v>85</v>
      </c>
      <c r="AAH34" t="s">
        <v>85</v>
      </c>
      <c r="AAI34" t="s">
        <v>85</v>
      </c>
      <c r="AAJ34" t="s">
        <v>85</v>
      </c>
      <c r="AAK34" t="s">
        <v>85</v>
      </c>
      <c r="AAL34" t="s">
        <v>85</v>
      </c>
      <c r="AAM34" t="s">
        <v>85</v>
      </c>
      <c r="AAN34" t="s">
        <v>85</v>
      </c>
      <c r="AAO34" t="s">
        <v>85</v>
      </c>
      <c r="AAP34" t="s">
        <v>85</v>
      </c>
      <c r="AAQ34" t="s">
        <v>85</v>
      </c>
      <c r="AAR34" t="s">
        <v>85</v>
      </c>
      <c r="AAS34" t="s">
        <v>85</v>
      </c>
      <c r="AAT34" t="s">
        <v>85</v>
      </c>
      <c r="AAU34" t="s">
        <v>85</v>
      </c>
      <c r="AAV34" t="s">
        <v>85</v>
      </c>
      <c r="AAW34" t="s">
        <v>85</v>
      </c>
      <c r="AAX34" t="s">
        <v>85</v>
      </c>
      <c r="AAY34" t="s">
        <v>85</v>
      </c>
    </row>
    <row r="35" spans="1:727">
      <c r="A35" s="483" t="s">
        <v>781</v>
      </c>
      <c r="B35" s="503">
        <v>-1</v>
      </c>
      <c r="C35" s="503">
        <v>-1</v>
      </c>
      <c r="D35" s="503">
        <v>-1</v>
      </c>
      <c r="E35" s="503">
        <v>-1</v>
      </c>
      <c r="F35" s="503">
        <v>22</v>
      </c>
      <c r="G35" s="593">
        <v>5</v>
      </c>
      <c r="H35" s="593">
        <v>5</v>
      </c>
      <c r="I35" s="593">
        <v>5</v>
      </c>
      <c r="J35" s="593">
        <v>0</v>
      </c>
      <c r="K35" s="593">
        <v>81</v>
      </c>
      <c r="L35" s="483">
        <v>6</v>
      </c>
      <c r="M35" s="483">
        <v>6</v>
      </c>
      <c r="N35" s="483">
        <v>6</v>
      </c>
      <c r="O35" s="483">
        <v>0</v>
      </c>
      <c r="P35" s="483">
        <v>30</v>
      </c>
      <c r="Q35" s="483">
        <v>4</v>
      </c>
      <c r="R35" s="483">
        <v>4</v>
      </c>
      <c r="S35" s="483">
        <v>4</v>
      </c>
      <c r="T35" s="483">
        <v>0</v>
      </c>
      <c r="U35" s="483">
        <v>54</v>
      </c>
      <c r="V35" s="505">
        <v>6</v>
      </c>
      <c r="W35" s="505">
        <v>6</v>
      </c>
      <c r="X35" s="505">
        <v>5</v>
      </c>
      <c r="Y35" s="505">
        <v>1</v>
      </c>
      <c r="Z35" s="505">
        <v>0</v>
      </c>
      <c r="AA35" s="506"/>
      <c r="AB35" s="506"/>
      <c r="AC35" s="506"/>
      <c r="AD35" s="506"/>
      <c r="AE35" s="506"/>
      <c r="AF35" s="506"/>
      <c r="AG35" s="507"/>
      <c r="AH35" s="507"/>
      <c r="AI35" s="507"/>
      <c r="AJ35" s="507"/>
      <c r="AK35" s="507"/>
      <c r="AL35" s="508"/>
      <c r="AM35" s="508"/>
      <c r="AN35" s="508"/>
      <c r="AO35" s="508"/>
      <c r="AP35" s="508"/>
      <c r="AQ35" s="509"/>
      <c r="AR35" s="509"/>
      <c r="AS35" s="509"/>
      <c r="AT35" s="509"/>
      <c r="AU35" s="509"/>
      <c r="AV35" s="483"/>
      <c r="AW35" s="483"/>
      <c r="AX35" s="483"/>
      <c r="AY35" s="483"/>
      <c r="AZ35" s="483"/>
      <c r="BA35" s="483"/>
      <c r="BB35" s="483"/>
      <c r="BC35" s="483"/>
      <c r="BD35" s="483"/>
      <c r="BE35" s="483"/>
      <c r="BF35" s="483"/>
      <c r="BG35" s="483"/>
      <c r="BH35" s="483"/>
      <c r="BI35" s="483"/>
      <c r="BJ35" s="483"/>
      <c r="BK35" s="483"/>
      <c r="BL35" s="483"/>
      <c r="BM35" s="483"/>
      <c r="BN35" s="483"/>
      <c r="BO35" s="483"/>
      <c r="BP35" s="483"/>
      <c r="GA35" t="s">
        <v>85</v>
      </c>
      <c r="GB35" t="s">
        <v>770</v>
      </c>
      <c r="GC35">
        <v>6</v>
      </c>
      <c r="GD35">
        <v>6</v>
      </c>
      <c r="GE35">
        <v>6</v>
      </c>
      <c r="GF35">
        <v>5</v>
      </c>
      <c r="GG35">
        <v>7</v>
      </c>
      <c r="GH35">
        <v>13</v>
      </c>
      <c r="GI35">
        <v>14</v>
      </c>
      <c r="GJ35">
        <v>12</v>
      </c>
      <c r="GK35">
        <v>19</v>
      </c>
      <c r="GL35">
        <v>14</v>
      </c>
      <c r="GM35">
        <v>11</v>
      </c>
      <c r="GN35">
        <v>7</v>
      </c>
      <c r="GO35">
        <v>10</v>
      </c>
      <c r="GP35">
        <v>6</v>
      </c>
      <c r="GQ35">
        <v>16</v>
      </c>
      <c r="GR35">
        <v>9</v>
      </c>
      <c r="GS35">
        <v>9</v>
      </c>
      <c r="GT35">
        <v>9</v>
      </c>
      <c r="GU35">
        <v>5</v>
      </c>
      <c r="GV35">
        <v>10</v>
      </c>
      <c r="GW35">
        <v>11</v>
      </c>
      <c r="GX35">
        <v>8</v>
      </c>
      <c r="GY35">
        <v>7</v>
      </c>
      <c r="GZ35">
        <v>6</v>
      </c>
      <c r="HA35">
        <v>9</v>
      </c>
      <c r="HB35" t="s">
        <v>770</v>
      </c>
      <c r="HC35">
        <v>9</v>
      </c>
      <c r="HD35">
        <v>16</v>
      </c>
      <c r="HE35">
        <v>17</v>
      </c>
      <c r="HF35">
        <v>24</v>
      </c>
      <c r="HG35">
        <v>10</v>
      </c>
      <c r="HH35">
        <v>6</v>
      </c>
      <c r="HI35">
        <v>6</v>
      </c>
      <c r="HJ35">
        <v>8</v>
      </c>
      <c r="HK35">
        <v>16</v>
      </c>
      <c r="HL35">
        <v>7</v>
      </c>
      <c r="HM35">
        <v>11</v>
      </c>
      <c r="HN35">
        <v>12</v>
      </c>
      <c r="HO35">
        <v>11</v>
      </c>
      <c r="HP35">
        <v>3</v>
      </c>
      <c r="HQ35">
        <v>14</v>
      </c>
      <c r="HR35">
        <v>11</v>
      </c>
      <c r="HS35">
        <v>11</v>
      </c>
      <c r="HT35">
        <v>11</v>
      </c>
      <c r="HU35">
        <v>10</v>
      </c>
      <c r="HV35">
        <v>12</v>
      </c>
      <c r="HW35">
        <v>10</v>
      </c>
      <c r="HX35">
        <v>10</v>
      </c>
      <c r="HY35">
        <v>10</v>
      </c>
      <c r="HZ35">
        <v>18</v>
      </c>
      <c r="IA35">
        <v>10</v>
      </c>
      <c r="IB35" t="s">
        <v>770</v>
      </c>
      <c r="IC35">
        <v>14</v>
      </c>
      <c r="ID35">
        <v>12</v>
      </c>
      <c r="IE35">
        <v>12</v>
      </c>
      <c r="IF35">
        <v>14</v>
      </c>
      <c r="IG35">
        <v>11</v>
      </c>
      <c r="IH35">
        <v>8</v>
      </c>
      <c r="II35">
        <v>6</v>
      </c>
      <c r="IJ35">
        <v>6</v>
      </c>
      <c r="IK35">
        <v>6</v>
      </c>
      <c r="IL35">
        <v>7</v>
      </c>
      <c r="IM35">
        <v>9</v>
      </c>
      <c r="IN35">
        <v>9</v>
      </c>
      <c r="IO35">
        <v>9</v>
      </c>
      <c r="IP35">
        <v>6</v>
      </c>
      <c r="IQ35">
        <v>10</v>
      </c>
      <c r="IR35">
        <v>15</v>
      </c>
      <c r="IS35">
        <v>14</v>
      </c>
      <c r="IT35">
        <v>14</v>
      </c>
      <c r="IU35">
        <v>5</v>
      </c>
      <c r="IV35">
        <v>12</v>
      </c>
      <c r="IW35">
        <v>4</v>
      </c>
      <c r="IX35">
        <v>4</v>
      </c>
      <c r="IY35">
        <v>1</v>
      </c>
      <c r="IZ35">
        <v>9</v>
      </c>
      <c r="JA35">
        <v>4</v>
      </c>
      <c r="JB35" t="s">
        <v>770</v>
      </c>
      <c r="JC35">
        <v>10</v>
      </c>
      <c r="JD35">
        <v>4</v>
      </c>
      <c r="JE35">
        <v>8</v>
      </c>
      <c r="JF35">
        <v>11</v>
      </c>
      <c r="JG35">
        <v>8</v>
      </c>
      <c r="JH35">
        <v>12</v>
      </c>
      <c r="JI35">
        <v>12</v>
      </c>
      <c r="JJ35">
        <v>12</v>
      </c>
      <c r="JK35">
        <v>5</v>
      </c>
      <c r="JL35">
        <v>13</v>
      </c>
      <c r="JM35">
        <v>9</v>
      </c>
      <c r="JN35">
        <v>13</v>
      </c>
      <c r="JO35">
        <v>13</v>
      </c>
      <c r="JP35">
        <v>8</v>
      </c>
      <c r="JQ35">
        <v>14</v>
      </c>
      <c r="JR35">
        <v>14</v>
      </c>
      <c r="JS35">
        <v>14</v>
      </c>
      <c r="JT35">
        <v>12</v>
      </c>
      <c r="JU35">
        <v>11</v>
      </c>
      <c r="JV35">
        <v>13</v>
      </c>
      <c r="JW35">
        <v>11</v>
      </c>
      <c r="JX35">
        <v>13</v>
      </c>
      <c r="JY35">
        <v>11</v>
      </c>
      <c r="JZ35">
        <v>7</v>
      </c>
      <c r="KA35">
        <v>14</v>
      </c>
      <c r="KB35" t="s">
        <v>770</v>
      </c>
      <c r="KC35" t="s">
        <v>85</v>
      </c>
      <c r="KD35" t="s">
        <v>85</v>
      </c>
      <c r="KE35" t="s">
        <v>85</v>
      </c>
      <c r="KF35" t="s">
        <v>85</v>
      </c>
      <c r="KG35" t="s">
        <v>85</v>
      </c>
      <c r="KH35" t="s">
        <v>85</v>
      </c>
      <c r="KI35" t="s">
        <v>85</v>
      </c>
      <c r="KJ35" t="s">
        <v>85</v>
      </c>
      <c r="KK35" t="s">
        <v>85</v>
      </c>
      <c r="KL35" t="s">
        <v>85</v>
      </c>
      <c r="KM35" t="s">
        <v>85</v>
      </c>
      <c r="KN35" t="s">
        <v>85</v>
      </c>
      <c r="KO35" t="s">
        <v>85</v>
      </c>
      <c r="KP35" t="s">
        <v>85</v>
      </c>
      <c r="KQ35" t="s">
        <v>85</v>
      </c>
      <c r="KR35" t="s">
        <v>85</v>
      </c>
      <c r="KS35" t="s">
        <v>85</v>
      </c>
      <c r="KT35" t="s">
        <v>85</v>
      </c>
      <c r="KU35" t="s">
        <v>85</v>
      </c>
      <c r="KV35" t="s">
        <v>85</v>
      </c>
      <c r="KW35" t="s">
        <v>85</v>
      </c>
      <c r="KX35" t="s">
        <v>85</v>
      </c>
      <c r="KY35" t="s">
        <v>85</v>
      </c>
      <c r="KZ35" t="s">
        <v>85</v>
      </c>
      <c r="LA35" t="s">
        <v>85</v>
      </c>
      <c r="LB35" t="s">
        <v>770</v>
      </c>
      <c r="LC35" t="s">
        <v>85</v>
      </c>
      <c r="LD35" t="s">
        <v>85</v>
      </c>
      <c r="LE35" t="s">
        <v>85</v>
      </c>
      <c r="LF35" t="s">
        <v>85</v>
      </c>
      <c r="LG35" t="s">
        <v>85</v>
      </c>
      <c r="LH35" t="s">
        <v>85</v>
      </c>
      <c r="LI35" t="s">
        <v>85</v>
      </c>
      <c r="LJ35" t="s">
        <v>85</v>
      </c>
      <c r="LK35" t="s">
        <v>85</v>
      </c>
      <c r="LL35" t="s">
        <v>85</v>
      </c>
      <c r="LM35" t="s">
        <v>85</v>
      </c>
      <c r="LN35" t="s">
        <v>85</v>
      </c>
      <c r="LO35" t="s">
        <v>85</v>
      </c>
      <c r="LP35" t="s">
        <v>85</v>
      </c>
      <c r="LQ35" t="s">
        <v>85</v>
      </c>
      <c r="LR35" t="s">
        <v>85</v>
      </c>
      <c r="LS35" t="s">
        <v>85</v>
      </c>
      <c r="LT35" t="s">
        <v>85</v>
      </c>
      <c r="LU35" t="s">
        <v>85</v>
      </c>
      <c r="LV35" t="s">
        <v>85</v>
      </c>
      <c r="LW35" t="s">
        <v>85</v>
      </c>
      <c r="LX35" t="s">
        <v>85</v>
      </c>
      <c r="LY35" t="s">
        <v>85</v>
      </c>
      <c r="LZ35" t="s">
        <v>85</v>
      </c>
      <c r="MA35" t="s">
        <v>85</v>
      </c>
      <c r="MB35" t="s">
        <v>770</v>
      </c>
      <c r="MC35" t="s">
        <v>85</v>
      </c>
      <c r="MD35" t="s">
        <v>85</v>
      </c>
      <c r="ME35" t="s">
        <v>85</v>
      </c>
      <c r="MF35" t="s">
        <v>85</v>
      </c>
      <c r="MG35" t="s">
        <v>85</v>
      </c>
      <c r="MH35" t="s">
        <v>85</v>
      </c>
      <c r="MI35" t="s">
        <v>85</v>
      </c>
      <c r="MJ35" t="s">
        <v>85</v>
      </c>
      <c r="MK35" t="s">
        <v>85</v>
      </c>
      <c r="ML35" t="s">
        <v>85</v>
      </c>
      <c r="MM35" t="s">
        <v>85</v>
      </c>
      <c r="MN35" t="s">
        <v>85</v>
      </c>
      <c r="MO35" t="s">
        <v>85</v>
      </c>
      <c r="MP35" t="s">
        <v>85</v>
      </c>
      <c r="MQ35" t="s">
        <v>85</v>
      </c>
      <c r="MR35" t="s">
        <v>85</v>
      </c>
      <c r="MS35" t="s">
        <v>85</v>
      </c>
      <c r="MT35" t="s">
        <v>85</v>
      </c>
      <c r="MU35" t="s">
        <v>85</v>
      </c>
      <c r="MV35" t="s">
        <v>85</v>
      </c>
      <c r="MW35" t="s">
        <v>85</v>
      </c>
      <c r="MX35" t="s">
        <v>85</v>
      </c>
      <c r="MY35" t="s">
        <v>85</v>
      </c>
      <c r="MZ35" t="s">
        <v>85</v>
      </c>
      <c r="NA35" t="s">
        <v>782</v>
      </c>
      <c r="NB35">
        <v>1</v>
      </c>
      <c r="NC35">
        <v>1</v>
      </c>
      <c r="ND35">
        <v>1</v>
      </c>
      <c r="NE35">
        <v>1</v>
      </c>
      <c r="NF35">
        <v>19</v>
      </c>
      <c r="NG35">
        <v>1</v>
      </c>
      <c r="NH35">
        <v>1</v>
      </c>
      <c r="NI35">
        <v>1</v>
      </c>
      <c r="NJ35">
        <v>1</v>
      </c>
      <c r="NK35">
        <v>2</v>
      </c>
      <c r="NL35">
        <v>1</v>
      </c>
      <c r="NM35">
        <v>20</v>
      </c>
      <c r="NN35">
        <v>19</v>
      </c>
      <c r="NO35">
        <v>1</v>
      </c>
      <c r="NP35">
        <v>7</v>
      </c>
      <c r="NQ35">
        <v>8</v>
      </c>
      <c r="NR35">
        <v>24</v>
      </c>
      <c r="NS35">
        <v>24</v>
      </c>
      <c r="NT35">
        <v>1</v>
      </c>
      <c r="NU35">
        <v>1</v>
      </c>
      <c r="NV35">
        <v>8</v>
      </c>
      <c r="NW35">
        <v>8</v>
      </c>
      <c r="NX35">
        <v>1</v>
      </c>
      <c r="NY35">
        <v>1</v>
      </c>
      <c r="NZ35">
        <v>1</v>
      </c>
      <c r="OA35" t="s">
        <v>770</v>
      </c>
      <c r="OB35">
        <v>19</v>
      </c>
      <c r="OC35">
        <v>19</v>
      </c>
      <c r="OD35">
        <v>19</v>
      </c>
      <c r="OE35">
        <v>1</v>
      </c>
      <c r="OF35">
        <v>6</v>
      </c>
      <c r="OG35">
        <v>1</v>
      </c>
      <c r="OH35">
        <v>1</v>
      </c>
      <c r="OI35">
        <v>1</v>
      </c>
      <c r="OJ35">
        <v>1</v>
      </c>
      <c r="OK35">
        <v>4</v>
      </c>
      <c r="OL35">
        <v>1</v>
      </c>
      <c r="OM35">
        <v>1</v>
      </c>
      <c r="ON35">
        <v>1</v>
      </c>
      <c r="OO35">
        <v>1</v>
      </c>
      <c r="OP35">
        <v>2</v>
      </c>
      <c r="OQ35" t="s">
        <v>85</v>
      </c>
      <c r="OR35" t="s">
        <v>85</v>
      </c>
      <c r="OS35" t="s">
        <v>85</v>
      </c>
      <c r="OT35" t="s">
        <v>85</v>
      </c>
      <c r="OU35" t="s">
        <v>85</v>
      </c>
      <c r="OV35" t="s">
        <v>85</v>
      </c>
      <c r="OW35" t="s">
        <v>85</v>
      </c>
      <c r="OX35" t="s">
        <v>85</v>
      </c>
      <c r="OY35" t="s">
        <v>85</v>
      </c>
      <c r="OZ35" t="s">
        <v>85</v>
      </c>
      <c r="PA35" t="s">
        <v>770</v>
      </c>
      <c r="PB35">
        <v>7</v>
      </c>
      <c r="PC35">
        <v>7</v>
      </c>
      <c r="PD35">
        <v>7</v>
      </c>
      <c r="PE35">
        <v>1</v>
      </c>
      <c r="PF35">
        <v>7</v>
      </c>
      <c r="PG35">
        <v>18</v>
      </c>
      <c r="PH35">
        <v>18</v>
      </c>
      <c r="PI35">
        <v>18</v>
      </c>
      <c r="PJ35">
        <v>1</v>
      </c>
      <c r="PK35">
        <v>19</v>
      </c>
      <c r="PL35">
        <v>17</v>
      </c>
      <c r="PM35">
        <v>17</v>
      </c>
      <c r="PN35">
        <v>17</v>
      </c>
      <c r="PO35">
        <v>1</v>
      </c>
      <c r="PP35">
        <v>19</v>
      </c>
      <c r="PQ35">
        <v>12</v>
      </c>
      <c r="PR35">
        <v>12</v>
      </c>
      <c r="PS35">
        <v>15</v>
      </c>
      <c r="PT35">
        <v>1</v>
      </c>
      <c r="PU35">
        <v>15</v>
      </c>
      <c r="PV35">
        <v>12</v>
      </c>
      <c r="PW35">
        <v>12</v>
      </c>
      <c r="PX35">
        <v>12</v>
      </c>
      <c r="PY35">
        <v>1</v>
      </c>
      <c r="PZ35">
        <v>13</v>
      </c>
      <c r="QA35" t="s">
        <v>770</v>
      </c>
      <c r="QB35" t="s">
        <v>85</v>
      </c>
      <c r="QC35" t="s">
        <v>85</v>
      </c>
      <c r="QD35" t="s">
        <v>85</v>
      </c>
      <c r="QE35" t="s">
        <v>85</v>
      </c>
      <c r="QF35">
        <v>1</v>
      </c>
      <c r="QG35">
        <v>1</v>
      </c>
      <c r="QH35">
        <v>1</v>
      </c>
      <c r="QI35">
        <v>1</v>
      </c>
      <c r="QJ35">
        <v>1</v>
      </c>
      <c r="QK35">
        <v>1</v>
      </c>
      <c r="QL35" t="s">
        <v>85</v>
      </c>
      <c r="QM35" t="s">
        <v>85</v>
      </c>
      <c r="QN35" t="s">
        <v>85</v>
      </c>
      <c r="QO35" t="s">
        <v>85</v>
      </c>
      <c r="QP35" t="s">
        <v>85</v>
      </c>
      <c r="QQ35" t="s">
        <v>85</v>
      </c>
      <c r="QR35" t="s">
        <v>85</v>
      </c>
      <c r="QS35" t="s">
        <v>85</v>
      </c>
      <c r="QT35" t="s">
        <v>85</v>
      </c>
      <c r="QU35" t="s">
        <v>85</v>
      </c>
      <c r="QV35" t="s">
        <v>85</v>
      </c>
      <c r="QW35" t="s">
        <v>85</v>
      </c>
      <c r="QX35" t="s">
        <v>85</v>
      </c>
      <c r="QY35" t="s">
        <v>85</v>
      </c>
      <c r="QZ35" t="s">
        <v>85</v>
      </c>
      <c r="RA35" t="s">
        <v>770</v>
      </c>
      <c r="RB35">
        <v>13</v>
      </c>
      <c r="RC35">
        <v>13</v>
      </c>
      <c r="RD35">
        <v>13</v>
      </c>
      <c r="RE35">
        <v>1</v>
      </c>
      <c r="RF35">
        <v>13</v>
      </c>
      <c r="RG35">
        <v>18</v>
      </c>
      <c r="RH35">
        <v>18</v>
      </c>
      <c r="RI35">
        <v>18</v>
      </c>
      <c r="RJ35">
        <v>1</v>
      </c>
      <c r="RK35">
        <v>19</v>
      </c>
      <c r="RL35">
        <v>18</v>
      </c>
      <c r="RM35">
        <v>18</v>
      </c>
      <c r="RN35">
        <v>18</v>
      </c>
      <c r="RO35">
        <v>1</v>
      </c>
      <c r="RP35">
        <v>19</v>
      </c>
      <c r="RQ35">
        <v>1</v>
      </c>
      <c r="RR35">
        <v>1</v>
      </c>
      <c r="RS35">
        <v>1</v>
      </c>
      <c r="RT35">
        <v>1</v>
      </c>
      <c r="RU35">
        <v>1</v>
      </c>
      <c r="RV35">
        <v>1</v>
      </c>
      <c r="RW35">
        <v>1</v>
      </c>
      <c r="RX35">
        <v>1</v>
      </c>
      <c r="RY35">
        <v>1</v>
      </c>
      <c r="RZ35">
        <v>1</v>
      </c>
      <c r="SA35" t="s">
        <v>770</v>
      </c>
      <c r="SB35">
        <v>1</v>
      </c>
      <c r="SC35">
        <v>1</v>
      </c>
      <c r="SD35">
        <v>1</v>
      </c>
      <c r="SE35">
        <v>1</v>
      </c>
      <c r="SF35">
        <v>1</v>
      </c>
      <c r="SG35" t="s">
        <v>85</v>
      </c>
      <c r="SH35" t="s">
        <v>85</v>
      </c>
      <c r="SI35" t="s">
        <v>85</v>
      </c>
      <c r="SJ35" t="s">
        <v>85</v>
      </c>
      <c r="SK35" t="s">
        <v>85</v>
      </c>
      <c r="SL35" t="s">
        <v>85</v>
      </c>
      <c r="SM35" t="s">
        <v>85</v>
      </c>
      <c r="SN35" t="s">
        <v>85</v>
      </c>
      <c r="SO35" t="s">
        <v>85</v>
      </c>
      <c r="SP35" t="s">
        <v>85</v>
      </c>
      <c r="SQ35" t="s">
        <v>85</v>
      </c>
      <c r="SR35" t="s">
        <v>85</v>
      </c>
      <c r="SS35" t="s">
        <v>85</v>
      </c>
      <c r="ST35" t="s">
        <v>85</v>
      </c>
      <c r="SU35" t="s">
        <v>85</v>
      </c>
      <c r="SV35" t="s">
        <v>85</v>
      </c>
      <c r="SW35" t="s">
        <v>85</v>
      </c>
      <c r="SX35" t="s">
        <v>85</v>
      </c>
      <c r="SY35" t="s">
        <v>85</v>
      </c>
      <c r="SZ35" t="s">
        <v>85</v>
      </c>
      <c r="TA35" t="s">
        <v>770</v>
      </c>
      <c r="TB35">
        <v>1</v>
      </c>
      <c r="TC35">
        <v>1</v>
      </c>
      <c r="TD35">
        <v>1</v>
      </c>
      <c r="TE35">
        <v>1</v>
      </c>
      <c r="TF35">
        <v>1</v>
      </c>
      <c r="TG35">
        <v>1</v>
      </c>
      <c r="TH35">
        <v>1</v>
      </c>
      <c r="TI35">
        <v>1</v>
      </c>
      <c r="TJ35">
        <v>1</v>
      </c>
      <c r="TK35">
        <v>1</v>
      </c>
      <c r="TL35">
        <v>1</v>
      </c>
      <c r="TM35">
        <v>1</v>
      </c>
      <c r="TN35">
        <v>1</v>
      </c>
      <c r="TO35">
        <v>1</v>
      </c>
      <c r="TP35">
        <v>1</v>
      </c>
      <c r="TQ35">
        <v>15</v>
      </c>
      <c r="TR35">
        <v>16</v>
      </c>
      <c r="TS35">
        <v>15</v>
      </c>
      <c r="TT35">
        <v>1</v>
      </c>
      <c r="TU35">
        <v>14</v>
      </c>
      <c r="TV35">
        <v>6</v>
      </c>
      <c r="TW35">
        <v>6</v>
      </c>
      <c r="TX35">
        <v>6</v>
      </c>
      <c r="TY35">
        <v>1</v>
      </c>
      <c r="TZ35">
        <v>7</v>
      </c>
      <c r="UA35" t="s">
        <v>770</v>
      </c>
      <c r="UB35">
        <v>12</v>
      </c>
      <c r="UC35">
        <v>12</v>
      </c>
      <c r="UD35">
        <v>12</v>
      </c>
      <c r="UE35">
        <v>1</v>
      </c>
      <c r="UF35">
        <v>13</v>
      </c>
      <c r="UG35" t="s">
        <v>85</v>
      </c>
      <c r="UH35" t="s">
        <v>85</v>
      </c>
      <c r="UI35" t="s">
        <v>85</v>
      </c>
      <c r="UJ35" t="s">
        <v>85</v>
      </c>
      <c r="UK35" t="s">
        <v>85</v>
      </c>
      <c r="UL35" t="s">
        <v>85</v>
      </c>
      <c r="UM35" t="s">
        <v>85</v>
      </c>
      <c r="UN35" t="s">
        <v>85</v>
      </c>
      <c r="UO35" t="s">
        <v>85</v>
      </c>
      <c r="UP35" t="s">
        <v>85</v>
      </c>
      <c r="UQ35" t="s">
        <v>85</v>
      </c>
      <c r="UR35" t="s">
        <v>85</v>
      </c>
      <c r="US35" t="s">
        <v>85</v>
      </c>
      <c r="UT35" t="s">
        <v>85</v>
      </c>
      <c r="UU35" t="s">
        <v>85</v>
      </c>
      <c r="UV35" t="s">
        <v>85</v>
      </c>
      <c r="UW35" t="s">
        <v>85</v>
      </c>
      <c r="UX35" t="s">
        <v>85</v>
      </c>
      <c r="UY35" t="s">
        <v>85</v>
      </c>
      <c r="UZ35" t="s">
        <v>85</v>
      </c>
      <c r="VX35" t="s">
        <v>770</v>
      </c>
      <c r="VY35">
        <v>1</v>
      </c>
      <c r="VZ35">
        <v>1</v>
      </c>
      <c r="WA35">
        <v>1</v>
      </c>
      <c r="WB35">
        <v>1</v>
      </c>
      <c r="WC35">
        <v>19</v>
      </c>
      <c r="WD35">
        <v>1</v>
      </c>
      <c r="WE35">
        <v>1</v>
      </c>
      <c r="WF35">
        <v>1</v>
      </c>
      <c r="WG35">
        <v>1</v>
      </c>
      <c r="WH35">
        <v>2</v>
      </c>
      <c r="WI35">
        <v>1</v>
      </c>
      <c r="WJ35">
        <v>20</v>
      </c>
      <c r="WK35">
        <v>19</v>
      </c>
      <c r="WL35">
        <v>1</v>
      </c>
      <c r="WM35">
        <v>7</v>
      </c>
      <c r="WN35">
        <v>8</v>
      </c>
      <c r="WO35">
        <v>24</v>
      </c>
      <c r="WP35">
        <v>24</v>
      </c>
      <c r="WQ35">
        <v>1</v>
      </c>
      <c r="WR35">
        <v>1</v>
      </c>
      <c r="WS35">
        <v>8</v>
      </c>
      <c r="WT35">
        <v>8</v>
      </c>
      <c r="WU35">
        <v>1</v>
      </c>
      <c r="WV35">
        <v>1</v>
      </c>
      <c r="WW35">
        <v>1</v>
      </c>
      <c r="WX35" t="s">
        <v>770</v>
      </c>
      <c r="WY35">
        <v>19</v>
      </c>
      <c r="WZ35">
        <v>19</v>
      </c>
      <c r="XA35">
        <v>19</v>
      </c>
      <c r="XB35">
        <v>1</v>
      </c>
      <c r="XC35">
        <v>6</v>
      </c>
      <c r="XD35">
        <v>1</v>
      </c>
      <c r="XE35">
        <v>1</v>
      </c>
      <c r="XF35">
        <v>1</v>
      </c>
      <c r="XG35">
        <v>1</v>
      </c>
      <c r="XH35">
        <v>4</v>
      </c>
      <c r="XI35">
        <v>1</v>
      </c>
      <c r="XJ35">
        <v>1</v>
      </c>
      <c r="XK35">
        <v>1</v>
      </c>
      <c r="XL35">
        <v>1</v>
      </c>
      <c r="XM35">
        <v>2</v>
      </c>
      <c r="XN35" t="s">
        <v>85</v>
      </c>
      <c r="XO35" t="s">
        <v>85</v>
      </c>
      <c r="XP35" t="s">
        <v>85</v>
      </c>
      <c r="XQ35" t="s">
        <v>85</v>
      </c>
      <c r="XR35" t="s">
        <v>85</v>
      </c>
      <c r="XS35" t="s">
        <v>85</v>
      </c>
      <c r="XT35" t="s">
        <v>85</v>
      </c>
      <c r="XU35" t="s">
        <v>85</v>
      </c>
      <c r="XV35" t="s">
        <v>85</v>
      </c>
      <c r="XW35" t="s">
        <v>85</v>
      </c>
      <c r="XX35" t="s">
        <v>770</v>
      </c>
      <c r="XY35">
        <v>7</v>
      </c>
      <c r="XZ35">
        <v>7</v>
      </c>
      <c r="YA35">
        <v>7</v>
      </c>
      <c r="YB35">
        <v>1</v>
      </c>
      <c r="YC35">
        <v>7</v>
      </c>
      <c r="YD35">
        <v>18</v>
      </c>
      <c r="YE35">
        <v>18</v>
      </c>
      <c r="YF35">
        <v>18</v>
      </c>
      <c r="YG35">
        <v>1</v>
      </c>
      <c r="YH35">
        <v>19</v>
      </c>
      <c r="YI35">
        <v>17</v>
      </c>
      <c r="YJ35">
        <v>17</v>
      </c>
      <c r="YK35">
        <v>17</v>
      </c>
      <c r="YL35">
        <v>1</v>
      </c>
      <c r="YM35">
        <v>19</v>
      </c>
      <c r="YN35">
        <v>12</v>
      </c>
      <c r="YO35">
        <v>12</v>
      </c>
      <c r="YP35">
        <v>15</v>
      </c>
      <c r="YQ35">
        <v>1</v>
      </c>
      <c r="YR35">
        <v>15</v>
      </c>
      <c r="YS35">
        <v>12</v>
      </c>
      <c r="YT35">
        <v>12</v>
      </c>
      <c r="YU35">
        <v>12</v>
      </c>
      <c r="YV35">
        <v>1</v>
      </c>
      <c r="YW35">
        <v>13</v>
      </c>
      <c r="YX35" t="s">
        <v>770</v>
      </c>
      <c r="YY35" t="s">
        <v>85</v>
      </c>
      <c r="YZ35" t="s">
        <v>85</v>
      </c>
      <c r="ZA35" t="s">
        <v>85</v>
      </c>
      <c r="ZB35" t="s">
        <v>85</v>
      </c>
      <c r="ZC35">
        <v>1</v>
      </c>
      <c r="ZD35">
        <v>1</v>
      </c>
      <c r="ZE35">
        <v>1</v>
      </c>
      <c r="ZF35">
        <v>1</v>
      </c>
      <c r="ZG35">
        <v>1</v>
      </c>
      <c r="ZH35">
        <v>1</v>
      </c>
      <c r="ZI35" t="s">
        <v>85</v>
      </c>
      <c r="ZJ35" t="s">
        <v>85</v>
      </c>
      <c r="ZK35" t="s">
        <v>85</v>
      </c>
      <c r="ZL35" t="s">
        <v>85</v>
      </c>
      <c r="ZM35" t="s">
        <v>85</v>
      </c>
      <c r="ZN35" t="s">
        <v>85</v>
      </c>
      <c r="ZO35" t="s">
        <v>85</v>
      </c>
      <c r="ZP35" t="s">
        <v>85</v>
      </c>
      <c r="ZQ35" t="s">
        <v>85</v>
      </c>
      <c r="ZR35" t="s">
        <v>85</v>
      </c>
      <c r="ZS35" t="s">
        <v>85</v>
      </c>
      <c r="ZT35" t="s">
        <v>85</v>
      </c>
      <c r="ZU35" t="s">
        <v>85</v>
      </c>
      <c r="ZV35" t="s">
        <v>85</v>
      </c>
      <c r="ZW35" t="s">
        <v>85</v>
      </c>
      <c r="ZX35" t="s">
        <v>770</v>
      </c>
      <c r="ZY35" t="s">
        <v>770</v>
      </c>
      <c r="ZZ35" t="s">
        <v>782</v>
      </c>
      <c r="AAA35">
        <v>12</v>
      </c>
      <c r="AAB35">
        <v>12</v>
      </c>
      <c r="AAC35">
        <v>12</v>
      </c>
      <c r="AAD35">
        <v>1</v>
      </c>
      <c r="AAE35">
        <v>13</v>
      </c>
      <c r="AAF35" t="s">
        <v>85</v>
      </c>
      <c r="AAG35" t="s">
        <v>85</v>
      </c>
      <c r="AAH35" t="s">
        <v>85</v>
      </c>
      <c r="AAI35" t="s">
        <v>85</v>
      </c>
      <c r="AAJ35" t="s">
        <v>85</v>
      </c>
      <c r="AAK35" t="s">
        <v>85</v>
      </c>
      <c r="AAL35" t="s">
        <v>85</v>
      </c>
      <c r="AAM35" t="s">
        <v>85</v>
      </c>
      <c r="AAN35" t="s">
        <v>85</v>
      </c>
      <c r="AAO35" t="s">
        <v>85</v>
      </c>
      <c r="AAP35" t="s">
        <v>85</v>
      </c>
      <c r="AAQ35" t="s">
        <v>85</v>
      </c>
      <c r="AAR35" t="s">
        <v>85</v>
      </c>
      <c r="AAS35" t="s">
        <v>85</v>
      </c>
      <c r="AAT35" t="s">
        <v>85</v>
      </c>
      <c r="AAU35" t="s">
        <v>85</v>
      </c>
      <c r="AAV35" t="s">
        <v>85</v>
      </c>
      <c r="AAW35" t="s">
        <v>85</v>
      </c>
      <c r="AAX35" t="s">
        <v>85</v>
      </c>
      <c r="AAY35" t="s">
        <v>85</v>
      </c>
    </row>
    <row r="36" spans="1:727">
      <c r="A36" s="483" t="s">
        <v>782</v>
      </c>
      <c r="B36" s="503">
        <v>1</v>
      </c>
      <c r="C36" s="503">
        <v>1</v>
      </c>
      <c r="D36" s="503">
        <v>1</v>
      </c>
      <c r="E36" s="503">
        <v>3</v>
      </c>
      <c r="F36" s="503">
        <v>8</v>
      </c>
      <c r="G36" s="593">
        <v>2</v>
      </c>
      <c r="H36" s="593">
        <v>24</v>
      </c>
      <c r="I36" s="593">
        <v>24</v>
      </c>
      <c r="J36" s="593">
        <v>1</v>
      </c>
      <c r="K36" s="593">
        <v>23</v>
      </c>
      <c r="L36" s="483">
        <v>2</v>
      </c>
      <c r="M36" s="483">
        <v>2</v>
      </c>
      <c r="N36" s="483">
        <v>2</v>
      </c>
      <c r="O36" s="483">
        <v>1</v>
      </c>
      <c r="P36" s="483">
        <v>10</v>
      </c>
      <c r="Q36" s="483">
        <v>2</v>
      </c>
      <c r="R36" s="483">
        <v>2</v>
      </c>
      <c r="S36" s="483">
        <v>1</v>
      </c>
      <c r="T36" s="483">
        <v>1</v>
      </c>
      <c r="U36" s="483">
        <v>21</v>
      </c>
      <c r="V36" s="483">
        <v>2</v>
      </c>
      <c r="W36" s="483">
        <v>2</v>
      </c>
      <c r="X36" s="483">
        <v>10</v>
      </c>
      <c r="Y36" s="483">
        <v>1</v>
      </c>
      <c r="Z36" s="483">
        <v>1</v>
      </c>
      <c r="AA36" s="483"/>
      <c r="AB36" s="483"/>
      <c r="AC36" s="483"/>
      <c r="AD36" s="483"/>
      <c r="AE36" s="483"/>
      <c r="AF36" s="483"/>
      <c r="AG36" s="483"/>
      <c r="AH36" s="483"/>
      <c r="AI36" s="483"/>
      <c r="AJ36" s="483"/>
      <c r="AK36" s="483"/>
      <c r="AL36" s="483"/>
      <c r="AM36" s="483"/>
      <c r="AN36" s="483"/>
      <c r="AO36" s="483"/>
      <c r="AP36" s="483"/>
      <c r="AQ36" s="483"/>
      <c r="AR36" s="483"/>
      <c r="AS36" s="483"/>
      <c r="AT36" s="483"/>
      <c r="AU36" s="483"/>
      <c r="AV36" s="483"/>
      <c r="AW36" s="483"/>
      <c r="AX36" s="483"/>
      <c r="AY36" s="483"/>
      <c r="AZ36" s="483"/>
      <c r="BA36" s="483"/>
      <c r="BB36" s="483"/>
      <c r="BC36" s="483"/>
      <c r="BD36" s="483"/>
      <c r="BE36" s="483"/>
      <c r="BF36" s="483"/>
      <c r="BG36" s="483"/>
      <c r="BH36" s="483"/>
      <c r="BI36" s="483"/>
      <c r="BJ36" s="483"/>
      <c r="BK36" s="483"/>
      <c r="BL36" s="483"/>
      <c r="BM36" s="483"/>
      <c r="BN36" s="483"/>
      <c r="BO36" s="483"/>
      <c r="BP36" s="483"/>
    </row>
  </sheetData>
  <phoneticPr fontId="1"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變電所別!$A$2:$A$41</xm:f>
          </x14:formula1>
          <xm:sqref>A2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2"/>
  <dimension ref="A1:X32"/>
  <sheetViews>
    <sheetView workbookViewId="0">
      <selection activeCell="E18" sqref="E18"/>
    </sheetView>
  </sheetViews>
  <sheetFormatPr defaultRowHeight="16.5"/>
  <cols>
    <col min="1" max="1" width="12.5" customWidth="1"/>
    <col min="2" max="2" width="11.625" customWidth="1"/>
    <col min="3" max="3" width="8.875" customWidth="1"/>
  </cols>
  <sheetData>
    <row r="1" spans="1:24">
      <c r="A1" s="634" t="s">
        <v>3154</v>
      </c>
      <c r="B1" s="634" t="s">
        <v>87</v>
      </c>
    </row>
    <row r="2" spans="1:24">
      <c r="A2" s="634" t="s">
        <v>3</v>
      </c>
      <c r="B2" s="635">
        <v>44501</v>
      </c>
    </row>
    <row r="4" spans="1:24">
      <c r="A4" t="s">
        <v>771</v>
      </c>
      <c r="B4" t="s">
        <v>4932</v>
      </c>
      <c r="C4" t="s">
        <v>9416</v>
      </c>
      <c r="D4" t="s">
        <v>9417</v>
      </c>
      <c r="E4" t="s">
        <v>9418</v>
      </c>
      <c r="F4" t="s">
        <v>9419</v>
      </c>
      <c r="G4" t="s">
        <v>9420</v>
      </c>
    </row>
    <row r="5" spans="1:24">
      <c r="A5" t="s">
        <v>352</v>
      </c>
      <c r="B5" t="s">
        <v>4788</v>
      </c>
      <c r="C5" t="s">
        <v>353</v>
      </c>
      <c r="D5" t="s">
        <v>352</v>
      </c>
      <c r="E5" t="s">
        <v>4788</v>
      </c>
      <c r="F5" t="s">
        <v>353</v>
      </c>
      <c r="G5" t="s">
        <v>354</v>
      </c>
      <c r="H5" t="s">
        <v>352</v>
      </c>
      <c r="I5" t="s">
        <v>4788</v>
      </c>
      <c r="J5" t="s">
        <v>353</v>
      </c>
      <c r="K5" t="s">
        <v>354</v>
      </c>
      <c r="L5" t="s">
        <v>352</v>
      </c>
      <c r="M5" t="s">
        <v>4788</v>
      </c>
      <c r="N5" t="s">
        <v>353</v>
      </c>
      <c r="O5" t="s">
        <v>354</v>
      </c>
      <c r="P5" t="s">
        <v>352</v>
      </c>
      <c r="Q5" t="s">
        <v>4788</v>
      </c>
      <c r="R5" t="s">
        <v>353</v>
      </c>
      <c r="S5" t="s">
        <v>354</v>
      </c>
      <c r="T5" t="s">
        <v>352</v>
      </c>
      <c r="U5" t="s">
        <v>4788</v>
      </c>
      <c r="V5" t="s">
        <v>353</v>
      </c>
      <c r="W5" t="s">
        <v>354</v>
      </c>
    </row>
    <row r="6" spans="1:24">
      <c r="A6">
        <v>1</v>
      </c>
      <c r="B6">
        <v>562</v>
      </c>
      <c r="C6">
        <v>552</v>
      </c>
      <c r="D6">
        <v>556</v>
      </c>
      <c r="E6">
        <v>0</v>
      </c>
      <c r="F6">
        <v>-1</v>
      </c>
      <c r="G6">
        <v>-1</v>
      </c>
      <c r="H6">
        <v>-1</v>
      </c>
      <c r="I6">
        <v>154</v>
      </c>
      <c r="J6">
        <v>152</v>
      </c>
      <c r="K6">
        <v>149</v>
      </c>
      <c r="L6">
        <v>0</v>
      </c>
      <c r="M6">
        <v>118</v>
      </c>
      <c r="N6">
        <v>116</v>
      </c>
      <c r="O6">
        <v>116</v>
      </c>
      <c r="P6">
        <v>0</v>
      </c>
      <c r="Q6">
        <v>79</v>
      </c>
      <c r="R6">
        <v>77</v>
      </c>
      <c r="S6">
        <v>77</v>
      </c>
      <c r="T6">
        <v>0</v>
      </c>
      <c r="U6">
        <v>42</v>
      </c>
      <c r="V6">
        <v>41</v>
      </c>
      <c r="W6">
        <v>41</v>
      </c>
      <c r="X6">
        <v>1</v>
      </c>
    </row>
    <row r="7" spans="1:24">
      <c r="A7">
        <v>2</v>
      </c>
      <c r="B7">
        <v>236</v>
      </c>
      <c r="C7">
        <v>220</v>
      </c>
      <c r="D7">
        <v>232</v>
      </c>
      <c r="E7">
        <v>-1</v>
      </c>
      <c r="F7">
        <v>-1</v>
      </c>
      <c r="G7">
        <v>-1</v>
      </c>
      <c r="H7">
        <v>-1</v>
      </c>
      <c r="I7">
        <v>39</v>
      </c>
      <c r="J7">
        <v>36</v>
      </c>
      <c r="K7">
        <v>40</v>
      </c>
      <c r="L7">
        <v>0</v>
      </c>
      <c r="M7">
        <v>40</v>
      </c>
      <c r="N7">
        <v>37</v>
      </c>
      <c r="O7">
        <v>39</v>
      </c>
      <c r="P7">
        <v>0</v>
      </c>
      <c r="Q7">
        <v>41</v>
      </c>
      <c r="R7">
        <v>39</v>
      </c>
      <c r="S7">
        <v>40</v>
      </c>
      <c r="T7">
        <v>0</v>
      </c>
      <c r="U7">
        <v>39</v>
      </c>
      <c r="V7">
        <v>37</v>
      </c>
      <c r="W7">
        <v>39</v>
      </c>
      <c r="X7">
        <v>1</v>
      </c>
    </row>
    <row r="8" spans="1:24">
      <c r="A8">
        <v>3</v>
      </c>
      <c r="B8">
        <v>46</v>
      </c>
      <c r="C8">
        <v>49</v>
      </c>
      <c r="D8">
        <v>47</v>
      </c>
      <c r="E8">
        <v>-1</v>
      </c>
      <c r="F8">
        <v>0</v>
      </c>
      <c r="G8">
        <v>0</v>
      </c>
      <c r="H8">
        <v>-1</v>
      </c>
      <c r="I8">
        <v>7</v>
      </c>
      <c r="J8">
        <v>8</v>
      </c>
      <c r="K8">
        <v>8</v>
      </c>
      <c r="L8">
        <v>0</v>
      </c>
      <c r="M8">
        <v>8</v>
      </c>
      <c r="N8">
        <v>8</v>
      </c>
      <c r="O8">
        <v>8</v>
      </c>
      <c r="P8">
        <v>0</v>
      </c>
      <c r="Q8">
        <v>5</v>
      </c>
      <c r="R8">
        <v>5</v>
      </c>
      <c r="S8">
        <v>5</v>
      </c>
      <c r="T8">
        <v>0</v>
      </c>
      <c r="U8">
        <v>6</v>
      </c>
      <c r="V8">
        <v>7</v>
      </c>
      <c r="W8">
        <v>7</v>
      </c>
      <c r="X8">
        <v>1</v>
      </c>
    </row>
    <row r="9" spans="1:24">
      <c r="A9">
        <v>4</v>
      </c>
      <c r="B9">
        <v>41</v>
      </c>
      <c r="C9">
        <v>41</v>
      </c>
      <c r="D9">
        <v>39</v>
      </c>
      <c r="E9">
        <v>-1</v>
      </c>
      <c r="F9">
        <v>-1</v>
      </c>
      <c r="G9">
        <v>-1</v>
      </c>
      <c r="H9">
        <v>-1</v>
      </c>
      <c r="I9">
        <v>5</v>
      </c>
      <c r="J9">
        <v>5</v>
      </c>
      <c r="K9">
        <v>6</v>
      </c>
      <c r="L9">
        <v>0</v>
      </c>
      <c r="M9">
        <v>8</v>
      </c>
      <c r="N9">
        <v>8</v>
      </c>
      <c r="O9">
        <v>8</v>
      </c>
      <c r="P9">
        <v>0</v>
      </c>
      <c r="Q9">
        <v>5</v>
      </c>
      <c r="R9">
        <v>4</v>
      </c>
      <c r="S9">
        <v>4</v>
      </c>
      <c r="T9">
        <v>0</v>
      </c>
      <c r="U9">
        <v>6</v>
      </c>
      <c r="V9">
        <v>6</v>
      </c>
      <c r="W9">
        <v>6</v>
      </c>
      <c r="X9">
        <v>1</v>
      </c>
    </row>
    <row r="10" spans="1:24">
      <c r="A10">
        <v>5</v>
      </c>
      <c r="B10">
        <v>213</v>
      </c>
      <c r="C10">
        <v>209</v>
      </c>
      <c r="D10">
        <v>214</v>
      </c>
      <c r="E10">
        <v>0</v>
      </c>
      <c r="F10">
        <v>0</v>
      </c>
      <c r="G10">
        <v>-1</v>
      </c>
      <c r="H10">
        <v>-1</v>
      </c>
      <c r="I10">
        <v>29</v>
      </c>
      <c r="J10">
        <v>29</v>
      </c>
      <c r="K10">
        <v>30</v>
      </c>
      <c r="L10">
        <v>0</v>
      </c>
      <c r="M10">
        <v>36</v>
      </c>
      <c r="N10">
        <v>35</v>
      </c>
      <c r="O10">
        <v>36</v>
      </c>
      <c r="P10">
        <v>0</v>
      </c>
      <c r="Q10">
        <v>24</v>
      </c>
      <c r="R10">
        <v>23</v>
      </c>
      <c r="S10">
        <v>24</v>
      </c>
      <c r="T10">
        <v>0</v>
      </c>
      <c r="U10">
        <v>29</v>
      </c>
      <c r="V10">
        <v>29</v>
      </c>
      <c r="W10">
        <v>30</v>
      </c>
      <c r="X10">
        <v>1</v>
      </c>
    </row>
    <row r="11" spans="1:24">
      <c r="A11">
        <v>6</v>
      </c>
      <c r="B11">
        <v>109</v>
      </c>
      <c r="C11">
        <v>109</v>
      </c>
      <c r="D11">
        <v>112</v>
      </c>
      <c r="E11">
        <v>0</v>
      </c>
      <c r="F11">
        <v>0</v>
      </c>
      <c r="G11">
        <v>-1</v>
      </c>
      <c r="H11">
        <v>-1</v>
      </c>
      <c r="I11">
        <v>22</v>
      </c>
      <c r="J11">
        <v>22</v>
      </c>
      <c r="K11">
        <v>23</v>
      </c>
      <c r="L11">
        <v>0</v>
      </c>
      <c r="M11">
        <v>22</v>
      </c>
      <c r="N11">
        <v>22</v>
      </c>
      <c r="O11">
        <v>23</v>
      </c>
      <c r="P11">
        <v>0</v>
      </c>
      <c r="Q11">
        <v>18</v>
      </c>
      <c r="R11">
        <v>18</v>
      </c>
      <c r="S11">
        <v>18</v>
      </c>
      <c r="T11">
        <v>0</v>
      </c>
      <c r="U11">
        <v>16</v>
      </c>
      <c r="V11">
        <v>16</v>
      </c>
      <c r="W11">
        <v>16</v>
      </c>
      <c r="X11">
        <v>1</v>
      </c>
    </row>
    <row r="12" spans="1:24">
      <c r="A12">
        <v>7</v>
      </c>
      <c r="B12">
        <v>57</v>
      </c>
      <c r="C12">
        <v>59</v>
      </c>
      <c r="D12">
        <v>58</v>
      </c>
      <c r="E12">
        <v>-1</v>
      </c>
      <c r="F12">
        <v>-1</v>
      </c>
      <c r="G12">
        <v>-1</v>
      </c>
      <c r="H12">
        <v>-1</v>
      </c>
      <c r="I12">
        <v>14</v>
      </c>
      <c r="J12">
        <v>14</v>
      </c>
      <c r="K12">
        <v>16</v>
      </c>
      <c r="L12">
        <v>0</v>
      </c>
      <c r="M12">
        <v>17</v>
      </c>
      <c r="N12">
        <v>16</v>
      </c>
      <c r="O12">
        <v>17</v>
      </c>
      <c r="P12">
        <v>0</v>
      </c>
      <c r="Q12">
        <v>5</v>
      </c>
      <c r="R12">
        <v>5</v>
      </c>
      <c r="S12">
        <v>5</v>
      </c>
      <c r="T12">
        <v>0</v>
      </c>
      <c r="U12">
        <v>7</v>
      </c>
      <c r="V12">
        <v>7</v>
      </c>
      <c r="W12">
        <v>7</v>
      </c>
      <c r="X12">
        <v>1</v>
      </c>
    </row>
    <row r="13" spans="1:24">
      <c r="A13">
        <v>8</v>
      </c>
      <c r="B13">
        <v>41</v>
      </c>
      <c r="C13">
        <v>42</v>
      </c>
      <c r="D13">
        <v>39</v>
      </c>
      <c r="E13">
        <v>-1</v>
      </c>
      <c r="F13">
        <v>-1</v>
      </c>
      <c r="G13">
        <v>0</v>
      </c>
      <c r="H13">
        <v>0</v>
      </c>
      <c r="I13">
        <v>5</v>
      </c>
      <c r="J13">
        <v>6</v>
      </c>
      <c r="K13">
        <v>6</v>
      </c>
      <c r="L13">
        <v>0</v>
      </c>
      <c r="M13">
        <v>8</v>
      </c>
      <c r="N13">
        <v>8</v>
      </c>
      <c r="O13">
        <v>7</v>
      </c>
      <c r="P13">
        <v>0</v>
      </c>
      <c r="Q13">
        <v>5</v>
      </c>
      <c r="R13">
        <v>4</v>
      </c>
      <c r="S13">
        <v>4</v>
      </c>
      <c r="T13">
        <v>0</v>
      </c>
      <c r="U13">
        <v>6</v>
      </c>
      <c r="V13">
        <v>6</v>
      </c>
      <c r="W13">
        <v>6</v>
      </c>
      <c r="X13">
        <v>1</v>
      </c>
    </row>
    <row r="14" spans="1:24">
      <c r="A14">
        <v>9</v>
      </c>
      <c r="B14">
        <v>254</v>
      </c>
      <c r="C14">
        <v>254</v>
      </c>
      <c r="D14">
        <v>254</v>
      </c>
      <c r="E14">
        <v>0</v>
      </c>
      <c r="F14">
        <v>0</v>
      </c>
      <c r="G14">
        <v>-1</v>
      </c>
      <c r="H14">
        <v>-1</v>
      </c>
      <c r="I14">
        <v>38</v>
      </c>
      <c r="J14">
        <v>38</v>
      </c>
      <c r="K14">
        <v>39</v>
      </c>
      <c r="L14">
        <v>0</v>
      </c>
      <c r="M14">
        <v>40</v>
      </c>
      <c r="N14">
        <v>40</v>
      </c>
      <c r="O14">
        <v>40</v>
      </c>
      <c r="P14">
        <v>0</v>
      </c>
      <c r="Q14">
        <v>38</v>
      </c>
      <c r="R14">
        <v>38</v>
      </c>
      <c r="S14">
        <v>38</v>
      </c>
      <c r="T14">
        <v>0</v>
      </c>
      <c r="U14">
        <v>45</v>
      </c>
      <c r="V14">
        <v>45</v>
      </c>
      <c r="W14">
        <v>45</v>
      </c>
      <c r="X14">
        <v>1</v>
      </c>
    </row>
    <row r="15" spans="1:24">
      <c r="A15">
        <v>10</v>
      </c>
      <c r="B15">
        <v>310</v>
      </c>
      <c r="C15">
        <v>310</v>
      </c>
      <c r="D15">
        <v>309</v>
      </c>
      <c r="E15">
        <v>-1</v>
      </c>
      <c r="F15">
        <v>-1</v>
      </c>
      <c r="G15">
        <v>-1</v>
      </c>
      <c r="H15">
        <v>0</v>
      </c>
      <c r="I15">
        <v>62</v>
      </c>
      <c r="J15">
        <v>62</v>
      </c>
      <c r="K15">
        <v>59</v>
      </c>
      <c r="L15">
        <v>0</v>
      </c>
      <c r="M15">
        <v>54</v>
      </c>
      <c r="N15">
        <v>54</v>
      </c>
      <c r="O15">
        <v>54</v>
      </c>
      <c r="P15">
        <v>0</v>
      </c>
      <c r="Q15">
        <v>53</v>
      </c>
      <c r="R15">
        <v>52</v>
      </c>
      <c r="S15">
        <v>52</v>
      </c>
      <c r="T15">
        <v>0</v>
      </c>
      <c r="U15">
        <v>32</v>
      </c>
      <c r="V15">
        <v>32</v>
      </c>
      <c r="W15">
        <v>32</v>
      </c>
      <c r="X15">
        <v>1</v>
      </c>
    </row>
    <row r="16" spans="1:24">
      <c r="A16">
        <v>11</v>
      </c>
      <c r="B16">
        <v>511</v>
      </c>
      <c r="C16">
        <v>509</v>
      </c>
      <c r="D16">
        <v>508</v>
      </c>
      <c r="E16">
        <v>-1</v>
      </c>
      <c r="F16">
        <v>0</v>
      </c>
      <c r="G16">
        <v>-1</v>
      </c>
      <c r="H16">
        <v>-1</v>
      </c>
      <c r="I16">
        <v>70</v>
      </c>
      <c r="J16">
        <v>70</v>
      </c>
      <c r="K16">
        <v>65</v>
      </c>
      <c r="L16">
        <v>0</v>
      </c>
      <c r="M16">
        <v>97</v>
      </c>
      <c r="N16">
        <v>97</v>
      </c>
      <c r="O16">
        <v>97</v>
      </c>
      <c r="P16">
        <v>0</v>
      </c>
      <c r="Q16">
        <v>81</v>
      </c>
      <c r="R16">
        <v>80</v>
      </c>
      <c r="S16">
        <v>79</v>
      </c>
      <c r="T16">
        <v>0</v>
      </c>
      <c r="U16">
        <v>77</v>
      </c>
      <c r="V16">
        <v>77</v>
      </c>
      <c r="W16">
        <v>77</v>
      </c>
      <c r="X16">
        <v>1</v>
      </c>
    </row>
    <row r="17" spans="1:24">
      <c r="A17">
        <v>12</v>
      </c>
      <c r="B17">
        <v>909</v>
      </c>
      <c r="C17">
        <v>910</v>
      </c>
      <c r="D17">
        <v>909</v>
      </c>
      <c r="E17">
        <v>-1</v>
      </c>
      <c r="F17">
        <v>-1</v>
      </c>
      <c r="G17">
        <v>0</v>
      </c>
      <c r="H17">
        <v>-1</v>
      </c>
      <c r="I17">
        <v>195</v>
      </c>
      <c r="J17">
        <v>195</v>
      </c>
      <c r="K17">
        <v>189</v>
      </c>
      <c r="L17">
        <v>0</v>
      </c>
      <c r="M17">
        <v>199</v>
      </c>
      <c r="N17">
        <v>199</v>
      </c>
      <c r="O17">
        <v>199</v>
      </c>
      <c r="P17">
        <v>0</v>
      </c>
      <c r="Q17">
        <v>163</v>
      </c>
      <c r="R17">
        <v>163</v>
      </c>
      <c r="S17">
        <v>162</v>
      </c>
      <c r="T17">
        <v>0</v>
      </c>
      <c r="U17">
        <v>100</v>
      </c>
      <c r="V17">
        <v>101</v>
      </c>
      <c r="W17">
        <v>100</v>
      </c>
      <c r="X17">
        <v>1</v>
      </c>
    </row>
    <row r="18" spans="1:24">
      <c r="A18">
        <v>13</v>
      </c>
      <c r="B18">
        <v>1001</v>
      </c>
      <c r="C18">
        <v>1001</v>
      </c>
      <c r="D18">
        <v>997</v>
      </c>
      <c r="E18">
        <v>-1</v>
      </c>
      <c r="F18">
        <v>-1</v>
      </c>
      <c r="G18">
        <v>-1</v>
      </c>
      <c r="H18">
        <v>-1</v>
      </c>
      <c r="I18">
        <v>197</v>
      </c>
      <c r="J18">
        <v>197</v>
      </c>
      <c r="K18">
        <v>199</v>
      </c>
      <c r="L18">
        <v>0</v>
      </c>
      <c r="M18">
        <v>203</v>
      </c>
      <c r="N18">
        <v>203</v>
      </c>
      <c r="O18">
        <v>202</v>
      </c>
      <c r="P18">
        <v>0</v>
      </c>
      <c r="Q18">
        <v>191</v>
      </c>
      <c r="R18">
        <v>190</v>
      </c>
      <c r="S18">
        <v>190</v>
      </c>
      <c r="T18">
        <v>0</v>
      </c>
      <c r="U18">
        <v>152</v>
      </c>
      <c r="V18">
        <v>152</v>
      </c>
      <c r="W18">
        <v>152</v>
      </c>
      <c r="X18">
        <v>1</v>
      </c>
    </row>
    <row r="19" spans="1:24">
      <c r="A19">
        <v>14</v>
      </c>
      <c r="B19">
        <v>1005</v>
      </c>
      <c r="C19">
        <v>1008</v>
      </c>
      <c r="D19">
        <v>1004</v>
      </c>
      <c r="E19">
        <v>-1</v>
      </c>
      <c r="F19">
        <v>-1</v>
      </c>
      <c r="G19">
        <v>-1</v>
      </c>
      <c r="H19">
        <v>-1</v>
      </c>
      <c r="I19">
        <v>201</v>
      </c>
      <c r="J19">
        <v>202</v>
      </c>
      <c r="K19">
        <v>206</v>
      </c>
      <c r="L19">
        <v>0</v>
      </c>
      <c r="M19">
        <v>204</v>
      </c>
      <c r="N19">
        <v>205</v>
      </c>
      <c r="O19">
        <v>204</v>
      </c>
      <c r="P19">
        <v>0</v>
      </c>
      <c r="Q19">
        <v>196</v>
      </c>
      <c r="R19">
        <v>196</v>
      </c>
      <c r="S19">
        <v>196</v>
      </c>
      <c r="T19">
        <v>0</v>
      </c>
      <c r="U19">
        <v>153</v>
      </c>
      <c r="V19">
        <v>153</v>
      </c>
      <c r="W19">
        <v>153</v>
      </c>
      <c r="X19">
        <v>1</v>
      </c>
    </row>
    <row r="20" spans="1:24">
      <c r="A20">
        <v>15</v>
      </c>
      <c r="B20">
        <v>1016</v>
      </c>
      <c r="C20">
        <v>1019</v>
      </c>
      <c r="D20">
        <v>1015</v>
      </c>
      <c r="E20">
        <v>0</v>
      </c>
      <c r="F20">
        <v>-1</v>
      </c>
      <c r="G20">
        <v>0</v>
      </c>
      <c r="H20">
        <v>-1</v>
      </c>
      <c r="I20">
        <v>204</v>
      </c>
      <c r="J20">
        <v>205</v>
      </c>
      <c r="K20">
        <v>205</v>
      </c>
      <c r="L20">
        <v>0</v>
      </c>
      <c r="M20">
        <v>206</v>
      </c>
      <c r="N20">
        <v>206</v>
      </c>
      <c r="O20">
        <v>206</v>
      </c>
      <c r="P20">
        <v>0</v>
      </c>
      <c r="Q20">
        <v>207</v>
      </c>
      <c r="R20">
        <v>207</v>
      </c>
      <c r="S20">
        <v>206</v>
      </c>
      <c r="T20">
        <v>0</v>
      </c>
      <c r="U20">
        <v>153</v>
      </c>
      <c r="V20">
        <v>153</v>
      </c>
      <c r="W20">
        <v>153</v>
      </c>
      <c r="X20">
        <v>1</v>
      </c>
    </row>
    <row r="21" spans="1:24">
      <c r="A21">
        <v>16</v>
      </c>
      <c r="B21">
        <v>1019</v>
      </c>
      <c r="C21">
        <v>1021</v>
      </c>
      <c r="D21">
        <v>1017</v>
      </c>
      <c r="E21">
        <v>0</v>
      </c>
      <c r="F21">
        <v>-1</v>
      </c>
      <c r="G21">
        <v>-1</v>
      </c>
      <c r="H21">
        <v>0</v>
      </c>
      <c r="I21">
        <v>205</v>
      </c>
      <c r="J21">
        <v>205</v>
      </c>
      <c r="K21">
        <v>205</v>
      </c>
      <c r="L21">
        <v>0</v>
      </c>
      <c r="M21">
        <v>204</v>
      </c>
      <c r="N21">
        <v>205</v>
      </c>
      <c r="O21">
        <v>204</v>
      </c>
      <c r="P21">
        <v>0</v>
      </c>
      <c r="Q21">
        <v>207</v>
      </c>
      <c r="R21">
        <v>207</v>
      </c>
      <c r="S21">
        <v>206</v>
      </c>
      <c r="T21">
        <v>0</v>
      </c>
      <c r="U21">
        <v>153</v>
      </c>
      <c r="V21">
        <v>154</v>
      </c>
      <c r="W21">
        <v>153</v>
      </c>
      <c r="X21">
        <v>1</v>
      </c>
    </row>
    <row r="22" spans="1:24">
      <c r="A22">
        <v>17</v>
      </c>
      <c r="B22">
        <v>1019</v>
      </c>
      <c r="C22">
        <v>1019</v>
      </c>
      <c r="D22">
        <v>1015</v>
      </c>
      <c r="E22">
        <v>-1</v>
      </c>
      <c r="F22">
        <v>-1</v>
      </c>
      <c r="G22">
        <v>-1</v>
      </c>
      <c r="H22">
        <v>-1</v>
      </c>
      <c r="I22">
        <v>204</v>
      </c>
      <c r="J22">
        <v>204</v>
      </c>
      <c r="K22">
        <v>205</v>
      </c>
      <c r="L22">
        <v>0</v>
      </c>
      <c r="M22">
        <v>204</v>
      </c>
      <c r="N22">
        <v>204</v>
      </c>
      <c r="O22">
        <v>203</v>
      </c>
      <c r="P22">
        <v>0</v>
      </c>
      <c r="Q22">
        <v>197</v>
      </c>
      <c r="R22">
        <v>197</v>
      </c>
      <c r="S22">
        <v>195</v>
      </c>
      <c r="T22">
        <v>0</v>
      </c>
      <c r="U22">
        <v>153</v>
      </c>
      <c r="V22">
        <v>153</v>
      </c>
      <c r="W22">
        <v>153</v>
      </c>
      <c r="X22">
        <v>1</v>
      </c>
    </row>
    <row r="23" spans="1:24">
      <c r="A23">
        <v>18</v>
      </c>
      <c r="B23">
        <v>1006</v>
      </c>
      <c r="C23">
        <v>1007</v>
      </c>
      <c r="D23">
        <v>1003</v>
      </c>
      <c r="E23">
        <v>0</v>
      </c>
      <c r="F23">
        <v>-1</v>
      </c>
      <c r="G23">
        <v>-1</v>
      </c>
      <c r="H23">
        <v>-1</v>
      </c>
      <c r="I23">
        <v>201</v>
      </c>
      <c r="J23">
        <v>201</v>
      </c>
      <c r="K23">
        <v>204</v>
      </c>
      <c r="L23">
        <v>0</v>
      </c>
      <c r="M23">
        <v>204</v>
      </c>
      <c r="N23">
        <v>204</v>
      </c>
      <c r="O23">
        <v>204</v>
      </c>
      <c r="P23">
        <v>0</v>
      </c>
      <c r="Q23">
        <v>201</v>
      </c>
      <c r="R23">
        <v>201</v>
      </c>
      <c r="S23">
        <v>200</v>
      </c>
      <c r="T23">
        <v>0</v>
      </c>
      <c r="U23">
        <v>153</v>
      </c>
      <c r="V23">
        <v>154</v>
      </c>
      <c r="W23">
        <v>153</v>
      </c>
      <c r="X23">
        <v>1</v>
      </c>
    </row>
    <row r="24" spans="1:24">
      <c r="A24">
        <v>19</v>
      </c>
      <c r="B24">
        <v>868</v>
      </c>
      <c r="C24">
        <v>867</v>
      </c>
      <c r="D24">
        <v>863</v>
      </c>
      <c r="E24">
        <v>0</v>
      </c>
      <c r="F24">
        <v>-1</v>
      </c>
      <c r="G24">
        <v>-1</v>
      </c>
      <c r="H24">
        <v>0</v>
      </c>
      <c r="I24">
        <v>159</v>
      </c>
      <c r="J24">
        <v>165</v>
      </c>
      <c r="K24">
        <v>167</v>
      </c>
      <c r="L24">
        <v>0</v>
      </c>
      <c r="M24">
        <v>153</v>
      </c>
      <c r="N24">
        <v>153</v>
      </c>
      <c r="O24">
        <v>152</v>
      </c>
      <c r="P24">
        <v>0</v>
      </c>
      <c r="Q24">
        <v>150</v>
      </c>
      <c r="R24">
        <v>149</v>
      </c>
      <c r="S24">
        <v>148</v>
      </c>
      <c r="T24">
        <v>0</v>
      </c>
      <c r="U24">
        <v>142</v>
      </c>
      <c r="V24">
        <v>142</v>
      </c>
      <c r="W24">
        <v>142</v>
      </c>
      <c r="X24">
        <v>1</v>
      </c>
    </row>
    <row r="25" spans="1:24">
      <c r="A25">
        <v>20</v>
      </c>
      <c r="B25">
        <v>974</v>
      </c>
      <c r="C25">
        <v>971</v>
      </c>
      <c r="D25">
        <v>968</v>
      </c>
      <c r="E25">
        <v>0</v>
      </c>
      <c r="F25">
        <v>-1</v>
      </c>
      <c r="G25">
        <v>0</v>
      </c>
      <c r="H25">
        <v>-1</v>
      </c>
      <c r="I25">
        <v>183</v>
      </c>
      <c r="J25">
        <v>182</v>
      </c>
      <c r="K25">
        <v>180</v>
      </c>
      <c r="L25">
        <v>0</v>
      </c>
      <c r="M25">
        <v>171</v>
      </c>
      <c r="N25">
        <v>171</v>
      </c>
      <c r="O25">
        <v>170</v>
      </c>
      <c r="P25">
        <v>0</v>
      </c>
      <c r="Q25">
        <v>163</v>
      </c>
      <c r="R25">
        <v>162</v>
      </c>
      <c r="S25">
        <v>161</v>
      </c>
      <c r="T25">
        <v>0</v>
      </c>
      <c r="U25">
        <v>152</v>
      </c>
      <c r="V25">
        <v>152</v>
      </c>
      <c r="W25">
        <v>152</v>
      </c>
      <c r="X25">
        <v>1</v>
      </c>
    </row>
    <row r="26" spans="1:24">
      <c r="A26">
        <v>21</v>
      </c>
      <c r="B26">
        <v>1060</v>
      </c>
      <c r="C26">
        <v>1059</v>
      </c>
      <c r="D26">
        <v>1055</v>
      </c>
      <c r="E26">
        <v>0</v>
      </c>
      <c r="F26">
        <v>-1</v>
      </c>
      <c r="G26">
        <v>-1</v>
      </c>
      <c r="H26">
        <v>-1</v>
      </c>
      <c r="I26">
        <v>200</v>
      </c>
      <c r="J26">
        <v>199</v>
      </c>
      <c r="K26">
        <v>203</v>
      </c>
      <c r="L26">
        <v>0</v>
      </c>
      <c r="M26">
        <v>203</v>
      </c>
      <c r="N26">
        <v>203</v>
      </c>
      <c r="O26">
        <v>202</v>
      </c>
      <c r="P26">
        <v>0</v>
      </c>
      <c r="Q26">
        <v>203</v>
      </c>
      <c r="R26">
        <v>203</v>
      </c>
      <c r="S26">
        <v>202</v>
      </c>
      <c r="T26">
        <v>0</v>
      </c>
      <c r="U26">
        <v>152</v>
      </c>
      <c r="V26">
        <v>152</v>
      </c>
      <c r="W26">
        <v>152</v>
      </c>
      <c r="X26">
        <v>1</v>
      </c>
    </row>
    <row r="27" spans="1:24">
      <c r="A27">
        <v>22</v>
      </c>
      <c r="B27">
        <v>1072</v>
      </c>
      <c r="C27">
        <v>1070</v>
      </c>
      <c r="D27">
        <v>1067</v>
      </c>
      <c r="E27">
        <v>0</v>
      </c>
      <c r="F27">
        <v>-1</v>
      </c>
      <c r="G27">
        <v>-1</v>
      </c>
      <c r="H27">
        <v>-1</v>
      </c>
      <c r="I27">
        <v>205</v>
      </c>
      <c r="J27">
        <v>204</v>
      </c>
      <c r="K27">
        <v>205</v>
      </c>
      <c r="L27">
        <v>0</v>
      </c>
      <c r="M27">
        <v>206</v>
      </c>
      <c r="N27">
        <v>205</v>
      </c>
      <c r="O27">
        <v>205</v>
      </c>
      <c r="P27">
        <v>0</v>
      </c>
      <c r="Q27">
        <v>198</v>
      </c>
      <c r="R27">
        <v>197</v>
      </c>
      <c r="S27">
        <v>197</v>
      </c>
      <c r="T27">
        <v>0</v>
      </c>
      <c r="U27">
        <v>154</v>
      </c>
      <c r="V27">
        <v>153</v>
      </c>
      <c r="W27">
        <v>153</v>
      </c>
      <c r="X27">
        <v>1</v>
      </c>
    </row>
    <row r="28" spans="1:24">
      <c r="A28">
        <v>23</v>
      </c>
      <c r="B28">
        <v>1064</v>
      </c>
      <c r="C28">
        <v>1061</v>
      </c>
      <c r="D28">
        <v>1060</v>
      </c>
      <c r="E28">
        <v>0</v>
      </c>
      <c r="F28">
        <v>0</v>
      </c>
      <c r="G28">
        <v>-1</v>
      </c>
      <c r="H28">
        <v>-1</v>
      </c>
      <c r="I28">
        <v>199</v>
      </c>
      <c r="J28">
        <v>198</v>
      </c>
      <c r="K28">
        <v>199</v>
      </c>
      <c r="L28">
        <v>0</v>
      </c>
      <c r="M28">
        <v>205</v>
      </c>
      <c r="N28">
        <v>205</v>
      </c>
      <c r="O28">
        <v>204</v>
      </c>
      <c r="P28">
        <v>0</v>
      </c>
      <c r="Q28">
        <v>204</v>
      </c>
      <c r="R28">
        <v>203</v>
      </c>
      <c r="S28">
        <v>203</v>
      </c>
      <c r="T28">
        <v>0</v>
      </c>
      <c r="U28">
        <v>153</v>
      </c>
      <c r="V28">
        <v>153</v>
      </c>
      <c r="W28">
        <v>153</v>
      </c>
      <c r="X28">
        <v>1</v>
      </c>
    </row>
    <row r="29" spans="1:24">
      <c r="A29">
        <v>24</v>
      </c>
      <c r="B29">
        <v>1048</v>
      </c>
      <c r="C29">
        <v>1042</v>
      </c>
      <c r="D29">
        <v>1042</v>
      </c>
      <c r="E29">
        <v>0</v>
      </c>
      <c r="F29">
        <v>-1</v>
      </c>
      <c r="G29">
        <v>0</v>
      </c>
      <c r="H29">
        <v>-1</v>
      </c>
      <c r="I29">
        <v>204</v>
      </c>
      <c r="J29">
        <v>203</v>
      </c>
      <c r="K29">
        <v>204</v>
      </c>
      <c r="L29">
        <v>0</v>
      </c>
      <c r="M29">
        <v>206</v>
      </c>
      <c r="N29">
        <v>205</v>
      </c>
      <c r="O29">
        <v>205</v>
      </c>
      <c r="P29">
        <v>0</v>
      </c>
      <c r="Q29">
        <v>183</v>
      </c>
      <c r="R29">
        <v>181</v>
      </c>
      <c r="S29">
        <v>180</v>
      </c>
      <c r="T29">
        <v>0</v>
      </c>
      <c r="U29">
        <v>153</v>
      </c>
      <c r="V29">
        <v>152</v>
      </c>
      <c r="W29">
        <v>152</v>
      </c>
      <c r="X29">
        <v>1</v>
      </c>
    </row>
    <row r="30" spans="1:24">
      <c r="A30" t="s">
        <v>778</v>
      </c>
      <c r="B30">
        <v>643</v>
      </c>
      <c r="C30">
        <v>642</v>
      </c>
      <c r="D30">
        <v>641</v>
      </c>
      <c r="E30">
        <v>0</v>
      </c>
      <c r="F30">
        <v>-1</v>
      </c>
      <c r="G30">
        <v>-1</v>
      </c>
      <c r="H30">
        <v>-1</v>
      </c>
      <c r="I30">
        <v>125</v>
      </c>
      <c r="J30">
        <v>125</v>
      </c>
      <c r="K30">
        <v>126</v>
      </c>
      <c r="L30">
        <v>0</v>
      </c>
      <c r="M30">
        <v>126</v>
      </c>
      <c r="N30">
        <v>125</v>
      </c>
      <c r="O30">
        <v>125</v>
      </c>
      <c r="P30">
        <v>0</v>
      </c>
      <c r="Q30">
        <v>117</v>
      </c>
      <c r="R30">
        <v>117</v>
      </c>
      <c r="S30">
        <v>116</v>
      </c>
      <c r="T30">
        <v>0</v>
      </c>
      <c r="U30">
        <v>93</v>
      </c>
      <c r="V30">
        <v>93</v>
      </c>
      <c r="W30">
        <v>93</v>
      </c>
      <c r="X30">
        <v>1</v>
      </c>
    </row>
    <row r="31" spans="1:24">
      <c r="A31" t="s">
        <v>779</v>
      </c>
      <c r="B31">
        <v>1072</v>
      </c>
      <c r="C31">
        <v>1070</v>
      </c>
      <c r="D31">
        <v>1067</v>
      </c>
      <c r="E31">
        <v>0</v>
      </c>
      <c r="F31">
        <v>0</v>
      </c>
      <c r="G31">
        <v>0</v>
      </c>
      <c r="H31">
        <v>0</v>
      </c>
      <c r="I31">
        <v>205</v>
      </c>
      <c r="J31">
        <v>205</v>
      </c>
      <c r="K31">
        <v>206</v>
      </c>
      <c r="L31">
        <v>0</v>
      </c>
      <c r="M31">
        <v>206</v>
      </c>
      <c r="N31">
        <v>206</v>
      </c>
      <c r="O31">
        <v>206</v>
      </c>
      <c r="P31">
        <v>0</v>
      </c>
      <c r="Q31">
        <v>207</v>
      </c>
      <c r="R31">
        <v>207</v>
      </c>
      <c r="S31">
        <v>206</v>
      </c>
      <c r="T31">
        <v>0</v>
      </c>
      <c r="U31">
        <v>154</v>
      </c>
      <c r="V31">
        <v>154</v>
      </c>
      <c r="W31">
        <v>153</v>
      </c>
      <c r="X31">
        <v>1</v>
      </c>
    </row>
    <row r="32" spans="1:24">
      <c r="A32" t="s">
        <v>780</v>
      </c>
      <c r="B32">
        <v>22</v>
      </c>
      <c r="C32">
        <v>22</v>
      </c>
      <c r="D32">
        <v>22</v>
      </c>
      <c r="E32">
        <v>1</v>
      </c>
      <c r="F32">
        <v>3</v>
      </c>
      <c r="G32">
        <v>3</v>
      </c>
      <c r="H32">
        <v>8</v>
      </c>
      <c r="I32">
        <v>16</v>
      </c>
      <c r="J32">
        <v>15</v>
      </c>
      <c r="K32">
        <v>14</v>
      </c>
      <c r="L32">
        <v>1</v>
      </c>
      <c r="M32">
        <v>15</v>
      </c>
      <c r="N32">
        <v>15</v>
      </c>
      <c r="O32">
        <v>15</v>
      </c>
      <c r="P32">
        <v>1</v>
      </c>
      <c r="Q32">
        <v>15</v>
      </c>
      <c r="R32">
        <v>15</v>
      </c>
      <c r="S32">
        <v>15</v>
      </c>
      <c r="T32">
        <v>1</v>
      </c>
      <c r="U32">
        <v>22</v>
      </c>
      <c r="V32">
        <v>16</v>
      </c>
      <c r="W32">
        <v>14</v>
      </c>
      <c r="X32">
        <v>1</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饋線日報表查詢">
                <anchor moveWithCells="1" sizeWithCells="1">
                  <from>
                    <xdr:col>3</xdr:col>
                    <xdr:colOff>190500</xdr:colOff>
                    <xdr:row>0</xdr:row>
                    <xdr:rowOff>104775</xdr:rowOff>
                  </from>
                  <to>
                    <xdr:col>4</xdr:col>
                    <xdr:colOff>142875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DATA!$AE$2:$AE$41</xm:f>
          </x14:formula1>
          <xm:sqref>B1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5"/>
  <dimension ref="A1:MY110"/>
  <sheetViews>
    <sheetView workbookViewId="0">
      <selection activeCell="Q18" sqref="Q18"/>
    </sheetView>
  </sheetViews>
  <sheetFormatPr defaultRowHeight="16.5"/>
  <cols>
    <col min="1" max="1" width="13" style="467" customWidth="1"/>
    <col min="2" max="2" width="15.5" customWidth="1"/>
    <col min="3" max="3" width="14.875" customWidth="1"/>
    <col min="12" max="13" width="12.875" bestFit="1" customWidth="1"/>
    <col min="18" max="18" width="10.375" bestFit="1" customWidth="1"/>
  </cols>
  <sheetData>
    <row r="1" spans="1:18" ht="21.75" thickBot="1">
      <c r="A1" s="589" t="s">
        <v>3211</v>
      </c>
      <c r="B1" s="590" t="s">
        <v>3212</v>
      </c>
      <c r="C1" s="591" t="s">
        <v>3</v>
      </c>
    </row>
    <row r="2" spans="1:18" ht="21.75" thickBot="1">
      <c r="A2" s="586" t="s">
        <v>1990</v>
      </c>
      <c r="B2" s="587" t="s">
        <v>1892</v>
      </c>
      <c r="C2" s="588">
        <v>44384</v>
      </c>
    </row>
    <row r="3" spans="1:18" ht="21">
      <c r="A3" s="241"/>
      <c r="B3" s="241"/>
      <c r="C3" s="476"/>
    </row>
    <row r="4" spans="1:18">
      <c r="B4" s="467"/>
    </row>
    <row r="9" spans="1:18">
      <c r="B9" s="875" t="str">
        <f>A2</f>
        <v>9A51</v>
      </c>
      <c r="C9" s="875"/>
      <c r="D9" s="875"/>
      <c r="E9" s="875"/>
      <c r="F9" s="875"/>
      <c r="G9" s="876" t="str">
        <f>B2</f>
        <v>IU26</v>
      </c>
      <c r="H9" s="876"/>
      <c r="I9" s="876"/>
      <c r="J9" s="876"/>
      <c r="K9" s="876"/>
      <c r="N9" s="878" t="str">
        <f>A2 &amp; "+" &amp;B2</f>
        <v>9A51+IU26</v>
      </c>
      <c r="O9" s="878"/>
      <c r="P9" s="878"/>
      <c r="Q9" s="878"/>
      <c r="R9" s="878"/>
    </row>
    <row r="10" spans="1:18">
      <c r="A10" s="513" t="s">
        <v>3203</v>
      </c>
      <c r="B10" s="503" t="s">
        <v>772</v>
      </c>
      <c r="C10" s="503" t="s">
        <v>773</v>
      </c>
      <c r="D10" s="503" t="s">
        <v>774</v>
      </c>
      <c r="E10" s="503" t="s">
        <v>775</v>
      </c>
      <c r="F10" s="592" t="s">
        <v>776</v>
      </c>
      <c r="G10" s="502" t="s">
        <v>772</v>
      </c>
      <c r="H10" s="502" t="s">
        <v>773</v>
      </c>
      <c r="I10" s="502" t="s">
        <v>774</v>
      </c>
      <c r="J10" s="502" t="s">
        <v>775</v>
      </c>
      <c r="K10" s="502" t="s">
        <v>776</v>
      </c>
      <c r="L10" s="467"/>
      <c r="M10" s="513" t="s">
        <v>3203</v>
      </c>
      <c r="N10" s="505" t="s">
        <v>772</v>
      </c>
      <c r="O10" s="505" t="s">
        <v>773</v>
      </c>
      <c r="P10" s="505" t="s">
        <v>774</v>
      </c>
      <c r="Q10" s="505" t="s">
        <v>775</v>
      </c>
      <c r="R10" s="505" t="s">
        <v>776</v>
      </c>
    </row>
    <row r="11" spans="1:18">
      <c r="A11" s="513">
        <v>1</v>
      </c>
      <c r="B11" s="503">
        <f t="shared" ref="B11:F11" si="0">INDEX($B$81:$ZZ$110,ROW(B81)-80,MATCH("*"&amp;"("&amp; $A$2 &amp; ")",$B$79:$ZZ$79,0)+COLUMN(B81)-2)</f>
        <v>142</v>
      </c>
      <c r="C11" s="503">
        <f t="shared" si="0"/>
        <v>143</v>
      </c>
      <c r="D11" s="503">
        <f t="shared" si="0"/>
        <v>142</v>
      </c>
      <c r="E11" s="503">
        <f t="shared" si="0"/>
        <v>0</v>
      </c>
      <c r="F11" s="592">
        <f t="shared" si="0"/>
        <v>5257</v>
      </c>
      <c r="G11" s="502">
        <f>INDEX($B$81:$ZZ$110,ROW(B81)-80,MATCH("*"&amp;"("&amp; $B$2 &amp; ")",$B$79:$ZZ$79,0)+COLUMN(B81)-2)</f>
        <v>97</v>
      </c>
      <c r="H11" s="502">
        <f t="shared" ref="H11:K11" si="1">INDEX($B$81:$ZZ$110,ROW(C81)-80,MATCH("*"&amp;"("&amp; $B$2 &amp; ")",$B$79:$ZZ$79,0)+COLUMN(C81)-2)</f>
        <v>102</v>
      </c>
      <c r="I11" s="502">
        <f t="shared" si="1"/>
        <v>76</v>
      </c>
      <c r="J11" s="502">
        <f t="shared" si="1"/>
        <v>42</v>
      </c>
      <c r="K11" s="502">
        <f t="shared" si="1"/>
        <v>1947</v>
      </c>
      <c r="L11" s="467"/>
      <c r="M11" s="513">
        <v>1</v>
      </c>
      <c r="N11" s="505">
        <f>B11+G11</f>
        <v>239</v>
      </c>
      <c r="O11" s="505">
        <f t="shared" ref="O11:R11" si="2">C11+H11</f>
        <v>245</v>
      </c>
      <c r="P11" s="505">
        <f t="shared" si="2"/>
        <v>218</v>
      </c>
      <c r="Q11" s="505">
        <f t="shared" si="2"/>
        <v>42</v>
      </c>
      <c r="R11" s="505">
        <f t="shared" si="2"/>
        <v>7204</v>
      </c>
    </row>
    <row r="12" spans="1:18">
      <c r="A12" s="513">
        <v>2</v>
      </c>
      <c r="B12" s="503">
        <f t="shared" ref="B12:F12" si="3">INDEX($B$81:$ZZ$110,ROW(B82)-80,MATCH("*"&amp;"("&amp; $A$2 &amp; ")",$B$79:$ZZ$79,0)+COLUMN(B82)-2)</f>
        <v>141</v>
      </c>
      <c r="C12" s="503">
        <f t="shared" si="3"/>
        <v>143</v>
      </c>
      <c r="D12" s="503">
        <f t="shared" si="3"/>
        <v>141</v>
      </c>
      <c r="E12" s="503">
        <f t="shared" si="3"/>
        <v>0</v>
      </c>
      <c r="F12" s="592">
        <f t="shared" si="3"/>
        <v>5144</v>
      </c>
      <c r="G12" s="502">
        <f t="shared" ref="G12:G34" si="4">INDEX($B$81:$ZZ$110,ROW(B82)-80,MATCH("*"&amp;"("&amp; $B$2 &amp; ")",$B$79:$ZZ$79,0)+COLUMN(B82)-2)</f>
        <v>91</v>
      </c>
      <c r="H12" s="502">
        <f t="shared" ref="H12:H34" si="5">INDEX($B$81:$ZZ$110,ROW(C82)-80,MATCH("*"&amp;"("&amp; $B$2 &amp; ")",$B$79:$ZZ$79,0)+COLUMN(C82)-2)</f>
        <v>90</v>
      </c>
      <c r="I12" s="502">
        <f t="shared" ref="I12:I34" si="6">INDEX($B$81:$ZZ$110,ROW(D82)-80,MATCH("*"&amp;"("&amp; $B$2 &amp; ")",$B$79:$ZZ$79,0)+COLUMN(D82)-2)</f>
        <v>71</v>
      </c>
      <c r="J12" s="502">
        <f t="shared" ref="J12:J34" si="7">INDEX($B$81:$ZZ$110,ROW(E82)-80,MATCH("*"&amp;"("&amp; $B$2 &amp; ")",$B$79:$ZZ$79,0)+COLUMN(E82)-2)</f>
        <v>39</v>
      </c>
      <c r="K12" s="502">
        <f t="shared" ref="K12:K34" si="8">INDEX($B$81:$ZZ$110,ROW(F82)-80,MATCH("*"&amp;"("&amp; $B$2 &amp; ")",$B$79:$ZZ$79,0)+COLUMN(F82)-2)</f>
        <v>1753</v>
      </c>
      <c r="L12" s="467"/>
      <c r="M12" s="513">
        <v>2</v>
      </c>
      <c r="N12" s="505">
        <f t="shared" ref="N12:N40" si="9">B12+G12</f>
        <v>232</v>
      </c>
      <c r="O12" s="505">
        <f t="shared" ref="O12:O40" si="10">C12+H12</f>
        <v>233</v>
      </c>
      <c r="P12" s="505">
        <f t="shared" ref="P12:P40" si="11">D12+I12</f>
        <v>212</v>
      </c>
      <c r="Q12" s="505">
        <f t="shared" ref="Q12:Q40" si="12">E12+J12</f>
        <v>39</v>
      </c>
      <c r="R12" s="505">
        <f t="shared" ref="R12:R40" si="13">F12+K12</f>
        <v>6897</v>
      </c>
    </row>
    <row r="13" spans="1:18">
      <c r="A13" s="513">
        <v>3</v>
      </c>
      <c r="B13" s="503">
        <f t="shared" ref="B13:F13" si="14">INDEX($B$81:$ZZ$110,ROW(B83)-80,MATCH("*"&amp;"("&amp; $A$2 &amp; ")",$B$79:$ZZ$79,0)+COLUMN(B83)-2)</f>
        <v>134</v>
      </c>
      <c r="C13" s="503">
        <f t="shared" si="14"/>
        <v>136</v>
      </c>
      <c r="D13" s="503">
        <f t="shared" si="14"/>
        <v>135</v>
      </c>
      <c r="E13" s="503">
        <f t="shared" si="14"/>
        <v>0</v>
      </c>
      <c r="F13" s="592">
        <f t="shared" si="14"/>
        <v>5127</v>
      </c>
      <c r="G13" s="502">
        <f t="shared" si="4"/>
        <v>81</v>
      </c>
      <c r="H13" s="502">
        <f t="shared" si="5"/>
        <v>83</v>
      </c>
      <c r="I13" s="502">
        <f t="shared" si="6"/>
        <v>64</v>
      </c>
      <c r="J13" s="502">
        <f t="shared" si="7"/>
        <v>36</v>
      </c>
      <c r="K13" s="502">
        <f t="shared" si="8"/>
        <v>1603</v>
      </c>
      <c r="L13" s="467"/>
      <c r="M13" s="513">
        <v>3</v>
      </c>
      <c r="N13" s="505">
        <f t="shared" si="9"/>
        <v>215</v>
      </c>
      <c r="O13" s="505">
        <f t="shared" si="10"/>
        <v>219</v>
      </c>
      <c r="P13" s="505">
        <f t="shared" si="11"/>
        <v>199</v>
      </c>
      <c r="Q13" s="505">
        <f t="shared" si="12"/>
        <v>36</v>
      </c>
      <c r="R13" s="505">
        <f t="shared" si="13"/>
        <v>6730</v>
      </c>
    </row>
    <row r="14" spans="1:18">
      <c r="A14" s="513">
        <v>4</v>
      </c>
      <c r="B14" s="503">
        <f t="shared" ref="B14:F14" si="15">INDEX($B$81:$ZZ$110,ROW(B84)-80,MATCH("*"&amp;"("&amp; $A$2 &amp; ")",$B$79:$ZZ$79,0)+COLUMN(B84)-2)</f>
        <v>138</v>
      </c>
      <c r="C14" s="503">
        <f t="shared" si="15"/>
        <v>140</v>
      </c>
      <c r="D14" s="503">
        <f t="shared" si="15"/>
        <v>139</v>
      </c>
      <c r="E14" s="503">
        <f t="shared" si="15"/>
        <v>0</v>
      </c>
      <c r="F14" s="592">
        <f t="shared" si="15"/>
        <v>5010</v>
      </c>
      <c r="G14" s="502">
        <f t="shared" si="4"/>
        <v>78</v>
      </c>
      <c r="H14" s="502">
        <f t="shared" si="5"/>
        <v>76</v>
      </c>
      <c r="I14" s="502">
        <f t="shared" si="6"/>
        <v>60</v>
      </c>
      <c r="J14" s="502">
        <f t="shared" si="7"/>
        <v>35</v>
      </c>
      <c r="K14" s="502">
        <f t="shared" si="8"/>
        <v>1493</v>
      </c>
      <c r="L14" s="467"/>
      <c r="M14" s="513">
        <v>4</v>
      </c>
      <c r="N14" s="505">
        <f t="shared" si="9"/>
        <v>216</v>
      </c>
      <c r="O14" s="505">
        <f t="shared" si="10"/>
        <v>216</v>
      </c>
      <c r="P14" s="505">
        <f t="shared" si="11"/>
        <v>199</v>
      </c>
      <c r="Q14" s="505">
        <f t="shared" si="12"/>
        <v>35</v>
      </c>
      <c r="R14" s="505">
        <f t="shared" si="13"/>
        <v>6503</v>
      </c>
    </row>
    <row r="15" spans="1:18">
      <c r="A15" s="513">
        <v>5</v>
      </c>
      <c r="B15" s="503">
        <f t="shared" ref="B15:F15" si="16">INDEX($B$81:$ZZ$110,ROW(B85)-80,MATCH("*"&amp;"("&amp; $A$2 &amp; ")",$B$79:$ZZ$79,0)+COLUMN(B85)-2)</f>
        <v>132</v>
      </c>
      <c r="C15" s="503">
        <f t="shared" si="16"/>
        <v>134</v>
      </c>
      <c r="D15" s="503">
        <f t="shared" si="16"/>
        <v>133</v>
      </c>
      <c r="E15" s="503">
        <f t="shared" si="16"/>
        <v>0</v>
      </c>
      <c r="F15" s="592">
        <f t="shared" si="16"/>
        <v>5079</v>
      </c>
      <c r="G15" s="502">
        <f t="shared" si="4"/>
        <v>77</v>
      </c>
      <c r="H15" s="502">
        <f t="shared" si="5"/>
        <v>75</v>
      </c>
      <c r="I15" s="502">
        <f t="shared" si="6"/>
        <v>58</v>
      </c>
      <c r="J15" s="502">
        <f t="shared" si="7"/>
        <v>35</v>
      </c>
      <c r="K15" s="502">
        <f t="shared" si="8"/>
        <v>1395</v>
      </c>
      <c r="L15" s="467"/>
      <c r="M15" s="513">
        <v>5</v>
      </c>
      <c r="N15" s="505">
        <f t="shared" si="9"/>
        <v>209</v>
      </c>
      <c r="O15" s="505">
        <f t="shared" si="10"/>
        <v>209</v>
      </c>
      <c r="P15" s="505">
        <f t="shared" si="11"/>
        <v>191</v>
      </c>
      <c r="Q15" s="505">
        <f t="shared" si="12"/>
        <v>35</v>
      </c>
      <c r="R15" s="505">
        <f t="shared" si="13"/>
        <v>6474</v>
      </c>
    </row>
    <row r="16" spans="1:18">
      <c r="A16" s="513">
        <v>6</v>
      </c>
      <c r="B16" s="503">
        <f t="shared" ref="B16:F16" si="17">INDEX($B$81:$ZZ$110,ROW(B86)-80,MATCH("*"&amp;"("&amp; $A$2 &amp; ")",$B$79:$ZZ$79,0)+COLUMN(B86)-2)</f>
        <v>140</v>
      </c>
      <c r="C16" s="503">
        <f t="shared" si="17"/>
        <v>142</v>
      </c>
      <c r="D16" s="503">
        <f t="shared" si="17"/>
        <v>141</v>
      </c>
      <c r="E16" s="503">
        <f t="shared" si="17"/>
        <v>0</v>
      </c>
      <c r="F16" s="592">
        <f t="shared" si="17"/>
        <v>5184</v>
      </c>
      <c r="G16" s="502">
        <f t="shared" si="4"/>
        <v>66</v>
      </c>
      <c r="H16" s="502">
        <f t="shared" si="5"/>
        <v>70</v>
      </c>
      <c r="I16" s="502">
        <f t="shared" si="6"/>
        <v>56</v>
      </c>
      <c r="J16" s="502">
        <f t="shared" si="7"/>
        <v>28</v>
      </c>
      <c r="K16" s="502">
        <f t="shared" si="8"/>
        <v>1326</v>
      </c>
      <c r="L16" s="467"/>
      <c r="M16" s="513">
        <v>6</v>
      </c>
      <c r="N16" s="505">
        <f t="shared" si="9"/>
        <v>206</v>
      </c>
      <c r="O16" s="505">
        <f t="shared" si="10"/>
        <v>212</v>
      </c>
      <c r="P16" s="505">
        <f t="shared" si="11"/>
        <v>197</v>
      </c>
      <c r="Q16" s="505">
        <f t="shared" si="12"/>
        <v>28</v>
      </c>
      <c r="R16" s="505">
        <f t="shared" si="13"/>
        <v>6510</v>
      </c>
    </row>
    <row r="17" spans="1:18">
      <c r="A17" s="513">
        <v>7</v>
      </c>
      <c r="B17" s="503">
        <f t="shared" ref="B17:F17" si="18">INDEX($B$81:$ZZ$110,ROW(B87)-80,MATCH("*"&amp;"("&amp; $A$2 &amp; ")",$B$79:$ZZ$79,0)+COLUMN(B87)-2)</f>
        <v>137</v>
      </c>
      <c r="C17" s="503">
        <f t="shared" si="18"/>
        <v>139</v>
      </c>
      <c r="D17" s="503">
        <f t="shared" si="18"/>
        <v>138</v>
      </c>
      <c r="E17" s="503">
        <f t="shared" si="18"/>
        <v>0</v>
      </c>
      <c r="F17" s="592">
        <f t="shared" si="18"/>
        <v>5154</v>
      </c>
      <c r="G17" s="502">
        <f t="shared" si="4"/>
        <v>74</v>
      </c>
      <c r="H17" s="502">
        <f t="shared" si="5"/>
        <v>75</v>
      </c>
      <c r="I17" s="502">
        <f t="shared" si="6"/>
        <v>62</v>
      </c>
      <c r="J17" s="502">
        <f t="shared" si="7"/>
        <v>28</v>
      </c>
      <c r="K17" s="502">
        <f t="shared" si="8"/>
        <v>1329</v>
      </c>
      <c r="L17" s="467"/>
      <c r="M17" s="513">
        <v>7</v>
      </c>
      <c r="N17" s="505">
        <f t="shared" si="9"/>
        <v>211</v>
      </c>
      <c r="O17" s="505">
        <f t="shared" si="10"/>
        <v>214</v>
      </c>
      <c r="P17" s="505">
        <f t="shared" si="11"/>
        <v>200</v>
      </c>
      <c r="Q17" s="505">
        <f t="shared" si="12"/>
        <v>28</v>
      </c>
      <c r="R17" s="505">
        <f t="shared" si="13"/>
        <v>6483</v>
      </c>
    </row>
    <row r="18" spans="1:18">
      <c r="A18" s="513">
        <v>8</v>
      </c>
      <c r="B18" s="503">
        <f t="shared" ref="B18:F18" si="19">INDEX($B$81:$ZZ$110,ROW(B88)-80,MATCH("*"&amp;"("&amp; $A$2 &amp; ")",$B$79:$ZZ$79,0)+COLUMN(B88)-2)</f>
        <v>119</v>
      </c>
      <c r="C18" s="503">
        <f t="shared" si="19"/>
        <v>120</v>
      </c>
      <c r="D18" s="503">
        <f t="shared" si="19"/>
        <v>119</v>
      </c>
      <c r="E18" s="503">
        <f t="shared" si="19"/>
        <v>0</v>
      </c>
      <c r="F18" s="592">
        <f t="shared" si="19"/>
        <v>4907</v>
      </c>
      <c r="G18" s="502">
        <f t="shared" si="4"/>
        <v>72</v>
      </c>
      <c r="H18" s="502">
        <f t="shared" si="5"/>
        <v>78</v>
      </c>
      <c r="I18" s="502">
        <f t="shared" si="6"/>
        <v>61</v>
      </c>
      <c r="J18" s="502">
        <f t="shared" si="7"/>
        <v>29</v>
      </c>
      <c r="K18" s="502">
        <f t="shared" si="8"/>
        <v>1393</v>
      </c>
      <c r="L18" s="467"/>
      <c r="M18" s="513">
        <v>8</v>
      </c>
      <c r="N18" s="505">
        <f t="shared" si="9"/>
        <v>191</v>
      </c>
      <c r="O18" s="505">
        <f t="shared" si="10"/>
        <v>198</v>
      </c>
      <c r="P18" s="505">
        <f t="shared" si="11"/>
        <v>180</v>
      </c>
      <c r="Q18" s="505">
        <f t="shared" si="12"/>
        <v>29</v>
      </c>
      <c r="R18" s="505">
        <f t="shared" si="13"/>
        <v>6300</v>
      </c>
    </row>
    <row r="19" spans="1:18">
      <c r="A19" s="513">
        <v>9</v>
      </c>
      <c r="B19" s="503">
        <f t="shared" ref="B19:F19" si="20">INDEX($B$81:$ZZ$110,ROW(B89)-80,MATCH("*"&amp;"("&amp; $A$2 &amp; ")",$B$79:$ZZ$79,0)+COLUMN(B89)-2)</f>
        <v>126</v>
      </c>
      <c r="C19" s="503">
        <f t="shared" si="20"/>
        <v>127</v>
      </c>
      <c r="D19" s="503">
        <f t="shared" si="20"/>
        <v>127</v>
      </c>
      <c r="E19" s="503">
        <f t="shared" si="20"/>
        <v>0</v>
      </c>
      <c r="F19" s="592">
        <f t="shared" si="20"/>
        <v>4818</v>
      </c>
      <c r="G19" s="502">
        <f t="shared" si="4"/>
        <v>89</v>
      </c>
      <c r="H19" s="502">
        <f t="shared" si="5"/>
        <v>84</v>
      </c>
      <c r="I19" s="502">
        <f t="shared" si="6"/>
        <v>66</v>
      </c>
      <c r="J19" s="502">
        <f t="shared" si="7"/>
        <v>36</v>
      </c>
      <c r="K19" s="502">
        <f t="shared" si="8"/>
        <v>1541</v>
      </c>
      <c r="L19" s="467"/>
      <c r="M19" s="513">
        <v>9</v>
      </c>
      <c r="N19" s="505">
        <f t="shared" si="9"/>
        <v>215</v>
      </c>
      <c r="O19" s="505">
        <f t="shared" si="10"/>
        <v>211</v>
      </c>
      <c r="P19" s="505">
        <f t="shared" si="11"/>
        <v>193</v>
      </c>
      <c r="Q19" s="505">
        <f t="shared" si="12"/>
        <v>36</v>
      </c>
      <c r="R19" s="505">
        <f t="shared" si="13"/>
        <v>6359</v>
      </c>
    </row>
    <row r="20" spans="1:18">
      <c r="A20" s="513">
        <v>10</v>
      </c>
      <c r="B20" s="503">
        <f t="shared" ref="B20:F20" si="21">INDEX($B$81:$ZZ$110,ROW(B90)-80,MATCH("*"&amp;"("&amp; $A$2 &amp; ")",$B$79:$ZZ$79,0)+COLUMN(B90)-2)</f>
        <v>121</v>
      </c>
      <c r="C20" s="503">
        <f t="shared" si="21"/>
        <v>119</v>
      </c>
      <c r="D20" s="503">
        <f t="shared" si="21"/>
        <v>119</v>
      </c>
      <c r="E20" s="503">
        <f t="shared" si="21"/>
        <v>0</v>
      </c>
      <c r="F20" s="592">
        <f t="shared" si="21"/>
        <v>4998</v>
      </c>
      <c r="G20" s="502">
        <f t="shared" si="4"/>
        <v>99</v>
      </c>
      <c r="H20" s="502">
        <f t="shared" si="5"/>
        <v>102</v>
      </c>
      <c r="I20" s="502">
        <f t="shared" si="6"/>
        <v>76</v>
      </c>
      <c r="J20" s="502">
        <f t="shared" si="7"/>
        <v>40</v>
      </c>
      <c r="K20" s="502">
        <f t="shared" si="8"/>
        <v>1742</v>
      </c>
      <c r="L20" s="467"/>
      <c r="M20" s="513">
        <v>10</v>
      </c>
      <c r="N20" s="505">
        <f t="shared" si="9"/>
        <v>220</v>
      </c>
      <c r="O20" s="505">
        <f t="shared" si="10"/>
        <v>221</v>
      </c>
      <c r="P20" s="505">
        <f t="shared" si="11"/>
        <v>195</v>
      </c>
      <c r="Q20" s="505">
        <f t="shared" si="12"/>
        <v>40</v>
      </c>
      <c r="R20" s="505">
        <f t="shared" si="13"/>
        <v>6740</v>
      </c>
    </row>
    <row r="21" spans="1:18">
      <c r="A21" s="513">
        <v>11</v>
      </c>
      <c r="B21" s="503">
        <f t="shared" ref="B21:F21" si="22">INDEX($B$81:$ZZ$110,ROW(B91)-80,MATCH("*"&amp;"("&amp; $A$2 &amp; ")",$B$79:$ZZ$79,0)+COLUMN(B91)-2)</f>
        <v>101</v>
      </c>
      <c r="C21" s="503">
        <f t="shared" si="22"/>
        <v>99</v>
      </c>
      <c r="D21" s="503">
        <f t="shared" si="22"/>
        <v>101</v>
      </c>
      <c r="E21" s="503">
        <f t="shared" si="22"/>
        <v>0</v>
      </c>
      <c r="F21" s="592">
        <f t="shared" si="22"/>
        <v>5118</v>
      </c>
      <c r="G21" s="502">
        <f t="shared" si="4"/>
        <v>101</v>
      </c>
      <c r="H21" s="502">
        <f t="shared" si="5"/>
        <v>110</v>
      </c>
      <c r="I21" s="502">
        <f t="shared" si="6"/>
        <v>79</v>
      </c>
      <c r="J21" s="502">
        <f t="shared" si="7"/>
        <v>43</v>
      </c>
      <c r="K21" s="502">
        <f t="shared" si="8"/>
        <v>1924</v>
      </c>
      <c r="L21" s="467"/>
      <c r="M21" s="513">
        <v>11</v>
      </c>
      <c r="N21" s="505">
        <f t="shared" si="9"/>
        <v>202</v>
      </c>
      <c r="O21" s="505">
        <f t="shared" si="10"/>
        <v>209</v>
      </c>
      <c r="P21" s="505">
        <f t="shared" si="11"/>
        <v>180</v>
      </c>
      <c r="Q21" s="505">
        <f t="shared" si="12"/>
        <v>43</v>
      </c>
      <c r="R21" s="505">
        <f t="shared" si="13"/>
        <v>7042</v>
      </c>
    </row>
    <row r="22" spans="1:18">
      <c r="A22" s="513">
        <v>12</v>
      </c>
      <c r="B22" s="503">
        <f t="shared" ref="B22:F22" si="23">INDEX($B$81:$ZZ$110,ROW(B92)-80,MATCH("*"&amp;"("&amp; $A$2 &amp; ")",$B$79:$ZZ$79,0)+COLUMN(B92)-2)</f>
        <v>135</v>
      </c>
      <c r="C22" s="503">
        <f t="shared" si="23"/>
        <v>134</v>
      </c>
      <c r="D22" s="503">
        <f t="shared" si="23"/>
        <v>134</v>
      </c>
      <c r="E22" s="503">
        <f t="shared" si="23"/>
        <v>0</v>
      </c>
      <c r="F22" s="592">
        <f t="shared" si="23"/>
        <v>4621</v>
      </c>
      <c r="G22" s="502">
        <f t="shared" si="4"/>
        <v>112</v>
      </c>
      <c r="H22" s="502">
        <f t="shared" si="5"/>
        <v>114</v>
      </c>
      <c r="I22" s="502">
        <f t="shared" si="6"/>
        <v>86</v>
      </c>
      <c r="J22" s="502">
        <f t="shared" si="7"/>
        <v>45</v>
      </c>
      <c r="K22" s="502">
        <f t="shared" si="8"/>
        <v>2055</v>
      </c>
      <c r="L22" s="467"/>
      <c r="M22" s="513">
        <v>12</v>
      </c>
      <c r="N22" s="505">
        <f t="shared" si="9"/>
        <v>247</v>
      </c>
      <c r="O22" s="505">
        <f t="shared" si="10"/>
        <v>248</v>
      </c>
      <c r="P22" s="505">
        <f t="shared" si="11"/>
        <v>220</v>
      </c>
      <c r="Q22" s="505">
        <f t="shared" si="12"/>
        <v>45</v>
      </c>
      <c r="R22" s="505">
        <f t="shared" si="13"/>
        <v>6676</v>
      </c>
    </row>
    <row r="23" spans="1:18">
      <c r="A23" s="513">
        <v>13</v>
      </c>
      <c r="B23" s="503">
        <f t="shared" ref="B23:F23" si="24">INDEX($B$81:$ZZ$110,ROW(B93)-80,MATCH("*"&amp;"("&amp; $A$2 &amp; ")",$B$79:$ZZ$79,0)+COLUMN(B93)-2)</f>
        <v>119</v>
      </c>
      <c r="C23" s="503">
        <f t="shared" si="24"/>
        <v>118</v>
      </c>
      <c r="D23" s="503">
        <f t="shared" si="24"/>
        <v>118</v>
      </c>
      <c r="E23" s="503">
        <f t="shared" si="24"/>
        <v>0</v>
      </c>
      <c r="F23" s="592">
        <f t="shared" si="24"/>
        <v>5059</v>
      </c>
      <c r="G23" s="502">
        <f t="shared" si="4"/>
        <v>123</v>
      </c>
      <c r="H23" s="502">
        <f t="shared" si="5"/>
        <v>122</v>
      </c>
      <c r="I23" s="502">
        <f t="shared" si="6"/>
        <v>92</v>
      </c>
      <c r="J23" s="502">
        <f t="shared" si="7"/>
        <v>48</v>
      </c>
      <c r="K23" s="502">
        <f t="shared" si="8"/>
        <v>2254</v>
      </c>
      <c r="L23" s="467"/>
      <c r="M23" s="513">
        <v>13</v>
      </c>
      <c r="N23" s="505">
        <f t="shared" si="9"/>
        <v>242</v>
      </c>
      <c r="O23" s="505">
        <f t="shared" si="10"/>
        <v>240</v>
      </c>
      <c r="P23" s="505">
        <f t="shared" si="11"/>
        <v>210</v>
      </c>
      <c r="Q23" s="505">
        <f t="shared" si="12"/>
        <v>48</v>
      </c>
      <c r="R23" s="505">
        <f t="shared" si="13"/>
        <v>7313</v>
      </c>
    </row>
    <row r="24" spans="1:18">
      <c r="A24" s="513">
        <v>14</v>
      </c>
      <c r="B24" s="503">
        <f t="shared" ref="B24:F24" si="25">INDEX($B$81:$ZZ$110,ROW(B94)-80,MATCH("*"&amp;"("&amp; $A$2 &amp; ")",$B$79:$ZZ$79,0)+COLUMN(B94)-2)</f>
        <v>123</v>
      </c>
      <c r="C24" s="503">
        <f t="shared" si="25"/>
        <v>122</v>
      </c>
      <c r="D24" s="503">
        <f t="shared" si="25"/>
        <v>123</v>
      </c>
      <c r="E24" s="503">
        <f t="shared" si="25"/>
        <v>0</v>
      </c>
      <c r="F24" s="592">
        <f t="shared" si="25"/>
        <v>4674</v>
      </c>
      <c r="G24" s="502">
        <f t="shared" si="4"/>
        <v>119</v>
      </c>
      <c r="H24" s="502">
        <f t="shared" si="5"/>
        <v>120</v>
      </c>
      <c r="I24" s="502">
        <f t="shared" si="6"/>
        <v>93</v>
      </c>
      <c r="J24" s="502">
        <f t="shared" si="7"/>
        <v>47</v>
      </c>
      <c r="K24" s="502">
        <f t="shared" si="8"/>
        <v>2234</v>
      </c>
      <c r="L24" s="467"/>
      <c r="M24" s="513">
        <v>14</v>
      </c>
      <c r="N24" s="505">
        <f t="shared" si="9"/>
        <v>242</v>
      </c>
      <c r="O24" s="505">
        <f t="shared" si="10"/>
        <v>242</v>
      </c>
      <c r="P24" s="505">
        <f t="shared" si="11"/>
        <v>216</v>
      </c>
      <c r="Q24" s="505">
        <f t="shared" si="12"/>
        <v>47</v>
      </c>
      <c r="R24" s="505">
        <f t="shared" si="13"/>
        <v>6908</v>
      </c>
    </row>
    <row r="25" spans="1:18">
      <c r="A25" s="513">
        <v>15</v>
      </c>
      <c r="B25" s="503">
        <f t="shared" ref="B25:F25" si="26">INDEX($B$81:$ZZ$110,ROW(B95)-80,MATCH("*"&amp;"("&amp; $A$2 &amp; ")",$B$79:$ZZ$79,0)+COLUMN(B95)-2)</f>
        <v>116</v>
      </c>
      <c r="C25" s="503">
        <f t="shared" si="26"/>
        <v>115</v>
      </c>
      <c r="D25" s="503">
        <f t="shared" si="26"/>
        <v>114</v>
      </c>
      <c r="E25" s="503">
        <f t="shared" si="26"/>
        <v>0</v>
      </c>
      <c r="F25" s="592">
        <f t="shared" si="26"/>
        <v>4380</v>
      </c>
      <c r="G25" s="502">
        <f t="shared" si="4"/>
        <v>116</v>
      </c>
      <c r="H25" s="502">
        <f t="shared" si="5"/>
        <v>109</v>
      </c>
      <c r="I25" s="502">
        <f t="shared" si="6"/>
        <v>88</v>
      </c>
      <c r="J25" s="502">
        <f t="shared" si="7"/>
        <v>41</v>
      </c>
      <c r="K25" s="502">
        <f t="shared" si="8"/>
        <v>2228</v>
      </c>
      <c r="L25" s="467"/>
      <c r="M25" s="513">
        <v>15</v>
      </c>
      <c r="N25" s="505">
        <f t="shared" si="9"/>
        <v>232</v>
      </c>
      <c r="O25" s="505">
        <f t="shared" si="10"/>
        <v>224</v>
      </c>
      <c r="P25" s="505">
        <f t="shared" si="11"/>
        <v>202</v>
      </c>
      <c r="Q25" s="505">
        <f t="shared" si="12"/>
        <v>41</v>
      </c>
      <c r="R25" s="505">
        <f t="shared" si="13"/>
        <v>6608</v>
      </c>
    </row>
    <row r="26" spans="1:18">
      <c r="A26" s="513">
        <v>16</v>
      </c>
      <c r="B26" s="503">
        <f t="shared" ref="B26:F26" si="27">INDEX($B$81:$ZZ$110,ROW(B96)-80,MATCH("*"&amp;"("&amp; $A$2 &amp; ")",$B$79:$ZZ$79,0)+COLUMN(B96)-2)</f>
        <v>145</v>
      </c>
      <c r="C26" s="503">
        <f t="shared" si="27"/>
        <v>146</v>
      </c>
      <c r="D26" s="503">
        <f t="shared" si="27"/>
        <v>145</v>
      </c>
      <c r="E26" s="503">
        <f t="shared" si="27"/>
        <v>0</v>
      </c>
      <c r="F26" s="592">
        <f t="shared" si="27"/>
        <v>4945</v>
      </c>
      <c r="G26" s="502">
        <f t="shared" si="4"/>
        <v>108</v>
      </c>
      <c r="H26" s="502">
        <f t="shared" si="5"/>
        <v>114</v>
      </c>
      <c r="I26" s="502">
        <f t="shared" si="6"/>
        <v>83</v>
      </c>
      <c r="J26" s="502">
        <f t="shared" si="7"/>
        <v>46</v>
      </c>
      <c r="K26" s="502">
        <f t="shared" si="8"/>
        <v>2081</v>
      </c>
      <c r="L26" s="467"/>
      <c r="M26" s="513">
        <v>16</v>
      </c>
      <c r="N26" s="505">
        <f t="shared" si="9"/>
        <v>253</v>
      </c>
      <c r="O26" s="505">
        <f t="shared" si="10"/>
        <v>260</v>
      </c>
      <c r="P26" s="505">
        <f t="shared" si="11"/>
        <v>228</v>
      </c>
      <c r="Q26" s="505">
        <f t="shared" si="12"/>
        <v>46</v>
      </c>
      <c r="R26" s="505">
        <f t="shared" si="13"/>
        <v>7026</v>
      </c>
    </row>
    <row r="27" spans="1:18">
      <c r="A27" s="513">
        <v>17</v>
      </c>
      <c r="B27" s="503">
        <f t="shared" ref="B27:F27" si="28">INDEX($B$81:$ZZ$110,ROW(B97)-80,MATCH("*"&amp;"("&amp; $A$2 &amp; ")",$B$79:$ZZ$79,0)+COLUMN(B97)-2)</f>
        <v>149</v>
      </c>
      <c r="C27" s="503">
        <f t="shared" si="28"/>
        <v>149</v>
      </c>
      <c r="D27" s="503">
        <f t="shared" si="28"/>
        <v>149</v>
      </c>
      <c r="E27" s="503">
        <f t="shared" si="28"/>
        <v>0</v>
      </c>
      <c r="F27" s="592">
        <f t="shared" si="28"/>
        <v>5598</v>
      </c>
      <c r="G27" s="502">
        <f t="shared" si="4"/>
        <v>109</v>
      </c>
      <c r="H27" s="502">
        <f t="shared" si="5"/>
        <v>117</v>
      </c>
      <c r="I27" s="502">
        <f t="shared" si="6"/>
        <v>81</v>
      </c>
      <c r="J27" s="502">
        <f t="shared" si="7"/>
        <v>50</v>
      </c>
      <c r="K27" s="502">
        <f t="shared" si="8"/>
        <v>2160</v>
      </c>
      <c r="L27" s="467"/>
      <c r="M27" s="513">
        <v>17</v>
      </c>
      <c r="N27" s="505">
        <f t="shared" si="9"/>
        <v>258</v>
      </c>
      <c r="O27" s="505">
        <f t="shared" si="10"/>
        <v>266</v>
      </c>
      <c r="P27" s="505">
        <f t="shared" si="11"/>
        <v>230</v>
      </c>
      <c r="Q27" s="505">
        <f t="shared" si="12"/>
        <v>50</v>
      </c>
      <c r="R27" s="505">
        <f t="shared" si="13"/>
        <v>7758</v>
      </c>
    </row>
    <row r="28" spans="1:18">
      <c r="A28" s="513">
        <v>18</v>
      </c>
      <c r="B28" s="503">
        <f t="shared" ref="B28:F28" si="29">INDEX($B$81:$ZZ$110,ROW(B98)-80,MATCH("*"&amp;"("&amp; $A$2 &amp; ")",$B$79:$ZZ$79,0)+COLUMN(B98)-2)</f>
        <v>157</v>
      </c>
      <c r="C28" s="503">
        <f t="shared" si="29"/>
        <v>156</v>
      </c>
      <c r="D28" s="503">
        <f t="shared" si="29"/>
        <v>156</v>
      </c>
      <c r="E28" s="503">
        <f t="shared" si="29"/>
        <v>0</v>
      </c>
      <c r="F28" s="592">
        <f t="shared" si="29"/>
        <v>5803</v>
      </c>
      <c r="G28" s="502">
        <f t="shared" si="4"/>
        <v>119</v>
      </c>
      <c r="H28" s="502">
        <f t="shared" si="5"/>
        <v>130</v>
      </c>
      <c r="I28" s="502">
        <f t="shared" si="6"/>
        <v>95</v>
      </c>
      <c r="J28" s="502">
        <f t="shared" si="7"/>
        <v>49</v>
      </c>
      <c r="K28" s="502">
        <f t="shared" si="8"/>
        <v>2219</v>
      </c>
      <c r="L28" s="467"/>
      <c r="M28" s="513">
        <v>18</v>
      </c>
      <c r="N28" s="505">
        <f t="shared" si="9"/>
        <v>276</v>
      </c>
      <c r="O28" s="505">
        <f t="shared" si="10"/>
        <v>286</v>
      </c>
      <c r="P28" s="505">
        <f t="shared" si="11"/>
        <v>251</v>
      </c>
      <c r="Q28" s="505">
        <f t="shared" si="12"/>
        <v>49</v>
      </c>
      <c r="R28" s="505">
        <f t="shared" si="13"/>
        <v>8022</v>
      </c>
    </row>
    <row r="29" spans="1:18">
      <c r="A29" s="513">
        <v>19</v>
      </c>
      <c r="B29" s="503">
        <f t="shared" ref="B29:F29" si="30">INDEX($B$81:$ZZ$110,ROW(B99)-80,MATCH("*"&amp;"("&amp; $A$2 &amp; ")",$B$79:$ZZ$79,0)+COLUMN(B99)-2)</f>
        <v>164</v>
      </c>
      <c r="C29" s="503">
        <f t="shared" si="30"/>
        <v>164</v>
      </c>
      <c r="D29" s="503">
        <f t="shared" si="30"/>
        <v>163</v>
      </c>
      <c r="E29" s="503">
        <f t="shared" si="30"/>
        <v>0</v>
      </c>
      <c r="F29" s="592">
        <f t="shared" si="30"/>
        <v>6202</v>
      </c>
      <c r="G29" s="502">
        <f t="shared" si="4"/>
        <v>121</v>
      </c>
      <c r="H29" s="502">
        <f t="shared" si="5"/>
        <v>133</v>
      </c>
      <c r="I29" s="502">
        <f t="shared" si="6"/>
        <v>105</v>
      </c>
      <c r="J29" s="502">
        <f t="shared" si="7"/>
        <v>44</v>
      </c>
      <c r="K29" s="502">
        <f t="shared" si="8"/>
        <v>2379</v>
      </c>
      <c r="L29" s="467"/>
      <c r="M29" s="513">
        <v>19</v>
      </c>
      <c r="N29" s="505">
        <f t="shared" si="9"/>
        <v>285</v>
      </c>
      <c r="O29" s="505">
        <f t="shared" si="10"/>
        <v>297</v>
      </c>
      <c r="P29" s="505">
        <f t="shared" si="11"/>
        <v>268</v>
      </c>
      <c r="Q29" s="505">
        <f t="shared" si="12"/>
        <v>44</v>
      </c>
      <c r="R29" s="505">
        <f t="shared" si="13"/>
        <v>8581</v>
      </c>
    </row>
    <row r="30" spans="1:18">
      <c r="A30" s="513">
        <v>20</v>
      </c>
      <c r="B30" s="503">
        <f t="shared" ref="B30:F30" si="31">INDEX($B$81:$ZZ$110,ROW(B100)-80,MATCH("*"&amp;"("&amp; $A$2 &amp; ")",$B$79:$ZZ$79,0)+COLUMN(B100)-2)</f>
        <v>155</v>
      </c>
      <c r="C30" s="503">
        <f t="shared" si="31"/>
        <v>154</v>
      </c>
      <c r="D30" s="503">
        <f t="shared" si="31"/>
        <v>154</v>
      </c>
      <c r="E30" s="503">
        <f t="shared" si="31"/>
        <v>0</v>
      </c>
      <c r="F30" s="592">
        <f t="shared" si="31"/>
        <v>6162</v>
      </c>
      <c r="G30" s="502">
        <f t="shared" si="4"/>
        <v>129</v>
      </c>
      <c r="H30" s="502">
        <f t="shared" si="5"/>
        <v>135</v>
      </c>
      <c r="I30" s="502">
        <f t="shared" si="6"/>
        <v>107</v>
      </c>
      <c r="J30" s="502">
        <f t="shared" si="7"/>
        <v>44</v>
      </c>
      <c r="K30" s="502">
        <f t="shared" si="8"/>
        <v>2487</v>
      </c>
      <c r="L30" s="467"/>
      <c r="M30" s="513">
        <v>20</v>
      </c>
      <c r="N30" s="505">
        <f t="shared" si="9"/>
        <v>284</v>
      </c>
      <c r="O30" s="505">
        <f t="shared" si="10"/>
        <v>289</v>
      </c>
      <c r="P30" s="505">
        <f t="shared" si="11"/>
        <v>261</v>
      </c>
      <c r="Q30" s="505">
        <f t="shared" si="12"/>
        <v>44</v>
      </c>
      <c r="R30" s="505">
        <f t="shared" si="13"/>
        <v>8649</v>
      </c>
    </row>
    <row r="31" spans="1:18">
      <c r="A31" s="513">
        <v>21</v>
      </c>
      <c r="B31" s="503">
        <f t="shared" ref="B31:F31" si="32">INDEX($B$81:$ZZ$110,ROW(B101)-80,MATCH("*"&amp;"("&amp; $A$2 &amp; ")",$B$79:$ZZ$79,0)+COLUMN(B101)-2)</f>
        <v>155</v>
      </c>
      <c r="C31" s="503">
        <f t="shared" si="32"/>
        <v>156</v>
      </c>
      <c r="D31" s="503">
        <f t="shared" si="32"/>
        <v>155</v>
      </c>
      <c r="E31" s="503">
        <f t="shared" si="32"/>
        <v>0</v>
      </c>
      <c r="F31" s="592">
        <f t="shared" si="32"/>
        <v>6010</v>
      </c>
      <c r="G31" s="502">
        <f t="shared" si="4"/>
        <v>126</v>
      </c>
      <c r="H31" s="502">
        <f t="shared" si="5"/>
        <v>143</v>
      </c>
      <c r="I31" s="502">
        <f t="shared" si="6"/>
        <v>102</v>
      </c>
      <c r="J31" s="502">
        <f t="shared" si="7"/>
        <v>52</v>
      </c>
      <c r="K31" s="502">
        <f t="shared" si="8"/>
        <v>2501</v>
      </c>
      <c r="L31" s="467"/>
      <c r="M31" s="513">
        <v>21</v>
      </c>
      <c r="N31" s="505">
        <f t="shared" si="9"/>
        <v>281</v>
      </c>
      <c r="O31" s="505">
        <f t="shared" si="10"/>
        <v>299</v>
      </c>
      <c r="P31" s="505">
        <f t="shared" si="11"/>
        <v>257</v>
      </c>
      <c r="Q31" s="505">
        <f t="shared" si="12"/>
        <v>52</v>
      </c>
      <c r="R31" s="505">
        <f t="shared" si="13"/>
        <v>8511</v>
      </c>
    </row>
    <row r="32" spans="1:18">
      <c r="A32" s="513">
        <v>22</v>
      </c>
      <c r="B32" s="503">
        <f t="shared" ref="B32:F32" si="33">INDEX($B$81:$ZZ$110,ROW(B102)-80,MATCH("*"&amp;"("&amp; $A$2 &amp; ")",$B$79:$ZZ$79,0)+COLUMN(B102)-2)</f>
        <v>147</v>
      </c>
      <c r="C32" s="503">
        <f t="shared" si="33"/>
        <v>148</v>
      </c>
      <c r="D32" s="503">
        <f t="shared" si="33"/>
        <v>147</v>
      </c>
      <c r="E32" s="503">
        <f t="shared" si="33"/>
        <v>0</v>
      </c>
      <c r="F32" s="592">
        <f t="shared" si="33"/>
        <v>5661</v>
      </c>
      <c r="G32" s="502">
        <f t="shared" si="4"/>
        <v>125</v>
      </c>
      <c r="H32" s="502">
        <f t="shared" si="5"/>
        <v>134</v>
      </c>
      <c r="I32" s="502">
        <f t="shared" si="6"/>
        <v>106</v>
      </c>
      <c r="J32" s="502">
        <f t="shared" si="7"/>
        <v>42</v>
      </c>
      <c r="K32" s="502">
        <f t="shared" si="8"/>
        <v>2449</v>
      </c>
      <c r="L32" s="467"/>
      <c r="M32" s="513">
        <v>22</v>
      </c>
      <c r="N32" s="505">
        <f t="shared" si="9"/>
        <v>272</v>
      </c>
      <c r="O32" s="505">
        <f t="shared" si="10"/>
        <v>282</v>
      </c>
      <c r="P32" s="505">
        <f t="shared" si="11"/>
        <v>253</v>
      </c>
      <c r="Q32" s="505">
        <f t="shared" si="12"/>
        <v>42</v>
      </c>
      <c r="R32" s="505">
        <f t="shared" si="13"/>
        <v>8110</v>
      </c>
    </row>
    <row r="33" spans="1:18">
      <c r="A33" s="513">
        <v>23</v>
      </c>
      <c r="B33" s="503">
        <f t="shared" ref="B33:F33" si="34">INDEX($B$81:$ZZ$110,ROW(B103)-80,MATCH("*"&amp;"("&amp; $A$2 &amp; ")",$B$79:$ZZ$79,0)+COLUMN(B103)-2)</f>
        <v>152</v>
      </c>
      <c r="C33" s="503">
        <f t="shared" si="34"/>
        <v>154</v>
      </c>
      <c r="D33" s="503">
        <f t="shared" si="34"/>
        <v>153</v>
      </c>
      <c r="E33" s="503">
        <f t="shared" si="34"/>
        <v>0</v>
      </c>
      <c r="F33" s="592">
        <f t="shared" si="34"/>
        <v>5277</v>
      </c>
      <c r="G33" s="502">
        <f t="shared" si="4"/>
        <v>119</v>
      </c>
      <c r="H33" s="502">
        <f t="shared" si="5"/>
        <v>116</v>
      </c>
      <c r="I33" s="502">
        <f t="shared" si="6"/>
        <v>93</v>
      </c>
      <c r="J33" s="502">
        <f t="shared" si="7"/>
        <v>44</v>
      </c>
      <c r="K33" s="502">
        <f t="shared" si="8"/>
        <v>2371</v>
      </c>
      <c r="L33" s="467"/>
      <c r="M33" s="513">
        <v>23</v>
      </c>
      <c r="N33" s="505">
        <f t="shared" si="9"/>
        <v>271</v>
      </c>
      <c r="O33" s="505">
        <f t="shared" si="10"/>
        <v>270</v>
      </c>
      <c r="P33" s="505">
        <f t="shared" si="11"/>
        <v>246</v>
      </c>
      <c r="Q33" s="505">
        <f t="shared" si="12"/>
        <v>44</v>
      </c>
      <c r="R33" s="505">
        <f t="shared" si="13"/>
        <v>7648</v>
      </c>
    </row>
    <row r="34" spans="1:18">
      <c r="A34" s="513">
        <v>24</v>
      </c>
      <c r="B34" s="503">
        <f t="shared" ref="B34:F34" si="35">INDEX($B$81:$ZZ$110,ROW(B104)-80,MATCH("*"&amp;"("&amp; $A$2 &amp; ")",$B$79:$ZZ$79,0)+COLUMN(B104)-2)</f>
        <v>153</v>
      </c>
      <c r="C34" s="503">
        <f t="shared" si="35"/>
        <v>155</v>
      </c>
      <c r="D34" s="503">
        <f t="shared" si="35"/>
        <v>155</v>
      </c>
      <c r="E34" s="503">
        <f t="shared" si="35"/>
        <v>0</v>
      </c>
      <c r="F34" s="592">
        <f t="shared" si="35"/>
        <v>5173</v>
      </c>
      <c r="G34" s="502">
        <f t="shared" si="4"/>
        <v>111</v>
      </c>
      <c r="H34" s="502">
        <f t="shared" si="5"/>
        <v>111</v>
      </c>
      <c r="I34" s="502">
        <f t="shared" si="6"/>
        <v>79</v>
      </c>
      <c r="J34" s="502">
        <f t="shared" si="7"/>
        <v>49</v>
      </c>
      <c r="K34" s="502">
        <f t="shared" si="8"/>
        <v>2114</v>
      </c>
      <c r="L34" s="467"/>
      <c r="M34" s="513">
        <v>24</v>
      </c>
      <c r="N34" s="505">
        <f t="shared" si="9"/>
        <v>264</v>
      </c>
      <c r="O34" s="505">
        <f t="shared" si="10"/>
        <v>266</v>
      </c>
      <c r="P34" s="505">
        <f t="shared" si="11"/>
        <v>234</v>
      </c>
      <c r="Q34" s="505">
        <f t="shared" si="12"/>
        <v>49</v>
      </c>
      <c r="R34" s="505">
        <f t="shared" si="13"/>
        <v>7287</v>
      </c>
    </row>
    <row r="35" spans="1:18">
      <c r="A35" s="513" t="s">
        <v>765</v>
      </c>
      <c r="B35" s="503" t="str">
        <f t="shared" ref="B35:F35" si="36">INDEX($B$81:$ZZ$110,ROW(B105)-80,MATCH("*"&amp;"("&amp; $A$2 &amp; ")",$B$79:$ZZ$79,0)+COLUMN(B105)-2)</f>
        <v xml:space="preserve"> </v>
      </c>
      <c r="C35" s="503" t="str">
        <f t="shared" si="36"/>
        <v xml:space="preserve"> </v>
      </c>
      <c r="D35" s="503" t="str">
        <f t="shared" si="36"/>
        <v xml:space="preserve"> </v>
      </c>
      <c r="E35" s="503" t="str">
        <f t="shared" si="36"/>
        <v xml:space="preserve"> </v>
      </c>
      <c r="F35" s="592">
        <f t="shared" si="36"/>
        <v>125362</v>
      </c>
      <c r="G35" s="502" t="str">
        <f t="shared" ref="G35:G40" si="37">INDEX($B$81:$ZZ$110,ROW(B105)-80,MATCH("*"&amp;"("&amp; $B$2 &amp; ")",$B$79:$ZZ$79,0)+COLUMN(B105)-2)</f>
        <v xml:space="preserve"> </v>
      </c>
      <c r="H35" s="502" t="str">
        <f t="shared" ref="H35:H40" si="38">INDEX($B$81:$ZZ$110,ROW(C105)-80,MATCH("*"&amp;"("&amp; $B$2 &amp; ")",$B$79:$ZZ$79,0)+COLUMN(C105)-2)</f>
        <v xml:space="preserve"> </v>
      </c>
      <c r="I35" s="502" t="str">
        <f t="shared" ref="I35:I40" si="39">INDEX($B$81:$ZZ$110,ROW(D105)-80,MATCH("*"&amp;"("&amp; $B$2 &amp; ")",$B$79:$ZZ$79,0)+COLUMN(D105)-2)</f>
        <v xml:space="preserve"> </v>
      </c>
      <c r="J35" s="502" t="str">
        <f t="shared" ref="J35:J40" si="40">INDEX($B$81:$ZZ$110,ROW(E105)-80,MATCH("*"&amp;"("&amp; $B$2 &amp; ")",$B$79:$ZZ$79,0)+COLUMN(E105)-2)</f>
        <v xml:space="preserve"> </v>
      </c>
      <c r="K35" s="502">
        <f t="shared" ref="K35:K40" si="41">INDEX($B$81:$ZZ$110,ROW(F105)-80,MATCH("*"&amp;"("&amp; $B$2 &amp; ")",$B$79:$ZZ$79,0)+COLUMN(F105)-2)</f>
        <v>46976</v>
      </c>
      <c r="L35" s="467"/>
      <c r="M35" s="513" t="s">
        <v>765</v>
      </c>
      <c r="N35" s="505"/>
      <c r="O35" s="505"/>
      <c r="P35" s="505"/>
      <c r="Q35" s="505"/>
      <c r="R35" s="505">
        <f t="shared" si="13"/>
        <v>172338</v>
      </c>
    </row>
    <row r="36" spans="1:18">
      <c r="A36" s="513" t="s">
        <v>766</v>
      </c>
      <c r="B36" s="503">
        <f t="shared" ref="B36:F36" si="42">INDEX($B$81:$ZZ$110,ROW(B106)-80,MATCH("*"&amp;"("&amp; $A$2 &amp; ")",$B$79:$ZZ$79,0)+COLUMN(B106)-2)</f>
        <v>137</v>
      </c>
      <c r="C36" s="503">
        <f t="shared" si="42"/>
        <v>138</v>
      </c>
      <c r="D36" s="503">
        <f t="shared" si="42"/>
        <v>137</v>
      </c>
      <c r="E36" s="503">
        <f t="shared" si="42"/>
        <v>0</v>
      </c>
      <c r="F36" s="592">
        <f t="shared" si="42"/>
        <v>5223</v>
      </c>
      <c r="G36" s="502">
        <f t="shared" si="37"/>
        <v>102</v>
      </c>
      <c r="H36" s="502">
        <f t="shared" si="38"/>
        <v>106</v>
      </c>
      <c r="I36" s="502">
        <f t="shared" si="39"/>
        <v>81</v>
      </c>
      <c r="J36" s="502">
        <f t="shared" si="40"/>
        <v>41</v>
      </c>
      <c r="K36" s="502">
        <f t="shared" si="41"/>
        <v>1957</v>
      </c>
      <c r="L36" s="467"/>
      <c r="M36" s="513" t="s">
        <v>766</v>
      </c>
      <c r="N36" s="505">
        <f t="shared" si="9"/>
        <v>239</v>
      </c>
      <c r="O36" s="505">
        <f t="shared" si="10"/>
        <v>244</v>
      </c>
      <c r="P36" s="505">
        <f t="shared" si="11"/>
        <v>218</v>
      </c>
      <c r="Q36" s="505">
        <f t="shared" si="12"/>
        <v>41</v>
      </c>
      <c r="R36" s="505">
        <f t="shared" si="13"/>
        <v>7180</v>
      </c>
    </row>
    <row r="37" spans="1:18">
      <c r="A37" s="513" t="s">
        <v>767</v>
      </c>
      <c r="B37" s="503">
        <f t="shared" ref="B37:F37" si="43">INDEX($B$81:$ZZ$110,ROW(B107)-80,MATCH("*"&amp;"("&amp; $A$2 &amp; ")",$B$79:$ZZ$79,0)+COLUMN(B107)-2)</f>
        <v>164</v>
      </c>
      <c r="C37" s="503">
        <f t="shared" si="43"/>
        <v>164</v>
      </c>
      <c r="D37" s="503">
        <f t="shared" si="43"/>
        <v>163</v>
      </c>
      <c r="E37" s="503">
        <f t="shared" si="43"/>
        <v>0</v>
      </c>
      <c r="F37" s="592">
        <f t="shared" si="43"/>
        <v>6202</v>
      </c>
      <c r="G37" s="502">
        <f t="shared" si="37"/>
        <v>129</v>
      </c>
      <c r="H37" s="502">
        <f t="shared" si="38"/>
        <v>143</v>
      </c>
      <c r="I37" s="502">
        <f t="shared" si="39"/>
        <v>107</v>
      </c>
      <c r="J37" s="502">
        <f t="shared" si="40"/>
        <v>52</v>
      </c>
      <c r="K37" s="502">
        <f t="shared" si="41"/>
        <v>2501</v>
      </c>
      <c r="L37" s="467"/>
      <c r="M37" s="513" t="s">
        <v>767</v>
      </c>
      <c r="N37" s="505">
        <f t="shared" si="9"/>
        <v>293</v>
      </c>
      <c r="O37" s="505">
        <f t="shared" si="10"/>
        <v>307</v>
      </c>
      <c r="P37" s="505">
        <f t="shared" si="11"/>
        <v>270</v>
      </c>
      <c r="Q37" s="505">
        <f t="shared" si="12"/>
        <v>52</v>
      </c>
      <c r="R37" s="505">
        <f t="shared" si="13"/>
        <v>8703</v>
      </c>
    </row>
    <row r="38" spans="1:18">
      <c r="A38" s="513" t="s">
        <v>768</v>
      </c>
      <c r="B38" s="503">
        <f t="shared" ref="B38:F38" si="44">INDEX($B$81:$ZZ$110,ROW(B108)-80,MATCH("*"&amp;"("&amp; $A$2 &amp; ")",$B$79:$ZZ$79,0)+COLUMN(B108)-2)</f>
        <v>19</v>
      </c>
      <c r="C38" s="503">
        <f t="shared" si="44"/>
        <v>19</v>
      </c>
      <c r="D38" s="503">
        <f t="shared" si="44"/>
        <v>19</v>
      </c>
      <c r="E38" s="503">
        <f t="shared" si="44"/>
        <v>1</v>
      </c>
      <c r="F38" s="592">
        <f t="shared" si="44"/>
        <v>19</v>
      </c>
      <c r="G38" s="502">
        <f t="shared" si="37"/>
        <v>20</v>
      </c>
      <c r="H38" s="502">
        <f t="shared" si="38"/>
        <v>21</v>
      </c>
      <c r="I38" s="502">
        <f t="shared" si="39"/>
        <v>20</v>
      </c>
      <c r="J38" s="502">
        <f t="shared" si="40"/>
        <v>21</v>
      </c>
      <c r="K38" s="502">
        <f t="shared" si="41"/>
        <v>21</v>
      </c>
      <c r="L38" s="467"/>
      <c r="M38" s="513" t="s">
        <v>768</v>
      </c>
      <c r="N38" s="505">
        <f t="shared" si="9"/>
        <v>39</v>
      </c>
      <c r="O38" s="505">
        <f t="shared" si="10"/>
        <v>40</v>
      </c>
      <c r="P38" s="505">
        <f t="shared" si="11"/>
        <v>39</v>
      </c>
      <c r="Q38" s="505">
        <f t="shared" si="12"/>
        <v>22</v>
      </c>
      <c r="R38" s="505">
        <f t="shared" si="13"/>
        <v>40</v>
      </c>
    </row>
    <row r="39" spans="1:18">
      <c r="A39" s="513" t="s">
        <v>769</v>
      </c>
      <c r="B39" s="503">
        <f t="shared" ref="B39:F39" si="45">INDEX($B$81:$ZZ$110,ROW(B109)-80,MATCH("*"&amp;"("&amp; $A$2 &amp; ")",$B$79:$ZZ$79,0)+COLUMN(B109)-2)</f>
        <v>101</v>
      </c>
      <c r="C39" s="503">
        <f t="shared" si="45"/>
        <v>99</v>
      </c>
      <c r="D39" s="503">
        <f t="shared" si="45"/>
        <v>101</v>
      </c>
      <c r="E39" s="503">
        <f t="shared" si="45"/>
        <v>0</v>
      </c>
      <c r="F39" s="592">
        <f t="shared" si="45"/>
        <v>4380</v>
      </c>
      <c r="G39" s="502">
        <f t="shared" si="37"/>
        <v>66</v>
      </c>
      <c r="H39" s="502">
        <f t="shared" si="38"/>
        <v>70</v>
      </c>
      <c r="I39" s="502">
        <f t="shared" si="39"/>
        <v>56</v>
      </c>
      <c r="J39" s="502">
        <f t="shared" si="40"/>
        <v>28</v>
      </c>
      <c r="K39" s="502">
        <f t="shared" si="41"/>
        <v>1326</v>
      </c>
      <c r="L39" s="467"/>
      <c r="M39" s="513" t="s">
        <v>769</v>
      </c>
      <c r="N39" s="505">
        <f t="shared" si="9"/>
        <v>167</v>
      </c>
      <c r="O39" s="505">
        <f t="shared" si="10"/>
        <v>169</v>
      </c>
      <c r="P39" s="505">
        <f t="shared" si="11"/>
        <v>157</v>
      </c>
      <c r="Q39" s="505">
        <f t="shared" si="12"/>
        <v>28</v>
      </c>
      <c r="R39" s="505">
        <f t="shared" si="13"/>
        <v>5706</v>
      </c>
    </row>
    <row r="40" spans="1:18">
      <c r="A40" s="513" t="s">
        <v>770</v>
      </c>
      <c r="B40" s="503">
        <f t="shared" ref="B40:F40" si="46">INDEX($B$81:$ZZ$110,ROW(B110)-80,MATCH("*"&amp;"("&amp; $A$2 &amp; ")",$B$79:$ZZ$79,0)+COLUMN(B110)-2)</f>
        <v>11</v>
      </c>
      <c r="C40" s="503">
        <f t="shared" si="46"/>
        <v>11</v>
      </c>
      <c r="D40" s="503">
        <f t="shared" si="46"/>
        <v>11</v>
      </c>
      <c r="E40" s="503">
        <f t="shared" si="46"/>
        <v>1</v>
      </c>
      <c r="F40" s="592">
        <f t="shared" si="46"/>
        <v>15</v>
      </c>
      <c r="G40" s="502">
        <f t="shared" si="37"/>
        <v>6</v>
      </c>
      <c r="H40" s="502">
        <f t="shared" si="38"/>
        <v>6</v>
      </c>
      <c r="I40" s="502">
        <f t="shared" si="39"/>
        <v>6</v>
      </c>
      <c r="J40" s="502">
        <f t="shared" si="40"/>
        <v>7</v>
      </c>
      <c r="K40" s="502">
        <f t="shared" si="41"/>
        <v>6</v>
      </c>
      <c r="L40" s="467"/>
      <c r="M40" s="513" t="s">
        <v>770</v>
      </c>
      <c r="N40" s="505">
        <f t="shared" si="9"/>
        <v>17</v>
      </c>
      <c r="O40" s="505">
        <f t="shared" si="10"/>
        <v>17</v>
      </c>
      <c r="P40" s="505">
        <f t="shared" si="11"/>
        <v>17</v>
      </c>
      <c r="Q40" s="505">
        <f t="shared" si="12"/>
        <v>8</v>
      </c>
      <c r="R40" s="505">
        <f t="shared" si="13"/>
        <v>21</v>
      </c>
    </row>
    <row r="43" spans="1:18">
      <c r="B43" s="877"/>
      <c r="C43" s="877"/>
      <c r="D43" s="877"/>
      <c r="E43" s="877"/>
      <c r="F43" s="877"/>
      <c r="G43" s="877"/>
      <c r="H43" s="877"/>
      <c r="I43" s="877"/>
      <c r="J43" s="877"/>
      <c r="K43" s="877"/>
      <c r="M43" s="877"/>
      <c r="N43" s="877"/>
      <c r="O43" s="877"/>
      <c r="P43" s="877"/>
      <c r="Q43" s="877"/>
    </row>
    <row r="44" spans="1:18">
      <c r="L44" s="467"/>
    </row>
    <row r="45" spans="1:18">
      <c r="L45" s="467"/>
    </row>
    <row r="46" spans="1:18">
      <c r="L46" s="467"/>
    </row>
    <row r="47" spans="1:18">
      <c r="L47" s="467"/>
    </row>
    <row r="48" spans="1:18">
      <c r="L48" s="467"/>
    </row>
    <row r="49" spans="12:12">
      <c r="L49" s="467"/>
    </row>
    <row r="50" spans="12:12">
      <c r="L50" s="467"/>
    </row>
    <row r="51" spans="12:12">
      <c r="L51" s="467"/>
    </row>
    <row r="52" spans="12:12">
      <c r="L52" s="467"/>
    </row>
    <row r="53" spans="12:12">
      <c r="L53" s="467"/>
    </row>
    <row r="54" spans="12:12">
      <c r="L54" s="467"/>
    </row>
    <row r="55" spans="12:12">
      <c r="L55" s="467"/>
    </row>
    <row r="56" spans="12:12">
      <c r="L56" s="467"/>
    </row>
    <row r="57" spans="12:12">
      <c r="L57" s="467"/>
    </row>
    <row r="58" spans="12:12">
      <c r="L58" s="467"/>
    </row>
    <row r="59" spans="12:12">
      <c r="L59" s="467"/>
    </row>
    <row r="60" spans="12:12">
      <c r="L60" s="467"/>
    </row>
    <row r="61" spans="12:12">
      <c r="L61" s="467"/>
    </row>
    <row r="62" spans="12:12">
      <c r="L62" s="467"/>
    </row>
    <row r="63" spans="12:12">
      <c r="L63" s="467"/>
    </row>
    <row r="64" spans="12:12">
      <c r="L64" s="467"/>
    </row>
    <row r="65" spans="1:363">
      <c r="L65" s="467"/>
    </row>
    <row r="66" spans="1:363">
      <c r="L66" s="467"/>
    </row>
    <row r="67" spans="1:363">
      <c r="L67" s="467"/>
    </row>
    <row r="68" spans="1:363">
      <c r="L68" s="467"/>
    </row>
    <row r="69" spans="1:363">
      <c r="L69" s="467"/>
    </row>
    <row r="70" spans="1:363">
      <c r="L70" s="467"/>
    </row>
    <row r="71" spans="1:363">
      <c r="L71" s="467"/>
    </row>
    <row r="72" spans="1:363">
      <c r="L72" s="467"/>
    </row>
    <row r="73" spans="1:363">
      <c r="L73" s="467"/>
    </row>
    <row r="74" spans="1:363">
      <c r="L74" s="467"/>
    </row>
    <row r="79" spans="1:363">
      <c r="A79" s="467" t="s">
        <v>3203</v>
      </c>
      <c r="B79" t="s">
        <v>3275</v>
      </c>
      <c r="G79" t="s">
        <v>93</v>
      </c>
      <c r="L79" t="s">
        <v>94</v>
      </c>
      <c r="Q79" t="s">
        <v>95</v>
      </c>
      <c r="V79" t="s">
        <v>96</v>
      </c>
      <c r="AA79" t="s">
        <v>3203</v>
      </c>
      <c r="AB79" t="s">
        <v>3208</v>
      </c>
      <c r="AG79" t="s">
        <v>3209</v>
      </c>
      <c r="AL79" t="s">
        <v>3210</v>
      </c>
      <c r="AQ79" t="s">
        <v>85</v>
      </c>
      <c r="AV79" t="s">
        <v>85</v>
      </c>
      <c r="BA79" t="s">
        <v>3203</v>
      </c>
      <c r="BB79" t="s">
        <v>3276</v>
      </c>
      <c r="BG79" t="s">
        <v>3277</v>
      </c>
      <c r="BL79" t="s">
        <v>3278</v>
      </c>
      <c r="BQ79" t="s">
        <v>3279</v>
      </c>
      <c r="BV79" t="s">
        <v>3280</v>
      </c>
      <c r="CA79" t="s">
        <v>3203</v>
      </c>
      <c r="CB79" t="s">
        <v>3281</v>
      </c>
      <c r="CG79" t="s">
        <v>3282</v>
      </c>
      <c r="CL79" t="s">
        <v>85</v>
      </c>
      <c r="CQ79" t="s">
        <v>85</v>
      </c>
      <c r="CV79" t="s">
        <v>85</v>
      </c>
      <c r="DA79" t="s">
        <v>3203</v>
      </c>
      <c r="DB79" t="s">
        <v>3283</v>
      </c>
      <c r="DG79" t="s">
        <v>3284</v>
      </c>
      <c r="DL79" t="s">
        <v>3285</v>
      </c>
      <c r="DQ79" t="s">
        <v>3286</v>
      </c>
      <c r="DV79" t="s">
        <v>3287</v>
      </c>
      <c r="EA79" t="s">
        <v>3203</v>
      </c>
      <c r="EB79" t="s">
        <v>3288</v>
      </c>
      <c r="EG79" t="s">
        <v>85</v>
      </c>
      <c r="EL79" t="s">
        <v>85</v>
      </c>
      <c r="EQ79" t="s">
        <v>85</v>
      </c>
      <c r="EV79" t="s">
        <v>85</v>
      </c>
      <c r="FA79" t="s">
        <v>3203</v>
      </c>
      <c r="FB79" t="s">
        <v>3310</v>
      </c>
      <c r="FG79" t="s">
        <v>3311</v>
      </c>
      <c r="FL79" t="s">
        <v>3312</v>
      </c>
      <c r="FQ79" t="s">
        <v>3313</v>
      </c>
      <c r="FV79" t="s">
        <v>3314</v>
      </c>
      <c r="GA79" t="s">
        <v>3203</v>
      </c>
      <c r="GB79" t="s">
        <v>3315</v>
      </c>
      <c r="GG79" t="s">
        <v>85</v>
      </c>
      <c r="GL79" t="s">
        <v>85</v>
      </c>
      <c r="GQ79" t="s">
        <v>85</v>
      </c>
      <c r="GV79" t="s">
        <v>85</v>
      </c>
      <c r="GZ79" t="s">
        <v>3203</v>
      </c>
      <c r="HA79" t="s">
        <v>4767</v>
      </c>
      <c r="HF79" t="s">
        <v>4768</v>
      </c>
      <c r="HK79" t="s">
        <v>4769</v>
      </c>
      <c r="HP79" t="s">
        <v>4770</v>
      </c>
      <c r="HU79" t="s">
        <v>4771</v>
      </c>
      <c r="HZ79" t="s">
        <v>3203</v>
      </c>
      <c r="IA79" t="s">
        <v>4772</v>
      </c>
      <c r="IF79" t="s">
        <v>85</v>
      </c>
      <c r="IK79" t="s">
        <v>85</v>
      </c>
      <c r="IP79" t="s">
        <v>85</v>
      </c>
      <c r="IU79" t="s">
        <v>85</v>
      </c>
      <c r="IZ79" t="s">
        <v>3203</v>
      </c>
      <c r="JA79" t="s">
        <v>4773</v>
      </c>
      <c r="JF79" t="s">
        <v>4774</v>
      </c>
      <c r="JK79" t="s">
        <v>4775</v>
      </c>
      <c r="JP79" t="s">
        <v>4776</v>
      </c>
      <c r="JU79" t="s">
        <v>85</v>
      </c>
      <c r="JZ79" t="s">
        <v>3203</v>
      </c>
      <c r="KA79" t="s">
        <v>4777</v>
      </c>
      <c r="KF79" t="s">
        <v>4778</v>
      </c>
      <c r="KK79" t="s">
        <v>4779</v>
      </c>
      <c r="KP79" t="s">
        <v>4780</v>
      </c>
      <c r="KU79" t="s">
        <v>85</v>
      </c>
      <c r="KZ79" t="s">
        <v>3203</v>
      </c>
      <c r="LA79" t="s">
        <v>4781</v>
      </c>
      <c r="LF79" t="s">
        <v>4782</v>
      </c>
      <c r="LK79" t="s">
        <v>4783</v>
      </c>
      <c r="LP79" t="s">
        <v>4784</v>
      </c>
      <c r="LU79" t="s">
        <v>4785</v>
      </c>
      <c r="LZ79" t="s">
        <v>3203</v>
      </c>
      <c r="MA79" t="s">
        <v>4786</v>
      </c>
      <c r="MF79" t="s">
        <v>85</v>
      </c>
      <c r="MK79" t="s">
        <v>85</v>
      </c>
      <c r="MP79" t="s">
        <v>85</v>
      </c>
      <c r="MU79" t="s">
        <v>85</v>
      </c>
    </row>
    <row r="80" spans="1:363">
      <c r="B80" t="s">
        <v>3204</v>
      </c>
      <c r="C80" t="s">
        <v>3205</v>
      </c>
      <c r="D80" t="s">
        <v>3206</v>
      </c>
      <c r="E80" t="s">
        <v>3207</v>
      </c>
      <c r="F80" t="s">
        <v>764</v>
      </c>
      <c r="G80" t="s">
        <v>3204</v>
      </c>
      <c r="H80" t="s">
        <v>3205</v>
      </c>
      <c r="I80" t="s">
        <v>3206</v>
      </c>
      <c r="J80" t="s">
        <v>3207</v>
      </c>
      <c r="K80" t="s">
        <v>764</v>
      </c>
      <c r="L80" t="s">
        <v>3204</v>
      </c>
      <c r="M80" t="s">
        <v>3205</v>
      </c>
      <c r="N80" t="s">
        <v>3206</v>
      </c>
      <c r="O80" t="s">
        <v>3207</v>
      </c>
      <c r="P80" t="s">
        <v>764</v>
      </c>
      <c r="Q80" t="s">
        <v>3204</v>
      </c>
      <c r="R80" t="s">
        <v>3205</v>
      </c>
      <c r="S80" t="s">
        <v>3206</v>
      </c>
      <c r="T80" t="s">
        <v>3207</v>
      </c>
      <c r="U80" t="s">
        <v>764</v>
      </c>
      <c r="V80" t="s">
        <v>3204</v>
      </c>
      <c r="W80" t="s">
        <v>3205</v>
      </c>
      <c r="X80" t="s">
        <v>3206</v>
      </c>
      <c r="Y80" t="s">
        <v>3207</v>
      </c>
      <c r="Z80" t="s">
        <v>764</v>
      </c>
      <c r="AB80" t="s">
        <v>3204</v>
      </c>
      <c r="AC80" t="s">
        <v>3205</v>
      </c>
      <c r="AD80" t="s">
        <v>3206</v>
      </c>
      <c r="AE80" t="s">
        <v>3207</v>
      </c>
      <c r="AF80" t="s">
        <v>764</v>
      </c>
      <c r="AG80" t="s">
        <v>3204</v>
      </c>
      <c r="AH80" t="s">
        <v>3205</v>
      </c>
      <c r="AI80" t="s">
        <v>3206</v>
      </c>
      <c r="AJ80" t="s">
        <v>3207</v>
      </c>
      <c r="AK80" t="s">
        <v>764</v>
      </c>
      <c r="AL80" t="s">
        <v>3204</v>
      </c>
      <c r="AM80" t="s">
        <v>3205</v>
      </c>
      <c r="AN80" t="s">
        <v>3206</v>
      </c>
      <c r="AO80" t="s">
        <v>3207</v>
      </c>
      <c r="AP80" t="s">
        <v>764</v>
      </c>
      <c r="AQ80" t="s">
        <v>3204</v>
      </c>
      <c r="AR80" t="s">
        <v>3205</v>
      </c>
      <c r="AS80" t="s">
        <v>3206</v>
      </c>
      <c r="AT80" t="s">
        <v>3207</v>
      </c>
      <c r="AU80" t="s">
        <v>764</v>
      </c>
      <c r="AV80" t="s">
        <v>3204</v>
      </c>
      <c r="AW80" t="s">
        <v>3205</v>
      </c>
      <c r="AX80" t="s">
        <v>3206</v>
      </c>
      <c r="AY80" t="s">
        <v>3207</v>
      </c>
      <c r="AZ80" t="s">
        <v>764</v>
      </c>
      <c r="BB80" t="s">
        <v>3204</v>
      </c>
      <c r="BC80" t="s">
        <v>3205</v>
      </c>
      <c r="BD80" t="s">
        <v>3206</v>
      </c>
      <c r="BE80" t="s">
        <v>3207</v>
      </c>
      <c r="BF80" t="s">
        <v>764</v>
      </c>
      <c r="BG80" t="s">
        <v>3204</v>
      </c>
      <c r="BH80" t="s">
        <v>3205</v>
      </c>
      <c r="BI80" t="s">
        <v>3206</v>
      </c>
      <c r="BJ80" t="s">
        <v>3207</v>
      </c>
      <c r="BK80" t="s">
        <v>764</v>
      </c>
      <c r="BL80" t="s">
        <v>3204</v>
      </c>
      <c r="BM80" t="s">
        <v>3205</v>
      </c>
      <c r="BN80" t="s">
        <v>3206</v>
      </c>
      <c r="BO80" t="s">
        <v>3207</v>
      </c>
      <c r="BP80" t="s">
        <v>764</v>
      </c>
      <c r="BQ80" t="s">
        <v>3204</v>
      </c>
      <c r="BR80" t="s">
        <v>3205</v>
      </c>
      <c r="BS80" t="s">
        <v>3206</v>
      </c>
      <c r="BT80" t="s">
        <v>3207</v>
      </c>
      <c r="BU80" t="s">
        <v>764</v>
      </c>
      <c r="BV80" t="s">
        <v>3204</v>
      </c>
      <c r="BW80" t="s">
        <v>3205</v>
      </c>
      <c r="BX80" t="s">
        <v>3206</v>
      </c>
      <c r="BY80" t="s">
        <v>3207</v>
      </c>
      <c r="BZ80" t="s">
        <v>764</v>
      </c>
      <c r="CB80" t="s">
        <v>3204</v>
      </c>
      <c r="CC80" t="s">
        <v>3205</v>
      </c>
      <c r="CD80" t="s">
        <v>3206</v>
      </c>
      <c r="CE80" t="s">
        <v>3207</v>
      </c>
      <c r="CF80" t="s">
        <v>764</v>
      </c>
      <c r="CG80" t="s">
        <v>3204</v>
      </c>
      <c r="CH80" t="s">
        <v>3205</v>
      </c>
      <c r="CI80" t="s">
        <v>3206</v>
      </c>
      <c r="CJ80" t="s">
        <v>3207</v>
      </c>
      <c r="CK80" t="s">
        <v>764</v>
      </c>
      <c r="CL80" t="s">
        <v>3204</v>
      </c>
      <c r="CM80" t="s">
        <v>3205</v>
      </c>
      <c r="CN80" t="s">
        <v>3206</v>
      </c>
      <c r="CO80" t="s">
        <v>3207</v>
      </c>
      <c r="CP80" t="s">
        <v>764</v>
      </c>
      <c r="CQ80" t="s">
        <v>3204</v>
      </c>
      <c r="CR80" t="s">
        <v>3205</v>
      </c>
      <c r="CS80" t="s">
        <v>3206</v>
      </c>
      <c r="CT80" t="s">
        <v>3207</v>
      </c>
      <c r="CU80" t="s">
        <v>764</v>
      </c>
      <c r="CV80" t="s">
        <v>3204</v>
      </c>
      <c r="CW80" t="s">
        <v>3205</v>
      </c>
      <c r="CX80" t="s">
        <v>3206</v>
      </c>
      <c r="CY80" t="s">
        <v>3207</v>
      </c>
      <c r="CZ80" t="s">
        <v>764</v>
      </c>
      <c r="DB80" t="s">
        <v>3204</v>
      </c>
      <c r="DC80" t="s">
        <v>3205</v>
      </c>
      <c r="DD80" t="s">
        <v>3206</v>
      </c>
      <c r="DE80" t="s">
        <v>3207</v>
      </c>
      <c r="DF80" t="s">
        <v>764</v>
      </c>
      <c r="DG80" t="s">
        <v>3204</v>
      </c>
      <c r="DH80" t="s">
        <v>3205</v>
      </c>
      <c r="DI80" t="s">
        <v>3206</v>
      </c>
      <c r="DJ80" t="s">
        <v>3207</v>
      </c>
      <c r="DK80" t="s">
        <v>764</v>
      </c>
      <c r="DL80" t="s">
        <v>3204</v>
      </c>
      <c r="DM80" t="s">
        <v>3205</v>
      </c>
      <c r="DN80" t="s">
        <v>3206</v>
      </c>
      <c r="DO80" t="s">
        <v>3207</v>
      </c>
      <c r="DP80" t="s">
        <v>764</v>
      </c>
      <c r="DQ80" t="s">
        <v>3204</v>
      </c>
      <c r="DR80" t="s">
        <v>3205</v>
      </c>
      <c r="DS80" t="s">
        <v>3206</v>
      </c>
      <c r="DT80" t="s">
        <v>3207</v>
      </c>
      <c r="DU80" t="s">
        <v>764</v>
      </c>
      <c r="DV80" t="s">
        <v>3204</v>
      </c>
      <c r="DW80" t="s">
        <v>3205</v>
      </c>
      <c r="DX80" t="s">
        <v>3206</v>
      </c>
      <c r="DY80" t="s">
        <v>3207</v>
      </c>
      <c r="DZ80" t="s">
        <v>764</v>
      </c>
      <c r="EB80" t="s">
        <v>3204</v>
      </c>
      <c r="EC80" t="s">
        <v>3205</v>
      </c>
      <c r="ED80" t="s">
        <v>3206</v>
      </c>
      <c r="EE80" t="s">
        <v>3207</v>
      </c>
      <c r="EF80" t="s">
        <v>764</v>
      </c>
      <c r="EG80" t="s">
        <v>3204</v>
      </c>
      <c r="EH80" t="s">
        <v>3205</v>
      </c>
      <c r="EI80" t="s">
        <v>3206</v>
      </c>
      <c r="EJ80" t="s">
        <v>3207</v>
      </c>
      <c r="EK80" t="s">
        <v>764</v>
      </c>
      <c r="EL80" t="s">
        <v>3204</v>
      </c>
      <c r="EM80" t="s">
        <v>3205</v>
      </c>
      <c r="EN80" t="s">
        <v>3206</v>
      </c>
      <c r="EO80" t="s">
        <v>3207</v>
      </c>
      <c r="EP80" t="s">
        <v>764</v>
      </c>
      <c r="EQ80" t="s">
        <v>3204</v>
      </c>
      <c r="ER80" t="s">
        <v>3205</v>
      </c>
      <c r="ES80" t="s">
        <v>3206</v>
      </c>
      <c r="ET80" t="s">
        <v>3207</v>
      </c>
      <c r="EU80" t="s">
        <v>764</v>
      </c>
      <c r="EV80" t="s">
        <v>3204</v>
      </c>
      <c r="EW80" t="s">
        <v>3205</v>
      </c>
      <c r="EX80" t="s">
        <v>3206</v>
      </c>
      <c r="EY80" t="s">
        <v>3207</v>
      </c>
      <c r="EZ80" t="s">
        <v>764</v>
      </c>
      <c r="FB80" t="s">
        <v>3204</v>
      </c>
      <c r="FC80" t="s">
        <v>3205</v>
      </c>
      <c r="FD80" t="s">
        <v>3206</v>
      </c>
      <c r="FE80" t="s">
        <v>3207</v>
      </c>
      <c r="FF80" t="s">
        <v>764</v>
      </c>
      <c r="FG80" t="s">
        <v>3204</v>
      </c>
      <c r="FH80" t="s">
        <v>3205</v>
      </c>
      <c r="FI80" t="s">
        <v>3206</v>
      </c>
      <c r="FJ80" t="s">
        <v>3207</v>
      </c>
      <c r="FK80" t="s">
        <v>764</v>
      </c>
      <c r="FL80" t="s">
        <v>3204</v>
      </c>
      <c r="FM80" t="s">
        <v>3205</v>
      </c>
      <c r="FN80" t="s">
        <v>3206</v>
      </c>
      <c r="FO80" t="s">
        <v>3207</v>
      </c>
      <c r="FP80" t="s">
        <v>764</v>
      </c>
      <c r="FQ80" t="s">
        <v>3204</v>
      </c>
      <c r="FR80" t="s">
        <v>3205</v>
      </c>
      <c r="FS80" t="s">
        <v>3206</v>
      </c>
      <c r="FT80" t="s">
        <v>3207</v>
      </c>
      <c r="FU80" t="s">
        <v>764</v>
      </c>
      <c r="FV80" t="s">
        <v>3204</v>
      </c>
      <c r="FW80" t="s">
        <v>3205</v>
      </c>
      <c r="FX80" t="s">
        <v>3206</v>
      </c>
      <c r="FY80" t="s">
        <v>3207</v>
      </c>
      <c r="FZ80" t="s">
        <v>764</v>
      </c>
      <c r="GB80" t="s">
        <v>3204</v>
      </c>
      <c r="GC80" t="s">
        <v>3205</v>
      </c>
      <c r="GD80" t="s">
        <v>3206</v>
      </c>
      <c r="GE80" t="s">
        <v>3207</v>
      </c>
      <c r="GF80" t="s">
        <v>764</v>
      </c>
      <c r="GG80" t="s">
        <v>3204</v>
      </c>
      <c r="GH80" t="s">
        <v>3205</v>
      </c>
      <c r="GI80" t="s">
        <v>3206</v>
      </c>
      <c r="GJ80" t="s">
        <v>3207</v>
      </c>
      <c r="GK80" t="s">
        <v>764</v>
      </c>
      <c r="GL80" t="s">
        <v>3204</v>
      </c>
      <c r="GM80" t="s">
        <v>3205</v>
      </c>
      <c r="GN80" t="s">
        <v>3206</v>
      </c>
      <c r="GO80" t="s">
        <v>3207</v>
      </c>
      <c r="GP80" t="s">
        <v>764</v>
      </c>
      <c r="GQ80" t="s">
        <v>3204</v>
      </c>
      <c r="GR80" t="s">
        <v>3205</v>
      </c>
      <c r="GS80" t="s">
        <v>3206</v>
      </c>
      <c r="GT80" t="s">
        <v>3207</v>
      </c>
      <c r="GU80" t="s">
        <v>764</v>
      </c>
      <c r="GV80" t="s">
        <v>3204</v>
      </c>
      <c r="GW80" t="s">
        <v>3205</v>
      </c>
      <c r="GX80" t="s">
        <v>3206</v>
      </c>
      <c r="GY80" t="s">
        <v>3207</v>
      </c>
      <c r="GZ80" t="s">
        <v>764</v>
      </c>
      <c r="HA80" t="s">
        <v>3204</v>
      </c>
      <c r="HB80" t="s">
        <v>3205</v>
      </c>
      <c r="HC80" t="s">
        <v>3206</v>
      </c>
      <c r="HD80" t="s">
        <v>3207</v>
      </c>
      <c r="HE80" t="s">
        <v>764</v>
      </c>
      <c r="HF80" t="s">
        <v>3204</v>
      </c>
      <c r="HG80" t="s">
        <v>3205</v>
      </c>
      <c r="HH80" t="s">
        <v>3206</v>
      </c>
      <c r="HI80" t="s">
        <v>3207</v>
      </c>
      <c r="HJ80" t="s">
        <v>764</v>
      </c>
      <c r="HK80" t="s">
        <v>3204</v>
      </c>
      <c r="HL80" t="s">
        <v>3205</v>
      </c>
      <c r="HM80" t="s">
        <v>3206</v>
      </c>
      <c r="HN80" t="s">
        <v>3207</v>
      </c>
      <c r="HO80" t="s">
        <v>764</v>
      </c>
      <c r="HP80" t="s">
        <v>3204</v>
      </c>
      <c r="HQ80" t="s">
        <v>3205</v>
      </c>
      <c r="HR80" t="s">
        <v>3206</v>
      </c>
      <c r="HS80" t="s">
        <v>3207</v>
      </c>
      <c r="HT80" t="s">
        <v>764</v>
      </c>
      <c r="HU80" t="s">
        <v>3204</v>
      </c>
      <c r="HV80" t="s">
        <v>3205</v>
      </c>
      <c r="HW80" t="s">
        <v>3206</v>
      </c>
      <c r="HX80" t="s">
        <v>3207</v>
      </c>
      <c r="HY80" t="s">
        <v>764</v>
      </c>
      <c r="IA80" t="s">
        <v>3204</v>
      </c>
      <c r="IB80" t="s">
        <v>3205</v>
      </c>
      <c r="IC80" t="s">
        <v>3206</v>
      </c>
      <c r="ID80" t="s">
        <v>3207</v>
      </c>
      <c r="IE80" t="s">
        <v>764</v>
      </c>
      <c r="IF80" t="s">
        <v>3204</v>
      </c>
      <c r="IG80" t="s">
        <v>3205</v>
      </c>
      <c r="IH80" t="s">
        <v>3206</v>
      </c>
      <c r="II80" t="s">
        <v>3207</v>
      </c>
      <c r="IJ80" t="s">
        <v>764</v>
      </c>
      <c r="IK80" t="s">
        <v>3204</v>
      </c>
      <c r="IL80" t="s">
        <v>3205</v>
      </c>
      <c r="IM80" t="s">
        <v>3206</v>
      </c>
      <c r="IN80" t="s">
        <v>3207</v>
      </c>
      <c r="IO80" t="s">
        <v>764</v>
      </c>
      <c r="IP80" t="s">
        <v>3204</v>
      </c>
      <c r="IQ80" t="s">
        <v>3205</v>
      </c>
      <c r="IR80" t="s">
        <v>3206</v>
      </c>
      <c r="IS80" t="s">
        <v>3207</v>
      </c>
      <c r="IT80" t="s">
        <v>764</v>
      </c>
      <c r="IU80" t="s">
        <v>3204</v>
      </c>
      <c r="IV80" t="s">
        <v>3205</v>
      </c>
      <c r="IW80" t="s">
        <v>3206</v>
      </c>
      <c r="IX80" t="s">
        <v>3207</v>
      </c>
      <c r="IY80" t="s">
        <v>764</v>
      </c>
      <c r="JA80" t="s">
        <v>3204</v>
      </c>
      <c r="JB80" t="s">
        <v>3205</v>
      </c>
      <c r="JC80" t="s">
        <v>3206</v>
      </c>
      <c r="JD80" t="s">
        <v>3207</v>
      </c>
      <c r="JE80" t="s">
        <v>764</v>
      </c>
      <c r="JF80" t="s">
        <v>3204</v>
      </c>
      <c r="JG80" t="s">
        <v>3205</v>
      </c>
      <c r="JH80" t="s">
        <v>3206</v>
      </c>
      <c r="JI80" t="s">
        <v>3207</v>
      </c>
      <c r="JJ80" t="s">
        <v>764</v>
      </c>
      <c r="JK80" t="s">
        <v>3204</v>
      </c>
      <c r="JL80" t="s">
        <v>3205</v>
      </c>
      <c r="JM80" t="s">
        <v>3206</v>
      </c>
      <c r="JN80" t="s">
        <v>3207</v>
      </c>
      <c r="JO80" t="s">
        <v>764</v>
      </c>
      <c r="JP80" t="s">
        <v>3204</v>
      </c>
      <c r="JQ80" t="s">
        <v>3205</v>
      </c>
      <c r="JR80" t="s">
        <v>3206</v>
      </c>
      <c r="JS80" t="s">
        <v>3207</v>
      </c>
      <c r="JT80" t="s">
        <v>764</v>
      </c>
      <c r="JU80" t="s">
        <v>3204</v>
      </c>
      <c r="JV80" t="s">
        <v>3205</v>
      </c>
      <c r="JW80" t="s">
        <v>3206</v>
      </c>
      <c r="JX80" t="s">
        <v>3207</v>
      </c>
      <c r="JY80" t="s">
        <v>764</v>
      </c>
      <c r="KA80" t="s">
        <v>3204</v>
      </c>
      <c r="KB80" t="s">
        <v>3205</v>
      </c>
      <c r="KC80" t="s">
        <v>3206</v>
      </c>
      <c r="KD80" t="s">
        <v>3207</v>
      </c>
      <c r="KE80" t="s">
        <v>764</v>
      </c>
      <c r="KF80" t="s">
        <v>3204</v>
      </c>
      <c r="KG80" t="s">
        <v>3205</v>
      </c>
      <c r="KH80" t="s">
        <v>3206</v>
      </c>
      <c r="KI80" t="s">
        <v>3207</v>
      </c>
      <c r="KJ80" t="s">
        <v>764</v>
      </c>
      <c r="KK80" t="s">
        <v>3204</v>
      </c>
      <c r="KL80" t="s">
        <v>3205</v>
      </c>
      <c r="KM80" t="s">
        <v>3206</v>
      </c>
      <c r="KN80" t="s">
        <v>3207</v>
      </c>
      <c r="KO80" t="s">
        <v>764</v>
      </c>
      <c r="KP80" t="s">
        <v>3204</v>
      </c>
      <c r="KQ80" t="s">
        <v>3205</v>
      </c>
      <c r="KR80" t="s">
        <v>3206</v>
      </c>
      <c r="KS80" t="s">
        <v>3207</v>
      </c>
      <c r="KT80" t="s">
        <v>764</v>
      </c>
      <c r="KU80" t="s">
        <v>3204</v>
      </c>
      <c r="KV80" t="s">
        <v>3205</v>
      </c>
      <c r="KW80" t="s">
        <v>3206</v>
      </c>
      <c r="KX80" t="s">
        <v>3207</v>
      </c>
      <c r="KY80" t="s">
        <v>764</v>
      </c>
      <c r="LA80" t="s">
        <v>3204</v>
      </c>
      <c r="LB80" t="s">
        <v>3205</v>
      </c>
      <c r="LC80" t="s">
        <v>3206</v>
      </c>
      <c r="LD80" t="s">
        <v>3207</v>
      </c>
      <c r="LE80" t="s">
        <v>764</v>
      </c>
      <c r="LF80" t="s">
        <v>3204</v>
      </c>
      <c r="LG80" t="s">
        <v>3205</v>
      </c>
      <c r="LH80" t="s">
        <v>3206</v>
      </c>
      <c r="LI80" t="s">
        <v>3207</v>
      </c>
      <c r="LJ80" t="s">
        <v>764</v>
      </c>
      <c r="LK80" t="s">
        <v>3204</v>
      </c>
      <c r="LL80" t="s">
        <v>3205</v>
      </c>
      <c r="LM80" t="s">
        <v>3206</v>
      </c>
      <c r="LN80" t="s">
        <v>3207</v>
      </c>
      <c r="LO80" t="s">
        <v>764</v>
      </c>
      <c r="LP80" t="s">
        <v>3204</v>
      </c>
      <c r="LQ80" t="s">
        <v>3205</v>
      </c>
      <c r="LR80" t="s">
        <v>3206</v>
      </c>
      <c r="LS80" t="s">
        <v>3207</v>
      </c>
      <c r="LT80" t="s">
        <v>764</v>
      </c>
      <c r="LU80" t="s">
        <v>3204</v>
      </c>
      <c r="LV80" t="s">
        <v>3205</v>
      </c>
      <c r="LW80" t="s">
        <v>3206</v>
      </c>
      <c r="LX80" t="s">
        <v>3207</v>
      </c>
      <c r="LY80" t="s">
        <v>764</v>
      </c>
      <c r="MA80" t="s">
        <v>3204</v>
      </c>
      <c r="MB80" t="s">
        <v>3205</v>
      </c>
      <c r="MC80" t="s">
        <v>3206</v>
      </c>
      <c r="MD80" t="s">
        <v>3207</v>
      </c>
      <c r="ME80" t="s">
        <v>764</v>
      </c>
      <c r="MF80" t="s">
        <v>3204</v>
      </c>
      <c r="MG80" t="s">
        <v>3205</v>
      </c>
      <c r="MH80" t="s">
        <v>3206</v>
      </c>
      <c r="MI80" t="s">
        <v>3207</v>
      </c>
      <c r="MJ80" t="s">
        <v>764</v>
      </c>
      <c r="MK80" t="s">
        <v>3204</v>
      </c>
      <c r="ML80" t="s">
        <v>3205</v>
      </c>
      <c r="MM80" t="s">
        <v>3206</v>
      </c>
      <c r="MN80" t="s">
        <v>3207</v>
      </c>
      <c r="MO80" t="s">
        <v>764</v>
      </c>
      <c r="MP80" t="s">
        <v>3204</v>
      </c>
      <c r="MQ80" t="s">
        <v>3205</v>
      </c>
      <c r="MR80" t="s">
        <v>3206</v>
      </c>
      <c r="MS80" t="s">
        <v>3207</v>
      </c>
      <c r="MT80" t="s">
        <v>764</v>
      </c>
      <c r="MU80" t="s">
        <v>3204</v>
      </c>
      <c r="MV80" t="s">
        <v>3205</v>
      </c>
      <c r="MW80" t="s">
        <v>3206</v>
      </c>
      <c r="MX80" t="s">
        <v>3207</v>
      </c>
      <c r="MY80" t="s">
        <v>764</v>
      </c>
    </row>
    <row r="81" spans="1:363">
      <c r="A81" s="467">
        <v>1</v>
      </c>
      <c r="B81">
        <v>0</v>
      </c>
      <c r="C81">
        <v>-1</v>
      </c>
      <c r="D81">
        <v>0</v>
      </c>
      <c r="E81">
        <v>-1</v>
      </c>
      <c r="F81">
        <v>24</v>
      </c>
      <c r="G81">
        <v>6</v>
      </c>
      <c r="H81">
        <v>6</v>
      </c>
      <c r="I81">
        <v>6</v>
      </c>
      <c r="J81">
        <v>0</v>
      </c>
      <c r="K81">
        <v>82</v>
      </c>
      <c r="L81">
        <v>7</v>
      </c>
      <c r="M81">
        <v>7</v>
      </c>
      <c r="N81">
        <v>7</v>
      </c>
      <c r="O81">
        <v>0</v>
      </c>
      <c r="P81">
        <v>56</v>
      </c>
      <c r="Q81">
        <v>5</v>
      </c>
      <c r="R81">
        <v>5</v>
      </c>
      <c r="S81">
        <v>4</v>
      </c>
      <c r="T81">
        <v>0</v>
      </c>
      <c r="U81">
        <v>72</v>
      </c>
      <c r="V81">
        <v>6</v>
      </c>
      <c r="W81">
        <v>6</v>
      </c>
      <c r="X81">
        <v>6</v>
      </c>
      <c r="Y81">
        <v>1</v>
      </c>
      <c r="Z81">
        <v>0</v>
      </c>
      <c r="AA81">
        <v>1</v>
      </c>
      <c r="AB81">
        <v>11</v>
      </c>
      <c r="AC81">
        <v>10</v>
      </c>
      <c r="AD81">
        <v>10</v>
      </c>
      <c r="AE81">
        <v>1</v>
      </c>
      <c r="AF81">
        <v>103</v>
      </c>
      <c r="AG81">
        <v>11</v>
      </c>
      <c r="AH81">
        <v>11</v>
      </c>
      <c r="AI81">
        <v>11</v>
      </c>
      <c r="AJ81">
        <v>1</v>
      </c>
      <c r="AK81">
        <v>101</v>
      </c>
      <c r="AL81">
        <v>1</v>
      </c>
      <c r="AM81">
        <v>1</v>
      </c>
      <c r="AN81">
        <v>1</v>
      </c>
      <c r="AO81">
        <v>1</v>
      </c>
      <c r="AP81">
        <v>47</v>
      </c>
      <c r="AQ81" t="s">
        <v>85</v>
      </c>
      <c r="AR81" t="s">
        <v>85</v>
      </c>
      <c r="AS81" t="s">
        <v>85</v>
      </c>
      <c r="AT81" t="s">
        <v>85</v>
      </c>
      <c r="AU81" t="s">
        <v>85</v>
      </c>
      <c r="AV81" t="s">
        <v>85</v>
      </c>
      <c r="AW81" t="s">
        <v>85</v>
      </c>
      <c r="AX81" t="s">
        <v>85</v>
      </c>
      <c r="AY81" t="s">
        <v>85</v>
      </c>
      <c r="AZ81" t="s">
        <v>85</v>
      </c>
      <c r="BA81">
        <v>1</v>
      </c>
      <c r="BB81">
        <v>21</v>
      </c>
      <c r="BC81">
        <v>21</v>
      </c>
      <c r="BD81">
        <v>22</v>
      </c>
      <c r="BE81">
        <v>0</v>
      </c>
      <c r="BF81">
        <v>777</v>
      </c>
      <c r="BG81">
        <v>12</v>
      </c>
      <c r="BH81">
        <v>10</v>
      </c>
      <c r="BI81">
        <v>10</v>
      </c>
      <c r="BJ81">
        <v>0</v>
      </c>
      <c r="BK81">
        <v>373</v>
      </c>
      <c r="BL81">
        <v>7</v>
      </c>
      <c r="BM81">
        <v>8</v>
      </c>
      <c r="BN81">
        <v>6</v>
      </c>
      <c r="BO81">
        <v>0</v>
      </c>
      <c r="BP81">
        <v>83</v>
      </c>
      <c r="BQ81">
        <v>41</v>
      </c>
      <c r="BR81">
        <v>42</v>
      </c>
      <c r="BS81">
        <v>39</v>
      </c>
      <c r="BT81">
        <v>1</v>
      </c>
      <c r="BU81">
        <v>1576</v>
      </c>
      <c r="BV81">
        <v>42</v>
      </c>
      <c r="BW81">
        <v>45</v>
      </c>
      <c r="BX81">
        <v>43</v>
      </c>
      <c r="BY81">
        <v>0</v>
      </c>
      <c r="BZ81">
        <v>1732</v>
      </c>
      <c r="CA81">
        <v>1</v>
      </c>
      <c r="CB81" t="s">
        <v>85</v>
      </c>
      <c r="CC81" t="s">
        <v>85</v>
      </c>
      <c r="CD81" t="s">
        <v>85</v>
      </c>
      <c r="CE81" t="s">
        <v>85</v>
      </c>
      <c r="CF81">
        <v>0</v>
      </c>
      <c r="CG81">
        <v>2</v>
      </c>
      <c r="CH81">
        <v>2</v>
      </c>
      <c r="CI81">
        <v>2</v>
      </c>
      <c r="CJ81">
        <v>0</v>
      </c>
      <c r="CK81">
        <v>59</v>
      </c>
      <c r="CL81" t="s">
        <v>85</v>
      </c>
      <c r="CM81" t="s">
        <v>85</v>
      </c>
      <c r="CN81" t="s">
        <v>85</v>
      </c>
      <c r="CO81" t="s">
        <v>85</v>
      </c>
      <c r="CP81" t="s">
        <v>85</v>
      </c>
      <c r="CQ81" t="s">
        <v>85</v>
      </c>
      <c r="CR81" t="s">
        <v>85</v>
      </c>
      <c r="CS81" t="s">
        <v>85</v>
      </c>
      <c r="CT81" t="s">
        <v>85</v>
      </c>
      <c r="CU81" t="s">
        <v>85</v>
      </c>
      <c r="CV81" t="s">
        <v>85</v>
      </c>
      <c r="CW81" t="s">
        <v>85</v>
      </c>
      <c r="CX81" t="s">
        <v>85</v>
      </c>
      <c r="CY81" t="s">
        <v>85</v>
      </c>
      <c r="CZ81" t="s">
        <v>85</v>
      </c>
      <c r="DA81">
        <v>1</v>
      </c>
      <c r="DB81">
        <v>142</v>
      </c>
      <c r="DC81">
        <v>143</v>
      </c>
      <c r="DD81">
        <v>142</v>
      </c>
      <c r="DE81">
        <v>0</v>
      </c>
      <c r="DF81">
        <v>5257</v>
      </c>
      <c r="DG81">
        <v>8</v>
      </c>
      <c r="DH81">
        <v>8</v>
      </c>
      <c r="DI81">
        <v>8</v>
      </c>
      <c r="DJ81">
        <v>0</v>
      </c>
      <c r="DK81">
        <v>263</v>
      </c>
      <c r="DL81">
        <v>9</v>
      </c>
      <c r="DM81">
        <v>9</v>
      </c>
      <c r="DN81">
        <v>9</v>
      </c>
      <c r="DO81">
        <v>0</v>
      </c>
      <c r="DP81">
        <v>323</v>
      </c>
      <c r="DQ81">
        <v>0</v>
      </c>
      <c r="DR81">
        <v>0</v>
      </c>
      <c r="DS81">
        <v>0</v>
      </c>
      <c r="DT81">
        <v>0</v>
      </c>
      <c r="DU81">
        <v>0</v>
      </c>
      <c r="DV81">
        <v>0</v>
      </c>
      <c r="DW81">
        <v>0</v>
      </c>
      <c r="DX81">
        <v>0</v>
      </c>
      <c r="DY81">
        <v>0</v>
      </c>
      <c r="DZ81">
        <v>0</v>
      </c>
      <c r="EA81">
        <v>1</v>
      </c>
      <c r="EB81">
        <v>0</v>
      </c>
      <c r="EC81">
        <v>0</v>
      </c>
      <c r="ED81">
        <v>0</v>
      </c>
      <c r="EE81">
        <v>0</v>
      </c>
      <c r="EF81">
        <v>0</v>
      </c>
      <c r="EG81" t="s">
        <v>85</v>
      </c>
      <c r="EH81" t="s">
        <v>85</v>
      </c>
      <c r="EI81" t="s">
        <v>85</v>
      </c>
      <c r="EJ81" t="s">
        <v>85</v>
      </c>
      <c r="EK81" t="s">
        <v>85</v>
      </c>
      <c r="EL81" t="s">
        <v>85</v>
      </c>
      <c r="EM81" t="s">
        <v>85</v>
      </c>
      <c r="EN81" t="s">
        <v>85</v>
      </c>
      <c r="EO81" t="s">
        <v>85</v>
      </c>
      <c r="EP81" t="s">
        <v>85</v>
      </c>
      <c r="EQ81" t="s">
        <v>85</v>
      </c>
      <c r="ER81" t="s">
        <v>85</v>
      </c>
      <c r="ES81" t="s">
        <v>85</v>
      </c>
      <c r="ET81" t="s">
        <v>85</v>
      </c>
      <c r="EU81" t="s">
        <v>85</v>
      </c>
      <c r="EV81" t="s">
        <v>85</v>
      </c>
      <c r="EW81" t="s">
        <v>85</v>
      </c>
      <c r="EX81" t="s">
        <v>85</v>
      </c>
      <c r="EY81" t="s">
        <v>85</v>
      </c>
      <c r="EZ81" t="s">
        <v>85</v>
      </c>
      <c r="FA81">
        <v>1</v>
      </c>
      <c r="FB81">
        <v>2</v>
      </c>
      <c r="FC81">
        <v>1</v>
      </c>
      <c r="FD81">
        <v>1</v>
      </c>
      <c r="FE81">
        <v>0</v>
      </c>
      <c r="FF81">
        <v>0</v>
      </c>
      <c r="FG81">
        <v>0</v>
      </c>
      <c r="FH81">
        <v>0</v>
      </c>
      <c r="FI81">
        <v>0</v>
      </c>
      <c r="FJ81">
        <v>0</v>
      </c>
      <c r="FK81">
        <v>0</v>
      </c>
      <c r="FL81">
        <v>0</v>
      </c>
      <c r="FM81">
        <v>0</v>
      </c>
      <c r="FN81">
        <v>0</v>
      </c>
      <c r="FO81">
        <v>0</v>
      </c>
      <c r="FP81">
        <v>0</v>
      </c>
      <c r="FQ81">
        <v>43</v>
      </c>
      <c r="FR81">
        <v>44</v>
      </c>
      <c r="FS81">
        <v>47</v>
      </c>
      <c r="FT81">
        <v>0</v>
      </c>
      <c r="FU81">
        <v>1807</v>
      </c>
      <c r="FV81">
        <v>12</v>
      </c>
      <c r="FW81">
        <v>12</v>
      </c>
      <c r="FX81">
        <v>12</v>
      </c>
      <c r="FY81">
        <v>0</v>
      </c>
      <c r="FZ81">
        <v>498</v>
      </c>
      <c r="GA81">
        <v>1</v>
      </c>
      <c r="GB81">
        <v>94</v>
      </c>
      <c r="GC81">
        <v>98</v>
      </c>
      <c r="GD81">
        <v>95</v>
      </c>
      <c r="GE81">
        <v>0</v>
      </c>
      <c r="GF81">
        <v>3673</v>
      </c>
      <c r="GG81" t="s">
        <v>85</v>
      </c>
      <c r="GH81" t="s">
        <v>85</v>
      </c>
      <c r="GI81" t="s">
        <v>85</v>
      </c>
      <c r="GJ81" t="s">
        <v>85</v>
      </c>
      <c r="GK81" t="s">
        <v>85</v>
      </c>
      <c r="GL81" t="s">
        <v>85</v>
      </c>
      <c r="GM81" t="s">
        <v>85</v>
      </c>
      <c r="GN81" t="s">
        <v>85</v>
      </c>
      <c r="GO81" t="s">
        <v>85</v>
      </c>
      <c r="GP81" t="s">
        <v>85</v>
      </c>
      <c r="GQ81" t="s">
        <v>85</v>
      </c>
      <c r="GR81" t="s">
        <v>85</v>
      </c>
      <c r="GS81" t="s">
        <v>85</v>
      </c>
      <c r="GT81" t="s">
        <v>85</v>
      </c>
      <c r="GU81" t="s">
        <v>85</v>
      </c>
      <c r="GV81" t="s">
        <v>85</v>
      </c>
      <c r="GW81" t="s">
        <v>85</v>
      </c>
      <c r="GX81" t="s">
        <v>85</v>
      </c>
      <c r="GY81" t="s">
        <v>85</v>
      </c>
      <c r="GZ81">
        <v>1</v>
      </c>
      <c r="HA81">
        <v>109</v>
      </c>
      <c r="HB81">
        <v>131</v>
      </c>
      <c r="HC81">
        <v>106</v>
      </c>
      <c r="HD81">
        <v>28</v>
      </c>
      <c r="HE81">
        <v>2212</v>
      </c>
      <c r="HF81">
        <v>71</v>
      </c>
      <c r="HG81">
        <v>86</v>
      </c>
      <c r="HH81">
        <v>73</v>
      </c>
      <c r="HI81">
        <v>19</v>
      </c>
      <c r="HJ81">
        <v>1488</v>
      </c>
      <c r="HK81">
        <v>70</v>
      </c>
      <c r="HL81">
        <v>63</v>
      </c>
      <c r="HM81">
        <v>76</v>
      </c>
      <c r="HN81">
        <v>20</v>
      </c>
      <c r="HO81">
        <v>1502</v>
      </c>
      <c r="HP81">
        <v>39</v>
      </c>
      <c r="HQ81">
        <v>48</v>
      </c>
      <c r="HR81">
        <v>40</v>
      </c>
      <c r="HS81">
        <v>13</v>
      </c>
      <c r="HT81">
        <v>873</v>
      </c>
      <c r="HU81">
        <v>126</v>
      </c>
      <c r="HV81">
        <v>156</v>
      </c>
      <c r="HW81">
        <v>108</v>
      </c>
      <c r="HX81">
        <v>38</v>
      </c>
      <c r="HY81">
        <v>2770</v>
      </c>
      <c r="HZ81">
        <v>1</v>
      </c>
      <c r="IA81">
        <v>97</v>
      </c>
      <c r="IB81">
        <v>102</v>
      </c>
      <c r="IC81">
        <v>76</v>
      </c>
      <c r="ID81">
        <v>42</v>
      </c>
      <c r="IE81">
        <v>1947</v>
      </c>
      <c r="IF81" t="s">
        <v>85</v>
      </c>
      <c r="IG81" t="s">
        <v>85</v>
      </c>
      <c r="IH81" t="s">
        <v>85</v>
      </c>
      <c r="II81" t="s">
        <v>85</v>
      </c>
      <c r="IJ81" t="s">
        <v>85</v>
      </c>
      <c r="IK81" t="s">
        <v>85</v>
      </c>
      <c r="IL81" t="s">
        <v>85</v>
      </c>
      <c r="IM81" t="s">
        <v>85</v>
      </c>
      <c r="IN81" t="s">
        <v>85</v>
      </c>
      <c r="IO81" t="s">
        <v>85</v>
      </c>
      <c r="IP81" t="s">
        <v>85</v>
      </c>
      <c r="IQ81" t="s">
        <v>85</v>
      </c>
      <c r="IR81" t="s">
        <v>85</v>
      </c>
      <c r="IS81" t="s">
        <v>85</v>
      </c>
      <c r="IT81" t="s">
        <v>85</v>
      </c>
      <c r="IU81" t="s">
        <v>85</v>
      </c>
      <c r="IV81" t="s">
        <v>85</v>
      </c>
      <c r="IW81" t="s">
        <v>85</v>
      </c>
      <c r="IX81" t="s">
        <v>85</v>
      </c>
      <c r="IY81" t="s">
        <v>85</v>
      </c>
      <c r="IZ81">
        <v>1</v>
      </c>
      <c r="JA81">
        <v>126</v>
      </c>
      <c r="JB81">
        <v>84</v>
      </c>
      <c r="JC81">
        <v>98</v>
      </c>
      <c r="JD81">
        <v>38</v>
      </c>
      <c r="JE81">
        <v>2105</v>
      </c>
      <c r="JF81">
        <v>110</v>
      </c>
      <c r="JG81">
        <v>91</v>
      </c>
      <c r="JH81">
        <v>94</v>
      </c>
      <c r="JI81">
        <v>38</v>
      </c>
      <c r="JJ81">
        <v>2075</v>
      </c>
      <c r="JK81">
        <v>100</v>
      </c>
      <c r="JL81">
        <v>118</v>
      </c>
      <c r="JM81">
        <v>125</v>
      </c>
      <c r="JN81">
        <v>41</v>
      </c>
      <c r="JO81">
        <v>2411</v>
      </c>
      <c r="JP81">
        <v>97</v>
      </c>
      <c r="JQ81">
        <v>64</v>
      </c>
      <c r="JR81">
        <v>87</v>
      </c>
      <c r="JS81">
        <v>35</v>
      </c>
      <c r="JT81">
        <v>1710</v>
      </c>
      <c r="JU81" t="s">
        <v>85</v>
      </c>
      <c r="JV81" t="s">
        <v>85</v>
      </c>
      <c r="JW81" t="s">
        <v>85</v>
      </c>
      <c r="JX81" t="s">
        <v>85</v>
      </c>
      <c r="JY81" t="s">
        <v>85</v>
      </c>
      <c r="JZ81">
        <v>1</v>
      </c>
      <c r="KA81">
        <v>79</v>
      </c>
      <c r="KB81">
        <v>86</v>
      </c>
      <c r="KC81">
        <v>64</v>
      </c>
      <c r="KD81">
        <v>20</v>
      </c>
      <c r="KE81">
        <v>1573</v>
      </c>
      <c r="KF81">
        <v>177</v>
      </c>
      <c r="KG81">
        <v>193</v>
      </c>
      <c r="KH81">
        <v>165</v>
      </c>
      <c r="KI81">
        <v>32</v>
      </c>
      <c r="KJ81">
        <v>3694</v>
      </c>
      <c r="KK81">
        <v>70</v>
      </c>
      <c r="KL81">
        <v>67</v>
      </c>
      <c r="KM81">
        <v>57</v>
      </c>
      <c r="KN81">
        <v>28</v>
      </c>
      <c r="KO81">
        <v>1340</v>
      </c>
      <c r="KP81">
        <v>62</v>
      </c>
      <c r="KQ81">
        <v>40</v>
      </c>
      <c r="KR81">
        <v>67</v>
      </c>
      <c r="KS81">
        <v>31</v>
      </c>
      <c r="KT81">
        <v>1193</v>
      </c>
      <c r="KU81" t="s">
        <v>85</v>
      </c>
      <c r="KV81" t="s">
        <v>85</v>
      </c>
      <c r="KW81" t="s">
        <v>85</v>
      </c>
      <c r="KX81" t="s">
        <v>85</v>
      </c>
      <c r="KY81" t="s">
        <v>85</v>
      </c>
      <c r="KZ81">
        <v>1</v>
      </c>
      <c r="LA81">
        <v>116</v>
      </c>
      <c r="LB81">
        <v>135</v>
      </c>
      <c r="LC81">
        <v>102</v>
      </c>
      <c r="LD81">
        <v>41</v>
      </c>
      <c r="LE81">
        <v>2438</v>
      </c>
      <c r="LF81">
        <v>60</v>
      </c>
      <c r="LG81">
        <v>72</v>
      </c>
      <c r="LH81">
        <v>49</v>
      </c>
      <c r="LI81">
        <v>16</v>
      </c>
      <c r="LJ81">
        <v>1254</v>
      </c>
      <c r="LK81">
        <v>127</v>
      </c>
      <c r="LL81">
        <v>112</v>
      </c>
      <c r="LM81">
        <v>119</v>
      </c>
      <c r="LN81">
        <v>40</v>
      </c>
      <c r="LO81">
        <v>2521</v>
      </c>
      <c r="LP81">
        <v>86</v>
      </c>
      <c r="LQ81">
        <v>97</v>
      </c>
      <c r="LR81">
        <v>101</v>
      </c>
      <c r="LS81">
        <v>17</v>
      </c>
      <c r="LT81">
        <v>1788</v>
      </c>
      <c r="LU81">
        <v>0</v>
      </c>
      <c r="LV81">
        <v>5</v>
      </c>
      <c r="LW81">
        <v>4</v>
      </c>
      <c r="LX81">
        <v>5</v>
      </c>
      <c r="LY81">
        <v>57</v>
      </c>
      <c r="LZ81">
        <v>1</v>
      </c>
      <c r="MA81">
        <v>65</v>
      </c>
      <c r="MB81">
        <v>94</v>
      </c>
      <c r="MC81">
        <v>57</v>
      </c>
      <c r="MD81">
        <v>34</v>
      </c>
      <c r="ME81">
        <v>1507</v>
      </c>
      <c r="MF81" t="s">
        <v>85</v>
      </c>
      <c r="MG81" t="s">
        <v>85</v>
      </c>
      <c r="MH81" t="s">
        <v>85</v>
      </c>
      <c r="MI81" t="s">
        <v>85</v>
      </c>
      <c r="MJ81" t="s">
        <v>85</v>
      </c>
      <c r="MK81" t="s">
        <v>85</v>
      </c>
      <c r="ML81" t="s">
        <v>85</v>
      </c>
      <c r="MM81" t="s">
        <v>85</v>
      </c>
      <c r="MN81" t="s">
        <v>85</v>
      </c>
      <c r="MO81" t="s">
        <v>85</v>
      </c>
      <c r="MP81" t="s">
        <v>85</v>
      </c>
      <c r="MQ81" t="s">
        <v>85</v>
      </c>
      <c r="MR81" t="s">
        <v>85</v>
      </c>
      <c r="MS81" t="s">
        <v>85</v>
      </c>
      <c r="MT81" t="s">
        <v>85</v>
      </c>
      <c r="MU81" t="s">
        <v>85</v>
      </c>
      <c r="MV81" t="s">
        <v>85</v>
      </c>
      <c r="MW81" t="s">
        <v>85</v>
      </c>
      <c r="MX81" t="s">
        <v>85</v>
      </c>
      <c r="MY81" t="s">
        <v>85</v>
      </c>
    </row>
    <row r="82" spans="1:363">
      <c r="A82" s="467">
        <v>2</v>
      </c>
      <c r="B82">
        <v>-1</v>
      </c>
      <c r="C82">
        <v>-1</v>
      </c>
      <c r="D82">
        <v>-1</v>
      </c>
      <c r="E82">
        <v>-1</v>
      </c>
      <c r="F82">
        <v>25</v>
      </c>
      <c r="G82">
        <v>5</v>
      </c>
      <c r="H82">
        <v>6</v>
      </c>
      <c r="I82">
        <v>6</v>
      </c>
      <c r="J82">
        <v>0</v>
      </c>
      <c r="K82">
        <v>108</v>
      </c>
      <c r="L82">
        <v>9</v>
      </c>
      <c r="M82">
        <v>9</v>
      </c>
      <c r="N82">
        <v>8</v>
      </c>
      <c r="O82">
        <v>0</v>
      </c>
      <c r="P82">
        <v>79</v>
      </c>
      <c r="Q82">
        <v>5</v>
      </c>
      <c r="R82">
        <v>5</v>
      </c>
      <c r="S82">
        <v>5</v>
      </c>
      <c r="T82">
        <v>0</v>
      </c>
      <c r="U82">
        <v>80</v>
      </c>
      <c r="V82">
        <v>7</v>
      </c>
      <c r="W82">
        <v>7</v>
      </c>
      <c r="X82">
        <v>7</v>
      </c>
      <c r="Y82">
        <v>1</v>
      </c>
      <c r="Z82">
        <v>0</v>
      </c>
      <c r="AA82">
        <v>2</v>
      </c>
      <c r="AB82">
        <v>12</v>
      </c>
      <c r="AC82">
        <v>12</v>
      </c>
      <c r="AD82">
        <v>11</v>
      </c>
      <c r="AE82">
        <v>1</v>
      </c>
      <c r="AF82">
        <v>175</v>
      </c>
      <c r="AG82">
        <v>12</v>
      </c>
      <c r="AH82">
        <v>12</v>
      </c>
      <c r="AI82">
        <v>12</v>
      </c>
      <c r="AJ82">
        <v>1</v>
      </c>
      <c r="AK82">
        <v>138</v>
      </c>
      <c r="AL82">
        <v>1</v>
      </c>
      <c r="AM82">
        <v>1</v>
      </c>
      <c r="AN82">
        <v>1</v>
      </c>
      <c r="AO82">
        <v>1</v>
      </c>
      <c r="AP82">
        <v>47</v>
      </c>
      <c r="AQ82" t="s">
        <v>85</v>
      </c>
      <c r="AR82" t="s">
        <v>85</v>
      </c>
      <c r="AS82" t="s">
        <v>85</v>
      </c>
      <c r="AT82" t="s">
        <v>85</v>
      </c>
      <c r="AU82" t="s">
        <v>85</v>
      </c>
      <c r="AV82" t="s">
        <v>85</v>
      </c>
      <c r="AW82" t="s">
        <v>85</v>
      </c>
      <c r="AX82" t="s">
        <v>85</v>
      </c>
      <c r="AY82" t="s">
        <v>85</v>
      </c>
      <c r="AZ82" t="s">
        <v>85</v>
      </c>
      <c r="BA82">
        <v>2</v>
      </c>
      <c r="BB82">
        <v>21</v>
      </c>
      <c r="BC82">
        <v>21</v>
      </c>
      <c r="BD82">
        <v>21</v>
      </c>
      <c r="BE82">
        <v>0</v>
      </c>
      <c r="BF82">
        <v>796</v>
      </c>
      <c r="BG82">
        <v>12</v>
      </c>
      <c r="BH82">
        <v>10</v>
      </c>
      <c r="BI82">
        <v>9</v>
      </c>
      <c r="BJ82">
        <v>0</v>
      </c>
      <c r="BK82">
        <v>379</v>
      </c>
      <c r="BL82">
        <v>7</v>
      </c>
      <c r="BM82">
        <v>8</v>
      </c>
      <c r="BN82">
        <v>6</v>
      </c>
      <c r="BO82">
        <v>0</v>
      </c>
      <c r="BP82">
        <v>76</v>
      </c>
      <c r="BQ82">
        <v>41</v>
      </c>
      <c r="BR82">
        <v>43</v>
      </c>
      <c r="BS82">
        <v>41</v>
      </c>
      <c r="BT82">
        <v>1</v>
      </c>
      <c r="BU82">
        <v>1551</v>
      </c>
      <c r="BV82">
        <v>42</v>
      </c>
      <c r="BW82">
        <v>46</v>
      </c>
      <c r="BX82">
        <v>43</v>
      </c>
      <c r="BY82">
        <v>0</v>
      </c>
      <c r="BZ82">
        <v>1714</v>
      </c>
      <c r="CA82">
        <v>2</v>
      </c>
      <c r="CB82" t="s">
        <v>85</v>
      </c>
      <c r="CC82" t="s">
        <v>85</v>
      </c>
      <c r="CD82" t="s">
        <v>85</v>
      </c>
      <c r="CE82" t="s">
        <v>85</v>
      </c>
      <c r="CF82">
        <v>0</v>
      </c>
      <c r="CG82">
        <v>2</v>
      </c>
      <c r="CH82">
        <v>2</v>
      </c>
      <c r="CI82">
        <v>2</v>
      </c>
      <c r="CJ82">
        <v>0</v>
      </c>
      <c r="CK82">
        <v>58</v>
      </c>
      <c r="CL82" t="s">
        <v>85</v>
      </c>
      <c r="CM82" t="s">
        <v>85</v>
      </c>
      <c r="CN82" t="s">
        <v>85</v>
      </c>
      <c r="CO82" t="s">
        <v>85</v>
      </c>
      <c r="CP82" t="s">
        <v>85</v>
      </c>
      <c r="CQ82" t="s">
        <v>85</v>
      </c>
      <c r="CR82" t="s">
        <v>85</v>
      </c>
      <c r="CS82" t="s">
        <v>85</v>
      </c>
      <c r="CT82" t="s">
        <v>85</v>
      </c>
      <c r="CU82" t="s">
        <v>85</v>
      </c>
      <c r="CV82" t="s">
        <v>85</v>
      </c>
      <c r="CW82" t="s">
        <v>85</v>
      </c>
      <c r="CX82" t="s">
        <v>85</v>
      </c>
      <c r="CY82" t="s">
        <v>85</v>
      </c>
      <c r="CZ82" t="s">
        <v>85</v>
      </c>
      <c r="DA82">
        <v>2</v>
      </c>
      <c r="DB82">
        <v>141</v>
      </c>
      <c r="DC82">
        <v>143</v>
      </c>
      <c r="DD82">
        <v>141</v>
      </c>
      <c r="DE82">
        <v>0</v>
      </c>
      <c r="DF82">
        <v>5144</v>
      </c>
      <c r="DG82">
        <v>8</v>
      </c>
      <c r="DH82">
        <v>8</v>
      </c>
      <c r="DI82">
        <v>8</v>
      </c>
      <c r="DJ82">
        <v>0</v>
      </c>
      <c r="DK82">
        <v>262</v>
      </c>
      <c r="DL82">
        <v>9</v>
      </c>
      <c r="DM82">
        <v>8</v>
      </c>
      <c r="DN82">
        <v>9</v>
      </c>
      <c r="DO82">
        <v>0</v>
      </c>
      <c r="DP82">
        <v>311</v>
      </c>
      <c r="DQ82">
        <v>0</v>
      </c>
      <c r="DR82">
        <v>0</v>
      </c>
      <c r="DS82">
        <v>0</v>
      </c>
      <c r="DT82">
        <v>0</v>
      </c>
      <c r="DU82">
        <v>0</v>
      </c>
      <c r="DV82">
        <v>0</v>
      </c>
      <c r="DW82">
        <v>0</v>
      </c>
      <c r="DX82">
        <v>0</v>
      </c>
      <c r="DY82">
        <v>0</v>
      </c>
      <c r="DZ82">
        <v>0</v>
      </c>
      <c r="EA82">
        <v>2</v>
      </c>
      <c r="EB82">
        <v>0</v>
      </c>
      <c r="EC82">
        <v>0</v>
      </c>
      <c r="ED82">
        <v>0</v>
      </c>
      <c r="EE82">
        <v>0</v>
      </c>
      <c r="EF82">
        <v>0</v>
      </c>
      <c r="EG82" t="s">
        <v>85</v>
      </c>
      <c r="EH82" t="s">
        <v>85</v>
      </c>
      <c r="EI82" t="s">
        <v>85</v>
      </c>
      <c r="EJ82" t="s">
        <v>85</v>
      </c>
      <c r="EK82" t="s">
        <v>85</v>
      </c>
      <c r="EL82" t="s">
        <v>85</v>
      </c>
      <c r="EM82" t="s">
        <v>85</v>
      </c>
      <c r="EN82" t="s">
        <v>85</v>
      </c>
      <c r="EO82" t="s">
        <v>85</v>
      </c>
      <c r="EP82" t="s">
        <v>85</v>
      </c>
      <c r="EQ82" t="s">
        <v>85</v>
      </c>
      <c r="ER82" t="s">
        <v>85</v>
      </c>
      <c r="ES82" t="s">
        <v>85</v>
      </c>
      <c r="ET82" t="s">
        <v>85</v>
      </c>
      <c r="EU82" t="s">
        <v>85</v>
      </c>
      <c r="EV82" t="s">
        <v>85</v>
      </c>
      <c r="EW82" t="s">
        <v>85</v>
      </c>
      <c r="EX82" t="s">
        <v>85</v>
      </c>
      <c r="EY82" t="s">
        <v>85</v>
      </c>
      <c r="EZ82" t="s">
        <v>85</v>
      </c>
      <c r="FA82">
        <v>2</v>
      </c>
      <c r="FB82">
        <v>2</v>
      </c>
      <c r="FC82">
        <v>1</v>
      </c>
      <c r="FD82">
        <v>1</v>
      </c>
      <c r="FE82">
        <v>0</v>
      </c>
      <c r="FF82">
        <v>0</v>
      </c>
      <c r="FG82">
        <v>0</v>
      </c>
      <c r="FH82">
        <v>0</v>
      </c>
      <c r="FI82">
        <v>0</v>
      </c>
      <c r="FJ82">
        <v>0</v>
      </c>
      <c r="FK82">
        <v>0</v>
      </c>
      <c r="FL82">
        <v>0</v>
      </c>
      <c r="FM82">
        <v>0</v>
      </c>
      <c r="FN82">
        <v>0</v>
      </c>
      <c r="FO82">
        <v>0</v>
      </c>
      <c r="FP82">
        <v>0</v>
      </c>
      <c r="FQ82">
        <v>44</v>
      </c>
      <c r="FR82">
        <v>44</v>
      </c>
      <c r="FS82">
        <v>46</v>
      </c>
      <c r="FT82">
        <v>0</v>
      </c>
      <c r="FU82">
        <v>1833</v>
      </c>
      <c r="FV82">
        <v>27</v>
      </c>
      <c r="FW82">
        <v>23</v>
      </c>
      <c r="FX82">
        <v>25</v>
      </c>
      <c r="FY82">
        <v>0</v>
      </c>
      <c r="FZ82">
        <v>825</v>
      </c>
      <c r="GA82">
        <v>2</v>
      </c>
      <c r="GB82">
        <v>94</v>
      </c>
      <c r="GC82">
        <v>99</v>
      </c>
      <c r="GD82">
        <v>95</v>
      </c>
      <c r="GE82">
        <v>0</v>
      </c>
      <c r="GF82">
        <v>3663</v>
      </c>
      <c r="GG82" t="s">
        <v>85</v>
      </c>
      <c r="GH82" t="s">
        <v>85</v>
      </c>
      <c r="GI82" t="s">
        <v>85</v>
      </c>
      <c r="GJ82" t="s">
        <v>85</v>
      </c>
      <c r="GK82" t="s">
        <v>85</v>
      </c>
      <c r="GL82" t="s">
        <v>85</v>
      </c>
      <c r="GM82" t="s">
        <v>85</v>
      </c>
      <c r="GN82" t="s">
        <v>85</v>
      </c>
      <c r="GO82" t="s">
        <v>85</v>
      </c>
      <c r="GP82" t="s">
        <v>85</v>
      </c>
      <c r="GQ82" t="s">
        <v>85</v>
      </c>
      <c r="GR82" t="s">
        <v>85</v>
      </c>
      <c r="GS82" t="s">
        <v>85</v>
      </c>
      <c r="GT82" t="s">
        <v>85</v>
      </c>
      <c r="GU82" t="s">
        <v>85</v>
      </c>
      <c r="GV82" t="s">
        <v>85</v>
      </c>
      <c r="GW82" t="s">
        <v>85</v>
      </c>
      <c r="GX82" t="s">
        <v>85</v>
      </c>
      <c r="GY82" t="s">
        <v>85</v>
      </c>
      <c r="GZ82">
        <v>2</v>
      </c>
      <c r="HA82">
        <v>111</v>
      </c>
      <c r="HB82">
        <v>129</v>
      </c>
      <c r="HC82">
        <v>107</v>
      </c>
      <c r="HD82">
        <v>21</v>
      </c>
      <c r="HE82">
        <v>2190</v>
      </c>
      <c r="HF82">
        <v>65</v>
      </c>
      <c r="HG82">
        <v>80</v>
      </c>
      <c r="HH82">
        <v>67</v>
      </c>
      <c r="HI82">
        <v>19</v>
      </c>
      <c r="HJ82">
        <v>1468</v>
      </c>
      <c r="HK82">
        <v>67</v>
      </c>
      <c r="HL82">
        <v>60</v>
      </c>
      <c r="HM82">
        <v>77</v>
      </c>
      <c r="HN82">
        <v>24</v>
      </c>
      <c r="HO82">
        <v>1392</v>
      </c>
      <c r="HP82">
        <v>38</v>
      </c>
      <c r="HQ82">
        <v>44</v>
      </c>
      <c r="HR82">
        <v>38</v>
      </c>
      <c r="HS82">
        <v>12</v>
      </c>
      <c r="HT82">
        <v>822</v>
      </c>
      <c r="HU82">
        <v>117</v>
      </c>
      <c r="HV82">
        <v>146</v>
      </c>
      <c r="HW82">
        <v>107</v>
      </c>
      <c r="HX82">
        <v>35</v>
      </c>
      <c r="HY82">
        <v>2530</v>
      </c>
      <c r="HZ82">
        <v>2</v>
      </c>
      <c r="IA82">
        <v>91</v>
      </c>
      <c r="IB82">
        <v>90</v>
      </c>
      <c r="IC82">
        <v>71</v>
      </c>
      <c r="ID82">
        <v>39</v>
      </c>
      <c r="IE82">
        <v>1753</v>
      </c>
      <c r="IF82" t="s">
        <v>85</v>
      </c>
      <c r="IG82" t="s">
        <v>85</v>
      </c>
      <c r="IH82" t="s">
        <v>85</v>
      </c>
      <c r="II82" t="s">
        <v>85</v>
      </c>
      <c r="IJ82" t="s">
        <v>85</v>
      </c>
      <c r="IK82" t="s">
        <v>85</v>
      </c>
      <c r="IL82" t="s">
        <v>85</v>
      </c>
      <c r="IM82" t="s">
        <v>85</v>
      </c>
      <c r="IN82" t="s">
        <v>85</v>
      </c>
      <c r="IO82" t="s">
        <v>85</v>
      </c>
      <c r="IP82" t="s">
        <v>85</v>
      </c>
      <c r="IQ82" t="s">
        <v>85</v>
      </c>
      <c r="IR82" t="s">
        <v>85</v>
      </c>
      <c r="IS82" t="s">
        <v>85</v>
      </c>
      <c r="IT82" t="s">
        <v>85</v>
      </c>
      <c r="IU82" t="s">
        <v>85</v>
      </c>
      <c r="IV82" t="s">
        <v>85</v>
      </c>
      <c r="IW82" t="s">
        <v>85</v>
      </c>
      <c r="IX82" t="s">
        <v>85</v>
      </c>
      <c r="IY82" t="s">
        <v>85</v>
      </c>
      <c r="IZ82">
        <v>2</v>
      </c>
      <c r="JA82">
        <v>117</v>
      </c>
      <c r="JB82">
        <v>82</v>
      </c>
      <c r="JC82">
        <v>94</v>
      </c>
      <c r="JD82">
        <v>34</v>
      </c>
      <c r="JE82">
        <v>2017</v>
      </c>
      <c r="JF82">
        <v>95</v>
      </c>
      <c r="JG82">
        <v>85</v>
      </c>
      <c r="JH82">
        <v>80</v>
      </c>
      <c r="JI82">
        <v>37</v>
      </c>
      <c r="JJ82">
        <v>1844</v>
      </c>
      <c r="JK82">
        <v>91</v>
      </c>
      <c r="JL82">
        <v>107</v>
      </c>
      <c r="JM82">
        <v>114</v>
      </c>
      <c r="JN82">
        <v>38</v>
      </c>
      <c r="JO82">
        <v>2181</v>
      </c>
      <c r="JP82">
        <v>87</v>
      </c>
      <c r="JQ82">
        <v>60</v>
      </c>
      <c r="JR82">
        <v>75</v>
      </c>
      <c r="JS82">
        <v>31</v>
      </c>
      <c r="JT82">
        <v>1531</v>
      </c>
      <c r="JU82" t="s">
        <v>85</v>
      </c>
      <c r="JV82" t="s">
        <v>85</v>
      </c>
      <c r="JW82" t="s">
        <v>85</v>
      </c>
      <c r="JX82" t="s">
        <v>85</v>
      </c>
      <c r="JY82" t="s">
        <v>85</v>
      </c>
      <c r="JZ82">
        <v>2</v>
      </c>
      <c r="KA82">
        <v>70</v>
      </c>
      <c r="KB82">
        <v>79</v>
      </c>
      <c r="KC82">
        <v>64</v>
      </c>
      <c r="KD82">
        <v>16</v>
      </c>
      <c r="KE82">
        <v>1462</v>
      </c>
      <c r="KF82">
        <v>173</v>
      </c>
      <c r="KG82">
        <v>188</v>
      </c>
      <c r="KH82">
        <v>166</v>
      </c>
      <c r="KI82">
        <v>27</v>
      </c>
      <c r="KJ82">
        <v>3510</v>
      </c>
      <c r="KK82">
        <v>62</v>
      </c>
      <c r="KL82">
        <v>62</v>
      </c>
      <c r="KM82">
        <v>52</v>
      </c>
      <c r="KN82">
        <v>24</v>
      </c>
      <c r="KO82">
        <v>1220</v>
      </c>
      <c r="KP82">
        <v>53</v>
      </c>
      <c r="KQ82">
        <v>35</v>
      </c>
      <c r="KR82">
        <v>63</v>
      </c>
      <c r="KS82">
        <v>30</v>
      </c>
      <c r="KT82">
        <v>1084</v>
      </c>
      <c r="KU82" t="s">
        <v>85</v>
      </c>
      <c r="KV82" t="s">
        <v>85</v>
      </c>
      <c r="KW82" t="s">
        <v>85</v>
      </c>
      <c r="KX82" t="s">
        <v>85</v>
      </c>
      <c r="KY82" t="s">
        <v>85</v>
      </c>
      <c r="KZ82">
        <v>2</v>
      </c>
      <c r="LA82">
        <v>107</v>
      </c>
      <c r="LB82">
        <v>114</v>
      </c>
      <c r="LC82">
        <v>92</v>
      </c>
      <c r="LD82">
        <v>31</v>
      </c>
      <c r="LE82">
        <v>2203</v>
      </c>
      <c r="LF82">
        <v>59</v>
      </c>
      <c r="LG82">
        <v>67</v>
      </c>
      <c r="LH82">
        <v>46</v>
      </c>
      <c r="LI82">
        <v>12</v>
      </c>
      <c r="LJ82">
        <v>1136</v>
      </c>
      <c r="LK82">
        <v>109</v>
      </c>
      <c r="LL82">
        <v>100</v>
      </c>
      <c r="LM82">
        <v>108</v>
      </c>
      <c r="LN82">
        <v>37</v>
      </c>
      <c r="LO82">
        <v>2248</v>
      </c>
      <c r="LP82">
        <v>82</v>
      </c>
      <c r="LQ82">
        <v>88</v>
      </c>
      <c r="LR82">
        <v>97</v>
      </c>
      <c r="LS82">
        <v>16</v>
      </c>
      <c r="LT82">
        <v>1710</v>
      </c>
      <c r="LU82">
        <v>0</v>
      </c>
      <c r="LV82">
        <v>3</v>
      </c>
      <c r="LW82">
        <v>4</v>
      </c>
      <c r="LX82">
        <v>4</v>
      </c>
      <c r="LY82">
        <v>50</v>
      </c>
      <c r="LZ82">
        <v>2</v>
      </c>
      <c r="MA82">
        <v>53</v>
      </c>
      <c r="MB82">
        <v>84</v>
      </c>
      <c r="MC82">
        <v>53</v>
      </c>
      <c r="MD82">
        <v>34</v>
      </c>
      <c r="ME82">
        <v>1341</v>
      </c>
      <c r="MF82" t="s">
        <v>85</v>
      </c>
      <c r="MG82" t="s">
        <v>85</v>
      </c>
      <c r="MH82" t="s">
        <v>85</v>
      </c>
      <c r="MI82" t="s">
        <v>85</v>
      </c>
      <c r="MJ82" t="s">
        <v>85</v>
      </c>
      <c r="MK82" t="s">
        <v>85</v>
      </c>
      <c r="ML82" t="s">
        <v>85</v>
      </c>
      <c r="MM82" t="s">
        <v>85</v>
      </c>
      <c r="MN82" t="s">
        <v>85</v>
      </c>
      <c r="MO82" t="s">
        <v>85</v>
      </c>
      <c r="MP82" t="s">
        <v>85</v>
      </c>
      <c r="MQ82" t="s">
        <v>85</v>
      </c>
      <c r="MR82" t="s">
        <v>85</v>
      </c>
      <c r="MS82" t="s">
        <v>85</v>
      </c>
      <c r="MT82" t="s">
        <v>85</v>
      </c>
      <c r="MU82" t="s">
        <v>85</v>
      </c>
      <c r="MV82" t="s">
        <v>85</v>
      </c>
      <c r="MW82" t="s">
        <v>85</v>
      </c>
      <c r="MX82" t="s">
        <v>85</v>
      </c>
      <c r="MY82" t="s">
        <v>85</v>
      </c>
    </row>
    <row r="83" spans="1:363">
      <c r="A83" s="467">
        <v>3</v>
      </c>
      <c r="B83">
        <v>0</v>
      </c>
      <c r="C83">
        <v>0</v>
      </c>
      <c r="D83">
        <v>0</v>
      </c>
      <c r="E83">
        <v>-1</v>
      </c>
      <c r="F83">
        <v>26</v>
      </c>
      <c r="G83">
        <v>6</v>
      </c>
      <c r="H83">
        <v>6</v>
      </c>
      <c r="I83">
        <v>6</v>
      </c>
      <c r="J83">
        <v>0</v>
      </c>
      <c r="K83">
        <v>83</v>
      </c>
      <c r="L83">
        <v>7</v>
      </c>
      <c r="M83">
        <v>7</v>
      </c>
      <c r="N83">
        <v>7</v>
      </c>
      <c r="O83">
        <v>0</v>
      </c>
      <c r="P83">
        <v>79</v>
      </c>
      <c r="Q83">
        <v>7</v>
      </c>
      <c r="R83">
        <v>7</v>
      </c>
      <c r="S83">
        <v>6</v>
      </c>
      <c r="T83">
        <v>0</v>
      </c>
      <c r="U83">
        <v>83</v>
      </c>
      <c r="V83">
        <v>11</v>
      </c>
      <c r="W83">
        <v>11</v>
      </c>
      <c r="X83">
        <v>11</v>
      </c>
      <c r="Y83">
        <v>1</v>
      </c>
      <c r="Z83">
        <v>0</v>
      </c>
      <c r="AA83">
        <v>3</v>
      </c>
      <c r="AB83">
        <v>12</v>
      </c>
      <c r="AC83">
        <v>12</v>
      </c>
      <c r="AD83">
        <v>12</v>
      </c>
      <c r="AE83">
        <v>1</v>
      </c>
      <c r="AF83">
        <v>169</v>
      </c>
      <c r="AG83">
        <v>13</v>
      </c>
      <c r="AH83">
        <v>13</v>
      </c>
      <c r="AI83">
        <v>13</v>
      </c>
      <c r="AJ83">
        <v>1</v>
      </c>
      <c r="AK83">
        <v>195</v>
      </c>
      <c r="AL83">
        <v>1</v>
      </c>
      <c r="AM83">
        <v>1</v>
      </c>
      <c r="AN83">
        <v>1</v>
      </c>
      <c r="AO83">
        <v>1</v>
      </c>
      <c r="AP83">
        <v>47</v>
      </c>
      <c r="AQ83" t="s">
        <v>85</v>
      </c>
      <c r="AR83" t="s">
        <v>85</v>
      </c>
      <c r="AS83" t="s">
        <v>85</v>
      </c>
      <c r="AT83" t="s">
        <v>85</v>
      </c>
      <c r="AU83" t="s">
        <v>85</v>
      </c>
      <c r="AV83" t="s">
        <v>85</v>
      </c>
      <c r="AW83" t="s">
        <v>85</v>
      </c>
      <c r="AX83" t="s">
        <v>85</v>
      </c>
      <c r="AY83" t="s">
        <v>85</v>
      </c>
      <c r="AZ83" t="s">
        <v>85</v>
      </c>
      <c r="BA83">
        <v>3</v>
      </c>
      <c r="BB83">
        <v>21</v>
      </c>
      <c r="BC83">
        <v>21</v>
      </c>
      <c r="BD83">
        <v>21</v>
      </c>
      <c r="BE83">
        <v>0</v>
      </c>
      <c r="BF83">
        <v>799</v>
      </c>
      <c r="BG83">
        <v>11</v>
      </c>
      <c r="BH83">
        <v>9</v>
      </c>
      <c r="BI83">
        <v>9</v>
      </c>
      <c r="BJ83">
        <v>0</v>
      </c>
      <c r="BK83">
        <v>364</v>
      </c>
      <c r="BL83">
        <v>7</v>
      </c>
      <c r="BM83">
        <v>8</v>
      </c>
      <c r="BN83">
        <v>6</v>
      </c>
      <c r="BO83">
        <v>0</v>
      </c>
      <c r="BP83">
        <v>73</v>
      </c>
      <c r="BQ83">
        <v>43</v>
      </c>
      <c r="BR83">
        <v>44</v>
      </c>
      <c r="BS83">
        <v>42</v>
      </c>
      <c r="BT83">
        <v>2</v>
      </c>
      <c r="BU83">
        <v>1648</v>
      </c>
      <c r="BV83">
        <v>37</v>
      </c>
      <c r="BW83">
        <v>39</v>
      </c>
      <c r="BX83">
        <v>37</v>
      </c>
      <c r="BY83">
        <v>0</v>
      </c>
      <c r="BZ83">
        <v>1607</v>
      </c>
      <c r="CA83">
        <v>3</v>
      </c>
      <c r="CB83" t="s">
        <v>85</v>
      </c>
      <c r="CC83" t="s">
        <v>85</v>
      </c>
      <c r="CD83" t="s">
        <v>85</v>
      </c>
      <c r="CE83" t="s">
        <v>85</v>
      </c>
      <c r="CF83">
        <v>0</v>
      </c>
      <c r="CG83">
        <v>2</v>
      </c>
      <c r="CH83">
        <v>2</v>
      </c>
      <c r="CI83">
        <v>2</v>
      </c>
      <c r="CJ83">
        <v>0</v>
      </c>
      <c r="CK83">
        <v>58</v>
      </c>
      <c r="CL83" t="s">
        <v>85</v>
      </c>
      <c r="CM83" t="s">
        <v>85</v>
      </c>
      <c r="CN83" t="s">
        <v>85</v>
      </c>
      <c r="CO83" t="s">
        <v>85</v>
      </c>
      <c r="CP83" t="s">
        <v>85</v>
      </c>
      <c r="CQ83" t="s">
        <v>85</v>
      </c>
      <c r="CR83" t="s">
        <v>85</v>
      </c>
      <c r="CS83" t="s">
        <v>85</v>
      </c>
      <c r="CT83" t="s">
        <v>85</v>
      </c>
      <c r="CU83" t="s">
        <v>85</v>
      </c>
      <c r="CV83" t="s">
        <v>85</v>
      </c>
      <c r="CW83" t="s">
        <v>85</v>
      </c>
      <c r="CX83" t="s">
        <v>85</v>
      </c>
      <c r="CY83" t="s">
        <v>85</v>
      </c>
      <c r="CZ83" t="s">
        <v>85</v>
      </c>
      <c r="DA83">
        <v>3</v>
      </c>
      <c r="DB83">
        <v>134</v>
      </c>
      <c r="DC83">
        <v>136</v>
      </c>
      <c r="DD83">
        <v>135</v>
      </c>
      <c r="DE83">
        <v>0</v>
      </c>
      <c r="DF83">
        <v>5127</v>
      </c>
      <c r="DG83">
        <v>8</v>
      </c>
      <c r="DH83">
        <v>8</v>
      </c>
      <c r="DI83">
        <v>7</v>
      </c>
      <c r="DJ83">
        <v>0</v>
      </c>
      <c r="DK83">
        <v>258</v>
      </c>
      <c r="DL83">
        <v>9</v>
      </c>
      <c r="DM83">
        <v>9</v>
      </c>
      <c r="DN83">
        <v>9</v>
      </c>
      <c r="DO83">
        <v>0</v>
      </c>
      <c r="DP83">
        <v>321</v>
      </c>
      <c r="DQ83">
        <v>0</v>
      </c>
      <c r="DR83">
        <v>0</v>
      </c>
      <c r="DS83">
        <v>0</v>
      </c>
      <c r="DT83">
        <v>0</v>
      </c>
      <c r="DU83">
        <v>0</v>
      </c>
      <c r="DV83">
        <v>0</v>
      </c>
      <c r="DW83">
        <v>0</v>
      </c>
      <c r="DX83">
        <v>0</v>
      </c>
      <c r="DY83">
        <v>0</v>
      </c>
      <c r="DZ83">
        <v>0</v>
      </c>
      <c r="EA83">
        <v>3</v>
      </c>
      <c r="EB83">
        <v>0</v>
      </c>
      <c r="EC83">
        <v>0</v>
      </c>
      <c r="ED83">
        <v>0</v>
      </c>
      <c r="EE83">
        <v>0</v>
      </c>
      <c r="EF83">
        <v>0</v>
      </c>
      <c r="EG83" t="s">
        <v>85</v>
      </c>
      <c r="EH83" t="s">
        <v>85</v>
      </c>
      <c r="EI83" t="s">
        <v>85</v>
      </c>
      <c r="EJ83" t="s">
        <v>85</v>
      </c>
      <c r="EK83" t="s">
        <v>85</v>
      </c>
      <c r="EL83" t="s">
        <v>85</v>
      </c>
      <c r="EM83" t="s">
        <v>85</v>
      </c>
      <c r="EN83" t="s">
        <v>85</v>
      </c>
      <c r="EO83" t="s">
        <v>85</v>
      </c>
      <c r="EP83" t="s">
        <v>85</v>
      </c>
      <c r="EQ83" t="s">
        <v>85</v>
      </c>
      <c r="ER83" t="s">
        <v>85</v>
      </c>
      <c r="ES83" t="s">
        <v>85</v>
      </c>
      <c r="ET83" t="s">
        <v>85</v>
      </c>
      <c r="EU83" t="s">
        <v>85</v>
      </c>
      <c r="EV83" t="s">
        <v>85</v>
      </c>
      <c r="EW83" t="s">
        <v>85</v>
      </c>
      <c r="EX83" t="s">
        <v>85</v>
      </c>
      <c r="EY83" t="s">
        <v>85</v>
      </c>
      <c r="EZ83" t="s">
        <v>85</v>
      </c>
      <c r="FA83">
        <v>3</v>
      </c>
      <c r="FB83">
        <v>2</v>
      </c>
      <c r="FC83">
        <v>1</v>
      </c>
      <c r="FD83">
        <v>1</v>
      </c>
      <c r="FE83">
        <v>0</v>
      </c>
      <c r="FF83">
        <v>0</v>
      </c>
      <c r="FG83">
        <v>0</v>
      </c>
      <c r="FH83">
        <v>0</v>
      </c>
      <c r="FI83">
        <v>0</v>
      </c>
      <c r="FJ83">
        <v>0</v>
      </c>
      <c r="FK83">
        <v>0</v>
      </c>
      <c r="FL83">
        <v>0</v>
      </c>
      <c r="FM83">
        <v>0</v>
      </c>
      <c r="FN83">
        <v>0</v>
      </c>
      <c r="FO83">
        <v>0</v>
      </c>
      <c r="FP83">
        <v>0</v>
      </c>
      <c r="FQ83">
        <v>47</v>
      </c>
      <c r="FR83">
        <v>47</v>
      </c>
      <c r="FS83">
        <v>50</v>
      </c>
      <c r="FT83">
        <v>0</v>
      </c>
      <c r="FU83">
        <v>1792</v>
      </c>
      <c r="FV83">
        <v>12</v>
      </c>
      <c r="FW83">
        <v>11</v>
      </c>
      <c r="FX83">
        <v>11</v>
      </c>
      <c r="FY83">
        <v>0</v>
      </c>
      <c r="FZ83">
        <v>885</v>
      </c>
      <c r="GA83">
        <v>3</v>
      </c>
      <c r="GB83">
        <v>91</v>
      </c>
      <c r="GC83">
        <v>94</v>
      </c>
      <c r="GD83">
        <v>91</v>
      </c>
      <c r="GE83">
        <v>0</v>
      </c>
      <c r="GF83">
        <v>3600</v>
      </c>
      <c r="GG83" t="s">
        <v>85</v>
      </c>
      <c r="GH83" t="s">
        <v>85</v>
      </c>
      <c r="GI83" t="s">
        <v>85</v>
      </c>
      <c r="GJ83" t="s">
        <v>85</v>
      </c>
      <c r="GK83" t="s">
        <v>85</v>
      </c>
      <c r="GL83" t="s">
        <v>85</v>
      </c>
      <c r="GM83" t="s">
        <v>85</v>
      </c>
      <c r="GN83" t="s">
        <v>85</v>
      </c>
      <c r="GO83" t="s">
        <v>85</v>
      </c>
      <c r="GP83" t="s">
        <v>85</v>
      </c>
      <c r="GQ83" t="s">
        <v>85</v>
      </c>
      <c r="GR83" t="s">
        <v>85</v>
      </c>
      <c r="GS83" t="s">
        <v>85</v>
      </c>
      <c r="GT83" t="s">
        <v>85</v>
      </c>
      <c r="GU83" t="s">
        <v>85</v>
      </c>
      <c r="GV83" t="s">
        <v>85</v>
      </c>
      <c r="GW83" t="s">
        <v>85</v>
      </c>
      <c r="GX83" t="s">
        <v>85</v>
      </c>
      <c r="GY83" t="s">
        <v>85</v>
      </c>
      <c r="GZ83">
        <v>3</v>
      </c>
      <c r="HA83">
        <v>109</v>
      </c>
      <c r="HB83">
        <v>128</v>
      </c>
      <c r="HC83">
        <v>105</v>
      </c>
      <c r="HD83">
        <v>23</v>
      </c>
      <c r="HE83">
        <v>2168</v>
      </c>
      <c r="HF83">
        <v>68</v>
      </c>
      <c r="HG83">
        <v>79</v>
      </c>
      <c r="HH83">
        <v>70</v>
      </c>
      <c r="HI83">
        <v>16</v>
      </c>
      <c r="HJ83">
        <v>1445</v>
      </c>
      <c r="HK83">
        <v>68</v>
      </c>
      <c r="HL83">
        <v>63</v>
      </c>
      <c r="HM83">
        <v>75</v>
      </c>
      <c r="HN83">
        <v>20</v>
      </c>
      <c r="HO83">
        <v>1362</v>
      </c>
      <c r="HP83">
        <v>34</v>
      </c>
      <c r="HQ83">
        <v>45</v>
      </c>
      <c r="HR83">
        <v>36</v>
      </c>
      <c r="HS83">
        <v>13</v>
      </c>
      <c r="HT83">
        <v>760</v>
      </c>
      <c r="HU83">
        <v>99</v>
      </c>
      <c r="HV83">
        <v>133</v>
      </c>
      <c r="HW83">
        <v>98</v>
      </c>
      <c r="HX83">
        <v>37</v>
      </c>
      <c r="HY83">
        <v>2312</v>
      </c>
      <c r="HZ83">
        <v>3</v>
      </c>
      <c r="IA83">
        <v>81</v>
      </c>
      <c r="IB83">
        <v>83</v>
      </c>
      <c r="IC83">
        <v>64</v>
      </c>
      <c r="ID83">
        <v>36</v>
      </c>
      <c r="IE83">
        <v>1603</v>
      </c>
      <c r="IF83" t="s">
        <v>85</v>
      </c>
      <c r="IG83" t="s">
        <v>85</v>
      </c>
      <c r="IH83" t="s">
        <v>85</v>
      </c>
      <c r="II83" t="s">
        <v>85</v>
      </c>
      <c r="IJ83" t="s">
        <v>85</v>
      </c>
      <c r="IK83" t="s">
        <v>85</v>
      </c>
      <c r="IL83" t="s">
        <v>85</v>
      </c>
      <c r="IM83" t="s">
        <v>85</v>
      </c>
      <c r="IN83" t="s">
        <v>85</v>
      </c>
      <c r="IO83" t="s">
        <v>85</v>
      </c>
      <c r="IP83" t="s">
        <v>85</v>
      </c>
      <c r="IQ83" t="s">
        <v>85</v>
      </c>
      <c r="IR83" t="s">
        <v>85</v>
      </c>
      <c r="IS83" t="s">
        <v>85</v>
      </c>
      <c r="IT83" t="s">
        <v>85</v>
      </c>
      <c r="IU83" t="s">
        <v>85</v>
      </c>
      <c r="IV83" t="s">
        <v>85</v>
      </c>
      <c r="IW83" t="s">
        <v>85</v>
      </c>
      <c r="IX83" t="s">
        <v>85</v>
      </c>
      <c r="IY83" t="s">
        <v>85</v>
      </c>
      <c r="IZ83">
        <v>3</v>
      </c>
      <c r="JA83">
        <v>112</v>
      </c>
      <c r="JB83">
        <v>82</v>
      </c>
      <c r="JC83">
        <v>92</v>
      </c>
      <c r="JD83">
        <v>31</v>
      </c>
      <c r="JE83">
        <v>1988</v>
      </c>
      <c r="JF83">
        <v>90</v>
      </c>
      <c r="JG83">
        <v>76</v>
      </c>
      <c r="JH83">
        <v>73</v>
      </c>
      <c r="JI83">
        <v>36</v>
      </c>
      <c r="JJ83">
        <v>1679</v>
      </c>
      <c r="JK83">
        <v>84</v>
      </c>
      <c r="JL83">
        <v>101</v>
      </c>
      <c r="JM83">
        <v>109</v>
      </c>
      <c r="JN83">
        <v>37</v>
      </c>
      <c r="JO83">
        <v>2017</v>
      </c>
      <c r="JP83">
        <v>77</v>
      </c>
      <c r="JQ83">
        <v>52</v>
      </c>
      <c r="JR83">
        <v>72</v>
      </c>
      <c r="JS83">
        <v>30</v>
      </c>
      <c r="JT83">
        <v>1420</v>
      </c>
      <c r="JU83" t="s">
        <v>85</v>
      </c>
      <c r="JV83" t="s">
        <v>85</v>
      </c>
      <c r="JW83" t="s">
        <v>85</v>
      </c>
      <c r="JX83" t="s">
        <v>85</v>
      </c>
      <c r="JY83" t="s">
        <v>85</v>
      </c>
      <c r="JZ83">
        <v>3</v>
      </c>
      <c r="KA83">
        <v>65</v>
      </c>
      <c r="KB83">
        <v>75</v>
      </c>
      <c r="KC83">
        <v>59</v>
      </c>
      <c r="KD83">
        <v>15</v>
      </c>
      <c r="KE83">
        <v>1392</v>
      </c>
      <c r="KF83">
        <v>162</v>
      </c>
      <c r="KG83">
        <v>176</v>
      </c>
      <c r="KH83">
        <v>156</v>
      </c>
      <c r="KI83">
        <v>25</v>
      </c>
      <c r="KJ83">
        <v>3325</v>
      </c>
      <c r="KK83">
        <v>60</v>
      </c>
      <c r="KL83">
        <v>58</v>
      </c>
      <c r="KM83">
        <v>46</v>
      </c>
      <c r="KN83">
        <v>27</v>
      </c>
      <c r="KO83">
        <v>1130</v>
      </c>
      <c r="KP83">
        <v>50</v>
      </c>
      <c r="KQ83">
        <v>32</v>
      </c>
      <c r="KR83">
        <v>61</v>
      </c>
      <c r="KS83">
        <v>30</v>
      </c>
      <c r="KT83">
        <v>1003</v>
      </c>
      <c r="KU83" t="s">
        <v>85</v>
      </c>
      <c r="KV83" t="s">
        <v>85</v>
      </c>
      <c r="KW83" t="s">
        <v>85</v>
      </c>
      <c r="KX83" t="s">
        <v>85</v>
      </c>
      <c r="KY83" t="s">
        <v>85</v>
      </c>
      <c r="KZ83">
        <v>3</v>
      </c>
      <c r="LA83">
        <v>97</v>
      </c>
      <c r="LB83">
        <v>106</v>
      </c>
      <c r="LC83">
        <v>86</v>
      </c>
      <c r="LD83">
        <v>29</v>
      </c>
      <c r="LE83">
        <v>2024</v>
      </c>
      <c r="LF83">
        <v>54</v>
      </c>
      <c r="LG83">
        <v>63</v>
      </c>
      <c r="LH83">
        <v>46</v>
      </c>
      <c r="LI83">
        <v>12</v>
      </c>
      <c r="LJ83">
        <v>1080</v>
      </c>
      <c r="LK83">
        <v>109</v>
      </c>
      <c r="LL83">
        <v>93</v>
      </c>
      <c r="LM83">
        <v>102</v>
      </c>
      <c r="LN83">
        <v>37</v>
      </c>
      <c r="LO83">
        <v>2070</v>
      </c>
      <c r="LP83">
        <v>81</v>
      </c>
      <c r="LQ83">
        <v>86</v>
      </c>
      <c r="LR83">
        <v>92</v>
      </c>
      <c r="LS83">
        <v>14</v>
      </c>
      <c r="LT83">
        <v>1664</v>
      </c>
      <c r="LU83">
        <v>0</v>
      </c>
      <c r="LV83">
        <v>3</v>
      </c>
      <c r="LW83">
        <v>3</v>
      </c>
      <c r="LX83">
        <v>4</v>
      </c>
      <c r="LY83">
        <v>43</v>
      </c>
      <c r="LZ83">
        <v>3</v>
      </c>
      <c r="MA83">
        <v>54</v>
      </c>
      <c r="MB83">
        <v>85</v>
      </c>
      <c r="MC83">
        <v>51</v>
      </c>
      <c r="MD83">
        <v>31</v>
      </c>
      <c r="ME83">
        <v>1234</v>
      </c>
      <c r="MF83" t="s">
        <v>85</v>
      </c>
      <c r="MG83" t="s">
        <v>85</v>
      </c>
      <c r="MH83" t="s">
        <v>85</v>
      </c>
      <c r="MI83" t="s">
        <v>85</v>
      </c>
      <c r="MJ83" t="s">
        <v>85</v>
      </c>
      <c r="MK83" t="s">
        <v>85</v>
      </c>
      <c r="ML83" t="s">
        <v>85</v>
      </c>
      <c r="MM83" t="s">
        <v>85</v>
      </c>
      <c r="MN83" t="s">
        <v>85</v>
      </c>
      <c r="MO83" t="s">
        <v>85</v>
      </c>
      <c r="MP83" t="s">
        <v>85</v>
      </c>
      <c r="MQ83" t="s">
        <v>85</v>
      </c>
      <c r="MR83" t="s">
        <v>85</v>
      </c>
      <c r="MS83" t="s">
        <v>85</v>
      </c>
      <c r="MT83" t="s">
        <v>85</v>
      </c>
      <c r="MU83" t="s">
        <v>85</v>
      </c>
      <c r="MV83" t="s">
        <v>85</v>
      </c>
      <c r="MW83" t="s">
        <v>85</v>
      </c>
      <c r="MX83" t="s">
        <v>85</v>
      </c>
      <c r="MY83" t="s">
        <v>85</v>
      </c>
    </row>
    <row r="84" spans="1:363">
      <c r="A84" s="467">
        <v>4</v>
      </c>
      <c r="B84">
        <v>-1</v>
      </c>
      <c r="C84">
        <v>0</v>
      </c>
      <c r="D84">
        <v>-1</v>
      </c>
      <c r="E84">
        <v>-1</v>
      </c>
      <c r="F84">
        <v>26</v>
      </c>
      <c r="G84">
        <v>5</v>
      </c>
      <c r="H84">
        <v>6</v>
      </c>
      <c r="I84">
        <v>6</v>
      </c>
      <c r="J84">
        <v>0</v>
      </c>
      <c r="K84">
        <v>87</v>
      </c>
      <c r="L84">
        <v>7</v>
      </c>
      <c r="M84">
        <v>7</v>
      </c>
      <c r="N84">
        <v>7</v>
      </c>
      <c r="O84">
        <v>0</v>
      </c>
      <c r="P84">
        <v>66</v>
      </c>
      <c r="Q84">
        <v>5</v>
      </c>
      <c r="R84">
        <v>5</v>
      </c>
      <c r="S84">
        <v>5</v>
      </c>
      <c r="T84">
        <v>0</v>
      </c>
      <c r="U84">
        <v>95</v>
      </c>
      <c r="V84">
        <v>8</v>
      </c>
      <c r="W84">
        <v>8</v>
      </c>
      <c r="X84">
        <v>8</v>
      </c>
      <c r="Y84">
        <v>1</v>
      </c>
      <c r="Z84">
        <v>0</v>
      </c>
      <c r="AA84">
        <v>4</v>
      </c>
      <c r="AB84">
        <v>13</v>
      </c>
      <c r="AC84">
        <v>13</v>
      </c>
      <c r="AD84">
        <v>13</v>
      </c>
      <c r="AE84">
        <v>1</v>
      </c>
      <c r="AF84">
        <v>283</v>
      </c>
      <c r="AG84">
        <v>14</v>
      </c>
      <c r="AH84">
        <v>14</v>
      </c>
      <c r="AI84">
        <v>14</v>
      </c>
      <c r="AJ84">
        <v>1</v>
      </c>
      <c r="AK84">
        <v>204</v>
      </c>
      <c r="AL84">
        <v>1</v>
      </c>
      <c r="AM84">
        <v>1</v>
      </c>
      <c r="AN84">
        <v>1</v>
      </c>
      <c r="AO84">
        <v>1</v>
      </c>
      <c r="AP84">
        <v>47</v>
      </c>
      <c r="AQ84" t="s">
        <v>85</v>
      </c>
      <c r="AR84" t="s">
        <v>85</v>
      </c>
      <c r="AS84" t="s">
        <v>85</v>
      </c>
      <c r="AT84" t="s">
        <v>85</v>
      </c>
      <c r="AU84" t="s">
        <v>85</v>
      </c>
      <c r="AV84" t="s">
        <v>85</v>
      </c>
      <c r="AW84" t="s">
        <v>85</v>
      </c>
      <c r="AX84" t="s">
        <v>85</v>
      </c>
      <c r="AY84" t="s">
        <v>85</v>
      </c>
      <c r="AZ84" t="s">
        <v>85</v>
      </c>
      <c r="BA84">
        <v>4</v>
      </c>
      <c r="BB84">
        <v>21</v>
      </c>
      <c r="BC84">
        <v>21</v>
      </c>
      <c r="BD84">
        <v>21</v>
      </c>
      <c r="BE84">
        <v>0</v>
      </c>
      <c r="BF84">
        <v>798</v>
      </c>
      <c r="BG84">
        <v>11</v>
      </c>
      <c r="BH84">
        <v>9</v>
      </c>
      <c r="BI84">
        <v>8</v>
      </c>
      <c r="BJ84">
        <v>0</v>
      </c>
      <c r="BK84">
        <v>362</v>
      </c>
      <c r="BL84">
        <v>7</v>
      </c>
      <c r="BM84">
        <v>8</v>
      </c>
      <c r="BN84">
        <v>6</v>
      </c>
      <c r="BO84">
        <v>0</v>
      </c>
      <c r="BP84">
        <v>90</v>
      </c>
      <c r="BQ84">
        <v>44</v>
      </c>
      <c r="BR84">
        <v>45</v>
      </c>
      <c r="BS84">
        <v>43</v>
      </c>
      <c r="BT84">
        <v>2</v>
      </c>
      <c r="BU84">
        <v>1600</v>
      </c>
      <c r="BV84">
        <v>37</v>
      </c>
      <c r="BW84">
        <v>39</v>
      </c>
      <c r="BX84">
        <v>37</v>
      </c>
      <c r="BY84">
        <v>0</v>
      </c>
      <c r="BZ84">
        <v>1475</v>
      </c>
      <c r="CA84">
        <v>4</v>
      </c>
      <c r="CB84" t="s">
        <v>85</v>
      </c>
      <c r="CC84" t="s">
        <v>85</v>
      </c>
      <c r="CD84" t="s">
        <v>85</v>
      </c>
      <c r="CE84" t="s">
        <v>85</v>
      </c>
      <c r="CF84">
        <v>0</v>
      </c>
      <c r="CG84">
        <v>2</v>
      </c>
      <c r="CH84">
        <v>2</v>
      </c>
      <c r="CI84">
        <v>2</v>
      </c>
      <c r="CJ84">
        <v>0</v>
      </c>
      <c r="CK84">
        <v>59</v>
      </c>
      <c r="CL84" t="s">
        <v>85</v>
      </c>
      <c r="CM84" t="s">
        <v>85</v>
      </c>
      <c r="CN84" t="s">
        <v>85</v>
      </c>
      <c r="CO84" t="s">
        <v>85</v>
      </c>
      <c r="CP84" t="s">
        <v>85</v>
      </c>
      <c r="CQ84" t="s">
        <v>85</v>
      </c>
      <c r="CR84" t="s">
        <v>85</v>
      </c>
      <c r="CS84" t="s">
        <v>85</v>
      </c>
      <c r="CT84" t="s">
        <v>85</v>
      </c>
      <c r="CU84" t="s">
        <v>85</v>
      </c>
      <c r="CV84" t="s">
        <v>85</v>
      </c>
      <c r="CW84" t="s">
        <v>85</v>
      </c>
      <c r="CX84" t="s">
        <v>85</v>
      </c>
      <c r="CY84" t="s">
        <v>85</v>
      </c>
      <c r="CZ84" t="s">
        <v>85</v>
      </c>
      <c r="DA84">
        <v>4</v>
      </c>
      <c r="DB84">
        <v>138</v>
      </c>
      <c r="DC84">
        <v>140</v>
      </c>
      <c r="DD84">
        <v>139</v>
      </c>
      <c r="DE84">
        <v>0</v>
      </c>
      <c r="DF84">
        <v>5010</v>
      </c>
      <c r="DG84">
        <v>8</v>
      </c>
      <c r="DH84">
        <v>7</v>
      </c>
      <c r="DI84">
        <v>7</v>
      </c>
      <c r="DJ84">
        <v>0</v>
      </c>
      <c r="DK84">
        <v>259</v>
      </c>
      <c r="DL84">
        <v>9</v>
      </c>
      <c r="DM84">
        <v>9</v>
      </c>
      <c r="DN84">
        <v>9</v>
      </c>
      <c r="DO84">
        <v>0</v>
      </c>
      <c r="DP84">
        <v>328</v>
      </c>
      <c r="DQ84">
        <v>0</v>
      </c>
      <c r="DR84">
        <v>0</v>
      </c>
      <c r="DS84">
        <v>0</v>
      </c>
      <c r="DT84">
        <v>0</v>
      </c>
      <c r="DU84">
        <v>0</v>
      </c>
      <c r="DV84">
        <v>0</v>
      </c>
      <c r="DW84">
        <v>0</v>
      </c>
      <c r="DX84">
        <v>0</v>
      </c>
      <c r="DY84">
        <v>0</v>
      </c>
      <c r="DZ84">
        <v>0</v>
      </c>
      <c r="EA84">
        <v>4</v>
      </c>
      <c r="EB84">
        <v>0</v>
      </c>
      <c r="EC84">
        <v>0</v>
      </c>
      <c r="ED84">
        <v>0</v>
      </c>
      <c r="EE84">
        <v>0</v>
      </c>
      <c r="EF84">
        <v>0</v>
      </c>
      <c r="EG84" t="s">
        <v>85</v>
      </c>
      <c r="EH84" t="s">
        <v>85</v>
      </c>
      <c r="EI84" t="s">
        <v>85</v>
      </c>
      <c r="EJ84" t="s">
        <v>85</v>
      </c>
      <c r="EK84" t="s">
        <v>85</v>
      </c>
      <c r="EL84" t="s">
        <v>85</v>
      </c>
      <c r="EM84" t="s">
        <v>85</v>
      </c>
      <c r="EN84" t="s">
        <v>85</v>
      </c>
      <c r="EO84" t="s">
        <v>85</v>
      </c>
      <c r="EP84" t="s">
        <v>85</v>
      </c>
      <c r="EQ84" t="s">
        <v>85</v>
      </c>
      <c r="ER84" t="s">
        <v>85</v>
      </c>
      <c r="ES84" t="s">
        <v>85</v>
      </c>
      <c r="ET84" t="s">
        <v>85</v>
      </c>
      <c r="EU84" t="s">
        <v>85</v>
      </c>
      <c r="EV84" t="s">
        <v>85</v>
      </c>
      <c r="EW84" t="s">
        <v>85</v>
      </c>
      <c r="EX84" t="s">
        <v>85</v>
      </c>
      <c r="EY84" t="s">
        <v>85</v>
      </c>
      <c r="EZ84" t="s">
        <v>85</v>
      </c>
      <c r="FA84">
        <v>4</v>
      </c>
      <c r="FB84">
        <v>1</v>
      </c>
      <c r="FC84">
        <v>1</v>
      </c>
      <c r="FD84">
        <v>1</v>
      </c>
      <c r="FE84">
        <v>0</v>
      </c>
      <c r="FF84">
        <v>0</v>
      </c>
      <c r="FG84">
        <v>0</v>
      </c>
      <c r="FH84">
        <v>0</v>
      </c>
      <c r="FI84">
        <v>0</v>
      </c>
      <c r="FJ84">
        <v>0</v>
      </c>
      <c r="FK84">
        <v>0</v>
      </c>
      <c r="FL84">
        <v>0</v>
      </c>
      <c r="FM84">
        <v>0</v>
      </c>
      <c r="FN84">
        <v>0</v>
      </c>
      <c r="FO84">
        <v>0</v>
      </c>
      <c r="FP84">
        <v>0</v>
      </c>
      <c r="FQ84">
        <v>46</v>
      </c>
      <c r="FR84">
        <v>46</v>
      </c>
      <c r="FS84">
        <v>49</v>
      </c>
      <c r="FT84">
        <v>0</v>
      </c>
      <c r="FU84">
        <v>1868</v>
      </c>
      <c r="FV84">
        <v>11</v>
      </c>
      <c r="FW84">
        <v>11</v>
      </c>
      <c r="FX84">
        <v>9</v>
      </c>
      <c r="FY84">
        <v>0</v>
      </c>
      <c r="FZ84">
        <v>396</v>
      </c>
      <c r="GA84">
        <v>4</v>
      </c>
      <c r="GB84">
        <v>96</v>
      </c>
      <c r="GC84">
        <v>99</v>
      </c>
      <c r="GD84">
        <v>97</v>
      </c>
      <c r="GE84">
        <v>0</v>
      </c>
      <c r="GF84">
        <v>3650</v>
      </c>
      <c r="GG84" t="s">
        <v>85</v>
      </c>
      <c r="GH84" t="s">
        <v>85</v>
      </c>
      <c r="GI84" t="s">
        <v>85</v>
      </c>
      <c r="GJ84" t="s">
        <v>85</v>
      </c>
      <c r="GK84" t="s">
        <v>85</v>
      </c>
      <c r="GL84" t="s">
        <v>85</v>
      </c>
      <c r="GM84" t="s">
        <v>85</v>
      </c>
      <c r="GN84" t="s">
        <v>85</v>
      </c>
      <c r="GO84" t="s">
        <v>85</v>
      </c>
      <c r="GP84" t="s">
        <v>85</v>
      </c>
      <c r="GQ84" t="s">
        <v>85</v>
      </c>
      <c r="GR84" t="s">
        <v>85</v>
      </c>
      <c r="GS84" t="s">
        <v>85</v>
      </c>
      <c r="GT84" t="s">
        <v>85</v>
      </c>
      <c r="GU84" t="s">
        <v>85</v>
      </c>
      <c r="GV84" t="s">
        <v>85</v>
      </c>
      <c r="GW84" t="s">
        <v>85</v>
      </c>
      <c r="GX84" t="s">
        <v>85</v>
      </c>
      <c r="GY84" t="s">
        <v>85</v>
      </c>
      <c r="GZ84">
        <v>4</v>
      </c>
      <c r="HA84">
        <v>101</v>
      </c>
      <c r="HB84">
        <v>118</v>
      </c>
      <c r="HC84">
        <v>99</v>
      </c>
      <c r="HD84">
        <v>20</v>
      </c>
      <c r="HE84">
        <v>2090</v>
      </c>
      <c r="HF84">
        <v>65</v>
      </c>
      <c r="HG84">
        <v>76</v>
      </c>
      <c r="HH84">
        <v>67</v>
      </c>
      <c r="HI84">
        <v>17</v>
      </c>
      <c r="HJ84">
        <v>1433</v>
      </c>
      <c r="HK84">
        <v>65</v>
      </c>
      <c r="HL84">
        <v>59</v>
      </c>
      <c r="HM84">
        <v>73</v>
      </c>
      <c r="HN84">
        <v>22</v>
      </c>
      <c r="HO84">
        <v>1310</v>
      </c>
      <c r="HP84">
        <v>29</v>
      </c>
      <c r="HQ84">
        <v>35</v>
      </c>
      <c r="HR84">
        <v>29</v>
      </c>
      <c r="HS84">
        <v>11</v>
      </c>
      <c r="HT84">
        <v>677</v>
      </c>
      <c r="HU84">
        <v>105</v>
      </c>
      <c r="HV84">
        <v>129</v>
      </c>
      <c r="HW84">
        <v>92</v>
      </c>
      <c r="HX84">
        <v>36</v>
      </c>
      <c r="HY84">
        <v>2213</v>
      </c>
      <c r="HZ84">
        <v>4</v>
      </c>
      <c r="IA84">
        <v>78</v>
      </c>
      <c r="IB84">
        <v>76</v>
      </c>
      <c r="IC84">
        <v>60</v>
      </c>
      <c r="ID84">
        <v>35</v>
      </c>
      <c r="IE84">
        <v>1493</v>
      </c>
      <c r="IF84" t="s">
        <v>85</v>
      </c>
      <c r="IG84" t="s">
        <v>85</v>
      </c>
      <c r="IH84" t="s">
        <v>85</v>
      </c>
      <c r="II84" t="s">
        <v>85</v>
      </c>
      <c r="IJ84" t="s">
        <v>85</v>
      </c>
      <c r="IK84" t="s">
        <v>85</v>
      </c>
      <c r="IL84" t="s">
        <v>85</v>
      </c>
      <c r="IM84" t="s">
        <v>85</v>
      </c>
      <c r="IN84" t="s">
        <v>85</v>
      </c>
      <c r="IO84" t="s">
        <v>85</v>
      </c>
      <c r="IP84" t="s">
        <v>85</v>
      </c>
      <c r="IQ84" t="s">
        <v>85</v>
      </c>
      <c r="IR84" t="s">
        <v>85</v>
      </c>
      <c r="IS84" t="s">
        <v>85</v>
      </c>
      <c r="IT84" t="s">
        <v>85</v>
      </c>
      <c r="IU84" t="s">
        <v>85</v>
      </c>
      <c r="IV84" t="s">
        <v>85</v>
      </c>
      <c r="IW84" t="s">
        <v>85</v>
      </c>
      <c r="IX84" t="s">
        <v>85</v>
      </c>
      <c r="IY84" t="s">
        <v>85</v>
      </c>
      <c r="IZ84">
        <v>4</v>
      </c>
      <c r="JA84">
        <v>108</v>
      </c>
      <c r="JB84">
        <v>79</v>
      </c>
      <c r="JC84">
        <v>90</v>
      </c>
      <c r="JD84">
        <v>31</v>
      </c>
      <c r="JE84">
        <v>1879</v>
      </c>
      <c r="JF84">
        <v>79</v>
      </c>
      <c r="JG84">
        <v>70</v>
      </c>
      <c r="JH84">
        <v>67</v>
      </c>
      <c r="JI84">
        <v>33</v>
      </c>
      <c r="JJ84">
        <v>1555</v>
      </c>
      <c r="JK84">
        <v>80</v>
      </c>
      <c r="JL84">
        <v>93</v>
      </c>
      <c r="JM84">
        <v>98</v>
      </c>
      <c r="JN84">
        <v>34</v>
      </c>
      <c r="JO84">
        <v>1896</v>
      </c>
      <c r="JP84">
        <v>71</v>
      </c>
      <c r="JQ84">
        <v>51</v>
      </c>
      <c r="JR84">
        <v>68</v>
      </c>
      <c r="JS84">
        <v>27</v>
      </c>
      <c r="JT84">
        <v>1320</v>
      </c>
      <c r="JU84" t="s">
        <v>85</v>
      </c>
      <c r="JV84" t="s">
        <v>85</v>
      </c>
      <c r="JW84" t="s">
        <v>85</v>
      </c>
      <c r="JX84" t="s">
        <v>85</v>
      </c>
      <c r="JY84" t="s">
        <v>85</v>
      </c>
      <c r="JZ84">
        <v>4</v>
      </c>
      <c r="KA84">
        <v>57</v>
      </c>
      <c r="KB84">
        <v>62</v>
      </c>
      <c r="KC84">
        <v>51</v>
      </c>
      <c r="KD84">
        <v>12</v>
      </c>
      <c r="KE84">
        <v>1218</v>
      </c>
      <c r="KF84">
        <v>144</v>
      </c>
      <c r="KG84">
        <v>162</v>
      </c>
      <c r="KH84">
        <v>139</v>
      </c>
      <c r="KI84">
        <v>26</v>
      </c>
      <c r="KJ84">
        <v>3099</v>
      </c>
      <c r="KK84">
        <v>55</v>
      </c>
      <c r="KL84">
        <v>55</v>
      </c>
      <c r="KM84">
        <v>47</v>
      </c>
      <c r="KN84">
        <v>22</v>
      </c>
      <c r="KO84">
        <v>1072</v>
      </c>
      <c r="KP84">
        <v>51</v>
      </c>
      <c r="KQ84">
        <v>30</v>
      </c>
      <c r="KR84">
        <v>57</v>
      </c>
      <c r="KS84">
        <v>31</v>
      </c>
      <c r="KT84">
        <v>939</v>
      </c>
      <c r="KU84" t="s">
        <v>85</v>
      </c>
      <c r="KV84" t="s">
        <v>85</v>
      </c>
      <c r="KW84" t="s">
        <v>85</v>
      </c>
      <c r="KX84" t="s">
        <v>85</v>
      </c>
      <c r="KY84" t="s">
        <v>85</v>
      </c>
      <c r="KZ84">
        <v>4</v>
      </c>
      <c r="LA84">
        <v>90</v>
      </c>
      <c r="LB84">
        <v>97</v>
      </c>
      <c r="LC84">
        <v>84</v>
      </c>
      <c r="LD84">
        <v>24</v>
      </c>
      <c r="LE84">
        <v>1847</v>
      </c>
      <c r="LF84">
        <v>50</v>
      </c>
      <c r="LG84">
        <v>60</v>
      </c>
      <c r="LH84">
        <v>49</v>
      </c>
      <c r="LI84">
        <v>15</v>
      </c>
      <c r="LJ84">
        <v>1030</v>
      </c>
      <c r="LK84">
        <v>98</v>
      </c>
      <c r="LL84">
        <v>90</v>
      </c>
      <c r="LM84">
        <v>90</v>
      </c>
      <c r="LN84">
        <v>33</v>
      </c>
      <c r="LO84">
        <v>1936</v>
      </c>
      <c r="LP84">
        <v>82</v>
      </c>
      <c r="LQ84">
        <v>89</v>
      </c>
      <c r="LR84">
        <v>94</v>
      </c>
      <c r="LS84">
        <v>15</v>
      </c>
      <c r="LT84">
        <v>1690</v>
      </c>
      <c r="LU84">
        <v>0</v>
      </c>
      <c r="LV84">
        <v>3</v>
      </c>
      <c r="LW84">
        <v>3</v>
      </c>
      <c r="LX84">
        <v>4</v>
      </c>
      <c r="LY84">
        <v>38</v>
      </c>
      <c r="LZ84">
        <v>4</v>
      </c>
      <c r="MA84">
        <v>47</v>
      </c>
      <c r="MB84">
        <v>74</v>
      </c>
      <c r="MC84">
        <v>45</v>
      </c>
      <c r="MD84">
        <v>27</v>
      </c>
      <c r="ME84">
        <v>1190</v>
      </c>
      <c r="MF84" t="s">
        <v>85</v>
      </c>
      <c r="MG84" t="s">
        <v>85</v>
      </c>
      <c r="MH84" t="s">
        <v>85</v>
      </c>
      <c r="MI84" t="s">
        <v>85</v>
      </c>
      <c r="MJ84" t="s">
        <v>85</v>
      </c>
      <c r="MK84" t="s">
        <v>85</v>
      </c>
      <c r="ML84" t="s">
        <v>85</v>
      </c>
      <c r="MM84" t="s">
        <v>85</v>
      </c>
      <c r="MN84" t="s">
        <v>85</v>
      </c>
      <c r="MO84" t="s">
        <v>85</v>
      </c>
      <c r="MP84" t="s">
        <v>85</v>
      </c>
      <c r="MQ84" t="s">
        <v>85</v>
      </c>
      <c r="MR84" t="s">
        <v>85</v>
      </c>
      <c r="MS84" t="s">
        <v>85</v>
      </c>
      <c r="MT84" t="s">
        <v>85</v>
      </c>
      <c r="MU84" t="s">
        <v>85</v>
      </c>
      <c r="MV84" t="s">
        <v>85</v>
      </c>
      <c r="MW84" t="s">
        <v>85</v>
      </c>
      <c r="MX84" t="s">
        <v>85</v>
      </c>
      <c r="MY84" t="s">
        <v>85</v>
      </c>
    </row>
    <row r="85" spans="1:363">
      <c r="A85" s="467">
        <v>5</v>
      </c>
      <c r="B85">
        <v>0</v>
      </c>
      <c r="C85">
        <v>-1</v>
      </c>
      <c r="D85">
        <v>-1</v>
      </c>
      <c r="E85">
        <v>-1</v>
      </c>
      <c r="F85">
        <v>26</v>
      </c>
      <c r="G85">
        <v>5</v>
      </c>
      <c r="H85">
        <v>6</v>
      </c>
      <c r="I85">
        <v>6</v>
      </c>
      <c r="J85">
        <v>0</v>
      </c>
      <c r="K85">
        <v>86</v>
      </c>
      <c r="L85">
        <v>7</v>
      </c>
      <c r="M85">
        <v>7</v>
      </c>
      <c r="N85">
        <v>7</v>
      </c>
      <c r="O85">
        <v>0</v>
      </c>
      <c r="P85">
        <v>54</v>
      </c>
      <c r="Q85">
        <v>5</v>
      </c>
      <c r="R85">
        <v>5</v>
      </c>
      <c r="S85">
        <v>5</v>
      </c>
      <c r="T85">
        <v>0</v>
      </c>
      <c r="U85">
        <v>60</v>
      </c>
      <c r="V85">
        <v>7</v>
      </c>
      <c r="W85">
        <v>7</v>
      </c>
      <c r="X85">
        <v>7</v>
      </c>
      <c r="Y85">
        <v>1</v>
      </c>
      <c r="Z85">
        <v>0</v>
      </c>
      <c r="AA85">
        <v>5</v>
      </c>
      <c r="AB85">
        <v>10</v>
      </c>
      <c r="AC85">
        <v>10</v>
      </c>
      <c r="AD85">
        <v>10</v>
      </c>
      <c r="AE85">
        <v>1</v>
      </c>
      <c r="AF85">
        <v>217</v>
      </c>
      <c r="AG85">
        <v>12</v>
      </c>
      <c r="AH85">
        <v>12</v>
      </c>
      <c r="AI85">
        <v>12</v>
      </c>
      <c r="AJ85">
        <v>1</v>
      </c>
      <c r="AK85">
        <v>185</v>
      </c>
      <c r="AL85">
        <v>1</v>
      </c>
      <c r="AM85">
        <v>1</v>
      </c>
      <c r="AN85">
        <v>1</v>
      </c>
      <c r="AO85">
        <v>1</v>
      </c>
      <c r="AP85">
        <v>47</v>
      </c>
      <c r="AQ85" t="s">
        <v>85</v>
      </c>
      <c r="AR85" t="s">
        <v>85</v>
      </c>
      <c r="AS85" t="s">
        <v>85</v>
      </c>
      <c r="AT85" t="s">
        <v>85</v>
      </c>
      <c r="AU85" t="s">
        <v>85</v>
      </c>
      <c r="AV85" t="s">
        <v>85</v>
      </c>
      <c r="AW85" t="s">
        <v>85</v>
      </c>
      <c r="AX85" t="s">
        <v>85</v>
      </c>
      <c r="AY85" t="s">
        <v>85</v>
      </c>
      <c r="AZ85" t="s">
        <v>85</v>
      </c>
      <c r="BA85">
        <v>5</v>
      </c>
      <c r="BB85">
        <v>21</v>
      </c>
      <c r="BC85">
        <v>22</v>
      </c>
      <c r="BD85">
        <v>22</v>
      </c>
      <c r="BE85">
        <v>0</v>
      </c>
      <c r="BF85">
        <v>802</v>
      </c>
      <c r="BG85">
        <v>11</v>
      </c>
      <c r="BH85">
        <v>9</v>
      </c>
      <c r="BI85">
        <v>8</v>
      </c>
      <c r="BJ85">
        <v>0</v>
      </c>
      <c r="BK85">
        <v>360</v>
      </c>
      <c r="BL85">
        <v>7</v>
      </c>
      <c r="BM85">
        <v>8</v>
      </c>
      <c r="BN85">
        <v>6</v>
      </c>
      <c r="BO85">
        <v>0</v>
      </c>
      <c r="BP85">
        <v>84</v>
      </c>
      <c r="BQ85">
        <v>39</v>
      </c>
      <c r="BR85">
        <v>41</v>
      </c>
      <c r="BS85">
        <v>38</v>
      </c>
      <c r="BT85">
        <v>1</v>
      </c>
      <c r="BU85">
        <v>1578</v>
      </c>
      <c r="BV85">
        <v>37</v>
      </c>
      <c r="BW85">
        <v>41</v>
      </c>
      <c r="BX85">
        <v>38</v>
      </c>
      <c r="BY85">
        <v>0</v>
      </c>
      <c r="BZ85">
        <v>1528</v>
      </c>
      <c r="CA85">
        <v>5</v>
      </c>
      <c r="CB85" t="s">
        <v>85</v>
      </c>
      <c r="CC85" t="s">
        <v>85</v>
      </c>
      <c r="CD85" t="s">
        <v>85</v>
      </c>
      <c r="CE85" t="s">
        <v>85</v>
      </c>
      <c r="CF85">
        <v>0</v>
      </c>
      <c r="CG85">
        <v>2</v>
      </c>
      <c r="CH85">
        <v>2</v>
      </c>
      <c r="CI85">
        <v>2</v>
      </c>
      <c r="CJ85">
        <v>0</v>
      </c>
      <c r="CK85">
        <v>59</v>
      </c>
      <c r="CL85" t="s">
        <v>85</v>
      </c>
      <c r="CM85" t="s">
        <v>85</v>
      </c>
      <c r="CN85" t="s">
        <v>85</v>
      </c>
      <c r="CO85" t="s">
        <v>85</v>
      </c>
      <c r="CP85" t="s">
        <v>85</v>
      </c>
      <c r="CQ85" t="s">
        <v>85</v>
      </c>
      <c r="CR85" t="s">
        <v>85</v>
      </c>
      <c r="CS85" t="s">
        <v>85</v>
      </c>
      <c r="CT85" t="s">
        <v>85</v>
      </c>
      <c r="CU85" t="s">
        <v>85</v>
      </c>
      <c r="CV85" t="s">
        <v>85</v>
      </c>
      <c r="CW85" t="s">
        <v>85</v>
      </c>
      <c r="CX85" t="s">
        <v>85</v>
      </c>
      <c r="CY85" t="s">
        <v>85</v>
      </c>
      <c r="CZ85" t="s">
        <v>85</v>
      </c>
      <c r="DA85">
        <v>5</v>
      </c>
      <c r="DB85">
        <v>132</v>
      </c>
      <c r="DC85">
        <v>134</v>
      </c>
      <c r="DD85">
        <v>133</v>
      </c>
      <c r="DE85">
        <v>0</v>
      </c>
      <c r="DF85">
        <v>5079</v>
      </c>
      <c r="DG85">
        <v>8</v>
      </c>
      <c r="DH85">
        <v>7</v>
      </c>
      <c r="DI85">
        <v>7</v>
      </c>
      <c r="DJ85">
        <v>0</v>
      </c>
      <c r="DK85">
        <v>257</v>
      </c>
      <c r="DL85">
        <v>9</v>
      </c>
      <c r="DM85">
        <v>9</v>
      </c>
      <c r="DN85">
        <v>9</v>
      </c>
      <c r="DO85">
        <v>0</v>
      </c>
      <c r="DP85">
        <v>343</v>
      </c>
      <c r="DQ85">
        <v>0</v>
      </c>
      <c r="DR85">
        <v>0</v>
      </c>
      <c r="DS85">
        <v>0</v>
      </c>
      <c r="DT85">
        <v>0</v>
      </c>
      <c r="DU85">
        <v>0</v>
      </c>
      <c r="DV85">
        <v>0</v>
      </c>
      <c r="DW85">
        <v>0</v>
      </c>
      <c r="DX85">
        <v>0</v>
      </c>
      <c r="DY85">
        <v>0</v>
      </c>
      <c r="DZ85">
        <v>0</v>
      </c>
      <c r="EA85">
        <v>5</v>
      </c>
      <c r="EB85">
        <v>0</v>
      </c>
      <c r="EC85">
        <v>0</v>
      </c>
      <c r="ED85">
        <v>0</v>
      </c>
      <c r="EE85">
        <v>0</v>
      </c>
      <c r="EF85">
        <v>0</v>
      </c>
      <c r="EG85" t="s">
        <v>85</v>
      </c>
      <c r="EH85" t="s">
        <v>85</v>
      </c>
      <c r="EI85" t="s">
        <v>85</v>
      </c>
      <c r="EJ85" t="s">
        <v>85</v>
      </c>
      <c r="EK85" t="s">
        <v>85</v>
      </c>
      <c r="EL85" t="s">
        <v>85</v>
      </c>
      <c r="EM85" t="s">
        <v>85</v>
      </c>
      <c r="EN85" t="s">
        <v>85</v>
      </c>
      <c r="EO85" t="s">
        <v>85</v>
      </c>
      <c r="EP85" t="s">
        <v>85</v>
      </c>
      <c r="EQ85" t="s">
        <v>85</v>
      </c>
      <c r="ER85" t="s">
        <v>85</v>
      </c>
      <c r="ES85" t="s">
        <v>85</v>
      </c>
      <c r="ET85" t="s">
        <v>85</v>
      </c>
      <c r="EU85" t="s">
        <v>85</v>
      </c>
      <c r="EV85" t="s">
        <v>85</v>
      </c>
      <c r="EW85" t="s">
        <v>85</v>
      </c>
      <c r="EX85" t="s">
        <v>85</v>
      </c>
      <c r="EY85" t="s">
        <v>85</v>
      </c>
      <c r="EZ85" t="s">
        <v>85</v>
      </c>
      <c r="FA85">
        <v>5</v>
      </c>
      <c r="FB85">
        <v>1</v>
      </c>
      <c r="FC85">
        <v>1</v>
      </c>
      <c r="FD85">
        <v>1</v>
      </c>
      <c r="FE85">
        <v>0</v>
      </c>
      <c r="FF85">
        <v>0</v>
      </c>
      <c r="FG85">
        <v>0</v>
      </c>
      <c r="FH85">
        <v>0</v>
      </c>
      <c r="FI85">
        <v>0</v>
      </c>
      <c r="FJ85">
        <v>0</v>
      </c>
      <c r="FK85">
        <v>0</v>
      </c>
      <c r="FL85">
        <v>0</v>
      </c>
      <c r="FM85">
        <v>0</v>
      </c>
      <c r="FN85">
        <v>0</v>
      </c>
      <c r="FO85">
        <v>0</v>
      </c>
      <c r="FP85">
        <v>0</v>
      </c>
      <c r="FQ85">
        <v>45</v>
      </c>
      <c r="FR85">
        <v>46</v>
      </c>
      <c r="FS85">
        <v>48</v>
      </c>
      <c r="FT85">
        <v>0</v>
      </c>
      <c r="FU85">
        <v>1859</v>
      </c>
      <c r="FV85">
        <v>12</v>
      </c>
      <c r="FW85">
        <v>13</v>
      </c>
      <c r="FX85">
        <v>11</v>
      </c>
      <c r="FY85">
        <v>0</v>
      </c>
      <c r="FZ85">
        <v>408</v>
      </c>
      <c r="GA85">
        <v>5</v>
      </c>
      <c r="GB85">
        <v>92</v>
      </c>
      <c r="GC85">
        <v>96</v>
      </c>
      <c r="GD85">
        <v>93</v>
      </c>
      <c r="GE85">
        <v>0</v>
      </c>
      <c r="GF85">
        <v>3628</v>
      </c>
      <c r="GG85" t="s">
        <v>85</v>
      </c>
      <c r="GH85" t="s">
        <v>85</v>
      </c>
      <c r="GI85" t="s">
        <v>85</v>
      </c>
      <c r="GJ85" t="s">
        <v>85</v>
      </c>
      <c r="GK85" t="s">
        <v>85</v>
      </c>
      <c r="GL85" t="s">
        <v>85</v>
      </c>
      <c r="GM85" t="s">
        <v>85</v>
      </c>
      <c r="GN85" t="s">
        <v>85</v>
      </c>
      <c r="GO85" t="s">
        <v>85</v>
      </c>
      <c r="GP85" t="s">
        <v>85</v>
      </c>
      <c r="GQ85" t="s">
        <v>85</v>
      </c>
      <c r="GR85" t="s">
        <v>85</v>
      </c>
      <c r="GS85" t="s">
        <v>85</v>
      </c>
      <c r="GT85" t="s">
        <v>85</v>
      </c>
      <c r="GU85" t="s">
        <v>85</v>
      </c>
      <c r="GV85" t="s">
        <v>85</v>
      </c>
      <c r="GW85" t="s">
        <v>85</v>
      </c>
      <c r="GX85" t="s">
        <v>85</v>
      </c>
      <c r="GY85" t="s">
        <v>85</v>
      </c>
      <c r="GZ85">
        <v>5</v>
      </c>
      <c r="HA85">
        <v>108</v>
      </c>
      <c r="HB85">
        <v>122</v>
      </c>
      <c r="HC85">
        <v>103</v>
      </c>
      <c r="HD85">
        <v>21</v>
      </c>
      <c r="HE85">
        <v>1986</v>
      </c>
      <c r="HF85">
        <v>68</v>
      </c>
      <c r="HG85">
        <v>80</v>
      </c>
      <c r="HH85">
        <v>69</v>
      </c>
      <c r="HI85">
        <v>17</v>
      </c>
      <c r="HJ85">
        <v>1425</v>
      </c>
      <c r="HK85">
        <v>60</v>
      </c>
      <c r="HL85">
        <v>57</v>
      </c>
      <c r="HM85">
        <v>70</v>
      </c>
      <c r="HN85">
        <v>21</v>
      </c>
      <c r="HO85">
        <v>1307</v>
      </c>
      <c r="HP85">
        <v>42</v>
      </c>
      <c r="HQ85">
        <v>49</v>
      </c>
      <c r="HR85">
        <v>44</v>
      </c>
      <c r="HS85">
        <v>11</v>
      </c>
      <c r="HT85">
        <v>662</v>
      </c>
      <c r="HU85">
        <v>94</v>
      </c>
      <c r="HV85">
        <v>118</v>
      </c>
      <c r="HW85">
        <v>92</v>
      </c>
      <c r="HX85">
        <v>29</v>
      </c>
      <c r="HY85">
        <v>2097</v>
      </c>
      <c r="HZ85">
        <v>5</v>
      </c>
      <c r="IA85">
        <v>77</v>
      </c>
      <c r="IB85">
        <v>75</v>
      </c>
      <c r="IC85">
        <v>58</v>
      </c>
      <c r="ID85">
        <v>35</v>
      </c>
      <c r="IE85">
        <v>1395</v>
      </c>
      <c r="IF85" t="s">
        <v>85</v>
      </c>
      <c r="IG85" t="s">
        <v>85</v>
      </c>
      <c r="IH85" t="s">
        <v>85</v>
      </c>
      <c r="II85" t="s">
        <v>85</v>
      </c>
      <c r="IJ85" t="s">
        <v>85</v>
      </c>
      <c r="IK85" t="s">
        <v>85</v>
      </c>
      <c r="IL85" t="s">
        <v>85</v>
      </c>
      <c r="IM85" t="s">
        <v>85</v>
      </c>
      <c r="IN85" t="s">
        <v>85</v>
      </c>
      <c r="IO85" t="s">
        <v>85</v>
      </c>
      <c r="IP85" t="s">
        <v>85</v>
      </c>
      <c r="IQ85" t="s">
        <v>85</v>
      </c>
      <c r="IR85" t="s">
        <v>85</v>
      </c>
      <c r="IS85" t="s">
        <v>85</v>
      </c>
      <c r="IT85" t="s">
        <v>85</v>
      </c>
      <c r="IU85" t="s">
        <v>85</v>
      </c>
      <c r="IV85" t="s">
        <v>85</v>
      </c>
      <c r="IW85" t="s">
        <v>85</v>
      </c>
      <c r="IX85" t="s">
        <v>85</v>
      </c>
      <c r="IY85" t="s">
        <v>85</v>
      </c>
      <c r="IZ85">
        <v>5</v>
      </c>
      <c r="JA85">
        <v>96</v>
      </c>
      <c r="JB85">
        <v>74</v>
      </c>
      <c r="JC85">
        <v>84</v>
      </c>
      <c r="JD85">
        <v>23</v>
      </c>
      <c r="JE85">
        <v>1762</v>
      </c>
      <c r="JF85">
        <v>75</v>
      </c>
      <c r="JG85">
        <v>75</v>
      </c>
      <c r="JH85">
        <v>69</v>
      </c>
      <c r="JI85">
        <v>30</v>
      </c>
      <c r="JJ85">
        <v>1474</v>
      </c>
      <c r="JK85">
        <v>74</v>
      </c>
      <c r="JL85">
        <v>87</v>
      </c>
      <c r="JM85">
        <v>91</v>
      </c>
      <c r="JN85">
        <v>32</v>
      </c>
      <c r="JO85">
        <v>1799</v>
      </c>
      <c r="JP85">
        <v>67</v>
      </c>
      <c r="JQ85">
        <v>47</v>
      </c>
      <c r="JR85">
        <v>66</v>
      </c>
      <c r="JS85">
        <v>27</v>
      </c>
      <c r="JT85">
        <v>1233</v>
      </c>
      <c r="JU85" t="s">
        <v>85</v>
      </c>
      <c r="JV85" t="s">
        <v>85</v>
      </c>
      <c r="JW85" t="s">
        <v>85</v>
      </c>
      <c r="JX85" t="s">
        <v>85</v>
      </c>
      <c r="JY85" t="s">
        <v>85</v>
      </c>
      <c r="JZ85">
        <v>5</v>
      </c>
      <c r="KA85">
        <v>53</v>
      </c>
      <c r="KB85">
        <v>61</v>
      </c>
      <c r="KC85">
        <v>49</v>
      </c>
      <c r="KD85">
        <v>12</v>
      </c>
      <c r="KE85">
        <v>1103</v>
      </c>
      <c r="KF85">
        <v>152</v>
      </c>
      <c r="KG85">
        <v>165</v>
      </c>
      <c r="KH85">
        <v>144</v>
      </c>
      <c r="KI85">
        <v>25</v>
      </c>
      <c r="KJ85">
        <v>3001</v>
      </c>
      <c r="KK85">
        <v>56</v>
      </c>
      <c r="KL85">
        <v>55</v>
      </c>
      <c r="KM85">
        <v>44</v>
      </c>
      <c r="KN85">
        <v>24</v>
      </c>
      <c r="KO85">
        <v>1035</v>
      </c>
      <c r="KP85">
        <v>47</v>
      </c>
      <c r="KQ85">
        <v>30</v>
      </c>
      <c r="KR85">
        <v>54</v>
      </c>
      <c r="KS85">
        <v>27</v>
      </c>
      <c r="KT85">
        <v>890</v>
      </c>
      <c r="KU85" t="s">
        <v>85</v>
      </c>
      <c r="KV85" t="s">
        <v>85</v>
      </c>
      <c r="KW85" t="s">
        <v>85</v>
      </c>
      <c r="KX85" t="s">
        <v>85</v>
      </c>
      <c r="KY85" t="s">
        <v>85</v>
      </c>
      <c r="KZ85">
        <v>5</v>
      </c>
      <c r="LA85">
        <v>89</v>
      </c>
      <c r="LB85">
        <v>101</v>
      </c>
      <c r="LC85">
        <v>81</v>
      </c>
      <c r="LD85">
        <v>27</v>
      </c>
      <c r="LE85">
        <v>1793</v>
      </c>
      <c r="LF85">
        <v>47</v>
      </c>
      <c r="LG85">
        <v>59</v>
      </c>
      <c r="LH85">
        <v>45</v>
      </c>
      <c r="LI85">
        <v>15</v>
      </c>
      <c r="LJ85">
        <v>1001</v>
      </c>
      <c r="LK85">
        <v>93</v>
      </c>
      <c r="LL85">
        <v>88</v>
      </c>
      <c r="LM85">
        <v>90</v>
      </c>
      <c r="LN85">
        <v>31</v>
      </c>
      <c r="LO85">
        <v>1829</v>
      </c>
      <c r="LP85">
        <v>76</v>
      </c>
      <c r="LQ85">
        <v>83</v>
      </c>
      <c r="LR85">
        <v>87</v>
      </c>
      <c r="LS85">
        <v>15</v>
      </c>
      <c r="LT85">
        <v>1635</v>
      </c>
      <c r="LU85">
        <v>0</v>
      </c>
      <c r="LV85">
        <v>3</v>
      </c>
      <c r="LW85">
        <v>3</v>
      </c>
      <c r="LX85">
        <v>3</v>
      </c>
      <c r="LY85">
        <v>33</v>
      </c>
      <c r="LZ85">
        <v>5</v>
      </c>
      <c r="MA85">
        <v>49</v>
      </c>
      <c r="MB85">
        <v>76</v>
      </c>
      <c r="MC85">
        <v>44</v>
      </c>
      <c r="MD85">
        <v>27</v>
      </c>
      <c r="ME85">
        <v>1131</v>
      </c>
      <c r="MF85" t="s">
        <v>85</v>
      </c>
      <c r="MG85" t="s">
        <v>85</v>
      </c>
      <c r="MH85" t="s">
        <v>85</v>
      </c>
      <c r="MI85" t="s">
        <v>85</v>
      </c>
      <c r="MJ85" t="s">
        <v>85</v>
      </c>
      <c r="MK85" t="s">
        <v>85</v>
      </c>
      <c r="ML85" t="s">
        <v>85</v>
      </c>
      <c r="MM85" t="s">
        <v>85</v>
      </c>
      <c r="MN85" t="s">
        <v>85</v>
      </c>
      <c r="MO85" t="s">
        <v>85</v>
      </c>
      <c r="MP85" t="s">
        <v>85</v>
      </c>
      <c r="MQ85" t="s">
        <v>85</v>
      </c>
      <c r="MR85" t="s">
        <v>85</v>
      </c>
      <c r="MS85" t="s">
        <v>85</v>
      </c>
      <c r="MT85" t="s">
        <v>85</v>
      </c>
      <c r="MU85" t="s">
        <v>85</v>
      </c>
      <c r="MV85" t="s">
        <v>85</v>
      </c>
      <c r="MW85" t="s">
        <v>85</v>
      </c>
      <c r="MX85" t="s">
        <v>85</v>
      </c>
      <c r="MY85" t="s">
        <v>85</v>
      </c>
    </row>
    <row r="86" spans="1:363">
      <c r="A86" s="467">
        <v>6</v>
      </c>
      <c r="B86">
        <v>-1</v>
      </c>
      <c r="C86">
        <v>0</v>
      </c>
      <c r="D86">
        <v>-1</v>
      </c>
      <c r="E86">
        <v>0</v>
      </c>
      <c r="F86">
        <v>27</v>
      </c>
      <c r="G86">
        <v>6</v>
      </c>
      <c r="H86">
        <v>6</v>
      </c>
      <c r="I86">
        <v>6</v>
      </c>
      <c r="J86">
        <v>0</v>
      </c>
      <c r="K86">
        <v>83</v>
      </c>
      <c r="L86">
        <v>7</v>
      </c>
      <c r="M86">
        <v>7</v>
      </c>
      <c r="N86">
        <v>6</v>
      </c>
      <c r="O86">
        <v>0</v>
      </c>
      <c r="P86">
        <v>43</v>
      </c>
      <c r="Q86">
        <v>5</v>
      </c>
      <c r="R86">
        <v>4</v>
      </c>
      <c r="S86">
        <v>4</v>
      </c>
      <c r="T86">
        <v>0</v>
      </c>
      <c r="U86">
        <v>64</v>
      </c>
      <c r="V86">
        <v>6</v>
      </c>
      <c r="W86">
        <v>6</v>
      </c>
      <c r="X86">
        <v>6</v>
      </c>
      <c r="Y86">
        <v>1</v>
      </c>
      <c r="Z86">
        <v>0</v>
      </c>
      <c r="AA86">
        <v>6</v>
      </c>
      <c r="AB86">
        <v>11</v>
      </c>
      <c r="AC86">
        <v>10</v>
      </c>
      <c r="AD86">
        <v>10</v>
      </c>
      <c r="AE86">
        <v>1</v>
      </c>
      <c r="AF86">
        <v>100</v>
      </c>
      <c r="AG86">
        <v>13</v>
      </c>
      <c r="AH86">
        <v>13</v>
      </c>
      <c r="AI86">
        <v>13</v>
      </c>
      <c r="AJ86">
        <v>1</v>
      </c>
      <c r="AK86">
        <v>116</v>
      </c>
      <c r="AL86">
        <v>1</v>
      </c>
      <c r="AM86">
        <v>1</v>
      </c>
      <c r="AN86">
        <v>1</v>
      </c>
      <c r="AO86">
        <v>1</v>
      </c>
      <c r="AP86">
        <v>47</v>
      </c>
      <c r="AQ86" t="s">
        <v>85</v>
      </c>
      <c r="AR86" t="s">
        <v>85</v>
      </c>
      <c r="AS86" t="s">
        <v>85</v>
      </c>
      <c r="AT86" t="s">
        <v>85</v>
      </c>
      <c r="AU86" t="s">
        <v>85</v>
      </c>
      <c r="AV86" t="s">
        <v>85</v>
      </c>
      <c r="AW86" t="s">
        <v>85</v>
      </c>
      <c r="AX86" t="s">
        <v>85</v>
      </c>
      <c r="AY86" t="s">
        <v>85</v>
      </c>
      <c r="AZ86" t="s">
        <v>85</v>
      </c>
      <c r="BA86">
        <v>6</v>
      </c>
      <c r="BB86">
        <v>20</v>
      </c>
      <c r="BC86">
        <v>20</v>
      </c>
      <c r="BD86">
        <v>21</v>
      </c>
      <c r="BE86">
        <v>0</v>
      </c>
      <c r="BF86">
        <v>790</v>
      </c>
      <c r="BG86">
        <v>7</v>
      </c>
      <c r="BH86">
        <v>5</v>
      </c>
      <c r="BI86">
        <v>5</v>
      </c>
      <c r="BJ86">
        <v>0</v>
      </c>
      <c r="BK86">
        <v>286</v>
      </c>
      <c r="BL86">
        <v>6</v>
      </c>
      <c r="BM86">
        <v>7</v>
      </c>
      <c r="BN86">
        <v>5</v>
      </c>
      <c r="BO86">
        <v>0</v>
      </c>
      <c r="BP86">
        <v>24</v>
      </c>
      <c r="BQ86">
        <v>37</v>
      </c>
      <c r="BR86">
        <v>39</v>
      </c>
      <c r="BS86">
        <v>37</v>
      </c>
      <c r="BT86">
        <v>2</v>
      </c>
      <c r="BU86">
        <v>1442</v>
      </c>
      <c r="BV86">
        <v>39</v>
      </c>
      <c r="BW86">
        <v>41</v>
      </c>
      <c r="BX86">
        <v>39</v>
      </c>
      <c r="BY86">
        <v>0</v>
      </c>
      <c r="BZ86">
        <v>1538</v>
      </c>
      <c r="CA86">
        <v>6</v>
      </c>
      <c r="CB86" t="s">
        <v>85</v>
      </c>
      <c r="CC86" t="s">
        <v>85</v>
      </c>
      <c r="CD86" t="s">
        <v>85</v>
      </c>
      <c r="CE86" t="s">
        <v>85</v>
      </c>
      <c r="CF86">
        <v>0</v>
      </c>
      <c r="CG86">
        <v>2</v>
      </c>
      <c r="CH86">
        <v>2</v>
      </c>
      <c r="CI86">
        <v>2</v>
      </c>
      <c r="CJ86">
        <v>0</v>
      </c>
      <c r="CK86">
        <v>59</v>
      </c>
      <c r="CL86" t="s">
        <v>85</v>
      </c>
      <c r="CM86" t="s">
        <v>85</v>
      </c>
      <c r="CN86" t="s">
        <v>85</v>
      </c>
      <c r="CO86" t="s">
        <v>85</v>
      </c>
      <c r="CP86" t="s">
        <v>85</v>
      </c>
      <c r="CQ86" t="s">
        <v>85</v>
      </c>
      <c r="CR86" t="s">
        <v>85</v>
      </c>
      <c r="CS86" t="s">
        <v>85</v>
      </c>
      <c r="CT86" t="s">
        <v>85</v>
      </c>
      <c r="CU86" t="s">
        <v>85</v>
      </c>
      <c r="CV86" t="s">
        <v>85</v>
      </c>
      <c r="CW86" t="s">
        <v>85</v>
      </c>
      <c r="CX86" t="s">
        <v>85</v>
      </c>
      <c r="CY86" t="s">
        <v>85</v>
      </c>
      <c r="CZ86" t="s">
        <v>85</v>
      </c>
      <c r="DA86">
        <v>6</v>
      </c>
      <c r="DB86">
        <v>140</v>
      </c>
      <c r="DC86">
        <v>142</v>
      </c>
      <c r="DD86">
        <v>141</v>
      </c>
      <c r="DE86">
        <v>0</v>
      </c>
      <c r="DF86">
        <v>5184</v>
      </c>
      <c r="DG86">
        <v>6</v>
      </c>
      <c r="DH86">
        <v>6</v>
      </c>
      <c r="DI86">
        <v>6</v>
      </c>
      <c r="DJ86">
        <v>0</v>
      </c>
      <c r="DK86">
        <v>230</v>
      </c>
      <c r="DL86">
        <v>7</v>
      </c>
      <c r="DM86">
        <v>7</v>
      </c>
      <c r="DN86">
        <v>7</v>
      </c>
      <c r="DO86">
        <v>0</v>
      </c>
      <c r="DP86">
        <v>296</v>
      </c>
      <c r="DQ86">
        <v>0</v>
      </c>
      <c r="DR86">
        <v>0</v>
      </c>
      <c r="DS86">
        <v>0</v>
      </c>
      <c r="DT86">
        <v>0</v>
      </c>
      <c r="DU86">
        <v>0</v>
      </c>
      <c r="DV86">
        <v>0</v>
      </c>
      <c r="DW86">
        <v>0</v>
      </c>
      <c r="DX86">
        <v>0</v>
      </c>
      <c r="DY86">
        <v>0</v>
      </c>
      <c r="DZ86">
        <v>0</v>
      </c>
      <c r="EA86">
        <v>6</v>
      </c>
      <c r="EB86">
        <v>0</v>
      </c>
      <c r="EC86">
        <v>0</v>
      </c>
      <c r="ED86">
        <v>0</v>
      </c>
      <c r="EE86">
        <v>0</v>
      </c>
      <c r="EF86">
        <v>0</v>
      </c>
      <c r="EG86" t="s">
        <v>85</v>
      </c>
      <c r="EH86" t="s">
        <v>85</v>
      </c>
      <c r="EI86" t="s">
        <v>85</v>
      </c>
      <c r="EJ86" t="s">
        <v>85</v>
      </c>
      <c r="EK86" t="s">
        <v>85</v>
      </c>
      <c r="EL86" t="s">
        <v>85</v>
      </c>
      <c r="EM86" t="s">
        <v>85</v>
      </c>
      <c r="EN86" t="s">
        <v>85</v>
      </c>
      <c r="EO86" t="s">
        <v>85</v>
      </c>
      <c r="EP86" t="s">
        <v>85</v>
      </c>
      <c r="EQ86" t="s">
        <v>85</v>
      </c>
      <c r="ER86" t="s">
        <v>85</v>
      </c>
      <c r="ES86" t="s">
        <v>85</v>
      </c>
      <c r="ET86" t="s">
        <v>85</v>
      </c>
      <c r="EU86" t="s">
        <v>85</v>
      </c>
      <c r="EV86" t="s">
        <v>85</v>
      </c>
      <c r="EW86" t="s">
        <v>85</v>
      </c>
      <c r="EX86" t="s">
        <v>85</v>
      </c>
      <c r="EY86" t="s">
        <v>85</v>
      </c>
      <c r="EZ86" t="s">
        <v>85</v>
      </c>
      <c r="FA86">
        <v>6</v>
      </c>
      <c r="FB86">
        <v>8</v>
      </c>
      <c r="FC86">
        <v>8</v>
      </c>
      <c r="FD86">
        <v>8</v>
      </c>
      <c r="FE86">
        <v>0</v>
      </c>
      <c r="FF86">
        <v>77</v>
      </c>
      <c r="FG86">
        <v>0</v>
      </c>
      <c r="FH86">
        <v>0</v>
      </c>
      <c r="FI86">
        <v>0</v>
      </c>
      <c r="FJ86">
        <v>0</v>
      </c>
      <c r="FK86">
        <v>0</v>
      </c>
      <c r="FL86">
        <v>0</v>
      </c>
      <c r="FM86">
        <v>0</v>
      </c>
      <c r="FN86">
        <v>0</v>
      </c>
      <c r="FO86">
        <v>0</v>
      </c>
      <c r="FP86">
        <v>0</v>
      </c>
      <c r="FQ86">
        <v>46</v>
      </c>
      <c r="FR86">
        <v>45</v>
      </c>
      <c r="FS86">
        <v>48</v>
      </c>
      <c r="FT86">
        <v>0</v>
      </c>
      <c r="FU86">
        <v>1818</v>
      </c>
      <c r="FV86">
        <v>23</v>
      </c>
      <c r="FW86">
        <v>24</v>
      </c>
      <c r="FX86">
        <v>24</v>
      </c>
      <c r="FY86">
        <v>0</v>
      </c>
      <c r="FZ86">
        <v>830</v>
      </c>
      <c r="GA86">
        <v>6</v>
      </c>
      <c r="GB86">
        <v>90</v>
      </c>
      <c r="GC86">
        <v>95</v>
      </c>
      <c r="GD86">
        <v>91</v>
      </c>
      <c r="GE86">
        <v>0</v>
      </c>
      <c r="GF86">
        <v>3571</v>
      </c>
      <c r="GG86" t="s">
        <v>85</v>
      </c>
      <c r="GH86" t="s">
        <v>85</v>
      </c>
      <c r="GI86" t="s">
        <v>85</v>
      </c>
      <c r="GJ86" t="s">
        <v>85</v>
      </c>
      <c r="GK86" t="s">
        <v>85</v>
      </c>
      <c r="GL86" t="s">
        <v>85</v>
      </c>
      <c r="GM86" t="s">
        <v>85</v>
      </c>
      <c r="GN86" t="s">
        <v>85</v>
      </c>
      <c r="GO86" t="s">
        <v>85</v>
      </c>
      <c r="GP86" t="s">
        <v>85</v>
      </c>
      <c r="GQ86" t="s">
        <v>85</v>
      </c>
      <c r="GR86" t="s">
        <v>85</v>
      </c>
      <c r="GS86" t="s">
        <v>85</v>
      </c>
      <c r="GT86" t="s">
        <v>85</v>
      </c>
      <c r="GU86" t="s">
        <v>85</v>
      </c>
      <c r="GV86" t="s">
        <v>85</v>
      </c>
      <c r="GW86" t="s">
        <v>85</v>
      </c>
      <c r="GX86" t="s">
        <v>85</v>
      </c>
      <c r="GY86" t="s">
        <v>85</v>
      </c>
      <c r="GZ86">
        <v>6</v>
      </c>
      <c r="HA86">
        <v>96</v>
      </c>
      <c r="HB86">
        <v>111</v>
      </c>
      <c r="HC86">
        <v>93</v>
      </c>
      <c r="HD86">
        <v>20</v>
      </c>
      <c r="HE86">
        <v>2047</v>
      </c>
      <c r="HF86">
        <v>63</v>
      </c>
      <c r="HG86">
        <v>77</v>
      </c>
      <c r="HH86">
        <v>65</v>
      </c>
      <c r="HI86">
        <v>17</v>
      </c>
      <c r="HJ86">
        <v>1411</v>
      </c>
      <c r="HK86">
        <v>49</v>
      </c>
      <c r="HL86">
        <v>50</v>
      </c>
      <c r="HM86">
        <v>60</v>
      </c>
      <c r="HN86">
        <v>16</v>
      </c>
      <c r="HO86">
        <v>1149</v>
      </c>
      <c r="HP86">
        <v>36</v>
      </c>
      <c r="HQ86">
        <v>44</v>
      </c>
      <c r="HR86">
        <v>35</v>
      </c>
      <c r="HS86">
        <v>11</v>
      </c>
      <c r="HT86">
        <v>716</v>
      </c>
      <c r="HU86">
        <v>83</v>
      </c>
      <c r="HV86">
        <v>107</v>
      </c>
      <c r="HW86">
        <v>78</v>
      </c>
      <c r="HX86">
        <v>27</v>
      </c>
      <c r="HY86">
        <v>1929</v>
      </c>
      <c r="HZ86">
        <v>6</v>
      </c>
      <c r="IA86">
        <v>66</v>
      </c>
      <c r="IB86">
        <v>70</v>
      </c>
      <c r="IC86">
        <v>56</v>
      </c>
      <c r="ID86">
        <v>28</v>
      </c>
      <c r="IE86">
        <v>1326</v>
      </c>
      <c r="IF86" t="s">
        <v>85</v>
      </c>
      <c r="IG86" t="s">
        <v>85</v>
      </c>
      <c r="IH86" t="s">
        <v>85</v>
      </c>
      <c r="II86" t="s">
        <v>85</v>
      </c>
      <c r="IJ86" t="s">
        <v>85</v>
      </c>
      <c r="IK86" t="s">
        <v>85</v>
      </c>
      <c r="IL86" t="s">
        <v>85</v>
      </c>
      <c r="IM86" t="s">
        <v>85</v>
      </c>
      <c r="IN86" t="s">
        <v>85</v>
      </c>
      <c r="IO86" t="s">
        <v>85</v>
      </c>
      <c r="IP86" t="s">
        <v>85</v>
      </c>
      <c r="IQ86" t="s">
        <v>85</v>
      </c>
      <c r="IR86" t="s">
        <v>85</v>
      </c>
      <c r="IS86" t="s">
        <v>85</v>
      </c>
      <c r="IT86" t="s">
        <v>85</v>
      </c>
      <c r="IU86" t="s">
        <v>85</v>
      </c>
      <c r="IV86" t="s">
        <v>85</v>
      </c>
      <c r="IW86" t="s">
        <v>85</v>
      </c>
      <c r="IX86" t="s">
        <v>85</v>
      </c>
      <c r="IY86" t="s">
        <v>85</v>
      </c>
      <c r="IZ86">
        <v>6</v>
      </c>
      <c r="JA86">
        <v>98</v>
      </c>
      <c r="JB86">
        <v>77</v>
      </c>
      <c r="JC86">
        <v>82</v>
      </c>
      <c r="JD86">
        <v>20</v>
      </c>
      <c r="JE86">
        <v>1731</v>
      </c>
      <c r="JF86">
        <v>72</v>
      </c>
      <c r="JG86">
        <v>65</v>
      </c>
      <c r="JH86">
        <v>62</v>
      </c>
      <c r="JI86">
        <v>28</v>
      </c>
      <c r="JJ86">
        <v>1376</v>
      </c>
      <c r="JK86">
        <v>72</v>
      </c>
      <c r="JL86">
        <v>90</v>
      </c>
      <c r="JM86">
        <v>91</v>
      </c>
      <c r="JN86">
        <v>32</v>
      </c>
      <c r="JO86">
        <v>1700</v>
      </c>
      <c r="JP86">
        <v>69</v>
      </c>
      <c r="JQ86">
        <v>47</v>
      </c>
      <c r="JR86">
        <v>69</v>
      </c>
      <c r="JS86">
        <v>31</v>
      </c>
      <c r="JT86">
        <v>1174</v>
      </c>
      <c r="JU86" t="s">
        <v>85</v>
      </c>
      <c r="JV86" t="s">
        <v>85</v>
      </c>
      <c r="JW86" t="s">
        <v>85</v>
      </c>
      <c r="JX86" t="s">
        <v>85</v>
      </c>
      <c r="JY86" t="s">
        <v>85</v>
      </c>
      <c r="JZ86">
        <v>6</v>
      </c>
      <c r="KA86">
        <v>50</v>
      </c>
      <c r="KB86">
        <v>51</v>
      </c>
      <c r="KC86">
        <v>37</v>
      </c>
      <c r="KD86">
        <v>16</v>
      </c>
      <c r="KE86">
        <v>1041</v>
      </c>
      <c r="KF86">
        <v>139</v>
      </c>
      <c r="KG86">
        <v>150</v>
      </c>
      <c r="KH86">
        <v>130</v>
      </c>
      <c r="KI86">
        <v>22</v>
      </c>
      <c r="KJ86">
        <v>2828</v>
      </c>
      <c r="KK86">
        <v>59</v>
      </c>
      <c r="KL86">
        <v>56</v>
      </c>
      <c r="KM86">
        <v>39</v>
      </c>
      <c r="KN86">
        <v>30</v>
      </c>
      <c r="KO86">
        <v>1020</v>
      </c>
      <c r="KP86">
        <v>44</v>
      </c>
      <c r="KQ86">
        <v>30</v>
      </c>
      <c r="KR86">
        <v>52</v>
      </c>
      <c r="KS86">
        <v>26</v>
      </c>
      <c r="KT86">
        <v>858</v>
      </c>
      <c r="KU86" t="s">
        <v>85</v>
      </c>
      <c r="KV86" t="s">
        <v>85</v>
      </c>
      <c r="KW86" t="s">
        <v>85</v>
      </c>
      <c r="KX86" t="s">
        <v>85</v>
      </c>
      <c r="KY86" t="s">
        <v>85</v>
      </c>
      <c r="KZ86">
        <v>6</v>
      </c>
      <c r="LA86">
        <v>77</v>
      </c>
      <c r="LB86">
        <v>88</v>
      </c>
      <c r="LC86">
        <v>67</v>
      </c>
      <c r="LD86">
        <v>24</v>
      </c>
      <c r="LE86">
        <v>1648</v>
      </c>
      <c r="LF86">
        <v>45</v>
      </c>
      <c r="LG86">
        <v>62</v>
      </c>
      <c r="LH86">
        <v>44</v>
      </c>
      <c r="LI86">
        <v>21</v>
      </c>
      <c r="LJ86">
        <v>953</v>
      </c>
      <c r="LK86">
        <v>90</v>
      </c>
      <c r="LL86">
        <v>85</v>
      </c>
      <c r="LM86">
        <v>86</v>
      </c>
      <c r="LN86">
        <v>30</v>
      </c>
      <c r="LO86">
        <v>1786</v>
      </c>
      <c r="LP86">
        <v>83</v>
      </c>
      <c r="LQ86">
        <v>89</v>
      </c>
      <c r="LR86">
        <v>97</v>
      </c>
      <c r="LS86">
        <v>17</v>
      </c>
      <c r="LT86">
        <v>1579</v>
      </c>
      <c r="LU86">
        <v>0</v>
      </c>
      <c r="LV86">
        <v>3</v>
      </c>
      <c r="LW86">
        <v>3</v>
      </c>
      <c r="LX86">
        <v>4</v>
      </c>
      <c r="LY86">
        <v>30</v>
      </c>
      <c r="LZ86">
        <v>6</v>
      </c>
      <c r="MA86">
        <v>46</v>
      </c>
      <c r="MB86">
        <v>71</v>
      </c>
      <c r="MC86">
        <v>40</v>
      </c>
      <c r="MD86">
        <v>28</v>
      </c>
      <c r="ME86">
        <v>1060</v>
      </c>
      <c r="MF86" t="s">
        <v>85</v>
      </c>
      <c r="MG86" t="s">
        <v>85</v>
      </c>
      <c r="MH86" t="s">
        <v>85</v>
      </c>
      <c r="MI86" t="s">
        <v>85</v>
      </c>
      <c r="MJ86" t="s">
        <v>85</v>
      </c>
      <c r="MK86" t="s">
        <v>85</v>
      </c>
      <c r="ML86" t="s">
        <v>85</v>
      </c>
      <c r="MM86" t="s">
        <v>85</v>
      </c>
      <c r="MN86" t="s">
        <v>85</v>
      </c>
      <c r="MO86" t="s">
        <v>85</v>
      </c>
      <c r="MP86" t="s">
        <v>85</v>
      </c>
      <c r="MQ86" t="s">
        <v>85</v>
      </c>
      <c r="MR86" t="s">
        <v>85</v>
      </c>
      <c r="MS86" t="s">
        <v>85</v>
      </c>
      <c r="MT86" t="s">
        <v>85</v>
      </c>
      <c r="MU86" t="s">
        <v>85</v>
      </c>
      <c r="MV86" t="s">
        <v>85</v>
      </c>
      <c r="MW86" t="s">
        <v>85</v>
      </c>
      <c r="MX86" t="s">
        <v>85</v>
      </c>
      <c r="MY86" t="s">
        <v>85</v>
      </c>
    </row>
    <row r="87" spans="1:363">
      <c r="A87" s="467">
        <v>7</v>
      </c>
      <c r="B87">
        <v>-1</v>
      </c>
      <c r="C87">
        <v>-1</v>
      </c>
      <c r="D87">
        <v>-1</v>
      </c>
      <c r="E87">
        <v>-1</v>
      </c>
      <c r="F87">
        <v>27</v>
      </c>
      <c r="G87">
        <v>5</v>
      </c>
      <c r="H87">
        <v>6</v>
      </c>
      <c r="I87">
        <v>6</v>
      </c>
      <c r="J87">
        <v>0</v>
      </c>
      <c r="K87">
        <v>81</v>
      </c>
      <c r="L87">
        <v>7</v>
      </c>
      <c r="M87">
        <v>7</v>
      </c>
      <c r="N87">
        <v>7</v>
      </c>
      <c r="O87">
        <v>0</v>
      </c>
      <c r="P87">
        <v>57</v>
      </c>
      <c r="Q87">
        <v>5</v>
      </c>
      <c r="R87">
        <v>5</v>
      </c>
      <c r="S87">
        <v>4</v>
      </c>
      <c r="T87">
        <v>0</v>
      </c>
      <c r="U87">
        <v>68</v>
      </c>
      <c r="V87">
        <v>6</v>
      </c>
      <c r="W87">
        <v>6</v>
      </c>
      <c r="X87">
        <v>6</v>
      </c>
      <c r="Y87">
        <v>1</v>
      </c>
      <c r="Z87">
        <v>0</v>
      </c>
      <c r="AA87">
        <v>7</v>
      </c>
      <c r="AB87">
        <v>12</v>
      </c>
      <c r="AC87">
        <v>12</v>
      </c>
      <c r="AD87">
        <v>11</v>
      </c>
      <c r="AE87">
        <v>1</v>
      </c>
      <c r="AF87">
        <v>148</v>
      </c>
      <c r="AG87">
        <v>14</v>
      </c>
      <c r="AH87">
        <v>14</v>
      </c>
      <c r="AI87">
        <v>14</v>
      </c>
      <c r="AJ87">
        <v>1</v>
      </c>
      <c r="AK87">
        <v>140</v>
      </c>
      <c r="AL87">
        <v>1</v>
      </c>
      <c r="AM87">
        <v>1</v>
      </c>
      <c r="AN87">
        <v>1</v>
      </c>
      <c r="AO87">
        <v>1</v>
      </c>
      <c r="AP87">
        <v>47</v>
      </c>
      <c r="AQ87" t="s">
        <v>85</v>
      </c>
      <c r="AR87" t="s">
        <v>85</v>
      </c>
      <c r="AS87" t="s">
        <v>85</v>
      </c>
      <c r="AT87" t="s">
        <v>85</v>
      </c>
      <c r="AU87" t="s">
        <v>85</v>
      </c>
      <c r="AV87" t="s">
        <v>85</v>
      </c>
      <c r="AW87" t="s">
        <v>85</v>
      </c>
      <c r="AX87" t="s">
        <v>85</v>
      </c>
      <c r="AY87" t="s">
        <v>85</v>
      </c>
      <c r="AZ87" t="s">
        <v>85</v>
      </c>
      <c r="BA87">
        <v>7</v>
      </c>
      <c r="BB87">
        <v>22</v>
      </c>
      <c r="BC87">
        <v>22</v>
      </c>
      <c r="BD87">
        <v>22</v>
      </c>
      <c r="BE87">
        <v>0</v>
      </c>
      <c r="BF87">
        <v>796</v>
      </c>
      <c r="BG87">
        <v>12</v>
      </c>
      <c r="BH87">
        <v>11</v>
      </c>
      <c r="BI87">
        <v>11</v>
      </c>
      <c r="BJ87">
        <v>0</v>
      </c>
      <c r="BK87">
        <v>213</v>
      </c>
      <c r="BL87">
        <v>3</v>
      </c>
      <c r="BM87">
        <v>4</v>
      </c>
      <c r="BN87">
        <v>3</v>
      </c>
      <c r="BO87">
        <v>0</v>
      </c>
      <c r="BP87">
        <v>14</v>
      </c>
      <c r="BQ87">
        <v>28</v>
      </c>
      <c r="BR87">
        <v>29</v>
      </c>
      <c r="BS87">
        <v>27</v>
      </c>
      <c r="BT87">
        <v>2</v>
      </c>
      <c r="BU87">
        <v>1166</v>
      </c>
      <c r="BV87">
        <v>35</v>
      </c>
      <c r="BW87">
        <v>37</v>
      </c>
      <c r="BX87">
        <v>35</v>
      </c>
      <c r="BY87">
        <v>0</v>
      </c>
      <c r="BZ87">
        <v>1580</v>
      </c>
      <c r="CA87">
        <v>7</v>
      </c>
      <c r="CB87" t="s">
        <v>85</v>
      </c>
      <c r="CC87" t="s">
        <v>85</v>
      </c>
      <c r="CD87" t="s">
        <v>85</v>
      </c>
      <c r="CE87" t="s">
        <v>85</v>
      </c>
      <c r="CF87">
        <v>0</v>
      </c>
      <c r="CG87">
        <v>2</v>
      </c>
      <c r="CH87">
        <v>2</v>
      </c>
      <c r="CI87">
        <v>2</v>
      </c>
      <c r="CJ87">
        <v>0</v>
      </c>
      <c r="CK87">
        <v>58</v>
      </c>
      <c r="CL87" t="s">
        <v>85</v>
      </c>
      <c r="CM87" t="s">
        <v>85</v>
      </c>
      <c r="CN87" t="s">
        <v>85</v>
      </c>
      <c r="CO87" t="s">
        <v>85</v>
      </c>
      <c r="CP87" t="s">
        <v>85</v>
      </c>
      <c r="CQ87" t="s">
        <v>85</v>
      </c>
      <c r="CR87" t="s">
        <v>85</v>
      </c>
      <c r="CS87" t="s">
        <v>85</v>
      </c>
      <c r="CT87" t="s">
        <v>85</v>
      </c>
      <c r="CU87" t="s">
        <v>85</v>
      </c>
      <c r="CV87" t="s">
        <v>85</v>
      </c>
      <c r="CW87" t="s">
        <v>85</v>
      </c>
      <c r="CX87" t="s">
        <v>85</v>
      </c>
      <c r="CY87" t="s">
        <v>85</v>
      </c>
      <c r="CZ87" t="s">
        <v>85</v>
      </c>
      <c r="DA87">
        <v>7</v>
      </c>
      <c r="DB87">
        <v>137</v>
      </c>
      <c r="DC87">
        <v>139</v>
      </c>
      <c r="DD87">
        <v>138</v>
      </c>
      <c r="DE87">
        <v>0</v>
      </c>
      <c r="DF87">
        <v>5154</v>
      </c>
      <c r="DG87">
        <v>10</v>
      </c>
      <c r="DH87">
        <v>10</v>
      </c>
      <c r="DI87">
        <v>9</v>
      </c>
      <c r="DJ87">
        <v>0</v>
      </c>
      <c r="DK87">
        <v>244</v>
      </c>
      <c r="DL87">
        <v>6</v>
      </c>
      <c r="DM87">
        <v>6</v>
      </c>
      <c r="DN87">
        <v>6</v>
      </c>
      <c r="DO87">
        <v>0</v>
      </c>
      <c r="DP87">
        <v>185</v>
      </c>
      <c r="DQ87">
        <v>0</v>
      </c>
      <c r="DR87">
        <v>0</v>
      </c>
      <c r="DS87">
        <v>0</v>
      </c>
      <c r="DT87">
        <v>0</v>
      </c>
      <c r="DU87">
        <v>0</v>
      </c>
      <c r="DV87">
        <v>0</v>
      </c>
      <c r="DW87">
        <v>0</v>
      </c>
      <c r="DX87">
        <v>0</v>
      </c>
      <c r="DY87">
        <v>0</v>
      </c>
      <c r="DZ87">
        <v>0</v>
      </c>
      <c r="EA87">
        <v>7</v>
      </c>
      <c r="EB87">
        <v>0</v>
      </c>
      <c r="EC87">
        <v>0</v>
      </c>
      <c r="ED87">
        <v>0</v>
      </c>
      <c r="EE87">
        <v>0</v>
      </c>
      <c r="EF87">
        <v>0</v>
      </c>
      <c r="EG87" t="s">
        <v>85</v>
      </c>
      <c r="EH87" t="s">
        <v>85</v>
      </c>
      <c r="EI87" t="s">
        <v>85</v>
      </c>
      <c r="EJ87" t="s">
        <v>85</v>
      </c>
      <c r="EK87" t="s">
        <v>85</v>
      </c>
      <c r="EL87" t="s">
        <v>85</v>
      </c>
      <c r="EM87" t="s">
        <v>85</v>
      </c>
      <c r="EN87" t="s">
        <v>85</v>
      </c>
      <c r="EO87" t="s">
        <v>85</v>
      </c>
      <c r="EP87" t="s">
        <v>85</v>
      </c>
      <c r="EQ87" t="s">
        <v>85</v>
      </c>
      <c r="ER87" t="s">
        <v>85</v>
      </c>
      <c r="ES87" t="s">
        <v>85</v>
      </c>
      <c r="ET87" t="s">
        <v>85</v>
      </c>
      <c r="EU87" t="s">
        <v>85</v>
      </c>
      <c r="EV87" t="s">
        <v>85</v>
      </c>
      <c r="EW87" t="s">
        <v>85</v>
      </c>
      <c r="EX87" t="s">
        <v>85</v>
      </c>
      <c r="EY87" t="s">
        <v>85</v>
      </c>
      <c r="EZ87" t="s">
        <v>85</v>
      </c>
      <c r="FA87">
        <v>7</v>
      </c>
      <c r="FB87">
        <v>37</v>
      </c>
      <c r="FC87">
        <v>37</v>
      </c>
      <c r="FD87">
        <v>37</v>
      </c>
      <c r="FE87">
        <v>0</v>
      </c>
      <c r="FF87">
        <v>822</v>
      </c>
      <c r="FG87">
        <v>0</v>
      </c>
      <c r="FH87">
        <v>0</v>
      </c>
      <c r="FI87">
        <v>0</v>
      </c>
      <c r="FJ87">
        <v>0</v>
      </c>
      <c r="FK87">
        <v>0</v>
      </c>
      <c r="FL87">
        <v>0</v>
      </c>
      <c r="FM87">
        <v>0</v>
      </c>
      <c r="FN87">
        <v>0</v>
      </c>
      <c r="FO87">
        <v>0</v>
      </c>
      <c r="FP87">
        <v>0</v>
      </c>
      <c r="FQ87">
        <v>47</v>
      </c>
      <c r="FR87">
        <v>46</v>
      </c>
      <c r="FS87">
        <v>50</v>
      </c>
      <c r="FT87">
        <v>0</v>
      </c>
      <c r="FU87">
        <v>1718</v>
      </c>
      <c r="FV87">
        <v>15</v>
      </c>
      <c r="FW87">
        <v>15</v>
      </c>
      <c r="FX87">
        <v>15</v>
      </c>
      <c r="FY87">
        <v>0</v>
      </c>
      <c r="FZ87">
        <v>864</v>
      </c>
      <c r="GA87">
        <v>7</v>
      </c>
      <c r="GB87">
        <v>84</v>
      </c>
      <c r="GC87">
        <v>87</v>
      </c>
      <c r="GD87">
        <v>84</v>
      </c>
      <c r="GE87">
        <v>0</v>
      </c>
      <c r="GF87">
        <v>3426</v>
      </c>
      <c r="GG87" t="s">
        <v>85</v>
      </c>
      <c r="GH87" t="s">
        <v>85</v>
      </c>
      <c r="GI87" t="s">
        <v>85</v>
      </c>
      <c r="GJ87" t="s">
        <v>85</v>
      </c>
      <c r="GK87" t="s">
        <v>85</v>
      </c>
      <c r="GL87" t="s">
        <v>85</v>
      </c>
      <c r="GM87" t="s">
        <v>85</v>
      </c>
      <c r="GN87" t="s">
        <v>85</v>
      </c>
      <c r="GO87" t="s">
        <v>85</v>
      </c>
      <c r="GP87" t="s">
        <v>85</v>
      </c>
      <c r="GQ87" t="s">
        <v>85</v>
      </c>
      <c r="GR87" t="s">
        <v>85</v>
      </c>
      <c r="GS87" t="s">
        <v>85</v>
      </c>
      <c r="GT87" t="s">
        <v>85</v>
      </c>
      <c r="GU87" t="s">
        <v>85</v>
      </c>
      <c r="GV87" t="s">
        <v>85</v>
      </c>
      <c r="GW87" t="s">
        <v>85</v>
      </c>
      <c r="GX87" t="s">
        <v>85</v>
      </c>
      <c r="GY87" t="s">
        <v>85</v>
      </c>
      <c r="GZ87">
        <v>7</v>
      </c>
      <c r="HA87">
        <v>100</v>
      </c>
      <c r="HB87">
        <v>119</v>
      </c>
      <c r="HC87">
        <v>97</v>
      </c>
      <c r="HD87">
        <v>20</v>
      </c>
      <c r="HE87">
        <v>2047</v>
      </c>
      <c r="HF87">
        <v>33</v>
      </c>
      <c r="HG87">
        <v>47</v>
      </c>
      <c r="HH87">
        <v>37</v>
      </c>
      <c r="HI87">
        <v>15</v>
      </c>
      <c r="HJ87">
        <v>1077</v>
      </c>
      <c r="HK87">
        <v>69</v>
      </c>
      <c r="HL87">
        <v>63</v>
      </c>
      <c r="HM87">
        <v>65</v>
      </c>
      <c r="HN87">
        <v>15</v>
      </c>
      <c r="HO87">
        <v>1204</v>
      </c>
      <c r="HP87">
        <v>34</v>
      </c>
      <c r="HQ87">
        <v>41</v>
      </c>
      <c r="HR87">
        <v>32</v>
      </c>
      <c r="HS87">
        <v>10</v>
      </c>
      <c r="HT87">
        <v>681</v>
      </c>
      <c r="HU87">
        <v>87</v>
      </c>
      <c r="HV87">
        <v>111</v>
      </c>
      <c r="HW87">
        <v>86</v>
      </c>
      <c r="HX87">
        <v>27</v>
      </c>
      <c r="HY87">
        <v>1874</v>
      </c>
      <c r="HZ87">
        <v>7</v>
      </c>
      <c r="IA87">
        <v>74</v>
      </c>
      <c r="IB87">
        <v>75</v>
      </c>
      <c r="IC87">
        <v>62</v>
      </c>
      <c r="ID87">
        <v>28</v>
      </c>
      <c r="IE87">
        <v>1329</v>
      </c>
      <c r="IF87" t="s">
        <v>85</v>
      </c>
      <c r="IG87" t="s">
        <v>85</v>
      </c>
      <c r="IH87" t="s">
        <v>85</v>
      </c>
      <c r="II87" t="s">
        <v>85</v>
      </c>
      <c r="IJ87" t="s">
        <v>85</v>
      </c>
      <c r="IK87" t="s">
        <v>85</v>
      </c>
      <c r="IL87" t="s">
        <v>85</v>
      </c>
      <c r="IM87" t="s">
        <v>85</v>
      </c>
      <c r="IN87" t="s">
        <v>85</v>
      </c>
      <c r="IO87" t="s">
        <v>85</v>
      </c>
      <c r="IP87" t="s">
        <v>85</v>
      </c>
      <c r="IQ87" t="s">
        <v>85</v>
      </c>
      <c r="IR87" t="s">
        <v>85</v>
      </c>
      <c r="IS87" t="s">
        <v>85</v>
      </c>
      <c r="IT87" t="s">
        <v>85</v>
      </c>
      <c r="IU87" t="s">
        <v>85</v>
      </c>
      <c r="IV87" t="s">
        <v>85</v>
      </c>
      <c r="IW87" t="s">
        <v>85</v>
      </c>
      <c r="IX87" t="s">
        <v>85</v>
      </c>
      <c r="IY87" t="s">
        <v>85</v>
      </c>
      <c r="IZ87">
        <v>7</v>
      </c>
      <c r="JA87">
        <v>98</v>
      </c>
      <c r="JB87">
        <v>79</v>
      </c>
      <c r="JC87">
        <v>86</v>
      </c>
      <c r="JD87">
        <v>23</v>
      </c>
      <c r="JE87">
        <v>1710</v>
      </c>
      <c r="JF87">
        <v>85</v>
      </c>
      <c r="JG87">
        <v>68</v>
      </c>
      <c r="JH87">
        <v>82</v>
      </c>
      <c r="JI87">
        <v>30</v>
      </c>
      <c r="JJ87">
        <v>1498</v>
      </c>
      <c r="JK87">
        <v>78</v>
      </c>
      <c r="JL87">
        <v>94</v>
      </c>
      <c r="JM87">
        <v>101</v>
      </c>
      <c r="JN87">
        <v>30</v>
      </c>
      <c r="JO87">
        <v>1739</v>
      </c>
      <c r="JP87">
        <v>69</v>
      </c>
      <c r="JQ87">
        <v>48</v>
      </c>
      <c r="JR87">
        <v>76</v>
      </c>
      <c r="JS87">
        <v>33</v>
      </c>
      <c r="JT87">
        <v>1236</v>
      </c>
      <c r="JU87" t="s">
        <v>85</v>
      </c>
      <c r="JV87" t="s">
        <v>85</v>
      </c>
      <c r="JW87" t="s">
        <v>85</v>
      </c>
      <c r="JX87" t="s">
        <v>85</v>
      </c>
      <c r="JY87" t="s">
        <v>85</v>
      </c>
      <c r="JZ87">
        <v>7</v>
      </c>
      <c r="KA87">
        <v>43</v>
      </c>
      <c r="KB87">
        <v>48</v>
      </c>
      <c r="KC87">
        <v>35</v>
      </c>
      <c r="KD87">
        <v>12</v>
      </c>
      <c r="KE87">
        <v>877</v>
      </c>
      <c r="KF87">
        <v>136</v>
      </c>
      <c r="KG87">
        <v>146</v>
      </c>
      <c r="KH87">
        <v>125</v>
      </c>
      <c r="KI87">
        <v>24</v>
      </c>
      <c r="KJ87">
        <v>2756</v>
      </c>
      <c r="KK87">
        <v>58</v>
      </c>
      <c r="KL87">
        <v>58</v>
      </c>
      <c r="KM87">
        <v>43</v>
      </c>
      <c r="KN87">
        <v>27</v>
      </c>
      <c r="KO87">
        <v>1042</v>
      </c>
      <c r="KP87">
        <v>27</v>
      </c>
      <c r="KQ87">
        <v>18</v>
      </c>
      <c r="KR87">
        <v>46</v>
      </c>
      <c r="KS87">
        <v>31</v>
      </c>
      <c r="KT87">
        <v>740</v>
      </c>
      <c r="KU87" t="s">
        <v>85</v>
      </c>
      <c r="KV87" t="s">
        <v>85</v>
      </c>
      <c r="KW87" t="s">
        <v>85</v>
      </c>
      <c r="KX87" t="s">
        <v>85</v>
      </c>
      <c r="KY87" t="s">
        <v>85</v>
      </c>
      <c r="KZ87">
        <v>7</v>
      </c>
      <c r="LA87">
        <v>77</v>
      </c>
      <c r="LB87">
        <v>99</v>
      </c>
      <c r="LC87">
        <v>73</v>
      </c>
      <c r="LD87">
        <v>30</v>
      </c>
      <c r="LE87">
        <v>1657</v>
      </c>
      <c r="LF87">
        <v>46</v>
      </c>
      <c r="LG87">
        <v>65</v>
      </c>
      <c r="LH87">
        <v>43</v>
      </c>
      <c r="LI87">
        <v>26</v>
      </c>
      <c r="LJ87">
        <v>933</v>
      </c>
      <c r="LK87">
        <v>92</v>
      </c>
      <c r="LL87">
        <v>84</v>
      </c>
      <c r="LM87">
        <v>87</v>
      </c>
      <c r="LN87">
        <v>30</v>
      </c>
      <c r="LO87">
        <v>1771</v>
      </c>
      <c r="LP87">
        <v>75</v>
      </c>
      <c r="LQ87">
        <v>81</v>
      </c>
      <c r="LR87">
        <v>86</v>
      </c>
      <c r="LS87">
        <v>15</v>
      </c>
      <c r="LT87">
        <v>1587</v>
      </c>
      <c r="LU87">
        <v>0</v>
      </c>
      <c r="LV87">
        <v>3</v>
      </c>
      <c r="LW87">
        <v>3</v>
      </c>
      <c r="LX87">
        <v>3</v>
      </c>
      <c r="LY87">
        <v>35</v>
      </c>
      <c r="LZ87">
        <v>7</v>
      </c>
      <c r="MA87">
        <v>48</v>
      </c>
      <c r="MB87">
        <v>73</v>
      </c>
      <c r="MC87">
        <v>46</v>
      </c>
      <c r="MD87">
        <v>27</v>
      </c>
      <c r="ME87">
        <v>1097</v>
      </c>
      <c r="MF87" t="s">
        <v>85</v>
      </c>
      <c r="MG87" t="s">
        <v>85</v>
      </c>
      <c r="MH87" t="s">
        <v>85</v>
      </c>
      <c r="MI87" t="s">
        <v>85</v>
      </c>
      <c r="MJ87" t="s">
        <v>85</v>
      </c>
      <c r="MK87" t="s">
        <v>85</v>
      </c>
      <c r="ML87" t="s">
        <v>85</v>
      </c>
      <c r="MM87" t="s">
        <v>85</v>
      </c>
      <c r="MN87" t="s">
        <v>85</v>
      </c>
      <c r="MO87" t="s">
        <v>85</v>
      </c>
      <c r="MP87" t="s">
        <v>85</v>
      </c>
      <c r="MQ87" t="s">
        <v>85</v>
      </c>
      <c r="MR87" t="s">
        <v>85</v>
      </c>
      <c r="MS87" t="s">
        <v>85</v>
      </c>
      <c r="MT87" t="s">
        <v>85</v>
      </c>
      <c r="MU87" t="s">
        <v>85</v>
      </c>
      <c r="MV87" t="s">
        <v>85</v>
      </c>
      <c r="MW87" t="s">
        <v>85</v>
      </c>
      <c r="MX87" t="s">
        <v>85</v>
      </c>
      <c r="MY87" t="s">
        <v>85</v>
      </c>
    </row>
    <row r="88" spans="1:363">
      <c r="A88" s="467">
        <v>8</v>
      </c>
      <c r="B88">
        <v>0</v>
      </c>
      <c r="C88">
        <v>-1</v>
      </c>
      <c r="D88">
        <v>-1</v>
      </c>
      <c r="E88">
        <v>-1</v>
      </c>
      <c r="F88">
        <v>26</v>
      </c>
      <c r="G88">
        <v>12</v>
      </c>
      <c r="H88">
        <v>12</v>
      </c>
      <c r="I88">
        <v>11</v>
      </c>
      <c r="J88">
        <v>0</v>
      </c>
      <c r="K88">
        <v>197</v>
      </c>
      <c r="L88">
        <v>18</v>
      </c>
      <c r="M88">
        <v>18</v>
      </c>
      <c r="N88">
        <v>18</v>
      </c>
      <c r="O88">
        <v>0</v>
      </c>
      <c r="P88">
        <v>222</v>
      </c>
      <c r="Q88">
        <v>10</v>
      </c>
      <c r="R88">
        <v>10</v>
      </c>
      <c r="S88">
        <v>10</v>
      </c>
      <c r="T88">
        <v>0</v>
      </c>
      <c r="U88">
        <v>152</v>
      </c>
      <c r="V88">
        <v>10</v>
      </c>
      <c r="W88">
        <v>10</v>
      </c>
      <c r="X88">
        <v>10</v>
      </c>
      <c r="Y88">
        <v>1</v>
      </c>
      <c r="Z88">
        <v>0</v>
      </c>
      <c r="AA88">
        <v>8</v>
      </c>
      <c r="AB88">
        <v>14</v>
      </c>
      <c r="AC88">
        <v>14</v>
      </c>
      <c r="AD88">
        <v>13</v>
      </c>
      <c r="AE88">
        <v>1</v>
      </c>
      <c r="AF88">
        <v>297</v>
      </c>
      <c r="AG88">
        <v>13</v>
      </c>
      <c r="AH88">
        <v>13</v>
      </c>
      <c r="AI88">
        <v>13</v>
      </c>
      <c r="AJ88">
        <v>1</v>
      </c>
      <c r="AK88">
        <v>258</v>
      </c>
      <c r="AL88">
        <v>1</v>
      </c>
      <c r="AM88">
        <v>1</v>
      </c>
      <c r="AN88">
        <v>1</v>
      </c>
      <c r="AO88">
        <v>1</v>
      </c>
      <c r="AP88">
        <v>48</v>
      </c>
      <c r="AQ88" t="s">
        <v>85</v>
      </c>
      <c r="AR88" t="s">
        <v>85</v>
      </c>
      <c r="AS88" t="s">
        <v>85</v>
      </c>
      <c r="AT88" t="s">
        <v>85</v>
      </c>
      <c r="AU88" t="s">
        <v>85</v>
      </c>
      <c r="AV88" t="s">
        <v>85</v>
      </c>
      <c r="AW88" t="s">
        <v>85</v>
      </c>
      <c r="AX88" t="s">
        <v>85</v>
      </c>
      <c r="AY88" t="s">
        <v>85</v>
      </c>
      <c r="AZ88" t="s">
        <v>85</v>
      </c>
      <c r="BA88">
        <v>8</v>
      </c>
      <c r="BB88">
        <v>22</v>
      </c>
      <c r="BC88">
        <v>23</v>
      </c>
      <c r="BD88">
        <v>23</v>
      </c>
      <c r="BE88">
        <v>0</v>
      </c>
      <c r="BF88">
        <v>825</v>
      </c>
      <c r="BG88">
        <v>21</v>
      </c>
      <c r="BH88">
        <v>20</v>
      </c>
      <c r="BI88">
        <v>19</v>
      </c>
      <c r="BJ88">
        <v>0</v>
      </c>
      <c r="BK88">
        <v>613</v>
      </c>
      <c r="BL88">
        <v>7</v>
      </c>
      <c r="BM88">
        <v>6</v>
      </c>
      <c r="BN88">
        <v>8</v>
      </c>
      <c r="BO88">
        <v>0</v>
      </c>
      <c r="BP88">
        <v>21</v>
      </c>
      <c r="BQ88">
        <v>30</v>
      </c>
      <c r="BR88">
        <v>32</v>
      </c>
      <c r="BS88">
        <v>28</v>
      </c>
      <c r="BT88">
        <v>2</v>
      </c>
      <c r="BU88">
        <v>1088</v>
      </c>
      <c r="BV88">
        <v>35</v>
      </c>
      <c r="BW88">
        <v>37</v>
      </c>
      <c r="BX88">
        <v>35</v>
      </c>
      <c r="BY88">
        <v>0</v>
      </c>
      <c r="BZ88">
        <v>1507</v>
      </c>
      <c r="CA88">
        <v>8</v>
      </c>
      <c r="CB88" t="s">
        <v>85</v>
      </c>
      <c r="CC88" t="s">
        <v>85</v>
      </c>
      <c r="CD88" t="s">
        <v>85</v>
      </c>
      <c r="CE88" t="s">
        <v>85</v>
      </c>
      <c r="CF88">
        <v>0</v>
      </c>
      <c r="CG88">
        <v>2</v>
      </c>
      <c r="CH88">
        <v>2</v>
      </c>
      <c r="CI88">
        <v>2</v>
      </c>
      <c r="CJ88">
        <v>0</v>
      </c>
      <c r="CK88">
        <v>58</v>
      </c>
      <c r="CL88" t="s">
        <v>85</v>
      </c>
      <c r="CM88" t="s">
        <v>85</v>
      </c>
      <c r="CN88" t="s">
        <v>85</v>
      </c>
      <c r="CO88" t="s">
        <v>85</v>
      </c>
      <c r="CP88" t="s">
        <v>85</v>
      </c>
      <c r="CQ88" t="s">
        <v>85</v>
      </c>
      <c r="CR88" t="s">
        <v>85</v>
      </c>
      <c r="CS88" t="s">
        <v>85</v>
      </c>
      <c r="CT88" t="s">
        <v>85</v>
      </c>
      <c r="CU88" t="s">
        <v>85</v>
      </c>
      <c r="CV88" t="s">
        <v>85</v>
      </c>
      <c r="CW88" t="s">
        <v>85</v>
      </c>
      <c r="CX88" t="s">
        <v>85</v>
      </c>
      <c r="CY88" t="s">
        <v>85</v>
      </c>
      <c r="CZ88" t="s">
        <v>85</v>
      </c>
      <c r="DA88">
        <v>8</v>
      </c>
      <c r="DB88">
        <v>119</v>
      </c>
      <c r="DC88">
        <v>120</v>
      </c>
      <c r="DD88">
        <v>119</v>
      </c>
      <c r="DE88">
        <v>0</v>
      </c>
      <c r="DF88">
        <v>4907</v>
      </c>
      <c r="DG88">
        <v>18</v>
      </c>
      <c r="DH88">
        <v>18</v>
      </c>
      <c r="DI88">
        <v>18</v>
      </c>
      <c r="DJ88">
        <v>0</v>
      </c>
      <c r="DK88">
        <v>392</v>
      </c>
      <c r="DL88">
        <v>0</v>
      </c>
      <c r="DM88">
        <v>0</v>
      </c>
      <c r="DN88">
        <v>0</v>
      </c>
      <c r="DO88">
        <v>0</v>
      </c>
      <c r="DP88">
        <v>209</v>
      </c>
      <c r="DQ88">
        <v>0</v>
      </c>
      <c r="DR88">
        <v>0</v>
      </c>
      <c r="DS88">
        <v>0</v>
      </c>
      <c r="DT88">
        <v>0</v>
      </c>
      <c r="DU88">
        <v>0</v>
      </c>
      <c r="DV88">
        <v>0</v>
      </c>
      <c r="DW88">
        <v>0</v>
      </c>
      <c r="DX88">
        <v>0</v>
      </c>
      <c r="DY88">
        <v>0</v>
      </c>
      <c r="DZ88">
        <v>0</v>
      </c>
      <c r="EA88">
        <v>8</v>
      </c>
      <c r="EB88">
        <v>0</v>
      </c>
      <c r="EC88">
        <v>0</v>
      </c>
      <c r="ED88">
        <v>0</v>
      </c>
      <c r="EE88">
        <v>0</v>
      </c>
      <c r="EF88">
        <v>0</v>
      </c>
      <c r="EG88" t="s">
        <v>85</v>
      </c>
      <c r="EH88" t="s">
        <v>85</v>
      </c>
      <c r="EI88" t="s">
        <v>85</v>
      </c>
      <c r="EJ88" t="s">
        <v>85</v>
      </c>
      <c r="EK88" t="s">
        <v>85</v>
      </c>
      <c r="EL88" t="s">
        <v>85</v>
      </c>
      <c r="EM88" t="s">
        <v>85</v>
      </c>
      <c r="EN88" t="s">
        <v>85</v>
      </c>
      <c r="EO88" t="s">
        <v>85</v>
      </c>
      <c r="EP88" t="s">
        <v>85</v>
      </c>
      <c r="EQ88" t="s">
        <v>85</v>
      </c>
      <c r="ER88" t="s">
        <v>85</v>
      </c>
      <c r="ES88" t="s">
        <v>85</v>
      </c>
      <c r="ET88" t="s">
        <v>85</v>
      </c>
      <c r="EU88" t="s">
        <v>85</v>
      </c>
      <c r="EV88" t="s">
        <v>85</v>
      </c>
      <c r="EW88" t="s">
        <v>85</v>
      </c>
      <c r="EX88" t="s">
        <v>85</v>
      </c>
      <c r="EY88" t="s">
        <v>85</v>
      </c>
      <c r="EZ88" t="s">
        <v>85</v>
      </c>
      <c r="FA88">
        <v>8</v>
      </c>
      <c r="FB88">
        <v>71</v>
      </c>
      <c r="FC88">
        <v>71</v>
      </c>
      <c r="FD88">
        <v>71</v>
      </c>
      <c r="FE88">
        <v>0</v>
      </c>
      <c r="FF88">
        <v>2177</v>
      </c>
      <c r="FG88">
        <v>0</v>
      </c>
      <c r="FH88">
        <v>0</v>
      </c>
      <c r="FI88">
        <v>0</v>
      </c>
      <c r="FJ88">
        <v>0</v>
      </c>
      <c r="FK88">
        <v>0</v>
      </c>
      <c r="FL88">
        <v>0</v>
      </c>
      <c r="FM88">
        <v>0</v>
      </c>
      <c r="FN88">
        <v>0</v>
      </c>
      <c r="FO88">
        <v>0</v>
      </c>
      <c r="FP88">
        <v>0</v>
      </c>
      <c r="FQ88">
        <v>41</v>
      </c>
      <c r="FR88">
        <v>39</v>
      </c>
      <c r="FS88">
        <v>44</v>
      </c>
      <c r="FT88">
        <v>0</v>
      </c>
      <c r="FU88">
        <v>1741</v>
      </c>
      <c r="FV88">
        <v>28</v>
      </c>
      <c r="FW88">
        <v>29</v>
      </c>
      <c r="FX88">
        <v>29</v>
      </c>
      <c r="FY88">
        <v>0</v>
      </c>
      <c r="FZ88">
        <v>746</v>
      </c>
      <c r="GA88">
        <v>8</v>
      </c>
      <c r="GB88">
        <v>80</v>
      </c>
      <c r="GC88">
        <v>83</v>
      </c>
      <c r="GD88">
        <v>80</v>
      </c>
      <c r="GE88">
        <v>0</v>
      </c>
      <c r="GF88">
        <v>3169</v>
      </c>
      <c r="GG88" t="s">
        <v>85</v>
      </c>
      <c r="GH88" t="s">
        <v>85</v>
      </c>
      <c r="GI88" t="s">
        <v>85</v>
      </c>
      <c r="GJ88" t="s">
        <v>85</v>
      </c>
      <c r="GK88" t="s">
        <v>85</v>
      </c>
      <c r="GL88" t="s">
        <v>85</v>
      </c>
      <c r="GM88" t="s">
        <v>85</v>
      </c>
      <c r="GN88" t="s">
        <v>85</v>
      </c>
      <c r="GO88" t="s">
        <v>85</v>
      </c>
      <c r="GP88" t="s">
        <v>85</v>
      </c>
      <c r="GQ88" t="s">
        <v>85</v>
      </c>
      <c r="GR88" t="s">
        <v>85</v>
      </c>
      <c r="GS88" t="s">
        <v>85</v>
      </c>
      <c r="GT88" t="s">
        <v>85</v>
      </c>
      <c r="GU88" t="s">
        <v>85</v>
      </c>
      <c r="GV88" t="s">
        <v>85</v>
      </c>
      <c r="GW88" t="s">
        <v>85</v>
      </c>
      <c r="GX88" t="s">
        <v>85</v>
      </c>
      <c r="GY88" t="s">
        <v>85</v>
      </c>
      <c r="GZ88">
        <v>8</v>
      </c>
      <c r="HA88">
        <v>110</v>
      </c>
      <c r="HB88">
        <v>127</v>
      </c>
      <c r="HC88">
        <v>107</v>
      </c>
      <c r="HD88">
        <v>30</v>
      </c>
      <c r="HE88">
        <v>2063</v>
      </c>
      <c r="HF88">
        <v>32</v>
      </c>
      <c r="HG88">
        <v>47</v>
      </c>
      <c r="HH88">
        <v>33</v>
      </c>
      <c r="HI88">
        <v>17</v>
      </c>
      <c r="HJ88">
        <v>615</v>
      </c>
      <c r="HK88">
        <v>85</v>
      </c>
      <c r="HL88">
        <v>62</v>
      </c>
      <c r="HM88">
        <v>85</v>
      </c>
      <c r="HN88">
        <v>44</v>
      </c>
      <c r="HO88">
        <v>1313</v>
      </c>
      <c r="HP88">
        <v>30</v>
      </c>
      <c r="HQ88">
        <v>39</v>
      </c>
      <c r="HR88">
        <v>30</v>
      </c>
      <c r="HS88">
        <v>11</v>
      </c>
      <c r="HT88">
        <v>692</v>
      </c>
      <c r="HU88">
        <v>95</v>
      </c>
      <c r="HV88">
        <v>110</v>
      </c>
      <c r="HW88">
        <v>89</v>
      </c>
      <c r="HX88">
        <v>26</v>
      </c>
      <c r="HY88">
        <v>1891</v>
      </c>
      <c r="HZ88">
        <v>8</v>
      </c>
      <c r="IA88">
        <v>72</v>
      </c>
      <c r="IB88">
        <v>78</v>
      </c>
      <c r="IC88">
        <v>61</v>
      </c>
      <c r="ID88">
        <v>29</v>
      </c>
      <c r="IE88">
        <v>1393</v>
      </c>
      <c r="IF88" t="s">
        <v>85</v>
      </c>
      <c r="IG88" t="s">
        <v>85</v>
      </c>
      <c r="IH88" t="s">
        <v>85</v>
      </c>
      <c r="II88" t="s">
        <v>85</v>
      </c>
      <c r="IJ88" t="s">
        <v>85</v>
      </c>
      <c r="IK88" t="s">
        <v>85</v>
      </c>
      <c r="IL88" t="s">
        <v>85</v>
      </c>
      <c r="IM88" t="s">
        <v>85</v>
      </c>
      <c r="IN88" t="s">
        <v>85</v>
      </c>
      <c r="IO88" t="s">
        <v>85</v>
      </c>
      <c r="IP88" t="s">
        <v>85</v>
      </c>
      <c r="IQ88" t="s">
        <v>85</v>
      </c>
      <c r="IR88" t="s">
        <v>85</v>
      </c>
      <c r="IS88" t="s">
        <v>85</v>
      </c>
      <c r="IT88" t="s">
        <v>85</v>
      </c>
      <c r="IU88" t="s">
        <v>85</v>
      </c>
      <c r="IV88" t="s">
        <v>85</v>
      </c>
      <c r="IW88" t="s">
        <v>85</v>
      </c>
      <c r="IX88" t="s">
        <v>85</v>
      </c>
      <c r="IY88" t="s">
        <v>85</v>
      </c>
      <c r="IZ88">
        <v>8</v>
      </c>
      <c r="JA88">
        <v>126</v>
      </c>
      <c r="JB88">
        <v>108</v>
      </c>
      <c r="JC88">
        <v>113</v>
      </c>
      <c r="JD88">
        <v>19</v>
      </c>
      <c r="JE88">
        <v>1850</v>
      </c>
      <c r="JF88">
        <v>95</v>
      </c>
      <c r="JG88">
        <v>87</v>
      </c>
      <c r="JH88">
        <v>82</v>
      </c>
      <c r="JI88">
        <v>30</v>
      </c>
      <c r="JJ88">
        <v>1642</v>
      </c>
      <c r="JK88">
        <v>83</v>
      </c>
      <c r="JL88">
        <v>103</v>
      </c>
      <c r="JM88">
        <v>106</v>
      </c>
      <c r="JN88">
        <v>31</v>
      </c>
      <c r="JO88">
        <v>1898</v>
      </c>
      <c r="JP88">
        <v>75</v>
      </c>
      <c r="JQ88">
        <v>62</v>
      </c>
      <c r="JR88">
        <v>81</v>
      </c>
      <c r="JS88">
        <v>20</v>
      </c>
      <c r="JT88">
        <v>1331</v>
      </c>
      <c r="JU88" t="s">
        <v>85</v>
      </c>
      <c r="JV88" t="s">
        <v>85</v>
      </c>
      <c r="JW88" t="s">
        <v>85</v>
      </c>
      <c r="JX88" t="s">
        <v>85</v>
      </c>
      <c r="JY88" t="s">
        <v>85</v>
      </c>
      <c r="JZ88">
        <v>8</v>
      </c>
      <c r="KA88">
        <v>69</v>
      </c>
      <c r="KB88">
        <v>75</v>
      </c>
      <c r="KC88">
        <v>45</v>
      </c>
      <c r="KD88">
        <v>47</v>
      </c>
      <c r="KE88">
        <v>792</v>
      </c>
      <c r="KF88">
        <v>169</v>
      </c>
      <c r="KG88">
        <v>163</v>
      </c>
      <c r="KH88">
        <v>157</v>
      </c>
      <c r="KI88">
        <v>19</v>
      </c>
      <c r="KJ88">
        <v>2793</v>
      </c>
      <c r="KK88">
        <v>67</v>
      </c>
      <c r="KL88">
        <v>67</v>
      </c>
      <c r="KM88">
        <v>46</v>
      </c>
      <c r="KN88">
        <v>35</v>
      </c>
      <c r="KO88">
        <v>1141</v>
      </c>
      <c r="KP88">
        <v>22</v>
      </c>
      <c r="KQ88">
        <v>17</v>
      </c>
      <c r="KR88">
        <v>46</v>
      </c>
      <c r="KS88">
        <v>39</v>
      </c>
      <c r="KT88">
        <v>621</v>
      </c>
      <c r="KU88" t="s">
        <v>85</v>
      </c>
      <c r="KV88" t="s">
        <v>85</v>
      </c>
      <c r="KW88" t="s">
        <v>85</v>
      </c>
      <c r="KX88" t="s">
        <v>85</v>
      </c>
      <c r="KY88" t="s">
        <v>85</v>
      </c>
      <c r="KZ88">
        <v>8</v>
      </c>
      <c r="LA88">
        <v>86</v>
      </c>
      <c r="LB88">
        <v>100</v>
      </c>
      <c r="LC88">
        <v>78</v>
      </c>
      <c r="LD88">
        <v>26</v>
      </c>
      <c r="LE88">
        <v>1666</v>
      </c>
      <c r="LF88">
        <v>74</v>
      </c>
      <c r="LG88">
        <v>90</v>
      </c>
      <c r="LH88">
        <v>70</v>
      </c>
      <c r="LI88">
        <v>22</v>
      </c>
      <c r="LJ88">
        <v>1050</v>
      </c>
      <c r="LK88">
        <v>99</v>
      </c>
      <c r="LL88">
        <v>101</v>
      </c>
      <c r="LM88">
        <v>96</v>
      </c>
      <c r="LN88">
        <v>29</v>
      </c>
      <c r="LO88">
        <v>1851</v>
      </c>
      <c r="LP88">
        <v>105</v>
      </c>
      <c r="LQ88">
        <v>118</v>
      </c>
      <c r="LR88">
        <v>126</v>
      </c>
      <c r="LS88">
        <v>29</v>
      </c>
      <c r="LT88">
        <v>1783</v>
      </c>
      <c r="LU88">
        <v>0</v>
      </c>
      <c r="LV88">
        <v>3</v>
      </c>
      <c r="LW88">
        <v>3</v>
      </c>
      <c r="LX88">
        <v>3</v>
      </c>
      <c r="LY88">
        <v>31</v>
      </c>
      <c r="LZ88">
        <v>8</v>
      </c>
      <c r="MA88">
        <v>60</v>
      </c>
      <c r="MB88">
        <v>85</v>
      </c>
      <c r="MC88">
        <v>50</v>
      </c>
      <c r="MD88">
        <v>38</v>
      </c>
      <c r="ME88">
        <v>1224</v>
      </c>
      <c r="MF88" t="s">
        <v>85</v>
      </c>
      <c r="MG88" t="s">
        <v>85</v>
      </c>
      <c r="MH88" t="s">
        <v>85</v>
      </c>
      <c r="MI88" t="s">
        <v>85</v>
      </c>
      <c r="MJ88" t="s">
        <v>85</v>
      </c>
      <c r="MK88" t="s">
        <v>85</v>
      </c>
      <c r="ML88" t="s">
        <v>85</v>
      </c>
      <c r="MM88" t="s">
        <v>85</v>
      </c>
      <c r="MN88" t="s">
        <v>85</v>
      </c>
      <c r="MO88" t="s">
        <v>85</v>
      </c>
      <c r="MP88" t="s">
        <v>85</v>
      </c>
      <c r="MQ88" t="s">
        <v>85</v>
      </c>
      <c r="MR88" t="s">
        <v>85</v>
      </c>
      <c r="MS88" t="s">
        <v>85</v>
      </c>
      <c r="MT88" t="s">
        <v>85</v>
      </c>
      <c r="MU88" t="s">
        <v>85</v>
      </c>
      <c r="MV88" t="s">
        <v>85</v>
      </c>
      <c r="MW88" t="s">
        <v>85</v>
      </c>
      <c r="MX88" t="s">
        <v>85</v>
      </c>
      <c r="MY88" t="s">
        <v>85</v>
      </c>
    </row>
    <row r="89" spans="1:363">
      <c r="A89" s="467">
        <v>9</v>
      </c>
      <c r="B89">
        <v>-1</v>
      </c>
      <c r="C89">
        <v>-1</v>
      </c>
      <c r="D89">
        <v>0</v>
      </c>
      <c r="E89">
        <v>-1</v>
      </c>
      <c r="F89">
        <v>28</v>
      </c>
      <c r="G89">
        <v>17</v>
      </c>
      <c r="H89">
        <v>17</v>
      </c>
      <c r="I89">
        <v>17</v>
      </c>
      <c r="J89">
        <v>0</v>
      </c>
      <c r="K89">
        <v>427</v>
      </c>
      <c r="L89">
        <v>8</v>
      </c>
      <c r="M89">
        <v>8</v>
      </c>
      <c r="N89">
        <v>8</v>
      </c>
      <c r="O89">
        <v>0</v>
      </c>
      <c r="P89">
        <v>450</v>
      </c>
      <c r="Q89">
        <v>8</v>
      </c>
      <c r="R89">
        <v>8</v>
      </c>
      <c r="S89">
        <v>7</v>
      </c>
      <c r="T89">
        <v>0</v>
      </c>
      <c r="U89">
        <v>343</v>
      </c>
      <c r="V89">
        <v>13</v>
      </c>
      <c r="W89">
        <v>13</v>
      </c>
      <c r="X89">
        <v>13</v>
      </c>
      <c r="Y89">
        <v>1</v>
      </c>
      <c r="Z89">
        <v>8</v>
      </c>
      <c r="AA89">
        <v>9</v>
      </c>
      <c r="AB89">
        <v>15</v>
      </c>
      <c r="AC89">
        <v>15</v>
      </c>
      <c r="AD89">
        <v>14</v>
      </c>
      <c r="AE89">
        <v>1</v>
      </c>
      <c r="AF89">
        <v>322</v>
      </c>
      <c r="AG89">
        <v>14</v>
      </c>
      <c r="AH89">
        <v>14</v>
      </c>
      <c r="AI89">
        <v>14</v>
      </c>
      <c r="AJ89">
        <v>1</v>
      </c>
      <c r="AK89">
        <v>217</v>
      </c>
      <c r="AL89">
        <v>1</v>
      </c>
      <c r="AM89">
        <v>1</v>
      </c>
      <c r="AN89">
        <v>1</v>
      </c>
      <c r="AO89">
        <v>1</v>
      </c>
      <c r="AP89">
        <v>48</v>
      </c>
      <c r="AQ89" t="s">
        <v>85</v>
      </c>
      <c r="AR89" t="s">
        <v>85</v>
      </c>
      <c r="AS89" t="s">
        <v>85</v>
      </c>
      <c r="AT89" t="s">
        <v>85</v>
      </c>
      <c r="AU89" t="s">
        <v>85</v>
      </c>
      <c r="AV89" t="s">
        <v>85</v>
      </c>
      <c r="AW89" t="s">
        <v>85</v>
      </c>
      <c r="AX89" t="s">
        <v>85</v>
      </c>
      <c r="AY89" t="s">
        <v>85</v>
      </c>
      <c r="AZ89" t="s">
        <v>85</v>
      </c>
      <c r="BA89">
        <v>9</v>
      </c>
      <c r="BB89">
        <v>23</v>
      </c>
      <c r="BC89">
        <v>24</v>
      </c>
      <c r="BD89">
        <v>24</v>
      </c>
      <c r="BE89">
        <v>0</v>
      </c>
      <c r="BF89">
        <v>884</v>
      </c>
      <c r="BG89">
        <v>17</v>
      </c>
      <c r="BH89">
        <v>15</v>
      </c>
      <c r="BI89">
        <v>15</v>
      </c>
      <c r="BJ89">
        <v>1</v>
      </c>
      <c r="BK89">
        <v>821</v>
      </c>
      <c r="BL89">
        <v>15</v>
      </c>
      <c r="BM89">
        <v>14</v>
      </c>
      <c r="BN89">
        <v>17</v>
      </c>
      <c r="BO89">
        <v>0</v>
      </c>
      <c r="BP89">
        <v>352</v>
      </c>
      <c r="BQ89">
        <v>44</v>
      </c>
      <c r="BR89">
        <v>46</v>
      </c>
      <c r="BS89">
        <v>43</v>
      </c>
      <c r="BT89">
        <v>2</v>
      </c>
      <c r="BU89">
        <v>1660</v>
      </c>
      <c r="BV89">
        <v>43</v>
      </c>
      <c r="BW89">
        <v>47</v>
      </c>
      <c r="BX89">
        <v>43</v>
      </c>
      <c r="BY89">
        <v>0</v>
      </c>
      <c r="BZ89">
        <v>1556</v>
      </c>
      <c r="CA89">
        <v>9</v>
      </c>
      <c r="CB89" t="s">
        <v>85</v>
      </c>
      <c r="CC89" t="s">
        <v>85</v>
      </c>
      <c r="CD89" t="s">
        <v>85</v>
      </c>
      <c r="CE89" t="s">
        <v>85</v>
      </c>
      <c r="CF89">
        <v>0</v>
      </c>
      <c r="CG89">
        <v>2</v>
      </c>
      <c r="CH89">
        <v>2</v>
      </c>
      <c r="CI89">
        <v>2</v>
      </c>
      <c r="CJ89">
        <v>0</v>
      </c>
      <c r="CK89">
        <v>59</v>
      </c>
      <c r="CL89" t="s">
        <v>85</v>
      </c>
      <c r="CM89" t="s">
        <v>85</v>
      </c>
      <c r="CN89" t="s">
        <v>85</v>
      </c>
      <c r="CO89" t="s">
        <v>85</v>
      </c>
      <c r="CP89" t="s">
        <v>85</v>
      </c>
      <c r="CQ89" t="s">
        <v>85</v>
      </c>
      <c r="CR89" t="s">
        <v>85</v>
      </c>
      <c r="CS89" t="s">
        <v>85</v>
      </c>
      <c r="CT89" t="s">
        <v>85</v>
      </c>
      <c r="CU89" t="s">
        <v>85</v>
      </c>
      <c r="CV89" t="s">
        <v>85</v>
      </c>
      <c r="CW89" t="s">
        <v>85</v>
      </c>
      <c r="CX89" t="s">
        <v>85</v>
      </c>
      <c r="CY89" t="s">
        <v>85</v>
      </c>
      <c r="CZ89" t="s">
        <v>85</v>
      </c>
      <c r="DA89">
        <v>9</v>
      </c>
      <c r="DB89">
        <v>126</v>
      </c>
      <c r="DC89">
        <v>127</v>
      </c>
      <c r="DD89">
        <v>127</v>
      </c>
      <c r="DE89">
        <v>0</v>
      </c>
      <c r="DF89">
        <v>4818</v>
      </c>
      <c r="DG89">
        <v>29</v>
      </c>
      <c r="DH89">
        <v>29</v>
      </c>
      <c r="DI89">
        <v>29</v>
      </c>
      <c r="DJ89">
        <v>0</v>
      </c>
      <c r="DK89">
        <v>814</v>
      </c>
      <c r="DL89">
        <v>12</v>
      </c>
      <c r="DM89">
        <v>10</v>
      </c>
      <c r="DN89">
        <v>11</v>
      </c>
      <c r="DO89">
        <v>0</v>
      </c>
      <c r="DP89">
        <v>185</v>
      </c>
      <c r="DQ89">
        <v>0</v>
      </c>
      <c r="DR89">
        <v>0</v>
      </c>
      <c r="DS89">
        <v>0</v>
      </c>
      <c r="DT89">
        <v>0</v>
      </c>
      <c r="DU89">
        <v>0</v>
      </c>
      <c r="DV89">
        <v>0</v>
      </c>
      <c r="DW89">
        <v>0</v>
      </c>
      <c r="DX89">
        <v>0</v>
      </c>
      <c r="DY89">
        <v>0</v>
      </c>
      <c r="DZ89">
        <v>0</v>
      </c>
      <c r="EA89">
        <v>9</v>
      </c>
      <c r="EB89">
        <v>0</v>
      </c>
      <c r="EC89">
        <v>0</v>
      </c>
      <c r="ED89">
        <v>0</v>
      </c>
      <c r="EE89">
        <v>0</v>
      </c>
      <c r="EF89">
        <v>0</v>
      </c>
      <c r="EG89" t="s">
        <v>85</v>
      </c>
      <c r="EH89" t="s">
        <v>85</v>
      </c>
      <c r="EI89" t="s">
        <v>85</v>
      </c>
      <c r="EJ89" t="s">
        <v>85</v>
      </c>
      <c r="EK89" t="s">
        <v>85</v>
      </c>
      <c r="EL89" t="s">
        <v>85</v>
      </c>
      <c r="EM89" t="s">
        <v>85</v>
      </c>
      <c r="EN89" t="s">
        <v>85</v>
      </c>
      <c r="EO89" t="s">
        <v>85</v>
      </c>
      <c r="EP89" t="s">
        <v>85</v>
      </c>
      <c r="EQ89" t="s">
        <v>85</v>
      </c>
      <c r="ER89" t="s">
        <v>85</v>
      </c>
      <c r="ES89" t="s">
        <v>85</v>
      </c>
      <c r="ET89" t="s">
        <v>85</v>
      </c>
      <c r="EU89" t="s">
        <v>85</v>
      </c>
      <c r="EV89" t="s">
        <v>85</v>
      </c>
      <c r="EW89" t="s">
        <v>85</v>
      </c>
      <c r="EX89" t="s">
        <v>85</v>
      </c>
      <c r="EY89" t="s">
        <v>85</v>
      </c>
      <c r="EZ89" t="s">
        <v>85</v>
      </c>
      <c r="FA89">
        <v>9</v>
      </c>
      <c r="FB89">
        <v>101</v>
      </c>
      <c r="FC89">
        <v>101</v>
      </c>
      <c r="FD89">
        <v>101</v>
      </c>
      <c r="FE89">
        <v>0</v>
      </c>
      <c r="FF89">
        <v>3311</v>
      </c>
      <c r="FG89">
        <v>0</v>
      </c>
      <c r="FH89">
        <v>0</v>
      </c>
      <c r="FI89">
        <v>0</v>
      </c>
      <c r="FJ89">
        <v>0</v>
      </c>
      <c r="FK89">
        <v>0</v>
      </c>
      <c r="FL89">
        <v>0</v>
      </c>
      <c r="FM89">
        <v>0</v>
      </c>
      <c r="FN89">
        <v>0</v>
      </c>
      <c r="FO89">
        <v>0</v>
      </c>
      <c r="FP89">
        <v>0</v>
      </c>
      <c r="FQ89">
        <v>49</v>
      </c>
      <c r="FR89">
        <v>48</v>
      </c>
      <c r="FS89">
        <v>51</v>
      </c>
      <c r="FT89">
        <v>0</v>
      </c>
      <c r="FU89">
        <v>1887</v>
      </c>
      <c r="FV89">
        <v>28</v>
      </c>
      <c r="FW89">
        <v>29</v>
      </c>
      <c r="FX89">
        <v>29</v>
      </c>
      <c r="FY89">
        <v>0</v>
      </c>
      <c r="FZ89">
        <v>1154</v>
      </c>
      <c r="GA89">
        <v>9</v>
      </c>
      <c r="GB89">
        <v>82</v>
      </c>
      <c r="GC89">
        <v>84</v>
      </c>
      <c r="GD89">
        <v>83</v>
      </c>
      <c r="GE89">
        <v>0</v>
      </c>
      <c r="GF89">
        <v>3157</v>
      </c>
      <c r="GG89" t="s">
        <v>85</v>
      </c>
      <c r="GH89" t="s">
        <v>85</v>
      </c>
      <c r="GI89" t="s">
        <v>85</v>
      </c>
      <c r="GJ89" t="s">
        <v>85</v>
      </c>
      <c r="GK89" t="s">
        <v>85</v>
      </c>
      <c r="GL89" t="s">
        <v>85</v>
      </c>
      <c r="GM89" t="s">
        <v>85</v>
      </c>
      <c r="GN89" t="s">
        <v>85</v>
      </c>
      <c r="GO89" t="s">
        <v>85</v>
      </c>
      <c r="GP89" t="s">
        <v>85</v>
      </c>
      <c r="GQ89" t="s">
        <v>85</v>
      </c>
      <c r="GR89" t="s">
        <v>85</v>
      </c>
      <c r="GS89" t="s">
        <v>85</v>
      </c>
      <c r="GT89" t="s">
        <v>85</v>
      </c>
      <c r="GU89" t="s">
        <v>85</v>
      </c>
      <c r="GV89" t="s">
        <v>85</v>
      </c>
      <c r="GW89" t="s">
        <v>85</v>
      </c>
      <c r="GX89" t="s">
        <v>85</v>
      </c>
      <c r="GY89" t="s">
        <v>85</v>
      </c>
      <c r="GZ89">
        <v>9</v>
      </c>
      <c r="HA89">
        <v>108</v>
      </c>
      <c r="HB89">
        <v>134</v>
      </c>
      <c r="HC89">
        <v>108</v>
      </c>
      <c r="HD89">
        <v>40</v>
      </c>
      <c r="HE89">
        <v>2340</v>
      </c>
      <c r="HF89">
        <v>34</v>
      </c>
      <c r="HG89">
        <v>52</v>
      </c>
      <c r="HH89">
        <v>36</v>
      </c>
      <c r="HI89">
        <v>16</v>
      </c>
      <c r="HJ89">
        <v>1245</v>
      </c>
      <c r="HK89">
        <v>106</v>
      </c>
      <c r="HL89">
        <v>74</v>
      </c>
      <c r="HM89">
        <v>109</v>
      </c>
      <c r="HN89">
        <v>58</v>
      </c>
      <c r="HO89">
        <v>1744</v>
      </c>
      <c r="HP89">
        <v>35</v>
      </c>
      <c r="HQ89">
        <v>47</v>
      </c>
      <c r="HR89">
        <v>38</v>
      </c>
      <c r="HS89">
        <v>12</v>
      </c>
      <c r="HT89">
        <v>775</v>
      </c>
      <c r="HU89">
        <v>117</v>
      </c>
      <c r="HV89">
        <v>128</v>
      </c>
      <c r="HW89">
        <v>116</v>
      </c>
      <c r="HX89">
        <v>16</v>
      </c>
      <c r="HY89">
        <v>2290</v>
      </c>
      <c r="HZ89">
        <v>9</v>
      </c>
      <c r="IA89">
        <v>89</v>
      </c>
      <c r="IB89">
        <v>84</v>
      </c>
      <c r="IC89">
        <v>66</v>
      </c>
      <c r="ID89">
        <v>36</v>
      </c>
      <c r="IE89">
        <v>1541</v>
      </c>
      <c r="IF89" t="s">
        <v>85</v>
      </c>
      <c r="IG89" t="s">
        <v>85</v>
      </c>
      <c r="IH89" t="s">
        <v>85</v>
      </c>
      <c r="II89" t="s">
        <v>85</v>
      </c>
      <c r="IJ89" t="s">
        <v>85</v>
      </c>
      <c r="IK89" t="s">
        <v>85</v>
      </c>
      <c r="IL89" t="s">
        <v>85</v>
      </c>
      <c r="IM89" t="s">
        <v>85</v>
      </c>
      <c r="IN89" t="s">
        <v>85</v>
      </c>
      <c r="IO89" t="s">
        <v>85</v>
      </c>
      <c r="IP89" t="s">
        <v>85</v>
      </c>
      <c r="IQ89" t="s">
        <v>85</v>
      </c>
      <c r="IR89" t="s">
        <v>85</v>
      </c>
      <c r="IS89" t="s">
        <v>85</v>
      </c>
      <c r="IT89" t="s">
        <v>85</v>
      </c>
      <c r="IU89" t="s">
        <v>85</v>
      </c>
      <c r="IV89" t="s">
        <v>85</v>
      </c>
      <c r="IW89" t="s">
        <v>85</v>
      </c>
      <c r="IX89" t="s">
        <v>85</v>
      </c>
      <c r="IY89" t="s">
        <v>85</v>
      </c>
      <c r="IZ89">
        <v>9</v>
      </c>
      <c r="JA89">
        <v>173</v>
      </c>
      <c r="JB89">
        <v>158</v>
      </c>
      <c r="JC89">
        <v>157</v>
      </c>
      <c r="JD89">
        <v>14</v>
      </c>
      <c r="JE89">
        <v>3152</v>
      </c>
      <c r="JF89">
        <v>113</v>
      </c>
      <c r="JG89">
        <v>104</v>
      </c>
      <c r="JH89">
        <v>100</v>
      </c>
      <c r="JI89">
        <v>31</v>
      </c>
      <c r="JJ89">
        <v>2074</v>
      </c>
      <c r="JK89">
        <v>100</v>
      </c>
      <c r="JL89">
        <v>121</v>
      </c>
      <c r="JM89">
        <v>125</v>
      </c>
      <c r="JN89">
        <v>40</v>
      </c>
      <c r="JO89">
        <v>2217</v>
      </c>
      <c r="JP89">
        <v>91</v>
      </c>
      <c r="JQ89">
        <v>85</v>
      </c>
      <c r="JR89">
        <v>95</v>
      </c>
      <c r="JS89">
        <v>16</v>
      </c>
      <c r="JT89">
        <v>1620</v>
      </c>
      <c r="JU89" t="s">
        <v>85</v>
      </c>
      <c r="JV89" t="s">
        <v>85</v>
      </c>
      <c r="JW89" t="s">
        <v>85</v>
      </c>
      <c r="JX89" t="s">
        <v>85</v>
      </c>
      <c r="JY89" t="s">
        <v>85</v>
      </c>
      <c r="JZ89">
        <v>9</v>
      </c>
      <c r="KA89">
        <v>80</v>
      </c>
      <c r="KB89">
        <v>83</v>
      </c>
      <c r="KC89">
        <v>56</v>
      </c>
      <c r="KD89">
        <v>43</v>
      </c>
      <c r="KE89">
        <v>1241</v>
      </c>
      <c r="KF89">
        <v>233</v>
      </c>
      <c r="KG89">
        <v>215</v>
      </c>
      <c r="KH89">
        <v>224</v>
      </c>
      <c r="KI89">
        <v>40</v>
      </c>
      <c r="KJ89">
        <v>4230</v>
      </c>
      <c r="KK89">
        <v>77</v>
      </c>
      <c r="KL89">
        <v>75</v>
      </c>
      <c r="KM89">
        <v>57</v>
      </c>
      <c r="KN89">
        <v>37</v>
      </c>
      <c r="KO89">
        <v>1261</v>
      </c>
      <c r="KP89">
        <v>30</v>
      </c>
      <c r="KQ89">
        <v>19</v>
      </c>
      <c r="KR89">
        <v>62</v>
      </c>
      <c r="KS89">
        <v>43</v>
      </c>
      <c r="KT89">
        <v>675</v>
      </c>
      <c r="KU89" t="s">
        <v>85</v>
      </c>
      <c r="KV89" t="s">
        <v>85</v>
      </c>
      <c r="KW89" t="s">
        <v>85</v>
      </c>
      <c r="KX89" t="s">
        <v>85</v>
      </c>
      <c r="KY89" t="s">
        <v>85</v>
      </c>
      <c r="KZ89">
        <v>9</v>
      </c>
      <c r="LA89">
        <v>100</v>
      </c>
      <c r="LB89">
        <v>117</v>
      </c>
      <c r="LC89">
        <v>83</v>
      </c>
      <c r="LD89">
        <v>42</v>
      </c>
      <c r="LE89">
        <v>1907</v>
      </c>
      <c r="LF89">
        <v>93</v>
      </c>
      <c r="LG89">
        <v>111</v>
      </c>
      <c r="LH89">
        <v>87</v>
      </c>
      <c r="LI89">
        <v>30</v>
      </c>
      <c r="LJ89">
        <v>1803</v>
      </c>
      <c r="LK89">
        <v>108</v>
      </c>
      <c r="LL89">
        <v>111</v>
      </c>
      <c r="LM89">
        <v>105</v>
      </c>
      <c r="LN89">
        <v>31</v>
      </c>
      <c r="LO89">
        <v>2063</v>
      </c>
      <c r="LP89">
        <v>170</v>
      </c>
      <c r="LQ89">
        <v>193</v>
      </c>
      <c r="LR89">
        <v>205</v>
      </c>
      <c r="LS89">
        <v>49</v>
      </c>
      <c r="LT89">
        <v>3086</v>
      </c>
      <c r="LU89">
        <v>0</v>
      </c>
      <c r="LV89">
        <v>3</v>
      </c>
      <c r="LW89">
        <v>3</v>
      </c>
      <c r="LX89">
        <v>4</v>
      </c>
      <c r="LY89">
        <v>38</v>
      </c>
      <c r="LZ89">
        <v>9</v>
      </c>
      <c r="MA89">
        <v>71</v>
      </c>
      <c r="MB89">
        <v>102</v>
      </c>
      <c r="MC89">
        <v>69</v>
      </c>
      <c r="MD89">
        <v>35</v>
      </c>
      <c r="ME89">
        <v>1537</v>
      </c>
      <c r="MF89" t="s">
        <v>85</v>
      </c>
      <c r="MG89" t="s">
        <v>85</v>
      </c>
      <c r="MH89" t="s">
        <v>85</v>
      </c>
      <c r="MI89" t="s">
        <v>85</v>
      </c>
      <c r="MJ89" t="s">
        <v>85</v>
      </c>
      <c r="MK89" t="s">
        <v>85</v>
      </c>
      <c r="ML89" t="s">
        <v>85</v>
      </c>
      <c r="MM89" t="s">
        <v>85</v>
      </c>
      <c r="MN89" t="s">
        <v>85</v>
      </c>
      <c r="MO89" t="s">
        <v>85</v>
      </c>
      <c r="MP89" t="s">
        <v>85</v>
      </c>
      <c r="MQ89" t="s">
        <v>85</v>
      </c>
      <c r="MR89" t="s">
        <v>85</v>
      </c>
      <c r="MS89" t="s">
        <v>85</v>
      </c>
      <c r="MT89" t="s">
        <v>85</v>
      </c>
      <c r="MU89" t="s">
        <v>85</v>
      </c>
      <c r="MV89" t="s">
        <v>85</v>
      </c>
      <c r="MW89" t="s">
        <v>85</v>
      </c>
      <c r="MX89" t="s">
        <v>85</v>
      </c>
      <c r="MY89" t="s">
        <v>85</v>
      </c>
    </row>
    <row r="90" spans="1:363">
      <c r="A90" s="467">
        <v>10</v>
      </c>
      <c r="B90">
        <v>-1</v>
      </c>
      <c r="C90">
        <v>-1</v>
      </c>
      <c r="D90">
        <v>-1</v>
      </c>
      <c r="E90">
        <v>-1</v>
      </c>
      <c r="F90">
        <v>26</v>
      </c>
      <c r="G90">
        <v>10</v>
      </c>
      <c r="H90">
        <v>11</v>
      </c>
      <c r="I90">
        <v>11</v>
      </c>
      <c r="J90">
        <v>0</v>
      </c>
      <c r="K90">
        <v>281</v>
      </c>
      <c r="L90">
        <v>8</v>
      </c>
      <c r="M90">
        <v>9</v>
      </c>
      <c r="N90">
        <v>8</v>
      </c>
      <c r="O90">
        <v>0</v>
      </c>
      <c r="P90">
        <v>190</v>
      </c>
      <c r="Q90">
        <v>6</v>
      </c>
      <c r="R90">
        <v>5</v>
      </c>
      <c r="S90">
        <v>5</v>
      </c>
      <c r="T90">
        <v>0</v>
      </c>
      <c r="U90">
        <v>409</v>
      </c>
      <c r="V90">
        <v>9</v>
      </c>
      <c r="W90">
        <v>9</v>
      </c>
      <c r="X90">
        <v>8</v>
      </c>
      <c r="Y90">
        <v>1</v>
      </c>
      <c r="Z90">
        <v>0</v>
      </c>
      <c r="AA90">
        <v>10</v>
      </c>
      <c r="AB90">
        <v>12</v>
      </c>
      <c r="AC90">
        <v>12</v>
      </c>
      <c r="AD90">
        <v>11</v>
      </c>
      <c r="AE90">
        <v>1</v>
      </c>
      <c r="AF90">
        <v>309</v>
      </c>
      <c r="AG90">
        <v>14</v>
      </c>
      <c r="AH90">
        <v>14</v>
      </c>
      <c r="AI90">
        <v>14</v>
      </c>
      <c r="AJ90">
        <v>1</v>
      </c>
      <c r="AK90">
        <v>264</v>
      </c>
      <c r="AL90">
        <v>1</v>
      </c>
      <c r="AM90">
        <v>1</v>
      </c>
      <c r="AN90">
        <v>1</v>
      </c>
      <c r="AO90">
        <v>1</v>
      </c>
      <c r="AP90">
        <v>48</v>
      </c>
      <c r="AQ90" t="s">
        <v>85</v>
      </c>
      <c r="AR90" t="s">
        <v>85</v>
      </c>
      <c r="AS90" t="s">
        <v>85</v>
      </c>
      <c r="AT90" t="s">
        <v>85</v>
      </c>
      <c r="AU90" t="s">
        <v>85</v>
      </c>
      <c r="AV90" t="s">
        <v>85</v>
      </c>
      <c r="AW90" t="s">
        <v>85</v>
      </c>
      <c r="AX90" t="s">
        <v>85</v>
      </c>
      <c r="AY90" t="s">
        <v>85</v>
      </c>
      <c r="AZ90" t="s">
        <v>85</v>
      </c>
      <c r="BA90">
        <v>10</v>
      </c>
      <c r="BB90">
        <v>23</v>
      </c>
      <c r="BC90">
        <v>24</v>
      </c>
      <c r="BD90">
        <v>24</v>
      </c>
      <c r="BE90">
        <v>0</v>
      </c>
      <c r="BF90">
        <v>934</v>
      </c>
      <c r="BG90">
        <v>35</v>
      </c>
      <c r="BH90">
        <v>33</v>
      </c>
      <c r="BI90">
        <v>34</v>
      </c>
      <c r="BJ90">
        <v>0</v>
      </c>
      <c r="BK90">
        <v>605</v>
      </c>
      <c r="BL90">
        <v>12</v>
      </c>
      <c r="BM90">
        <v>12</v>
      </c>
      <c r="BN90">
        <v>14</v>
      </c>
      <c r="BO90">
        <v>0</v>
      </c>
      <c r="BP90">
        <v>381</v>
      </c>
      <c r="BQ90">
        <v>22</v>
      </c>
      <c r="BR90">
        <v>24</v>
      </c>
      <c r="BS90">
        <v>21</v>
      </c>
      <c r="BT90">
        <v>2</v>
      </c>
      <c r="BU90">
        <v>1404</v>
      </c>
      <c r="BV90">
        <v>37</v>
      </c>
      <c r="BW90">
        <v>39</v>
      </c>
      <c r="BX90">
        <v>37</v>
      </c>
      <c r="BY90">
        <v>0</v>
      </c>
      <c r="BZ90">
        <v>1571</v>
      </c>
      <c r="CA90">
        <v>10</v>
      </c>
      <c r="CB90" t="s">
        <v>85</v>
      </c>
      <c r="CC90" t="s">
        <v>85</v>
      </c>
      <c r="CD90" t="s">
        <v>85</v>
      </c>
      <c r="CE90" t="s">
        <v>85</v>
      </c>
      <c r="CF90">
        <v>0</v>
      </c>
      <c r="CG90">
        <v>2</v>
      </c>
      <c r="CH90">
        <v>2</v>
      </c>
      <c r="CI90">
        <v>2</v>
      </c>
      <c r="CJ90">
        <v>0</v>
      </c>
      <c r="CK90">
        <v>58</v>
      </c>
      <c r="CL90" t="s">
        <v>85</v>
      </c>
      <c r="CM90" t="s">
        <v>85</v>
      </c>
      <c r="CN90" t="s">
        <v>85</v>
      </c>
      <c r="CO90" t="s">
        <v>85</v>
      </c>
      <c r="CP90" t="s">
        <v>85</v>
      </c>
      <c r="CQ90" t="s">
        <v>85</v>
      </c>
      <c r="CR90" t="s">
        <v>85</v>
      </c>
      <c r="CS90" t="s">
        <v>85</v>
      </c>
      <c r="CT90" t="s">
        <v>85</v>
      </c>
      <c r="CU90" t="s">
        <v>85</v>
      </c>
      <c r="CV90" t="s">
        <v>85</v>
      </c>
      <c r="CW90" t="s">
        <v>85</v>
      </c>
      <c r="CX90" t="s">
        <v>85</v>
      </c>
      <c r="CY90" t="s">
        <v>85</v>
      </c>
      <c r="CZ90" t="s">
        <v>85</v>
      </c>
      <c r="DA90">
        <v>10</v>
      </c>
      <c r="DB90">
        <v>121</v>
      </c>
      <c r="DC90">
        <v>119</v>
      </c>
      <c r="DD90">
        <v>119</v>
      </c>
      <c r="DE90">
        <v>0</v>
      </c>
      <c r="DF90">
        <v>4998</v>
      </c>
      <c r="DG90">
        <v>20</v>
      </c>
      <c r="DH90">
        <v>19</v>
      </c>
      <c r="DI90">
        <v>19</v>
      </c>
      <c r="DJ90">
        <v>0</v>
      </c>
      <c r="DK90">
        <v>872</v>
      </c>
      <c r="DL90">
        <v>11</v>
      </c>
      <c r="DM90">
        <v>10</v>
      </c>
      <c r="DN90">
        <v>9</v>
      </c>
      <c r="DO90">
        <v>0</v>
      </c>
      <c r="DP90">
        <v>279</v>
      </c>
      <c r="DQ90">
        <v>0</v>
      </c>
      <c r="DR90">
        <v>0</v>
      </c>
      <c r="DS90">
        <v>0</v>
      </c>
      <c r="DT90">
        <v>0</v>
      </c>
      <c r="DU90">
        <v>0</v>
      </c>
      <c r="DV90">
        <v>0</v>
      </c>
      <c r="DW90">
        <v>0</v>
      </c>
      <c r="DX90">
        <v>0</v>
      </c>
      <c r="DY90">
        <v>0</v>
      </c>
      <c r="DZ90">
        <v>0</v>
      </c>
      <c r="EA90">
        <v>10</v>
      </c>
      <c r="EB90">
        <v>0</v>
      </c>
      <c r="EC90">
        <v>0</v>
      </c>
      <c r="ED90">
        <v>0</v>
      </c>
      <c r="EE90">
        <v>0</v>
      </c>
      <c r="EF90">
        <v>0</v>
      </c>
      <c r="EG90" t="s">
        <v>85</v>
      </c>
      <c r="EH90" t="s">
        <v>85</v>
      </c>
      <c r="EI90" t="s">
        <v>85</v>
      </c>
      <c r="EJ90" t="s">
        <v>85</v>
      </c>
      <c r="EK90" t="s">
        <v>85</v>
      </c>
      <c r="EL90" t="s">
        <v>85</v>
      </c>
      <c r="EM90" t="s">
        <v>85</v>
      </c>
      <c r="EN90" t="s">
        <v>85</v>
      </c>
      <c r="EO90" t="s">
        <v>85</v>
      </c>
      <c r="EP90" t="s">
        <v>85</v>
      </c>
      <c r="EQ90" t="s">
        <v>85</v>
      </c>
      <c r="ER90" t="s">
        <v>85</v>
      </c>
      <c r="ES90" t="s">
        <v>85</v>
      </c>
      <c r="ET90" t="s">
        <v>85</v>
      </c>
      <c r="EU90" t="s">
        <v>85</v>
      </c>
      <c r="EV90" t="s">
        <v>85</v>
      </c>
      <c r="EW90" t="s">
        <v>85</v>
      </c>
      <c r="EX90" t="s">
        <v>85</v>
      </c>
      <c r="EY90" t="s">
        <v>85</v>
      </c>
      <c r="EZ90" t="s">
        <v>85</v>
      </c>
      <c r="FA90">
        <v>10</v>
      </c>
      <c r="FB90">
        <v>139</v>
      </c>
      <c r="FC90">
        <v>139</v>
      </c>
      <c r="FD90">
        <v>139</v>
      </c>
      <c r="FE90">
        <v>0</v>
      </c>
      <c r="FF90">
        <v>4297</v>
      </c>
      <c r="FG90">
        <v>0</v>
      </c>
      <c r="FH90">
        <v>0</v>
      </c>
      <c r="FI90">
        <v>0</v>
      </c>
      <c r="FJ90">
        <v>0</v>
      </c>
      <c r="FK90">
        <v>0</v>
      </c>
      <c r="FL90">
        <v>0</v>
      </c>
      <c r="FM90">
        <v>0</v>
      </c>
      <c r="FN90">
        <v>0</v>
      </c>
      <c r="FO90">
        <v>0</v>
      </c>
      <c r="FP90">
        <v>0</v>
      </c>
      <c r="FQ90">
        <v>48</v>
      </c>
      <c r="FR90">
        <v>47</v>
      </c>
      <c r="FS90">
        <v>51</v>
      </c>
      <c r="FT90">
        <v>0</v>
      </c>
      <c r="FU90">
        <v>2097</v>
      </c>
      <c r="FV90">
        <v>19</v>
      </c>
      <c r="FW90">
        <v>19</v>
      </c>
      <c r="FX90">
        <v>19</v>
      </c>
      <c r="FY90">
        <v>0</v>
      </c>
      <c r="FZ90">
        <v>687</v>
      </c>
      <c r="GA90">
        <v>10</v>
      </c>
      <c r="GB90">
        <v>80</v>
      </c>
      <c r="GC90">
        <v>83</v>
      </c>
      <c r="GD90">
        <v>81</v>
      </c>
      <c r="GE90">
        <v>0</v>
      </c>
      <c r="GF90">
        <v>3102</v>
      </c>
      <c r="GG90" t="s">
        <v>85</v>
      </c>
      <c r="GH90" t="s">
        <v>85</v>
      </c>
      <c r="GI90" t="s">
        <v>85</v>
      </c>
      <c r="GJ90" t="s">
        <v>85</v>
      </c>
      <c r="GK90" t="s">
        <v>85</v>
      </c>
      <c r="GL90" t="s">
        <v>85</v>
      </c>
      <c r="GM90" t="s">
        <v>85</v>
      </c>
      <c r="GN90" t="s">
        <v>85</v>
      </c>
      <c r="GO90" t="s">
        <v>85</v>
      </c>
      <c r="GP90" t="s">
        <v>85</v>
      </c>
      <c r="GQ90" t="s">
        <v>85</v>
      </c>
      <c r="GR90" t="s">
        <v>85</v>
      </c>
      <c r="GS90" t="s">
        <v>85</v>
      </c>
      <c r="GT90" t="s">
        <v>85</v>
      </c>
      <c r="GU90" t="s">
        <v>85</v>
      </c>
      <c r="GV90" t="s">
        <v>85</v>
      </c>
      <c r="GW90" t="s">
        <v>85</v>
      </c>
      <c r="GX90" t="s">
        <v>85</v>
      </c>
      <c r="GY90" t="s">
        <v>85</v>
      </c>
      <c r="GZ90">
        <v>10</v>
      </c>
      <c r="HA90">
        <v>116</v>
      </c>
      <c r="HB90">
        <v>142</v>
      </c>
      <c r="HC90">
        <v>117</v>
      </c>
      <c r="HD90">
        <v>39</v>
      </c>
      <c r="HE90">
        <v>2402</v>
      </c>
      <c r="HF90">
        <v>68</v>
      </c>
      <c r="HG90">
        <v>88</v>
      </c>
      <c r="HH90">
        <v>72</v>
      </c>
      <c r="HI90">
        <v>17</v>
      </c>
      <c r="HJ90">
        <v>922</v>
      </c>
      <c r="HK90">
        <v>103</v>
      </c>
      <c r="HL90">
        <v>72</v>
      </c>
      <c r="HM90">
        <v>100</v>
      </c>
      <c r="HN90">
        <v>57</v>
      </c>
      <c r="HO90">
        <v>1758</v>
      </c>
      <c r="HP90">
        <v>31</v>
      </c>
      <c r="HQ90">
        <v>46</v>
      </c>
      <c r="HR90">
        <v>36</v>
      </c>
      <c r="HS90">
        <v>14</v>
      </c>
      <c r="HT90">
        <v>769</v>
      </c>
      <c r="HU90">
        <v>121</v>
      </c>
      <c r="HV90">
        <v>142</v>
      </c>
      <c r="HW90">
        <v>120</v>
      </c>
      <c r="HX90">
        <v>18</v>
      </c>
      <c r="HY90">
        <v>2405</v>
      </c>
      <c r="HZ90">
        <v>10</v>
      </c>
      <c r="IA90">
        <v>99</v>
      </c>
      <c r="IB90">
        <v>102</v>
      </c>
      <c r="IC90">
        <v>76</v>
      </c>
      <c r="ID90">
        <v>40</v>
      </c>
      <c r="IE90">
        <v>1742</v>
      </c>
      <c r="IF90" t="s">
        <v>85</v>
      </c>
      <c r="IG90" t="s">
        <v>85</v>
      </c>
      <c r="IH90" t="s">
        <v>85</v>
      </c>
      <c r="II90" t="s">
        <v>85</v>
      </c>
      <c r="IJ90" t="s">
        <v>85</v>
      </c>
      <c r="IK90" t="s">
        <v>85</v>
      </c>
      <c r="IL90" t="s">
        <v>85</v>
      </c>
      <c r="IM90" t="s">
        <v>85</v>
      </c>
      <c r="IN90" t="s">
        <v>85</v>
      </c>
      <c r="IO90" t="s">
        <v>85</v>
      </c>
      <c r="IP90" t="s">
        <v>85</v>
      </c>
      <c r="IQ90" t="s">
        <v>85</v>
      </c>
      <c r="IR90" t="s">
        <v>85</v>
      </c>
      <c r="IS90" t="s">
        <v>85</v>
      </c>
      <c r="IT90" t="s">
        <v>85</v>
      </c>
      <c r="IU90" t="s">
        <v>85</v>
      </c>
      <c r="IV90" t="s">
        <v>85</v>
      </c>
      <c r="IW90" t="s">
        <v>85</v>
      </c>
      <c r="IX90" t="s">
        <v>85</v>
      </c>
      <c r="IY90" t="s">
        <v>85</v>
      </c>
      <c r="IZ90">
        <v>10</v>
      </c>
      <c r="JA90">
        <v>188</v>
      </c>
      <c r="JB90">
        <v>172</v>
      </c>
      <c r="JC90">
        <v>181</v>
      </c>
      <c r="JD90">
        <v>26</v>
      </c>
      <c r="JE90">
        <v>3408</v>
      </c>
      <c r="JF90">
        <v>123</v>
      </c>
      <c r="JG90">
        <v>124</v>
      </c>
      <c r="JH90">
        <v>112</v>
      </c>
      <c r="JI90">
        <v>37</v>
      </c>
      <c r="JJ90">
        <v>2223</v>
      </c>
      <c r="JK90">
        <v>112</v>
      </c>
      <c r="JL90">
        <v>135</v>
      </c>
      <c r="JM90">
        <v>143</v>
      </c>
      <c r="JN90">
        <v>42</v>
      </c>
      <c r="JO90">
        <v>2468</v>
      </c>
      <c r="JP90">
        <v>105</v>
      </c>
      <c r="JQ90">
        <v>90</v>
      </c>
      <c r="JR90">
        <v>97</v>
      </c>
      <c r="JS90">
        <v>16</v>
      </c>
      <c r="JT90">
        <v>1883</v>
      </c>
      <c r="JU90" t="s">
        <v>85</v>
      </c>
      <c r="JV90" t="s">
        <v>85</v>
      </c>
      <c r="JW90" t="s">
        <v>85</v>
      </c>
      <c r="JX90" t="s">
        <v>85</v>
      </c>
      <c r="JY90" t="s">
        <v>85</v>
      </c>
      <c r="JZ90">
        <v>10</v>
      </c>
      <c r="KA90">
        <v>55</v>
      </c>
      <c r="KB90">
        <v>66</v>
      </c>
      <c r="KC90">
        <v>41</v>
      </c>
      <c r="KD90">
        <v>36</v>
      </c>
      <c r="KE90">
        <v>1194</v>
      </c>
      <c r="KF90">
        <v>251</v>
      </c>
      <c r="KG90">
        <v>238</v>
      </c>
      <c r="KH90">
        <v>241</v>
      </c>
      <c r="KI90">
        <v>34</v>
      </c>
      <c r="KJ90">
        <v>4592</v>
      </c>
      <c r="KK90">
        <v>91</v>
      </c>
      <c r="KL90">
        <v>84</v>
      </c>
      <c r="KM90">
        <v>72</v>
      </c>
      <c r="KN90">
        <v>31</v>
      </c>
      <c r="KO90">
        <v>1506</v>
      </c>
      <c r="KP90">
        <v>69</v>
      </c>
      <c r="KQ90">
        <v>53</v>
      </c>
      <c r="KR90">
        <v>82</v>
      </c>
      <c r="KS90">
        <v>27</v>
      </c>
      <c r="KT90">
        <v>881</v>
      </c>
      <c r="KU90" t="s">
        <v>85</v>
      </c>
      <c r="KV90" t="s">
        <v>85</v>
      </c>
      <c r="KW90" t="s">
        <v>85</v>
      </c>
      <c r="KX90" t="s">
        <v>85</v>
      </c>
      <c r="KY90" t="s">
        <v>85</v>
      </c>
      <c r="KZ90">
        <v>10</v>
      </c>
      <c r="LA90">
        <v>107</v>
      </c>
      <c r="LB90">
        <v>129</v>
      </c>
      <c r="LC90">
        <v>87</v>
      </c>
      <c r="LD90">
        <v>56</v>
      </c>
      <c r="LE90">
        <v>2033</v>
      </c>
      <c r="LF90">
        <v>96</v>
      </c>
      <c r="LG90">
        <v>115</v>
      </c>
      <c r="LH90">
        <v>93</v>
      </c>
      <c r="LI90">
        <v>32</v>
      </c>
      <c r="LJ90">
        <v>1893</v>
      </c>
      <c r="LK90">
        <v>112</v>
      </c>
      <c r="LL90">
        <v>117</v>
      </c>
      <c r="LM90">
        <v>120</v>
      </c>
      <c r="LN90">
        <v>31</v>
      </c>
      <c r="LO90">
        <v>2284</v>
      </c>
      <c r="LP90">
        <v>167</v>
      </c>
      <c r="LQ90">
        <v>197</v>
      </c>
      <c r="LR90">
        <v>208</v>
      </c>
      <c r="LS90">
        <v>57</v>
      </c>
      <c r="LT90">
        <v>3505</v>
      </c>
      <c r="LU90">
        <v>0</v>
      </c>
      <c r="LV90">
        <v>3</v>
      </c>
      <c r="LW90">
        <v>5</v>
      </c>
      <c r="LX90">
        <v>5</v>
      </c>
      <c r="LY90">
        <v>35</v>
      </c>
      <c r="LZ90">
        <v>10</v>
      </c>
      <c r="MA90">
        <v>77</v>
      </c>
      <c r="MB90">
        <v>111</v>
      </c>
      <c r="MC90">
        <v>79</v>
      </c>
      <c r="MD90">
        <v>36</v>
      </c>
      <c r="ME90">
        <v>1715</v>
      </c>
      <c r="MF90" t="s">
        <v>85</v>
      </c>
      <c r="MG90" t="s">
        <v>85</v>
      </c>
      <c r="MH90" t="s">
        <v>85</v>
      </c>
      <c r="MI90" t="s">
        <v>85</v>
      </c>
      <c r="MJ90" t="s">
        <v>85</v>
      </c>
      <c r="MK90" t="s">
        <v>85</v>
      </c>
      <c r="ML90" t="s">
        <v>85</v>
      </c>
      <c r="MM90" t="s">
        <v>85</v>
      </c>
      <c r="MN90" t="s">
        <v>85</v>
      </c>
      <c r="MO90" t="s">
        <v>85</v>
      </c>
      <c r="MP90" t="s">
        <v>85</v>
      </c>
      <c r="MQ90" t="s">
        <v>85</v>
      </c>
      <c r="MR90" t="s">
        <v>85</v>
      </c>
      <c r="MS90" t="s">
        <v>85</v>
      </c>
      <c r="MT90" t="s">
        <v>85</v>
      </c>
      <c r="MU90" t="s">
        <v>85</v>
      </c>
      <c r="MV90" t="s">
        <v>85</v>
      </c>
      <c r="MW90" t="s">
        <v>85</v>
      </c>
      <c r="MX90" t="s">
        <v>85</v>
      </c>
      <c r="MY90" t="s">
        <v>85</v>
      </c>
    </row>
    <row r="91" spans="1:363">
      <c r="A91" s="467">
        <v>11</v>
      </c>
      <c r="B91">
        <v>-1</v>
      </c>
      <c r="C91">
        <v>-1</v>
      </c>
      <c r="D91">
        <v>-1</v>
      </c>
      <c r="E91">
        <v>-1</v>
      </c>
      <c r="F91">
        <v>27</v>
      </c>
      <c r="G91">
        <v>10</v>
      </c>
      <c r="H91">
        <v>11</v>
      </c>
      <c r="I91">
        <v>11</v>
      </c>
      <c r="J91">
        <v>0</v>
      </c>
      <c r="K91">
        <v>484</v>
      </c>
      <c r="L91">
        <v>8</v>
      </c>
      <c r="M91">
        <v>8</v>
      </c>
      <c r="N91">
        <v>8</v>
      </c>
      <c r="O91">
        <v>0</v>
      </c>
      <c r="P91">
        <v>372</v>
      </c>
      <c r="Q91">
        <v>8</v>
      </c>
      <c r="R91">
        <v>8</v>
      </c>
      <c r="S91">
        <v>7</v>
      </c>
      <c r="T91">
        <v>0</v>
      </c>
      <c r="U91">
        <v>401</v>
      </c>
      <c r="V91">
        <v>9</v>
      </c>
      <c r="W91">
        <v>9</v>
      </c>
      <c r="X91">
        <v>8</v>
      </c>
      <c r="Y91">
        <v>1</v>
      </c>
      <c r="Z91">
        <v>0</v>
      </c>
      <c r="AA91">
        <v>11</v>
      </c>
      <c r="AB91">
        <v>13</v>
      </c>
      <c r="AC91">
        <v>13</v>
      </c>
      <c r="AD91">
        <v>12</v>
      </c>
      <c r="AE91">
        <v>1</v>
      </c>
      <c r="AF91">
        <v>210</v>
      </c>
      <c r="AG91">
        <v>15</v>
      </c>
      <c r="AH91">
        <v>15</v>
      </c>
      <c r="AI91">
        <v>14</v>
      </c>
      <c r="AJ91">
        <v>1</v>
      </c>
      <c r="AK91">
        <v>210</v>
      </c>
      <c r="AL91">
        <v>1</v>
      </c>
      <c r="AM91">
        <v>1</v>
      </c>
      <c r="AN91">
        <v>1</v>
      </c>
      <c r="AO91">
        <v>1</v>
      </c>
      <c r="AP91">
        <v>47</v>
      </c>
      <c r="AQ91" t="s">
        <v>85</v>
      </c>
      <c r="AR91" t="s">
        <v>85</v>
      </c>
      <c r="AS91" t="s">
        <v>85</v>
      </c>
      <c r="AT91" t="s">
        <v>85</v>
      </c>
      <c r="AU91" t="s">
        <v>85</v>
      </c>
      <c r="AV91" t="s">
        <v>85</v>
      </c>
      <c r="AW91" t="s">
        <v>85</v>
      </c>
      <c r="AX91" t="s">
        <v>85</v>
      </c>
      <c r="AY91" t="s">
        <v>85</v>
      </c>
      <c r="AZ91" t="s">
        <v>85</v>
      </c>
      <c r="BA91">
        <v>11</v>
      </c>
      <c r="BB91">
        <v>25</v>
      </c>
      <c r="BC91">
        <v>26</v>
      </c>
      <c r="BD91">
        <v>25</v>
      </c>
      <c r="BE91">
        <v>0</v>
      </c>
      <c r="BF91">
        <v>967</v>
      </c>
      <c r="BG91">
        <v>6</v>
      </c>
      <c r="BH91">
        <v>4</v>
      </c>
      <c r="BI91">
        <v>5</v>
      </c>
      <c r="BJ91">
        <v>0</v>
      </c>
      <c r="BK91">
        <v>686</v>
      </c>
      <c r="BL91">
        <v>16</v>
      </c>
      <c r="BM91">
        <v>14</v>
      </c>
      <c r="BN91">
        <v>17</v>
      </c>
      <c r="BO91">
        <v>0</v>
      </c>
      <c r="BP91">
        <v>308</v>
      </c>
      <c r="BQ91">
        <v>37</v>
      </c>
      <c r="BR91">
        <v>38</v>
      </c>
      <c r="BS91">
        <v>36</v>
      </c>
      <c r="BT91">
        <v>2</v>
      </c>
      <c r="BU91">
        <v>1451</v>
      </c>
      <c r="BV91">
        <v>50</v>
      </c>
      <c r="BW91">
        <v>54</v>
      </c>
      <c r="BX91">
        <v>51</v>
      </c>
      <c r="BY91">
        <v>0</v>
      </c>
      <c r="BZ91">
        <v>1838</v>
      </c>
      <c r="CA91">
        <v>11</v>
      </c>
      <c r="CB91" t="s">
        <v>85</v>
      </c>
      <c r="CC91" t="s">
        <v>85</v>
      </c>
      <c r="CD91" t="s">
        <v>85</v>
      </c>
      <c r="CE91" t="s">
        <v>85</v>
      </c>
      <c r="CF91">
        <v>0</v>
      </c>
      <c r="CG91">
        <v>2</v>
      </c>
      <c r="CH91">
        <v>2</v>
      </c>
      <c r="CI91">
        <v>2</v>
      </c>
      <c r="CJ91">
        <v>0</v>
      </c>
      <c r="CK91">
        <v>58</v>
      </c>
      <c r="CL91" t="s">
        <v>85</v>
      </c>
      <c r="CM91" t="s">
        <v>85</v>
      </c>
      <c r="CN91" t="s">
        <v>85</v>
      </c>
      <c r="CO91" t="s">
        <v>85</v>
      </c>
      <c r="CP91" t="s">
        <v>85</v>
      </c>
      <c r="CQ91" t="s">
        <v>85</v>
      </c>
      <c r="CR91" t="s">
        <v>85</v>
      </c>
      <c r="CS91" t="s">
        <v>85</v>
      </c>
      <c r="CT91" t="s">
        <v>85</v>
      </c>
      <c r="CU91" t="s">
        <v>85</v>
      </c>
      <c r="CV91" t="s">
        <v>85</v>
      </c>
      <c r="CW91" t="s">
        <v>85</v>
      </c>
      <c r="CX91" t="s">
        <v>85</v>
      </c>
      <c r="CY91" t="s">
        <v>85</v>
      </c>
      <c r="CZ91" t="s">
        <v>85</v>
      </c>
      <c r="DA91">
        <v>11</v>
      </c>
      <c r="DB91">
        <v>101</v>
      </c>
      <c r="DC91">
        <v>99</v>
      </c>
      <c r="DD91">
        <v>101</v>
      </c>
      <c r="DE91">
        <v>0</v>
      </c>
      <c r="DF91">
        <v>5118</v>
      </c>
      <c r="DG91">
        <v>44</v>
      </c>
      <c r="DH91">
        <v>44</v>
      </c>
      <c r="DI91">
        <v>44</v>
      </c>
      <c r="DJ91">
        <v>0</v>
      </c>
      <c r="DK91">
        <v>656</v>
      </c>
      <c r="DL91">
        <v>28</v>
      </c>
      <c r="DM91">
        <v>26</v>
      </c>
      <c r="DN91">
        <v>26</v>
      </c>
      <c r="DO91">
        <v>0</v>
      </c>
      <c r="DP91">
        <v>234</v>
      </c>
      <c r="DQ91">
        <v>0</v>
      </c>
      <c r="DR91">
        <v>0</v>
      </c>
      <c r="DS91">
        <v>0</v>
      </c>
      <c r="DT91">
        <v>0</v>
      </c>
      <c r="DU91">
        <v>0</v>
      </c>
      <c r="DV91">
        <v>0</v>
      </c>
      <c r="DW91">
        <v>0</v>
      </c>
      <c r="DX91">
        <v>0</v>
      </c>
      <c r="DY91">
        <v>0</v>
      </c>
      <c r="DZ91">
        <v>0</v>
      </c>
      <c r="EA91">
        <v>11</v>
      </c>
      <c r="EB91">
        <v>0</v>
      </c>
      <c r="EC91">
        <v>0</v>
      </c>
      <c r="ED91">
        <v>0</v>
      </c>
      <c r="EE91">
        <v>0</v>
      </c>
      <c r="EF91">
        <v>0</v>
      </c>
      <c r="EG91" t="s">
        <v>85</v>
      </c>
      <c r="EH91" t="s">
        <v>85</v>
      </c>
      <c r="EI91" t="s">
        <v>85</v>
      </c>
      <c r="EJ91" t="s">
        <v>85</v>
      </c>
      <c r="EK91" t="s">
        <v>85</v>
      </c>
      <c r="EL91" t="s">
        <v>85</v>
      </c>
      <c r="EM91" t="s">
        <v>85</v>
      </c>
      <c r="EN91" t="s">
        <v>85</v>
      </c>
      <c r="EO91" t="s">
        <v>85</v>
      </c>
      <c r="EP91" t="s">
        <v>85</v>
      </c>
      <c r="EQ91" t="s">
        <v>85</v>
      </c>
      <c r="ER91" t="s">
        <v>85</v>
      </c>
      <c r="ES91" t="s">
        <v>85</v>
      </c>
      <c r="ET91" t="s">
        <v>85</v>
      </c>
      <c r="EU91" t="s">
        <v>85</v>
      </c>
      <c r="EV91" t="s">
        <v>85</v>
      </c>
      <c r="EW91" t="s">
        <v>85</v>
      </c>
      <c r="EX91" t="s">
        <v>85</v>
      </c>
      <c r="EY91" t="s">
        <v>85</v>
      </c>
      <c r="EZ91" t="s">
        <v>85</v>
      </c>
      <c r="FA91">
        <v>11</v>
      </c>
      <c r="FB91">
        <v>116</v>
      </c>
      <c r="FC91">
        <v>116</v>
      </c>
      <c r="FD91">
        <v>116</v>
      </c>
      <c r="FE91">
        <v>0</v>
      </c>
      <c r="FF91">
        <v>4160</v>
      </c>
      <c r="FG91">
        <v>0</v>
      </c>
      <c r="FH91">
        <v>0</v>
      </c>
      <c r="FI91">
        <v>0</v>
      </c>
      <c r="FJ91">
        <v>0</v>
      </c>
      <c r="FK91">
        <v>0</v>
      </c>
      <c r="FL91">
        <v>0</v>
      </c>
      <c r="FM91">
        <v>0</v>
      </c>
      <c r="FN91">
        <v>0</v>
      </c>
      <c r="FO91">
        <v>0</v>
      </c>
      <c r="FP91">
        <v>0</v>
      </c>
      <c r="FQ91">
        <v>53</v>
      </c>
      <c r="FR91">
        <v>50</v>
      </c>
      <c r="FS91">
        <v>55</v>
      </c>
      <c r="FT91">
        <v>0</v>
      </c>
      <c r="FU91">
        <v>2093</v>
      </c>
      <c r="FV91">
        <v>29</v>
      </c>
      <c r="FW91">
        <v>30</v>
      </c>
      <c r="FX91">
        <v>30</v>
      </c>
      <c r="FY91">
        <v>0</v>
      </c>
      <c r="FZ91">
        <v>947</v>
      </c>
      <c r="GA91">
        <v>11</v>
      </c>
      <c r="GB91">
        <v>96</v>
      </c>
      <c r="GC91">
        <v>98</v>
      </c>
      <c r="GD91">
        <v>97</v>
      </c>
      <c r="GE91">
        <v>0</v>
      </c>
      <c r="GF91">
        <v>3157</v>
      </c>
      <c r="GG91" t="s">
        <v>85</v>
      </c>
      <c r="GH91" t="s">
        <v>85</v>
      </c>
      <c r="GI91" t="s">
        <v>85</v>
      </c>
      <c r="GJ91" t="s">
        <v>85</v>
      </c>
      <c r="GK91" t="s">
        <v>85</v>
      </c>
      <c r="GL91" t="s">
        <v>85</v>
      </c>
      <c r="GM91" t="s">
        <v>85</v>
      </c>
      <c r="GN91" t="s">
        <v>85</v>
      </c>
      <c r="GO91" t="s">
        <v>85</v>
      </c>
      <c r="GP91" t="s">
        <v>85</v>
      </c>
      <c r="GQ91" t="s">
        <v>85</v>
      </c>
      <c r="GR91" t="s">
        <v>85</v>
      </c>
      <c r="GS91" t="s">
        <v>85</v>
      </c>
      <c r="GT91" t="s">
        <v>85</v>
      </c>
      <c r="GU91" t="s">
        <v>85</v>
      </c>
      <c r="GV91" t="s">
        <v>85</v>
      </c>
      <c r="GW91" t="s">
        <v>85</v>
      </c>
      <c r="GX91" t="s">
        <v>85</v>
      </c>
      <c r="GY91" t="s">
        <v>85</v>
      </c>
      <c r="GZ91">
        <v>11</v>
      </c>
      <c r="HA91">
        <v>129</v>
      </c>
      <c r="HB91">
        <v>154</v>
      </c>
      <c r="HC91">
        <v>129</v>
      </c>
      <c r="HD91">
        <v>36</v>
      </c>
      <c r="HE91">
        <v>2452</v>
      </c>
      <c r="HF91">
        <v>60</v>
      </c>
      <c r="HG91">
        <v>81</v>
      </c>
      <c r="HH91">
        <v>63</v>
      </c>
      <c r="HI91">
        <v>19</v>
      </c>
      <c r="HJ91">
        <v>1249</v>
      </c>
      <c r="HK91">
        <v>103</v>
      </c>
      <c r="HL91">
        <v>76</v>
      </c>
      <c r="HM91">
        <v>103</v>
      </c>
      <c r="HN91">
        <v>55</v>
      </c>
      <c r="HO91">
        <v>1840</v>
      </c>
      <c r="HP91">
        <v>35</v>
      </c>
      <c r="HQ91">
        <v>51</v>
      </c>
      <c r="HR91">
        <v>41</v>
      </c>
      <c r="HS91">
        <v>13</v>
      </c>
      <c r="HT91">
        <v>842</v>
      </c>
      <c r="HU91">
        <v>136</v>
      </c>
      <c r="HV91">
        <v>154</v>
      </c>
      <c r="HW91">
        <v>134</v>
      </c>
      <c r="HX91">
        <v>18</v>
      </c>
      <c r="HY91">
        <v>2614</v>
      </c>
      <c r="HZ91">
        <v>11</v>
      </c>
      <c r="IA91">
        <v>101</v>
      </c>
      <c r="IB91">
        <v>110</v>
      </c>
      <c r="IC91">
        <v>79</v>
      </c>
      <c r="ID91">
        <v>43</v>
      </c>
      <c r="IE91">
        <v>1924</v>
      </c>
      <c r="IF91" t="s">
        <v>85</v>
      </c>
      <c r="IG91" t="s">
        <v>85</v>
      </c>
      <c r="IH91" t="s">
        <v>85</v>
      </c>
      <c r="II91" t="s">
        <v>85</v>
      </c>
      <c r="IJ91" t="s">
        <v>85</v>
      </c>
      <c r="IK91" t="s">
        <v>85</v>
      </c>
      <c r="IL91" t="s">
        <v>85</v>
      </c>
      <c r="IM91" t="s">
        <v>85</v>
      </c>
      <c r="IN91" t="s">
        <v>85</v>
      </c>
      <c r="IO91" t="s">
        <v>85</v>
      </c>
      <c r="IP91" t="s">
        <v>85</v>
      </c>
      <c r="IQ91" t="s">
        <v>85</v>
      </c>
      <c r="IR91" t="s">
        <v>85</v>
      </c>
      <c r="IS91" t="s">
        <v>85</v>
      </c>
      <c r="IT91" t="s">
        <v>85</v>
      </c>
      <c r="IU91" t="s">
        <v>85</v>
      </c>
      <c r="IV91" t="s">
        <v>85</v>
      </c>
      <c r="IW91" t="s">
        <v>85</v>
      </c>
      <c r="IX91" t="s">
        <v>85</v>
      </c>
      <c r="IY91" t="s">
        <v>85</v>
      </c>
      <c r="IZ91">
        <v>11</v>
      </c>
      <c r="JA91">
        <v>192</v>
      </c>
      <c r="JB91">
        <v>175</v>
      </c>
      <c r="JC91">
        <v>185</v>
      </c>
      <c r="JD91">
        <v>26</v>
      </c>
      <c r="JE91">
        <v>3568</v>
      </c>
      <c r="JF91">
        <v>141</v>
      </c>
      <c r="JG91">
        <v>126</v>
      </c>
      <c r="JH91">
        <v>126</v>
      </c>
      <c r="JI91">
        <v>35</v>
      </c>
      <c r="JJ91">
        <v>2463</v>
      </c>
      <c r="JK91">
        <v>121</v>
      </c>
      <c r="JL91">
        <v>159</v>
      </c>
      <c r="JM91">
        <v>155</v>
      </c>
      <c r="JN91">
        <v>58</v>
      </c>
      <c r="JO91">
        <v>2754</v>
      </c>
      <c r="JP91">
        <v>118</v>
      </c>
      <c r="JQ91">
        <v>102</v>
      </c>
      <c r="JR91">
        <v>105</v>
      </c>
      <c r="JS91">
        <v>23</v>
      </c>
      <c r="JT91">
        <v>2066</v>
      </c>
      <c r="JU91" t="s">
        <v>85</v>
      </c>
      <c r="JV91" t="s">
        <v>85</v>
      </c>
      <c r="JW91" t="s">
        <v>85</v>
      </c>
      <c r="JX91" t="s">
        <v>85</v>
      </c>
      <c r="JY91" t="s">
        <v>85</v>
      </c>
      <c r="JZ91">
        <v>11</v>
      </c>
      <c r="KA91">
        <v>60</v>
      </c>
      <c r="KB91">
        <v>71</v>
      </c>
      <c r="KC91">
        <v>42</v>
      </c>
      <c r="KD91">
        <v>44</v>
      </c>
      <c r="KE91">
        <v>1142</v>
      </c>
      <c r="KF91">
        <v>267</v>
      </c>
      <c r="KG91">
        <v>248</v>
      </c>
      <c r="KH91">
        <v>258</v>
      </c>
      <c r="KI91">
        <v>43</v>
      </c>
      <c r="KJ91">
        <v>4846</v>
      </c>
      <c r="KK91">
        <v>92</v>
      </c>
      <c r="KL91">
        <v>86</v>
      </c>
      <c r="KM91">
        <v>75</v>
      </c>
      <c r="KN91">
        <v>30</v>
      </c>
      <c r="KO91">
        <v>1651</v>
      </c>
      <c r="KP91">
        <v>75</v>
      </c>
      <c r="KQ91">
        <v>57</v>
      </c>
      <c r="KR91">
        <v>91</v>
      </c>
      <c r="KS91">
        <v>30</v>
      </c>
      <c r="KT91">
        <v>941</v>
      </c>
      <c r="KU91" t="s">
        <v>85</v>
      </c>
      <c r="KV91" t="s">
        <v>85</v>
      </c>
      <c r="KW91" t="s">
        <v>85</v>
      </c>
      <c r="KX91" t="s">
        <v>85</v>
      </c>
      <c r="KY91" t="s">
        <v>85</v>
      </c>
      <c r="KZ91">
        <v>11</v>
      </c>
      <c r="LA91">
        <v>113</v>
      </c>
      <c r="LB91">
        <v>133</v>
      </c>
      <c r="LC91">
        <v>104</v>
      </c>
      <c r="LD91">
        <v>40</v>
      </c>
      <c r="LE91">
        <v>2229</v>
      </c>
      <c r="LF91">
        <v>96</v>
      </c>
      <c r="LG91">
        <v>111</v>
      </c>
      <c r="LH91">
        <v>90</v>
      </c>
      <c r="LI91">
        <v>24</v>
      </c>
      <c r="LJ91">
        <v>2050</v>
      </c>
      <c r="LK91">
        <v>127</v>
      </c>
      <c r="LL91">
        <v>125</v>
      </c>
      <c r="LM91">
        <v>126</v>
      </c>
      <c r="LN91">
        <v>30</v>
      </c>
      <c r="LO91">
        <v>2441</v>
      </c>
      <c r="LP91">
        <v>178</v>
      </c>
      <c r="LQ91">
        <v>205</v>
      </c>
      <c r="LR91">
        <v>217</v>
      </c>
      <c r="LS91">
        <v>53</v>
      </c>
      <c r="LT91">
        <v>3517</v>
      </c>
      <c r="LU91">
        <v>0</v>
      </c>
      <c r="LV91">
        <v>4</v>
      </c>
      <c r="LW91">
        <v>5</v>
      </c>
      <c r="LX91">
        <v>5</v>
      </c>
      <c r="LY91">
        <v>38</v>
      </c>
      <c r="LZ91">
        <v>11</v>
      </c>
      <c r="MA91">
        <v>86</v>
      </c>
      <c r="MB91">
        <v>123</v>
      </c>
      <c r="MC91">
        <v>93</v>
      </c>
      <c r="MD91">
        <v>41</v>
      </c>
      <c r="ME91">
        <v>1874</v>
      </c>
      <c r="MF91" t="s">
        <v>85</v>
      </c>
      <c r="MG91" t="s">
        <v>85</v>
      </c>
      <c r="MH91" t="s">
        <v>85</v>
      </c>
      <c r="MI91" t="s">
        <v>85</v>
      </c>
      <c r="MJ91" t="s">
        <v>85</v>
      </c>
      <c r="MK91" t="s">
        <v>85</v>
      </c>
      <c r="ML91" t="s">
        <v>85</v>
      </c>
      <c r="MM91" t="s">
        <v>85</v>
      </c>
      <c r="MN91" t="s">
        <v>85</v>
      </c>
      <c r="MO91" t="s">
        <v>85</v>
      </c>
      <c r="MP91" t="s">
        <v>85</v>
      </c>
      <c r="MQ91" t="s">
        <v>85</v>
      </c>
      <c r="MR91" t="s">
        <v>85</v>
      </c>
      <c r="MS91" t="s">
        <v>85</v>
      </c>
      <c r="MT91" t="s">
        <v>85</v>
      </c>
      <c r="MU91" t="s">
        <v>85</v>
      </c>
      <c r="MV91" t="s">
        <v>85</v>
      </c>
      <c r="MW91" t="s">
        <v>85</v>
      </c>
      <c r="MX91" t="s">
        <v>85</v>
      </c>
      <c r="MY91" t="s">
        <v>85</v>
      </c>
    </row>
    <row r="92" spans="1:363">
      <c r="A92" s="467">
        <v>12</v>
      </c>
      <c r="B92">
        <v>0</v>
      </c>
      <c r="C92">
        <v>0</v>
      </c>
      <c r="D92">
        <v>-1</v>
      </c>
      <c r="E92">
        <v>-1</v>
      </c>
      <c r="F92">
        <v>27</v>
      </c>
      <c r="G92">
        <v>11</v>
      </c>
      <c r="H92">
        <v>12</v>
      </c>
      <c r="I92">
        <v>11</v>
      </c>
      <c r="J92">
        <v>0</v>
      </c>
      <c r="K92">
        <v>426</v>
      </c>
      <c r="L92">
        <v>10</v>
      </c>
      <c r="M92">
        <v>10</v>
      </c>
      <c r="N92">
        <v>9</v>
      </c>
      <c r="O92">
        <v>0</v>
      </c>
      <c r="P92">
        <v>338</v>
      </c>
      <c r="Q92">
        <v>9</v>
      </c>
      <c r="R92">
        <v>9</v>
      </c>
      <c r="S92">
        <v>9</v>
      </c>
      <c r="T92">
        <v>0</v>
      </c>
      <c r="U92">
        <v>661</v>
      </c>
      <c r="V92">
        <v>34</v>
      </c>
      <c r="W92">
        <v>34</v>
      </c>
      <c r="X92">
        <v>34</v>
      </c>
      <c r="Y92">
        <v>1</v>
      </c>
      <c r="Z92">
        <v>615</v>
      </c>
      <c r="AA92">
        <v>12</v>
      </c>
      <c r="AB92">
        <v>35</v>
      </c>
      <c r="AC92">
        <v>35</v>
      </c>
      <c r="AD92">
        <v>35</v>
      </c>
      <c r="AE92">
        <v>1</v>
      </c>
      <c r="AF92">
        <v>918</v>
      </c>
      <c r="AG92">
        <v>38</v>
      </c>
      <c r="AH92">
        <v>38</v>
      </c>
      <c r="AI92">
        <v>38</v>
      </c>
      <c r="AJ92">
        <v>1</v>
      </c>
      <c r="AK92">
        <v>969</v>
      </c>
      <c r="AL92">
        <v>1</v>
      </c>
      <c r="AM92">
        <v>1</v>
      </c>
      <c r="AN92">
        <v>1</v>
      </c>
      <c r="AO92">
        <v>1</v>
      </c>
      <c r="AP92">
        <v>47</v>
      </c>
      <c r="AQ92" t="s">
        <v>85</v>
      </c>
      <c r="AR92" t="s">
        <v>85</v>
      </c>
      <c r="AS92" t="s">
        <v>85</v>
      </c>
      <c r="AT92" t="s">
        <v>85</v>
      </c>
      <c r="AU92" t="s">
        <v>85</v>
      </c>
      <c r="AV92" t="s">
        <v>85</v>
      </c>
      <c r="AW92" t="s">
        <v>85</v>
      </c>
      <c r="AX92" t="s">
        <v>85</v>
      </c>
      <c r="AY92" t="s">
        <v>85</v>
      </c>
      <c r="AZ92" t="s">
        <v>85</v>
      </c>
      <c r="BA92">
        <v>12</v>
      </c>
      <c r="BB92">
        <v>25</v>
      </c>
      <c r="BC92">
        <v>26</v>
      </c>
      <c r="BD92">
        <v>26</v>
      </c>
      <c r="BE92">
        <v>0</v>
      </c>
      <c r="BF92">
        <v>994</v>
      </c>
      <c r="BG92">
        <v>13</v>
      </c>
      <c r="BH92">
        <v>11</v>
      </c>
      <c r="BI92">
        <v>11</v>
      </c>
      <c r="BJ92">
        <v>0</v>
      </c>
      <c r="BK92">
        <v>583</v>
      </c>
      <c r="BL92">
        <v>11</v>
      </c>
      <c r="BM92">
        <v>10</v>
      </c>
      <c r="BN92">
        <v>12</v>
      </c>
      <c r="BO92">
        <v>0</v>
      </c>
      <c r="BP92">
        <v>411</v>
      </c>
      <c r="BQ92">
        <v>12</v>
      </c>
      <c r="BR92">
        <v>13</v>
      </c>
      <c r="BS92">
        <v>10</v>
      </c>
      <c r="BT92">
        <v>2</v>
      </c>
      <c r="BU92">
        <v>1518</v>
      </c>
      <c r="BV92">
        <v>40</v>
      </c>
      <c r="BW92">
        <v>42</v>
      </c>
      <c r="BX92">
        <v>40</v>
      </c>
      <c r="BY92">
        <v>0</v>
      </c>
      <c r="BZ92">
        <v>1744</v>
      </c>
      <c r="CA92">
        <v>12</v>
      </c>
      <c r="CB92" t="s">
        <v>85</v>
      </c>
      <c r="CC92" t="s">
        <v>85</v>
      </c>
      <c r="CD92" t="s">
        <v>85</v>
      </c>
      <c r="CE92" t="s">
        <v>85</v>
      </c>
      <c r="CF92">
        <v>0</v>
      </c>
      <c r="CG92">
        <v>2</v>
      </c>
      <c r="CH92">
        <v>2</v>
      </c>
      <c r="CI92">
        <v>2</v>
      </c>
      <c r="CJ92">
        <v>0</v>
      </c>
      <c r="CK92">
        <v>58</v>
      </c>
      <c r="CL92" t="s">
        <v>85</v>
      </c>
      <c r="CM92" t="s">
        <v>85</v>
      </c>
      <c r="CN92" t="s">
        <v>85</v>
      </c>
      <c r="CO92" t="s">
        <v>85</v>
      </c>
      <c r="CP92" t="s">
        <v>85</v>
      </c>
      <c r="CQ92" t="s">
        <v>85</v>
      </c>
      <c r="CR92" t="s">
        <v>85</v>
      </c>
      <c r="CS92" t="s">
        <v>85</v>
      </c>
      <c r="CT92" t="s">
        <v>85</v>
      </c>
      <c r="CU92" t="s">
        <v>85</v>
      </c>
      <c r="CV92" t="s">
        <v>85</v>
      </c>
      <c r="CW92" t="s">
        <v>85</v>
      </c>
      <c r="CX92" t="s">
        <v>85</v>
      </c>
      <c r="CY92" t="s">
        <v>85</v>
      </c>
      <c r="CZ92" t="s">
        <v>85</v>
      </c>
      <c r="DA92">
        <v>12</v>
      </c>
      <c r="DB92">
        <v>135</v>
      </c>
      <c r="DC92">
        <v>134</v>
      </c>
      <c r="DD92">
        <v>134</v>
      </c>
      <c r="DE92">
        <v>0</v>
      </c>
      <c r="DF92">
        <v>4621</v>
      </c>
      <c r="DG92">
        <v>14</v>
      </c>
      <c r="DH92">
        <v>14</v>
      </c>
      <c r="DI92">
        <v>14</v>
      </c>
      <c r="DJ92">
        <v>0</v>
      </c>
      <c r="DK92">
        <v>917</v>
      </c>
      <c r="DL92">
        <v>4</v>
      </c>
      <c r="DM92">
        <v>4</v>
      </c>
      <c r="DN92">
        <v>3</v>
      </c>
      <c r="DO92">
        <v>0</v>
      </c>
      <c r="DP92">
        <v>613</v>
      </c>
      <c r="DQ92">
        <v>0</v>
      </c>
      <c r="DR92">
        <v>0</v>
      </c>
      <c r="DS92">
        <v>0</v>
      </c>
      <c r="DT92">
        <v>0</v>
      </c>
      <c r="DU92">
        <v>0</v>
      </c>
      <c r="DV92">
        <v>0</v>
      </c>
      <c r="DW92">
        <v>0</v>
      </c>
      <c r="DX92">
        <v>0</v>
      </c>
      <c r="DY92">
        <v>0</v>
      </c>
      <c r="DZ92">
        <v>0</v>
      </c>
      <c r="EA92">
        <v>12</v>
      </c>
      <c r="EB92">
        <v>0</v>
      </c>
      <c r="EC92">
        <v>0</v>
      </c>
      <c r="ED92">
        <v>0</v>
      </c>
      <c r="EE92">
        <v>0</v>
      </c>
      <c r="EF92">
        <v>0</v>
      </c>
      <c r="EG92" t="s">
        <v>85</v>
      </c>
      <c r="EH92" t="s">
        <v>85</v>
      </c>
      <c r="EI92" t="s">
        <v>85</v>
      </c>
      <c r="EJ92" t="s">
        <v>85</v>
      </c>
      <c r="EK92" t="s">
        <v>85</v>
      </c>
      <c r="EL92" t="s">
        <v>85</v>
      </c>
      <c r="EM92" t="s">
        <v>85</v>
      </c>
      <c r="EN92" t="s">
        <v>85</v>
      </c>
      <c r="EO92" t="s">
        <v>85</v>
      </c>
      <c r="EP92" t="s">
        <v>85</v>
      </c>
      <c r="EQ92" t="s">
        <v>85</v>
      </c>
      <c r="ER92" t="s">
        <v>85</v>
      </c>
      <c r="ES92" t="s">
        <v>85</v>
      </c>
      <c r="ET92" t="s">
        <v>85</v>
      </c>
      <c r="EU92" t="s">
        <v>85</v>
      </c>
      <c r="EV92" t="s">
        <v>85</v>
      </c>
      <c r="EW92" t="s">
        <v>85</v>
      </c>
      <c r="EX92" t="s">
        <v>85</v>
      </c>
      <c r="EY92" t="s">
        <v>85</v>
      </c>
      <c r="EZ92" t="s">
        <v>85</v>
      </c>
      <c r="FA92">
        <v>12</v>
      </c>
      <c r="FB92">
        <v>145</v>
      </c>
      <c r="FC92">
        <v>144</v>
      </c>
      <c r="FD92">
        <v>145</v>
      </c>
      <c r="FE92">
        <v>0</v>
      </c>
      <c r="FF92">
        <v>4541</v>
      </c>
      <c r="FG92">
        <v>0</v>
      </c>
      <c r="FH92">
        <v>0</v>
      </c>
      <c r="FI92">
        <v>0</v>
      </c>
      <c r="FJ92">
        <v>0</v>
      </c>
      <c r="FK92">
        <v>0</v>
      </c>
      <c r="FL92">
        <v>0</v>
      </c>
      <c r="FM92">
        <v>0</v>
      </c>
      <c r="FN92">
        <v>0</v>
      </c>
      <c r="FO92">
        <v>0</v>
      </c>
      <c r="FP92">
        <v>0</v>
      </c>
      <c r="FQ92">
        <v>59</v>
      </c>
      <c r="FR92">
        <v>56</v>
      </c>
      <c r="FS92">
        <v>61</v>
      </c>
      <c r="FT92">
        <v>0</v>
      </c>
      <c r="FU92">
        <v>2183</v>
      </c>
      <c r="FV92">
        <v>15</v>
      </c>
      <c r="FW92">
        <v>15</v>
      </c>
      <c r="FX92">
        <v>15</v>
      </c>
      <c r="FY92">
        <v>0</v>
      </c>
      <c r="FZ92">
        <v>1088</v>
      </c>
      <c r="GA92">
        <v>12</v>
      </c>
      <c r="GB92">
        <v>76</v>
      </c>
      <c r="GC92">
        <v>78</v>
      </c>
      <c r="GD92">
        <v>75</v>
      </c>
      <c r="GE92">
        <v>0</v>
      </c>
      <c r="GF92">
        <v>3332</v>
      </c>
      <c r="GG92" t="s">
        <v>85</v>
      </c>
      <c r="GH92" t="s">
        <v>85</v>
      </c>
      <c r="GI92" t="s">
        <v>85</v>
      </c>
      <c r="GJ92" t="s">
        <v>85</v>
      </c>
      <c r="GK92" t="s">
        <v>85</v>
      </c>
      <c r="GL92" t="s">
        <v>85</v>
      </c>
      <c r="GM92" t="s">
        <v>85</v>
      </c>
      <c r="GN92" t="s">
        <v>85</v>
      </c>
      <c r="GO92" t="s">
        <v>85</v>
      </c>
      <c r="GP92" t="s">
        <v>85</v>
      </c>
      <c r="GQ92" t="s">
        <v>85</v>
      </c>
      <c r="GR92" t="s">
        <v>85</v>
      </c>
      <c r="GS92" t="s">
        <v>85</v>
      </c>
      <c r="GT92" t="s">
        <v>85</v>
      </c>
      <c r="GU92" t="s">
        <v>85</v>
      </c>
      <c r="GV92" t="s">
        <v>85</v>
      </c>
      <c r="GW92" t="s">
        <v>85</v>
      </c>
      <c r="GX92" t="s">
        <v>85</v>
      </c>
      <c r="GY92" t="s">
        <v>85</v>
      </c>
      <c r="GZ92">
        <v>12</v>
      </c>
      <c r="HA92">
        <v>122</v>
      </c>
      <c r="HB92">
        <v>141</v>
      </c>
      <c r="HC92">
        <v>125</v>
      </c>
      <c r="HD92">
        <v>29</v>
      </c>
      <c r="HE92">
        <v>2487</v>
      </c>
      <c r="HF92">
        <v>51</v>
      </c>
      <c r="HG92">
        <v>75</v>
      </c>
      <c r="HH92">
        <v>57</v>
      </c>
      <c r="HI92">
        <v>20</v>
      </c>
      <c r="HJ92">
        <v>1822</v>
      </c>
      <c r="HK92">
        <v>101</v>
      </c>
      <c r="HL92">
        <v>70</v>
      </c>
      <c r="HM92">
        <v>92</v>
      </c>
      <c r="HN92">
        <v>49</v>
      </c>
      <c r="HO92">
        <v>1876</v>
      </c>
      <c r="HP92">
        <v>43</v>
      </c>
      <c r="HQ92">
        <v>58</v>
      </c>
      <c r="HR92">
        <v>43</v>
      </c>
      <c r="HS92">
        <v>19</v>
      </c>
      <c r="HT92">
        <v>900</v>
      </c>
      <c r="HU92">
        <v>130</v>
      </c>
      <c r="HV92">
        <v>142</v>
      </c>
      <c r="HW92">
        <v>124</v>
      </c>
      <c r="HX92">
        <v>19</v>
      </c>
      <c r="HY92">
        <v>2709</v>
      </c>
      <c r="HZ92">
        <v>12</v>
      </c>
      <c r="IA92">
        <v>112</v>
      </c>
      <c r="IB92">
        <v>114</v>
      </c>
      <c r="IC92">
        <v>86</v>
      </c>
      <c r="ID92">
        <v>45</v>
      </c>
      <c r="IE92">
        <v>2055</v>
      </c>
      <c r="IF92" t="s">
        <v>85</v>
      </c>
      <c r="IG92" t="s">
        <v>85</v>
      </c>
      <c r="IH92" t="s">
        <v>85</v>
      </c>
      <c r="II92" t="s">
        <v>85</v>
      </c>
      <c r="IJ92" t="s">
        <v>85</v>
      </c>
      <c r="IK92" t="s">
        <v>85</v>
      </c>
      <c r="IL92" t="s">
        <v>85</v>
      </c>
      <c r="IM92" t="s">
        <v>85</v>
      </c>
      <c r="IN92" t="s">
        <v>85</v>
      </c>
      <c r="IO92" t="s">
        <v>85</v>
      </c>
      <c r="IP92" t="s">
        <v>85</v>
      </c>
      <c r="IQ92" t="s">
        <v>85</v>
      </c>
      <c r="IR92" t="s">
        <v>85</v>
      </c>
      <c r="IS92" t="s">
        <v>85</v>
      </c>
      <c r="IT92" t="s">
        <v>85</v>
      </c>
      <c r="IU92" t="s">
        <v>85</v>
      </c>
      <c r="IV92" t="s">
        <v>85</v>
      </c>
      <c r="IW92" t="s">
        <v>85</v>
      </c>
      <c r="IX92" t="s">
        <v>85</v>
      </c>
      <c r="IY92" t="s">
        <v>85</v>
      </c>
      <c r="IZ92">
        <v>12</v>
      </c>
      <c r="JA92">
        <v>178</v>
      </c>
      <c r="JB92">
        <v>164</v>
      </c>
      <c r="JC92">
        <v>161</v>
      </c>
      <c r="JD92">
        <v>19</v>
      </c>
      <c r="JE92">
        <v>3602</v>
      </c>
      <c r="JF92">
        <v>142</v>
      </c>
      <c r="JG92">
        <v>126</v>
      </c>
      <c r="JH92">
        <v>126</v>
      </c>
      <c r="JI92">
        <v>32</v>
      </c>
      <c r="JJ92">
        <v>2658</v>
      </c>
      <c r="JK92">
        <v>130</v>
      </c>
      <c r="JL92">
        <v>157</v>
      </c>
      <c r="JM92">
        <v>168</v>
      </c>
      <c r="JN92">
        <v>50</v>
      </c>
      <c r="JO92">
        <v>2951</v>
      </c>
      <c r="JP92">
        <v>132</v>
      </c>
      <c r="JQ92">
        <v>116</v>
      </c>
      <c r="JR92">
        <v>109</v>
      </c>
      <c r="JS92">
        <v>34</v>
      </c>
      <c r="JT92">
        <v>2311</v>
      </c>
      <c r="JU92" t="s">
        <v>85</v>
      </c>
      <c r="JV92" t="s">
        <v>85</v>
      </c>
      <c r="JW92" t="s">
        <v>85</v>
      </c>
      <c r="JX92" t="s">
        <v>85</v>
      </c>
      <c r="JY92" t="s">
        <v>85</v>
      </c>
      <c r="JZ92">
        <v>12</v>
      </c>
      <c r="KA92">
        <v>69</v>
      </c>
      <c r="KB92">
        <v>85</v>
      </c>
      <c r="KC92">
        <v>69</v>
      </c>
      <c r="KD92">
        <v>24</v>
      </c>
      <c r="KE92">
        <v>1547</v>
      </c>
      <c r="KF92">
        <v>245</v>
      </c>
      <c r="KG92">
        <v>235</v>
      </c>
      <c r="KH92">
        <v>236</v>
      </c>
      <c r="KI92">
        <v>29</v>
      </c>
      <c r="KJ92">
        <v>4963</v>
      </c>
      <c r="KK92">
        <v>97</v>
      </c>
      <c r="KL92">
        <v>88</v>
      </c>
      <c r="KM92">
        <v>73</v>
      </c>
      <c r="KN92">
        <v>38</v>
      </c>
      <c r="KO92">
        <v>1721</v>
      </c>
      <c r="KP92">
        <v>68</v>
      </c>
      <c r="KQ92">
        <v>53</v>
      </c>
      <c r="KR92">
        <v>92</v>
      </c>
      <c r="KS92">
        <v>32</v>
      </c>
      <c r="KT92">
        <v>1235</v>
      </c>
      <c r="KU92" t="s">
        <v>85</v>
      </c>
      <c r="KV92" t="s">
        <v>85</v>
      </c>
      <c r="KW92" t="s">
        <v>85</v>
      </c>
      <c r="KX92" t="s">
        <v>85</v>
      </c>
      <c r="KY92" t="s">
        <v>85</v>
      </c>
      <c r="KZ92">
        <v>12</v>
      </c>
      <c r="LA92">
        <v>121</v>
      </c>
      <c r="LB92">
        <v>142</v>
      </c>
      <c r="LC92">
        <v>95</v>
      </c>
      <c r="LD92">
        <v>58</v>
      </c>
      <c r="LE92">
        <v>2290</v>
      </c>
      <c r="LF92">
        <v>83</v>
      </c>
      <c r="LG92">
        <v>100</v>
      </c>
      <c r="LH92">
        <v>79</v>
      </c>
      <c r="LI92">
        <v>25</v>
      </c>
      <c r="LJ92">
        <v>2066</v>
      </c>
      <c r="LK92">
        <v>135</v>
      </c>
      <c r="LL92">
        <v>137</v>
      </c>
      <c r="LM92">
        <v>136</v>
      </c>
      <c r="LN92">
        <v>31</v>
      </c>
      <c r="LO92">
        <v>2682</v>
      </c>
      <c r="LP92">
        <v>135</v>
      </c>
      <c r="LQ92">
        <v>152</v>
      </c>
      <c r="LR92">
        <v>165</v>
      </c>
      <c r="LS92">
        <v>41</v>
      </c>
      <c r="LT92">
        <v>3666</v>
      </c>
      <c r="LU92">
        <v>0</v>
      </c>
      <c r="LV92">
        <v>4</v>
      </c>
      <c r="LW92">
        <v>4</v>
      </c>
      <c r="LX92">
        <v>4</v>
      </c>
      <c r="LY92">
        <v>45</v>
      </c>
      <c r="LZ92">
        <v>12</v>
      </c>
      <c r="MA92">
        <v>102</v>
      </c>
      <c r="MB92">
        <v>135</v>
      </c>
      <c r="MC92">
        <v>102</v>
      </c>
      <c r="MD92">
        <v>34</v>
      </c>
      <c r="ME92">
        <v>2273</v>
      </c>
      <c r="MF92" t="s">
        <v>85</v>
      </c>
      <c r="MG92" t="s">
        <v>85</v>
      </c>
      <c r="MH92" t="s">
        <v>85</v>
      </c>
      <c r="MI92" t="s">
        <v>85</v>
      </c>
      <c r="MJ92" t="s">
        <v>85</v>
      </c>
      <c r="MK92" t="s">
        <v>85</v>
      </c>
      <c r="ML92" t="s">
        <v>85</v>
      </c>
      <c r="MM92" t="s">
        <v>85</v>
      </c>
      <c r="MN92" t="s">
        <v>85</v>
      </c>
      <c r="MO92" t="s">
        <v>85</v>
      </c>
      <c r="MP92" t="s">
        <v>85</v>
      </c>
      <c r="MQ92" t="s">
        <v>85</v>
      </c>
      <c r="MR92" t="s">
        <v>85</v>
      </c>
      <c r="MS92" t="s">
        <v>85</v>
      </c>
      <c r="MT92" t="s">
        <v>85</v>
      </c>
      <c r="MU92" t="s">
        <v>85</v>
      </c>
      <c r="MV92" t="s">
        <v>85</v>
      </c>
      <c r="MW92" t="s">
        <v>85</v>
      </c>
      <c r="MX92" t="s">
        <v>85</v>
      </c>
      <c r="MY92" t="s">
        <v>85</v>
      </c>
    </row>
    <row r="93" spans="1:363">
      <c r="A93" s="467">
        <v>13</v>
      </c>
      <c r="B93">
        <v>-1</v>
      </c>
      <c r="C93">
        <v>-1</v>
      </c>
      <c r="D93">
        <v>-1</v>
      </c>
      <c r="E93">
        <v>-1</v>
      </c>
      <c r="F93">
        <v>28</v>
      </c>
      <c r="G93">
        <v>14</v>
      </c>
      <c r="H93">
        <v>15</v>
      </c>
      <c r="I93">
        <v>15</v>
      </c>
      <c r="J93">
        <v>0</v>
      </c>
      <c r="K93">
        <v>513</v>
      </c>
      <c r="L93">
        <v>18</v>
      </c>
      <c r="M93">
        <v>18</v>
      </c>
      <c r="N93">
        <v>18</v>
      </c>
      <c r="O93">
        <v>0</v>
      </c>
      <c r="P93">
        <v>440</v>
      </c>
      <c r="Q93">
        <v>23</v>
      </c>
      <c r="R93">
        <v>24</v>
      </c>
      <c r="S93">
        <v>23</v>
      </c>
      <c r="T93">
        <v>0</v>
      </c>
      <c r="U93">
        <v>859</v>
      </c>
      <c r="V93">
        <v>26</v>
      </c>
      <c r="W93">
        <v>26</v>
      </c>
      <c r="X93">
        <v>26</v>
      </c>
      <c r="Y93">
        <v>1</v>
      </c>
      <c r="Z93">
        <v>858</v>
      </c>
      <c r="AA93">
        <v>13</v>
      </c>
      <c r="AB93">
        <v>29</v>
      </c>
      <c r="AC93">
        <v>29</v>
      </c>
      <c r="AD93">
        <v>29</v>
      </c>
      <c r="AE93">
        <v>1</v>
      </c>
      <c r="AF93">
        <v>1141</v>
      </c>
      <c r="AG93">
        <v>29</v>
      </c>
      <c r="AH93">
        <v>29</v>
      </c>
      <c r="AI93">
        <v>29</v>
      </c>
      <c r="AJ93">
        <v>1</v>
      </c>
      <c r="AK93">
        <v>1186</v>
      </c>
      <c r="AL93">
        <v>1</v>
      </c>
      <c r="AM93">
        <v>1</v>
      </c>
      <c r="AN93">
        <v>1</v>
      </c>
      <c r="AO93">
        <v>1</v>
      </c>
      <c r="AP93">
        <v>48</v>
      </c>
      <c r="AQ93" t="s">
        <v>85</v>
      </c>
      <c r="AR93" t="s">
        <v>85</v>
      </c>
      <c r="AS93" t="s">
        <v>85</v>
      </c>
      <c r="AT93" t="s">
        <v>85</v>
      </c>
      <c r="AU93" t="s">
        <v>85</v>
      </c>
      <c r="AV93" t="s">
        <v>85</v>
      </c>
      <c r="AW93" t="s">
        <v>85</v>
      </c>
      <c r="AX93" t="s">
        <v>85</v>
      </c>
      <c r="AY93" t="s">
        <v>85</v>
      </c>
      <c r="AZ93" t="s">
        <v>85</v>
      </c>
      <c r="BA93">
        <v>13</v>
      </c>
      <c r="BB93">
        <v>25</v>
      </c>
      <c r="BC93">
        <v>25</v>
      </c>
      <c r="BD93">
        <v>25</v>
      </c>
      <c r="BE93">
        <v>0</v>
      </c>
      <c r="BF93">
        <v>981</v>
      </c>
      <c r="BG93">
        <v>31</v>
      </c>
      <c r="BH93">
        <v>30</v>
      </c>
      <c r="BI93">
        <v>29</v>
      </c>
      <c r="BJ93">
        <v>1</v>
      </c>
      <c r="BK93">
        <v>857</v>
      </c>
      <c r="BL93">
        <v>10</v>
      </c>
      <c r="BM93">
        <v>11</v>
      </c>
      <c r="BN93">
        <v>12</v>
      </c>
      <c r="BO93">
        <v>0</v>
      </c>
      <c r="BP93">
        <v>341</v>
      </c>
      <c r="BQ93">
        <v>40</v>
      </c>
      <c r="BR93">
        <v>41</v>
      </c>
      <c r="BS93">
        <v>37</v>
      </c>
      <c r="BT93">
        <v>2</v>
      </c>
      <c r="BU93">
        <v>1022</v>
      </c>
      <c r="BV93">
        <v>37</v>
      </c>
      <c r="BW93">
        <v>39</v>
      </c>
      <c r="BX93">
        <v>37</v>
      </c>
      <c r="BY93">
        <v>0</v>
      </c>
      <c r="BZ93">
        <v>1620</v>
      </c>
      <c r="CA93">
        <v>13</v>
      </c>
      <c r="CB93" t="s">
        <v>85</v>
      </c>
      <c r="CC93" t="s">
        <v>85</v>
      </c>
      <c r="CD93" t="s">
        <v>85</v>
      </c>
      <c r="CE93" t="s">
        <v>85</v>
      </c>
      <c r="CF93">
        <v>0</v>
      </c>
      <c r="CG93">
        <v>2</v>
      </c>
      <c r="CH93">
        <v>2</v>
      </c>
      <c r="CI93">
        <v>2</v>
      </c>
      <c r="CJ93">
        <v>0</v>
      </c>
      <c r="CK93">
        <v>59</v>
      </c>
      <c r="CL93" t="s">
        <v>85</v>
      </c>
      <c r="CM93" t="s">
        <v>85</v>
      </c>
      <c r="CN93" t="s">
        <v>85</v>
      </c>
      <c r="CO93" t="s">
        <v>85</v>
      </c>
      <c r="CP93" t="s">
        <v>85</v>
      </c>
      <c r="CQ93" t="s">
        <v>85</v>
      </c>
      <c r="CR93" t="s">
        <v>85</v>
      </c>
      <c r="CS93" t="s">
        <v>85</v>
      </c>
      <c r="CT93" t="s">
        <v>85</v>
      </c>
      <c r="CU93" t="s">
        <v>85</v>
      </c>
      <c r="CV93" t="s">
        <v>85</v>
      </c>
      <c r="CW93" t="s">
        <v>85</v>
      </c>
      <c r="CX93" t="s">
        <v>85</v>
      </c>
      <c r="CY93" t="s">
        <v>85</v>
      </c>
      <c r="CZ93" t="s">
        <v>85</v>
      </c>
      <c r="DA93">
        <v>13</v>
      </c>
      <c r="DB93">
        <v>119</v>
      </c>
      <c r="DC93">
        <v>118</v>
      </c>
      <c r="DD93">
        <v>118</v>
      </c>
      <c r="DE93">
        <v>0</v>
      </c>
      <c r="DF93">
        <v>5059</v>
      </c>
      <c r="DG93">
        <v>26</v>
      </c>
      <c r="DH93">
        <v>25</v>
      </c>
      <c r="DI93">
        <v>25</v>
      </c>
      <c r="DJ93">
        <v>0</v>
      </c>
      <c r="DK93">
        <v>413</v>
      </c>
      <c r="DL93">
        <v>18</v>
      </c>
      <c r="DM93">
        <v>18</v>
      </c>
      <c r="DN93">
        <v>19</v>
      </c>
      <c r="DO93">
        <v>0</v>
      </c>
      <c r="DP93">
        <v>411</v>
      </c>
      <c r="DQ93">
        <v>0</v>
      </c>
      <c r="DR93">
        <v>0</v>
      </c>
      <c r="DS93">
        <v>0</v>
      </c>
      <c r="DT93">
        <v>0</v>
      </c>
      <c r="DU93">
        <v>0</v>
      </c>
      <c r="DV93">
        <v>0</v>
      </c>
      <c r="DW93">
        <v>0</v>
      </c>
      <c r="DX93">
        <v>0</v>
      </c>
      <c r="DY93">
        <v>0</v>
      </c>
      <c r="DZ93">
        <v>0</v>
      </c>
      <c r="EA93">
        <v>13</v>
      </c>
      <c r="EB93">
        <v>0</v>
      </c>
      <c r="EC93">
        <v>0</v>
      </c>
      <c r="ED93">
        <v>0</v>
      </c>
      <c r="EE93">
        <v>0</v>
      </c>
      <c r="EF93">
        <v>0</v>
      </c>
      <c r="EG93" t="s">
        <v>85</v>
      </c>
      <c r="EH93" t="s">
        <v>85</v>
      </c>
      <c r="EI93" t="s">
        <v>85</v>
      </c>
      <c r="EJ93" t="s">
        <v>85</v>
      </c>
      <c r="EK93" t="s">
        <v>85</v>
      </c>
      <c r="EL93" t="s">
        <v>85</v>
      </c>
      <c r="EM93" t="s">
        <v>85</v>
      </c>
      <c r="EN93" t="s">
        <v>85</v>
      </c>
      <c r="EO93" t="s">
        <v>85</v>
      </c>
      <c r="EP93" t="s">
        <v>85</v>
      </c>
      <c r="EQ93" t="s">
        <v>85</v>
      </c>
      <c r="ER93" t="s">
        <v>85</v>
      </c>
      <c r="ES93" t="s">
        <v>85</v>
      </c>
      <c r="ET93" t="s">
        <v>85</v>
      </c>
      <c r="EU93" t="s">
        <v>85</v>
      </c>
      <c r="EV93" t="s">
        <v>85</v>
      </c>
      <c r="EW93" t="s">
        <v>85</v>
      </c>
      <c r="EX93" t="s">
        <v>85</v>
      </c>
      <c r="EY93" t="s">
        <v>85</v>
      </c>
      <c r="EZ93" t="s">
        <v>85</v>
      </c>
      <c r="FA93">
        <v>13</v>
      </c>
      <c r="FB93">
        <v>57</v>
      </c>
      <c r="FC93">
        <v>58</v>
      </c>
      <c r="FD93">
        <v>58</v>
      </c>
      <c r="FE93">
        <v>0</v>
      </c>
      <c r="FF93">
        <v>3856</v>
      </c>
      <c r="FG93">
        <v>0</v>
      </c>
      <c r="FH93">
        <v>0</v>
      </c>
      <c r="FI93">
        <v>0</v>
      </c>
      <c r="FJ93">
        <v>0</v>
      </c>
      <c r="FK93">
        <v>0</v>
      </c>
      <c r="FL93">
        <v>0</v>
      </c>
      <c r="FM93">
        <v>0</v>
      </c>
      <c r="FN93">
        <v>0</v>
      </c>
      <c r="FO93">
        <v>0</v>
      </c>
      <c r="FP93">
        <v>0</v>
      </c>
      <c r="FQ93">
        <v>50</v>
      </c>
      <c r="FR93">
        <v>48</v>
      </c>
      <c r="FS93">
        <v>53</v>
      </c>
      <c r="FT93">
        <v>0</v>
      </c>
      <c r="FU93">
        <v>2142</v>
      </c>
      <c r="FV93">
        <v>19</v>
      </c>
      <c r="FW93">
        <v>18</v>
      </c>
      <c r="FX93">
        <v>18</v>
      </c>
      <c r="FY93">
        <v>0</v>
      </c>
      <c r="FZ93">
        <v>626</v>
      </c>
      <c r="GA93">
        <v>13</v>
      </c>
      <c r="GB93">
        <v>78</v>
      </c>
      <c r="GC93">
        <v>82</v>
      </c>
      <c r="GD93">
        <v>80</v>
      </c>
      <c r="GE93">
        <v>0</v>
      </c>
      <c r="GF93">
        <v>3099</v>
      </c>
      <c r="GG93" t="s">
        <v>85</v>
      </c>
      <c r="GH93" t="s">
        <v>85</v>
      </c>
      <c r="GI93" t="s">
        <v>85</v>
      </c>
      <c r="GJ93" t="s">
        <v>85</v>
      </c>
      <c r="GK93" t="s">
        <v>85</v>
      </c>
      <c r="GL93" t="s">
        <v>85</v>
      </c>
      <c r="GM93" t="s">
        <v>85</v>
      </c>
      <c r="GN93" t="s">
        <v>85</v>
      </c>
      <c r="GO93" t="s">
        <v>85</v>
      </c>
      <c r="GP93" t="s">
        <v>85</v>
      </c>
      <c r="GQ93" t="s">
        <v>85</v>
      </c>
      <c r="GR93" t="s">
        <v>85</v>
      </c>
      <c r="GS93" t="s">
        <v>85</v>
      </c>
      <c r="GT93" t="s">
        <v>85</v>
      </c>
      <c r="GU93" t="s">
        <v>85</v>
      </c>
      <c r="GV93" t="s">
        <v>85</v>
      </c>
      <c r="GW93" t="s">
        <v>85</v>
      </c>
      <c r="GX93" t="s">
        <v>85</v>
      </c>
      <c r="GY93" t="s">
        <v>85</v>
      </c>
      <c r="GZ93">
        <v>13</v>
      </c>
      <c r="HA93">
        <v>115</v>
      </c>
      <c r="HB93">
        <v>142</v>
      </c>
      <c r="HC93">
        <v>120</v>
      </c>
      <c r="HD93">
        <v>35</v>
      </c>
      <c r="HE93">
        <v>2462</v>
      </c>
      <c r="HF93">
        <v>131</v>
      </c>
      <c r="HG93">
        <v>148</v>
      </c>
      <c r="HH93">
        <v>135</v>
      </c>
      <c r="HI93">
        <v>20</v>
      </c>
      <c r="HJ93">
        <v>1843</v>
      </c>
      <c r="HK93">
        <v>100</v>
      </c>
      <c r="HL93">
        <v>71</v>
      </c>
      <c r="HM93">
        <v>96</v>
      </c>
      <c r="HN93">
        <v>53</v>
      </c>
      <c r="HO93">
        <v>1683</v>
      </c>
      <c r="HP93">
        <v>40</v>
      </c>
      <c r="HQ93">
        <v>55</v>
      </c>
      <c r="HR93">
        <v>43</v>
      </c>
      <c r="HS93">
        <v>17</v>
      </c>
      <c r="HT93">
        <v>921</v>
      </c>
      <c r="HU93">
        <v>142</v>
      </c>
      <c r="HV93">
        <v>162</v>
      </c>
      <c r="HW93">
        <v>130</v>
      </c>
      <c r="HX93">
        <v>27</v>
      </c>
      <c r="HY93">
        <v>2778</v>
      </c>
      <c r="HZ93">
        <v>13</v>
      </c>
      <c r="IA93">
        <v>123</v>
      </c>
      <c r="IB93">
        <v>122</v>
      </c>
      <c r="IC93">
        <v>92</v>
      </c>
      <c r="ID93">
        <v>48</v>
      </c>
      <c r="IE93">
        <v>2254</v>
      </c>
      <c r="IF93" t="s">
        <v>85</v>
      </c>
      <c r="IG93" t="s">
        <v>85</v>
      </c>
      <c r="IH93" t="s">
        <v>85</v>
      </c>
      <c r="II93" t="s">
        <v>85</v>
      </c>
      <c r="IJ93" t="s">
        <v>85</v>
      </c>
      <c r="IK93" t="s">
        <v>85</v>
      </c>
      <c r="IL93" t="s">
        <v>85</v>
      </c>
      <c r="IM93" t="s">
        <v>85</v>
      </c>
      <c r="IN93" t="s">
        <v>85</v>
      </c>
      <c r="IO93" t="s">
        <v>85</v>
      </c>
      <c r="IP93" t="s">
        <v>85</v>
      </c>
      <c r="IQ93" t="s">
        <v>85</v>
      </c>
      <c r="IR93" t="s">
        <v>85</v>
      </c>
      <c r="IS93" t="s">
        <v>85</v>
      </c>
      <c r="IT93" t="s">
        <v>85</v>
      </c>
      <c r="IU93" t="s">
        <v>85</v>
      </c>
      <c r="IV93" t="s">
        <v>85</v>
      </c>
      <c r="IW93" t="s">
        <v>85</v>
      </c>
      <c r="IX93" t="s">
        <v>85</v>
      </c>
      <c r="IY93" t="s">
        <v>85</v>
      </c>
      <c r="IZ93">
        <v>13</v>
      </c>
      <c r="JA93">
        <v>167</v>
      </c>
      <c r="JB93">
        <v>151</v>
      </c>
      <c r="JC93">
        <v>154</v>
      </c>
      <c r="JD93">
        <v>20</v>
      </c>
      <c r="JE93">
        <v>2884</v>
      </c>
      <c r="JF93">
        <v>156</v>
      </c>
      <c r="JG93">
        <v>132</v>
      </c>
      <c r="JH93">
        <v>129</v>
      </c>
      <c r="JI93">
        <v>44</v>
      </c>
      <c r="JJ93">
        <v>2665</v>
      </c>
      <c r="JK93">
        <v>135</v>
      </c>
      <c r="JL93">
        <v>163</v>
      </c>
      <c r="JM93">
        <v>172</v>
      </c>
      <c r="JN93">
        <v>47</v>
      </c>
      <c r="JO93">
        <v>3160</v>
      </c>
      <c r="JP93">
        <v>141</v>
      </c>
      <c r="JQ93">
        <v>125</v>
      </c>
      <c r="JR93">
        <v>120</v>
      </c>
      <c r="JS93">
        <v>35</v>
      </c>
      <c r="JT93">
        <v>2602</v>
      </c>
      <c r="JU93" t="s">
        <v>85</v>
      </c>
      <c r="JV93" t="s">
        <v>85</v>
      </c>
      <c r="JW93" t="s">
        <v>85</v>
      </c>
      <c r="JX93" t="s">
        <v>85</v>
      </c>
      <c r="JY93" t="s">
        <v>85</v>
      </c>
      <c r="JZ93">
        <v>13</v>
      </c>
      <c r="KA93">
        <v>97</v>
      </c>
      <c r="KB93">
        <v>98</v>
      </c>
      <c r="KC93">
        <v>74</v>
      </c>
      <c r="KD93">
        <v>36</v>
      </c>
      <c r="KE93">
        <v>1270</v>
      </c>
      <c r="KF93">
        <v>213</v>
      </c>
      <c r="KG93">
        <v>199</v>
      </c>
      <c r="KH93">
        <v>198</v>
      </c>
      <c r="KI93">
        <v>32</v>
      </c>
      <c r="KJ93">
        <v>3784</v>
      </c>
      <c r="KK93">
        <v>101</v>
      </c>
      <c r="KL93">
        <v>99</v>
      </c>
      <c r="KM93">
        <v>79</v>
      </c>
      <c r="KN93">
        <v>41</v>
      </c>
      <c r="KO93">
        <v>1809</v>
      </c>
      <c r="KP93">
        <v>76</v>
      </c>
      <c r="KQ93">
        <v>55</v>
      </c>
      <c r="KR93">
        <v>102</v>
      </c>
      <c r="KS93">
        <v>43</v>
      </c>
      <c r="KT93">
        <v>1481</v>
      </c>
      <c r="KU93" t="s">
        <v>85</v>
      </c>
      <c r="KV93" t="s">
        <v>85</v>
      </c>
      <c r="KW93" t="s">
        <v>85</v>
      </c>
      <c r="KX93" t="s">
        <v>85</v>
      </c>
      <c r="KY93" t="s">
        <v>85</v>
      </c>
      <c r="KZ93">
        <v>13</v>
      </c>
      <c r="LA93">
        <v>119</v>
      </c>
      <c r="LB93">
        <v>146</v>
      </c>
      <c r="LC93">
        <v>104</v>
      </c>
      <c r="LD93">
        <v>53</v>
      </c>
      <c r="LE93">
        <v>2517</v>
      </c>
      <c r="LF93">
        <v>89</v>
      </c>
      <c r="LG93">
        <v>108</v>
      </c>
      <c r="LH93">
        <v>86</v>
      </c>
      <c r="LI93">
        <v>25</v>
      </c>
      <c r="LJ93">
        <v>1781</v>
      </c>
      <c r="LK93">
        <v>149</v>
      </c>
      <c r="LL93">
        <v>144</v>
      </c>
      <c r="LM93">
        <v>146</v>
      </c>
      <c r="LN93">
        <v>32</v>
      </c>
      <c r="LO93">
        <v>2915</v>
      </c>
      <c r="LP93">
        <v>143</v>
      </c>
      <c r="LQ93">
        <v>159</v>
      </c>
      <c r="LR93">
        <v>178</v>
      </c>
      <c r="LS93">
        <v>48</v>
      </c>
      <c r="LT93">
        <v>2725</v>
      </c>
      <c r="LU93">
        <v>0</v>
      </c>
      <c r="LV93">
        <v>4</v>
      </c>
      <c r="LW93">
        <v>5</v>
      </c>
      <c r="LX93">
        <v>5</v>
      </c>
      <c r="LY93">
        <v>55</v>
      </c>
      <c r="LZ93">
        <v>13</v>
      </c>
      <c r="MA93">
        <v>101</v>
      </c>
      <c r="MB93">
        <v>128</v>
      </c>
      <c r="MC93">
        <v>99</v>
      </c>
      <c r="MD93">
        <v>31</v>
      </c>
      <c r="ME93">
        <v>2250</v>
      </c>
      <c r="MF93" t="s">
        <v>85</v>
      </c>
      <c r="MG93" t="s">
        <v>85</v>
      </c>
      <c r="MH93" t="s">
        <v>85</v>
      </c>
      <c r="MI93" t="s">
        <v>85</v>
      </c>
      <c r="MJ93" t="s">
        <v>85</v>
      </c>
      <c r="MK93" t="s">
        <v>85</v>
      </c>
      <c r="ML93" t="s">
        <v>85</v>
      </c>
      <c r="MM93" t="s">
        <v>85</v>
      </c>
      <c r="MN93" t="s">
        <v>85</v>
      </c>
      <c r="MO93" t="s">
        <v>85</v>
      </c>
      <c r="MP93" t="s">
        <v>85</v>
      </c>
      <c r="MQ93" t="s">
        <v>85</v>
      </c>
      <c r="MR93" t="s">
        <v>85</v>
      </c>
      <c r="MS93" t="s">
        <v>85</v>
      </c>
      <c r="MT93" t="s">
        <v>85</v>
      </c>
      <c r="MU93" t="s">
        <v>85</v>
      </c>
      <c r="MV93" t="s">
        <v>85</v>
      </c>
      <c r="MW93" t="s">
        <v>85</v>
      </c>
      <c r="MX93" t="s">
        <v>85</v>
      </c>
      <c r="MY93" t="s">
        <v>85</v>
      </c>
    </row>
    <row r="94" spans="1:363">
      <c r="A94" s="467">
        <v>14</v>
      </c>
      <c r="B94">
        <v>-1</v>
      </c>
      <c r="C94">
        <v>-1</v>
      </c>
      <c r="D94">
        <v>-1</v>
      </c>
      <c r="E94">
        <v>-1</v>
      </c>
      <c r="F94">
        <v>28</v>
      </c>
      <c r="G94">
        <v>20</v>
      </c>
      <c r="H94">
        <v>21</v>
      </c>
      <c r="I94">
        <v>21</v>
      </c>
      <c r="J94">
        <v>0</v>
      </c>
      <c r="K94">
        <v>767</v>
      </c>
      <c r="L94">
        <v>17</v>
      </c>
      <c r="M94">
        <v>17</v>
      </c>
      <c r="N94">
        <v>17</v>
      </c>
      <c r="O94">
        <v>0</v>
      </c>
      <c r="P94">
        <v>726</v>
      </c>
      <c r="Q94">
        <v>17</v>
      </c>
      <c r="R94">
        <v>17</v>
      </c>
      <c r="S94">
        <v>17</v>
      </c>
      <c r="T94">
        <v>0</v>
      </c>
      <c r="U94">
        <v>924</v>
      </c>
      <c r="V94">
        <v>20</v>
      </c>
      <c r="W94">
        <v>20</v>
      </c>
      <c r="X94">
        <v>21</v>
      </c>
      <c r="Y94">
        <v>1</v>
      </c>
      <c r="Z94">
        <v>782</v>
      </c>
      <c r="AA94">
        <v>14</v>
      </c>
      <c r="AB94">
        <v>28</v>
      </c>
      <c r="AC94">
        <v>28</v>
      </c>
      <c r="AD94">
        <v>28</v>
      </c>
      <c r="AE94">
        <v>1</v>
      </c>
      <c r="AF94">
        <v>991</v>
      </c>
      <c r="AG94">
        <v>26</v>
      </c>
      <c r="AH94">
        <v>26</v>
      </c>
      <c r="AI94">
        <v>26</v>
      </c>
      <c r="AJ94">
        <v>1</v>
      </c>
      <c r="AK94">
        <v>1018</v>
      </c>
      <c r="AL94">
        <v>1</v>
      </c>
      <c r="AM94">
        <v>1</v>
      </c>
      <c r="AN94">
        <v>1</v>
      </c>
      <c r="AO94">
        <v>1</v>
      </c>
      <c r="AP94">
        <v>47</v>
      </c>
      <c r="AQ94" t="s">
        <v>85</v>
      </c>
      <c r="AR94" t="s">
        <v>85</v>
      </c>
      <c r="AS94" t="s">
        <v>85</v>
      </c>
      <c r="AT94" t="s">
        <v>85</v>
      </c>
      <c r="AU94" t="s">
        <v>85</v>
      </c>
      <c r="AV94" t="s">
        <v>85</v>
      </c>
      <c r="AW94" t="s">
        <v>85</v>
      </c>
      <c r="AX94" t="s">
        <v>85</v>
      </c>
      <c r="AY94" t="s">
        <v>85</v>
      </c>
      <c r="AZ94" t="s">
        <v>85</v>
      </c>
      <c r="BA94">
        <v>14</v>
      </c>
      <c r="BB94">
        <v>25</v>
      </c>
      <c r="BC94">
        <v>26</v>
      </c>
      <c r="BD94">
        <v>26</v>
      </c>
      <c r="BE94">
        <v>0</v>
      </c>
      <c r="BF94">
        <v>1018</v>
      </c>
      <c r="BG94">
        <v>35</v>
      </c>
      <c r="BH94">
        <v>34</v>
      </c>
      <c r="BI94">
        <v>33</v>
      </c>
      <c r="BJ94">
        <v>0</v>
      </c>
      <c r="BK94">
        <v>1139</v>
      </c>
      <c r="BL94">
        <v>7</v>
      </c>
      <c r="BM94">
        <v>8</v>
      </c>
      <c r="BN94">
        <v>9</v>
      </c>
      <c r="BO94">
        <v>0</v>
      </c>
      <c r="BP94">
        <v>297</v>
      </c>
      <c r="BQ94">
        <v>35</v>
      </c>
      <c r="BR94">
        <v>36</v>
      </c>
      <c r="BS94">
        <v>34</v>
      </c>
      <c r="BT94">
        <v>2</v>
      </c>
      <c r="BU94">
        <v>1503</v>
      </c>
      <c r="BV94">
        <v>38</v>
      </c>
      <c r="BW94">
        <v>40</v>
      </c>
      <c r="BX94">
        <v>37</v>
      </c>
      <c r="BY94">
        <v>0</v>
      </c>
      <c r="BZ94">
        <v>1537</v>
      </c>
      <c r="CA94">
        <v>14</v>
      </c>
      <c r="CB94" t="s">
        <v>85</v>
      </c>
      <c r="CC94" t="s">
        <v>85</v>
      </c>
      <c r="CD94" t="s">
        <v>85</v>
      </c>
      <c r="CE94" t="s">
        <v>85</v>
      </c>
      <c r="CF94">
        <v>0</v>
      </c>
      <c r="CG94">
        <v>2</v>
      </c>
      <c r="CH94">
        <v>2</v>
      </c>
      <c r="CI94">
        <v>2</v>
      </c>
      <c r="CJ94">
        <v>0</v>
      </c>
      <c r="CK94">
        <v>59</v>
      </c>
      <c r="CL94" t="s">
        <v>85</v>
      </c>
      <c r="CM94" t="s">
        <v>85</v>
      </c>
      <c r="CN94" t="s">
        <v>85</v>
      </c>
      <c r="CO94" t="s">
        <v>85</v>
      </c>
      <c r="CP94" t="s">
        <v>85</v>
      </c>
      <c r="CQ94" t="s">
        <v>85</v>
      </c>
      <c r="CR94" t="s">
        <v>85</v>
      </c>
      <c r="CS94" t="s">
        <v>85</v>
      </c>
      <c r="CT94" t="s">
        <v>85</v>
      </c>
      <c r="CU94" t="s">
        <v>85</v>
      </c>
      <c r="CV94" t="s">
        <v>85</v>
      </c>
      <c r="CW94" t="s">
        <v>85</v>
      </c>
      <c r="CX94" t="s">
        <v>85</v>
      </c>
      <c r="CY94" t="s">
        <v>85</v>
      </c>
      <c r="CZ94" t="s">
        <v>85</v>
      </c>
      <c r="DA94">
        <v>14</v>
      </c>
      <c r="DB94">
        <v>123</v>
      </c>
      <c r="DC94">
        <v>122</v>
      </c>
      <c r="DD94">
        <v>123</v>
      </c>
      <c r="DE94">
        <v>0</v>
      </c>
      <c r="DF94">
        <v>4674</v>
      </c>
      <c r="DG94">
        <v>27</v>
      </c>
      <c r="DH94">
        <v>26</v>
      </c>
      <c r="DI94">
        <v>26</v>
      </c>
      <c r="DJ94">
        <v>0</v>
      </c>
      <c r="DK94">
        <v>605</v>
      </c>
      <c r="DL94">
        <v>5</v>
      </c>
      <c r="DM94">
        <v>4</v>
      </c>
      <c r="DN94">
        <v>5</v>
      </c>
      <c r="DO94">
        <v>0</v>
      </c>
      <c r="DP94">
        <v>158</v>
      </c>
      <c r="DQ94">
        <v>0</v>
      </c>
      <c r="DR94">
        <v>0</v>
      </c>
      <c r="DS94">
        <v>0</v>
      </c>
      <c r="DT94">
        <v>0</v>
      </c>
      <c r="DU94">
        <v>0</v>
      </c>
      <c r="DV94">
        <v>0</v>
      </c>
      <c r="DW94">
        <v>0</v>
      </c>
      <c r="DX94">
        <v>0</v>
      </c>
      <c r="DY94">
        <v>0</v>
      </c>
      <c r="DZ94">
        <v>0</v>
      </c>
      <c r="EA94">
        <v>14</v>
      </c>
      <c r="EB94">
        <v>0</v>
      </c>
      <c r="EC94">
        <v>0</v>
      </c>
      <c r="ED94">
        <v>0</v>
      </c>
      <c r="EE94">
        <v>0</v>
      </c>
      <c r="EF94">
        <v>0</v>
      </c>
      <c r="EG94" t="s">
        <v>85</v>
      </c>
      <c r="EH94" t="s">
        <v>85</v>
      </c>
      <c r="EI94" t="s">
        <v>85</v>
      </c>
      <c r="EJ94" t="s">
        <v>85</v>
      </c>
      <c r="EK94" t="s">
        <v>85</v>
      </c>
      <c r="EL94" t="s">
        <v>85</v>
      </c>
      <c r="EM94" t="s">
        <v>85</v>
      </c>
      <c r="EN94" t="s">
        <v>85</v>
      </c>
      <c r="EO94" t="s">
        <v>85</v>
      </c>
      <c r="EP94" t="s">
        <v>85</v>
      </c>
      <c r="EQ94" t="s">
        <v>85</v>
      </c>
      <c r="ER94" t="s">
        <v>85</v>
      </c>
      <c r="ES94" t="s">
        <v>85</v>
      </c>
      <c r="ET94" t="s">
        <v>85</v>
      </c>
      <c r="EU94" t="s">
        <v>85</v>
      </c>
      <c r="EV94" t="s">
        <v>85</v>
      </c>
      <c r="EW94" t="s">
        <v>85</v>
      </c>
      <c r="EX94" t="s">
        <v>85</v>
      </c>
      <c r="EY94" t="s">
        <v>85</v>
      </c>
      <c r="EZ94" t="s">
        <v>85</v>
      </c>
      <c r="FA94">
        <v>14</v>
      </c>
      <c r="FB94">
        <v>127</v>
      </c>
      <c r="FC94">
        <v>128</v>
      </c>
      <c r="FD94">
        <v>127</v>
      </c>
      <c r="FE94">
        <v>0</v>
      </c>
      <c r="FF94">
        <v>4379</v>
      </c>
      <c r="FG94">
        <v>0</v>
      </c>
      <c r="FH94">
        <v>0</v>
      </c>
      <c r="FI94">
        <v>0</v>
      </c>
      <c r="FJ94">
        <v>0</v>
      </c>
      <c r="FK94">
        <v>0</v>
      </c>
      <c r="FL94">
        <v>0</v>
      </c>
      <c r="FM94">
        <v>0</v>
      </c>
      <c r="FN94">
        <v>0</v>
      </c>
      <c r="FO94">
        <v>0</v>
      </c>
      <c r="FP94">
        <v>0</v>
      </c>
      <c r="FQ94">
        <v>54</v>
      </c>
      <c r="FR94">
        <v>52</v>
      </c>
      <c r="FS94">
        <v>57</v>
      </c>
      <c r="FT94">
        <v>0</v>
      </c>
      <c r="FU94">
        <v>2225</v>
      </c>
      <c r="FV94">
        <v>30</v>
      </c>
      <c r="FW94">
        <v>30</v>
      </c>
      <c r="FX94">
        <v>31</v>
      </c>
      <c r="FY94">
        <v>0</v>
      </c>
      <c r="FZ94">
        <v>939</v>
      </c>
      <c r="GA94">
        <v>14</v>
      </c>
      <c r="GB94">
        <v>85</v>
      </c>
      <c r="GC94">
        <v>87</v>
      </c>
      <c r="GD94">
        <v>84</v>
      </c>
      <c r="GE94">
        <v>0</v>
      </c>
      <c r="GF94">
        <v>3198</v>
      </c>
      <c r="GG94" t="s">
        <v>85</v>
      </c>
      <c r="GH94" t="s">
        <v>85</v>
      </c>
      <c r="GI94" t="s">
        <v>85</v>
      </c>
      <c r="GJ94" t="s">
        <v>85</v>
      </c>
      <c r="GK94" t="s">
        <v>85</v>
      </c>
      <c r="GL94" t="s">
        <v>85</v>
      </c>
      <c r="GM94" t="s">
        <v>85</v>
      </c>
      <c r="GN94" t="s">
        <v>85</v>
      </c>
      <c r="GO94" t="s">
        <v>85</v>
      </c>
      <c r="GP94" t="s">
        <v>85</v>
      </c>
      <c r="GQ94" t="s">
        <v>85</v>
      </c>
      <c r="GR94" t="s">
        <v>85</v>
      </c>
      <c r="GS94" t="s">
        <v>85</v>
      </c>
      <c r="GT94" t="s">
        <v>85</v>
      </c>
      <c r="GU94" t="s">
        <v>85</v>
      </c>
      <c r="GV94" t="s">
        <v>85</v>
      </c>
      <c r="GW94" t="s">
        <v>85</v>
      </c>
      <c r="GX94" t="s">
        <v>85</v>
      </c>
      <c r="GY94" t="s">
        <v>85</v>
      </c>
      <c r="GZ94">
        <v>14</v>
      </c>
      <c r="HA94">
        <v>132</v>
      </c>
      <c r="HB94">
        <v>160</v>
      </c>
      <c r="HC94">
        <v>136</v>
      </c>
      <c r="HD94">
        <v>41</v>
      </c>
      <c r="HE94">
        <v>2688</v>
      </c>
      <c r="HF94">
        <v>126</v>
      </c>
      <c r="HG94">
        <v>143</v>
      </c>
      <c r="HH94">
        <v>130</v>
      </c>
      <c r="HI94">
        <v>19</v>
      </c>
      <c r="HJ94">
        <v>2156</v>
      </c>
      <c r="HK94">
        <v>115</v>
      </c>
      <c r="HL94">
        <v>83</v>
      </c>
      <c r="HM94">
        <v>113</v>
      </c>
      <c r="HN94">
        <v>50</v>
      </c>
      <c r="HO94">
        <v>2071</v>
      </c>
      <c r="HP94">
        <v>44</v>
      </c>
      <c r="HQ94">
        <v>62</v>
      </c>
      <c r="HR94">
        <v>46</v>
      </c>
      <c r="HS94">
        <v>19</v>
      </c>
      <c r="HT94">
        <v>983</v>
      </c>
      <c r="HU94">
        <v>149</v>
      </c>
      <c r="HV94">
        <v>178</v>
      </c>
      <c r="HW94">
        <v>138</v>
      </c>
      <c r="HX94">
        <v>29</v>
      </c>
      <c r="HY94">
        <v>3117</v>
      </c>
      <c r="HZ94">
        <v>14</v>
      </c>
      <c r="IA94">
        <v>119</v>
      </c>
      <c r="IB94">
        <v>120</v>
      </c>
      <c r="IC94">
        <v>93</v>
      </c>
      <c r="ID94">
        <v>47</v>
      </c>
      <c r="IE94">
        <v>2234</v>
      </c>
      <c r="IF94" t="s">
        <v>85</v>
      </c>
      <c r="IG94" t="s">
        <v>85</v>
      </c>
      <c r="IH94" t="s">
        <v>85</v>
      </c>
      <c r="II94" t="s">
        <v>85</v>
      </c>
      <c r="IJ94" t="s">
        <v>85</v>
      </c>
      <c r="IK94" t="s">
        <v>85</v>
      </c>
      <c r="IL94" t="s">
        <v>85</v>
      </c>
      <c r="IM94" t="s">
        <v>85</v>
      </c>
      <c r="IN94" t="s">
        <v>85</v>
      </c>
      <c r="IO94" t="s">
        <v>85</v>
      </c>
      <c r="IP94" t="s">
        <v>85</v>
      </c>
      <c r="IQ94" t="s">
        <v>85</v>
      </c>
      <c r="IR94" t="s">
        <v>85</v>
      </c>
      <c r="IS94" t="s">
        <v>85</v>
      </c>
      <c r="IT94" t="s">
        <v>85</v>
      </c>
      <c r="IU94" t="s">
        <v>85</v>
      </c>
      <c r="IV94" t="s">
        <v>85</v>
      </c>
      <c r="IW94" t="s">
        <v>85</v>
      </c>
      <c r="IX94" t="s">
        <v>85</v>
      </c>
      <c r="IY94" t="s">
        <v>85</v>
      </c>
      <c r="IZ94">
        <v>14</v>
      </c>
      <c r="JA94">
        <v>210</v>
      </c>
      <c r="JB94">
        <v>192</v>
      </c>
      <c r="JC94">
        <v>200</v>
      </c>
      <c r="JD94">
        <v>22</v>
      </c>
      <c r="JE94">
        <v>3637</v>
      </c>
      <c r="JF94">
        <v>162</v>
      </c>
      <c r="JG94">
        <v>141</v>
      </c>
      <c r="JH94">
        <v>136</v>
      </c>
      <c r="JI94">
        <v>41</v>
      </c>
      <c r="JJ94">
        <v>2927</v>
      </c>
      <c r="JK94">
        <v>137</v>
      </c>
      <c r="JL94">
        <v>167</v>
      </c>
      <c r="JM94">
        <v>169</v>
      </c>
      <c r="JN94">
        <v>48</v>
      </c>
      <c r="JO94">
        <v>3171</v>
      </c>
      <c r="JP94">
        <v>142</v>
      </c>
      <c r="JQ94">
        <v>134</v>
      </c>
      <c r="JR94">
        <v>126</v>
      </c>
      <c r="JS94">
        <v>37</v>
      </c>
      <c r="JT94">
        <v>2683</v>
      </c>
      <c r="JU94" t="s">
        <v>85</v>
      </c>
      <c r="JV94" t="s">
        <v>85</v>
      </c>
      <c r="JW94" t="s">
        <v>85</v>
      </c>
      <c r="JX94" t="s">
        <v>85</v>
      </c>
      <c r="JY94" t="s">
        <v>85</v>
      </c>
      <c r="JZ94">
        <v>14</v>
      </c>
      <c r="KA94">
        <v>80</v>
      </c>
      <c r="KB94">
        <v>87</v>
      </c>
      <c r="KC94">
        <v>56</v>
      </c>
      <c r="KD94">
        <v>42</v>
      </c>
      <c r="KE94">
        <v>1760</v>
      </c>
      <c r="KF94">
        <v>271</v>
      </c>
      <c r="KG94">
        <v>259</v>
      </c>
      <c r="KH94">
        <v>260</v>
      </c>
      <c r="KI94">
        <v>34</v>
      </c>
      <c r="KJ94">
        <v>5209</v>
      </c>
      <c r="KK94">
        <v>92</v>
      </c>
      <c r="KL94">
        <v>95</v>
      </c>
      <c r="KM94">
        <v>79</v>
      </c>
      <c r="KN94">
        <v>32</v>
      </c>
      <c r="KO94">
        <v>1815</v>
      </c>
      <c r="KP94">
        <v>85</v>
      </c>
      <c r="KQ94">
        <v>60</v>
      </c>
      <c r="KR94">
        <v>103</v>
      </c>
      <c r="KS94">
        <v>42</v>
      </c>
      <c r="KT94">
        <v>1481</v>
      </c>
      <c r="KU94" t="s">
        <v>85</v>
      </c>
      <c r="KV94" t="s">
        <v>85</v>
      </c>
      <c r="KW94" t="s">
        <v>85</v>
      </c>
      <c r="KX94" t="s">
        <v>85</v>
      </c>
      <c r="KY94" t="s">
        <v>85</v>
      </c>
      <c r="KZ94">
        <v>14</v>
      </c>
      <c r="LA94">
        <v>133</v>
      </c>
      <c r="LB94">
        <v>146</v>
      </c>
      <c r="LC94">
        <v>111</v>
      </c>
      <c r="LD94">
        <v>48</v>
      </c>
      <c r="LE94">
        <v>2678</v>
      </c>
      <c r="LF94">
        <v>107</v>
      </c>
      <c r="LG94">
        <v>118</v>
      </c>
      <c r="LH94">
        <v>91</v>
      </c>
      <c r="LI94">
        <v>26</v>
      </c>
      <c r="LJ94">
        <v>2230</v>
      </c>
      <c r="LK94">
        <v>147</v>
      </c>
      <c r="LL94">
        <v>145</v>
      </c>
      <c r="LM94">
        <v>151</v>
      </c>
      <c r="LN94">
        <v>33</v>
      </c>
      <c r="LO94">
        <v>2924</v>
      </c>
      <c r="LP94">
        <v>170</v>
      </c>
      <c r="LQ94">
        <v>191</v>
      </c>
      <c r="LR94">
        <v>207</v>
      </c>
      <c r="LS94">
        <v>49</v>
      </c>
      <c r="LT94">
        <v>3417</v>
      </c>
      <c r="LU94">
        <v>0</v>
      </c>
      <c r="LV94">
        <v>3</v>
      </c>
      <c r="LW94">
        <v>5</v>
      </c>
      <c r="LX94">
        <v>5</v>
      </c>
      <c r="LY94">
        <v>51</v>
      </c>
      <c r="LZ94">
        <v>14</v>
      </c>
      <c r="MA94">
        <v>104</v>
      </c>
      <c r="MB94">
        <v>141</v>
      </c>
      <c r="MC94">
        <v>101</v>
      </c>
      <c r="MD94">
        <v>45</v>
      </c>
      <c r="ME94">
        <v>2275</v>
      </c>
      <c r="MF94" t="s">
        <v>85</v>
      </c>
      <c r="MG94" t="s">
        <v>85</v>
      </c>
      <c r="MH94" t="s">
        <v>85</v>
      </c>
      <c r="MI94" t="s">
        <v>85</v>
      </c>
      <c r="MJ94" t="s">
        <v>85</v>
      </c>
      <c r="MK94" t="s">
        <v>85</v>
      </c>
      <c r="ML94" t="s">
        <v>85</v>
      </c>
      <c r="MM94" t="s">
        <v>85</v>
      </c>
      <c r="MN94" t="s">
        <v>85</v>
      </c>
      <c r="MO94" t="s">
        <v>85</v>
      </c>
      <c r="MP94" t="s">
        <v>85</v>
      </c>
      <c r="MQ94" t="s">
        <v>85</v>
      </c>
      <c r="MR94" t="s">
        <v>85</v>
      </c>
      <c r="MS94" t="s">
        <v>85</v>
      </c>
      <c r="MT94" t="s">
        <v>85</v>
      </c>
      <c r="MU94" t="s">
        <v>85</v>
      </c>
      <c r="MV94" t="s">
        <v>85</v>
      </c>
      <c r="MW94" t="s">
        <v>85</v>
      </c>
      <c r="MX94" t="s">
        <v>85</v>
      </c>
      <c r="MY94" t="s">
        <v>85</v>
      </c>
    </row>
    <row r="95" spans="1:363">
      <c r="A95" s="467">
        <v>15</v>
      </c>
      <c r="B95">
        <v>0</v>
      </c>
      <c r="C95">
        <v>-1</v>
      </c>
      <c r="D95">
        <v>0</v>
      </c>
      <c r="E95">
        <v>-1</v>
      </c>
      <c r="F95">
        <v>26</v>
      </c>
      <c r="G95">
        <v>7</v>
      </c>
      <c r="H95">
        <v>8</v>
      </c>
      <c r="I95">
        <v>8</v>
      </c>
      <c r="J95">
        <v>0</v>
      </c>
      <c r="K95">
        <v>684</v>
      </c>
      <c r="L95">
        <v>11</v>
      </c>
      <c r="M95">
        <v>11</v>
      </c>
      <c r="N95">
        <v>10</v>
      </c>
      <c r="O95">
        <v>0</v>
      </c>
      <c r="P95">
        <v>549</v>
      </c>
      <c r="Q95">
        <v>7</v>
      </c>
      <c r="R95">
        <v>7</v>
      </c>
      <c r="S95">
        <v>6</v>
      </c>
      <c r="T95">
        <v>0</v>
      </c>
      <c r="U95">
        <v>602</v>
      </c>
      <c r="V95">
        <v>14</v>
      </c>
      <c r="W95">
        <v>14</v>
      </c>
      <c r="X95">
        <v>14</v>
      </c>
      <c r="Y95">
        <v>1</v>
      </c>
      <c r="Z95">
        <v>784</v>
      </c>
      <c r="AA95">
        <v>15</v>
      </c>
      <c r="AB95">
        <v>30</v>
      </c>
      <c r="AC95">
        <v>30</v>
      </c>
      <c r="AD95">
        <v>29</v>
      </c>
      <c r="AE95">
        <v>1</v>
      </c>
      <c r="AF95">
        <v>1279</v>
      </c>
      <c r="AG95">
        <v>31</v>
      </c>
      <c r="AH95">
        <v>31</v>
      </c>
      <c r="AI95">
        <v>31</v>
      </c>
      <c r="AJ95">
        <v>1</v>
      </c>
      <c r="AK95">
        <v>1124</v>
      </c>
      <c r="AL95">
        <v>1</v>
      </c>
      <c r="AM95">
        <v>1</v>
      </c>
      <c r="AN95">
        <v>1</v>
      </c>
      <c r="AO95">
        <v>1</v>
      </c>
      <c r="AP95">
        <v>47</v>
      </c>
      <c r="AQ95" t="s">
        <v>85</v>
      </c>
      <c r="AR95" t="s">
        <v>85</v>
      </c>
      <c r="AS95" t="s">
        <v>85</v>
      </c>
      <c r="AT95" t="s">
        <v>85</v>
      </c>
      <c r="AU95" t="s">
        <v>85</v>
      </c>
      <c r="AV95" t="s">
        <v>85</v>
      </c>
      <c r="AW95" t="s">
        <v>85</v>
      </c>
      <c r="AX95" t="s">
        <v>85</v>
      </c>
      <c r="AY95" t="s">
        <v>85</v>
      </c>
      <c r="AZ95" t="s">
        <v>85</v>
      </c>
      <c r="BA95">
        <v>15</v>
      </c>
      <c r="BB95">
        <v>25</v>
      </c>
      <c r="BC95">
        <v>26</v>
      </c>
      <c r="BD95">
        <v>26</v>
      </c>
      <c r="BE95">
        <v>0</v>
      </c>
      <c r="BF95">
        <v>1019</v>
      </c>
      <c r="BG95">
        <v>26</v>
      </c>
      <c r="BH95">
        <v>24</v>
      </c>
      <c r="BI95">
        <v>24</v>
      </c>
      <c r="BJ95">
        <v>0</v>
      </c>
      <c r="BK95">
        <v>1165</v>
      </c>
      <c r="BL95">
        <v>8</v>
      </c>
      <c r="BM95">
        <v>8</v>
      </c>
      <c r="BN95">
        <v>10</v>
      </c>
      <c r="BO95">
        <v>0</v>
      </c>
      <c r="BP95">
        <v>320</v>
      </c>
      <c r="BQ95">
        <v>37</v>
      </c>
      <c r="BR95">
        <v>39</v>
      </c>
      <c r="BS95">
        <v>36</v>
      </c>
      <c r="BT95">
        <v>2</v>
      </c>
      <c r="BU95">
        <v>1483</v>
      </c>
      <c r="BV95">
        <v>37</v>
      </c>
      <c r="BW95">
        <v>39</v>
      </c>
      <c r="BX95">
        <v>36</v>
      </c>
      <c r="BY95">
        <v>0</v>
      </c>
      <c r="BZ95">
        <v>1453</v>
      </c>
      <c r="CA95">
        <v>15</v>
      </c>
      <c r="CB95" t="s">
        <v>85</v>
      </c>
      <c r="CC95" t="s">
        <v>85</v>
      </c>
      <c r="CD95" t="s">
        <v>85</v>
      </c>
      <c r="CE95" t="s">
        <v>85</v>
      </c>
      <c r="CF95">
        <v>0</v>
      </c>
      <c r="CG95">
        <v>2</v>
      </c>
      <c r="CH95">
        <v>2</v>
      </c>
      <c r="CI95">
        <v>2</v>
      </c>
      <c r="CJ95">
        <v>0</v>
      </c>
      <c r="CK95">
        <v>59</v>
      </c>
      <c r="CL95" t="s">
        <v>85</v>
      </c>
      <c r="CM95" t="s">
        <v>85</v>
      </c>
      <c r="CN95" t="s">
        <v>85</v>
      </c>
      <c r="CO95" t="s">
        <v>85</v>
      </c>
      <c r="CP95" t="s">
        <v>85</v>
      </c>
      <c r="CQ95" t="s">
        <v>85</v>
      </c>
      <c r="CR95" t="s">
        <v>85</v>
      </c>
      <c r="CS95" t="s">
        <v>85</v>
      </c>
      <c r="CT95" t="s">
        <v>85</v>
      </c>
      <c r="CU95" t="s">
        <v>85</v>
      </c>
      <c r="CV95" t="s">
        <v>85</v>
      </c>
      <c r="CW95" t="s">
        <v>85</v>
      </c>
      <c r="CX95" t="s">
        <v>85</v>
      </c>
      <c r="CY95" t="s">
        <v>85</v>
      </c>
      <c r="CZ95" t="s">
        <v>85</v>
      </c>
      <c r="DA95">
        <v>15</v>
      </c>
      <c r="DB95">
        <v>116</v>
      </c>
      <c r="DC95">
        <v>115</v>
      </c>
      <c r="DD95">
        <v>114</v>
      </c>
      <c r="DE95">
        <v>0</v>
      </c>
      <c r="DF95">
        <v>4380</v>
      </c>
      <c r="DG95">
        <v>33</v>
      </c>
      <c r="DH95">
        <v>33</v>
      </c>
      <c r="DI95">
        <v>33</v>
      </c>
      <c r="DJ95">
        <v>0</v>
      </c>
      <c r="DK95">
        <v>727</v>
      </c>
      <c r="DL95">
        <v>23</v>
      </c>
      <c r="DM95">
        <v>22</v>
      </c>
      <c r="DN95">
        <v>21</v>
      </c>
      <c r="DO95">
        <v>0</v>
      </c>
      <c r="DP95">
        <v>495</v>
      </c>
      <c r="DQ95">
        <v>0</v>
      </c>
      <c r="DR95">
        <v>0</v>
      </c>
      <c r="DS95">
        <v>0</v>
      </c>
      <c r="DT95">
        <v>0</v>
      </c>
      <c r="DU95">
        <v>0</v>
      </c>
      <c r="DV95">
        <v>0</v>
      </c>
      <c r="DW95">
        <v>0</v>
      </c>
      <c r="DX95">
        <v>0</v>
      </c>
      <c r="DY95">
        <v>0</v>
      </c>
      <c r="DZ95">
        <v>0</v>
      </c>
      <c r="EA95">
        <v>15</v>
      </c>
      <c r="EB95">
        <v>0</v>
      </c>
      <c r="EC95">
        <v>0</v>
      </c>
      <c r="ED95">
        <v>0</v>
      </c>
      <c r="EE95">
        <v>0</v>
      </c>
      <c r="EF95">
        <v>0</v>
      </c>
      <c r="EG95" t="s">
        <v>85</v>
      </c>
      <c r="EH95" t="s">
        <v>85</v>
      </c>
      <c r="EI95" t="s">
        <v>85</v>
      </c>
      <c r="EJ95" t="s">
        <v>85</v>
      </c>
      <c r="EK95" t="s">
        <v>85</v>
      </c>
      <c r="EL95" t="s">
        <v>85</v>
      </c>
      <c r="EM95" t="s">
        <v>85</v>
      </c>
      <c r="EN95" t="s">
        <v>85</v>
      </c>
      <c r="EO95" t="s">
        <v>85</v>
      </c>
      <c r="EP95" t="s">
        <v>85</v>
      </c>
      <c r="EQ95" t="s">
        <v>85</v>
      </c>
      <c r="ER95" t="s">
        <v>85</v>
      </c>
      <c r="ES95" t="s">
        <v>85</v>
      </c>
      <c r="ET95" t="s">
        <v>85</v>
      </c>
      <c r="EU95" t="s">
        <v>85</v>
      </c>
      <c r="EV95" t="s">
        <v>85</v>
      </c>
      <c r="EW95" t="s">
        <v>85</v>
      </c>
      <c r="EX95" t="s">
        <v>85</v>
      </c>
      <c r="EY95" t="s">
        <v>85</v>
      </c>
      <c r="EZ95" t="s">
        <v>85</v>
      </c>
      <c r="FA95">
        <v>15</v>
      </c>
      <c r="FB95">
        <v>108</v>
      </c>
      <c r="FC95">
        <v>108</v>
      </c>
      <c r="FD95">
        <v>108</v>
      </c>
      <c r="FE95">
        <v>0</v>
      </c>
      <c r="FF95">
        <v>4534</v>
      </c>
      <c r="FG95">
        <v>0</v>
      </c>
      <c r="FH95">
        <v>0</v>
      </c>
      <c r="FI95">
        <v>0</v>
      </c>
      <c r="FJ95">
        <v>0</v>
      </c>
      <c r="FK95">
        <v>0</v>
      </c>
      <c r="FL95">
        <v>0</v>
      </c>
      <c r="FM95">
        <v>0</v>
      </c>
      <c r="FN95">
        <v>0</v>
      </c>
      <c r="FO95">
        <v>0</v>
      </c>
      <c r="FP95">
        <v>0</v>
      </c>
      <c r="FQ95">
        <v>56</v>
      </c>
      <c r="FR95">
        <v>53</v>
      </c>
      <c r="FS95">
        <v>57</v>
      </c>
      <c r="FT95">
        <v>0</v>
      </c>
      <c r="FU95">
        <v>2204</v>
      </c>
      <c r="FV95">
        <v>29</v>
      </c>
      <c r="FW95">
        <v>30</v>
      </c>
      <c r="FX95">
        <v>30</v>
      </c>
      <c r="FY95">
        <v>0</v>
      </c>
      <c r="FZ95">
        <v>1180</v>
      </c>
      <c r="GA95">
        <v>15</v>
      </c>
      <c r="GB95">
        <v>81</v>
      </c>
      <c r="GC95">
        <v>84</v>
      </c>
      <c r="GD95">
        <v>82</v>
      </c>
      <c r="GE95">
        <v>0</v>
      </c>
      <c r="GF95">
        <v>3303</v>
      </c>
      <c r="GG95" t="s">
        <v>85</v>
      </c>
      <c r="GH95" t="s">
        <v>85</v>
      </c>
      <c r="GI95" t="s">
        <v>85</v>
      </c>
      <c r="GJ95" t="s">
        <v>85</v>
      </c>
      <c r="GK95" t="s">
        <v>85</v>
      </c>
      <c r="GL95" t="s">
        <v>85</v>
      </c>
      <c r="GM95" t="s">
        <v>85</v>
      </c>
      <c r="GN95" t="s">
        <v>85</v>
      </c>
      <c r="GO95" t="s">
        <v>85</v>
      </c>
      <c r="GP95" t="s">
        <v>85</v>
      </c>
      <c r="GQ95" t="s">
        <v>85</v>
      </c>
      <c r="GR95" t="s">
        <v>85</v>
      </c>
      <c r="GS95" t="s">
        <v>85</v>
      </c>
      <c r="GT95" t="s">
        <v>85</v>
      </c>
      <c r="GU95" t="s">
        <v>85</v>
      </c>
      <c r="GV95" t="s">
        <v>85</v>
      </c>
      <c r="GW95" t="s">
        <v>85</v>
      </c>
      <c r="GX95" t="s">
        <v>85</v>
      </c>
      <c r="GY95" t="s">
        <v>85</v>
      </c>
      <c r="GZ95">
        <v>15</v>
      </c>
      <c r="HA95">
        <v>123</v>
      </c>
      <c r="HB95">
        <v>157</v>
      </c>
      <c r="HC95">
        <v>126</v>
      </c>
      <c r="HD95">
        <v>46</v>
      </c>
      <c r="HE95">
        <v>2592</v>
      </c>
      <c r="HF95">
        <v>161</v>
      </c>
      <c r="HG95">
        <v>177</v>
      </c>
      <c r="HH95">
        <v>163</v>
      </c>
      <c r="HI95">
        <v>19</v>
      </c>
      <c r="HJ95">
        <v>2812</v>
      </c>
      <c r="HK95">
        <v>105</v>
      </c>
      <c r="HL95">
        <v>89</v>
      </c>
      <c r="HM95">
        <v>120</v>
      </c>
      <c r="HN95">
        <v>46</v>
      </c>
      <c r="HO95">
        <v>2049</v>
      </c>
      <c r="HP95">
        <v>47</v>
      </c>
      <c r="HQ95">
        <v>61</v>
      </c>
      <c r="HR95">
        <v>48</v>
      </c>
      <c r="HS95">
        <v>15</v>
      </c>
      <c r="HT95">
        <v>1007</v>
      </c>
      <c r="HU95">
        <v>159</v>
      </c>
      <c r="HV95">
        <v>176</v>
      </c>
      <c r="HW95">
        <v>150</v>
      </c>
      <c r="HX95">
        <v>19</v>
      </c>
      <c r="HY95">
        <v>3104</v>
      </c>
      <c r="HZ95">
        <v>15</v>
      </c>
      <c r="IA95">
        <v>116</v>
      </c>
      <c r="IB95">
        <v>109</v>
      </c>
      <c r="IC95">
        <v>88</v>
      </c>
      <c r="ID95">
        <v>41</v>
      </c>
      <c r="IE95">
        <v>2228</v>
      </c>
      <c r="IF95" t="s">
        <v>85</v>
      </c>
      <c r="IG95" t="s">
        <v>85</v>
      </c>
      <c r="IH95" t="s">
        <v>85</v>
      </c>
      <c r="II95" t="s">
        <v>85</v>
      </c>
      <c r="IJ95" t="s">
        <v>85</v>
      </c>
      <c r="IK95" t="s">
        <v>85</v>
      </c>
      <c r="IL95" t="s">
        <v>85</v>
      </c>
      <c r="IM95" t="s">
        <v>85</v>
      </c>
      <c r="IN95" t="s">
        <v>85</v>
      </c>
      <c r="IO95" t="s">
        <v>85</v>
      </c>
      <c r="IP95" t="s">
        <v>85</v>
      </c>
      <c r="IQ95" t="s">
        <v>85</v>
      </c>
      <c r="IR95" t="s">
        <v>85</v>
      </c>
      <c r="IS95" t="s">
        <v>85</v>
      </c>
      <c r="IT95" t="s">
        <v>85</v>
      </c>
      <c r="IU95" t="s">
        <v>85</v>
      </c>
      <c r="IV95" t="s">
        <v>85</v>
      </c>
      <c r="IW95" t="s">
        <v>85</v>
      </c>
      <c r="IX95" t="s">
        <v>85</v>
      </c>
      <c r="IY95" t="s">
        <v>85</v>
      </c>
      <c r="IZ95">
        <v>15</v>
      </c>
      <c r="JA95">
        <v>207</v>
      </c>
      <c r="JB95">
        <v>183</v>
      </c>
      <c r="JC95">
        <v>194</v>
      </c>
      <c r="JD95">
        <v>26</v>
      </c>
      <c r="JE95">
        <v>3808</v>
      </c>
      <c r="JF95">
        <v>152</v>
      </c>
      <c r="JG95">
        <v>141</v>
      </c>
      <c r="JH95">
        <v>135</v>
      </c>
      <c r="JI95">
        <v>36</v>
      </c>
      <c r="JJ95">
        <v>2914</v>
      </c>
      <c r="JK95">
        <v>127</v>
      </c>
      <c r="JL95">
        <v>154</v>
      </c>
      <c r="JM95">
        <v>159</v>
      </c>
      <c r="JN95">
        <v>44</v>
      </c>
      <c r="JO95">
        <v>3110</v>
      </c>
      <c r="JP95">
        <v>143</v>
      </c>
      <c r="JQ95">
        <v>132</v>
      </c>
      <c r="JR95">
        <v>119</v>
      </c>
      <c r="JS95">
        <v>41</v>
      </c>
      <c r="JT95">
        <v>2724</v>
      </c>
      <c r="JU95" t="s">
        <v>85</v>
      </c>
      <c r="JV95" t="s">
        <v>85</v>
      </c>
      <c r="JW95" t="s">
        <v>85</v>
      </c>
      <c r="JX95" t="s">
        <v>85</v>
      </c>
      <c r="JY95" t="s">
        <v>85</v>
      </c>
      <c r="JZ95">
        <v>15</v>
      </c>
      <c r="KA95">
        <v>140</v>
      </c>
      <c r="KB95">
        <v>138</v>
      </c>
      <c r="KC95">
        <v>114</v>
      </c>
      <c r="KD95">
        <v>37</v>
      </c>
      <c r="KE95">
        <v>2013</v>
      </c>
      <c r="KF95">
        <v>281</v>
      </c>
      <c r="KG95">
        <v>274</v>
      </c>
      <c r="KH95">
        <v>279</v>
      </c>
      <c r="KI95">
        <v>34</v>
      </c>
      <c r="KJ95">
        <v>5394</v>
      </c>
      <c r="KK95">
        <v>95</v>
      </c>
      <c r="KL95">
        <v>91</v>
      </c>
      <c r="KM95">
        <v>78</v>
      </c>
      <c r="KN95">
        <v>31</v>
      </c>
      <c r="KO95">
        <v>1789</v>
      </c>
      <c r="KP95">
        <v>104</v>
      </c>
      <c r="KQ95">
        <v>80</v>
      </c>
      <c r="KR95">
        <v>115</v>
      </c>
      <c r="KS95">
        <v>32</v>
      </c>
      <c r="KT95">
        <v>1679</v>
      </c>
      <c r="KU95" t="s">
        <v>85</v>
      </c>
      <c r="KV95" t="s">
        <v>85</v>
      </c>
      <c r="KW95" t="s">
        <v>85</v>
      </c>
      <c r="KX95" t="s">
        <v>85</v>
      </c>
      <c r="KY95" t="s">
        <v>85</v>
      </c>
      <c r="KZ95">
        <v>15</v>
      </c>
      <c r="LA95">
        <v>134</v>
      </c>
      <c r="LB95">
        <v>158</v>
      </c>
      <c r="LC95">
        <v>116</v>
      </c>
      <c r="LD95">
        <v>54</v>
      </c>
      <c r="LE95">
        <v>2641</v>
      </c>
      <c r="LF95">
        <v>116</v>
      </c>
      <c r="LG95">
        <v>126</v>
      </c>
      <c r="LH95">
        <v>106</v>
      </c>
      <c r="LI95">
        <v>20</v>
      </c>
      <c r="LJ95">
        <v>2264</v>
      </c>
      <c r="LK95">
        <v>139</v>
      </c>
      <c r="LL95">
        <v>136</v>
      </c>
      <c r="LM95">
        <v>135</v>
      </c>
      <c r="LN95">
        <v>35</v>
      </c>
      <c r="LO95">
        <v>2922</v>
      </c>
      <c r="LP95">
        <v>165</v>
      </c>
      <c r="LQ95">
        <v>189</v>
      </c>
      <c r="LR95">
        <v>205</v>
      </c>
      <c r="LS95">
        <v>57</v>
      </c>
      <c r="LT95">
        <v>3420</v>
      </c>
      <c r="LU95">
        <v>0</v>
      </c>
      <c r="LV95">
        <v>3</v>
      </c>
      <c r="LW95">
        <v>6</v>
      </c>
      <c r="LX95">
        <v>6</v>
      </c>
      <c r="LY95">
        <v>52</v>
      </c>
      <c r="LZ95">
        <v>15</v>
      </c>
      <c r="MA95">
        <v>103</v>
      </c>
      <c r="MB95">
        <v>131</v>
      </c>
      <c r="MC95">
        <v>100</v>
      </c>
      <c r="MD95">
        <v>33</v>
      </c>
      <c r="ME95">
        <v>2313</v>
      </c>
      <c r="MF95" t="s">
        <v>85</v>
      </c>
      <c r="MG95" t="s">
        <v>85</v>
      </c>
      <c r="MH95" t="s">
        <v>85</v>
      </c>
      <c r="MI95" t="s">
        <v>85</v>
      </c>
      <c r="MJ95" t="s">
        <v>85</v>
      </c>
      <c r="MK95" t="s">
        <v>85</v>
      </c>
      <c r="ML95" t="s">
        <v>85</v>
      </c>
      <c r="MM95" t="s">
        <v>85</v>
      </c>
      <c r="MN95" t="s">
        <v>85</v>
      </c>
      <c r="MO95" t="s">
        <v>85</v>
      </c>
      <c r="MP95" t="s">
        <v>85</v>
      </c>
      <c r="MQ95" t="s">
        <v>85</v>
      </c>
      <c r="MR95" t="s">
        <v>85</v>
      </c>
      <c r="MS95" t="s">
        <v>85</v>
      </c>
      <c r="MT95" t="s">
        <v>85</v>
      </c>
      <c r="MU95" t="s">
        <v>85</v>
      </c>
      <c r="MV95" t="s">
        <v>85</v>
      </c>
      <c r="MW95" t="s">
        <v>85</v>
      </c>
      <c r="MX95" t="s">
        <v>85</v>
      </c>
      <c r="MY95" t="s">
        <v>85</v>
      </c>
    </row>
    <row r="96" spans="1:363">
      <c r="A96" s="467">
        <v>16</v>
      </c>
      <c r="B96">
        <v>-1</v>
      </c>
      <c r="C96">
        <v>-1</v>
      </c>
      <c r="D96">
        <v>0</v>
      </c>
      <c r="E96">
        <v>-1</v>
      </c>
      <c r="F96">
        <v>26</v>
      </c>
      <c r="G96">
        <v>8</v>
      </c>
      <c r="H96">
        <v>9</v>
      </c>
      <c r="I96">
        <v>10</v>
      </c>
      <c r="J96">
        <v>0</v>
      </c>
      <c r="K96">
        <v>365</v>
      </c>
      <c r="L96">
        <v>10</v>
      </c>
      <c r="M96">
        <v>11</v>
      </c>
      <c r="N96">
        <v>10</v>
      </c>
      <c r="O96">
        <v>0</v>
      </c>
      <c r="P96">
        <v>317</v>
      </c>
      <c r="Q96">
        <v>6</v>
      </c>
      <c r="R96">
        <v>5</v>
      </c>
      <c r="S96">
        <v>5</v>
      </c>
      <c r="T96">
        <v>0</v>
      </c>
      <c r="U96">
        <v>422</v>
      </c>
      <c r="V96">
        <v>13</v>
      </c>
      <c r="W96">
        <v>14</v>
      </c>
      <c r="X96">
        <v>13</v>
      </c>
      <c r="Y96">
        <v>1</v>
      </c>
      <c r="Z96">
        <v>134</v>
      </c>
      <c r="AA96">
        <v>16</v>
      </c>
      <c r="AB96">
        <v>23</v>
      </c>
      <c r="AC96">
        <v>23</v>
      </c>
      <c r="AD96">
        <v>23</v>
      </c>
      <c r="AE96">
        <v>1</v>
      </c>
      <c r="AF96">
        <v>901</v>
      </c>
      <c r="AG96">
        <v>23</v>
      </c>
      <c r="AH96">
        <v>23</v>
      </c>
      <c r="AI96">
        <v>23</v>
      </c>
      <c r="AJ96">
        <v>1</v>
      </c>
      <c r="AK96">
        <v>1043</v>
      </c>
      <c r="AL96">
        <v>1</v>
      </c>
      <c r="AM96">
        <v>1</v>
      </c>
      <c r="AN96">
        <v>1</v>
      </c>
      <c r="AO96">
        <v>1</v>
      </c>
      <c r="AP96">
        <v>47</v>
      </c>
      <c r="AQ96" t="s">
        <v>85</v>
      </c>
      <c r="AR96" t="s">
        <v>85</v>
      </c>
      <c r="AS96" t="s">
        <v>85</v>
      </c>
      <c r="AT96" t="s">
        <v>85</v>
      </c>
      <c r="AU96" t="s">
        <v>85</v>
      </c>
      <c r="AV96" t="s">
        <v>85</v>
      </c>
      <c r="AW96" t="s">
        <v>85</v>
      </c>
      <c r="AX96" t="s">
        <v>85</v>
      </c>
      <c r="AY96" t="s">
        <v>85</v>
      </c>
      <c r="AZ96" t="s">
        <v>85</v>
      </c>
      <c r="BA96">
        <v>16</v>
      </c>
      <c r="BB96">
        <v>24</v>
      </c>
      <c r="BC96">
        <v>25</v>
      </c>
      <c r="BD96">
        <v>25</v>
      </c>
      <c r="BE96">
        <v>0</v>
      </c>
      <c r="BF96">
        <v>986</v>
      </c>
      <c r="BG96">
        <v>16</v>
      </c>
      <c r="BH96">
        <v>14</v>
      </c>
      <c r="BI96">
        <v>14</v>
      </c>
      <c r="BJ96">
        <v>0</v>
      </c>
      <c r="BK96">
        <v>735</v>
      </c>
      <c r="BL96">
        <v>37</v>
      </c>
      <c r="BM96">
        <v>35</v>
      </c>
      <c r="BN96">
        <v>37</v>
      </c>
      <c r="BO96">
        <v>0</v>
      </c>
      <c r="BP96">
        <v>493</v>
      </c>
      <c r="BQ96">
        <v>62</v>
      </c>
      <c r="BR96">
        <v>65</v>
      </c>
      <c r="BS96">
        <v>62</v>
      </c>
      <c r="BT96">
        <v>2</v>
      </c>
      <c r="BU96">
        <v>1954</v>
      </c>
      <c r="BV96">
        <v>44</v>
      </c>
      <c r="BW96">
        <v>46</v>
      </c>
      <c r="BX96">
        <v>44</v>
      </c>
      <c r="BY96">
        <v>0</v>
      </c>
      <c r="BZ96">
        <v>1650</v>
      </c>
      <c r="CA96">
        <v>16</v>
      </c>
      <c r="CB96" t="s">
        <v>85</v>
      </c>
      <c r="CC96" t="s">
        <v>85</v>
      </c>
      <c r="CD96" t="s">
        <v>85</v>
      </c>
      <c r="CE96" t="s">
        <v>85</v>
      </c>
      <c r="CF96">
        <v>0</v>
      </c>
      <c r="CG96">
        <v>2</v>
      </c>
      <c r="CH96">
        <v>2</v>
      </c>
      <c r="CI96">
        <v>2</v>
      </c>
      <c r="CJ96">
        <v>0</v>
      </c>
      <c r="CK96">
        <v>58</v>
      </c>
      <c r="CL96" t="s">
        <v>85</v>
      </c>
      <c r="CM96" t="s">
        <v>85</v>
      </c>
      <c r="CN96" t="s">
        <v>85</v>
      </c>
      <c r="CO96" t="s">
        <v>85</v>
      </c>
      <c r="CP96" t="s">
        <v>85</v>
      </c>
      <c r="CQ96" t="s">
        <v>85</v>
      </c>
      <c r="CR96" t="s">
        <v>85</v>
      </c>
      <c r="CS96" t="s">
        <v>85</v>
      </c>
      <c r="CT96" t="s">
        <v>85</v>
      </c>
      <c r="CU96" t="s">
        <v>85</v>
      </c>
      <c r="CV96" t="s">
        <v>85</v>
      </c>
      <c r="CW96" t="s">
        <v>85</v>
      </c>
      <c r="CX96" t="s">
        <v>85</v>
      </c>
      <c r="CY96" t="s">
        <v>85</v>
      </c>
      <c r="CZ96" t="s">
        <v>85</v>
      </c>
      <c r="DA96">
        <v>16</v>
      </c>
      <c r="DB96">
        <v>145</v>
      </c>
      <c r="DC96">
        <v>146</v>
      </c>
      <c r="DD96">
        <v>145</v>
      </c>
      <c r="DE96">
        <v>0</v>
      </c>
      <c r="DF96">
        <v>4945</v>
      </c>
      <c r="DG96">
        <v>50</v>
      </c>
      <c r="DH96">
        <v>49</v>
      </c>
      <c r="DI96">
        <v>50</v>
      </c>
      <c r="DJ96">
        <v>0</v>
      </c>
      <c r="DK96">
        <v>1246</v>
      </c>
      <c r="DL96">
        <v>44</v>
      </c>
      <c r="DM96">
        <v>43</v>
      </c>
      <c r="DN96">
        <v>43</v>
      </c>
      <c r="DO96">
        <v>0</v>
      </c>
      <c r="DP96">
        <v>1098</v>
      </c>
      <c r="DQ96">
        <v>0</v>
      </c>
      <c r="DR96">
        <v>0</v>
      </c>
      <c r="DS96">
        <v>0</v>
      </c>
      <c r="DT96">
        <v>0</v>
      </c>
      <c r="DU96">
        <v>0</v>
      </c>
      <c r="DV96">
        <v>0</v>
      </c>
      <c r="DW96">
        <v>0</v>
      </c>
      <c r="DX96">
        <v>0</v>
      </c>
      <c r="DY96">
        <v>0</v>
      </c>
      <c r="DZ96">
        <v>0</v>
      </c>
      <c r="EA96">
        <v>16</v>
      </c>
      <c r="EB96">
        <v>0</v>
      </c>
      <c r="EC96">
        <v>0</v>
      </c>
      <c r="ED96">
        <v>0</v>
      </c>
      <c r="EE96">
        <v>0</v>
      </c>
      <c r="EF96">
        <v>0</v>
      </c>
      <c r="EG96" t="s">
        <v>85</v>
      </c>
      <c r="EH96" t="s">
        <v>85</v>
      </c>
      <c r="EI96" t="s">
        <v>85</v>
      </c>
      <c r="EJ96" t="s">
        <v>85</v>
      </c>
      <c r="EK96" t="s">
        <v>85</v>
      </c>
      <c r="EL96" t="s">
        <v>85</v>
      </c>
      <c r="EM96" t="s">
        <v>85</v>
      </c>
      <c r="EN96" t="s">
        <v>85</v>
      </c>
      <c r="EO96" t="s">
        <v>85</v>
      </c>
      <c r="EP96" t="s">
        <v>85</v>
      </c>
      <c r="EQ96" t="s">
        <v>85</v>
      </c>
      <c r="ER96" t="s">
        <v>85</v>
      </c>
      <c r="ES96" t="s">
        <v>85</v>
      </c>
      <c r="ET96" t="s">
        <v>85</v>
      </c>
      <c r="EU96" t="s">
        <v>85</v>
      </c>
      <c r="EV96" t="s">
        <v>85</v>
      </c>
      <c r="EW96" t="s">
        <v>85</v>
      </c>
      <c r="EX96" t="s">
        <v>85</v>
      </c>
      <c r="EY96" t="s">
        <v>85</v>
      </c>
      <c r="EZ96" t="s">
        <v>85</v>
      </c>
      <c r="FA96">
        <v>16</v>
      </c>
      <c r="FB96">
        <v>25</v>
      </c>
      <c r="FC96">
        <v>25</v>
      </c>
      <c r="FD96">
        <v>25</v>
      </c>
      <c r="FE96">
        <v>0</v>
      </c>
      <c r="FF96">
        <v>2698</v>
      </c>
      <c r="FG96">
        <v>0</v>
      </c>
      <c r="FH96">
        <v>0</v>
      </c>
      <c r="FI96">
        <v>0</v>
      </c>
      <c r="FJ96">
        <v>0</v>
      </c>
      <c r="FK96">
        <v>0</v>
      </c>
      <c r="FL96">
        <v>0</v>
      </c>
      <c r="FM96">
        <v>0</v>
      </c>
      <c r="FN96">
        <v>0</v>
      </c>
      <c r="FO96">
        <v>0</v>
      </c>
      <c r="FP96">
        <v>0</v>
      </c>
      <c r="FQ96">
        <v>56</v>
      </c>
      <c r="FR96">
        <v>55</v>
      </c>
      <c r="FS96">
        <v>59</v>
      </c>
      <c r="FT96">
        <v>0</v>
      </c>
      <c r="FU96">
        <v>2225</v>
      </c>
      <c r="FV96">
        <v>18</v>
      </c>
      <c r="FW96">
        <v>17</v>
      </c>
      <c r="FX96">
        <v>17</v>
      </c>
      <c r="FY96">
        <v>0</v>
      </c>
      <c r="FZ96">
        <v>800</v>
      </c>
      <c r="GA96">
        <v>16</v>
      </c>
      <c r="GB96">
        <v>101</v>
      </c>
      <c r="GC96">
        <v>104</v>
      </c>
      <c r="GD96">
        <v>103</v>
      </c>
      <c r="GE96">
        <v>0</v>
      </c>
      <c r="GF96">
        <v>3609</v>
      </c>
      <c r="GG96" t="s">
        <v>85</v>
      </c>
      <c r="GH96" t="s">
        <v>85</v>
      </c>
      <c r="GI96" t="s">
        <v>85</v>
      </c>
      <c r="GJ96" t="s">
        <v>85</v>
      </c>
      <c r="GK96" t="s">
        <v>85</v>
      </c>
      <c r="GL96" t="s">
        <v>85</v>
      </c>
      <c r="GM96" t="s">
        <v>85</v>
      </c>
      <c r="GN96" t="s">
        <v>85</v>
      </c>
      <c r="GO96" t="s">
        <v>85</v>
      </c>
      <c r="GP96" t="s">
        <v>85</v>
      </c>
      <c r="GQ96" t="s">
        <v>85</v>
      </c>
      <c r="GR96" t="s">
        <v>85</v>
      </c>
      <c r="GS96" t="s">
        <v>85</v>
      </c>
      <c r="GT96" t="s">
        <v>85</v>
      </c>
      <c r="GU96" t="s">
        <v>85</v>
      </c>
      <c r="GV96" t="s">
        <v>85</v>
      </c>
      <c r="GW96" t="s">
        <v>85</v>
      </c>
      <c r="GX96" t="s">
        <v>85</v>
      </c>
      <c r="GY96" t="s">
        <v>85</v>
      </c>
      <c r="GZ96">
        <v>16</v>
      </c>
      <c r="HA96">
        <v>122</v>
      </c>
      <c r="HB96">
        <v>147</v>
      </c>
      <c r="HC96">
        <v>126</v>
      </c>
      <c r="HD96">
        <v>34</v>
      </c>
      <c r="HE96">
        <v>2595</v>
      </c>
      <c r="HF96">
        <v>166</v>
      </c>
      <c r="HG96">
        <v>183</v>
      </c>
      <c r="HH96">
        <v>169</v>
      </c>
      <c r="HI96">
        <v>20</v>
      </c>
      <c r="HJ96">
        <v>3427</v>
      </c>
      <c r="HK96">
        <v>98</v>
      </c>
      <c r="HL96">
        <v>83</v>
      </c>
      <c r="HM96">
        <v>115</v>
      </c>
      <c r="HN96">
        <v>45</v>
      </c>
      <c r="HO96">
        <v>2017</v>
      </c>
      <c r="HP96">
        <v>38</v>
      </c>
      <c r="HQ96">
        <v>54</v>
      </c>
      <c r="HR96">
        <v>42</v>
      </c>
      <c r="HS96">
        <v>15</v>
      </c>
      <c r="HT96">
        <v>980</v>
      </c>
      <c r="HU96">
        <v>148</v>
      </c>
      <c r="HV96">
        <v>167</v>
      </c>
      <c r="HW96">
        <v>147</v>
      </c>
      <c r="HX96">
        <v>18</v>
      </c>
      <c r="HY96">
        <v>3150</v>
      </c>
      <c r="HZ96">
        <v>16</v>
      </c>
      <c r="IA96">
        <v>108</v>
      </c>
      <c r="IB96">
        <v>114</v>
      </c>
      <c r="IC96">
        <v>83</v>
      </c>
      <c r="ID96">
        <v>46</v>
      </c>
      <c r="IE96">
        <v>2081</v>
      </c>
      <c r="IF96" t="s">
        <v>85</v>
      </c>
      <c r="IG96" t="s">
        <v>85</v>
      </c>
      <c r="IH96" t="s">
        <v>85</v>
      </c>
      <c r="II96" t="s">
        <v>85</v>
      </c>
      <c r="IJ96" t="s">
        <v>85</v>
      </c>
      <c r="IK96" t="s">
        <v>85</v>
      </c>
      <c r="IL96" t="s">
        <v>85</v>
      </c>
      <c r="IM96" t="s">
        <v>85</v>
      </c>
      <c r="IN96" t="s">
        <v>85</v>
      </c>
      <c r="IO96" t="s">
        <v>85</v>
      </c>
      <c r="IP96" t="s">
        <v>85</v>
      </c>
      <c r="IQ96" t="s">
        <v>85</v>
      </c>
      <c r="IR96" t="s">
        <v>85</v>
      </c>
      <c r="IS96" t="s">
        <v>85</v>
      </c>
      <c r="IT96" t="s">
        <v>85</v>
      </c>
      <c r="IU96" t="s">
        <v>85</v>
      </c>
      <c r="IV96" t="s">
        <v>85</v>
      </c>
      <c r="IW96" t="s">
        <v>85</v>
      </c>
      <c r="IX96" t="s">
        <v>85</v>
      </c>
      <c r="IY96" t="s">
        <v>85</v>
      </c>
      <c r="IZ96">
        <v>16</v>
      </c>
      <c r="JA96">
        <v>205</v>
      </c>
      <c r="JB96">
        <v>176</v>
      </c>
      <c r="JC96">
        <v>190</v>
      </c>
      <c r="JD96">
        <v>31</v>
      </c>
      <c r="JE96">
        <v>3861</v>
      </c>
      <c r="JF96">
        <v>133</v>
      </c>
      <c r="JG96">
        <v>131</v>
      </c>
      <c r="JH96">
        <v>114</v>
      </c>
      <c r="JI96">
        <v>46</v>
      </c>
      <c r="JJ96">
        <v>2701</v>
      </c>
      <c r="JK96">
        <v>123</v>
      </c>
      <c r="JL96">
        <v>149</v>
      </c>
      <c r="JM96">
        <v>155</v>
      </c>
      <c r="JN96">
        <v>45</v>
      </c>
      <c r="JO96">
        <v>2920</v>
      </c>
      <c r="JP96">
        <v>136</v>
      </c>
      <c r="JQ96">
        <v>123</v>
      </c>
      <c r="JR96">
        <v>120</v>
      </c>
      <c r="JS96">
        <v>31</v>
      </c>
      <c r="JT96">
        <v>2609</v>
      </c>
      <c r="JU96" t="s">
        <v>85</v>
      </c>
      <c r="JV96" t="s">
        <v>85</v>
      </c>
      <c r="JW96" t="s">
        <v>85</v>
      </c>
      <c r="JX96" t="s">
        <v>85</v>
      </c>
      <c r="JY96" t="s">
        <v>85</v>
      </c>
      <c r="JZ96">
        <v>16</v>
      </c>
      <c r="KA96">
        <v>124</v>
      </c>
      <c r="KB96">
        <v>125</v>
      </c>
      <c r="KC96">
        <v>98</v>
      </c>
      <c r="KD96">
        <v>44</v>
      </c>
      <c r="KE96">
        <v>2282</v>
      </c>
      <c r="KF96">
        <v>287</v>
      </c>
      <c r="KG96">
        <v>279</v>
      </c>
      <c r="KH96">
        <v>283</v>
      </c>
      <c r="KI96">
        <v>32</v>
      </c>
      <c r="KJ96">
        <v>5428</v>
      </c>
      <c r="KK96">
        <v>95</v>
      </c>
      <c r="KL96">
        <v>96</v>
      </c>
      <c r="KM96">
        <v>79</v>
      </c>
      <c r="KN96">
        <v>34</v>
      </c>
      <c r="KO96">
        <v>1753</v>
      </c>
      <c r="KP96">
        <v>94</v>
      </c>
      <c r="KQ96">
        <v>72</v>
      </c>
      <c r="KR96">
        <v>109</v>
      </c>
      <c r="KS96">
        <v>34</v>
      </c>
      <c r="KT96">
        <v>1902</v>
      </c>
      <c r="KU96" t="s">
        <v>85</v>
      </c>
      <c r="KV96" t="s">
        <v>85</v>
      </c>
      <c r="KW96" t="s">
        <v>85</v>
      </c>
      <c r="KX96" t="s">
        <v>85</v>
      </c>
      <c r="KY96" t="s">
        <v>85</v>
      </c>
      <c r="KZ96">
        <v>16</v>
      </c>
      <c r="LA96">
        <v>136</v>
      </c>
      <c r="LB96">
        <v>157</v>
      </c>
      <c r="LC96">
        <v>117</v>
      </c>
      <c r="LD96">
        <v>47</v>
      </c>
      <c r="LE96">
        <v>2594</v>
      </c>
      <c r="LF96">
        <v>110</v>
      </c>
      <c r="LG96">
        <v>131</v>
      </c>
      <c r="LH96">
        <v>102</v>
      </c>
      <c r="LI96">
        <v>31</v>
      </c>
      <c r="LJ96">
        <v>2314</v>
      </c>
      <c r="LK96">
        <v>136</v>
      </c>
      <c r="LL96">
        <v>136</v>
      </c>
      <c r="LM96">
        <v>136</v>
      </c>
      <c r="LN96">
        <v>33</v>
      </c>
      <c r="LO96">
        <v>2774</v>
      </c>
      <c r="LP96">
        <v>174</v>
      </c>
      <c r="LQ96">
        <v>200</v>
      </c>
      <c r="LR96">
        <v>215</v>
      </c>
      <c r="LS96">
        <v>58</v>
      </c>
      <c r="LT96">
        <v>3530</v>
      </c>
      <c r="LU96">
        <v>0</v>
      </c>
      <c r="LV96">
        <v>3</v>
      </c>
      <c r="LW96">
        <v>5</v>
      </c>
      <c r="LX96">
        <v>5</v>
      </c>
      <c r="LY96">
        <v>52</v>
      </c>
      <c r="LZ96">
        <v>16</v>
      </c>
      <c r="MA96">
        <v>107</v>
      </c>
      <c r="MB96">
        <v>137</v>
      </c>
      <c r="MC96">
        <v>104</v>
      </c>
      <c r="MD96">
        <v>40</v>
      </c>
      <c r="ME96">
        <v>2251</v>
      </c>
      <c r="MF96" t="s">
        <v>85</v>
      </c>
      <c r="MG96" t="s">
        <v>85</v>
      </c>
      <c r="MH96" t="s">
        <v>85</v>
      </c>
      <c r="MI96" t="s">
        <v>85</v>
      </c>
      <c r="MJ96" t="s">
        <v>85</v>
      </c>
      <c r="MK96" t="s">
        <v>85</v>
      </c>
      <c r="ML96" t="s">
        <v>85</v>
      </c>
      <c r="MM96" t="s">
        <v>85</v>
      </c>
      <c r="MN96" t="s">
        <v>85</v>
      </c>
      <c r="MO96" t="s">
        <v>85</v>
      </c>
      <c r="MP96" t="s">
        <v>85</v>
      </c>
      <c r="MQ96" t="s">
        <v>85</v>
      </c>
      <c r="MR96" t="s">
        <v>85</v>
      </c>
      <c r="MS96" t="s">
        <v>85</v>
      </c>
      <c r="MT96" t="s">
        <v>85</v>
      </c>
      <c r="MU96" t="s">
        <v>85</v>
      </c>
      <c r="MV96" t="s">
        <v>85</v>
      </c>
      <c r="MW96" t="s">
        <v>85</v>
      </c>
      <c r="MX96" t="s">
        <v>85</v>
      </c>
      <c r="MY96" t="s">
        <v>85</v>
      </c>
    </row>
    <row r="97" spans="1:363">
      <c r="A97" s="467">
        <v>17</v>
      </c>
      <c r="B97">
        <v>-1</v>
      </c>
      <c r="C97">
        <v>-1</v>
      </c>
      <c r="D97">
        <v>-1</v>
      </c>
      <c r="E97">
        <v>-1</v>
      </c>
      <c r="F97">
        <v>25</v>
      </c>
      <c r="G97">
        <v>6</v>
      </c>
      <c r="H97">
        <v>7</v>
      </c>
      <c r="I97">
        <v>7</v>
      </c>
      <c r="J97">
        <v>0</v>
      </c>
      <c r="K97">
        <v>209</v>
      </c>
      <c r="L97">
        <v>8</v>
      </c>
      <c r="M97">
        <v>8</v>
      </c>
      <c r="N97">
        <v>8</v>
      </c>
      <c r="O97">
        <v>0</v>
      </c>
      <c r="P97">
        <v>162</v>
      </c>
      <c r="Q97">
        <v>6</v>
      </c>
      <c r="R97">
        <v>6</v>
      </c>
      <c r="S97">
        <v>6</v>
      </c>
      <c r="T97">
        <v>0</v>
      </c>
      <c r="U97">
        <v>263</v>
      </c>
      <c r="V97">
        <v>10</v>
      </c>
      <c r="W97">
        <v>10</v>
      </c>
      <c r="X97">
        <v>10</v>
      </c>
      <c r="Y97">
        <v>1</v>
      </c>
      <c r="Z97">
        <v>77</v>
      </c>
      <c r="AA97">
        <v>17</v>
      </c>
      <c r="AB97">
        <v>15</v>
      </c>
      <c r="AC97">
        <v>15</v>
      </c>
      <c r="AD97">
        <v>15</v>
      </c>
      <c r="AE97">
        <v>1</v>
      </c>
      <c r="AF97">
        <v>488</v>
      </c>
      <c r="AG97">
        <v>15</v>
      </c>
      <c r="AH97">
        <v>15</v>
      </c>
      <c r="AI97">
        <v>15</v>
      </c>
      <c r="AJ97">
        <v>1</v>
      </c>
      <c r="AK97">
        <v>478</v>
      </c>
      <c r="AL97">
        <v>1</v>
      </c>
      <c r="AM97">
        <v>1</v>
      </c>
      <c r="AN97">
        <v>1</v>
      </c>
      <c r="AO97">
        <v>1</v>
      </c>
      <c r="AP97">
        <v>48</v>
      </c>
      <c r="AQ97" t="s">
        <v>85</v>
      </c>
      <c r="AR97" t="s">
        <v>85</v>
      </c>
      <c r="AS97" t="s">
        <v>85</v>
      </c>
      <c r="AT97" t="s">
        <v>85</v>
      </c>
      <c r="AU97" t="s">
        <v>85</v>
      </c>
      <c r="AV97" t="s">
        <v>85</v>
      </c>
      <c r="AW97" t="s">
        <v>85</v>
      </c>
      <c r="AX97" t="s">
        <v>85</v>
      </c>
      <c r="AY97" t="s">
        <v>85</v>
      </c>
      <c r="AZ97" t="s">
        <v>85</v>
      </c>
      <c r="BA97">
        <v>17</v>
      </c>
      <c r="BB97">
        <v>24</v>
      </c>
      <c r="BC97">
        <v>24</v>
      </c>
      <c r="BD97">
        <v>24</v>
      </c>
      <c r="BE97">
        <v>0</v>
      </c>
      <c r="BF97">
        <v>970</v>
      </c>
      <c r="BG97">
        <v>20</v>
      </c>
      <c r="BH97">
        <v>18</v>
      </c>
      <c r="BI97">
        <v>18</v>
      </c>
      <c r="BJ97">
        <v>0</v>
      </c>
      <c r="BK97">
        <v>736</v>
      </c>
      <c r="BL97">
        <v>20</v>
      </c>
      <c r="BM97">
        <v>18</v>
      </c>
      <c r="BN97">
        <v>19</v>
      </c>
      <c r="BO97">
        <v>0</v>
      </c>
      <c r="BP97">
        <v>1322</v>
      </c>
      <c r="BQ97">
        <v>50</v>
      </c>
      <c r="BR97">
        <v>50</v>
      </c>
      <c r="BS97">
        <v>48</v>
      </c>
      <c r="BT97">
        <v>2</v>
      </c>
      <c r="BU97">
        <v>2551</v>
      </c>
      <c r="BV97">
        <v>46</v>
      </c>
      <c r="BW97">
        <v>48</v>
      </c>
      <c r="BX97">
        <v>46</v>
      </c>
      <c r="BY97">
        <v>0</v>
      </c>
      <c r="BZ97">
        <v>1762</v>
      </c>
      <c r="CA97">
        <v>17</v>
      </c>
      <c r="CB97" t="s">
        <v>85</v>
      </c>
      <c r="CC97" t="s">
        <v>85</v>
      </c>
      <c r="CD97" t="s">
        <v>85</v>
      </c>
      <c r="CE97" t="s">
        <v>85</v>
      </c>
      <c r="CF97">
        <v>0</v>
      </c>
      <c r="CG97">
        <v>2</v>
      </c>
      <c r="CH97">
        <v>2</v>
      </c>
      <c r="CI97">
        <v>2</v>
      </c>
      <c r="CJ97">
        <v>0</v>
      </c>
      <c r="CK97">
        <v>58</v>
      </c>
      <c r="CL97" t="s">
        <v>85</v>
      </c>
      <c r="CM97" t="s">
        <v>85</v>
      </c>
      <c r="CN97" t="s">
        <v>85</v>
      </c>
      <c r="CO97" t="s">
        <v>85</v>
      </c>
      <c r="CP97" t="s">
        <v>85</v>
      </c>
      <c r="CQ97" t="s">
        <v>85</v>
      </c>
      <c r="CR97" t="s">
        <v>85</v>
      </c>
      <c r="CS97" t="s">
        <v>85</v>
      </c>
      <c r="CT97" t="s">
        <v>85</v>
      </c>
      <c r="CU97" t="s">
        <v>85</v>
      </c>
      <c r="CV97" t="s">
        <v>85</v>
      </c>
      <c r="CW97" t="s">
        <v>85</v>
      </c>
      <c r="CX97" t="s">
        <v>85</v>
      </c>
      <c r="CY97" t="s">
        <v>85</v>
      </c>
      <c r="CZ97" t="s">
        <v>85</v>
      </c>
      <c r="DA97">
        <v>17</v>
      </c>
      <c r="DB97">
        <v>149</v>
      </c>
      <c r="DC97">
        <v>149</v>
      </c>
      <c r="DD97">
        <v>149</v>
      </c>
      <c r="DE97">
        <v>0</v>
      </c>
      <c r="DF97">
        <v>5598</v>
      </c>
      <c r="DG97">
        <v>34</v>
      </c>
      <c r="DH97">
        <v>34</v>
      </c>
      <c r="DI97">
        <v>34</v>
      </c>
      <c r="DJ97">
        <v>0</v>
      </c>
      <c r="DK97">
        <v>1581</v>
      </c>
      <c r="DL97">
        <v>36</v>
      </c>
      <c r="DM97">
        <v>35</v>
      </c>
      <c r="DN97">
        <v>35</v>
      </c>
      <c r="DO97">
        <v>0</v>
      </c>
      <c r="DP97">
        <v>1423</v>
      </c>
      <c r="DQ97">
        <v>0</v>
      </c>
      <c r="DR97">
        <v>0</v>
      </c>
      <c r="DS97">
        <v>0</v>
      </c>
      <c r="DT97">
        <v>0</v>
      </c>
      <c r="DU97">
        <v>0</v>
      </c>
      <c r="DV97">
        <v>0</v>
      </c>
      <c r="DW97">
        <v>0</v>
      </c>
      <c r="DX97">
        <v>0</v>
      </c>
      <c r="DY97">
        <v>0</v>
      </c>
      <c r="DZ97">
        <v>0</v>
      </c>
      <c r="EA97">
        <v>17</v>
      </c>
      <c r="EB97">
        <v>0</v>
      </c>
      <c r="EC97">
        <v>0</v>
      </c>
      <c r="ED97">
        <v>0</v>
      </c>
      <c r="EE97">
        <v>0</v>
      </c>
      <c r="EF97">
        <v>0</v>
      </c>
      <c r="EG97" t="s">
        <v>85</v>
      </c>
      <c r="EH97" t="s">
        <v>85</v>
      </c>
      <c r="EI97" t="s">
        <v>85</v>
      </c>
      <c r="EJ97" t="s">
        <v>85</v>
      </c>
      <c r="EK97" t="s">
        <v>85</v>
      </c>
      <c r="EL97" t="s">
        <v>85</v>
      </c>
      <c r="EM97" t="s">
        <v>85</v>
      </c>
      <c r="EN97" t="s">
        <v>85</v>
      </c>
      <c r="EO97" t="s">
        <v>85</v>
      </c>
      <c r="EP97" t="s">
        <v>85</v>
      </c>
      <c r="EQ97" t="s">
        <v>85</v>
      </c>
      <c r="ER97" t="s">
        <v>85</v>
      </c>
      <c r="ES97" t="s">
        <v>85</v>
      </c>
      <c r="ET97" t="s">
        <v>85</v>
      </c>
      <c r="EU97" t="s">
        <v>85</v>
      </c>
      <c r="EV97" t="s">
        <v>85</v>
      </c>
      <c r="EW97" t="s">
        <v>85</v>
      </c>
      <c r="EX97" t="s">
        <v>85</v>
      </c>
      <c r="EY97" t="s">
        <v>85</v>
      </c>
      <c r="EZ97" t="s">
        <v>85</v>
      </c>
      <c r="FA97">
        <v>17</v>
      </c>
      <c r="FB97">
        <v>8</v>
      </c>
      <c r="FC97">
        <v>8</v>
      </c>
      <c r="FD97">
        <v>8</v>
      </c>
      <c r="FE97">
        <v>0</v>
      </c>
      <c r="FF97">
        <v>543</v>
      </c>
      <c r="FG97">
        <v>0</v>
      </c>
      <c r="FH97">
        <v>0</v>
      </c>
      <c r="FI97">
        <v>0</v>
      </c>
      <c r="FJ97">
        <v>0</v>
      </c>
      <c r="FK97">
        <v>0</v>
      </c>
      <c r="FL97">
        <v>0</v>
      </c>
      <c r="FM97">
        <v>0</v>
      </c>
      <c r="FN97">
        <v>0</v>
      </c>
      <c r="FO97">
        <v>0</v>
      </c>
      <c r="FP97">
        <v>0</v>
      </c>
      <c r="FQ97">
        <v>53</v>
      </c>
      <c r="FR97">
        <v>51</v>
      </c>
      <c r="FS97">
        <v>56</v>
      </c>
      <c r="FT97">
        <v>0</v>
      </c>
      <c r="FU97">
        <v>2225</v>
      </c>
      <c r="FV97">
        <v>25</v>
      </c>
      <c r="FW97">
        <v>25</v>
      </c>
      <c r="FX97">
        <v>26</v>
      </c>
      <c r="FY97">
        <v>0</v>
      </c>
      <c r="FZ97">
        <v>748</v>
      </c>
      <c r="GA97">
        <v>17</v>
      </c>
      <c r="GB97">
        <v>104</v>
      </c>
      <c r="GC97">
        <v>107</v>
      </c>
      <c r="GD97">
        <v>105</v>
      </c>
      <c r="GE97">
        <v>0</v>
      </c>
      <c r="GF97">
        <v>4052</v>
      </c>
      <c r="GG97" t="s">
        <v>85</v>
      </c>
      <c r="GH97" t="s">
        <v>85</v>
      </c>
      <c r="GI97" t="s">
        <v>85</v>
      </c>
      <c r="GJ97" t="s">
        <v>85</v>
      </c>
      <c r="GK97" t="s">
        <v>85</v>
      </c>
      <c r="GL97" t="s">
        <v>85</v>
      </c>
      <c r="GM97" t="s">
        <v>85</v>
      </c>
      <c r="GN97" t="s">
        <v>85</v>
      </c>
      <c r="GO97" t="s">
        <v>85</v>
      </c>
      <c r="GP97" t="s">
        <v>85</v>
      </c>
      <c r="GQ97" t="s">
        <v>85</v>
      </c>
      <c r="GR97" t="s">
        <v>85</v>
      </c>
      <c r="GS97" t="s">
        <v>85</v>
      </c>
      <c r="GT97" t="s">
        <v>85</v>
      </c>
      <c r="GU97" t="s">
        <v>85</v>
      </c>
      <c r="GV97" t="s">
        <v>85</v>
      </c>
      <c r="GW97" t="s">
        <v>85</v>
      </c>
      <c r="GX97" t="s">
        <v>85</v>
      </c>
      <c r="GY97" t="s">
        <v>85</v>
      </c>
      <c r="GZ97">
        <v>17</v>
      </c>
      <c r="HA97">
        <v>120</v>
      </c>
      <c r="HB97">
        <v>143</v>
      </c>
      <c r="HC97">
        <v>116</v>
      </c>
      <c r="HD97">
        <v>37</v>
      </c>
      <c r="HE97">
        <v>2641</v>
      </c>
      <c r="HF97">
        <v>142</v>
      </c>
      <c r="HG97">
        <v>159</v>
      </c>
      <c r="HH97">
        <v>147</v>
      </c>
      <c r="HI97">
        <v>22</v>
      </c>
      <c r="HJ97">
        <v>3183</v>
      </c>
      <c r="HK97">
        <v>106</v>
      </c>
      <c r="HL97">
        <v>90</v>
      </c>
      <c r="HM97">
        <v>115</v>
      </c>
      <c r="HN97">
        <v>36</v>
      </c>
      <c r="HO97">
        <v>2135</v>
      </c>
      <c r="HP97">
        <v>48</v>
      </c>
      <c r="HQ97">
        <v>59</v>
      </c>
      <c r="HR97">
        <v>43</v>
      </c>
      <c r="HS97">
        <v>20</v>
      </c>
      <c r="HT97">
        <v>980</v>
      </c>
      <c r="HU97">
        <v>143</v>
      </c>
      <c r="HV97">
        <v>169</v>
      </c>
      <c r="HW97">
        <v>144</v>
      </c>
      <c r="HX97">
        <v>19</v>
      </c>
      <c r="HY97">
        <v>3154</v>
      </c>
      <c r="HZ97">
        <v>17</v>
      </c>
      <c r="IA97">
        <v>109</v>
      </c>
      <c r="IB97">
        <v>117</v>
      </c>
      <c r="IC97">
        <v>81</v>
      </c>
      <c r="ID97">
        <v>50</v>
      </c>
      <c r="IE97">
        <v>2160</v>
      </c>
      <c r="IF97" t="s">
        <v>85</v>
      </c>
      <c r="IG97" t="s">
        <v>85</v>
      </c>
      <c r="IH97" t="s">
        <v>85</v>
      </c>
      <c r="II97" t="s">
        <v>85</v>
      </c>
      <c r="IJ97" t="s">
        <v>85</v>
      </c>
      <c r="IK97" t="s">
        <v>85</v>
      </c>
      <c r="IL97" t="s">
        <v>85</v>
      </c>
      <c r="IM97" t="s">
        <v>85</v>
      </c>
      <c r="IN97" t="s">
        <v>85</v>
      </c>
      <c r="IO97" t="s">
        <v>85</v>
      </c>
      <c r="IP97" t="s">
        <v>85</v>
      </c>
      <c r="IQ97" t="s">
        <v>85</v>
      </c>
      <c r="IR97" t="s">
        <v>85</v>
      </c>
      <c r="IS97" t="s">
        <v>85</v>
      </c>
      <c r="IT97" t="s">
        <v>85</v>
      </c>
      <c r="IU97" t="s">
        <v>85</v>
      </c>
      <c r="IV97" t="s">
        <v>85</v>
      </c>
      <c r="IW97" t="s">
        <v>85</v>
      </c>
      <c r="IX97" t="s">
        <v>85</v>
      </c>
      <c r="IY97" t="s">
        <v>85</v>
      </c>
      <c r="IZ97">
        <v>17</v>
      </c>
      <c r="JA97">
        <v>165</v>
      </c>
      <c r="JB97">
        <v>143</v>
      </c>
      <c r="JC97">
        <v>151</v>
      </c>
      <c r="JD97">
        <v>23</v>
      </c>
      <c r="JE97">
        <v>3803</v>
      </c>
      <c r="JF97">
        <v>127</v>
      </c>
      <c r="JG97">
        <v>136</v>
      </c>
      <c r="JH97">
        <v>111</v>
      </c>
      <c r="JI97">
        <v>54</v>
      </c>
      <c r="JJ97">
        <v>2526</v>
      </c>
      <c r="JK97">
        <v>129</v>
      </c>
      <c r="JL97">
        <v>157</v>
      </c>
      <c r="JM97">
        <v>164</v>
      </c>
      <c r="JN97">
        <v>49</v>
      </c>
      <c r="JO97">
        <v>2926</v>
      </c>
      <c r="JP97">
        <v>133</v>
      </c>
      <c r="JQ97">
        <v>114</v>
      </c>
      <c r="JR97">
        <v>122</v>
      </c>
      <c r="JS97">
        <v>25</v>
      </c>
      <c r="JT97">
        <v>2573</v>
      </c>
      <c r="JU97" t="s">
        <v>85</v>
      </c>
      <c r="JV97" t="s">
        <v>85</v>
      </c>
      <c r="JW97" t="s">
        <v>85</v>
      </c>
      <c r="JX97" t="s">
        <v>85</v>
      </c>
      <c r="JY97" t="s">
        <v>85</v>
      </c>
      <c r="JZ97">
        <v>17</v>
      </c>
      <c r="KA97">
        <v>100</v>
      </c>
      <c r="KB97">
        <v>114</v>
      </c>
      <c r="KC97">
        <v>88</v>
      </c>
      <c r="KD97">
        <v>38</v>
      </c>
      <c r="KE97">
        <v>2195</v>
      </c>
      <c r="KF97">
        <v>274</v>
      </c>
      <c r="KG97">
        <v>265</v>
      </c>
      <c r="KH97">
        <v>261</v>
      </c>
      <c r="KI97">
        <v>32</v>
      </c>
      <c r="KJ97">
        <v>5287</v>
      </c>
      <c r="KK97">
        <v>90</v>
      </c>
      <c r="KL97">
        <v>91</v>
      </c>
      <c r="KM97">
        <v>71</v>
      </c>
      <c r="KN97">
        <v>40</v>
      </c>
      <c r="KO97">
        <v>1721</v>
      </c>
      <c r="KP97">
        <v>97</v>
      </c>
      <c r="KQ97">
        <v>67</v>
      </c>
      <c r="KR97">
        <v>111</v>
      </c>
      <c r="KS97">
        <v>42</v>
      </c>
      <c r="KT97">
        <v>1924</v>
      </c>
      <c r="KU97" t="s">
        <v>85</v>
      </c>
      <c r="KV97" t="s">
        <v>85</v>
      </c>
      <c r="KW97" t="s">
        <v>85</v>
      </c>
      <c r="KX97" t="s">
        <v>85</v>
      </c>
      <c r="KY97" t="s">
        <v>85</v>
      </c>
      <c r="KZ97">
        <v>17</v>
      </c>
      <c r="LA97">
        <v>130</v>
      </c>
      <c r="LB97">
        <v>151</v>
      </c>
      <c r="LC97">
        <v>116</v>
      </c>
      <c r="LD97">
        <v>43</v>
      </c>
      <c r="LE97">
        <v>2644</v>
      </c>
      <c r="LF97">
        <v>84</v>
      </c>
      <c r="LG97">
        <v>111</v>
      </c>
      <c r="LH97">
        <v>83</v>
      </c>
      <c r="LI97">
        <v>29</v>
      </c>
      <c r="LJ97">
        <v>2242</v>
      </c>
      <c r="LK97">
        <v>138</v>
      </c>
      <c r="LL97">
        <v>131</v>
      </c>
      <c r="LM97">
        <v>133</v>
      </c>
      <c r="LN97">
        <v>33</v>
      </c>
      <c r="LO97">
        <v>2735</v>
      </c>
      <c r="LP97">
        <v>156</v>
      </c>
      <c r="LQ97">
        <v>165</v>
      </c>
      <c r="LR97">
        <v>186</v>
      </c>
      <c r="LS97">
        <v>44</v>
      </c>
      <c r="LT97">
        <v>3392</v>
      </c>
      <c r="LU97">
        <v>0</v>
      </c>
      <c r="LV97">
        <v>5</v>
      </c>
      <c r="LW97">
        <v>5</v>
      </c>
      <c r="LX97">
        <v>5</v>
      </c>
      <c r="LY97">
        <v>50</v>
      </c>
      <c r="LZ97">
        <v>17</v>
      </c>
      <c r="MA97">
        <v>100</v>
      </c>
      <c r="MB97">
        <v>133</v>
      </c>
      <c r="MC97">
        <v>102</v>
      </c>
      <c r="MD97">
        <v>34</v>
      </c>
      <c r="ME97">
        <v>2305</v>
      </c>
      <c r="MF97" t="s">
        <v>85</v>
      </c>
      <c r="MG97" t="s">
        <v>85</v>
      </c>
      <c r="MH97" t="s">
        <v>85</v>
      </c>
      <c r="MI97" t="s">
        <v>85</v>
      </c>
      <c r="MJ97" t="s">
        <v>85</v>
      </c>
      <c r="MK97" t="s">
        <v>85</v>
      </c>
      <c r="ML97" t="s">
        <v>85</v>
      </c>
      <c r="MM97" t="s">
        <v>85</v>
      </c>
      <c r="MN97" t="s">
        <v>85</v>
      </c>
      <c r="MO97" t="s">
        <v>85</v>
      </c>
      <c r="MP97" t="s">
        <v>85</v>
      </c>
      <c r="MQ97" t="s">
        <v>85</v>
      </c>
      <c r="MR97" t="s">
        <v>85</v>
      </c>
      <c r="MS97" t="s">
        <v>85</v>
      </c>
      <c r="MT97" t="s">
        <v>85</v>
      </c>
      <c r="MU97" t="s">
        <v>85</v>
      </c>
      <c r="MV97" t="s">
        <v>85</v>
      </c>
      <c r="MW97" t="s">
        <v>85</v>
      </c>
      <c r="MX97" t="s">
        <v>85</v>
      </c>
      <c r="MY97" t="s">
        <v>85</v>
      </c>
    </row>
    <row r="98" spans="1:363">
      <c r="A98" s="467">
        <v>18</v>
      </c>
      <c r="B98">
        <v>0</v>
      </c>
      <c r="C98">
        <v>0</v>
      </c>
      <c r="D98">
        <v>-1</v>
      </c>
      <c r="E98">
        <v>-1</v>
      </c>
      <c r="F98">
        <v>25</v>
      </c>
      <c r="G98">
        <v>6</v>
      </c>
      <c r="H98">
        <v>6</v>
      </c>
      <c r="I98">
        <v>6</v>
      </c>
      <c r="J98">
        <v>0</v>
      </c>
      <c r="K98">
        <v>94</v>
      </c>
      <c r="L98">
        <v>7</v>
      </c>
      <c r="M98">
        <v>7</v>
      </c>
      <c r="N98">
        <v>7</v>
      </c>
      <c r="O98">
        <v>0</v>
      </c>
      <c r="P98">
        <v>85</v>
      </c>
      <c r="Q98">
        <v>4</v>
      </c>
      <c r="R98">
        <v>4</v>
      </c>
      <c r="S98">
        <v>4</v>
      </c>
      <c r="T98">
        <v>0</v>
      </c>
      <c r="U98">
        <v>122</v>
      </c>
      <c r="V98">
        <v>9</v>
      </c>
      <c r="W98">
        <v>9</v>
      </c>
      <c r="X98">
        <v>8</v>
      </c>
      <c r="Y98">
        <v>1</v>
      </c>
      <c r="Z98">
        <v>0</v>
      </c>
      <c r="AA98">
        <v>18</v>
      </c>
      <c r="AB98">
        <v>13</v>
      </c>
      <c r="AC98">
        <v>12</v>
      </c>
      <c r="AD98">
        <v>12</v>
      </c>
      <c r="AE98">
        <v>1</v>
      </c>
      <c r="AF98">
        <v>339</v>
      </c>
      <c r="AG98">
        <v>14</v>
      </c>
      <c r="AH98">
        <v>14</v>
      </c>
      <c r="AI98">
        <v>14</v>
      </c>
      <c r="AJ98">
        <v>1</v>
      </c>
      <c r="AK98">
        <v>308</v>
      </c>
      <c r="AL98">
        <v>1</v>
      </c>
      <c r="AM98">
        <v>1</v>
      </c>
      <c r="AN98">
        <v>1</v>
      </c>
      <c r="AO98">
        <v>1</v>
      </c>
      <c r="AP98">
        <v>48</v>
      </c>
      <c r="AQ98" t="s">
        <v>85</v>
      </c>
      <c r="AR98" t="s">
        <v>85</v>
      </c>
      <c r="AS98" t="s">
        <v>85</v>
      </c>
      <c r="AT98" t="s">
        <v>85</v>
      </c>
      <c r="AU98" t="s">
        <v>85</v>
      </c>
      <c r="AV98" t="s">
        <v>85</v>
      </c>
      <c r="AW98" t="s">
        <v>85</v>
      </c>
      <c r="AX98" t="s">
        <v>85</v>
      </c>
      <c r="AY98" t="s">
        <v>85</v>
      </c>
      <c r="AZ98" t="s">
        <v>85</v>
      </c>
      <c r="BA98">
        <v>18</v>
      </c>
      <c r="BB98">
        <v>24</v>
      </c>
      <c r="BC98">
        <v>24</v>
      </c>
      <c r="BD98">
        <v>24</v>
      </c>
      <c r="BE98">
        <v>0</v>
      </c>
      <c r="BF98">
        <v>935</v>
      </c>
      <c r="BG98">
        <v>17</v>
      </c>
      <c r="BH98">
        <v>15</v>
      </c>
      <c r="BI98">
        <v>15</v>
      </c>
      <c r="BJ98">
        <v>0</v>
      </c>
      <c r="BK98">
        <v>682</v>
      </c>
      <c r="BL98">
        <v>15</v>
      </c>
      <c r="BM98">
        <v>14</v>
      </c>
      <c r="BN98">
        <v>14</v>
      </c>
      <c r="BO98">
        <v>0</v>
      </c>
      <c r="BP98">
        <v>483</v>
      </c>
      <c r="BQ98">
        <v>51</v>
      </c>
      <c r="BR98">
        <v>52</v>
      </c>
      <c r="BS98">
        <v>50</v>
      </c>
      <c r="BT98">
        <v>2</v>
      </c>
      <c r="BU98">
        <v>1965</v>
      </c>
      <c r="BV98">
        <v>43</v>
      </c>
      <c r="BW98">
        <v>45</v>
      </c>
      <c r="BX98">
        <v>43</v>
      </c>
      <c r="BY98">
        <v>0</v>
      </c>
      <c r="BZ98">
        <v>1756</v>
      </c>
      <c r="CA98">
        <v>18</v>
      </c>
      <c r="CB98" t="s">
        <v>85</v>
      </c>
      <c r="CC98" t="s">
        <v>85</v>
      </c>
      <c r="CD98" t="s">
        <v>85</v>
      </c>
      <c r="CE98" t="s">
        <v>85</v>
      </c>
      <c r="CF98">
        <v>0</v>
      </c>
      <c r="CG98">
        <v>2</v>
      </c>
      <c r="CH98">
        <v>2</v>
      </c>
      <c r="CI98">
        <v>2</v>
      </c>
      <c r="CJ98">
        <v>0</v>
      </c>
      <c r="CK98">
        <v>59</v>
      </c>
      <c r="CL98" t="s">
        <v>85</v>
      </c>
      <c r="CM98" t="s">
        <v>85</v>
      </c>
      <c r="CN98" t="s">
        <v>85</v>
      </c>
      <c r="CO98" t="s">
        <v>85</v>
      </c>
      <c r="CP98" t="s">
        <v>85</v>
      </c>
      <c r="CQ98" t="s">
        <v>85</v>
      </c>
      <c r="CR98" t="s">
        <v>85</v>
      </c>
      <c r="CS98" t="s">
        <v>85</v>
      </c>
      <c r="CT98" t="s">
        <v>85</v>
      </c>
      <c r="CU98" t="s">
        <v>85</v>
      </c>
      <c r="CV98" t="s">
        <v>85</v>
      </c>
      <c r="CW98" t="s">
        <v>85</v>
      </c>
      <c r="CX98" t="s">
        <v>85</v>
      </c>
      <c r="CY98" t="s">
        <v>85</v>
      </c>
      <c r="CZ98" t="s">
        <v>85</v>
      </c>
      <c r="DA98">
        <v>18</v>
      </c>
      <c r="DB98">
        <v>157</v>
      </c>
      <c r="DC98">
        <v>156</v>
      </c>
      <c r="DD98">
        <v>156</v>
      </c>
      <c r="DE98">
        <v>0</v>
      </c>
      <c r="DF98">
        <v>5803</v>
      </c>
      <c r="DG98">
        <v>41</v>
      </c>
      <c r="DH98">
        <v>41</v>
      </c>
      <c r="DI98">
        <v>41</v>
      </c>
      <c r="DJ98">
        <v>0</v>
      </c>
      <c r="DK98">
        <v>1348</v>
      </c>
      <c r="DL98">
        <v>11</v>
      </c>
      <c r="DM98">
        <v>11</v>
      </c>
      <c r="DN98">
        <v>11</v>
      </c>
      <c r="DO98">
        <v>0</v>
      </c>
      <c r="DP98">
        <v>754</v>
      </c>
      <c r="DQ98">
        <v>0</v>
      </c>
      <c r="DR98">
        <v>0</v>
      </c>
      <c r="DS98">
        <v>0</v>
      </c>
      <c r="DT98">
        <v>0</v>
      </c>
      <c r="DU98">
        <v>0</v>
      </c>
      <c r="DV98">
        <v>0</v>
      </c>
      <c r="DW98">
        <v>0</v>
      </c>
      <c r="DX98">
        <v>0</v>
      </c>
      <c r="DY98">
        <v>0</v>
      </c>
      <c r="DZ98">
        <v>0</v>
      </c>
      <c r="EA98">
        <v>18</v>
      </c>
      <c r="EB98">
        <v>0</v>
      </c>
      <c r="EC98">
        <v>0</v>
      </c>
      <c r="ED98">
        <v>0</v>
      </c>
      <c r="EE98">
        <v>0</v>
      </c>
      <c r="EF98">
        <v>0</v>
      </c>
      <c r="EG98" t="s">
        <v>85</v>
      </c>
      <c r="EH98" t="s">
        <v>85</v>
      </c>
      <c r="EI98" t="s">
        <v>85</v>
      </c>
      <c r="EJ98" t="s">
        <v>85</v>
      </c>
      <c r="EK98" t="s">
        <v>85</v>
      </c>
      <c r="EL98" t="s">
        <v>85</v>
      </c>
      <c r="EM98" t="s">
        <v>85</v>
      </c>
      <c r="EN98" t="s">
        <v>85</v>
      </c>
      <c r="EO98" t="s">
        <v>85</v>
      </c>
      <c r="EP98" t="s">
        <v>85</v>
      </c>
      <c r="EQ98" t="s">
        <v>85</v>
      </c>
      <c r="ER98" t="s">
        <v>85</v>
      </c>
      <c r="ES98" t="s">
        <v>85</v>
      </c>
      <c r="ET98" t="s">
        <v>85</v>
      </c>
      <c r="EU98" t="s">
        <v>85</v>
      </c>
      <c r="EV98" t="s">
        <v>85</v>
      </c>
      <c r="EW98" t="s">
        <v>85</v>
      </c>
      <c r="EX98" t="s">
        <v>85</v>
      </c>
      <c r="EY98" t="s">
        <v>85</v>
      </c>
      <c r="EZ98" t="s">
        <v>85</v>
      </c>
      <c r="FA98">
        <v>18</v>
      </c>
      <c r="FB98">
        <v>3</v>
      </c>
      <c r="FC98">
        <v>3</v>
      </c>
      <c r="FD98">
        <v>3</v>
      </c>
      <c r="FE98">
        <v>0</v>
      </c>
      <c r="FF98">
        <v>200</v>
      </c>
      <c r="FG98">
        <v>0</v>
      </c>
      <c r="FH98">
        <v>0</v>
      </c>
      <c r="FI98">
        <v>0</v>
      </c>
      <c r="FJ98">
        <v>0</v>
      </c>
      <c r="FK98">
        <v>0</v>
      </c>
      <c r="FL98">
        <v>0</v>
      </c>
      <c r="FM98">
        <v>0</v>
      </c>
      <c r="FN98">
        <v>0</v>
      </c>
      <c r="FO98">
        <v>0</v>
      </c>
      <c r="FP98">
        <v>0</v>
      </c>
      <c r="FQ98">
        <v>49</v>
      </c>
      <c r="FR98">
        <v>47</v>
      </c>
      <c r="FS98">
        <v>52</v>
      </c>
      <c r="FT98">
        <v>0</v>
      </c>
      <c r="FU98">
        <v>2053</v>
      </c>
      <c r="FV98">
        <v>18</v>
      </c>
      <c r="FW98">
        <v>17</v>
      </c>
      <c r="FX98">
        <v>17</v>
      </c>
      <c r="FY98">
        <v>0</v>
      </c>
      <c r="FZ98">
        <v>1006</v>
      </c>
      <c r="GA98">
        <v>18</v>
      </c>
      <c r="GB98">
        <v>104</v>
      </c>
      <c r="GC98">
        <v>105</v>
      </c>
      <c r="GD98">
        <v>104</v>
      </c>
      <c r="GE98">
        <v>0</v>
      </c>
      <c r="GF98">
        <v>3999</v>
      </c>
      <c r="GG98" t="s">
        <v>85</v>
      </c>
      <c r="GH98" t="s">
        <v>85</v>
      </c>
      <c r="GI98" t="s">
        <v>85</v>
      </c>
      <c r="GJ98" t="s">
        <v>85</v>
      </c>
      <c r="GK98" t="s">
        <v>85</v>
      </c>
      <c r="GL98" t="s">
        <v>85</v>
      </c>
      <c r="GM98" t="s">
        <v>85</v>
      </c>
      <c r="GN98" t="s">
        <v>85</v>
      </c>
      <c r="GO98" t="s">
        <v>85</v>
      </c>
      <c r="GP98" t="s">
        <v>85</v>
      </c>
      <c r="GQ98" t="s">
        <v>85</v>
      </c>
      <c r="GR98" t="s">
        <v>85</v>
      </c>
      <c r="GS98" t="s">
        <v>85</v>
      </c>
      <c r="GT98" t="s">
        <v>85</v>
      </c>
      <c r="GU98" t="s">
        <v>85</v>
      </c>
      <c r="GV98" t="s">
        <v>85</v>
      </c>
      <c r="GW98" t="s">
        <v>85</v>
      </c>
      <c r="GX98" t="s">
        <v>85</v>
      </c>
      <c r="GY98" t="s">
        <v>85</v>
      </c>
      <c r="GZ98">
        <v>18</v>
      </c>
      <c r="HA98">
        <v>120</v>
      </c>
      <c r="HB98">
        <v>148</v>
      </c>
      <c r="HC98">
        <v>118</v>
      </c>
      <c r="HD98">
        <v>39</v>
      </c>
      <c r="HE98">
        <v>2427</v>
      </c>
      <c r="HF98">
        <v>73</v>
      </c>
      <c r="HG98">
        <v>88</v>
      </c>
      <c r="HH98">
        <v>76</v>
      </c>
      <c r="HI98">
        <v>22</v>
      </c>
      <c r="HJ98">
        <v>1796</v>
      </c>
      <c r="HK98">
        <v>79</v>
      </c>
      <c r="HL98">
        <v>75</v>
      </c>
      <c r="HM98">
        <v>91</v>
      </c>
      <c r="HN98">
        <v>20</v>
      </c>
      <c r="HO98">
        <v>1729</v>
      </c>
      <c r="HP98">
        <v>49</v>
      </c>
      <c r="HQ98">
        <v>59</v>
      </c>
      <c r="HR98">
        <v>45</v>
      </c>
      <c r="HS98">
        <v>20</v>
      </c>
      <c r="HT98">
        <v>1014</v>
      </c>
      <c r="HU98">
        <v>155</v>
      </c>
      <c r="HV98">
        <v>179</v>
      </c>
      <c r="HW98">
        <v>150</v>
      </c>
      <c r="HX98">
        <v>23</v>
      </c>
      <c r="HY98">
        <v>3117</v>
      </c>
      <c r="HZ98">
        <v>18</v>
      </c>
      <c r="IA98">
        <v>119</v>
      </c>
      <c r="IB98">
        <v>130</v>
      </c>
      <c r="IC98">
        <v>95</v>
      </c>
      <c r="ID98">
        <v>49</v>
      </c>
      <c r="IE98">
        <v>2219</v>
      </c>
      <c r="IF98" t="s">
        <v>85</v>
      </c>
      <c r="IG98" t="s">
        <v>85</v>
      </c>
      <c r="IH98" t="s">
        <v>85</v>
      </c>
      <c r="II98" t="s">
        <v>85</v>
      </c>
      <c r="IJ98" t="s">
        <v>85</v>
      </c>
      <c r="IK98" t="s">
        <v>85</v>
      </c>
      <c r="IL98" t="s">
        <v>85</v>
      </c>
      <c r="IM98" t="s">
        <v>85</v>
      </c>
      <c r="IN98" t="s">
        <v>85</v>
      </c>
      <c r="IO98" t="s">
        <v>85</v>
      </c>
      <c r="IP98" t="s">
        <v>85</v>
      </c>
      <c r="IQ98" t="s">
        <v>85</v>
      </c>
      <c r="IR98" t="s">
        <v>85</v>
      </c>
      <c r="IS98" t="s">
        <v>85</v>
      </c>
      <c r="IT98" t="s">
        <v>85</v>
      </c>
      <c r="IU98" t="s">
        <v>85</v>
      </c>
      <c r="IV98" t="s">
        <v>85</v>
      </c>
      <c r="IW98" t="s">
        <v>85</v>
      </c>
      <c r="IX98" t="s">
        <v>85</v>
      </c>
      <c r="IY98" t="s">
        <v>85</v>
      </c>
      <c r="IZ98">
        <v>18</v>
      </c>
      <c r="JA98">
        <v>149</v>
      </c>
      <c r="JB98">
        <v>119</v>
      </c>
      <c r="JC98">
        <v>128</v>
      </c>
      <c r="JD98">
        <v>34</v>
      </c>
      <c r="JE98">
        <v>2688</v>
      </c>
      <c r="JF98">
        <v>128</v>
      </c>
      <c r="JG98">
        <v>125</v>
      </c>
      <c r="JH98">
        <v>113</v>
      </c>
      <c r="JI98">
        <v>46</v>
      </c>
      <c r="JJ98">
        <v>2418</v>
      </c>
      <c r="JK98">
        <v>135</v>
      </c>
      <c r="JL98">
        <v>162</v>
      </c>
      <c r="JM98">
        <v>169</v>
      </c>
      <c r="JN98">
        <v>42</v>
      </c>
      <c r="JO98">
        <v>3082</v>
      </c>
      <c r="JP98">
        <v>146</v>
      </c>
      <c r="JQ98">
        <v>124</v>
      </c>
      <c r="JR98">
        <v>125</v>
      </c>
      <c r="JS98">
        <v>35</v>
      </c>
      <c r="JT98">
        <v>2561</v>
      </c>
      <c r="JU98" t="s">
        <v>85</v>
      </c>
      <c r="JV98" t="s">
        <v>85</v>
      </c>
      <c r="JW98" t="s">
        <v>85</v>
      </c>
      <c r="JX98" t="s">
        <v>85</v>
      </c>
      <c r="JY98" t="s">
        <v>85</v>
      </c>
      <c r="JZ98">
        <v>18</v>
      </c>
      <c r="KA98">
        <v>93</v>
      </c>
      <c r="KB98">
        <v>94</v>
      </c>
      <c r="KC98">
        <v>65</v>
      </c>
      <c r="KD98">
        <v>42</v>
      </c>
      <c r="KE98">
        <v>1743</v>
      </c>
      <c r="KF98">
        <v>265</v>
      </c>
      <c r="KG98">
        <v>261</v>
      </c>
      <c r="KH98">
        <v>257</v>
      </c>
      <c r="KI98">
        <v>23</v>
      </c>
      <c r="KJ98">
        <v>5207</v>
      </c>
      <c r="KK98">
        <v>96</v>
      </c>
      <c r="KL98">
        <v>97</v>
      </c>
      <c r="KM98">
        <v>72</v>
      </c>
      <c r="KN98">
        <v>47</v>
      </c>
      <c r="KO98">
        <v>1718</v>
      </c>
      <c r="KP98">
        <v>92</v>
      </c>
      <c r="KQ98">
        <v>67</v>
      </c>
      <c r="KR98">
        <v>109</v>
      </c>
      <c r="KS98">
        <v>35</v>
      </c>
      <c r="KT98">
        <v>1810</v>
      </c>
      <c r="KU98" t="s">
        <v>85</v>
      </c>
      <c r="KV98" t="s">
        <v>85</v>
      </c>
      <c r="KW98" t="s">
        <v>85</v>
      </c>
      <c r="KX98" t="s">
        <v>85</v>
      </c>
      <c r="KY98" t="s">
        <v>85</v>
      </c>
      <c r="KZ98">
        <v>18</v>
      </c>
      <c r="LA98">
        <v>122</v>
      </c>
      <c r="LB98">
        <v>146</v>
      </c>
      <c r="LC98">
        <v>119</v>
      </c>
      <c r="LD98">
        <v>35</v>
      </c>
      <c r="LE98">
        <v>2577</v>
      </c>
      <c r="LF98">
        <v>83</v>
      </c>
      <c r="LG98">
        <v>108</v>
      </c>
      <c r="LH98">
        <v>81</v>
      </c>
      <c r="LI98">
        <v>29</v>
      </c>
      <c r="LJ98">
        <v>1867</v>
      </c>
      <c r="LK98">
        <v>139</v>
      </c>
      <c r="LL98">
        <v>142</v>
      </c>
      <c r="LM98">
        <v>159</v>
      </c>
      <c r="LN98">
        <v>38</v>
      </c>
      <c r="LO98">
        <v>2814</v>
      </c>
      <c r="LP98">
        <v>133</v>
      </c>
      <c r="LQ98">
        <v>139</v>
      </c>
      <c r="LR98">
        <v>160</v>
      </c>
      <c r="LS98">
        <v>37</v>
      </c>
      <c r="LT98">
        <v>2994</v>
      </c>
      <c r="LU98">
        <v>0</v>
      </c>
      <c r="LV98">
        <v>6</v>
      </c>
      <c r="LW98">
        <v>7</v>
      </c>
      <c r="LX98">
        <v>8</v>
      </c>
      <c r="LY98">
        <v>72</v>
      </c>
      <c r="LZ98">
        <v>18</v>
      </c>
      <c r="MA98">
        <v>102</v>
      </c>
      <c r="MB98">
        <v>137</v>
      </c>
      <c r="MC98">
        <v>93</v>
      </c>
      <c r="MD98">
        <v>44</v>
      </c>
      <c r="ME98">
        <v>2226</v>
      </c>
      <c r="MF98" t="s">
        <v>85</v>
      </c>
      <c r="MG98" t="s">
        <v>85</v>
      </c>
      <c r="MH98" t="s">
        <v>85</v>
      </c>
      <c r="MI98" t="s">
        <v>85</v>
      </c>
      <c r="MJ98" t="s">
        <v>85</v>
      </c>
      <c r="MK98" t="s">
        <v>85</v>
      </c>
      <c r="ML98" t="s">
        <v>85</v>
      </c>
      <c r="MM98" t="s">
        <v>85</v>
      </c>
      <c r="MN98" t="s">
        <v>85</v>
      </c>
      <c r="MO98" t="s">
        <v>85</v>
      </c>
      <c r="MP98" t="s">
        <v>85</v>
      </c>
      <c r="MQ98" t="s">
        <v>85</v>
      </c>
      <c r="MR98" t="s">
        <v>85</v>
      </c>
      <c r="MS98" t="s">
        <v>85</v>
      </c>
      <c r="MT98" t="s">
        <v>85</v>
      </c>
      <c r="MU98" t="s">
        <v>85</v>
      </c>
      <c r="MV98" t="s">
        <v>85</v>
      </c>
      <c r="MW98" t="s">
        <v>85</v>
      </c>
      <c r="MX98" t="s">
        <v>85</v>
      </c>
      <c r="MY98" t="s">
        <v>85</v>
      </c>
    </row>
    <row r="99" spans="1:363">
      <c r="A99" s="467">
        <v>19</v>
      </c>
      <c r="B99">
        <v>0</v>
      </c>
      <c r="C99">
        <v>-1</v>
      </c>
      <c r="D99">
        <v>0</v>
      </c>
      <c r="E99">
        <v>-1</v>
      </c>
      <c r="F99">
        <v>26</v>
      </c>
      <c r="G99">
        <v>5</v>
      </c>
      <c r="H99">
        <v>6</v>
      </c>
      <c r="I99">
        <v>6</v>
      </c>
      <c r="J99">
        <v>0</v>
      </c>
      <c r="K99">
        <v>84</v>
      </c>
      <c r="L99">
        <v>6</v>
      </c>
      <c r="M99">
        <v>6</v>
      </c>
      <c r="N99">
        <v>6</v>
      </c>
      <c r="O99">
        <v>0</v>
      </c>
      <c r="P99">
        <v>66</v>
      </c>
      <c r="Q99">
        <v>5</v>
      </c>
      <c r="R99">
        <v>5</v>
      </c>
      <c r="S99">
        <v>4</v>
      </c>
      <c r="T99">
        <v>0</v>
      </c>
      <c r="U99">
        <v>68</v>
      </c>
      <c r="V99">
        <v>6</v>
      </c>
      <c r="W99">
        <v>6</v>
      </c>
      <c r="X99">
        <v>5</v>
      </c>
      <c r="Y99">
        <v>1</v>
      </c>
      <c r="Z99">
        <v>0</v>
      </c>
      <c r="AA99">
        <v>19</v>
      </c>
      <c r="AB99">
        <v>10</v>
      </c>
      <c r="AC99">
        <v>10</v>
      </c>
      <c r="AD99">
        <v>10</v>
      </c>
      <c r="AE99">
        <v>1</v>
      </c>
      <c r="AF99">
        <v>116</v>
      </c>
      <c r="AG99">
        <v>12</v>
      </c>
      <c r="AH99">
        <v>11</v>
      </c>
      <c r="AI99">
        <v>11</v>
      </c>
      <c r="AJ99">
        <v>1</v>
      </c>
      <c r="AK99">
        <v>134</v>
      </c>
      <c r="AL99">
        <v>1</v>
      </c>
      <c r="AM99">
        <v>1</v>
      </c>
      <c r="AN99">
        <v>1</v>
      </c>
      <c r="AO99">
        <v>1</v>
      </c>
      <c r="AP99">
        <v>48</v>
      </c>
      <c r="AQ99" t="s">
        <v>85</v>
      </c>
      <c r="AR99" t="s">
        <v>85</v>
      </c>
      <c r="AS99" t="s">
        <v>85</v>
      </c>
      <c r="AT99" t="s">
        <v>85</v>
      </c>
      <c r="AU99" t="s">
        <v>85</v>
      </c>
      <c r="AV99" t="s">
        <v>85</v>
      </c>
      <c r="AW99" t="s">
        <v>85</v>
      </c>
      <c r="AX99" t="s">
        <v>85</v>
      </c>
      <c r="AY99" t="s">
        <v>85</v>
      </c>
      <c r="AZ99" t="s">
        <v>85</v>
      </c>
      <c r="BA99">
        <v>19</v>
      </c>
      <c r="BB99">
        <v>23</v>
      </c>
      <c r="BC99">
        <v>23</v>
      </c>
      <c r="BD99">
        <v>23</v>
      </c>
      <c r="BE99">
        <v>0</v>
      </c>
      <c r="BF99">
        <v>921</v>
      </c>
      <c r="BG99">
        <v>19</v>
      </c>
      <c r="BH99">
        <v>17</v>
      </c>
      <c r="BI99">
        <v>17</v>
      </c>
      <c r="BJ99">
        <v>0</v>
      </c>
      <c r="BK99">
        <v>652</v>
      </c>
      <c r="BL99">
        <v>16</v>
      </c>
      <c r="BM99">
        <v>15</v>
      </c>
      <c r="BN99">
        <v>14</v>
      </c>
      <c r="BO99">
        <v>0</v>
      </c>
      <c r="BP99">
        <v>580</v>
      </c>
      <c r="BQ99">
        <v>57</v>
      </c>
      <c r="BR99">
        <v>58</v>
      </c>
      <c r="BS99">
        <v>56</v>
      </c>
      <c r="BT99">
        <v>1</v>
      </c>
      <c r="BU99">
        <v>2115</v>
      </c>
      <c r="BV99">
        <v>45</v>
      </c>
      <c r="BW99">
        <v>49</v>
      </c>
      <c r="BX99">
        <v>47</v>
      </c>
      <c r="BY99">
        <v>0</v>
      </c>
      <c r="BZ99">
        <v>1737</v>
      </c>
      <c r="CA99">
        <v>19</v>
      </c>
      <c r="CB99" t="s">
        <v>85</v>
      </c>
      <c r="CC99" t="s">
        <v>85</v>
      </c>
      <c r="CD99" t="s">
        <v>85</v>
      </c>
      <c r="CE99" t="s">
        <v>85</v>
      </c>
      <c r="CF99">
        <v>0</v>
      </c>
      <c r="CG99">
        <v>2</v>
      </c>
      <c r="CH99">
        <v>0</v>
      </c>
      <c r="CI99">
        <v>2</v>
      </c>
      <c r="CJ99">
        <v>0</v>
      </c>
      <c r="CK99">
        <v>59</v>
      </c>
      <c r="CL99" t="s">
        <v>85</v>
      </c>
      <c r="CM99" t="s">
        <v>85</v>
      </c>
      <c r="CN99" t="s">
        <v>85</v>
      </c>
      <c r="CO99" t="s">
        <v>85</v>
      </c>
      <c r="CP99" t="s">
        <v>85</v>
      </c>
      <c r="CQ99" t="s">
        <v>85</v>
      </c>
      <c r="CR99" t="s">
        <v>85</v>
      </c>
      <c r="CS99" t="s">
        <v>85</v>
      </c>
      <c r="CT99" t="s">
        <v>85</v>
      </c>
      <c r="CU99" t="s">
        <v>85</v>
      </c>
      <c r="CV99" t="s">
        <v>85</v>
      </c>
      <c r="CW99" t="s">
        <v>85</v>
      </c>
      <c r="CX99" t="s">
        <v>85</v>
      </c>
      <c r="CY99" t="s">
        <v>85</v>
      </c>
      <c r="CZ99" t="s">
        <v>85</v>
      </c>
      <c r="DA99">
        <v>19</v>
      </c>
      <c r="DB99">
        <v>164</v>
      </c>
      <c r="DC99">
        <v>164</v>
      </c>
      <c r="DD99">
        <v>163</v>
      </c>
      <c r="DE99">
        <v>0</v>
      </c>
      <c r="DF99">
        <v>6202</v>
      </c>
      <c r="DG99">
        <v>40</v>
      </c>
      <c r="DH99">
        <v>40</v>
      </c>
      <c r="DI99">
        <v>40</v>
      </c>
      <c r="DJ99">
        <v>0</v>
      </c>
      <c r="DK99">
        <v>1474</v>
      </c>
      <c r="DL99">
        <v>11</v>
      </c>
      <c r="DM99">
        <v>11</v>
      </c>
      <c r="DN99">
        <v>11</v>
      </c>
      <c r="DO99">
        <v>0</v>
      </c>
      <c r="DP99">
        <v>397</v>
      </c>
      <c r="DQ99">
        <v>0</v>
      </c>
      <c r="DR99">
        <v>0</v>
      </c>
      <c r="DS99">
        <v>0</v>
      </c>
      <c r="DT99">
        <v>0</v>
      </c>
      <c r="DU99">
        <v>0</v>
      </c>
      <c r="DV99">
        <v>0</v>
      </c>
      <c r="DW99">
        <v>0</v>
      </c>
      <c r="DX99">
        <v>0</v>
      </c>
      <c r="DY99">
        <v>0</v>
      </c>
      <c r="DZ99">
        <v>0</v>
      </c>
      <c r="EA99">
        <v>19</v>
      </c>
      <c r="EB99">
        <v>0</v>
      </c>
      <c r="EC99">
        <v>0</v>
      </c>
      <c r="ED99">
        <v>0</v>
      </c>
      <c r="EE99">
        <v>0</v>
      </c>
      <c r="EF99">
        <v>0</v>
      </c>
      <c r="EG99" t="s">
        <v>85</v>
      </c>
      <c r="EH99" t="s">
        <v>85</v>
      </c>
      <c r="EI99" t="s">
        <v>85</v>
      </c>
      <c r="EJ99" t="s">
        <v>85</v>
      </c>
      <c r="EK99" t="s">
        <v>85</v>
      </c>
      <c r="EL99" t="s">
        <v>85</v>
      </c>
      <c r="EM99" t="s">
        <v>85</v>
      </c>
      <c r="EN99" t="s">
        <v>85</v>
      </c>
      <c r="EO99" t="s">
        <v>85</v>
      </c>
      <c r="EP99" t="s">
        <v>85</v>
      </c>
      <c r="EQ99" t="s">
        <v>85</v>
      </c>
      <c r="ER99" t="s">
        <v>85</v>
      </c>
      <c r="ES99" t="s">
        <v>85</v>
      </c>
      <c r="ET99" t="s">
        <v>85</v>
      </c>
      <c r="EU99" t="s">
        <v>85</v>
      </c>
      <c r="EV99" t="s">
        <v>85</v>
      </c>
      <c r="EW99" t="s">
        <v>85</v>
      </c>
      <c r="EX99" t="s">
        <v>85</v>
      </c>
      <c r="EY99" t="s">
        <v>85</v>
      </c>
      <c r="EZ99" t="s">
        <v>85</v>
      </c>
      <c r="FA99">
        <v>19</v>
      </c>
      <c r="FB99">
        <v>2</v>
      </c>
      <c r="FC99">
        <v>2</v>
      </c>
      <c r="FD99">
        <v>1</v>
      </c>
      <c r="FE99">
        <v>0</v>
      </c>
      <c r="FF99">
        <v>48</v>
      </c>
      <c r="FG99">
        <v>0</v>
      </c>
      <c r="FH99">
        <v>0</v>
      </c>
      <c r="FI99">
        <v>0</v>
      </c>
      <c r="FJ99">
        <v>0</v>
      </c>
      <c r="FK99">
        <v>0</v>
      </c>
      <c r="FL99">
        <v>0</v>
      </c>
      <c r="FM99">
        <v>0</v>
      </c>
      <c r="FN99">
        <v>0</v>
      </c>
      <c r="FO99">
        <v>0</v>
      </c>
      <c r="FP99">
        <v>0</v>
      </c>
      <c r="FQ99">
        <v>53</v>
      </c>
      <c r="FR99">
        <v>50</v>
      </c>
      <c r="FS99">
        <v>56</v>
      </c>
      <c r="FT99">
        <v>0</v>
      </c>
      <c r="FU99">
        <v>2078</v>
      </c>
      <c r="FV99">
        <v>16</v>
      </c>
      <c r="FW99">
        <v>16</v>
      </c>
      <c r="FX99">
        <v>17</v>
      </c>
      <c r="FY99">
        <v>0</v>
      </c>
      <c r="FZ99">
        <v>509</v>
      </c>
      <c r="GA99">
        <v>19</v>
      </c>
      <c r="GB99">
        <v>104</v>
      </c>
      <c r="GC99">
        <v>105</v>
      </c>
      <c r="GD99">
        <v>101</v>
      </c>
      <c r="GE99">
        <v>0</v>
      </c>
      <c r="GF99">
        <v>4008</v>
      </c>
      <c r="GG99" t="s">
        <v>85</v>
      </c>
      <c r="GH99" t="s">
        <v>85</v>
      </c>
      <c r="GI99" t="s">
        <v>85</v>
      </c>
      <c r="GJ99" t="s">
        <v>85</v>
      </c>
      <c r="GK99" t="s">
        <v>85</v>
      </c>
      <c r="GL99" t="s">
        <v>85</v>
      </c>
      <c r="GM99" t="s">
        <v>85</v>
      </c>
      <c r="GN99" t="s">
        <v>85</v>
      </c>
      <c r="GO99" t="s">
        <v>85</v>
      </c>
      <c r="GP99" t="s">
        <v>85</v>
      </c>
      <c r="GQ99" t="s">
        <v>85</v>
      </c>
      <c r="GR99" t="s">
        <v>85</v>
      </c>
      <c r="GS99" t="s">
        <v>85</v>
      </c>
      <c r="GT99" t="s">
        <v>85</v>
      </c>
      <c r="GU99" t="s">
        <v>85</v>
      </c>
      <c r="GV99" t="s">
        <v>85</v>
      </c>
      <c r="GW99" t="s">
        <v>85</v>
      </c>
      <c r="GX99" t="s">
        <v>85</v>
      </c>
      <c r="GY99" t="s">
        <v>85</v>
      </c>
      <c r="GZ99">
        <v>19</v>
      </c>
      <c r="HA99">
        <v>110</v>
      </c>
      <c r="HB99">
        <v>147</v>
      </c>
      <c r="HC99">
        <v>117</v>
      </c>
      <c r="HD99">
        <v>41</v>
      </c>
      <c r="HE99">
        <v>2470</v>
      </c>
      <c r="HF99">
        <v>78</v>
      </c>
      <c r="HG99">
        <v>94</v>
      </c>
      <c r="HH99">
        <v>78</v>
      </c>
      <c r="HI99">
        <v>26</v>
      </c>
      <c r="HJ99">
        <v>1690</v>
      </c>
      <c r="HK99">
        <v>90</v>
      </c>
      <c r="HL99">
        <v>79</v>
      </c>
      <c r="HM99">
        <v>100</v>
      </c>
      <c r="HN99">
        <v>27</v>
      </c>
      <c r="HO99">
        <v>1779</v>
      </c>
      <c r="HP99">
        <v>44</v>
      </c>
      <c r="HQ99">
        <v>60</v>
      </c>
      <c r="HR99">
        <v>50</v>
      </c>
      <c r="HS99">
        <v>14</v>
      </c>
      <c r="HT99">
        <v>1066</v>
      </c>
      <c r="HU99">
        <v>164</v>
      </c>
      <c r="HV99">
        <v>189</v>
      </c>
      <c r="HW99">
        <v>161</v>
      </c>
      <c r="HX99">
        <v>25</v>
      </c>
      <c r="HY99">
        <v>3401</v>
      </c>
      <c r="HZ99">
        <v>19</v>
      </c>
      <c r="IA99">
        <v>121</v>
      </c>
      <c r="IB99">
        <v>133</v>
      </c>
      <c r="IC99">
        <v>105</v>
      </c>
      <c r="ID99">
        <v>44</v>
      </c>
      <c r="IE99">
        <v>2379</v>
      </c>
      <c r="IF99" t="s">
        <v>85</v>
      </c>
      <c r="IG99" t="s">
        <v>85</v>
      </c>
      <c r="IH99" t="s">
        <v>85</v>
      </c>
      <c r="II99" t="s">
        <v>85</v>
      </c>
      <c r="IJ99" t="s">
        <v>85</v>
      </c>
      <c r="IK99" t="s">
        <v>85</v>
      </c>
      <c r="IL99" t="s">
        <v>85</v>
      </c>
      <c r="IM99" t="s">
        <v>85</v>
      </c>
      <c r="IN99" t="s">
        <v>85</v>
      </c>
      <c r="IO99" t="s">
        <v>85</v>
      </c>
      <c r="IP99" t="s">
        <v>85</v>
      </c>
      <c r="IQ99" t="s">
        <v>85</v>
      </c>
      <c r="IR99" t="s">
        <v>85</v>
      </c>
      <c r="IS99" t="s">
        <v>85</v>
      </c>
      <c r="IT99" t="s">
        <v>85</v>
      </c>
      <c r="IU99" t="s">
        <v>85</v>
      </c>
      <c r="IV99" t="s">
        <v>85</v>
      </c>
      <c r="IW99" t="s">
        <v>85</v>
      </c>
      <c r="IX99" t="s">
        <v>85</v>
      </c>
      <c r="IY99" t="s">
        <v>85</v>
      </c>
      <c r="IZ99">
        <v>19</v>
      </c>
      <c r="JA99">
        <v>146</v>
      </c>
      <c r="JB99">
        <v>112</v>
      </c>
      <c r="JC99">
        <v>126</v>
      </c>
      <c r="JD99">
        <v>31</v>
      </c>
      <c r="JE99">
        <v>2580</v>
      </c>
      <c r="JF99">
        <v>139</v>
      </c>
      <c r="JG99">
        <v>129</v>
      </c>
      <c r="JH99">
        <v>119</v>
      </c>
      <c r="JI99">
        <v>51</v>
      </c>
      <c r="JJ99">
        <v>2494</v>
      </c>
      <c r="JK99">
        <v>136</v>
      </c>
      <c r="JL99">
        <v>163</v>
      </c>
      <c r="JM99">
        <v>176</v>
      </c>
      <c r="JN99">
        <v>47</v>
      </c>
      <c r="JO99">
        <v>3177</v>
      </c>
      <c r="JP99">
        <v>149</v>
      </c>
      <c r="JQ99">
        <v>120</v>
      </c>
      <c r="JR99">
        <v>124</v>
      </c>
      <c r="JS99">
        <v>40</v>
      </c>
      <c r="JT99">
        <v>2606</v>
      </c>
      <c r="JU99" t="s">
        <v>85</v>
      </c>
      <c r="JV99" t="s">
        <v>85</v>
      </c>
      <c r="JW99" t="s">
        <v>85</v>
      </c>
      <c r="JX99" t="s">
        <v>85</v>
      </c>
      <c r="JY99" t="s">
        <v>85</v>
      </c>
      <c r="JZ99">
        <v>19</v>
      </c>
      <c r="KA99">
        <v>95</v>
      </c>
      <c r="KB99">
        <v>103</v>
      </c>
      <c r="KC99">
        <v>75</v>
      </c>
      <c r="KD99">
        <v>36</v>
      </c>
      <c r="KE99">
        <v>1792</v>
      </c>
      <c r="KF99">
        <v>252</v>
      </c>
      <c r="KG99">
        <v>262</v>
      </c>
      <c r="KH99">
        <v>241</v>
      </c>
      <c r="KI99">
        <v>21</v>
      </c>
      <c r="KJ99">
        <v>5018</v>
      </c>
      <c r="KK99">
        <v>95</v>
      </c>
      <c r="KL99">
        <v>97</v>
      </c>
      <c r="KM99">
        <v>73</v>
      </c>
      <c r="KN99">
        <v>44</v>
      </c>
      <c r="KO99">
        <v>1774</v>
      </c>
      <c r="KP99">
        <v>95</v>
      </c>
      <c r="KQ99">
        <v>62</v>
      </c>
      <c r="KR99">
        <v>115</v>
      </c>
      <c r="KS99">
        <v>49</v>
      </c>
      <c r="KT99">
        <v>1842</v>
      </c>
      <c r="KU99" t="s">
        <v>85</v>
      </c>
      <c r="KV99" t="s">
        <v>85</v>
      </c>
      <c r="KW99" t="s">
        <v>85</v>
      </c>
      <c r="KX99" t="s">
        <v>85</v>
      </c>
      <c r="KY99" t="s">
        <v>85</v>
      </c>
      <c r="KZ99">
        <v>19</v>
      </c>
      <c r="LA99">
        <v>136</v>
      </c>
      <c r="LB99">
        <v>157</v>
      </c>
      <c r="LC99">
        <v>131</v>
      </c>
      <c r="LD99">
        <v>34</v>
      </c>
      <c r="LE99">
        <v>2729</v>
      </c>
      <c r="LF99">
        <v>88</v>
      </c>
      <c r="LG99">
        <v>97</v>
      </c>
      <c r="LH99">
        <v>76</v>
      </c>
      <c r="LI99">
        <v>15</v>
      </c>
      <c r="LJ99">
        <v>1846</v>
      </c>
      <c r="LK99">
        <v>144</v>
      </c>
      <c r="LL99">
        <v>152</v>
      </c>
      <c r="LM99">
        <v>157</v>
      </c>
      <c r="LN99">
        <v>39</v>
      </c>
      <c r="LO99">
        <v>3051</v>
      </c>
      <c r="LP99">
        <v>115</v>
      </c>
      <c r="LQ99">
        <v>122</v>
      </c>
      <c r="LR99">
        <v>139</v>
      </c>
      <c r="LS99">
        <v>31</v>
      </c>
      <c r="LT99">
        <v>2581</v>
      </c>
      <c r="LU99">
        <v>0</v>
      </c>
      <c r="LV99">
        <v>6</v>
      </c>
      <c r="LW99">
        <v>8</v>
      </c>
      <c r="LX99">
        <v>9</v>
      </c>
      <c r="LY99">
        <v>82</v>
      </c>
      <c r="LZ99">
        <v>19</v>
      </c>
      <c r="MA99">
        <v>95</v>
      </c>
      <c r="MB99">
        <v>139</v>
      </c>
      <c r="MC99">
        <v>95</v>
      </c>
      <c r="MD99">
        <v>45</v>
      </c>
      <c r="ME99">
        <v>2225</v>
      </c>
      <c r="MF99" t="s">
        <v>85</v>
      </c>
      <c r="MG99" t="s">
        <v>85</v>
      </c>
      <c r="MH99" t="s">
        <v>85</v>
      </c>
      <c r="MI99" t="s">
        <v>85</v>
      </c>
      <c r="MJ99" t="s">
        <v>85</v>
      </c>
      <c r="MK99" t="s">
        <v>85</v>
      </c>
      <c r="ML99" t="s">
        <v>85</v>
      </c>
      <c r="MM99" t="s">
        <v>85</v>
      </c>
      <c r="MN99" t="s">
        <v>85</v>
      </c>
      <c r="MO99" t="s">
        <v>85</v>
      </c>
      <c r="MP99" t="s">
        <v>85</v>
      </c>
      <c r="MQ99" t="s">
        <v>85</v>
      </c>
      <c r="MR99" t="s">
        <v>85</v>
      </c>
      <c r="MS99" t="s">
        <v>85</v>
      </c>
      <c r="MT99" t="s">
        <v>85</v>
      </c>
      <c r="MU99" t="s">
        <v>85</v>
      </c>
      <c r="MV99" t="s">
        <v>85</v>
      </c>
      <c r="MW99" t="s">
        <v>85</v>
      </c>
      <c r="MX99" t="s">
        <v>85</v>
      </c>
      <c r="MY99" t="s">
        <v>85</v>
      </c>
    </row>
    <row r="100" spans="1:363">
      <c r="A100" s="467">
        <v>20</v>
      </c>
      <c r="B100">
        <v>-1</v>
      </c>
      <c r="C100">
        <v>-1</v>
      </c>
      <c r="D100">
        <v>-1</v>
      </c>
      <c r="E100">
        <v>0</v>
      </c>
      <c r="F100">
        <v>27</v>
      </c>
      <c r="G100">
        <v>6</v>
      </c>
      <c r="H100">
        <v>6</v>
      </c>
      <c r="I100">
        <v>6</v>
      </c>
      <c r="J100">
        <v>0</v>
      </c>
      <c r="K100">
        <v>80</v>
      </c>
      <c r="L100">
        <v>7</v>
      </c>
      <c r="M100">
        <v>7</v>
      </c>
      <c r="N100">
        <v>6</v>
      </c>
      <c r="O100">
        <v>0</v>
      </c>
      <c r="P100">
        <v>56</v>
      </c>
      <c r="Q100">
        <v>5</v>
      </c>
      <c r="R100">
        <v>5</v>
      </c>
      <c r="S100">
        <v>4</v>
      </c>
      <c r="T100">
        <v>0</v>
      </c>
      <c r="U100">
        <v>57</v>
      </c>
      <c r="V100">
        <v>6</v>
      </c>
      <c r="W100">
        <v>6</v>
      </c>
      <c r="X100">
        <v>6</v>
      </c>
      <c r="Y100">
        <v>1</v>
      </c>
      <c r="Z100">
        <v>0</v>
      </c>
      <c r="AA100">
        <v>20</v>
      </c>
      <c r="AB100">
        <v>10</v>
      </c>
      <c r="AC100">
        <v>10</v>
      </c>
      <c r="AD100">
        <v>10</v>
      </c>
      <c r="AE100">
        <v>1</v>
      </c>
      <c r="AF100">
        <v>102</v>
      </c>
      <c r="AG100">
        <v>12</v>
      </c>
      <c r="AH100">
        <v>12</v>
      </c>
      <c r="AI100">
        <v>12</v>
      </c>
      <c r="AJ100">
        <v>1</v>
      </c>
      <c r="AK100">
        <v>109</v>
      </c>
      <c r="AL100">
        <v>1</v>
      </c>
      <c r="AM100">
        <v>1</v>
      </c>
      <c r="AN100">
        <v>1</v>
      </c>
      <c r="AO100">
        <v>1</v>
      </c>
      <c r="AP100">
        <v>48</v>
      </c>
      <c r="AQ100" t="s">
        <v>85</v>
      </c>
      <c r="AR100" t="s">
        <v>85</v>
      </c>
      <c r="AS100" t="s">
        <v>85</v>
      </c>
      <c r="AT100" t="s">
        <v>85</v>
      </c>
      <c r="AU100" t="s">
        <v>85</v>
      </c>
      <c r="AV100" t="s">
        <v>85</v>
      </c>
      <c r="AW100" t="s">
        <v>85</v>
      </c>
      <c r="AX100" t="s">
        <v>85</v>
      </c>
      <c r="AY100" t="s">
        <v>85</v>
      </c>
      <c r="AZ100" t="s">
        <v>85</v>
      </c>
      <c r="BA100">
        <v>20</v>
      </c>
      <c r="BB100">
        <v>23</v>
      </c>
      <c r="BC100">
        <v>23</v>
      </c>
      <c r="BD100">
        <v>23</v>
      </c>
      <c r="BE100">
        <v>0</v>
      </c>
      <c r="BF100">
        <v>902</v>
      </c>
      <c r="BG100">
        <v>33</v>
      </c>
      <c r="BH100">
        <v>31</v>
      </c>
      <c r="BI100">
        <v>31</v>
      </c>
      <c r="BJ100">
        <v>0</v>
      </c>
      <c r="BK100">
        <v>840</v>
      </c>
      <c r="BL100">
        <v>17</v>
      </c>
      <c r="BM100">
        <v>17</v>
      </c>
      <c r="BN100">
        <v>16</v>
      </c>
      <c r="BO100">
        <v>0</v>
      </c>
      <c r="BP100">
        <v>609</v>
      </c>
      <c r="BQ100">
        <v>47</v>
      </c>
      <c r="BR100">
        <v>48</v>
      </c>
      <c r="BS100">
        <v>46</v>
      </c>
      <c r="BT100">
        <v>1</v>
      </c>
      <c r="BU100">
        <v>2071</v>
      </c>
      <c r="BV100">
        <v>47</v>
      </c>
      <c r="BW100">
        <v>50</v>
      </c>
      <c r="BX100">
        <v>48</v>
      </c>
      <c r="BY100">
        <v>0</v>
      </c>
      <c r="BZ100">
        <v>1697</v>
      </c>
      <c r="CA100">
        <v>20</v>
      </c>
      <c r="CB100" t="s">
        <v>85</v>
      </c>
      <c r="CC100" t="s">
        <v>85</v>
      </c>
      <c r="CD100" t="s">
        <v>85</v>
      </c>
      <c r="CE100" t="s">
        <v>85</v>
      </c>
      <c r="CF100">
        <v>0</v>
      </c>
      <c r="CG100">
        <v>2</v>
      </c>
      <c r="CH100">
        <v>2</v>
      </c>
      <c r="CI100">
        <v>2</v>
      </c>
      <c r="CJ100">
        <v>0</v>
      </c>
      <c r="CK100">
        <v>58</v>
      </c>
      <c r="CL100" t="s">
        <v>85</v>
      </c>
      <c r="CM100" t="s">
        <v>85</v>
      </c>
      <c r="CN100" t="s">
        <v>85</v>
      </c>
      <c r="CO100" t="s">
        <v>85</v>
      </c>
      <c r="CP100" t="s">
        <v>85</v>
      </c>
      <c r="CQ100" t="s">
        <v>85</v>
      </c>
      <c r="CR100" t="s">
        <v>85</v>
      </c>
      <c r="CS100" t="s">
        <v>85</v>
      </c>
      <c r="CT100" t="s">
        <v>85</v>
      </c>
      <c r="CU100" t="s">
        <v>85</v>
      </c>
      <c r="CV100" t="s">
        <v>85</v>
      </c>
      <c r="CW100" t="s">
        <v>85</v>
      </c>
      <c r="CX100" t="s">
        <v>85</v>
      </c>
      <c r="CY100" t="s">
        <v>85</v>
      </c>
      <c r="CZ100" t="s">
        <v>85</v>
      </c>
      <c r="DA100">
        <v>20</v>
      </c>
      <c r="DB100">
        <v>155</v>
      </c>
      <c r="DC100">
        <v>154</v>
      </c>
      <c r="DD100">
        <v>154</v>
      </c>
      <c r="DE100">
        <v>0</v>
      </c>
      <c r="DF100">
        <v>6162</v>
      </c>
      <c r="DG100">
        <v>32</v>
      </c>
      <c r="DH100">
        <v>32</v>
      </c>
      <c r="DI100">
        <v>32</v>
      </c>
      <c r="DJ100">
        <v>0</v>
      </c>
      <c r="DK100">
        <v>1448</v>
      </c>
      <c r="DL100">
        <v>11</v>
      </c>
      <c r="DM100">
        <v>11</v>
      </c>
      <c r="DN100">
        <v>11</v>
      </c>
      <c r="DO100">
        <v>0</v>
      </c>
      <c r="DP100">
        <v>424</v>
      </c>
      <c r="DQ100">
        <v>0</v>
      </c>
      <c r="DR100">
        <v>0</v>
      </c>
      <c r="DS100">
        <v>0</v>
      </c>
      <c r="DT100">
        <v>0</v>
      </c>
      <c r="DU100">
        <v>0</v>
      </c>
      <c r="DV100">
        <v>0</v>
      </c>
      <c r="DW100">
        <v>0</v>
      </c>
      <c r="DX100">
        <v>0</v>
      </c>
      <c r="DY100">
        <v>0</v>
      </c>
      <c r="DZ100">
        <v>0</v>
      </c>
      <c r="EA100">
        <v>20</v>
      </c>
      <c r="EB100">
        <v>0</v>
      </c>
      <c r="EC100">
        <v>0</v>
      </c>
      <c r="ED100">
        <v>0</v>
      </c>
      <c r="EE100">
        <v>0</v>
      </c>
      <c r="EF100">
        <v>0</v>
      </c>
      <c r="EG100" t="s">
        <v>85</v>
      </c>
      <c r="EH100" t="s">
        <v>85</v>
      </c>
      <c r="EI100" t="s">
        <v>85</v>
      </c>
      <c r="EJ100" t="s">
        <v>85</v>
      </c>
      <c r="EK100" t="s">
        <v>85</v>
      </c>
      <c r="EL100" t="s">
        <v>85</v>
      </c>
      <c r="EM100" t="s">
        <v>85</v>
      </c>
      <c r="EN100" t="s">
        <v>85</v>
      </c>
      <c r="EO100" t="s">
        <v>85</v>
      </c>
      <c r="EP100" t="s">
        <v>85</v>
      </c>
      <c r="EQ100" t="s">
        <v>85</v>
      </c>
      <c r="ER100" t="s">
        <v>85</v>
      </c>
      <c r="ES100" t="s">
        <v>85</v>
      </c>
      <c r="ET100" t="s">
        <v>85</v>
      </c>
      <c r="EU100" t="s">
        <v>85</v>
      </c>
      <c r="EV100" t="s">
        <v>85</v>
      </c>
      <c r="EW100" t="s">
        <v>85</v>
      </c>
      <c r="EX100" t="s">
        <v>85</v>
      </c>
      <c r="EY100" t="s">
        <v>85</v>
      </c>
      <c r="EZ100" t="s">
        <v>85</v>
      </c>
      <c r="FA100">
        <v>20</v>
      </c>
      <c r="FB100">
        <v>2</v>
      </c>
      <c r="FC100">
        <v>1</v>
      </c>
      <c r="FD100">
        <v>1</v>
      </c>
      <c r="FE100">
        <v>0</v>
      </c>
      <c r="FF100">
        <v>0</v>
      </c>
      <c r="FG100">
        <v>0</v>
      </c>
      <c r="FH100">
        <v>0</v>
      </c>
      <c r="FI100">
        <v>0</v>
      </c>
      <c r="FJ100">
        <v>0</v>
      </c>
      <c r="FK100">
        <v>0</v>
      </c>
      <c r="FL100">
        <v>0</v>
      </c>
      <c r="FM100">
        <v>0</v>
      </c>
      <c r="FN100">
        <v>0</v>
      </c>
      <c r="FO100">
        <v>0</v>
      </c>
      <c r="FP100">
        <v>0</v>
      </c>
      <c r="FQ100">
        <v>50</v>
      </c>
      <c r="FR100">
        <v>49</v>
      </c>
      <c r="FS100">
        <v>57</v>
      </c>
      <c r="FT100">
        <v>0</v>
      </c>
      <c r="FU100">
        <v>2134</v>
      </c>
      <c r="FV100">
        <v>25</v>
      </c>
      <c r="FW100">
        <v>23</v>
      </c>
      <c r="FX100">
        <v>24</v>
      </c>
      <c r="FY100">
        <v>0</v>
      </c>
      <c r="FZ100">
        <v>812</v>
      </c>
      <c r="GA100">
        <v>20</v>
      </c>
      <c r="GB100">
        <v>105</v>
      </c>
      <c r="GC100">
        <v>107</v>
      </c>
      <c r="GD100">
        <v>104</v>
      </c>
      <c r="GE100">
        <v>0</v>
      </c>
      <c r="GF100">
        <v>3949</v>
      </c>
      <c r="GG100" t="s">
        <v>85</v>
      </c>
      <c r="GH100" t="s">
        <v>85</v>
      </c>
      <c r="GI100" t="s">
        <v>85</v>
      </c>
      <c r="GJ100" t="s">
        <v>85</v>
      </c>
      <c r="GK100" t="s">
        <v>85</v>
      </c>
      <c r="GL100" t="s">
        <v>85</v>
      </c>
      <c r="GM100" t="s">
        <v>85</v>
      </c>
      <c r="GN100" t="s">
        <v>85</v>
      </c>
      <c r="GO100" t="s">
        <v>85</v>
      </c>
      <c r="GP100" t="s">
        <v>85</v>
      </c>
      <c r="GQ100" t="s">
        <v>85</v>
      </c>
      <c r="GR100" t="s">
        <v>85</v>
      </c>
      <c r="GS100" t="s">
        <v>85</v>
      </c>
      <c r="GT100" t="s">
        <v>85</v>
      </c>
      <c r="GU100" t="s">
        <v>85</v>
      </c>
      <c r="GV100" t="s">
        <v>85</v>
      </c>
      <c r="GW100" t="s">
        <v>85</v>
      </c>
      <c r="GX100" t="s">
        <v>85</v>
      </c>
      <c r="GY100" t="s">
        <v>85</v>
      </c>
      <c r="GZ100">
        <v>20</v>
      </c>
      <c r="HA100">
        <v>100</v>
      </c>
      <c r="HB100">
        <v>134</v>
      </c>
      <c r="HC100">
        <v>103</v>
      </c>
      <c r="HD100">
        <v>39</v>
      </c>
      <c r="HE100">
        <v>2276</v>
      </c>
      <c r="HF100">
        <v>77</v>
      </c>
      <c r="HG100">
        <v>90</v>
      </c>
      <c r="HH100">
        <v>78</v>
      </c>
      <c r="HI100">
        <v>21</v>
      </c>
      <c r="HJ100">
        <v>1720</v>
      </c>
      <c r="HK100">
        <v>89</v>
      </c>
      <c r="HL100">
        <v>85</v>
      </c>
      <c r="HM100">
        <v>100</v>
      </c>
      <c r="HN100">
        <v>23</v>
      </c>
      <c r="HO100">
        <v>1859</v>
      </c>
      <c r="HP100">
        <v>42</v>
      </c>
      <c r="HQ100">
        <v>58</v>
      </c>
      <c r="HR100">
        <v>49</v>
      </c>
      <c r="HS100">
        <v>15</v>
      </c>
      <c r="HT100">
        <v>1062</v>
      </c>
      <c r="HU100">
        <v>162</v>
      </c>
      <c r="HV100">
        <v>185</v>
      </c>
      <c r="HW100">
        <v>152</v>
      </c>
      <c r="HX100">
        <v>25</v>
      </c>
      <c r="HY100">
        <v>3508</v>
      </c>
      <c r="HZ100">
        <v>20</v>
      </c>
      <c r="IA100">
        <v>129</v>
      </c>
      <c r="IB100">
        <v>135</v>
      </c>
      <c r="IC100">
        <v>107</v>
      </c>
      <c r="ID100">
        <v>44</v>
      </c>
      <c r="IE100">
        <v>2487</v>
      </c>
      <c r="IF100" t="s">
        <v>85</v>
      </c>
      <c r="IG100" t="s">
        <v>85</v>
      </c>
      <c r="IH100" t="s">
        <v>85</v>
      </c>
      <c r="II100" t="s">
        <v>85</v>
      </c>
      <c r="IJ100" t="s">
        <v>85</v>
      </c>
      <c r="IK100" t="s">
        <v>85</v>
      </c>
      <c r="IL100" t="s">
        <v>85</v>
      </c>
      <c r="IM100" t="s">
        <v>85</v>
      </c>
      <c r="IN100" t="s">
        <v>85</v>
      </c>
      <c r="IO100" t="s">
        <v>85</v>
      </c>
      <c r="IP100" t="s">
        <v>85</v>
      </c>
      <c r="IQ100" t="s">
        <v>85</v>
      </c>
      <c r="IR100" t="s">
        <v>85</v>
      </c>
      <c r="IS100" t="s">
        <v>85</v>
      </c>
      <c r="IT100" t="s">
        <v>85</v>
      </c>
      <c r="IU100" t="s">
        <v>85</v>
      </c>
      <c r="IV100" t="s">
        <v>85</v>
      </c>
      <c r="IW100" t="s">
        <v>85</v>
      </c>
      <c r="IX100" t="s">
        <v>85</v>
      </c>
      <c r="IY100" t="s">
        <v>85</v>
      </c>
      <c r="IZ100">
        <v>20</v>
      </c>
      <c r="JA100">
        <v>151</v>
      </c>
      <c r="JB100">
        <v>108</v>
      </c>
      <c r="JC100">
        <v>135</v>
      </c>
      <c r="JD100">
        <v>52</v>
      </c>
      <c r="JE100">
        <v>2665</v>
      </c>
      <c r="JF100">
        <v>141</v>
      </c>
      <c r="JG100">
        <v>127</v>
      </c>
      <c r="JH100">
        <v>127</v>
      </c>
      <c r="JI100">
        <v>39</v>
      </c>
      <c r="JJ100">
        <v>2657</v>
      </c>
      <c r="JK100">
        <v>133</v>
      </c>
      <c r="JL100">
        <v>164</v>
      </c>
      <c r="JM100">
        <v>171</v>
      </c>
      <c r="JN100">
        <v>45</v>
      </c>
      <c r="JO100">
        <v>3190</v>
      </c>
      <c r="JP100">
        <v>139</v>
      </c>
      <c r="JQ100">
        <v>110</v>
      </c>
      <c r="JR100">
        <v>126</v>
      </c>
      <c r="JS100">
        <v>32</v>
      </c>
      <c r="JT100">
        <v>2592</v>
      </c>
      <c r="JU100" t="s">
        <v>85</v>
      </c>
      <c r="JV100" t="s">
        <v>85</v>
      </c>
      <c r="JW100" t="s">
        <v>85</v>
      </c>
      <c r="JX100" t="s">
        <v>85</v>
      </c>
      <c r="JY100" t="s">
        <v>85</v>
      </c>
      <c r="JZ100">
        <v>20</v>
      </c>
      <c r="KA100">
        <v>105</v>
      </c>
      <c r="KB100">
        <v>116</v>
      </c>
      <c r="KC100">
        <v>84</v>
      </c>
      <c r="KD100">
        <v>40</v>
      </c>
      <c r="KE100">
        <v>1958</v>
      </c>
      <c r="KF100">
        <v>242</v>
      </c>
      <c r="KG100">
        <v>251</v>
      </c>
      <c r="KH100">
        <v>227</v>
      </c>
      <c r="KI100">
        <v>25</v>
      </c>
      <c r="KJ100">
        <v>5033</v>
      </c>
      <c r="KK100">
        <v>93</v>
      </c>
      <c r="KL100">
        <v>96</v>
      </c>
      <c r="KM100">
        <v>75</v>
      </c>
      <c r="KN100">
        <v>42</v>
      </c>
      <c r="KO100">
        <v>1787</v>
      </c>
      <c r="KP100">
        <v>96</v>
      </c>
      <c r="KQ100">
        <v>59</v>
      </c>
      <c r="KR100">
        <v>117</v>
      </c>
      <c r="KS100">
        <v>52</v>
      </c>
      <c r="KT100">
        <v>1820</v>
      </c>
      <c r="KU100" t="s">
        <v>85</v>
      </c>
      <c r="KV100" t="s">
        <v>85</v>
      </c>
      <c r="KW100" t="s">
        <v>85</v>
      </c>
      <c r="KX100" t="s">
        <v>85</v>
      </c>
      <c r="KY100" t="s">
        <v>85</v>
      </c>
      <c r="KZ100">
        <v>20</v>
      </c>
      <c r="LA100">
        <v>146</v>
      </c>
      <c r="LB100">
        <v>166</v>
      </c>
      <c r="LC100">
        <v>134</v>
      </c>
      <c r="LD100">
        <v>40</v>
      </c>
      <c r="LE100">
        <v>2986</v>
      </c>
      <c r="LF100">
        <v>91</v>
      </c>
      <c r="LG100">
        <v>101</v>
      </c>
      <c r="LH100">
        <v>75</v>
      </c>
      <c r="LI100">
        <v>17</v>
      </c>
      <c r="LJ100">
        <v>1806</v>
      </c>
      <c r="LK100">
        <v>159</v>
      </c>
      <c r="LL100">
        <v>155</v>
      </c>
      <c r="LM100">
        <v>166</v>
      </c>
      <c r="LN100">
        <v>37</v>
      </c>
      <c r="LO100">
        <v>3177</v>
      </c>
      <c r="LP100">
        <v>108</v>
      </c>
      <c r="LQ100">
        <v>111</v>
      </c>
      <c r="LR100">
        <v>130</v>
      </c>
      <c r="LS100">
        <v>34</v>
      </c>
      <c r="LT100">
        <v>2312</v>
      </c>
      <c r="LU100">
        <v>0</v>
      </c>
      <c r="LV100">
        <v>6</v>
      </c>
      <c r="LW100">
        <v>8</v>
      </c>
      <c r="LX100">
        <v>8</v>
      </c>
      <c r="LY100">
        <v>89</v>
      </c>
      <c r="LZ100">
        <v>20</v>
      </c>
      <c r="MA100">
        <v>93</v>
      </c>
      <c r="MB100">
        <v>139</v>
      </c>
      <c r="MC100">
        <v>92</v>
      </c>
      <c r="MD100">
        <v>46</v>
      </c>
      <c r="ME100">
        <v>2235</v>
      </c>
      <c r="MF100" t="s">
        <v>85</v>
      </c>
      <c r="MG100" t="s">
        <v>85</v>
      </c>
      <c r="MH100" t="s">
        <v>85</v>
      </c>
      <c r="MI100" t="s">
        <v>85</v>
      </c>
      <c r="MJ100" t="s">
        <v>85</v>
      </c>
      <c r="MK100" t="s">
        <v>85</v>
      </c>
      <c r="ML100" t="s">
        <v>85</v>
      </c>
      <c r="MM100" t="s">
        <v>85</v>
      </c>
      <c r="MN100" t="s">
        <v>85</v>
      </c>
      <c r="MO100" t="s">
        <v>85</v>
      </c>
      <c r="MP100" t="s">
        <v>85</v>
      </c>
      <c r="MQ100" t="s">
        <v>85</v>
      </c>
      <c r="MR100" t="s">
        <v>85</v>
      </c>
      <c r="MS100" t="s">
        <v>85</v>
      </c>
      <c r="MT100" t="s">
        <v>85</v>
      </c>
      <c r="MU100" t="s">
        <v>85</v>
      </c>
      <c r="MV100" t="s">
        <v>85</v>
      </c>
      <c r="MW100" t="s">
        <v>85</v>
      </c>
      <c r="MX100" t="s">
        <v>85</v>
      </c>
      <c r="MY100" t="s">
        <v>85</v>
      </c>
    </row>
    <row r="101" spans="1:363">
      <c r="A101" s="467">
        <v>21</v>
      </c>
      <c r="B101">
        <v>-1</v>
      </c>
      <c r="C101">
        <v>0</v>
      </c>
      <c r="D101">
        <v>-1</v>
      </c>
      <c r="E101">
        <v>-1</v>
      </c>
      <c r="F101">
        <v>28</v>
      </c>
      <c r="G101">
        <v>6</v>
      </c>
      <c r="H101">
        <v>6</v>
      </c>
      <c r="I101">
        <v>6</v>
      </c>
      <c r="J101">
        <v>0</v>
      </c>
      <c r="K101">
        <v>85</v>
      </c>
      <c r="L101">
        <v>7</v>
      </c>
      <c r="M101">
        <v>7</v>
      </c>
      <c r="N101">
        <v>6</v>
      </c>
      <c r="O101">
        <v>0</v>
      </c>
      <c r="P101">
        <v>48</v>
      </c>
      <c r="Q101">
        <v>5</v>
      </c>
      <c r="R101">
        <v>5</v>
      </c>
      <c r="S101">
        <v>4</v>
      </c>
      <c r="T101">
        <v>0</v>
      </c>
      <c r="U101">
        <v>56</v>
      </c>
      <c r="V101">
        <v>6</v>
      </c>
      <c r="W101">
        <v>6</v>
      </c>
      <c r="X101">
        <v>6</v>
      </c>
      <c r="Y101">
        <v>1</v>
      </c>
      <c r="Z101">
        <v>0</v>
      </c>
      <c r="AA101">
        <v>21</v>
      </c>
      <c r="AB101">
        <v>10</v>
      </c>
      <c r="AC101">
        <v>10</v>
      </c>
      <c r="AD101">
        <v>10</v>
      </c>
      <c r="AE101">
        <v>1</v>
      </c>
      <c r="AF101">
        <v>111</v>
      </c>
      <c r="AG101">
        <v>12</v>
      </c>
      <c r="AH101">
        <v>12</v>
      </c>
      <c r="AI101">
        <v>12</v>
      </c>
      <c r="AJ101">
        <v>1</v>
      </c>
      <c r="AK101">
        <v>103</v>
      </c>
      <c r="AL101">
        <v>1</v>
      </c>
      <c r="AM101">
        <v>1</v>
      </c>
      <c r="AN101">
        <v>1</v>
      </c>
      <c r="AO101">
        <v>1</v>
      </c>
      <c r="AP101">
        <v>48</v>
      </c>
      <c r="AQ101" t="s">
        <v>85</v>
      </c>
      <c r="AR101" t="s">
        <v>85</v>
      </c>
      <c r="AS101" t="s">
        <v>85</v>
      </c>
      <c r="AT101" t="s">
        <v>85</v>
      </c>
      <c r="AU101" t="s">
        <v>85</v>
      </c>
      <c r="AV101" t="s">
        <v>85</v>
      </c>
      <c r="AW101" t="s">
        <v>85</v>
      </c>
      <c r="AX101" t="s">
        <v>85</v>
      </c>
      <c r="AY101" t="s">
        <v>85</v>
      </c>
      <c r="AZ101" t="s">
        <v>85</v>
      </c>
      <c r="BA101">
        <v>21</v>
      </c>
      <c r="BB101">
        <v>23</v>
      </c>
      <c r="BC101">
        <v>23</v>
      </c>
      <c r="BD101">
        <v>23</v>
      </c>
      <c r="BE101">
        <v>0</v>
      </c>
      <c r="BF101">
        <v>901</v>
      </c>
      <c r="BG101">
        <v>32</v>
      </c>
      <c r="BH101">
        <v>30</v>
      </c>
      <c r="BI101">
        <v>31</v>
      </c>
      <c r="BJ101">
        <v>0</v>
      </c>
      <c r="BK101">
        <v>1251</v>
      </c>
      <c r="BL101">
        <v>9</v>
      </c>
      <c r="BM101">
        <v>9</v>
      </c>
      <c r="BN101">
        <v>8</v>
      </c>
      <c r="BO101">
        <v>0</v>
      </c>
      <c r="BP101">
        <v>481</v>
      </c>
      <c r="BQ101">
        <v>48</v>
      </c>
      <c r="BR101">
        <v>47</v>
      </c>
      <c r="BS101">
        <v>46</v>
      </c>
      <c r="BT101">
        <v>1</v>
      </c>
      <c r="BU101">
        <v>1860</v>
      </c>
      <c r="BV101">
        <v>40</v>
      </c>
      <c r="BW101">
        <v>43</v>
      </c>
      <c r="BX101">
        <v>42</v>
      </c>
      <c r="BY101">
        <v>0</v>
      </c>
      <c r="BZ101">
        <v>1680</v>
      </c>
      <c r="CA101">
        <v>21</v>
      </c>
      <c r="CB101" t="s">
        <v>85</v>
      </c>
      <c r="CC101" t="s">
        <v>85</v>
      </c>
      <c r="CD101" t="s">
        <v>85</v>
      </c>
      <c r="CE101" t="s">
        <v>85</v>
      </c>
      <c r="CF101">
        <v>0</v>
      </c>
      <c r="CG101">
        <v>2</v>
      </c>
      <c r="CH101">
        <v>2</v>
      </c>
      <c r="CI101">
        <v>2</v>
      </c>
      <c r="CJ101">
        <v>0</v>
      </c>
      <c r="CK101">
        <v>58</v>
      </c>
      <c r="CL101" t="s">
        <v>85</v>
      </c>
      <c r="CM101" t="s">
        <v>85</v>
      </c>
      <c r="CN101" t="s">
        <v>85</v>
      </c>
      <c r="CO101" t="s">
        <v>85</v>
      </c>
      <c r="CP101" t="s">
        <v>85</v>
      </c>
      <c r="CQ101" t="s">
        <v>85</v>
      </c>
      <c r="CR101" t="s">
        <v>85</v>
      </c>
      <c r="CS101" t="s">
        <v>85</v>
      </c>
      <c r="CT101" t="s">
        <v>85</v>
      </c>
      <c r="CU101" t="s">
        <v>85</v>
      </c>
      <c r="CV101" t="s">
        <v>85</v>
      </c>
      <c r="CW101" t="s">
        <v>85</v>
      </c>
      <c r="CX101" t="s">
        <v>85</v>
      </c>
      <c r="CY101" t="s">
        <v>85</v>
      </c>
      <c r="CZ101" t="s">
        <v>85</v>
      </c>
      <c r="DA101">
        <v>21</v>
      </c>
      <c r="DB101">
        <v>155</v>
      </c>
      <c r="DC101">
        <v>156</v>
      </c>
      <c r="DD101">
        <v>155</v>
      </c>
      <c r="DE101">
        <v>0</v>
      </c>
      <c r="DF101">
        <v>6010</v>
      </c>
      <c r="DG101">
        <v>8</v>
      </c>
      <c r="DH101">
        <v>8</v>
      </c>
      <c r="DI101">
        <v>8</v>
      </c>
      <c r="DJ101">
        <v>0</v>
      </c>
      <c r="DK101">
        <v>645</v>
      </c>
      <c r="DL101">
        <v>11</v>
      </c>
      <c r="DM101">
        <v>11</v>
      </c>
      <c r="DN101">
        <v>10</v>
      </c>
      <c r="DO101">
        <v>0</v>
      </c>
      <c r="DP101">
        <v>415</v>
      </c>
      <c r="DQ101">
        <v>0</v>
      </c>
      <c r="DR101">
        <v>0</v>
      </c>
      <c r="DS101">
        <v>0</v>
      </c>
      <c r="DT101">
        <v>0</v>
      </c>
      <c r="DU101">
        <v>0</v>
      </c>
      <c r="DV101">
        <v>0</v>
      </c>
      <c r="DW101">
        <v>0</v>
      </c>
      <c r="DX101">
        <v>0</v>
      </c>
      <c r="DY101">
        <v>0</v>
      </c>
      <c r="DZ101">
        <v>0</v>
      </c>
      <c r="EA101">
        <v>21</v>
      </c>
      <c r="EB101">
        <v>0</v>
      </c>
      <c r="EC101">
        <v>0</v>
      </c>
      <c r="ED101">
        <v>0</v>
      </c>
      <c r="EE101">
        <v>0</v>
      </c>
      <c r="EF101">
        <v>0</v>
      </c>
      <c r="EG101" t="s">
        <v>85</v>
      </c>
      <c r="EH101" t="s">
        <v>85</v>
      </c>
      <c r="EI101" t="s">
        <v>85</v>
      </c>
      <c r="EJ101" t="s">
        <v>85</v>
      </c>
      <c r="EK101" t="s">
        <v>85</v>
      </c>
      <c r="EL101" t="s">
        <v>85</v>
      </c>
      <c r="EM101" t="s">
        <v>85</v>
      </c>
      <c r="EN101" t="s">
        <v>85</v>
      </c>
      <c r="EO101" t="s">
        <v>85</v>
      </c>
      <c r="EP101" t="s">
        <v>85</v>
      </c>
      <c r="EQ101" t="s">
        <v>85</v>
      </c>
      <c r="ER101" t="s">
        <v>85</v>
      </c>
      <c r="ES101" t="s">
        <v>85</v>
      </c>
      <c r="ET101" t="s">
        <v>85</v>
      </c>
      <c r="EU101" t="s">
        <v>85</v>
      </c>
      <c r="EV101" t="s">
        <v>85</v>
      </c>
      <c r="EW101" t="s">
        <v>85</v>
      </c>
      <c r="EX101" t="s">
        <v>85</v>
      </c>
      <c r="EY101" t="s">
        <v>85</v>
      </c>
      <c r="EZ101" t="s">
        <v>85</v>
      </c>
      <c r="FA101">
        <v>21</v>
      </c>
      <c r="FB101">
        <v>2</v>
      </c>
      <c r="FC101">
        <v>1</v>
      </c>
      <c r="FD101">
        <v>1</v>
      </c>
      <c r="FE101">
        <v>0</v>
      </c>
      <c r="FF101">
        <v>0</v>
      </c>
      <c r="FG101">
        <v>0</v>
      </c>
      <c r="FH101">
        <v>0</v>
      </c>
      <c r="FI101">
        <v>0</v>
      </c>
      <c r="FJ101">
        <v>0</v>
      </c>
      <c r="FK101">
        <v>0</v>
      </c>
      <c r="FL101">
        <v>0</v>
      </c>
      <c r="FM101">
        <v>0</v>
      </c>
      <c r="FN101">
        <v>0</v>
      </c>
      <c r="FO101">
        <v>0</v>
      </c>
      <c r="FP101">
        <v>0</v>
      </c>
      <c r="FQ101">
        <v>49</v>
      </c>
      <c r="FR101">
        <v>48</v>
      </c>
      <c r="FS101">
        <v>52</v>
      </c>
      <c r="FT101">
        <v>0</v>
      </c>
      <c r="FU101">
        <v>2093</v>
      </c>
      <c r="FV101">
        <v>12</v>
      </c>
      <c r="FW101">
        <v>12</v>
      </c>
      <c r="FX101">
        <v>11</v>
      </c>
      <c r="FY101">
        <v>0</v>
      </c>
      <c r="FZ101">
        <v>944</v>
      </c>
      <c r="GA101">
        <v>21</v>
      </c>
      <c r="GB101">
        <v>98</v>
      </c>
      <c r="GC101">
        <v>101</v>
      </c>
      <c r="GD101">
        <v>98</v>
      </c>
      <c r="GE101">
        <v>0</v>
      </c>
      <c r="GF101">
        <v>3916</v>
      </c>
      <c r="GG101" t="s">
        <v>85</v>
      </c>
      <c r="GH101" t="s">
        <v>85</v>
      </c>
      <c r="GI101" t="s">
        <v>85</v>
      </c>
      <c r="GJ101" t="s">
        <v>85</v>
      </c>
      <c r="GK101" t="s">
        <v>85</v>
      </c>
      <c r="GL101" t="s">
        <v>85</v>
      </c>
      <c r="GM101" t="s">
        <v>85</v>
      </c>
      <c r="GN101" t="s">
        <v>85</v>
      </c>
      <c r="GO101" t="s">
        <v>85</v>
      </c>
      <c r="GP101" t="s">
        <v>85</v>
      </c>
      <c r="GQ101" t="s">
        <v>85</v>
      </c>
      <c r="GR101" t="s">
        <v>85</v>
      </c>
      <c r="GS101" t="s">
        <v>85</v>
      </c>
      <c r="GT101" t="s">
        <v>85</v>
      </c>
      <c r="GU101" t="s">
        <v>85</v>
      </c>
      <c r="GV101" t="s">
        <v>85</v>
      </c>
      <c r="GW101" t="s">
        <v>85</v>
      </c>
      <c r="GX101" t="s">
        <v>85</v>
      </c>
      <c r="GY101" t="s">
        <v>85</v>
      </c>
      <c r="GZ101">
        <v>21</v>
      </c>
      <c r="HA101">
        <v>99</v>
      </c>
      <c r="HB101">
        <v>132</v>
      </c>
      <c r="HC101">
        <v>110</v>
      </c>
      <c r="HD101">
        <v>32</v>
      </c>
      <c r="HE101">
        <v>2197</v>
      </c>
      <c r="HF101">
        <v>73</v>
      </c>
      <c r="HG101">
        <v>89</v>
      </c>
      <c r="HH101">
        <v>73</v>
      </c>
      <c r="HI101">
        <v>25</v>
      </c>
      <c r="HJ101">
        <v>1639</v>
      </c>
      <c r="HK101">
        <v>86</v>
      </c>
      <c r="HL101">
        <v>77</v>
      </c>
      <c r="HM101">
        <v>96</v>
      </c>
      <c r="HN101">
        <v>26</v>
      </c>
      <c r="HO101">
        <v>1801</v>
      </c>
      <c r="HP101">
        <v>44</v>
      </c>
      <c r="HQ101">
        <v>57</v>
      </c>
      <c r="HR101">
        <v>48</v>
      </c>
      <c r="HS101">
        <v>16</v>
      </c>
      <c r="HT101">
        <v>1052</v>
      </c>
      <c r="HU101">
        <v>163</v>
      </c>
      <c r="HV101">
        <v>186</v>
      </c>
      <c r="HW101">
        <v>156</v>
      </c>
      <c r="HX101">
        <v>29</v>
      </c>
      <c r="HY101">
        <v>3363</v>
      </c>
      <c r="HZ101">
        <v>21</v>
      </c>
      <c r="IA101">
        <v>126</v>
      </c>
      <c r="IB101">
        <v>143</v>
      </c>
      <c r="IC101">
        <v>102</v>
      </c>
      <c r="ID101">
        <v>52</v>
      </c>
      <c r="IE101">
        <v>2501</v>
      </c>
      <c r="IF101" t="s">
        <v>85</v>
      </c>
      <c r="IG101" t="s">
        <v>85</v>
      </c>
      <c r="IH101" t="s">
        <v>85</v>
      </c>
      <c r="II101" t="s">
        <v>85</v>
      </c>
      <c r="IJ101" t="s">
        <v>85</v>
      </c>
      <c r="IK101" t="s">
        <v>85</v>
      </c>
      <c r="IL101" t="s">
        <v>85</v>
      </c>
      <c r="IM101" t="s">
        <v>85</v>
      </c>
      <c r="IN101" t="s">
        <v>85</v>
      </c>
      <c r="IO101" t="s">
        <v>85</v>
      </c>
      <c r="IP101" t="s">
        <v>85</v>
      </c>
      <c r="IQ101" t="s">
        <v>85</v>
      </c>
      <c r="IR101" t="s">
        <v>85</v>
      </c>
      <c r="IS101" t="s">
        <v>85</v>
      </c>
      <c r="IT101" t="s">
        <v>85</v>
      </c>
      <c r="IU101" t="s">
        <v>85</v>
      </c>
      <c r="IV101" t="s">
        <v>85</v>
      </c>
      <c r="IW101" t="s">
        <v>85</v>
      </c>
      <c r="IX101" t="s">
        <v>85</v>
      </c>
      <c r="IY101" t="s">
        <v>85</v>
      </c>
      <c r="IZ101">
        <v>21</v>
      </c>
      <c r="JA101">
        <v>132</v>
      </c>
      <c r="JB101">
        <v>91</v>
      </c>
      <c r="JC101">
        <v>109</v>
      </c>
      <c r="JD101">
        <v>43</v>
      </c>
      <c r="JE101">
        <v>2408</v>
      </c>
      <c r="JF101">
        <v>146</v>
      </c>
      <c r="JG101">
        <v>128</v>
      </c>
      <c r="JH101">
        <v>121</v>
      </c>
      <c r="JI101">
        <v>43</v>
      </c>
      <c r="JJ101">
        <v>2627</v>
      </c>
      <c r="JK101">
        <v>133</v>
      </c>
      <c r="JL101">
        <v>168</v>
      </c>
      <c r="JM101">
        <v>178</v>
      </c>
      <c r="JN101">
        <v>54</v>
      </c>
      <c r="JO101">
        <v>3146</v>
      </c>
      <c r="JP101">
        <v>137</v>
      </c>
      <c r="JQ101">
        <v>104</v>
      </c>
      <c r="JR101">
        <v>128</v>
      </c>
      <c r="JS101">
        <v>38</v>
      </c>
      <c r="JT101">
        <v>2478</v>
      </c>
      <c r="JU101" t="s">
        <v>85</v>
      </c>
      <c r="JV101" t="s">
        <v>85</v>
      </c>
      <c r="JW101" t="s">
        <v>85</v>
      </c>
      <c r="JX101" t="s">
        <v>85</v>
      </c>
      <c r="JY101" t="s">
        <v>85</v>
      </c>
      <c r="JZ101">
        <v>21</v>
      </c>
      <c r="KA101">
        <v>95</v>
      </c>
      <c r="KB101">
        <v>102</v>
      </c>
      <c r="KC101">
        <v>82</v>
      </c>
      <c r="KD101">
        <v>19</v>
      </c>
      <c r="KE101">
        <v>1913</v>
      </c>
      <c r="KF101">
        <v>223</v>
      </c>
      <c r="KG101">
        <v>226</v>
      </c>
      <c r="KH101">
        <v>199</v>
      </c>
      <c r="KI101">
        <v>31</v>
      </c>
      <c r="KJ101">
        <v>4190</v>
      </c>
      <c r="KK101">
        <v>88</v>
      </c>
      <c r="KL101">
        <v>90</v>
      </c>
      <c r="KM101">
        <v>75</v>
      </c>
      <c r="KN101">
        <v>36</v>
      </c>
      <c r="KO101">
        <v>1730</v>
      </c>
      <c r="KP101">
        <v>83</v>
      </c>
      <c r="KQ101">
        <v>58</v>
      </c>
      <c r="KR101">
        <v>103</v>
      </c>
      <c r="KS101">
        <v>42</v>
      </c>
      <c r="KT101">
        <v>1709</v>
      </c>
      <c r="KU101" t="s">
        <v>85</v>
      </c>
      <c r="KV101" t="s">
        <v>85</v>
      </c>
      <c r="KW101" t="s">
        <v>85</v>
      </c>
      <c r="KX101" t="s">
        <v>85</v>
      </c>
      <c r="KY101" t="s">
        <v>85</v>
      </c>
      <c r="KZ101">
        <v>21</v>
      </c>
      <c r="LA101">
        <v>147</v>
      </c>
      <c r="LB101">
        <v>164</v>
      </c>
      <c r="LC101">
        <v>127</v>
      </c>
      <c r="LD101">
        <v>45</v>
      </c>
      <c r="LE101">
        <v>2939</v>
      </c>
      <c r="LF101">
        <v>90</v>
      </c>
      <c r="LG101">
        <v>96</v>
      </c>
      <c r="LH101">
        <v>65</v>
      </c>
      <c r="LI101">
        <v>20</v>
      </c>
      <c r="LJ101">
        <v>1736</v>
      </c>
      <c r="LK101">
        <v>155</v>
      </c>
      <c r="LL101">
        <v>145</v>
      </c>
      <c r="LM101">
        <v>160</v>
      </c>
      <c r="LN101">
        <v>39</v>
      </c>
      <c r="LO101">
        <v>3094</v>
      </c>
      <c r="LP101">
        <v>118</v>
      </c>
      <c r="LQ101">
        <v>131</v>
      </c>
      <c r="LR101">
        <v>144</v>
      </c>
      <c r="LS101">
        <v>35</v>
      </c>
      <c r="LT101">
        <v>2230</v>
      </c>
      <c r="LU101">
        <v>0</v>
      </c>
      <c r="LV101">
        <v>5</v>
      </c>
      <c r="LW101">
        <v>7</v>
      </c>
      <c r="LX101">
        <v>7</v>
      </c>
      <c r="LY101">
        <v>80</v>
      </c>
      <c r="LZ101">
        <v>21</v>
      </c>
      <c r="MA101">
        <v>89</v>
      </c>
      <c r="MB101">
        <v>135</v>
      </c>
      <c r="MC101">
        <v>80</v>
      </c>
      <c r="MD101">
        <v>48</v>
      </c>
      <c r="ME101">
        <v>2158</v>
      </c>
      <c r="MF101" t="s">
        <v>85</v>
      </c>
      <c r="MG101" t="s">
        <v>85</v>
      </c>
      <c r="MH101" t="s">
        <v>85</v>
      </c>
      <c r="MI101" t="s">
        <v>85</v>
      </c>
      <c r="MJ101" t="s">
        <v>85</v>
      </c>
      <c r="MK101" t="s">
        <v>85</v>
      </c>
      <c r="ML101" t="s">
        <v>85</v>
      </c>
      <c r="MM101" t="s">
        <v>85</v>
      </c>
      <c r="MN101" t="s">
        <v>85</v>
      </c>
      <c r="MO101" t="s">
        <v>85</v>
      </c>
      <c r="MP101" t="s">
        <v>85</v>
      </c>
      <c r="MQ101" t="s">
        <v>85</v>
      </c>
      <c r="MR101" t="s">
        <v>85</v>
      </c>
      <c r="MS101" t="s">
        <v>85</v>
      </c>
      <c r="MT101" t="s">
        <v>85</v>
      </c>
      <c r="MU101" t="s">
        <v>85</v>
      </c>
      <c r="MV101" t="s">
        <v>85</v>
      </c>
      <c r="MW101" t="s">
        <v>85</v>
      </c>
      <c r="MX101" t="s">
        <v>85</v>
      </c>
      <c r="MY101" t="s">
        <v>85</v>
      </c>
    </row>
    <row r="102" spans="1:363">
      <c r="A102" s="467">
        <v>22</v>
      </c>
      <c r="B102">
        <v>-1</v>
      </c>
      <c r="C102">
        <v>-1</v>
      </c>
      <c r="D102">
        <v>-1</v>
      </c>
      <c r="E102">
        <v>-1</v>
      </c>
      <c r="F102">
        <v>28</v>
      </c>
      <c r="G102">
        <v>5</v>
      </c>
      <c r="H102">
        <v>6</v>
      </c>
      <c r="I102">
        <v>6</v>
      </c>
      <c r="J102">
        <v>0</v>
      </c>
      <c r="K102">
        <v>87</v>
      </c>
      <c r="L102">
        <v>7</v>
      </c>
      <c r="M102">
        <v>7</v>
      </c>
      <c r="N102">
        <v>6</v>
      </c>
      <c r="O102">
        <v>0</v>
      </c>
      <c r="P102">
        <v>51</v>
      </c>
      <c r="Q102">
        <v>5</v>
      </c>
      <c r="R102">
        <v>5</v>
      </c>
      <c r="S102">
        <v>4</v>
      </c>
      <c r="T102">
        <v>0</v>
      </c>
      <c r="U102">
        <v>57</v>
      </c>
      <c r="V102">
        <v>6</v>
      </c>
      <c r="W102">
        <v>6</v>
      </c>
      <c r="X102">
        <v>5</v>
      </c>
      <c r="Y102">
        <v>1</v>
      </c>
      <c r="Z102">
        <v>0</v>
      </c>
      <c r="AA102">
        <v>22</v>
      </c>
      <c r="AB102">
        <v>11</v>
      </c>
      <c r="AC102">
        <v>11</v>
      </c>
      <c r="AD102">
        <v>11</v>
      </c>
      <c r="AE102">
        <v>1</v>
      </c>
      <c r="AF102">
        <v>103</v>
      </c>
      <c r="AG102">
        <v>12</v>
      </c>
      <c r="AH102">
        <v>12</v>
      </c>
      <c r="AI102">
        <v>12</v>
      </c>
      <c r="AJ102">
        <v>1</v>
      </c>
      <c r="AK102">
        <v>109</v>
      </c>
      <c r="AL102">
        <v>1</v>
      </c>
      <c r="AM102">
        <v>1</v>
      </c>
      <c r="AN102">
        <v>1</v>
      </c>
      <c r="AO102">
        <v>1</v>
      </c>
      <c r="AP102">
        <v>48</v>
      </c>
      <c r="AQ102" t="s">
        <v>85</v>
      </c>
      <c r="AR102" t="s">
        <v>85</v>
      </c>
      <c r="AS102" t="s">
        <v>85</v>
      </c>
      <c r="AT102" t="s">
        <v>85</v>
      </c>
      <c r="AU102" t="s">
        <v>85</v>
      </c>
      <c r="AV102" t="s">
        <v>85</v>
      </c>
      <c r="AW102" t="s">
        <v>85</v>
      </c>
      <c r="AX102" t="s">
        <v>85</v>
      </c>
      <c r="AY102" t="s">
        <v>85</v>
      </c>
      <c r="AZ102" t="s">
        <v>85</v>
      </c>
      <c r="BA102">
        <v>22</v>
      </c>
      <c r="BB102">
        <v>23</v>
      </c>
      <c r="BC102">
        <v>23</v>
      </c>
      <c r="BD102">
        <v>23</v>
      </c>
      <c r="BE102">
        <v>0</v>
      </c>
      <c r="BF102">
        <v>894</v>
      </c>
      <c r="BG102">
        <v>32</v>
      </c>
      <c r="BH102">
        <v>29</v>
      </c>
      <c r="BI102">
        <v>29</v>
      </c>
      <c r="BJ102">
        <v>0</v>
      </c>
      <c r="BK102">
        <v>1220</v>
      </c>
      <c r="BL102">
        <v>8</v>
      </c>
      <c r="BM102">
        <v>7</v>
      </c>
      <c r="BN102">
        <v>6</v>
      </c>
      <c r="BO102">
        <v>0</v>
      </c>
      <c r="BP102">
        <v>271</v>
      </c>
      <c r="BQ102">
        <v>47</v>
      </c>
      <c r="BR102">
        <v>48</v>
      </c>
      <c r="BS102">
        <v>45</v>
      </c>
      <c r="BT102">
        <v>1</v>
      </c>
      <c r="BU102">
        <v>1809</v>
      </c>
      <c r="BV102">
        <v>38</v>
      </c>
      <c r="BW102">
        <v>41</v>
      </c>
      <c r="BX102">
        <v>40</v>
      </c>
      <c r="BY102">
        <v>0</v>
      </c>
      <c r="BZ102">
        <v>1605</v>
      </c>
      <c r="CA102">
        <v>22</v>
      </c>
      <c r="CB102" t="s">
        <v>85</v>
      </c>
      <c r="CC102" t="s">
        <v>85</v>
      </c>
      <c r="CD102" t="s">
        <v>85</v>
      </c>
      <c r="CE102" t="s">
        <v>85</v>
      </c>
      <c r="CF102">
        <v>0</v>
      </c>
      <c r="CG102">
        <v>0</v>
      </c>
      <c r="CH102">
        <v>2</v>
      </c>
      <c r="CI102">
        <v>2</v>
      </c>
      <c r="CJ102">
        <v>0</v>
      </c>
      <c r="CK102">
        <v>59</v>
      </c>
      <c r="CL102" t="s">
        <v>85</v>
      </c>
      <c r="CM102" t="s">
        <v>85</v>
      </c>
      <c r="CN102" t="s">
        <v>85</v>
      </c>
      <c r="CO102" t="s">
        <v>85</v>
      </c>
      <c r="CP102" t="s">
        <v>85</v>
      </c>
      <c r="CQ102" t="s">
        <v>85</v>
      </c>
      <c r="CR102" t="s">
        <v>85</v>
      </c>
      <c r="CS102" t="s">
        <v>85</v>
      </c>
      <c r="CT102" t="s">
        <v>85</v>
      </c>
      <c r="CU102" t="s">
        <v>85</v>
      </c>
      <c r="CV102" t="s">
        <v>85</v>
      </c>
      <c r="CW102" t="s">
        <v>85</v>
      </c>
      <c r="CX102" t="s">
        <v>85</v>
      </c>
      <c r="CY102" t="s">
        <v>85</v>
      </c>
      <c r="CZ102" t="s">
        <v>85</v>
      </c>
      <c r="DA102">
        <v>22</v>
      </c>
      <c r="DB102">
        <v>147</v>
      </c>
      <c r="DC102">
        <v>148</v>
      </c>
      <c r="DD102">
        <v>147</v>
      </c>
      <c r="DE102">
        <v>0</v>
      </c>
      <c r="DF102">
        <v>5661</v>
      </c>
      <c r="DG102">
        <v>8</v>
      </c>
      <c r="DH102">
        <v>7</v>
      </c>
      <c r="DI102">
        <v>8</v>
      </c>
      <c r="DJ102">
        <v>0</v>
      </c>
      <c r="DK102">
        <v>291</v>
      </c>
      <c r="DL102">
        <v>10</v>
      </c>
      <c r="DM102">
        <v>10</v>
      </c>
      <c r="DN102">
        <v>9</v>
      </c>
      <c r="DO102">
        <v>0</v>
      </c>
      <c r="DP102">
        <v>398</v>
      </c>
      <c r="DQ102">
        <v>0</v>
      </c>
      <c r="DR102">
        <v>0</v>
      </c>
      <c r="DS102">
        <v>0</v>
      </c>
      <c r="DT102">
        <v>0</v>
      </c>
      <c r="DU102">
        <v>0</v>
      </c>
      <c r="DV102">
        <v>0</v>
      </c>
      <c r="DW102">
        <v>0</v>
      </c>
      <c r="DX102">
        <v>0</v>
      </c>
      <c r="DY102">
        <v>0</v>
      </c>
      <c r="DZ102">
        <v>0</v>
      </c>
      <c r="EA102">
        <v>22</v>
      </c>
      <c r="EB102">
        <v>0</v>
      </c>
      <c r="EC102">
        <v>0</v>
      </c>
      <c r="ED102">
        <v>0</v>
      </c>
      <c r="EE102">
        <v>0</v>
      </c>
      <c r="EF102">
        <v>0</v>
      </c>
      <c r="EG102" t="s">
        <v>85</v>
      </c>
      <c r="EH102" t="s">
        <v>85</v>
      </c>
      <c r="EI102" t="s">
        <v>85</v>
      </c>
      <c r="EJ102" t="s">
        <v>85</v>
      </c>
      <c r="EK102" t="s">
        <v>85</v>
      </c>
      <c r="EL102" t="s">
        <v>85</v>
      </c>
      <c r="EM102" t="s">
        <v>85</v>
      </c>
      <c r="EN102" t="s">
        <v>85</v>
      </c>
      <c r="EO102" t="s">
        <v>85</v>
      </c>
      <c r="EP102" t="s">
        <v>85</v>
      </c>
      <c r="EQ102" t="s">
        <v>85</v>
      </c>
      <c r="ER102" t="s">
        <v>85</v>
      </c>
      <c r="ES102" t="s">
        <v>85</v>
      </c>
      <c r="ET102" t="s">
        <v>85</v>
      </c>
      <c r="EU102" t="s">
        <v>85</v>
      </c>
      <c r="EV102" t="s">
        <v>85</v>
      </c>
      <c r="EW102" t="s">
        <v>85</v>
      </c>
      <c r="EX102" t="s">
        <v>85</v>
      </c>
      <c r="EY102" t="s">
        <v>85</v>
      </c>
      <c r="EZ102" t="s">
        <v>85</v>
      </c>
      <c r="FA102">
        <v>22</v>
      </c>
      <c r="FB102">
        <v>1</v>
      </c>
      <c r="FC102">
        <v>1</v>
      </c>
      <c r="FD102">
        <v>1</v>
      </c>
      <c r="FE102">
        <v>0</v>
      </c>
      <c r="FF102">
        <v>0</v>
      </c>
      <c r="FG102">
        <v>0</v>
      </c>
      <c r="FH102">
        <v>0</v>
      </c>
      <c r="FI102">
        <v>0</v>
      </c>
      <c r="FJ102">
        <v>0</v>
      </c>
      <c r="FK102">
        <v>0</v>
      </c>
      <c r="FL102">
        <v>0</v>
      </c>
      <c r="FM102">
        <v>0</v>
      </c>
      <c r="FN102">
        <v>0</v>
      </c>
      <c r="FO102">
        <v>0</v>
      </c>
      <c r="FP102">
        <v>0</v>
      </c>
      <c r="FQ102">
        <v>49</v>
      </c>
      <c r="FR102">
        <v>47</v>
      </c>
      <c r="FS102">
        <v>51</v>
      </c>
      <c r="FT102">
        <v>0</v>
      </c>
      <c r="FU102">
        <v>1992</v>
      </c>
      <c r="FV102">
        <v>10</v>
      </c>
      <c r="FW102">
        <v>9</v>
      </c>
      <c r="FX102">
        <v>9</v>
      </c>
      <c r="FY102">
        <v>0</v>
      </c>
      <c r="FZ102">
        <v>424</v>
      </c>
      <c r="GA102">
        <v>22</v>
      </c>
      <c r="GB102">
        <v>98</v>
      </c>
      <c r="GC102">
        <v>100</v>
      </c>
      <c r="GD102">
        <v>99</v>
      </c>
      <c r="GE102">
        <v>0</v>
      </c>
      <c r="GF102">
        <v>3843</v>
      </c>
      <c r="GG102" t="s">
        <v>85</v>
      </c>
      <c r="GH102" t="s">
        <v>85</v>
      </c>
      <c r="GI102" t="s">
        <v>85</v>
      </c>
      <c r="GJ102" t="s">
        <v>85</v>
      </c>
      <c r="GK102" t="s">
        <v>85</v>
      </c>
      <c r="GL102" t="s">
        <v>85</v>
      </c>
      <c r="GM102" t="s">
        <v>85</v>
      </c>
      <c r="GN102" t="s">
        <v>85</v>
      </c>
      <c r="GO102" t="s">
        <v>85</v>
      </c>
      <c r="GP102" t="s">
        <v>85</v>
      </c>
      <c r="GQ102" t="s">
        <v>85</v>
      </c>
      <c r="GR102" t="s">
        <v>85</v>
      </c>
      <c r="GS102" t="s">
        <v>85</v>
      </c>
      <c r="GT102" t="s">
        <v>85</v>
      </c>
      <c r="GU102" t="s">
        <v>85</v>
      </c>
      <c r="GV102" t="s">
        <v>85</v>
      </c>
      <c r="GW102" t="s">
        <v>85</v>
      </c>
      <c r="GX102" t="s">
        <v>85</v>
      </c>
      <c r="GY102" t="s">
        <v>85</v>
      </c>
      <c r="GZ102">
        <v>22</v>
      </c>
      <c r="HA102">
        <v>98</v>
      </c>
      <c r="HB102">
        <v>131</v>
      </c>
      <c r="HC102">
        <v>102</v>
      </c>
      <c r="HD102">
        <v>35</v>
      </c>
      <c r="HE102">
        <v>2160</v>
      </c>
      <c r="HF102">
        <v>73</v>
      </c>
      <c r="HG102">
        <v>90</v>
      </c>
      <c r="HH102">
        <v>76</v>
      </c>
      <c r="HI102">
        <v>23</v>
      </c>
      <c r="HJ102">
        <v>1595</v>
      </c>
      <c r="HK102">
        <v>85</v>
      </c>
      <c r="HL102">
        <v>76</v>
      </c>
      <c r="HM102">
        <v>91</v>
      </c>
      <c r="HN102">
        <v>25</v>
      </c>
      <c r="HO102">
        <v>1728</v>
      </c>
      <c r="HP102">
        <v>47</v>
      </c>
      <c r="HQ102">
        <v>62</v>
      </c>
      <c r="HR102">
        <v>51</v>
      </c>
      <c r="HS102">
        <v>16</v>
      </c>
      <c r="HT102">
        <v>1091</v>
      </c>
      <c r="HU102">
        <v>163</v>
      </c>
      <c r="HV102">
        <v>186</v>
      </c>
      <c r="HW102">
        <v>150</v>
      </c>
      <c r="HX102">
        <v>31</v>
      </c>
      <c r="HY102">
        <v>3401</v>
      </c>
      <c r="HZ102">
        <v>22</v>
      </c>
      <c r="IA102">
        <v>125</v>
      </c>
      <c r="IB102">
        <v>134</v>
      </c>
      <c r="IC102">
        <v>106</v>
      </c>
      <c r="ID102">
        <v>42</v>
      </c>
      <c r="IE102">
        <v>2449</v>
      </c>
      <c r="IF102" t="s">
        <v>85</v>
      </c>
      <c r="IG102" t="s">
        <v>85</v>
      </c>
      <c r="IH102" t="s">
        <v>85</v>
      </c>
      <c r="II102" t="s">
        <v>85</v>
      </c>
      <c r="IJ102" t="s">
        <v>85</v>
      </c>
      <c r="IK102" t="s">
        <v>85</v>
      </c>
      <c r="IL102" t="s">
        <v>85</v>
      </c>
      <c r="IM102" t="s">
        <v>85</v>
      </c>
      <c r="IN102" t="s">
        <v>85</v>
      </c>
      <c r="IO102" t="s">
        <v>85</v>
      </c>
      <c r="IP102" t="s">
        <v>85</v>
      </c>
      <c r="IQ102" t="s">
        <v>85</v>
      </c>
      <c r="IR102" t="s">
        <v>85</v>
      </c>
      <c r="IS102" t="s">
        <v>85</v>
      </c>
      <c r="IT102" t="s">
        <v>85</v>
      </c>
      <c r="IU102" t="s">
        <v>85</v>
      </c>
      <c r="IV102" t="s">
        <v>85</v>
      </c>
      <c r="IW102" t="s">
        <v>85</v>
      </c>
      <c r="IX102" t="s">
        <v>85</v>
      </c>
      <c r="IY102" t="s">
        <v>85</v>
      </c>
      <c r="IZ102">
        <v>22</v>
      </c>
      <c r="JA102">
        <v>132</v>
      </c>
      <c r="JB102">
        <v>86</v>
      </c>
      <c r="JC102">
        <v>104</v>
      </c>
      <c r="JD102">
        <v>46</v>
      </c>
      <c r="JE102">
        <v>2256</v>
      </c>
      <c r="JF102">
        <v>134</v>
      </c>
      <c r="JG102">
        <v>120</v>
      </c>
      <c r="JH102">
        <v>113</v>
      </c>
      <c r="JI102">
        <v>42</v>
      </c>
      <c r="JJ102">
        <v>2569</v>
      </c>
      <c r="JK102">
        <v>129</v>
      </c>
      <c r="JL102">
        <v>154</v>
      </c>
      <c r="JM102">
        <v>162</v>
      </c>
      <c r="JN102">
        <v>46</v>
      </c>
      <c r="JO102">
        <v>3091</v>
      </c>
      <c r="JP102">
        <v>129</v>
      </c>
      <c r="JQ102">
        <v>88</v>
      </c>
      <c r="JR102">
        <v>113</v>
      </c>
      <c r="JS102">
        <v>47</v>
      </c>
      <c r="JT102">
        <v>2349</v>
      </c>
      <c r="JU102" t="s">
        <v>85</v>
      </c>
      <c r="JV102" t="s">
        <v>85</v>
      </c>
      <c r="JW102" t="s">
        <v>85</v>
      </c>
      <c r="JX102" t="s">
        <v>85</v>
      </c>
      <c r="JY102" t="s">
        <v>85</v>
      </c>
      <c r="JZ102">
        <v>22</v>
      </c>
      <c r="KA102">
        <v>94</v>
      </c>
      <c r="KB102">
        <v>103</v>
      </c>
      <c r="KC102">
        <v>77</v>
      </c>
      <c r="KD102">
        <v>22</v>
      </c>
      <c r="KE102">
        <v>1835</v>
      </c>
      <c r="KF102">
        <v>210</v>
      </c>
      <c r="KG102">
        <v>221</v>
      </c>
      <c r="KH102">
        <v>193</v>
      </c>
      <c r="KI102">
        <v>33</v>
      </c>
      <c r="KJ102">
        <v>4195</v>
      </c>
      <c r="KK102">
        <v>86</v>
      </c>
      <c r="KL102">
        <v>85</v>
      </c>
      <c r="KM102">
        <v>73</v>
      </c>
      <c r="KN102">
        <v>32</v>
      </c>
      <c r="KO102">
        <v>1668</v>
      </c>
      <c r="KP102">
        <v>77</v>
      </c>
      <c r="KQ102">
        <v>47</v>
      </c>
      <c r="KR102">
        <v>85</v>
      </c>
      <c r="KS102">
        <v>41</v>
      </c>
      <c r="KT102">
        <v>1566</v>
      </c>
      <c r="KU102" t="s">
        <v>85</v>
      </c>
      <c r="KV102" t="s">
        <v>85</v>
      </c>
      <c r="KW102" t="s">
        <v>85</v>
      </c>
      <c r="KX102" t="s">
        <v>85</v>
      </c>
      <c r="KY102" t="s">
        <v>85</v>
      </c>
      <c r="KZ102">
        <v>22</v>
      </c>
      <c r="LA102">
        <v>143</v>
      </c>
      <c r="LB102">
        <v>158</v>
      </c>
      <c r="LC102">
        <v>121</v>
      </c>
      <c r="LD102">
        <v>42</v>
      </c>
      <c r="LE102">
        <v>2849</v>
      </c>
      <c r="LF102">
        <v>78</v>
      </c>
      <c r="LG102">
        <v>85</v>
      </c>
      <c r="LH102">
        <v>59</v>
      </c>
      <c r="LI102">
        <v>19</v>
      </c>
      <c r="LJ102">
        <v>1547</v>
      </c>
      <c r="LK102">
        <v>153</v>
      </c>
      <c r="LL102">
        <v>147</v>
      </c>
      <c r="LM102">
        <v>158</v>
      </c>
      <c r="LN102">
        <v>40</v>
      </c>
      <c r="LO102">
        <v>3025</v>
      </c>
      <c r="LP102">
        <v>111</v>
      </c>
      <c r="LQ102">
        <v>121</v>
      </c>
      <c r="LR102">
        <v>134</v>
      </c>
      <c r="LS102">
        <v>29</v>
      </c>
      <c r="LT102">
        <v>2370</v>
      </c>
      <c r="LU102">
        <v>0</v>
      </c>
      <c r="LV102">
        <v>6</v>
      </c>
      <c r="LW102">
        <v>7</v>
      </c>
      <c r="LX102">
        <v>7</v>
      </c>
      <c r="LY102">
        <v>82</v>
      </c>
      <c r="LZ102">
        <v>22</v>
      </c>
      <c r="MA102">
        <v>88</v>
      </c>
      <c r="MB102">
        <v>118</v>
      </c>
      <c r="MC102">
        <v>74</v>
      </c>
      <c r="MD102">
        <v>41</v>
      </c>
      <c r="ME102">
        <v>1953</v>
      </c>
      <c r="MF102" t="s">
        <v>85</v>
      </c>
      <c r="MG102" t="s">
        <v>85</v>
      </c>
      <c r="MH102" t="s">
        <v>85</v>
      </c>
      <c r="MI102" t="s">
        <v>85</v>
      </c>
      <c r="MJ102" t="s">
        <v>85</v>
      </c>
      <c r="MK102" t="s">
        <v>85</v>
      </c>
      <c r="ML102" t="s">
        <v>85</v>
      </c>
      <c r="MM102" t="s">
        <v>85</v>
      </c>
      <c r="MN102" t="s">
        <v>85</v>
      </c>
      <c r="MO102" t="s">
        <v>85</v>
      </c>
      <c r="MP102" t="s">
        <v>85</v>
      </c>
      <c r="MQ102" t="s">
        <v>85</v>
      </c>
      <c r="MR102" t="s">
        <v>85</v>
      </c>
      <c r="MS102" t="s">
        <v>85</v>
      </c>
      <c r="MT102" t="s">
        <v>85</v>
      </c>
      <c r="MU102" t="s">
        <v>85</v>
      </c>
      <c r="MV102" t="s">
        <v>85</v>
      </c>
      <c r="MW102" t="s">
        <v>85</v>
      </c>
      <c r="MX102" t="s">
        <v>85</v>
      </c>
      <c r="MY102" t="s">
        <v>85</v>
      </c>
    </row>
    <row r="103" spans="1:363">
      <c r="A103" s="467">
        <v>23</v>
      </c>
      <c r="B103">
        <v>-1</v>
      </c>
      <c r="C103">
        <v>-1</v>
      </c>
      <c r="D103">
        <v>0</v>
      </c>
      <c r="E103">
        <v>-1</v>
      </c>
      <c r="F103">
        <v>28</v>
      </c>
      <c r="G103">
        <v>5</v>
      </c>
      <c r="H103">
        <v>6</v>
      </c>
      <c r="I103">
        <v>6</v>
      </c>
      <c r="J103">
        <v>0</v>
      </c>
      <c r="K103">
        <v>87</v>
      </c>
      <c r="L103">
        <v>7</v>
      </c>
      <c r="M103">
        <v>7</v>
      </c>
      <c r="N103">
        <v>6</v>
      </c>
      <c r="O103">
        <v>0</v>
      </c>
      <c r="P103">
        <v>50</v>
      </c>
      <c r="Q103">
        <v>4</v>
      </c>
      <c r="R103">
        <v>4</v>
      </c>
      <c r="S103">
        <v>4</v>
      </c>
      <c r="T103">
        <v>0</v>
      </c>
      <c r="U103">
        <v>57</v>
      </c>
      <c r="V103">
        <v>6</v>
      </c>
      <c r="W103">
        <v>6</v>
      </c>
      <c r="X103">
        <v>6</v>
      </c>
      <c r="Y103">
        <v>1</v>
      </c>
      <c r="Z103">
        <v>0</v>
      </c>
      <c r="AA103">
        <v>23</v>
      </c>
      <c r="AB103">
        <v>10</v>
      </c>
      <c r="AC103">
        <v>10</v>
      </c>
      <c r="AD103">
        <v>10</v>
      </c>
      <c r="AE103">
        <v>1</v>
      </c>
      <c r="AF103">
        <v>106</v>
      </c>
      <c r="AG103">
        <v>12</v>
      </c>
      <c r="AH103">
        <v>12</v>
      </c>
      <c r="AI103">
        <v>12</v>
      </c>
      <c r="AJ103">
        <v>1</v>
      </c>
      <c r="AK103">
        <v>113</v>
      </c>
      <c r="AL103">
        <v>1</v>
      </c>
      <c r="AM103">
        <v>1</v>
      </c>
      <c r="AN103">
        <v>1</v>
      </c>
      <c r="AO103">
        <v>1</v>
      </c>
      <c r="AP103">
        <v>48</v>
      </c>
      <c r="AQ103" t="s">
        <v>85</v>
      </c>
      <c r="AR103" t="s">
        <v>85</v>
      </c>
      <c r="AS103" t="s">
        <v>85</v>
      </c>
      <c r="AT103" t="s">
        <v>85</v>
      </c>
      <c r="AU103" t="s">
        <v>85</v>
      </c>
      <c r="AV103" t="s">
        <v>85</v>
      </c>
      <c r="AW103" t="s">
        <v>85</v>
      </c>
      <c r="AX103" t="s">
        <v>85</v>
      </c>
      <c r="AY103" t="s">
        <v>85</v>
      </c>
      <c r="AZ103" t="s">
        <v>85</v>
      </c>
      <c r="BA103">
        <v>23</v>
      </c>
      <c r="BB103">
        <v>22</v>
      </c>
      <c r="BC103">
        <v>22</v>
      </c>
      <c r="BD103">
        <v>23</v>
      </c>
      <c r="BE103">
        <v>0</v>
      </c>
      <c r="BF103">
        <v>873</v>
      </c>
      <c r="BG103">
        <v>31</v>
      </c>
      <c r="BH103">
        <v>29</v>
      </c>
      <c r="BI103">
        <v>29</v>
      </c>
      <c r="BJ103">
        <v>0</v>
      </c>
      <c r="BK103">
        <v>1177</v>
      </c>
      <c r="BL103">
        <v>7</v>
      </c>
      <c r="BM103">
        <v>8</v>
      </c>
      <c r="BN103">
        <v>6</v>
      </c>
      <c r="BO103">
        <v>0</v>
      </c>
      <c r="BP103">
        <v>131</v>
      </c>
      <c r="BQ103">
        <v>43</v>
      </c>
      <c r="BR103">
        <v>43</v>
      </c>
      <c r="BS103">
        <v>41</v>
      </c>
      <c r="BT103">
        <v>1</v>
      </c>
      <c r="BU103">
        <v>1691</v>
      </c>
      <c r="BV103">
        <v>44</v>
      </c>
      <c r="BW103">
        <v>48</v>
      </c>
      <c r="BX103">
        <v>46</v>
      </c>
      <c r="BY103">
        <v>0</v>
      </c>
      <c r="BZ103">
        <v>1640</v>
      </c>
      <c r="CA103">
        <v>23</v>
      </c>
      <c r="CB103" t="s">
        <v>85</v>
      </c>
      <c r="CC103" t="s">
        <v>85</v>
      </c>
      <c r="CD103" t="s">
        <v>85</v>
      </c>
      <c r="CE103" t="s">
        <v>85</v>
      </c>
      <c r="CF103">
        <v>0</v>
      </c>
      <c r="CG103">
        <v>2</v>
      </c>
      <c r="CH103">
        <v>2</v>
      </c>
      <c r="CI103">
        <v>2</v>
      </c>
      <c r="CJ103">
        <v>0</v>
      </c>
      <c r="CK103">
        <v>59</v>
      </c>
      <c r="CL103" t="s">
        <v>85</v>
      </c>
      <c r="CM103" t="s">
        <v>85</v>
      </c>
      <c r="CN103" t="s">
        <v>85</v>
      </c>
      <c r="CO103" t="s">
        <v>85</v>
      </c>
      <c r="CP103" t="s">
        <v>85</v>
      </c>
      <c r="CQ103" t="s">
        <v>85</v>
      </c>
      <c r="CR103" t="s">
        <v>85</v>
      </c>
      <c r="CS103" t="s">
        <v>85</v>
      </c>
      <c r="CT103" t="s">
        <v>85</v>
      </c>
      <c r="CU103" t="s">
        <v>85</v>
      </c>
      <c r="CV103" t="s">
        <v>85</v>
      </c>
      <c r="CW103" t="s">
        <v>85</v>
      </c>
      <c r="CX103" t="s">
        <v>85</v>
      </c>
      <c r="CY103" t="s">
        <v>85</v>
      </c>
      <c r="CZ103" t="s">
        <v>85</v>
      </c>
      <c r="DA103">
        <v>23</v>
      </c>
      <c r="DB103">
        <v>152</v>
      </c>
      <c r="DC103">
        <v>154</v>
      </c>
      <c r="DD103">
        <v>153</v>
      </c>
      <c r="DE103">
        <v>0</v>
      </c>
      <c r="DF103">
        <v>5277</v>
      </c>
      <c r="DG103">
        <v>8</v>
      </c>
      <c r="DH103">
        <v>8</v>
      </c>
      <c r="DI103">
        <v>8</v>
      </c>
      <c r="DJ103">
        <v>0</v>
      </c>
      <c r="DK103">
        <v>269</v>
      </c>
      <c r="DL103">
        <v>10</v>
      </c>
      <c r="DM103">
        <v>10</v>
      </c>
      <c r="DN103">
        <v>9</v>
      </c>
      <c r="DO103">
        <v>0</v>
      </c>
      <c r="DP103">
        <v>375</v>
      </c>
      <c r="DQ103">
        <v>0</v>
      </c>
      <c r="DR103">
        <v>0</v>
      </c>
      <c r="DS103">
        <v>0</v>
      </c>
      <c r="DT103">
        <v>0</v>
      </c>
      <c r="DU103">
        <v>0</v>
      </c>
      <c r="DV103">
        <v>0</v>
      </c>
      <c r="DW103">
        <v>0</v>
      </c>
      <c r="DX103">
        <v>0</v>
      </c>
      <c r="DY103">
        <v>0</v>
      </c>
      <c r="DZ103">
        <v>0</v>
      </c>
      <c r="EA103">
        <v>23</v>
      </c>
      <c r="EB103">
        <v>0</v>
      </c>
      <c r="EC103">
        <v>0</v>
      </c>
      <c r="ED103">
        <v>0</v>
      </c>
      <c r="EE103">
        <v>0</v>
      </c>
      <c r="EF103">
        <v>0</v>
      </c>
      <c r="EG103" t="s">
        <v>85</v>
      </c>
      <c r="EH103" t="s">
        <v>85</v>
      </c>
      <c r="EI103" t="s">
        <v>85</v>
      </c>
      <c r="EJ103" t="s">
        <v>85</v>
      </c>
      <c r="EK103" t="s">
        <v>85</v>
      </c>
      <c r="EL103" t="s">
        <v>85</v>
      </c>
      <c r="EM103" t="s">
        <v>85</v>
      </c>
      <c r="EN103" t="s">
        <v>85</v>
      </c>
      <c r="EO103" t="s">
        <v>85</v>
      </c>
      <c r="EP103" t="s">
        <v>85</v>
      </c>
      <c r="EQ103" t="s">
        <v>85</v>
      </c>
      <c r="ER103" t="s">
        <v>85</v>
      </c>
      <c r="ES103" t="s">
        <v>85</v>
      </c>
      <c r="ET103" t="s">
        <v>85</v>
      </c>
      <c r="EU103" t="s">
        <v>85</v>
      </c>
      <c r="EV103" t="s">
        <v>85</v>
      </c>
      <c r="EW103" t="s">
        <v>85</v>
      </c>
      <c r="EX103" t="s">
        <v>85</v>
      </c>
      <c r="EY103" t="s">
        <v>85</v>
      </c>
      <c r="EZ103" t="s">
        <v>85</v>
      </c>
      <c r="FA103">
        <v>23</v>
      </c>
      <c r="FB103">
        <v>2</v>
      </c>
      <c r="FC103">
        <v>1</v>
      </c>
      <c r="FD103">
        <v>1</v>
      </c>
      <c r="FE103">
        <v>0</v>
      </c>
      <c r="FF103">
        <v>0</v>
      </c>
      <c r="FG103">
        <v>0</v>
      </c>
      <c r="FH103">
        <v>0</v>
      </c>
      <c r="FI103">
        <v>0</v>
      </c>
      <c r="FJ103">
        <v>0</v>
      </c>
      <c r="FK103">
        <v>0</v>
      </c>
      <c r="FL103">
        <v>0</v>
      </c>
      <c r="FM103">
        <v>0</v>
      </c>
      <c r="FN103">
        <v>0</v>
      </c>
      <c r="FO103">
        <v>0</v>
      </c>
      <c r="FP103">
        <v>0</v>
      </c>
      <c r="FQ103">
        <v>51</v>
      </c>
      <c r="FR103">
        <v>49</v>
      </c>
      <c r="FS103">
        <v>53</v>
      </c>
      <c r="FT103">
        <v>0</v>
      </c>
      <c r="FU103">
        <v>1894</v>
      </c>
      <c r="FV103">
        <v>26</v>
      </c>
      <c r="FW103">
        <v>23</v>
      </c>
      <c r="FX103">
        <v>25</v>
      </c>
      <c r="FY103">
        <v>0</v>
      </c>
      <c r="FZ103">
        <v>682</v>
      </c>
      <c r="GA103">
        <v>23</v>
      </c>
      <c r="GB103">
        <v>94</v>
      </c>
      <c r="GC103">
        <v>97</v>
      </c>
      <c r="GD103">
        <v>94</v>
      </c>
      <c r="GE103">
        <v>0</v>
      </c>
      <c r="GF103">
        <v>3761</v>
      </c>
      <c r="GG103" t="s">
        <v>85</v>
      </c>
      <c r="GH103" t="s">
        <v>85</v>
      </c>
      <c r="GI103" t="s">
        <v>85</v>
      </c>
      <c r="GJ103" t="s">
        <v>85</v>
      </c>
      <c r="GK103" t="s">
        <v>85</v>
      </c>
      <c r="GL103" t="s">
        <v>85</v>
      </c>
      <c r="GM103" t="s">
        <v>85</v>
      </c>
      <c r="GN103" t="s">
        <v>85</v>
      </c>
      <c r="GO103" t="s">
        <v>85</v>
      </c>
      <c r="GP103" t="s">
        <v>85</v>
      </c>
      <c r="GQ103" t="s">
        <v>85</v>
      </c>
      <c r="GR103" t="s">
        <v>85</v>
      </c>
      <c r="GS103" t="s">
        <v>85</v>
      </c>
      <c r="GT103" t="s">
        <v>85</v>
      </c>
      <c r="GU103" t="s">
        <v>85</v>
      </c>
      <c r="GV103" t="s">
        <v>85</v>
      </c>
      <c r="GW103" t="s">
        <v>85</v>
      </c>
      <c r="GX103" t="s">
        <v>85</v>
      </c>
      <c r="GY103" t="s">
        <v>85</v>
      </c>
      <c r="GZ103">
        <v>23</v>
      </c>
      <c r="HA103">
        <v>100</v>
      </c>
      <c r="HB103">
        <v>131</v>
      </c>
      <c r="HC103">
        <v>103</v>
      </c>
      <c r="HD103">
        <v>32</v>
      </c>
      <c r="HE103">
        <v>2117</v>
      </c>
      <c r="HF103">
        <v>67</v>
      </c>
      <c r="HG103">
        <v>82</v>
      </c>
      <c r="HH103">
        <v>70</v>
      </c>
      <c r="HI103">
        <v>20</v>
      </c>
      <c r="HJ103">
        <v>1504</v>
      </c>
      <c r="HK103">
        <v>77</v>
      </c>
      <c r="HL103">
        <v>71</v>
      </c>
      <c r="HM103">
        <v>84</v>
      </c>
      <c r="HN103">
        <v>20</v>
      </c>
      <c r="HO103">
        <v>1655</v>
      </c>
      <c r="HP103">
        <v>42</v>
      </c>
      <c r="HQ103">
        <v>55</v>
      </c>
      <c r="HR103">
        <v>45</v>
      </c>
      <c r="HS103">
        <v>15</v>
      </c>
      <c r="HT103">
        <v>1031</v>
      </c>
      <c r="HU103">
        <v>142</v>
      </c>
      <c r="HV103">
        <v>168</v>
      </c>
      <c r="HW103">
        <v>136</v>
      </c>
      <c r="HX103">
        <v>30</v>
      </c>
      <c r="HY103">
        <v>3226</v>
      </c>
      <c r="HZ103">
        <v>23</v>
      </c>
      <c r="IA103">
        <v>119</v>
      </c>
      <c r="IB103">
        <v>116</v>
      </c>
      <c r="IC103">
        <v>93</v>
      </c>
      <c r="ID103">
        <v>44</v>
      </c>
      <c r="IE103">
        <v>2371</v>
      </c>
      <c r="IF103" t="s">
        <v>85</v>
      </c>
      <c r="IG103" t="s">
        <v>85</v>
      </c>
      <c r="IH103" t="s">
        <v>85</v>
      </c>
      <c r="II103" t="s">
        <v>85</v>
      </c>
      <c r="IJ103" t="s">
        <v>85</v>
      </c>
      <c r="IK103" t="s">
        <v>85</v>
      </c>
      <c r="IL103" t="s">
        <v>85</v>
      </c>
      <c r="IM103" t="s">
        <v>85</v>
      </c>
      <c r="IN103" t="s">
        <v>85</v>
      </c>
      <c r="IO103" t="s">
        <v>85</v>
      </c>
      <c r="IP103" t="s">
        <v>85</v>
      </c>
      <c r="IQ103" t="s">
        <v>85</v>
      </c>
      <c r="IR103" t="s">
        <v>85</v>
      </c>
      <c r="IS103" t="s">
        <v>85</v>
      </c>
      <c r="IT103" t="s">
        <v>85</v>
      </c>
      <c r="IU103" t="s">
        <v>85</v>
      </c>
      <c r="IV103" t="s">
        <v>85</v>
      </c>
      <c r="IW103" t="s">
        <v>85</v>
      </c>
      <c r="IX103" t="s">
        <v>85</v>
      </c>
      <c r="IY103" t="s">
        <v>85</v>
      </c>
      <c r="IZ103">
        <v>23</v>
      </c>
      <c r="JA103">
        <v>129</v>
      </c>
      <c r="JB103">
        <v>83</v>
      </c>
      <c r="JC103">
        <v>100</v>
      </c>
      <c r="JD103">
        <v>47</v>
      </c>
      <c r="JE103">
        <v>2186</v>
      </c>
      <c r="JF103">
        <v>126</v>
      </c>
      <c r="JG103">
        <v>106</v>
      </c>
      <c r="JH103">
        <v>110</v>
      </c>
      <c r="JI103">
        <v>40</v>
      </c>
      <c r="JJ103">
        <v>2406</v>
      </c>
      <c r="JK103">
        <v>122</v>
      </c>
      <c r="JL103">
        <v>141</v>
      </c>
      <c r="JM103">
        <v>155</v>
      </c>
      <c r="JN103">
        <v>43</v>
      </c>
      <c r="JO103">
        <v>2963</v>
      </c>
      <c r="JP103">
        <v>112</v>
      </c>
      <c r="JQ103">
        <v>75</v>
      </c>
      <c r="JR103">
        <v>103</v>
      </c>
      <c r="JS103">
        <v>41</v>
      </c>
      <c r="JT103">
        <v>2080</v>
      </c>
      <c r="JU103" t="s">
        <v>85</v>
      </c>
      <c r="JV103" t="s">
        <v>85</v>
      </c>
      <c r="JW103" t="s">
        <v>85</v>
      </c>
      <c r="JX103" t="s">
        <v>85</v>
      </c>
      <c r="JY103" t="s">
        <v>85</v>
      </c>
      <c r="JZ103">
        <v>23</v>
      </c>
      <c r="KA103">
        <v>88</v>
      </c>
      <c r="KB103">
        <v>99</v>
      </c>
      <c r="KC103">
        <v>73</v>
      </c>
      <c r="KD103">
        <v>21</v>
      </c>
      <c r="KE103">
        <v>1825</v>
      </c>
      <c r="KF103">
        <v>203</v>
      </c>
      <c r="KG103">
        <v>213</v>
      </c>
      <c r="KH103">
        <v>181</v>
      </c>
      <c r="KI103">
        <v>41</v>
      </c>
      <c r="KJ103">
        <v>4053</v>
      </c>
      <c r="KK103">
        <v>80</v>
      </c>
      <c r="KL103">
        <v>76</v>
      </c>
      <c r="KM103">
        <v>68</v>
      </c>
      <c r="KN103">
        <v>28</v>
      </c>
      <c r="KO103">
        <v>1549</v>
      </c>
      <c r="KP103">
        <v>73</v>
      </c>
      <c r="KQ103">
        <v>45</v>
      </c>
      <c r="KR103">
        <v>83</v>
      </c>
      <c r="KS103">
        <v>38</v>
      </c>
      <c r="KT103">
        <v>1382</v>
      </c>
      <c r="KU103" t="s">
        <v>85</v>
      </c>
      <c r="KV103" t="s">
        <v>85</v>
      </c>
      <c r="KW103" t="s">
        <v>85</v>
      </c>
      <c r="KX103" t="s">
        <v>85</v>
      </c>
      <c r="KY103" t="s">
        <v>85</v>
      </c>
      <c r="KZ103">
        <v>23</v>
      </c>
      <c r="LA103">
        <v>130</v>
      </c>
      <c r="LB103">
        <v>146</v>
      </c>
      <c r="LC103">
        <v>124</v>
      </c>
      <c r="LD103">
        <v>34</v>
      </c>
      <c r="LE103">
        <v>2787</v>
      </c>
      <c r="LF103">
        <v>73</v>
      </c>
      <c r="LG103">
        <v>79</v>
      </c>
      <c r="LH103">
        <v>57</v>
      </c>
      <c r="LI103">
        <v>12</v>
      </c>
      <c r="LJ103">
        <v>1448</v>
      </c>
      <c r="LK103">
        <v>148</v>
      </c>
      <c r="LL103">
        <v>133</v>
      </c>
      <c r="LM103">
        <v>147</v>
      </c>
      <c r="LN103">
        <v>42</v>
      </c>
      <c r="LO103">
        <v>2958</v>
      </c>
      <c r="LP103">
        <v>102</v>
      </c>
      <c r="LQ103">
        <v>113</v>
      </c>
      <c r="LR103">
        <v>118</v>
      </c>
      <c r="LS103">
        <v>16</v>
      </c>
      <c r="LT103">
        <v>2315</v>
      </c>
      <c r="LU103">
        <v>0</v>
      </c>
      <c r="LV103">
        <v>5</v>
      </c>
      <c r="LW103">
        <v>6</v>
      </c>
      <c r="LX103">
        <v>7</v>
      </c>
      <c r="LY103">
        <v>79</v>
      </c>
      <c r="LZ103">
        <v>23</v>
      </c>
      <c r="MA103">
        <v>78</v>
      </c>
      <c r="MB103">
        <v>109</v>
      </c>
      <c r="MC103">
        <v>68</v>
      </c>
      <c r="MD103">
        <v>35</v>
      </c>
      <c r="ME103">
        <v>1764</v>
      </c>
      <c r="MF103" t="s">
        <v>85</v>
      </c>
      <c r="MG103" t="s">
        <v>85</v>
      </c>
      <c r="MH103" t="s">
        <v>85</v>
      </c>
      <c r="MI103" t="s">
        <v>85</v>
      </c>
      <c r="MJ103" t="s">
        <v>85</v>
      </c>
      <c r="MK103" t="s">
        <v>85</v>
      </c>
      <c r="ML103" t="s">
        <v>85</v>
      </c>
      <c r="MM103" t="s">
        <v>85</v>
      </c>
      <c r="MN103" t="s">
        <v>85</v>
      </c>
      <c r="MO103" t="s">
        <v>85</v>
      </c>
      <c r="MP103" t="s">
        <v>85</v>
      </c>
      <c r="MQ103" t="s">
        <v>85</v>
      </c>
      <c r="MR103" t="s">
        <v>85</v>
      </c>
      <c r="MS103" t="s">
        <v>85</v>
      </c>
      <c r="MT103" t="s">
        <v>85</v>
      </c>
      <c r="MU103" t="s">
        <v>85</v>
      </c>
      <c r="MV103" t="s">
        <v>85</v>
      </c>
      <c r="MW103" t="s">
        <v>85</v>
      </c>
      <c r="MX103" t="s">
        <v>85</v>
      </c>
      <c r="MY103" t="s">
        <v>85</v>
      </c>
    </row>
    <row r="104" spans="1:363">
      <c r="A104" s="467">
        <v>24</v>
      </c>
      <c r="B104">
        <v>-1</v>
      </c>
      <c r="C104">
        <v>-1</v>
      </c>
      <c r="D104">
        <v>-1</v>
      </c>
      <c r="E104">
        <v>-1</v>
      </c>
      <c r="F104">
        <v>28</v>
      </c>
      <c r="G104">
        <v>6</v>
      </c>
      <c r="H104">
        <v>6</v>
      </c>
      <c r="I104">
        <v>6</v>
      </c>
      <c r="J104">
        <v>0</v>
      </c>
      <c r="K104">
        <v>84</v>
      </c>
      <c r="L104">
        <v>7</v>
      </c>
      <c r="M104">
        <v>7</v>
      </c>
      <c r="N104">
        <v>6</v>
      </c>
      <c r="O104">
        <v>0</v>
      </c>
      <c r="P104">
        <v>41</v>
      </c>
      <c r="Q104">
        <v>5</v>
      </c>
      <c r="R104">
        <v>5</v>
      </c>
      <c r="S104">
        <v>5</v>
      </c>
      <c r="T104">
        <v>0</v>
      </c>
      <c r="U104">
        <v>64</v>
      </c>
      <c r="V104">
        <v>6</v>
      </c>
      <c r="W104">
        <v>6</v>
      </c>
      <c r="X104">
        <v>6</v>
      </c>
      <c r="Y104">
        <v>1</v>
      </c>
      <c r="Z104">
        <v>0</v>
      </c>
      <c r="AA104">
        <v>24</v>
      </c>
      <c r="AB104">
        <v>10</v>
      </c>
      <c r="AC104">
        <v>10</v>
      </c>
      <c r="AD104">
        <v>10</v>
      </c>
      <c r="AE104">
        <v>1</v>
      </c>
      <c r="AF104">
        <v>99</v>
      </c>
      <c r="AG104">
        <v>12</v>
      </c>
      <c r="AH104">
        <v>12</v>
      </c>
      <c r="AI104">
        <v>12</v>
      </c>
      <c r="AJ104">
        <v>1</v>
      </c>
      <c r="AK104">
        <v>105</v>
      </c>
      <c r="AL104">
        <v>1</v>
      </c>
      <c r="AM104">
        <v>1</v>
      </c>
      <c r="AN104">
        <v>1</v>
      </c>
      <c r="AO104">
        <v>1</v>
      </c>
      <c r="AP104">
        <v>47</v>
      </c>
      <c r="AQ104" t="s">
        <v>85</v>
      </c>
      <c r="AR104" t="s">
        <v>85</v>
      </c>
      <c r="AS104" t="s">
        <v>85</v>
      </c>
      <c r="AT104" t="s">
        <v>85</v>
      </c>
      <c r="AU104" t="s">
        <v>85</v>
      </c>
      <c r="AV104" t="s">
        <v>85</v>
      </c>
      <c r="AW104" t="s">
        <v>85</v>
      </c>
      <c r="AX104" t="s">
        <v>85</v>
      </c>
      <c r="AY104" t="s">
        <v>85</v>
      </c>
      <c r="AZ104" t="s">
        <v>85</v>
      </c>
      <c r="BA104">
        <v>24</v>
      </c>
      <c r="BB104">
        <v>22</v>
      </c>
      <c r="BC104">
        <v>22</v>
      </c>
      <c r="BD104">
        <v>23</v>
      </c>
      <c r="BE104">
        <v>0</v>
      </c>
      <c r="BF104">
        <v>870</v>
      </c>
      <c r="BG104">
        <v>29</v>
      </c>
      <c r="BH104">
        <v>27</v>
      </c>
      <c r="BI104">
        <v>27</v>
      </c>
      <c r="BJ104">
        <v>0</v>
      </c>
      <c r="BK104">
        <v>1115</v>
      </c>
      <c r="BL104">
        <v>7</v>
      </c>
      <c r="BM104">
        <v>8</v>
      </c>
      <c r="BN104">
        <v>6</v>
      </c>
      <c r="BO104">
        <v>0</v>
      </c>
      <c r="BP104">
        <v>107</v>
      </c>
      <c r="BQ104">
        <v>41</v>
      </c>
      <c r="BR104">
        <v>42</v>
      </c>
      <c r="BS104">
        <v>40</v>
      </c>
      <c r="BT104">
        <v>1</v>
      </c>
      <c r="BU104">
        <v>1551</v>
      </c>
      <c r="BV104">
        <v>44</v>
      </c>
      <c r="BW104">
        <v>47</v>
      </c>
      <c r="BX104">
        <v>45</v>
      </c>
      <c r="BY104">
        <v>0</v>
      </c>
      <c r="BZ104">
        <v>1748</v>
      </c>
      <c r="CA104">
        <v>24</v>
      </c>
      <c r="CB104" t="s">
        <v>85</v>
      </c>
      <c r="CC104" t="s">
        <v>85</v>
      </c>
      <c r="CD104" t="s">
        <v>85</v>
      </c>
      <c r="CE104" t="s">
        <v>85</v>
      </c>
      <c r="CF104">
        <v>0</v>
      </c>
      <c r="CG104">
        <v>2</v>
      </c>
      <c r="CH104">
        <v>2</v>
      </c>
      <c r="CI104">
        <v>2</v>
      </c>
      <c r="CJ104">
        <v>0</v>
      </c>
      <c r="CK104">
        <v>59</v>
      </c>
      <c r="CL104" t="s">
        <v>85</v>
      </c>
      <c r="CM104" t="s">
        <v>85</v>
      </c>
      <c r="CN104" t="s">
        <v>85</v>
      </c>
      <c r="CO104" t="s">
        <v>85</v>
      </c>
      <c r="CP104" t="s">
        <v>85</v>
      </c>
      <c r="CQ104" t="s">
        <v>85</v>
      </c>
      <c r="CR104" t="s">
        <v>85</v>
      </c>
      <c r="CS104" t="s">
        <v>85</v>
      </c>
      <c r="CT104" t="s">
        <v>85</v>
      </c>
      <c r="CU104" t="s">
        <v>85</v>
      </c>
      <c r="CV104" t="s">
        <v>85</v>
      </c>
      <c r="CW104" t="s">
        <v>85</v>
      </c>
      <c r="CX104" t="s">
        <v>85</v>
      </c>
      <c r="CY104" t="s">
        <v>85</v>
      </c>
      <c r="CZ104" t="s">
        <v>85</v>
      </c>
      <c r="DA104">
        <v>24</v>
      </c>
      <c r="DB104">
        <v>153</v>
      </c>
      <c r="DC104">
        <v>155</v>
      </c>
      <c r="DD104">
        <v>155</v>
      </c>
      <c r="DE104">
        <v>0</v>
      </c>
      <c r="DF104">
        <v>5173</v>
      </c>
      <c r="DG104">
        <v>8</v>
      </c>
      <c r="DH104">
        <v>8</v>
      </c>
      <c r="DI104">
        <v>8</v>
      </c>
      <c r="DJ104">
        <v>0</v>
      </c>
      <c r="DK104">
        <v>270</v>
      </c>
      <c r="DL104">
        <v>8</v>
      </c>
      <c r="DM104">
        <v>8</v>
      </c>
      <c r="DN104">
        <v>8</v>
      </c>
      <c r="DO104">
        <v>0</v>
      </c>
      <c r="DP104">
        <v>348</v>
      </c>
      <c r="DQ104">
        <v>0</v>
      </c>
      <c r="DR104">
        <v>0</v>
      </c>
      <c r="DS104">
        <v>0</v>
      </c>
      <c r="DT104">
        <v>0</v>
      </c>
      <c r="DU104">
        <v>0</v>
      </c>
      <c r="DV104">
        <v>0</v>
      </c>
      <c r="DW104">
        <v>0</v>
      </c>
      <c r="DX104">
        <v>0</v>
      </c>
      <c r="DY104">
        <v>0</v>
      </c>
      <c r="DZ104">
        <v>0</v>
      </c>
      <c r="EA104">
        <v>24</v>
      </c>
      <c r="EB104">
        <v>0</v>
      </c>
      <c r="EC104">
        <v>0</v>
      </c>
      <c r="ED104">
        <v>0</v>
      </c>
      <c r="EE104">
        <v>0</v>
      </c>
      <c r="EF104">
        <v>0</v>
      </c>
      <c r="EG104" t="s">
        <v>85</v>
      </c>
      <c r="EH104" t="s">
        <v>85</v>
      </c>
      <c r="EI104" t="s">
        <v>85</v>
      </c>
      <c r="EJ104" t="s">
        <v>85</v>
      </c>
      <c r="EK104" t="s">
        <v>85</v>
      </c>
      <c r="EL104" t="s">
        <v>85</v>
      </c>
      <c r="EM104" t="s">
        <v>85</v>
      </c>
      <c r="EN104" t="s">
        <v>85</v>
      </c>
      <c r="EO104" t="s">
        <v>85</v>
      </c>
      <c r="EP104" t="s">
        <v>85</v>
      </c>
      <c r="EQ104" t="s">
        <v>85</v>
      </c>
      <c r="ER104" t="s">
        <v>85</v>
      </c>
      <c r="ES104" t="s">
        <v>85</v>
      </c>
      <c r="ET104" t="s">
        <v>85</v>
      </c>
      <c r="EU104" t="s">
        <v>85</v>
      </c>
      <c r="EV104" t="s">
        <v>85</v>
      </c>
      <c r="EW104" t="s">
        <v>85</v>
      </c>
      <c r="EX104" t="s">
        <v>85</v>
      </c>
      <c r="EY104" t="s">
        <v>85</v>
      </c>
      <c r="EZ104" t="s">
        <v>85</v>
      </c>
      <c r="FA104">
        <v>24</v>
      </c>
      <c r="FB104">
        <v>2</v>
      </c>
      <c r="FC104">
        <v>1</v>
      </c>
      <c r="FD104">
        <v>1</v>
      </c>
      <c r="FE104">
        <v>0</v>
      </c>
      <c r="FF104">
        <v>0</v>
      </c>
      <c r="FG104">
        <v>0</v>
      </c>
      <c r="FH104">
        <v>0</v>
      </c>
      <c r="FI104">
        <v>0</v>
      </c>
      <c r="FJ104">
        <v>0</v>
      </c>
      <c r="FK104">
        <v>0</v>
      </c>
      <c r="FL104">
        <v>0</v>
      </c>
      <c r="FM104">
        <v>0</v>
      </c>
      <c r="FN104">
        <v>0</v>
      </c>
      <c r="FO104">
        <v>0</v>
      </c>
      <c r="FP104">
        <v>0</v>
      </c>
      <c r="FQ104">
        <v>44</v>
      </c>
      <c r="FR104">
        <v>45</v>
      </c>
      <c r="FS104">
        <v>49</v>
      </c>
      <c r="FT104">
        <v>0</v>
      </c>
      <c r="FU104">
        <v>1921</v>
      </c>
      <c r="FV104">
        <v>11</v>
      </c>
      <c r="FW104">
        <v>11</v>
      </c>
      <c r="FX104">
        <v>11</v>
      </c>
      <c r="FY104">
        <v>0</v>
      </c>
      <c r="FZ104">
        <v>882</v>
      </c>
      <c r="GA104">
        <v>24</v>
      </c>
      <c r="GB104">
        <v>88</v>
      </c>
      <c r="GC104">
        <v>92</v>
      </c>
      <c r="GD104">
        <v>90</v>
      </c>
      <c r="GE104">
        <v>0</v>
      </c>
      <c r="GF104">
        <v>3673</v>
      </c>
      <c r="GG104" t="s">
        <v>85</v>
      </c>
      <c r="GH104" t="s">
        <v>85</v>
      </c>
      <c r="GI104" t="s">
        <v>85</v>
      </c>
      <c r="GJ104" t="s">
        <v>85</v>
      </c>
      <c r="GK104" t="s">
        <v>85</v>
      </c>
      <c r="GL104" t="s">
        <v>85</v>
      </c>
      <c r="GM104" t="s">
        <v>85</v>
      </c>
      <c r="GN104" t="s">
        <v>85</v>
      </c>
      <c r="GO104" t="s">
        <v>85</v>
      </c>
      <c r="GP104" t="s">
        <v>85</v>
      </c>
      <c r="GQ104" t="s">
        <v>85</v>
      </c>
      <c r="GR104" t="s">
        <v>85</v>
      </c>
      <c r="GS104" t="s">
        <v>85</v>
      </c>
      <c r="GT104" t="s">
        <v>85</v>
      </c>
      <c r="GU104" t="s">
        <v>85</v>
      </c>
      <c r="GV104" t="s">
        <v>85</v>
      </c>
      <c r="GW104" t="s">
        <v>85</v>
      </c>
      <c r="GX104" t="s">
        <v>85</v>
      </c>
      <c r="GY104" t="s">
        <v>85</v>
      </c>
      <c r="GZ104">
        <v>24</v>
      </c>
      <c r="HA104">
        <v>82</v>
      </c>
      <c r="HB104">
        <v>113</v>
      </c>
      <c r="HC104">
        <v>91</v>
      </c>
      <c r="HD104">
        <v>30</v>
      </c>
      <c r="HE104">
        <v>1993</v>
      </c>
      <c r="HF104">
        <v>65</v>
      </c>
      <c r="HG104">
        <v>78</v>
      </c>
      <c r="HH104">
        <v>68</v>
      </c>
      <c r="HI104">
        <v>19</v>
      </c>
      <c r="HJ104">
        <v>1459</v>
      </c>
      <c r="HK104">
        <v>73</v>
      </c>
      <c r="HL104">
        <v>66</v>
      </c>
      <c r="HM104">
        <v>83</v>
      </c>
      <c r="HN104">
        <v>25</v>
      </c>
      <c r="HO104">
        <v>1552</v>
      </c>
      <c r="HP104">
        <v>41</v>
      </c>
      <c r="HQ104">
        <v>51</v>
      </c>
      <c r="HR104">
        <v>42</v>
      </c>
      <c r="HS104">
        <v>15</v>
      </c>
      <c r="HT104">
        <v>923</v>
      </c>
      <c r="HU104">
        <v>127</v>
      </c>
      <c r="HV104">
        <v>153</v>
      </c>
      <c r="HW104">
        <v>121</v>
      </c>
      <c r="HX104">
        <v>28</v>
      </c>
      <c r="HY104">
        <v>2967</v>
      </c>
      <c r="HZ104">
        <v>24</v>
      </c>
      <c r="IA104">
        <v>111</v>
      </c>
      <c r="IB104">
        <v>111</v>
      </c>
      <c r="IC104">
        <v>79</v>
      </c>
      <c r="ID104">
        <v>49</v>
      </c>
      <c r="IE104">
        <v>2114</v>
      </c>
      <c r="IF104" t="s">
        <v>85</v>
      </c>
      <c r="IG104" t="s">
        <v>85</v>
      </c>
      <c r="IH104" t="s">
        <v>85</v>
      </c>
      <c r="II104" t="s">
        <v>85</v>
      </c>
      <c r="IJ104" t="s">
        <v>85</v>
      </c>
      <c r="IK104" t="s">
        <v>85</v>
      </c>
      <c r="IL104" t="s">
        <v>85</v>
      </c>
      <c r="IM104" t="s">
        <v>85</v>
      </c>
      <c r="IN104" t="s">
        <v>85</v>
      </c>
      <c r="IO104" t="s">
        <v>85</v>
      </c>
      <c r="IP104" t="s">
        <v>85</v>
      </c>
      <c r="IQ104" t="s">
        <v>85</v>
      </c>
      <c r="IR104" t="s">
        <v>85</v>
      </c>
      <c r="IS104" t="s">
        <v>85</v>
      </c>
      <c r="IT104" t="s">
        <v>85</v>
      </c>
      <c r="IU104" t="s">
        <v>85</v>
      </c>
      <c r="IV104" t="s">
        <v>85</v>
      </c>
      <c r="IW104" t="s">
        <v>85</v>
      </c>
      <c r="IX104" t="s">
        <v>85</v>
      </c>
      <c r="IY104" t="s">
        <v>85</v>
      </c>
      <c r="IZ104">
        <v>24</v>
      </c>
      <c r="JA104">
        <v>115</v>
      </c>
      <c r="JB104">
        <v>82</v>
      </c>
      <c r="JC104">
        <v>88</v>
      </c>
      <c r="JD104">
        <v>32</v>
      </c>
      <c r="JE104">
        <v>2004</v>
      </c>
      <c r="JF104">
        <v>115</v>
      </c>
      <c r="JG104">
        <v>101</v>
      </c>
      <c r="JH104">
        <v>103</v>
      </c>
      <c r="JI104">
        <v>39</v>
      </c>
      <c r="JJ104">
        <v>2215</v>
      </c>
      <c r="JK104">
        <v>104</v>
      </c>
      <c r="JL104">
        <v>126</v>
      </c>
      <c r="JM104">
        <v>134</v>
      </c>
      <c r="JN104">
        <v>41</v>
      </c>
      <c r="JO104">
        <v>2638</v>
      </c>
      <c r="JP104">
        <v>102</v>
      </c>
      <c r="JQ104">
        <v>66</v>
      </c>
      <c r="JR104">
        <v>96</v>
      </c>
      <c r="JS104">
        <v>41</v>
      </c>
      <c r="JT104">
        <v>1884</v>
      </c>
      <c r="JU104" t="s">
        <v>85</v>
      </c>
      <c r="JV104" t="s">
        <v>85</v>
      </c>
      <c r="JW104" t="s">
        <v>85</v>
      </c>
      <c r="JX104" t="s">
        <v>85</v>
      </c>
      <c r="JY104" t="s">
        <v>85</v>
      </c>
      <c r="JZ104">
        <v>24</v>
      </c>
      <c r="KA104">
        <v>84</v>
      </c>
      <c r="KB104">
        <v>93</v>
      </c>
      <c r="KC104">
        <v>69</v>
      </c>
      <c r="KD104">
        <v>22</v>
      </c>
      <c r="KE104">
        <v>1701</v>
      </c>
      <c r="KF104">
        <v>191</v>
      </c>
      <c r="KG104">
        <v>198</v>
      </c>
      <c r="KH104">
        <v>174</v>
      </c>
      <c r="KI104">
        <v>35</v>
      </c>
      <c r="KJ104">
        <v>3880</v>
      </c>
      <c r="KK104">
        <v>74</v>
      </c>
      <c r="KL104">
        <v>70</v>
      </c>
      <c r="KM104">
        <v>58</v>
      </c>
      <c r="KN104">
        <v>29</v>
      </c>
      <c r="KO104">
        <v>1437</v>
      </c>
      <c r="KP104">
        <v>63</v>
      </c>
      <c r="KQ104">
        <v>36</v>
      </c>
      <c r="KR104">
        <v>70</v>
      </c>
      <c r="KS104">
        <v>35</v>
      </c>
      <c r="KT104">
        <v>1277</v>
      </c>
      <c r="KU104" t="s">
        <v>85</v>
      </c>
      <c r="KV104" t="s">
        <v>85</v>
      </c>
      <c r="KW104" t="s">
        <v>85</v>
      </c>
      <c r="KX104" t="s">
        <v>85</v>
      </c>
      <c r="KY104" t="s">
        <v>85</v>
      </c>
      <c r="KZ104">
        <v>24</v>
      </c>
      <c r="LA104">
        <v>122</v>
      </c>
      <c r="LB104">
        <v>141</v>
      </c>
      <c r="LC104">
        <v>109</v>
      </c>
      <c r="LD104">
        <v>38</v>
      </c>
      <c r="LE104">
        <v>2559</v>
      </c>
      <c r="LF104">
        <v>68</v>
      </c>
      <c r="LG104">
        <v>73</v>
      </c>
      <c r="LH104">
        <v>50</v>
      </c>
      <c r="LI104">
        <v>14</v>
      </c>
      <c r="LJ104">
        <v>1366</v>
      </c>
      <c r="LK104">
        <v>132</v>
      </c>
      <c r="LL104">
        <v>116</v>
      </c>
      <c r="LM104">
        <v>128</v>
      </c>
      <c r="LN104">
        <v>40</v>
      </c>
      <c r="LO104">
        <v>2716</v>
      </c>
      <c r="LP104">
        <v>86</v>
      </c>
      <c r="LQ104">
        <v>95</v>
      </c>
      <c r="LR104">
        <v>102</v>
      </c>
      <c r="LS104">
        <v>17</v>
      </c>
      <c r="LT104">
        <v>2050</v>
      </c>
      <c r="LU104">
        <v>0</v>
      </c>
      <c r="LV104">
        <v>5</v>
      </c>
      <c r="LW104">
        <v>5</v>
      </c>
      <c r="LX104">
        <v>6</v>
      </c>
      <c r="LY104">
        <v>67</v>
      </c>
      <c r="LZ104">
        <v>24</v>
      </c>
      <c r="MA104">
        <v>68</v>
      </c>
      <c r="MB104">
        <v>99</v>
      </c>
      <c r="MC104">
        <v>65</v>
      </c>
      <c r="MD104">
        <v>29</v>
      </c>
      <c r="ME104">
        <v>1620</v>
      </c>
      <c r="MF104" t="s">
        <v>85</v>
      </c>
      <c r="MG104" t="s">
        <v>85</v>
      </c>
      <c r="MH104" t="s">
        <v>85</v>
      </c>
      <c r="MI104" t="s">
        <v>85</v>
      </c>
      <c r="MJ104" t="s">
        <v>85</v>
      </c>
      <c r="MK104" t="s">
        <v>85</v>
      </c>
      <c r="ML104" t="s">
        <v>85</v>
      </c>
      <c r="MM104" t="s">
        <v>85</v>
      </c>
      <c r="MN104" t="s">
        <v>85</v>
      </c>
      <c r="MO104" t="s">
        <v>85</v>
      </c>
      <c r="MP104" t="s">
        <v>85</v>
      </c>
      <c r="MQ104" t="s">
        <v>85</v>
      </c>
      <c r="MR104" t="s">
        <v>85</v>
      </c>
      <c r="MS104" t="s">
        <v>85</v>
      </c>
      <c r="MT104" t="s">
        <v>85</v>
      </c>
      <c r="MU104" t="s">
        <v>85</v>
      </c>
      <c r="MV104" t="s">
        <v>85</v>
      </c>
      <c r="MW104" t="s">
        <v>85</v>
      </c>
      <c r="MX104" t="s">
        <v>85</v>
      </c>
      <c r="MY104" t="s">
        <v>85</v>
      </c>
    </row>
    <row r="105" spans="1:363">
      <c r="A105" s="467" t="s">
        <v>765</v>
      </c>
      <c r="B105" t="s">
        <v>85</v>
      </c>
      <c r="C105" t="s">
        <v>85</v>
      </c>
      <c r="D105" t="s">
        <v>85</v>
      </c>
      <c r="E105" t="s">
        <v>85</v>
      </c>
      <c r="F105">
        <v>637</v>
      </c>
      <c r="G105" t="s">
        <v>85</v>
      </c>
      <c r="H105" t="s">
        <v>85</v>
      </c>
      <c r="I105" t="s">
        <v>85</v>
      </c>
      <c r="J105" t="s">
        <v>85</v>
      </c>
      <c r="K105">
        <v>5563</v>
      </c>
      <c r="L105" t="s">
        <v>85</v>
      </c>
      <c r="M105" t="s">
        <v>85</v>
      </c>
      <c r="N105" t="s">
        <v>85</v>
      </c>
      <c r="O105" t="s">
        <v>85</v>
      </c>
      <c r="P105">
        <v>4595</v>
      </c>
      <c r="Q105" t="s">
        <v>85</v>
      </c>
      <c r="R105" t="s">
        <v>85</v>
      </c>
      <c r="S105" t="s">
        <v>85</v>
      </c>
      <c r="T105" t="s">
        <v>85</v>
      </c>
      <c r="U105">
        <v>6040</v>
      </c>
      <c r="V105" t="s">
        <v>85</v>
      </c>
      <c r="W105" t="s">
        <v>85</v>
      </c>
      <c r="X105" t="s">
        <v>85</v>
      </c>
      <c r="Y105" t="s">
        <v>85</v>
      </c>
      <c r="Z105">
        <v>3258</v>
      </c>
      <c r="AA105" t="s">
        <v>765</v>
      </c>
      <c r="AB105" t="s">
        <v>85</v>
      </c>
      <c r="AC105" t="s">
        <v>85</v>
      </c>
      <c r="AD105" t="s">
        <v>85</v>
      </c>
      <c r="AE105" t="s">
        <v>85</v>
      </c>
      <c r="AF105">
        <v>9026</v>
      </c>
      <c r="AG105" t="s">
        <v>85</v>
      </c>
      <c r="AH105" t="s">
        <v>85</v>
      </c>
      <c r="AI105" t="s">
        <v>85</v>
      </c>
      <c r="AJ105" t="s">
        <v>85</v>
      </c>
      <c r="AK105">
        <v>8827</v>
      </c>
      <c r="AL105" t="s">
        <v>85</v>
      </c>
      <c r="AM105" t="s">
        <v>85</v>
      </c>
      <c r="AN105" t="s">
        <v>85</v>
      </c>
      <c r="AO105" t="s">
        <v>85</v>
      </c>
      <c r="AP105">
        <v>1138</v>
      </c>
      <c r="AQ105" t="s">
        <v>85</v>
      </c>
      <c r="AR105" t="s">
        <v>85</v>
      </c>
      <c r="AS105" t="s">
        <v>85</v>
      </c>
      <c r="AT105" t="s">
        <v>85</v>
      </c>
      <c r="AU105" t="s">
        <v>85</v>
      </c>
      <c r="AV105" t="s">
        <v>85</v>
      </c>
      <c r="AW105" t="s">
        <v>85</v>
      </c>
      <c r="AX105" t="s">
        <v>85</v>
      </c>
      <c r="AY105" t="s">
        <v>85</v>
      </c>
      <c r="AZ105" t="s">
        <v>85</v>
      </c>
      <c r="BA105" t="s">
        <v>765</v>
      </c>
      <c r="BB105" t="s">
        <v>85</v>
      </c>
      <c r="BC105" t="s">
        <v>85</v>
      </c>
      <c r="BD105" t="s">
        <v>85</v>
      </c>
      <c r="BE105" t="s">
        <v>85</v>
      </c>
      <c r="BF105">
        <v>21433</v>
      </c>
      <c r="BG105" t="s">
        <v>85</v>
      </c>
      <c r="BH105" t="s">
        <v>85</v>
      </c>
      <c r="BI105" t="s">
        <v>85</v>
      </c>
      <c r="BJ105" t="s">
        <v>85</v>
      </c>
      <c r="BK105">
        <v>17213</v>
      </c>
      <c r="BL105" t="s">
        <v>85</v>
      </c>
      <c r="BM105" t="s">
        <v>85</v>
      </c>
      <c r="BN105" t="s">
        <v>85</v>
      </c>
      <c r="BO105" t="s">
        <v>85</v>
      </c>
      <c r="BP105">
        <v>7352</v>
      </c>
      <c r="BQ105" t="s">
        <v>85</v>
      </c>
      <c r="BR105" t="s">
        <v>85</v>
      </c>
      <c r="BS105" t="s">
        <v>85</v>
      </c>
      <c r="BT105" t="s">
        <v>85</v>
      </c>
      <c r="BU105">
        <v>39258</v>
      </c>
      <c r="BV105" t="s">
        <v>85</v>
      </c>
      <c r="BW105" t="s">
        <v>85</v>
      </c>
      <c r="BX105" t="s">
        <v>85</v>
      </c>
      <c r="BY105" t="s">
        <v>85</v>
      </c>
      <c r="BZ105">
        <v>39274</v>
      </c>
      <c r="CA105" t="s">
        <v>765</v>
      </c>
      <c r="CB105" t="s">
        <v>85</v>
      </c>
      <c r="CC105" t="s">
        <v>85</v>
      </c>
      <c r="CD105" t="s">
        <v>85</v>
      </c>
      <c r="CE105" t="s">
        <v>85</v>
      </c>
      <c r="CF105">
        <v>0</v>
      </c>
      <c r="CG105" t="s">
        <v>85</v>
      </c>
      <c r="CH105" t="s">
        <v>85</v>
      </c>
      <c r="CI105" t="s">
        <v>85</v>
      </c>
      <c r="CJ105" t="s">
        <v>85</v>
      </c>
      <c r="CK105">
        <v>1403</v>
      </c>
      <c r="CL105" t="s">
        <v>85</v>
      </c>
      <c r="CM105" t="s">
        <v>85</v>
      </c>
      <c r="CN105" t="s">
        <v>85</v>
      </c>
      <c r="CO105" t="s">
        <v>85</v>
      </c>
      <c r="CP105" t="s">
        <v>85</v>
      </c>
      <c r="CQ105" t="s">
        <v>85</v>
      </c>
      <c r="CR105" t="s">
        <v>85</v>
      </c>
      <c r="CS105" t="s">
        <v>85</v>
      </c>
      <c r="CT105" t="s">
        <v>85</v>
      </c>
      <c r="CU105" t="s">
        <v>85</v>
      </c>
      <c r="CV105" t="s">
        <v>85</v>
      </c>
      <c r="CW105" t="s">
        <v>85</v>
      </c>
      <c r="CX105" t="s">
        <v>85</v>
      </c>
      <c r="CY105" t="s">
        <v>85</v>
      </c>
      <c r="CZ105" t="s">
        <v>85</v>
      </c>
      <c r="DA105" t="s">
        <v>765</v>
      </c>
      <c r="DB105" t="s">
        <v>85</v>
      </c>
      <c r="DC105" t="s">
        <v>85</v>
      </c>
      <c r="DD105" t="s">
        <v>85</v>
      </c>
      <c r="DE105" t="s">
        <v>85</v>
      </c>
      <c r="DF105">
        <v>125362</v>
      </c>
      <c r="DG105" t="s">
        <v>85</v>
      </c>
      <c r="DH105" t="s">
        <v>85</v>
      </c>
      <c r="DI105" t="s">
        <v>85</v>
      </c>
      <c r="DJ105" t="s">
        <v>85</v>
      </c>
      <c r="DK105">
        <v>15740</v>
      </c>
      <c r="DL105" t="s">
        <v>85</v>
      </c>
      <c r="DM105" t="s">
        <v>85</v>
      </c>
      <c r="DN105" t="s">
        <v>85</v>
      </c>
      <c r="DO105" t="s">
        <v>85</v>
      </c>
      <c r="DP105">
        <v>10320</v>
      </c>
      <c r="DQ105" t="s">
        <v>85</v>
      </c>
      <c r="DR105" t="s">
        <v>85</v>
      </c>
      <c r="DS105" t="s">
        <v>85</v>
      </c>
      <c r="DT105" t="s">
        <v>85</v>
      </c>
      <c r="DU105">
        <v>0</v>
      </c>
      <c r="DV105" t="s">
        <v>85</v>
      </c>
      <c r="DW105" t="s">
        <v>85</v>
      </c>
      <c r="DX105" t="s">
        <v>85</v>
      </c>
      <c r="DY105" t="s">
        <v>85</v>
      </c>
      <c r="DZ105">
        <v>0</v>
      </c>
      <c r="EA105" t="s">
        <v>765</v>
      </c>
      <c r="EB105" t="s">
        <v>85</v>
      </c>
      <c r="EC105" t="s">
        <v>85</v>
      </c>
      <c r="ED105" t="s">
        <v>85</v>
      </c>
      <c r="EE105" t="s">
        <v>85</v>
      </c>
      <c r="EF105">
        <v>0</v>
      </c>
      <c r="EG105" t="s">
        <v>85</v>
      </c>
      <c r="EH105" t="s">
        <v>85</v>
      </c>
      <c r="EI105" t="s">
        <v>85</v>
      </c>
      <c r="EJ105" t="s">
        <v>85</v>
      </c>
      <c r="EK105" t="s">
        <v>85</v>
      </c>
      <c r="EL105" t="s">
        <v>85</v>
      </c>
      <c r="EM105" t="s">
        <v>85</v>
      </c>
      <c r="EN105" t="s">
        <v>85</v>
      </c>
      <c r="EO105" t="s">
        <v>85</v>
      </c>
      <c r="EP105" t="s">
        <v>85</v>
      </c>
      <c r="EQ105" t="s">
        <v>85</v>
      </c>
      <c r="ER105" t="s">
        <v>85</v>
      </c>
      <c r="ES105" t="s">
        <v>85</v>
      </c>
      <c r="ET105" t="s">
        <v>85</v>
      </c>
      <c r="EU105" t="s">
        <v>85</v>
      </c>
      <c r="EV105" t="s">
        <v>85</v>
      </c>
      <c r="EW105" t="s">
        <v>85</v>
      </c>
      <c r="EX105" t="s">
        <v>85</v>
      </c>
      <c r="EY105" t="s">
        <v>85</v>
      </c>
      <c r="EZ105" t="s">
        <v>85</v>
      </c>
      <c r="FA105" t="s">
        <v>765</v>
      </c>
      <c r="FB105" t="s">
        <v>85</v>
      </c>
      <c r="FC105" t="s">
        <v>85</v>
      </c>
      <c r="FD105" t="s">
        <v>85</v>
      </c>
      <c r="FE105" t="s">
        <v>85</v>
      </c>
      <c r="FF105">
        <v>35644</v>
      </c>
      <c r="FG105" t="s">
        <v>85</v>
      </c>
      <c r="FH105" t="s">
        <v>85</v>
      </c>
      <c r="FI105" t="s">
        <v>85</v>
      </c>
      <c r="FJ105" t="s">
        <v>85</v>
      </c>
      <c r="FK105">
        <v>0</v>
      </c>
      <c r="FL105" t="s">
        <v>85</v>
      </c>
      <c r="FM105" t="s">
        <v>85</v>
      </c>
      <c r="FN105" t="s">
        <v>85</v>
      </c>
      <c r="FO105" t="s">
        <v>85</v>
      </c>
      <c r="FP105">
        <v>0</v>
      </c>
      <c r="FQ105" t="s">
        <v>85</v>
      </c>
      <c r="FR105" t="s">
        <v>85</v>
      </c>
      <c r="FS105" t="s">
        <v>85</v>
      </c>
      <c r="FT105" t="s">
        <v>85</v>
      </c>
      <c r="FU105">
        <v>47880</v>
      </c>
      <c r="FV105" t="s">
        <v>85</v>
      </c>
      <c r="FW105" t="s">
        <v>85</v>
      </c>
      <c r="FX105" t="s">
        <v>85</v>
      </c>
      <c r="FY105" t="s">
        <v>85</v>
      </c>
      <c r="FZ105">
        <v>18878</v>
      </c>
      <c r="GA105" t="s">
        <v>765</v>
      </c>
      <c r="GB105" t="s">
        <v>85</v>
      </c>
      <c r="GC105" t="s">
        <v>85</v>
      </c>
      <c r="GD105" t="s">
        <v>85</v>
      </c>
      <c r="GE105" t="s">
        <v>85</v>
      </c>
      <c r="GF105">
        <v>85537</v>
      </c>
      <c r="GG105" t="s">
        <v>85</v>
      </c>
      <c r="GH105" t="s">
        <v>85</v>
      </c>
      <c r="GI105" t="s">
        <v>85</v>
      </c>
      <c r="GJ105" t="s">
        <v>85</v>
      </c>
      <c r="GK105" t="s">
        <v>85</v>
      </c>
      <c r="GL105" t="s">
        <v>85</v>
      </c>
      <c r="GM105" t="s">
        <v>85</v>
      </c>
      <c r="GN105" t="s">
        <v>85</v>
      </c>
      <c r="GO105" t="s">
        <v>85</v>
      </c>
      <c r="GP105" t="s">
        <v>85</v>
      </c>
      <c r="GQ105" t="s">
        <v>85</v>
      </c>
      <c r="GR105" t="s">
        <v>85</v>
      </c>
      <c r="GS105" t="s">
        <v>85</v>
      </c>
      <c r="GT105" t="s">
        <v>85</v>
      </c>
      <c r="GU105" t="s">
        <v>85</v>
      </c>
      <c r="GV105" t="s">
        <v>85</v>
      </c>
      <c r="GW105" t="s">
        <v>85</v>
      </c>
      <c r="GX105" t="s">
        <v>85</v>
      </c>
      <c r="GY105" t="s">
        <v>85</v>
      </c>
      <c r="GZ105" t="s">
        <v>777</v>
      </c>
      <c r="HA105" t="s">
        <v>85</v>
      </c>
      <c r="HB105" t="s">
        <v>85</v>
      </c>
      <c r="HC105" t="s">
        <v>85</v>
      </c>
      <c r="HD105" t="s">
        <v>85</v>
      </c>
      <c r="HE105">
        <v>55103</v>
      </c>
      <c r="HF105" t="s">
        <v>85</v>
      </c>
      <c r="HG105" t="s">
        <v>85</v>
      </c>
      <c r="HH105" t="s">
        <v>85</v>
      </c>
      <c r="HI105" t="s">
        <v>85</v>
      </c>
      <c r="HJ105">
        <v>40424</v>
      </c>
      <c r="HK105" t="s">
        <v>85</v>
      </c>
      <c r="HL105" t="s">
        <v>85</v>
      </c>
      <c r="HM105" t="s">
        <v>85</v>
      </c>
      <c r="HN105" t="s">
        <v>85</v>
      </c>
      <c r="HO105">
        <v>39814</v>
      </c>
      <c r="HP105" t="s">
        <v>85</v>
      </c>
      <c r="HQ105" t="s">
        <v>85</v>
      </c>
      <c r="HR105" t="s">
        <v>85</v>
      </c>
      <c r="HS105" t="s">
        <v>85</v>
      </c>
      <c r="HT105">
        <v>21277</v>
      </c>
      <c r="HU105" t="s">
        <v>85</v>
      </c>
      <c r="HV105" t="s">
        <v>85</v>
      </c>
      <c r="HW105" t="s">
        <v>85</v>
      </c>
      <c r="HX105" t="s">
        <v>85</v>
      </c>
      <c r="HY105">
        <v>65920</v>
      </c>
      <c r="HZ105" t="s">
        <v>765</v>
      </c>
      <c r="IA105" t="s">
        <v>85</v>
      </c>
      <c r="IB105" t="s">
        <v>85</v>
      </c>
      <c r="IC105" t="s">
        <v>85</v>
      </c>
      <c r="ID105" t="s">
        <v>85</v>
      </c>
      <c r="IE105">
        <v>46976</v>
      </c>
      <c r="IF105" t="s">
        <v>85</v>
      </c>
      <c r="IG105" t="s">
        <v>85</v>
      </c>
      <c r="IH105" t="s">
        <v>85</v>
      </c>
      <c r="II105" t="s">
        <v>85</v>
      </c>
      <c r="IJ105" t="s">
        <v>85</v>
      </c>
      <c r="IK105" t="s">
        <v>85</v>
      </c>
      <c r="IL105" t="s">
        <v>85</v>
      </c>
      <c r="IM105" t="s">
        <v>85</v>
      </c>
      <c r="IN105" t="s">
        <v>85</v>
      </c>
      <c r="IO105" t="s">
        <v>85</v>
      </c>
      <c r="IP105" t="s">
        <v>85</v>
      </c>
      <c r="IQ105" t="s">
        <v>85</v>
      </c>
      <c r="IR105" t="s">
        <v>85</v>
      </c>
      <c r="IS105" t="s">
        <v>85</v>
      </c>
      <c r="IT105" t="s">
        <v>85</v>
      </c>
      <c r="IU105" t="s">
        <v>85</v>
      </c>
      <c r="IV105" t="s">
        <v>85</v>
      </c>
      <c r="IW105" t="s">
        <v>85</v>
      </c>
      <c r="IX105" t="s">
        <v>85</v>
      </c>
      <c r="IY105" t="s">
        <v>85</v>
      </c>
      <c r="IZ105" t="s">
        <v>765</v>
      </c>
      <c r="JA105" t="s">
        <v>85</v>
      </c>
      <c r="JB105" t="s">
        <v>85</v>
      </c>
      <c r="JC105" t="s">
        <v>85</v>
      </c>
      <c r="JD105" t="s">
        <v>85</v>
      </c>
      <c r="JE105">
        <v>63553</v>
      </c>
      <c r="JF105" t="s">
        <v>85</v>
      </c>
      <c r="JG105" t="s">
        <v>85</v>
      </c>
      <c r="JH105" t="s">
        <v>85</v>
      </c>
      <c r="JI105" t="s">
        <v>85</v>
      </c>
      <c r="JJ105">
        <v>53681</v>
      </c>
      <c r="JK105" t="s">
        <v>85</v>
      </c>
      <c r="JL105" t="s">
        <v>85</v>
      </c>
      <c r="JM105" t="s">
        <v>85</v>
      </c>
      <c r="JN105" t="s">
        <v>85</v>
      </c>
      <c r="JO105">
        <v>62607</v>
      </c>
      <c r="JP105" t="s">
        <v>85</v>
      </c>
      <c r="JQ105" t="s">
        <v>85</v>
      </c>
      <c r="JR105" t="s">
        <v>85</v>
      </c>
      <c r="JS105" t="s">
        <v>85</v>
      </c>
      <c r="JT105">
        <v>48575</v>
      </c>
      <c r="JU105" t="s">
        <v>85</v>
      </c>
      <c r="JV105" t="s">
        <v>85</v>
      </c>
      <c r="JW105" t="s">
        <v>85</v>
      </c>
      <c r="JX105" t="s">
        <v>85</v>
      </c>
      <c r="JY105" t="s">
        <v>85</v>
      </c>
      <c r="JZ105" t="s">
        <v>765</v>
      </c>
      <c r="KA105" t="s">
        <v>85</v>
      </c>
      <c r="KB105" t="s">
        <v>85</v>
      </c>
      <c r="KC105" t="s">
        <v>85</v>
      </c>
      <c r="KD105" t="s">
        <v>85</v>
      </c>
      <c r="KE105">
        <v>36870</v>
      </c>
      <c r="KF105" t="s">
        <v>85</v>
      </c>
      <c r="KG105" t="s">
        <v>85</v>
      </c>
      <c r="KH105" t="s">
        <v>85</v>
      </c>
      <c r="KI105" t="s">
        <v>85</v>
      </c>
      <c r="KJ105">
        <v>100314</v>
      </c>
      <c r="KK105" t="s">
        <v>85</v>
      </c>
      <c r="KL105" t="s">
        <v>85</v>
      </c>
      <c r="KM105" t="s">
        <v>85</v>
      </c>
      <c r="KN105" t="s">
        <v>85</v>
      </c>
      <c r="KO105">
        <v>35687</v>
      </c>
      <c r="KP105" t="s">
        <v>85</v>
      </c>
      <c r="KQ105" t="s">
        <v>85</v>
      </c>
      <c r="KR105" t="s">
        <v>85</v>
      </c>
      <c r="KS105" t="s">
        <v>85</v>
      </c>
      <c r="KT105">
        <v>30932</v>
      </c>
      <c r="KU105" t="s">
        <v>85</v>
      </c>
      <c r="KV105" t="s">
        <v>85</v>
      </c>
      <c r="KW105" t="s">
        <v>85</v>
      </c>
      <c r="KX105" t="s">
        <v>85</v>
      </c>
      <c r="KY105" t="s">
        <v>85</v>
      </c>
      <c r="KZ105" t="s">
        <v>765</v>
      </c>
      <c r="LA105" t="s">
        <v>85</v>
      </c>
      <c r="LB105" t="s">
        <v>85</v>
      </c>
      <c r="LC105" t="s">
        <v>85</v>
      </c>
      <c r="LD105" t="s">
        <v>85</v>
      </c>
      <c r="LE105">
        <v>56235</v>
      </c>
      <c r="LF105" t="s">
        <v>85</v>
      </c>
      <c r="LG105" t="s">
        <v>85</v>
      </c>
      <c r="LH105" t="s">
        <v>85</v>
      </c>
      <c r="LI105" t="s">
        <v>85</v>
      </c>
      <c r="LJ105">
        <v>38697</v>
      </c>
      <c r="LK105" t="s">
        <v>85</v>
      </c>
      <c r="LL105" t="s">
        <v>85</v>
      </c>
      <c r="LM105" t="s">
        <v>85</v>
      </c>
      <c r="LN105" t="s">
        <v>85</v>
      </c>
      <c r="LO105">
        <v>60586</v>
      </c>
      <c r="LP105" t="s">
        <v>85</v>
      </c>
      <c r="LQ105" t="s">
        <v>85</v>
      </c>
      <c r="LR105" t="s">
        <v>85</v>
      </c>
      <c r="LS105" t="s">
        <v>85</v>
      </c>
      <c r="LT105">
        <v>60546</v>
      </c>
      <c r="LU105" t="s">
        <v>85</v>
      </c>
      <c r="LV105" t="s">
        <v>85</v>
      </c>
      <c r="LW105" t="s">
        <v>85</v>
      </c>
      <c r="LX105" t="s">
        <v>85</v>
      </c>
      <c r="LY105">
        <v>1284</v>
      </c>
      <c r="LZ105" t="s">
        <v>765</v>
      </c>
      <c r="MA105" t="s">
        <v>85</v>
      </c>
      <c r="MB105" t="s">
        <v>85</v>
      </c>
      <c r="MC105" t="s">
        <v>85</v>
      </c>
      <c r="MD105" t="s">
        <v>85</v>
      </c>
      <c r="ME105">
        <v>42762</v>
      </c>
      <c r="MF105" t="s">
        <v>85</v>
      </c>
      <c r="MG105" t="s">
        <v>85</v>
      </c>
      <c r="MH105" t="s">
        <v>85</v>
      </c>
      <c r="MI105" t="s">
        <v>85</v>
      </c>
      <c r="MJ105" t="s">
        <v>85</v>
      </c>
      <c r="MK105" t="s">
        <v>85</v>
      </c>
      <c r="ML105" t="s">
        <v>85</v>
      </c>
      <c r="MM105" t="s">
        <v>85</v>
      </c>
      <c r="MN105" t="s">
        <v>85</v>
      </c>
      <c r="MO105" t="s">
        <v>85</v>
      </c>
      <c r="MP105" t="s">
        <v>85</v>
      </c>
      <c r="MQ105" t="s">
        <v>85</v>
      </c>
      <c r="MR105" t="s">
        <v>85</v>
      </c>
      <c r="MS105" t="s">
        <v>85</v>
      </c>
      <c r="MT105" t="s">
        <v>85</v>
      </c>
      <c r="MU105" t="s">
        <v>85</v>
      </c>
      <c r="MV105" t="s">
        <v>85</v>
      </c>
      <c r="MW105" t="s">
        <v>85</v>
      </c>
      <c r="MX105" t="s">
        <v>85</v>
      </c>
      <c r="MY105" t="s">
        <v>85</v>
      </c>
    </row>
    <row r="106" spans="1:363">
      <c r="A106" s="467" t="s">
        <v>766</v>
      </c>
      <c r="B106">
        <v>-1</v>
      </c>
      <c r="C106">
        <v>-1</v>
      </c>
      <c r="D106">
        <v>-1</v>
      </c>
      <c r="E106">
        <v>-1</v>
      </c>
      <c r="F106">
        <v>27</v>
      </c>
      <c r="G106">
        <v>8</v>
      </c>
      <c r="H106">
        <v>8</v>
      </c>
      <c r="I106">
        <v>9</v>
      </c>
      <c r="J106">
        <v>0</v>
      </c>
      <c r="K106">
        <v>232</v>
      </c>
      <c r="L106">
        <v>9</v>
      </c>
      <c r="M106">
        <v>9</v>
      </c>
      <c r="N106">
        <v>9</v>
      </c>
      <c r="O106">
        <v>0</v>
      </c>
      <c r="P106">
        <v>191</v>
      </c>
      <c r="Q106">
        <v>7</v>
      </c>
      <c r="R106">
        <v>7</v>
      </c>
      <c r="S106">
        <v>7</v>
      </c>
      <c r="T106">
        <v>0</v>
      </c>
      <c r="U106">
        <v>252</v>
      </c>
      <c r="V106">
        <v>11</v>
      </c>
      <c r="W106">
        <v>11</v>
      </c>
      <c r="X106">
        <v>10</v>
      </c>
      <c r="Y106">
        <v>1</v>
      </c>
      <c r="Z106">
        <v>136</v>
      </c>
      <c r="AA106" t="s">
        <v>766</v>
      </c>
      <c r="AB106">
        <v>15</v>
      </c>
      <c r="AC106">
        <v>15</v>
      </c>
      <c r="AD106">
        <v>15</v>
      </c>
      <c r="AE106">
        <v>1</v>
      </c>
      <c r="AF106">
        <v>376</v>
      </c>
      <c r="AG106">
        <v>16</v>
      </c>
      <c r="AH106">
        <v>16</v>
      </c>
      <c r="AI106">
        <v>16</v>
      </c>
      <c r="AJ106">
        <v>1</v>
      </c>
      <c r="AK106">
        <v>368</v>
      </c>
      <c r="AL106">
        <v>1</v>
      </c>
      <c r="AM106">
        <v>1</v>
      </c>
      <c r="AN106">
        <v>1</v>
      </c>
      <c r="AO106">
        <v>1</v>
      </c>
      <c r="AP106">
        <v>47</v>
      </c>
      <c r="AQ106" t="s">
        <v>85</v>
      </c>
      <c r="AR106" t="s">
        <v>85</v>
      </c>
      <c r="AS106" t="s">
        <v>85</v>
      </c>
      <c r="AT106" t="s">
        <v>85</v>
      </c>
      <c r="AU106" t="s">
        <v>85</v>
      </c>
      <c r="AV106" t="s">
        <v>85</v>
      </c>
      <c r="AW106" t="s">
        <v>85</v>
      </c>
      <c r="AX106" t="s">
        <v>85</v>
      </c>
      <c r="AY106" t="s">
        <v>85</v>
      </c>
      <c r="AZ106" t="s">
        <v>85</v>
      </c>
      <c r="BA106" t="s">
        <v>766</v>
      </c>
      <c r="BB106">
        <v>23</v>
      </c>
      <c r="BC106">
        <v>23</v>
      </c>
      <c r="BD106">
        <v>23</v>
      </c>
      <c r="BE106">
        <v>0</v>
      </c>
      <c r="BF106">
        <v>893</v>
      </c>
      <c r="BG106">
        <v>20</v>
      </c>
      <c r="BH106">
        <v>18</v>
      </c>
      <c r="BI106">
        <v>18</v>
      </c>
      <c r="BJ106">
        <v>0</v>
      </c>
      <c r="BK106">
        <v>717</v>
      </c>
      <c r="BL106">
        <v>11</v>
      </c>
      <c r="BM106">
        <v>11</v>
      </c>
      <c r="BN106">
        <v>11</v>
      </c>
      <c r="BO106">
        <v>0</v>
      </c>
      <c r="BP106">
        <v>306</v>
      </c>
      <c r="BQ106">
        <v>41</v>
      </c>
      <c r="BR106">
        <v>42</v>
      </c>
      <c r="BS106">
        <v>39</v>
      </c>
      <c r="BT106">
        <v>1</v>
      </c>
      <c r="BU106">
        <v>1636</v>
      </c>
      <c r="BV106">
        <v>41</v>
      </c>
      <c r="BW106">
        <v>43</v>
      </c>
      <c r="BX106">
        <v>41</v>
      </c>
      <c r="BY106">
        <v>0</v>
      </c>
      <c r="BZ106">
        <v>1636</v>
      </c>
      <c r="CA106" t="s">
        <v>766</v>
      </c>
      <c r="CB106" t="s">
        <v>85</v>
      </c>
      <c r="CC106" t="s">
        <v>85</v>
      </c>
      <c r="CD106" t="s">
        <v>85</v>
      </c>
      <c r="CE106" t="s">
        <v>85</v>
      </c>
      <c r="CF106">
        <v>0</v>
      </c>
      <c r="CG106">
        <v>1</v>
      </c>
      <c r="CH106">
        <v>1</v>
      </c>
      <c r="CI106">
        <v>2</v>
      </c>
      <c r="CJ106">
        <v>0</v>
      </c>
      <c r="CK106">
        <v>58</v>
      </c>
      <c r="CL106" t="s">
        <v>85</v>
      </c>
      <c r="CM106" t="s">
        <v>85</v>
      </c>
      <c r="CN106" t="s">
        <v>85</v>
      </c>
      <c r="CO106" t="s">
        <v>85</v>
      </c>
      <c r="CP106" t="s">
        <v>85</v>
      </c>
      <c r="CQ106" t="s">
        <v>85</v>
      </c>
      <c r="CR106" t="s">
        <v>85</v>
      </c>
      <c r="CS106" t="s">
        <v>85</v>
      </c>
      <c r="CT106" t="s">
        <v>85</v>
      </c>
      <c r="CU106" t="s">
        <v>85</v>
      </c>
      <c r="CV106" t="s">
        <v>85</v>
      </c>
      <c r="CW106" t="s">
        <v>85</v>
      </c>
      <c r="CX106" t="s">
        <v>85</v>
      </c>
      <c r="CY106" t="s">
        <v>85</v>
      </c>
      <c r="CZ106" t="s">
        <v>85</v>
      </c>
      <c r="DA106" t="s">
        <v>766</v>
      </c>
      <c r="DB106">
        <v>137</v>
      </c>
      <c r="DC106">
        <v>138</v>
      </c>
      <c r="DD106">
        <v>137</v>
      </c>
      <c r="DE106">
        <v>0</v>
      </c>
      <c r="DF106">
        <v>5223</v>
      </c>
      <c r="DG106">
        <v>21</v>
      </c>
      <c r="DH106">
        <v>20</v>
      </c>
      <c r="DI106">
        <v>20</v>
      </c>
      <c r="DJ106">
        <v>0</v>
      </c>
      <c r="DK106">
        <v>656</v>
      </c>
      <c r="DL106">
        <v>13</v>
      </c>
      <c r="DM106">
        <v>13</v>
      </c>
      <c r="DN106">
        <v>12</v>
      </c>
      <c r="DO106">
        <v>0</v>
      </c>
      <c r="DP106">
        <v>430</v>
      </c>
      <c r="DQ106">
        <v>0</v>
      </c>
      <c r="DR106">
        <v>0</v>
      </c>
      <c r="DS106">
        <v>0</v>
      </c>
      <c r="DT106">
        <v>0</v>
      </c>
      <c r="DU106">
        <v>0</v>
      </c>
      <c r="DV106">
        <v>0</v>
      </c>
      <c r="DW106">
        <v>0</v>
      </c>
      <c r="DX106">
        <v>0</v>
      </c>
      <c r="DY106">
        <v>0</v>
      </c>
      <c r="DZ106">
        <v>0</v>
      </c>
      <c r="EA106" t="s">
        <v>766</v>
      </c>
      <c r="EB106">
        <v>0</v>
      </c>
      <c r="EC106">
        <v>0</v>
      </c>
      <c r="ED106">
        <v>0</v>
      </c>
      <c r="EE106">
        <v>0</v>
      </c>
      <c r="EF106">
        <v>0</v>
      </c>
      <c r="EG106" t="s">
        <v>85</v>
      </c>
      <c r="EH106" t="s">
        <v>85</v>
      </c>
      <c r="EI106" t="s">
        <v>85</v>
      </c>
      <c r="EJ106" t="s">
        <v>85</v>
      </c>
      <c r="EK106" t="s">
        <v>85</v>
      </c>
      <c r="EL106" t="s">
        <v>85</v>
      </c>
      <c r="EM106" t="s">
        <v>85</v>
      </c>
      <c r="EN106" t="s">
        <v>85</v>
      </c>
      <c r="EO106" t="s">
        <v>85</v>
      </c>
      <c r="EP106" t="s">
        <v>85</v>
      </c>
      <c r="EQ106" t="s">
        <v>85</v>
      </c>
      <c r="ER106" t="s">
        <v>85</v>
      </c>
      <c r="ES106" t="s">
        <v>85</v>
      </c>
      <c r="ET106" t="s">
        <v>85</v>
      </c>
      <c r="EU106" t="s">
        <v>85</v>
      </c>
      <c r="EV106" t="s">
        <v>85</v>
      </c>
      <c r="EW106" t="s">
        <v>85</v>
      </c>
      <c r="EX106" t="s">
        <v>85</v>
      </c>
      <c r="EY106" t="s">
        <v>85</v>
      </c>
      <c r="EZ106" t="s">
        <v>85</v>
      </c>
      <c r="FA106" t="s">
        <v>766</v>
      </c>
      <c r="FB106">
        <v>40</v>
      </c>
      <c r="FC106">
        <v>40</v>
      </c>
      <c r="FD106">
        <v>40</v>
      </c>
      <c r="FE106">
        <v>0</v>
      </c>
      <c r="FF106">
        <v>1485</v>
      </c>
      <c r="FG106">
        <v>0</v>
      </c>
      <c r="FH106">
        <v>0</v>
      </c>
      <c r="FI106">
        <v>0</v>
      </c>
      <c r="FJ106">
        <v>0</v>
      </c>
      <c r="FK106">
        <v>0</v>
      </c>
      <c r="FL106">
        <v>0</v>
      </c>
      <c r="FM106">
        <v>0</v>
      </c>
      <c r="FN106">
        <v>0</v>
      </c>
      <c r="FO106">
        <v>0</v>
      </c>
      <c r="FP106">
        <v>0</v>
      </c>
      <c r="FQ106">
        <v>49</v>
      </c>
      <c r="FR106">
        <v>48</v>
      </c>
      <c r="FS106">
        <v>52</v>
      </c>
      <c r="FT106">
        <v>0</v>
      </c>
      <c r="FU106">
        <v>1995</v>
      </c>
      <c r="FV106">
        <v>20</v>
      </c>
      <c r="FW106">
        <v>19</v>
      </c>
      <c r="FX106">
        <v>19</v>
      </c>
      <c r="FY106">
        <v>0</v>
      </c>
      <c r="FZ106">
        <v>787</v>
      </c>
      <c r="GA106" t="s">
        <v>766</v>
      </c>
      <c r="GB106">
        <v>91</v>
      </c>
      <c r="GC106">
        <v>94</v>
      </c>
      <c r="GD106">
        <v>92</v>
      </c>
      <c r="GE106">
        <v>0</v>
      </c>
      <c r="GF106">
        <v>3564</v>
      </c>
      <c r="GG106" t="s">
        <v>85</v>
      </c>
      <c r="GH106" t="s">
        <v>85</v>
      </c>
      <c r="GI106" t="s">
        <v>85</v>
      </c>
      <c r="GJ106" t="s">
        <v>85</v>
      </c>
      <c r="GK106" t="s">
        <v>85</v>
      </c>
      <c r="GL106" t="s">
        <v>85</v>
      </c>
      <c r="GM106" t="s">
        <v>85</v>
      </c>
      <c r="GN106" t="s">
        <v>85</v>
      </c>
      <c r="GO106" t="s">
        <v>85</v>
      </c>
      <c r="GP106" t="s">
        <v>85</v>
      </c>
      <c r="GQ106" t="s">
        <v>85</v>
      </c>
      <c r="GR106" t="s">
        <v>85</v>
      </c>
      <c r="GS106" t="s">
        <v>85</v>
      </c>
      <c r="GT106" t="s">
        <v>85</v>
      </c>
      <c r="GU106" t="s">
        <v>85</v>
      </c>
      <c r="GV106" t="s">
        <v>85</v>
      </c>
      <c r="GW106" t="s">
        <v>85</v>
      </c>
      <c r="GX106" t="s">
        <v>85</v>
      </c>
      <c r="GY106" t="s">
        <v>85</v>
      </c>
      <c r="GZ106" t="s">
        <v>778</v>
      </c>
      <c r="HA106">
        <v>110</v>
      </c>
      <c r="HB106">
        <v>135</v>
      </c>
      <c r="HC106">
        <v>111</v>
      </c>
      <c r="HD106">
        <v>32</v>
      </c>
      <c r="HE106">
        <v>2296</v>
      </c>
      <c r="HF106">
        <v>79</v>
      </c>
      <c r="HG106">
        <v>95</v>
      </c>
      <c r="HH106">
        <v>82</v>
      </c>
      <c r="HI106">
        <v>19</v>
      </c>
      <c r="HJ106">
        <v>1684</v>
      </c>
      <c r="HK106">
        <v>85</v>
      </c>
      <c r="HL106">
        <v>71</v>
      </c>
      <c r="HM106">
        <v>91</v>
      </c>
      <c r="HN106">
        <v>33</v>
      </c>
      <c r="HO106">
        <v>1659</v>
      </c>
      <c r="HP106">
        <v>40</v>
      </c>
      <c r="HQ106">
        <v>52</v>
      </c>
      <c r="HR106">
        <v>41</v>
      </c>
      <c r="HS106">
        <v>14</v>
      </c>
      <c r="HT106">
        <v>887</v>
      </c>
      <c r="HU106">
        <v>130</v>
      </c>
      <c r="HV106">
        <v>153</v>
      </c>
      <c r="HW106">
        <v>124</v>
      </c>
      <c r="HX106">
        <v>26</v>
      </c>
      <c r="HY106">
        <v>2747</v>
      </c>
      <c r="HZ106" t="s">
        <v>766</v>
      </c>
      <c r="IA106">
        <v>102</v>
      </c>
      <c r="IB106">
        <v>106</v>
      </c>
      <c r="IC106">
        <v>81</v>
      </c>
      <c r="ID106">
        <v>41</v>
      </c>
      <c r="IE106">
        <v>1957</v>
      </c>
      <c r="IF106" t="s">
        <v>85</v>
      </c>
      <c r="IG106" t="s">
        <v>85</v>
      </c>
      <c r="IH106" t="s">
        <v>85</v>
      </c>
      <c r="II106" t="s">
        <v>85</v>
      </c>
      <c r="IJ106" t="s">
        <v>85</v>
      </c>
      <c r="IK106" t="s">
        <v>85</v>
      </c>
      <c r="IL106" t="s">
        <v>85</v>
      </c>
      <c r="IM106" t="s">
        <v>85</v>
      </c>
      <c r="IN106" t="s">
        <v>85</v>
      </c>
      <c r="IO106" t="s">
        <v>85</v>
      </c>
      <c r="IP106" t="s">
        <v>85</v>
      </c>
      <c r="IQ106" t="s">
        <v>85</v>
      </c>
      <c r="IR106" t="s">
        <v>85</v>
      </c>
      <c r="IS106" t="s">
        <v>85</v>
      </c>
      <c r="IT106" t="s">
        <v>85</v>
      </c>
      <c r="IU106" t="s">
        <v>85</v>
      </c>
      <c r="IV106" t="s">
        <v>85</v>
      </c>
      <c r="IW106" t="s">
        <v>85</v>
      </c>
      <c r="IX106" t="s">
        <v>85</v>
      </c>
      <c r="IY106" t="s">
        <v>85</v>
      </c>
      <c r="IZ106" t="s">
        <v>766</v>
      </c>
      <c r="JA106">
        <v>146</v>
      </c>
      <c r="JB106">
        <v>119</v>
      </c>
      <c r="JC106">
        <v>129</v>
      </c>
      <c r="JD106">
        <v>29</v>
      </c>
      <c r="JE106">
        <v>2648</v>
      </c>
      <c r="JF106">
        <v>120</v>
      </c>
      <c r="JG106">
        <v>109</v>
      </c>
      <c r="JH106">
        <v>104</v>
      </c>
      <c r="JI106">
        <v>38</v>
      </c>
      <c r="JJ106">
        <v>2237</v>
      </c>
      <c r="JK106">
        <v>111</v>
      </c>
      <c r="JL106">
        <v>135</v>
      </c>
      <c r="JM106">
        <v>141</v>
      </c>
      <c r="JN106">
        <v>42</v>
      </c>
      <c r="JO106">
        <v>2609</v>
      </c>
      <c r="JP106">
        <v>111</v>
      </c>
      <c r="JQ106">
        <v>89</v>
      </c>
      <c r="JR106">
        <v>101</v>
      </c>
      <c r="JS106">
        <v>32</v>
      </c>
      <c r="JT106">
        <v>2024</v>
      </c>
      <c r="JU106" t="s">
        <v>85</v>
      </c>
      <c r="JV106" t="s">
        <v>85</v>
      </c>
      <c r="JW106" t="s">
        <v>85</v>
      </c>
      <c r="JX106" t="s">
        <v>85</v>
      </c>
      <c r="JY106" t="s">
        <v>85</v>
      </c>
      <c r="JZ106" t="s">
        <v>766</v>
      </c>
      <c r="KA106">
        <v>81</v>
      </c>
      <c r="KB106">
        <v>88</v>
      </c>
      <c r="KC106">
        <v>65</v>
      </c>
      <c r="KD106">
        <v>29</v>
      </c>
      <c r="KE106">
        <v>1536</v>
      </c>
      <c r="KF106">
        <v>215</v>
      </c>
      <c r="KG106">
        <v>216</v>
      </c>
      <c r="KH106">
        <v>204</v>
      </c>
      <c r="KI106">
        <v>30</v>
      </c>
      <c r="KJ106">
        <v>4180</v>
      </c>
      <c r="KK106">
        <v>80</v>
      </c>
      <c r="KL106">
        <v>79</v>
      </c>
      <c r="KM106">
        <v>64</v>
      </c>
      <c r="KN106">
        <v>33</v>
      </c>
      <c r="KO106">
        <v>1487</v>
      </c>
      <c r="KP106">
        <v>68</v>
      </c>
      <c r="KQ106">
        <v>47</v>
      </c>
      <c r="KR106">
        <v>83</v>
      </c>
      <c r="KS106">
        <v>36</v>
      </c>
      <c r="KT106">
        <v>1289</v>
      </c>
      <c r="KU106" t="s">
        <v>85</v>
      </c>
      <c r="KV106" t="s">
        <v>85</v>
      </c>
      <c r="KW106" t="s">
        <v>85</v>
      </c>
      <c r="KX106" t="s">
        <v>85</v>
      </c>
      <c r="KY106" t="s">
        <v>85</v>
      </c>
      <c r="KZ106" t="s">
        <v>766</v>
      </c>
      <c r="LA106">
        <v>116</v>
      </c>
      <c r="LB106">
        <v>133</v>
      </c>
      <c r="LC106">
        <v>102</v>
      </c>
      <c r="LD106">
        <v>39</v>
      </c>
      <c r="LE106">
        <v>2343</v>
      </c>
      <c r="LF106">
        <v>78</v>
      </c>
      <c r="LG106">
        <v>92</v>
      </c>
      <c r="LH106">
        <v>70</v>
      </c>
      <c r="LI106">
        <v>21</v>
      </c>
      <c r="LJ106">
        <v>1612</v>
      </c>
      <c r="LK106">
        <v>126</v>
      </c>
      <c r="LL106">
        <v>122</v>
      </c>
      <c r="LM106">
        <v>127</v>
      </c>
      <c r="LN106">
        <v>35</v>
      </c>
      <c r="LO106">
        <v>2524</v>
      </c>
      <c r="LP106">
        <v>121</v>
      </c>
      <c r="LQ106">
        <v>134</v>
      </c>
      <c r="LR106">
        <v>145</v>
      </c>
      <c r="LS106">
        <v>33</v>
      </c>
      <c r="LT106">
        <v>2523</v>
      </c>
      <c r="LU106">
        <v>0</v>
      </c>
      <c r="LV106">
        <v>4</v>
      </c>
      <c r="LW106">
        <v>5</v>
      </c>
      <c r="LX106">
        <v>5</v>
      </c>
      <c r="LY106">
        <v>53</v>
      </c>
      <c r="LZ106" t="s">
        <v>766</v>
      </c>
      <c r="MA106">
        <v>78</v>
      </c>
      <c r="MB106">
        <v>111</v>
      </c>
      <c r="MC106">
        <v>75</v>
      </c>
      <c r="MD106">
        <v>36</v>
      </c>
      <c r="ME106">
        <v>1782</v>
      </c>
      <c r="MF106" t="s">
        <v>85</v>
      </c>
      <c r="MG106" t="s">
        <v>85</v>
      </c>
      <c r="MH106" t="s">
        <v>85</v>
      </c>
      <c r="MI106" t="s">
        <v>85</v>
      </c>
      <c r="MJ106" t="s">
        <v>85</v>
      </c>
      <c r="MK106" t="s">
        <v>85</v>
      </c>
      <c r="ML106" t="s">
        <v>85</v>
      </c>
      <c r="MM106" t="s">
        <v>85</v>
      </c>
      <c r="MN106" t="s">
        <v>85</v>
      </c>
      <c r="MO106" t="s">
        <v>85</v>
      </c>
      <c r="MP106" t="s">
        <v>85</v>
      </c>
      <c r="MQ106" t="s">
        <v>85</v>
      </c>
      <c r="MR106" t="s">
        <v>85</v>
      </c>
      <c r="MS106" t="s">
        <v>85</v>
      </c>
      <c r="MT106" t="s">
        <v>85</v>
      </c>
      <c r="MU106" t="s">
        <v>85</v>
      </c>
      <c r="MV106" t="s">
        <v>85</v>
      </c>
      <c r="MW106" t="s">
        <v>85</v>
      </c>
      <c r="MX106" t="s">
        <v>85</v>
      </c>
      <c r="MY106" t="s">
        <v>85</v>
      </c>
    </row>
    <row r="107" spans="1:363">
      <c r="A107" s="467" t="s">
        <v>767</v>
      </c>
      <c r="B107">
        <v>-1</v>
      </c>
      <c r="C107">
        <v>-1</v>
      </c>
      <c r="D107">
        <v>-1</v>
      </c>
      <c r="E107">
        <v>-1</v>
      </c>
      <c r="F107">
        <v>28</v>
      </c>
      <c r="G107">
        <v>20</v>
      </c>
      <c r="H107">
        <v>21</v>
      </c>
      <c r="I107">
        <v>21</v>
      </c>
      <c r="J107">
        <v>0</v>
      </c>
      <c r="K107">
        <v>767</v>
      </c>
      <c r="L107">
        <v>18</v>
      </c>
      <c r="M107">
        <v>18</v>
      </c>
      <c r="N107">
        <v>18</v>
      </c>
      <c r="O107">
        <v>0</v>
      </c>
      <c r="P107">
        <v>726</v>
      </c>
      <c r="Q107">
        <v>23</v>
      </c>
      <c r="R107">
        <v>24</v>
      </c>
      <c r="S107">
        <v>23</v>
      </c>
      <c r="T107">
        <v>0</v>
      </c>
      <c r="U107">
        <v>924</v>
      </c>
      <c r="V107">
        <v>34</v>
      </c>
      <c r="W107">
        <v>34</v>
      </c>
      <c r="X107">
        <v>34</v>
      </c>
      <c r="Y107">
        <v>1</v>
      </c>
      <c r="Z107">
        <v>858</v>
      </c>
      <c r="AA107" t="s">
        <v>767</v>
      </c>
      <c r="AB107">
        <v>35</v>
      </c>
      <c r="AC107">
        <v>35</v>
      </c>
      <c r="AD107">
        <v>35</v>
      </c>
      <c r="AE107">
        <v>1</v>
      </c>
      <c r="AF107">
        <v>1279</v>
      </c>
      <c r="AG107">
        <v>38</v>
      </c>
      <c r="AH107">
        <v>38</v>
      </c>
      <c r="AI107">
        <v>38</v>
      </c>
      <c r="AJ107">
        <v>1</v>
      </c>
      <c r="AK107">
        <v>1186</v>
      </c>
      <c r="AL107">
        <v>1</v>
      </c>
      <c r="AM107">
        <v>1</v>
      </c>
      <c r="AN107">
        <v>1</v>
      </c>
      <c r="AO107">
        <v>1</v>
      </c>
      <c r="AP107">
        <v>48</v>
      </c>
      <c r="AQ107" t="s">
        <v>85</v>
      </c>
      <c r="AR107" t="s">
        <v>85</v>
      </c>
      <c r="AS107" t="s">
        <v>85</v>
      </c>
      <c r="AT107" t="s">
        <v>85</v>
      </c>
      <c r="AU107" t="s">
        <v>85</v>
      </c>
      <c r="AV107" t="s">
        <v>85</v>
      </c>
      <c r="AW107" t="s">
        <v>85</v>
      </c>
      <c r="AX107" t="s">
        <v>85</v>
      </c>
      <c r="AY107" t="s">
        <v>85</v>
      </c>
      <c r="AZ107" t="s">
        <v>85</v>
      </c>
      <c r="BA107" t="s">
        <v>767</v>
      </c>
      <c r="BB107">
        <v>25</v>
      </c>
      <c r="BC107">
        <v>26</v>
      </c>
      <c r="BD107">
        <v>26</v>
      </c>
      <c r="BE107">
        <v>0</v>
      </c>
      <c r="BF107">
        <v>1019</v>
      </c>
      <c r="BG107">
        <v>35</v>
      </c>
      <c r="BH107">
        <v>34</v>
      </c>
      <c r="BI107">
        <v>34</v>
      </c>
      <c r="BJ107">
        <v>1</v>
      </c>
      <c r="BK107">
        <v>1251</v>
      </c>
      <c r="BL107">
        <v>37</v>
      </c>
      <c r="BM107">
        <v>35</v>
      </c>
      <c r="BN107">
        <v>37</v>
      </c>
      <c r="BO107">
        <v>0</v>
      </c>
      <c r="BP107">
        <v>1322</v>
      </c>
      <c r="BQ107">
        <v>62</v>
      </c>
      <c r="BR107">
        <v>65</v>
      </c>
      <c r="BS107">
        <v>62</v>
      </c>
      <c r="BT107">
        <v>2</v>
      </c>
      <c r="BU107">
        <v>2551</v>
      </c>
      <c r="BV107">
        <v>50</v>
      </c>
      <c r="BW107">
        <v>54</v>
      </c>
      <c r="BX107">
        <v>51</v>
      </c>
      <c r="BY107">
        <v>0</v>
      </c>
      <c r="BZ107">
        <v>1838</v>
      </c>
      <c r="CA107" t="s">
        <v>767</v>
      </c>
      <c r="CB107" t="s">
        <v>85</v>
      </c>
      <c r="CC107" t="s">
        <v>85</v>
      </c>
      <c r="CD107" t="s">
        <v>85</v>
      </c>
      <c r="CE107" t="s">
        <v>85</v>
      </c>
      <c r="CF107">
        <v>0</v>
      </c>
      <c r="CG107">
        <v>2</v>
      </c>
      <c r="CH107">
        <v>2</v>
      </c>
      <c r="CI107">
        <v>2</v>
      </c>
      <c r="CJ107">
        <v>0</v>
      </c>
      <c r="CK107">
        <v>59</v>
      </c>
      <c r="CL107" t="s">
        <v>85</v>
      </c>
      <c r="CM107" t="s">
        <v>85</v>
      </c>
      <c r="CN107" t="s">
        <v>85</v>
      </c>
      <c r="CO107" t="s">
        <v>85</v>
      </c>
      <c r="CP107" t="s">
        <v>85</v>
      </c>
      <c r="CQ107" t="s">
        <v>85</v>
      </c>
      <c r="CR107" t="s">
        <v>85</v>
      </c>
      <c r="CS107" t="s">
        <v>85</v>
      </c>
      <c r="CT107" t="s">
        <v>85</v>
      </c>
      <c r="CU107" t="s">
        <v>85</v>
      </c>
      <c r="CV107" t="s">
        <v>85</v>
      </c>
      <c r="CW107" t="s">
        <v>85</v>
      </c>
      <c r="CX107" t="s">
        <v>85</v>
      </c>
      <c r="CY107" t="s">
        <v>85</v>
      </c>
      <c r="CZ107" t="s">
        <v>85</v>
      </c>
      <c r="DA107" t="s">
        <v>767</v>
      </c>
      <c r="DB107">
        <v>164</v>
      </c>
      <c r="DC107">
        <v>164</v>
      </c>
      <c r="DD107">
        <v>163</v>
      </c>
      <c r="DE107">
        <v>0</v>
      </c>
      <c r="DF107">
        <v>6202</v>
      </c>
      <c r="DG107">
        <v>50</v>
      </c>
      <c r="DH107">
        <v>49</v>
      </c>
      <c r="DI107">
        <v>50</v>
      </c>
      <c r="DJ107">
        <v>0</v>
      </c>
      <c r="DK107">
        <v>1581</v>
      </c>
      <c r="DL107">
        <v>44</v>
      </c>
      <c r="DM107">
        <v>43</v>
      </c>
      <c r="DN107">
        <v>43</v>
      </c>
      <c r="DO107">
        <v>0</v>
      </c>
      <c r="DP107">
        <v>1423</v>
      </c>
      <c r="DQ107">
        <v>0</v>
      </c>
      <c r="DR107">
        <v>0</v>
      </c>
      <c r="DS107">
        <v>0</v>
      </c>
      <c r="DT107">
        <v>0</v>
      </c>
      <c r="DU107">
        <v>0</v>
      </c>
      <c r="DV107">
        <v>0</v>
      </c>
      <c r="DW107">
        <v>0</v>
      </c>
      <c r="DX107">
        <v>0</v>
      </c>
      <c r="DY107">
        <v>0</v>
      </c>
      <c r="DZ107">
        <v>0</v>
      </c>
      <c r="EA107" t="s">
        <v>767</v>
      </c>
      <c r="EB107">
        <v>0</v>
      </c>
      <c r="EC107">
        <v>0</v>
      </c>
      <c r="ED107">
        <v>0</v>
      </c>
      <c r="EE107">
        <v>0</v>
      </c>
      <c r="EF107">
        <v>0</v>
      </c>
      <c r="EG107" t="s">
        <v>85</v>
      </c>
      <c r="EH107" t="s">
        <v>85</v>
      </c>
      <c r="EI107" t="s">
        <v>85</v>
      </c>
      <c r="EJ107" t="s">
        <v>85</v>
      </c>
      <c r="EK107" t="s">
        <v>85</v>
      </c>
      <c r="EL107" t="s">
        <v>85</v>
      </c>
      <c r="EM107" t="s">
        <v>85</v>
      </c>
      <c r="EN107" t="s">
        <v>85</v>
      </c>
      <c r="EO107" t="s">
        <v>85</v>
      </c>
      <c r="EP107" t="s">
        <v>85</v>
      </c>
      <c r="EQ107" t="s">
        <v>85</v>
      </c>
      <c r="ER107" t="s">
        <v>85</v>
      </c>
      <c r="ES107" t="s">
        <v>85</v>
      </c>
      <c r="ET107" t="s">
        <v>85</v>
      </c>
      <c r="EU107" t="s">
        <v>85</v>
      </c>
      <c r="EV107" t="s">
        <v>85</v>
      </c>
      <c r="EW107" t="s">
        <v>85</v>
      </c>
      <c r="EX107" t="s">
        <v>85</v>
      </c>
      <c r="EY107" t="s">
        <v>85</v>
      </c>
      <c r="EZ107" t="s">
        <v>85</v>
      </c>
      <c r="FA107" t="s">
        <v>767</v>
      </c>
      <c r="FB107">
        <v>145</v>
      </c>
      <c r="FC107">
        <v>144</v>
      </c>
      <c r="FD107">
        <v>145</v>
      </c>
      <c r="FE107">
        <v>0</v>
      </c>
      <c r="FF107">
        <v>4541</v>
      </c>
      <c r="FG107">
        <v>0</v>
      </c>
      <c r="FH107">
        <v>0</v>
      </c>
      <c r="FI107">
        <v>0</v>
      </c>
      <c r="FJ107">
        <v>0</v>
      </c>
      <c r="FK107">
        <v>0</v>
      </c>
      <c r="FL107">
        <v>0</v>
      </c>
      <c r="FM107">
        <v>0</v>
      </c>
      <c r="FN107">
        <v>0</v>
      </c>
      <c r="FO107">
        <v>0</v>
      </c>
      <c r="FP107">
        <v>0</v>
      </c>
      <c r="FQ107">
        <v>59</v>
      </c>
      <c r="FR107">
        <v>56</v>
      </c>
      <c r="FS107">
        <v>61</v>
      </c>
      <c r="FT107">
        <v>0</v>
      </c>
      <c r="FU107">
        <v>2225</v>
      </c>
      <c r="FV107">
        <v>30</v>
      </c>
      <c r="FW107">
        <v>30</v>
      </c>
      <c r="FX107">
        <v>31</v>
      </c>
      <c r="FY107">
        <v>0</v>
      </c>
      <c r="FZ107">
        <v>1180</v>
      </c>
      <c r="GA107" t="s">
        <v>767</v>
      </c>
      <c r="GB107">
        <v>105</v>
      </c>
      <c r="GC107">
        <v>107</v>
      </c>
      <c r="GD107">
        <v>105</v>
      </c>
      <c r="GE107">
        <v>0</v>
      </c>
      <c r="GF107">
        <v>4052</v>
      </c>
      <c r="GG107" t="s">
        <v>85</v>
      </c>
      <c r="GH107" t="s">
        <v>85</v>
      </c>
      <c r="GI107" t="s">
        <v>85</v>
      </c>
      <c r="GJ107" t="s">
        <v>85</v>
      </c>
      <c r="GK107" t="s">
        <v>85</v>
      </c>
      <c r="GL107" t="s">
        <v>85</v>
      </c>
      <c r="GM107" t="s">
        <v>85</v>
      </c>
      <c r="GN107" t="s">
        <v>85</v>
      </c>
      <c r="GO107" t="s">
        <v>85</v>
      </c>
      <c r="GP107" t="s">
        <v>85</v>
      </c>
      <c r="GQ107" t="s">
        <v>85</v>
      </c>
      <c r="GR107" t="s">
        <v>85</v>
      </c>
      <c r="GS107" t="s">
        <v>85</v>
      </c>
      <c r="GT107" t="s">
        <v>85</v>
      </c>
      <c r="GU107" t="s">
        <v>85</v>
      </c>
      <c r="GV107" t="s">
        <v>85</v>
      </c>
      <c r="GW107" t="s">
        <v>85</v>
      </c>
      <c r="GX107" t="s">
        <v>85</v>
      </c>
      <c r="GY107" t="s">
        <v>85</v>
      </c>
      <c r="GZ107" t="s">
        <v>779</v>
      </c>
      <c r="HA107">
        <v>132</v>
      </c>
      <c r="HB107">
        <v>160</v>
      </c>
      <c r="HC107">
        <v>136</v>
      </c>
      <c r="HD107">
        <v>46</v>
      </c>
      <c r="HE107">
        <v>2688</v>
      </c>
      <c r="HF107">
        <v>166</v>
      </c>
      <c r="HG107">
        <v>183</v>
      </c>
      <c r="HH107">
        <v>169</v>
      </c>
      <c r="HI107">
        <v>26</v>
      </c>
      <c r="HJ107">
        <v>3427</v>
      </c>
      <c r="HK107">
        <v>115</v>
      </c>
      <c r="HL107">
        <v>90</v>
      </c>
      <c r="HM107">
        <v>120</v>
      </c>
      <c r="HN107">
        <v>58</v>
      </c>
      <c r="HO107">
        <v>2135</v>
      </c>
      <c r="HP107">
        <v>49</v>
      </c>
      <c r="HQ107">
        <v>62</v>
      </c>
      <c r="HR107">
        <v>51</v>
      </c>
      <c r="HS107">
        <v>20</v>
      </c>
      <c r="HT107">
        <v>1091</v>
      </c>
      <c r="HU107">
        <v>164</v>
      </c>
      <c r="HV107">
        <v>189</v>
      </c>
      <c r="HW107">
        <v>161</v>
      </c>
      <c r="HX107">
        <v>38</v>
      </c>
      <c r="HY107">
        <v>3508</v>
      </c>
      <c r="HZ107" t="s">
        <v>767</v>
      </c>
      <c r="IA107">
        <v>129</v>
      </c>
      <c r="IB107">
        <v>143</v>
      </c>
      <c r="IC107">
        <v>107</v>
      </c>
      <c r="ID107">
        <v>52</v>
      </c>
      <c r="IE107">
        <v>2501</v>
      </c>
      <c r="IF107" t="s">
        <v>85</v>
      </c>
      <c r="IG107" t="s">
        <v>85</v>
      </c>
      <c r="IH107" t="s">
        <v>85</v>
      </c>
      <c r="II107" t="s">
        <v>85</v>
      </c>
      <c r="IJ107" t="s">
        <v>85</v>
      </c>
      <c r="IK107" t="s">
        <v>85</v>
      </c>
      <c r="IL107" t="s">
        <v>85</v>
      </c>
      <c r="IM107" t="s">
        <v>85</v>
      </c>
      <c r="IN107" t="s">
        <v>85</v>
      </c>
      <c r="IO107" t="s">
        <v>85</v>
      </c>
      <c r="IP107" t="s">
        <v>85</v>
      </c>
      <c r="IQ107" t="s">
        <v>85</v>
      </c>
      <c r="IR107" t="s">
        <v>85</v>
      </c>
      <c r="IS107" t="s">
        <v>85</v>
      </c>
      <c r="IT107" t="s">
        <v>85</v>
      </c>
      <c r="IU107" t="s">
        <v>85</v>
      </c>
      <c r="IV107" t="s">
        <v>85</v>
      </c>
      <c r="IW107" t="s">
        <v>85</v>
      </c>
      <c r="IX107" t="s">
        <v>85</v>
      </c>
      <c r="IY107" t="s">
        <v>85</v>
      </c>
      <c r="IZ107" t="s">
        <v>767</v>
      </c>
      <c r="JA107">
        <v>210</v>
      </c>
      <c r="JB107">
        <v>192</v>
      </c>
      <c r="JC107">
        <v>200</v>
      </c>
      <c r="JD107">
        <v>52</v>
      </c>
      <c r="JE107">
        <v>3861</v>
      </c>
      <c r="JF107">
        <v>162</v>
      </c>
      <c r="JG107">
        <v>141</v>
      </c>
      <c r="JH107">
        <v>136</v>
      </c>
      <c r="JI107">
        <v>54</v>
      </c>
      <c r="JJ107">
        <v>2927</v>
      </c>
      <c r="JK107">
        <v>137</v>
      </c>
      <c r="JL107">
        <v>168</v>
      </c>
      <c r="JM107">
        <v>178</v>
      </c>
      <c r="JN107">
        <v>58</v>
      </c>
      <c r="JO107">
        <v>3190</v>
      </c>
      <c r="JP107">
        <v>149</v>
      </c>
      <c r="JQ107">
        <v>134</v>
      </c>
      <c r="JR107">
        <v>128</v>
      </c>
      <c r="JS107">
        <v>47</v>
      </c>
      <c r="JT107">
        <v>2724</v>
      </c>
      <c r="JU107" t="s">
        <v>85</v>
      </c>
      <c r="JV107" t="s">
        <v>85</v>
      </c>
      <c r="JW107" t="s">
        <v>85</v>
      </c>
      <c r="JX107" t="s">
        <v>85</v>
      </c>
      <c r="JY107" t="s">
        <v>85</v>
      </c>
      <c r="JZ107" t="s">
        <v>767</v>
      </c>
      <c r="KA107">
        <v>140</v>
      </c>
      <c r="KB107">
        <v>138</v>
      </c>
      <c r="KC107">
        <v>114</v>
      </c>
      <c r="KD107">
        <v>47</v>
      </c>
      <c r="KE107">
        <v>2282</v>
      </c>
      <c r="KF107">
        <v>287</v>
      </c>
      <c r="KG107">
        <v>279</v>
      </c>
      <c r="KH107">
        <v>283</v>
      </c>
      <c r="KI107">
        <v>43</v>
      </c>
      <c r="KJ107">
        <v>5428</v>
      </c>
      <c r="KK107">
        <v>101</v>
      </c>
      <c r="KL107">
        <v>99</v>
      </c>
      <c r="KM107">
        <v>79</v>
      </c>
      <c r="KN107">
        <v>47</v>
      </c>
      <c r="KO107">
        <v>1815</v>
      </c>
      <c r="KP107">
        <v>104</v>
      </c>
      <c r="KQ107">
        <v>80</v>
      </c>
      <c r="KR107">
        <v>117</v>
      </c>
      <c r="KS107">
        <v>52</v>
      </c>
      <c r="KT107">
        <v>1924</v>
      </c>
      <c r="KU107" t="s">
        <v>85</v>
      </c>
      <c r="KV107" t="s">
        <v>85</v>
      </c>
      <c r="KW107" t="s">
        <v>85</v>
      </c>
      <c r="KX107" t="s">
        <v>85</v>
      </c>
      <c r="KY107" t="s">
        <v>85</v>
      </c>
      <c r="KZ107" t="s">
        <v>767</v>
      </c>
      <c r="LA107">
        <v>147</v>
      </c>
      <c r="LB107">
        <v>166</v>
      </c>
      <c r="LC107">
        <v>134</v>
      </c>
      <c r="LD107">
        <v>58</v>
      </c>
      <c r="LE107">
        <v>2986</v>
      </c>
      <c r="LF107">
        <v>116</v>
      </c>
      <c r="LG107">
        <v>131</v>
      </c>
      <c r="LH107">
        <v>106</v>
      </c>
      <c r="LI107">
        <v>32</v>
      </c>
      <c r="LJ107">
        <v>2314</v>
      </c>
      <c r="LK107">
        <v>159</v>
      </c>
      <c r="LL107">
        <v>155</v>
      </c>
      <c r="LM107">
        <v>166</v>
      </c>
      <c r="LN107">
        <v>42</v>
      </c>
      <c r="LO107">
        <v>3177</v>
      </c>
      <c r="LP107">
        <v>178</v>
      </c>
      <c r="LQ107">
        <v>205</v>
      </c>
      <c r="LR107">
        <v>217</v>
      </c>
      <c r="LS107">
        <v>58</v>
      </c>
      <c r="LT107">
        <v>3666</v>
      </c>
      <c r="LU107">
        <v>0</v>
      </c>
      <c r="LV107">
        <v>6</v>
      </c>
      <c r="LW107">
        <v>8</v>
      </c>
      <c r="LX107">
        <v>9</v>
      </c>
      <c r="LY107">
        <v>89</v>
      </c>
      <c r="LZ107" t="s">
        <v>767</v>
      </c>
      <c r="MA107">
        <v>107</v>
      </c>
      <c r="MB107">
        <v>141</v>
      </c>
      <c r="MC107">
        <v>104</v>
      </c>
      <c r="MD107">
        <v>48</v>
      </c>
      <c r="ME107">
        <v>2313</v>
      </c>
      <c r="MF107" t="s">
        <v>85</v>
      </c>
      <c r="MG107" t="s">
        <v>85</v>
      </c>
      <c r="MH107" t="s">
        <v>85</v>
      </c>
      <c r="MI107" t="s">
        <v>85</v>
      </c>
      <c r="MJ107" t="s">
        <v>85</v>
      </c>
      <c r="MK107" t="s">
        <v>85</v>
      </c>
      <c r="ML107" t="s">
        <v>85</v>
      </c>
      <c r="MM107" t="s">
        <v>85</v>
      </c>
      <c r="MN107" t="s">
        <v>85</v>
      </c>
      <c r="MO107" t="s">
        <v>85</v>
      </c>
      <c r="MP107" t="s">
        <v>85</v>
      </c>
      <c r="MQ107" t="s">
        <v>85</v>
      </c>
      <c r="MR107" t="s">
        <v>85</v>
      </c>
      <c r="MS107" t="s">
        <v>85</v>
      </c>
      <c r="MT107" t="s">
        <v>85</v>
      </c>
      <c r="MU107" t="s">
        <v>85</v>
      </c>
      <c r="MV107" t="s">
        <v>85</v>
      </c>
      <c r="MW107" t="s">
        <v>85</v>
      </c>
      <c r="MX107" t="s">
        <v>85</v>
      </c>
      <c r="MY107" t="s">
        <v>85</v>
      </c>
    </row>
    <row r="108" spans="1:363">
      <c r="A108" s="467" t="s">
        <v>768</v>
      </c>
      <c r="B108">
        <v>2</v>
      </c>
      <c r="C108">
        <v>1</v>
      </c>
      <c r="D108">
        <v>2</v>
      </c>
      <c r="E108">
        <v>1</v>
      </c>
      <c r="F108">
        <v>13</v>
      </c>
      <c r="G108">
        <v>14</v>
      </c>
      <c r="H108">
        <v>14</v>
      </c>
      <c r="I108">
        <v>14</v>
      </c>
      <c r="J108">
        <v>1</v>
      </c>
      <c r="K108">
        <v>14</v>
      </c>
      <c r="L108">
        <v>13</v>
      </c>
      <c r="M108">
        <v>8</v>
      </c>
      <c r="N108">
        <v>8</v>
      </c>
      <c r="O108">
        <v>1</v>
      </c>
      <c r="P108">
        <v>14</v>
      </c>
      <c r="Q108">
        <v>13</v>
      </c>
      <c r="R108">
        <v>13</v>
      </c>
      <c r="S108">
        <v>13</v>
      </c>
      <c r="T108">
        <v>1</v>
      </c>
      <c r="U108">
        <v>14</v>
      </c>
      <c r="V108">
        <v>12</v>
      </c>
      <c r="W108">
        <v>12</v>
      </c>
      <c r="X108">
        <v>12</v>
      </c>
      <c r="Y108">
        <v>1</v>
      </c>
      <c r="Z108">
        <v>13</v>
      </c>
      <c r="AA108" t="s">
        <v>768</v>
      </c>
      <c r="AB108">
        <v>12</v>
      </c>
      <c r="AC108">
        <v>12</v>
      </c>
      <c r="AD108">
        <v>12</v>
      </c>
      <c r="AE108">
        <v>1</v>
      </c>
      <c r="AF108">
        <v>15</v>
      </c>
      <c r="AG108">
        <v>12</v>
      </c>
      <c r="AH108">
        <v>12</v>
      </c>
      <c r="AI108">
        <v>12</v>
      </c>
      <c r="AJ108">
        <v>1</v>
      </c>
      <c r="AK108">
        <v>13</v>
      </c>
      <c r="AL108">
        <v>1</v>
      </c>
      <c r="AM108">
        <v>1</v>
      </c>
      <c r="AN108">
        <v>1</v>
      </c>
      <c r="AO108">
        <v>1</v>
      </c>
      <c r="AP108">
        <v>13</v>
      </c>
      <c r="AQ108" t="s">
        <v>85</v>
      </c>
      <c r="AR108" t="s">
        <v>85</v>
      </c>
      <c r="AS108" t="s">
        <v>85</v>
      </c>
      <c r="AT108" t="s">
        <v>85</v>
      </c>
      <c r="AU108" t="s">
        <v>85</v>
      </c>
      <c r="AV108" t="s">
        <v>85</v>
      </c>
      <c r="AW108" t="s">
        <v>85</v>
      </c>
      <c r="AX108" t="s">
        <v>85</v>
      </c>
      <c r="AY108" t="s">
        <v>85</v>
      </c>
      <c r="AZ108" t="s">
        <v>85</v>
      </c>
      <c r="BA108" t="s">
        <v>768</v>
      </c>
      <c r="BB108">
        <v>12</v>
      </c>
      <c r="BC108">
        <v>14</v>
      </c>
      <c r="BD108">
        <v>14</v>
      </c>
      <c r="BE108">
        <v>1</v>
      </c>
      <c r="BF108">
        <v>15</v>
      </c>
      <c r="BG108">
        <v>10</v>
      </c>
      <c r="BH108">
        <v>14</v>
      </c>
      <c r="BI108">
        <v>10</v>
      </c>
      <c r="BJ108">
        <v>9</v>
      </c>
      <c r="BK108">
        <v>21</v>
      </c>
      <c r="BL108">
        <v>16</v>
      </c>
      <c r="BM108">
        <v>16</v>
      </c>
      <c r="BN108">
        <v>16</v>
      </c>
      <c r="BO108">
        <v>1</v>
      </c>
      <c r="BP108">
        <v>17</v>
      </c>
      <c r="BQ108">
        <v>16</v>
      </c>
      <c r="BR108">
        <v>16</v>
      </c>
      <c r="BS108">
        <v>16</v>
      </c>
      <c r="BT108">
        <v>9</v>
      </c>
      <c r="BU108">
        <v>17</v>
      </c>
      <c r="BV108">
        <v>11</v>
      </c>
      <c r="BW108">
        <v>11</v>
      </c>
      <c r="BX108">
        <v>11</v>
      </c>
      <c r="BY108">
        <v>1</v>
      </c>
      <c r="BZ108">
        <v>11</v>
      </c>
      <c r="CA108" t="s">
        <v>768</v>
      </c>
      <c r="CB108" t="s">
        <v>85</v>
      </c>
      <c r="CC108" t="s">
        <v>85</v>
      </c>
      <c r="CD108" t="s">
        <v>85</v>
      </c>
      <c r="CE108" t="s">
        <v>85</v>
      </c>
      <c r="CF108">
        <v>1</v>
      </c>
      <c r="CG108">
        <v>1</v>
      </c>
      <c r="CH108">
        <v>1</v>
      </c>
      <c r="CI108">
        <v>1</v>
      </c>
      <c r="CJ108">
        <v>1</v>
      </c>
      <c r="CK108">
        <v>6</v>
      </c>
      <c r="CL108" t="s">
        <v>85</v>
      </c>
      <c r="CM108" t="s">
        <v>85</v>
      </c>
      <c r="CN108" t="s">
        <v>85</v>
      </c>
      <c r="CO108" t="s">
        <v>85</v>
      </c>
      <c r="CP108" t="s">
        <v>85</v>
      </c>
      <c r="CQ108" t="s">
        <v>85</v>
      </c>
      <c r="CR108" t="s">
        <v>85</v>
      </c>
      <c r="CS108" t="s">
        <v>85</v>
      </c>
      <c r="CT108" t="s">
        <v>85</v>
      </c>
      <c r="CU108" t="s">
        <v>85</v>
      </c>
      <c r="CV108" t="s">
        <v>85</v>
      </c>
      <c r="CW108" t="s">
        <v>85</v>
      </c>
      <c r="CX108" t="s">
        <v>85</v>
      </c>
      <c r="CY108" t="s">
        <v>85</v>
      </c>
      <c r="CZ108" t="s">
        <v>85</v>
      </c>
      <c r="DA108" t="s">
        <v>768</v>
      </c>
      <c r="DB108">
        <v>19</v>
      </c>
      <c r="DC108">
        <v>19</v>
      </c>
      <c r="DD108">
        <v>19</v>
      </c>
      <c r="DE108">
        <v>1</v>
      </c>
      <c r="DF108">
        <v>19</v>
      </c>
      <c r="DG108">
        <v>16</v>
      </c>
      <c r="DH108">
        <v>16</v>
      </c>
      <c r="DI108">
        <v>16</v>
      </c>
      <c r="DJ108">
        <v>1</v>
      </c>
      <c r="DK108">
        <v>17</v>
      </c>
      <c r="DL108">
        <v>16</v>
      </c>
      <c r="DM108">
        <v>16</v>
      </c>
      <c r="DN108">
        <v>16</v>
      </c>
      <c r="DO108">
        <v>1</v>
      </c>
      <c r="DP108">
        <v>17</v>
      </c>
      <c r="DQ108">
        <v>1</v>
      </c>
      <c r="DR108">
        <v>1</v>
      </c>
      <c r="DS108">
        <v>1</v>
      </c>
      <c r="DT108">
        <v>1</v>
      </c>
      <c r="DU108">
        <v>1</v>
      </c>
      <c r="DV108">
        <v>1</v>
      </c>
      <c r="DW108">
        <v>1</v>
      </c>
      <c r="DX108">
        <v>1</v>
      </c>
      <c r="DY108">
        <v>1</v>
      </c>
      <c r="DZ108">
        <v>1</v>
      </c>
      <c r="EA108" t="s">
        <v>768</v>
      </c>
      <c r="EB108">
        <v>1</v>
      </c>
      <c r="EC108">
        <v>1</v>
      </c>
      <c r="ED108">
        <v>1</v>
      </c>
      <c r="EE108">
        <v>1</v>
      </c>
      <c r="EF108">
        <v>1</v>
      </c>
      <c r="EG108" t="s">
        <v>85</v>
      </c>
      <c r="EH108" t="s">
        <v>85</v>
      </c>
      <c r="EI108" t="s">
        <v>85</v>
      </c>
      <c r="EJ108" t="s">
        <v>85</v>
      </c>
      <c r="EK108" t="s">
        <v>85</v>
      </c>
      <c r="EL108" t="s">
        <v>85</v>
      </c>
      <c r="EM108" t="s">
        <v>85</v>
      </c>
      <c r="EN108" t="s">
        <v>85</v>
      </c>
      <c r="EO108" t="s">
        <v>85</v>
      </c>
      <c r="EP108" t="s">
        <v>85</v>
      </c>
      <c r="EQ108" t="s">
        <v>85</v>
      </c>
      <c r="ER108" t="s">
        <v>85</v>
      </c>
      <c r="ES108" t="s">
        <v>85</v>
      </c>
      <c r="ET108" t="s">
        <v>85</v>
      </c>
      <c r="EU108" t="s">
        <v>85</v>
      </c>
      <c r="EV108" t="s">
        <v>85</v>
      </c>
      <c r="EW108" t="s">
        <v>85</v>
      </c>
      <c r="EX108" t="s">
        <v>85</v>
      </c>
      <c r="EY108" t="s">
        <v>85</v>
      </c>
      <c r="EZ108" t="s">
        <v>85</v>
      </c>
      <c r="FA108" t="s">
        <v>768</v>
      </c>
      <c r="FB108">
        <v>12</v>
      </c>
      <c r="FC108">
        <v>12</v>
      </c>
      <c r="FD108">
        <v>12</v>
      </c>
      <c r="FE108">
        <v>1</v>
      </c>
      <c r="FF108">
        <v>12</v>
      </c>
      <c r="FG108">
        <v>1</v>
      </c>
      <c r="FH108">
        <v>1</v>
      </c>
      <c r="FI108">
        <v>1</v>
      </c>
      <c r="FJ108">
        <v>1</v>
      </c>
      <c r="FK108">
        <v>1</v>
      </c>
      <c r="FL108">
        <v>1</v>
      </c>
      <c r="FM108">
        <v>1</v>
      </c>
      <c r="FN108">
        <v>1</v>
      </c>
      <c r="FO108">
        <v>1</v>
      </c>
      <c r="FP108">
        <v>1</v>
      </c>
      <c r="FQ108">
        <v>12</v>
      </c>
      <c r="FR108">
        <v>12</v>
      </c>
      <c r="FS108">
        <v>12</v>
      </c>
      <c r="FT108">
        <v>1</v>
      </c>
      <c r="FU108">
        <v>16</v>
      </c>
      <c r="FV108">
        <v>14</v>
      </c>
      <c r="FW108">
        <v>11</v>
      </c>
      <c r="FX108">
        <v>14</v>
      </c>
      <c r="FY108">
        <v>1</v>
      </c>
      <c r="FZ108">
        <v>15</v>
      </c>
      <c r="GA108" t="s">
        <v>768</v>
      </c>
      <c r="GB108">
        <v>20</v>
      </c>
      <c r="GC108">
        <v>20</v>
      </c>
      <c r="GD108">
        <v>17</v>
      </c>
      <c r="GE108">
        <v>1</v>
      </c>
      <c r="GF108">
        <v>17</v>
      </c>
      <c r="GG108" t="s">
        <v>85</v>
      </c>
      <c r="GH108" t="s">
        <v>85</v>
      </c>
      <c r="GI108" t="s">
        <v>85</v>
      </c>
      <c r="GJ108" t="s">
        <v>85</v>
      </c>
      <c r="GK108" t="s">
        <v>85</v>
      </c>
      <c r="GL108" t="s">
        <v>85</v>
      </c>
      <c r="GM108" t="s">
        <v>85</v>
      </c>
      <c r="GN108" t="s">
        <v>85</v>
      </c>
      <c r="GO108" t="s">
        <v>85</v>
      </c>
      <c r="GP108" t="s">
        <v>85</v>
      </c>
      <c r="GQ108" t="s">
        <v>85</v>
      </c>
      <c r="GR108" t="s">
        <v>85</v>
      </c>
      <c r="GS108" t="s">
        <v>85</v>
      </c>
      <c r="GT108" t="s">
        <v>85</v>
      </c>
      <c r="GU108" t="s">
        <v>85</v>
      </c>
      <c r="GV108" t="s">
        <v>85</v>
      </c>
      <c r="GW108" t="s">
        <v>85</v>
      </c>
      <c r="GX108" t="s">
        <v>85</v>
      </c>
      <c r="GY108" t="s">
        <v>85</v>
      </c>
      <c r="GZ108" t="s">
        <v>780</v>
      </c>
      <c r="HA108">
        <v>14</v>
      </c>
      <c r="HB108">
        <v>14</v>
      </c>
      <c r="HC108">
        <v>14</v>
      </c>
      <c r="HD108">
        <v>15</v>
      </c>
      <c r="HE108">
        <v>14</v>
      </c>
      <c r="HF108">
        <v>16</v>
      </c>
      <c r="HG108">
        <v>16</v>
      </c>
      <c r="HH108">
        <v>16</v>
      </c>
      <c r="HI108">
        <v>19</v>
      </c>
      <c r="HJ108">
        <v>16</v>
      </c>
      <c r="HK108">
        <v>14</v>
      </c>
      <c r="HL108">
        <v>17</v>
      </c>
      <c r="HM108">
        <v>15</v>
      </c>
      <c r="HN108">
        <v>9</v>
      </c>
      <c r="HO108">
        <v>17</v>
      </c>
      <c r="HP108">
        <v>18</v>
      </c>
      <c r="HQ108">
        <v>22</v>
      </c>
      <c r="HR108">
        <v>22</v>
      </c>
      <c r="HS108">
        <v>18</v>
      </c>
      <c r="HT108">
        <v>22</v>
      </c>
      <c r="HU108">
        <v>19</v>
      </c>
      <c r="HV108">
        <v>19</v>
      </c>
      <c r="HW108">
        <v>19</v>
      </c>
      <c r="HX108">
        <v>1</v>
      </c>
      <c r="HY108">
        <v>20</v>
      </c>
      <c r="HZ108" t="s">
        <v>768</v>
      </c>
      <c r="IA108">
        <v>20</v>
      </c>
      <c r="IB108">
        <v>21</v>
      </c>
      <c r="IC108">
        <v>20</v>
      </c>
      <c r="ID108">
        <v>21</v>
      </c>
      <c r="IE108">
        <v>21</v>
      </c>
      <c r="IF108" t="s">
        <v>85</v>
      </c>
      <c r="IG108" t="s">
        <v>85</v>
      </c>
      <c r="IH108" t="s">
        <v>85</v>
      </c>
      <c r="II108" t="s">
        <v>85</v>
      </c>
      <c r="IJ108" t="s">
        <v>85</v>
      </c>
      <c r="IK108" t="s">
        <v>85</v>
      </c>
      <c r="IL108" t="s">
        <v>85</v>
      </c>
      <c r="IM108" t="s">
        <v>85</v>
      </c>
      <c r="IN108" t="s">
        <v>85</v>
      </c>
      <c r="IO108" t="s">
        <v>85</v>
      </c>
      <c r="IP108" t="s">
        <v>85</v>
      </c>
      <c r="IQ108" t="s">
        <v>85</v>
      </c>
      <c r="IR108" t="s">
        <v>85</v>
      </c>
      <c r="IS108" t="s">
        <v>85</v>
      </c>
      <c r="IT108" t="s">
        <v>85</v>
      </c>
      <c r="IU108" t="s">
        <v>85</v>
      </c>
      <c r="IV108" t="s">
        <v>85</v>
      </c>
      <c r="IW108" t="s">
        <v>85</v>
      </c>
      <c r="IX108" t="s">
        <v>85</v>
      </c>
      <c r="IY108" t="s">
        <v>85</v>
      </c>
      <c r="IZ108" t="s">
        <v>768</v>
      </c>
      <c r="JA108">
        <v>14</v>
      </c>
      <c r="JB108">
        <v>14</v>
      </c>
      <c r="JC108">
        <v>14</v>
      </c>
      <c r="JD108">
        <v>20</v>
      </c>
      <c r="JE108">
        <v>16</v>
      </c>
      <c r="JF108">
        <v>14</v>
      </c>
      <c r="JG108">
        <v>14</v>
      </c>
      <c r="JH108">
        <v>14</v>
      </c>
      <c r="JI108">
        <v>17</v>
      </c>
      <c r="JJ108">
        <v>14</v>
      </c>
      <c r="JK108">
        <v>14</v>
      </c>
      <c r="JL108">
        <v>21</v>
      </c>
      <c r="JM108">
        <v>21</v>
      </c>
      <c r="JN108">
        <v>11</v>
      </c>
      <c r="JO108">
        <v>20</v>
      </c>
      <c r="JP108">
        <v>19</v>
      </c>
      <c r="JQ108">
        <v>14</v>
      </c>
      <c r="JR108">
        <v>21</v>
      </c>
      <c r="JS108">
        <v>22</v>
      </c>
      <c r="JT108">
        <v>15</v>
      </c>
      <c r="JU108" t="s">
        <v>85</v>
      </c>
      <c r="JV108" t="s">
        <v>85</v>
      </c>
      <c r="JW108" t="s">
        <v>85</v>
      </c>
      <c r="JX108" t="s">
        <v>85</v>
      </c>
      <c r="JY108" t="s">
        <v>85</v>
      </c>
      <c r="JZ108" t="s">
        <v>768</v>
      </c>
      <c r="KA108">
        <v>15</v>
      </c>
      <c r="KB108">
        <v>15</v>
      </c>
      <c r="KC108">
        <v>15</v>
      </c>
      <c r="KD108">
        <v>8</v>
      </c>
      <c r="KE108">
        <v>16</v>
      </c>
      <c r="KF108">
        <v>16</v>
      </c>
      <c r="KG108">
        <v>16</v>
      </c>
      <c r="KH108">
        <v>16</v>
      </c>
      <c r="KI108">
        <v>11</v>
      </c>
      <c r="KJ108">
        <v>16</v>
      </c>
      <c r="KK108">
        <v>13</v>
      </c>
      <c r="KL108">
        <v>13</v>
      </c>
      <c r="KM108">
        <v>13</v>
      </c>
      <c r="KN108">
        <v>18</v>
      </c>
      <c r="KO108">
        <v>14</v>
      </c>
      <c r="KP108">
        <v>15</v>
      </c>
      <c r="KQ108">
        <v>15</v>
      </c>
      <c r="KR108">
        <v>20</v>
      </c>
      <c r="KS108">
        <v>20</v>
      </c>
      <c r="KT108">
        <v>17</v>
      </c>
      <c r="KU108" t="s">
        <v>85</v>
      </c>
      <c r="KV108" t="s">
        <v>85</v>
      </c>
      <c r="KW108" t="s">
        <v>85</v>
      </c>
      <c r="KX108" t="s">
        <v>85</v>
      </c>
      <c r="KY108" t="s">
        <v>85</v>
      </c>
      <c r="KZ108" t="s">
        <v>768</v>
      </c>
      <c r="LA108">
        <v>21</v>
      </c>
      <c r="LB108">
        <v>20</v>
      </c>
      <c r="LC108">
        <v>20</v>
      </c>
      <c r="LD108">
        <v>12</v>
      </c>
      <c r="LE108">
        <v>20</v>
      </c>
      <c r="LF108">
        <v>15</v>
      </c>
      <c r="LG108">
        <v>16</v>
      </c>
      <c r="LH108">
        <v>15</v>
      </c>
      <c r="LI108">
        <v>10</v>
      </c>
      <c r="LJ108">
        <v>16</v>
      </c>
      <c r="LK108">
        <v>20</v>
      </c>
      <c r="LL108">
        <v>20</v>
      </c>
      <c r="LM108">
        <v>20</v>
      </c>
      <c r="LN108">
        <v>23</v>
      </c>
      <c r="LO108">
        <v>20</v>
      </c>
      <c r="LP108">
        <v>11</v>
      </c>
      <c r="LQ108">
        <v>11</v>
      </c>
      <c r="LR108">
        <v>11</v>
      </c>
      <c r="LS108">
        <v>16</v>
      </c>
      <c r="LT108">
        <v>12</v>
      </c>
      <c r="LU108">
        <v>1</v>
      </c>
      <c r="LV108">
        <v>18</v>
      </c>
      <c r="LW108">
        <v>19</v>
      </c>
      <c r="LX108">
        <v>19</v>
      </c>
      <c r="LY108">
        <v>20</v>
      </c>
      <c r="LZ108" t="s">
        <v>768</v>
      </c>
      <c r="MA108">
        <v>16</v>
      </c>
      <c r="MB108">
        <v>14</v>
      </c>
      <c r="MC108">
        <v>16</v>
      </c>
      <c r="MD108">
        <v>21</v>
      </c>
      <c r="ME108">
        <v>15</v>
      </c>
      <c r="MF108" t="s">
        <v>85</v>
      </c>
      <c r="MG108" t="s">
        <v>85</v>
      </c>
      <c r="MH108" t="s">
        <v>85</v>
      </c>
      <c r="MI108" t="s">
        <v>85</v>
      </c>
      <c r="MJ108" t="s">
        <v>85</v>
      </c>
      <c r="MK108" t="s">
        <v>85</v>
      </c>
      <c r="ML108" t="s">
        <v>85</v>
      </c>
      <c r="MM108" t="s">
        <v>85</v>
      </c>
      <c r="MN108" t="s">
        <v>85</v>
      </c>
      <c r="MO108" t="s">
        <v>85</v>
      </c>
      <c r="MP108" t="s">
        <v>85</v>
      </c>
      <c r="MQ108" t="s">
        <v>85</v>
      </c>
      <c r="MR108" t="s">
        <v>85</v>
      </c>
      <c r="MS108" t="s">
        <v>85</v>
      </c>
      <c r="MT108" t="s">
        <v>85</v>
      </c>
      <c r="MU108" t="s">
        <v>85</v>
      </c>
      <c r="MV108" t="s">
        <v>85</v>
      </c>
      <c r="MW108" t="s">
        <v>85</v>
      </c>
      <c r="MX108" t="s">
        <v>85</v>
      </c>
      <c r="MY108" t="s">
        <v>85</v>
      </c>
    </row>
    <row r="109" spans="1:363">
      <c r="A109" s="467" t="s">
        <v>769</v>
      </c>
      <c r="B109">
        <v>0</v>
      </c>
      <c r="C109">
        <v>-1</v>
      </c>
      <c r="D109">
        <v>0</v>
      </c>
      <c r="E109">
        <v>-1</v>
      </c>
      <c r="F109">
        <v>24</v>
      </c>
      <c r="G109">
        <v>5</v>
      </c>
      <c r="H109">
        <v>6</v>
      </c>
      <c r="I109">
        <v>6</v>
      </c>
      <c r="J109">
        <v>0</v>
      </c>
      <c r="K109">
        <v>80</v>
      </c>
      <c r="L109">
        <v>6</v>
      </c>
      <c r="M109">
        <v>6</v>
      </c>
      <c r="N109">
        <v>6</v>
      </c>
      <c r="O109">
        <v>0</v>
      </c>
      <c r="P109">
        <v>41</v>
      </c>
      <c r="Q109">
        <v>4</v>
      </c>
      <c r="R109">
        <v>4</v>
      </c>
      <c r="S109">
        <v>4</v>
      </c>
      <c r="T109">
        <v>0</v>
      </c>
      <c r="U109">
        <v>56</v>
      </c>
      <c r="V109">
        <v>6</v>
      </c>
      <c r="W109">
        <v>6</v>
      </c>
      <c r="X109">
        <v>5</v>
      </c>
      <c r="Y109">
        <v>1</v>
      </c>
      <c r="Z109">
        <v>0</v>
      </c>
      <c r="AA109" t="s">
        <v>769</v>
      </c>
      <c r="AB109">
        <v>10</v>
      </c>
      <c r="AC109">
        <v>10</v>
      </c>
      <c r="AD109">
        <v>10</v>
      </c>
      <c r="AE109">
        <v>1</v>
      </c>
      <c r="AF109">
        <v>99</v>
      </c>
      <c r="AG109">
        <v>11</v>
      </c>
      <c r="AH109">
        <v>11</v>
      </c>
      <c r="AI109">
        <v>11</v>
      </c>
      <c r="AJ109">
        <v>1</v>
      </c>
      <c r="AK109">
        <v>101</v>
      </c>
      <c r="AL109">
        <v>1</v>
      </c>
      <c r="AM109">
        <v>1</v>
      </c>
      <c r="AN109">
        <v>1</v>
      </c>
      <c r="AO109">
        <v>1</v>
      </c>
      <c r="AP109">
        <v>47</v>
      </c>
      <c r="AQ109" t="s">
        <v>85</v>
      </c>
      <c r="AR109" t="s">
        <v>85</v>
      </c>
      <c r="AS109" t="s">
        <v>85</v>
      </c>
      <c r="AT109" t="s">
        <v>85</v>
      </c>
      <c r="AU109" t="s">
        <v>85</v>
      </c>
      <c r="AV109" t="s">
        <v>85</v>
      </c>
      <c r="AW109" t="s">
        <v>85</v>
      </c>
      <c r="AX109" t="s">
        <v>85</v>
      </c>
      <c r="AY109" t="s">
        <v>85</v>
      </c>
      <c r="AZ109" t="s">
        <v>85</v>
      </c>
      <c r="BA109" t="s">
        <v>769</v>
      </c>
      <c r="BB109">
        <v>20</v>
      </c>
      <c r="BC109">
        <v>20</v>
      </c>
      <c r="BD109">
        <v>21</v>
      </c>
      <c r="BE109">
        <v>0</v>
      </c>
      <c r="BF109">
        <v>777</v>
      </c>
      <c r="BG109">
        <v>6</v>
      </c>
      <c r="BH109">
        <v>4</v>
      </c>
      <c r="BI109">
        <v>5</v>
      </c>
      <c r="BJ109">
        <v>0</v>
      </c>
      <c r="BK109">
        <v>213</v>
      </c>
      <c r="BL109">
        <v>3</v>
      </c>
      <c r="BM109">
        <v>4</v>
      </c>
      <c r="BN109">
        <v>3</v>
      </c>
      <c r="BO109">
        <v>0</v>
      </c>
      <c r="BP109">
        <v>14</v>
      </c>
      <c r="BQ109">
        <v>12</v>
      </c>
      <c r="BR109">
        <v>13</v>
      </c>
      <c r="BS109">
        <v>10</v>
      </c>
      <c r="BT109">
        <v>1</v>
      </c>
      <c r="BU109">
        <v>1022</v>
      </c>
      <c r="BV109">
        <v>35</v>
      </c>
      <c r="BW109">
        <v>37</v>
      </c>
      <c r="BX109">
        <v>35</v>
      </c>
      <c r="BY109">
        <v>0</v>
      </c>
      <c r="BZ109">
        <v>1453</v>
      </c>
      <c r="CA109" t="s">
        <v>769</v>
      </c>
      <c r="CB109" t="s">
        <v>85</v>
      </c>
      <c r="CC109" t="s">
        <v>85</v>
      </c>
      <c r="CD109" t="s">
        <v>85</v>
      </c>
      <c r="CE109" t="s">
        <v>85</v>
      </c>
      <c r="CF109">
        <v>0</v>
      </c>
      <c r="CG109">
        <v>2</v>
      </c>
      <c r="CH109">
        <v>2</v>
      </c>
      <c r="CI109">
        <v>2</v>
      </c>
      <c r="CJ109">
        <v>0</v>
      </c>
      <c r="CK109">
        <v>58</v>
      </c>
      <c r="CL109" t="s">
        <v>85</v>
      </c>
      <c r="CM109" t="s">
        <v>85</v>
      </c>
      <c r="CN109" t="s">
        <v>85</v>
      </c>
      <c r="CO109" t="s">
        <v>85</v>
      </c>
      <c r="CP109" t="s">
        <v>85</v>
      </c>
      <c r="CQ109" t="s">
        <v>85</v>
      </c>
      <c r="CR109" t="s">
        <v>85</v>
      </c>
      <c r="CS109" t="s">
        <v>85</v>
      </c>
      <c r="CT109" t="s">
        <v>85</v>
      </c>
      <c r="CU109" t="s">
        <v>85</v>
      </c>
      <c r="CV109" t="s">
        <v>85</v>
      </c>
      <c r="CW109" t="s">
        <v>85</v>
      </c>
      <c r="CX109" t="s">
        <v>85</v>
      </c>
      <c r="CY109" t="s">
        <v>85</v>
      </c>
      <c r="CZ109" t="s">
        <v>85</v>
      </c>
      <c r="DA109" t="s">
        <v>769</v>
      </c>
      <c r="DB109">
        <v>101</v>
      </c>
      <c r="DC109">
        <v>99</v>
      </c>
      <c r="DD109">
        <v>101</v>
      </c>
      <c r="DE109">
        <v>0</v>
      </c>
      <c r="DF109">
        <v>4380</v>
      </c>
      <c r="DG109">
        <v>6</v>
      </c>
      <c r="DH109">
        <v>6</v>
      </c>
      <c r="DI109">
        <v>6</v>
      </c>
      <c r="DJ109">
        <v>0</v>
      </c>
      <c r="DK109">
        <v>230</v>
      </c>
      <c r="DL109">
        <v>4</v>
      </c>
      <c r="DM109">
        <v>4</v>
      </c>
      <c r="DN109">
        <v>3</v>
      </c>
      <c r="DO109">
        <v>0</v>
      </c>
      <c r="DP109">
        <v>158</v>
      </c>
      <c r="DQ109">
        <v>0</v>
      </c>
      <c r="DR109">
        <v>0</v>
      </c>
      <c r="DS109">
        <v>0</v>
      </c>
      <c r="DT109">
        <v>0</v>
      </c>
      <c r="DU109">
        <v>0</v>
      </c>
      <c r="DV109">
        <v>0</v>
      </c>
      <c r="DW109">
        <v>0</v>
      </c>
      <c r="DX109">
        <v>0</v>
      </c>
      <c r="DY109">
        <v>0</v>
      </c>
      <c r="DZ109">
        <v>0</v>
      </c>
      <c r="EA109" t="s">
        <v>769</v>
      </c>
      <c r="EB109">
        <v>0</v>
      </c>
      <c r="EC109">
        <v>0</v>
      </c>
      <c r="ED109">
        <v>0</v>
      </c>
      <c r="EE109">
        <v>0</v>
      </c>
      <c r="EF109">
        <v>0</v>
      </c>
      <c r="EG109" t="s">
        <v>85</v>
      </c>
      <c r="EH109" t="s">
        <v>85</v>
      </c>
      <c r="EI109" t="s">
        <v>85</v>
      </c>
      <c r="EJ109" t="s">
        <v>85</v>
      </c>
      <c r="EK109" t="s">
        <v>85</v>
      </c>
      <c r="EL109" t="s">
        <v>85</v>
      </c>
      <c r="EM109" t="s">
        <v>85</v>
      </c>
      <c r="EN109" t="s">
        <v>85</v>
      </c>
      <c r="EO109" t="s">
        <v>85</v>
      </c>
      <c r="EP109" t="s">
        <v>85</v>
      </c>
      <c r="EQ109" t="s">
        <v>85</v>
      </c>
      <c r="ER109" t="s">
        <v>85</v>
      </c>
      <c r="ES109" t="s">
        <v>85</v>
      </c>
      <c r="ET109" t="s">
        <v>85</v>
      </c>
      <c r="EU109" t="s">
        <v>85</v>
      </c>
      <c r="EV109" t="s">
        <v>85</v>
      </c>
      <c r="EW109" t="s">
        <v>85</v>
      </c>
      <c r="EX109" t="s">
        <v>85</v>
      </c>
      <c r="EY109" t="s">
        <v>85</v>
      </c>
      <c r="EZ109" t="s">
        <v>85</v>
      </c>
      <c r="FA109" t="s">
        <v>769</v>
      </c>
      <c r="FB109">
        <v>1</v>
      </c>
      <c r="FC109">
        <v>1</v>
      </c>
      <c r="FD109">
        <v>1</v>
      </c>
      <c r="FE109">
        <v>0</v>
      </c>
      <c r="FF109">
        <v>0</v>
      </c>
      <c r="FG109">
        <v>0</v>
      </c>
      <c r="FH109">
        <v>0</v>
      </c>
      <c r="FI109">
        <v>0</v>
      </c>
      <c r="FJ109">
        <v>0</v>
      </c>
      <c r="FK109">
        <v>0</v>
      </c>
      <c r="FL109">
        <v>0</v>
      </c>
      <c r="FM109">
        <v>0</v>
      </c>
      <c r="FN109">
        <v>0</v>
      </c>
      <c r="FO109">
        <v>0</v>
      </c>
      <c r="FP109">
        <v>0</v>
      </c>
      <c r="FQ109">
        <v>41</v>
      </c>
      <c r="FR109">
        <v>39</v>
      </c>
      <c r="FS109">
        <v>44</v>
      </c>
      <c r="FT109">
        <v>0</v>
      </c>
      <c r="FU109">
        <v>1718</v>
      </c>
      <c r="FV109">
        <v>10</v>
      </c>
      <c r="FW109">
        <v>9</v>
      </c>
      <c r="FX109">
        <v>9</v>
      </c>
      <c r="FY109">
        <v>0</v>
      </c>
      <c r="FZ109">
        <v>396</v>
      </c>
      <c r="GA109" t="s">
        <v>769</v>
      </c>
      <c r="GB109">
        <v>76</v>
      </c>
      <c r="GC109">
        <v>78</v>
      </c>
      <c r="GD109">
        <v>75</v>
      </c>
      <c r="GE109">
        <v>0</v>
      </c>
      <c r="GF109">
        <v>3099</v>
      </c>
      <c r="GG109" t="s">
        <v>85</v>
      </c>
      <c r="GH109" t="s">
        <v>85</v>
      </c>
      <c r="GI109" t="s">
        <v>85</v>
      </c>
      <c r="GJ109" t="s">
        <v>85</v>
      </c>
      <c r="GK109" t="s">
        <v>85</v>
      </c>
      <c r="GL109" t="s">
        <v>85</v>
      </c>
      <c r="GM109" t="s">
        <v>85</v>
      </c>
      <c r="GN109" t="s">
        <v>85</v>
      </c>
      <c r="GO109" t="s">
        <v>85</v>
      </c>
      <c r="GP109" t="s">
        <v>85</v>
      </c>
      <c r="GQ109" t="s">
        <v>85</v>
      </c>
      <c r="GR109" t="s">
        <v>85</v>
      </c>
      <c r="GS109" t="s">
        <v>85</v>
      </c>
      <c r="GT109" t="s">
        <v>85</v>
      </c>
      <c r="GU109" t="s">
        <v>85</v>
      </c>
      <c r="GV109" t="s">
        <v>85</v>
      </c>
      <c r="GW109" t="s">
        <v>85</v>
      </c>
      <c r="GX109" t="s">
        <v>85</v>
      </c>
      <c r="GY109" t="s">
        <v>85</v>
      </c>
      <c r="GZ109" t="s">
        <v>781</v>
      </c>
      <c r="HA109">
        <v>82</v>
      </c>
      <c r="HB109">
        <v>111</v>
      </c>
      <c r="HC109">
        <v>91</v>
      </c>
      <c r="HD109">
        <v>20</v>
      </c>
      <c r="HE109">
        <v>1986</v>
      </c>
      <c r="HF109">
        <v>32</v>
      </c>
      <c r="HG109">
        <v>47</v>
      </c>
      <c r="HH109">
        <v>33</v>
      </c>
      <c r="HI109">
        <v>15</v>
      </c>
      <c r="HJ109">
        <v>615</v>
      </c>
      <c r="HK109">
        <v>49</v>
      </c>
      <c r="HL109">
        <v>50</v>
      </c>
      <c r="HM109">
        <v>60</v>
      </c>
      <c r="HN109">
        <v>15</v>
      </c>
      <c r="HO109">
        <v>1149</v>
      </c>
      <c r="HP109">
        <v>29</v>
      </c>
      <c r="HQ109">
        <v>35</v>
      </c>
      <c r="HR109">
        <v>29</v>
      </c>
      <c r="HS109">
        <v>10</v>
      </c>
      <c r="HT109">
        <v>662</v>
      </c>
      <c r="HU109">
        <v>83</v>
      </c>
      <c r="HV109">
        <v>107</v>
      </c>
      <c r="HW109">
        <v>78</v>
      </c>
      <c r="HX109">
        <v>16</v>
      </c>
      <c r="HY109">
        <v>1874</v>
      </c>
      <c r="HZ109" t="s">
        <v>769</v>
      </c>
      <c r="IA109">
        <v>66</v>
      </c>
      <c r="IB109">
        <v>70</v>
      </c>
      <c r="IC109">
        <v>56</v>
      </c>
      <c r="ID109">
        <v>28</v>
      </c>
      <c r="IE109">
        <v>1326</v>
      </c>
      <c r="IF109" t="s">
        <v>85</v>
      </c>
      <c r="IG109" t="s">
        <v>85</v>
      </c>
      <c r="IH109" t="s">
        <v>85</v>
      </c>
      <c r="II109" t="s">
        <v>85</v>
      </c>
      <c r="IJ109" t="s">
        <v>85</v>
      </c>
      <c r="IK109" t="s">
        <v>85</v>
      </c>
      <c r="IL109" t="s">
        <v>85</v>
      </c>
      <c r="IM109" t="s">
        <v>85</v>
      </c>
      <c r="IN109" t="s">
        <v>85</v>
      </c>
      <c r="IO109" t="s">
        <v>85</v>
      </c>
      <c r="IP109" t="s">
        <v>85</v>
      </c>
      <c r="IQ109" t="s">
        <v>85</v>
      </c>
      <c r="IR109" t="s">
        <v>85</v>
      </c>
      <c r="IS109" t="s">
        <v>85</v>
      </c>
      <c r="IT109" t="s">
        <v>85</v>
      </c>
      <c r="IU109" t="s">
        <v>85</v>
      </c>
      <c r="IV109" t="s">
        <v>85</v>
      </c>
      <c r="IW109" t="s">
        <v>85</v>
      </c>
      <c r="IX109" t="s">
        <v>85</v>
      </c>
      <c r="IY109" t="s">
        <v>85</v>
      </c>
      <c r="IZ109" t="s">
        <v>769</v>
      </c>
      <c r="JA109">
        <v>96</v>
      </c>
      <c r="JB109">
        <v>74</v>
      </c>
      <c r="JC109">
        <v>82</v>
      </c>
      <c r="JD109">
        <v>14</v>
      </c>
      <c r="JE109">
        <v>1710</v>
      </c>
      <c r="JF109">
        <v>72</v>
      </c>
      <c r="JG109">
        <v>65</v>
      </c>
      <c r="JH109">
        <v>62</v>
      </c>
      <c r="JI109">
        <v>28</v>
      </c>
      <c r="JJ109">
        <v>1376</v>
      </c>
      <c r="JK109">
        <v>72</v>
      </c>
      <c r="JL109">
        <v>87</v>
      </c>
      <c r="JM109">
        <v>91</v>
      </c>
      <c r="JN109">
        <v>30</v>
      </c>
      <c r="JO109">
        <v>1700</v>
      </c>
      <c r="JP109">
        <v>67</v>
      </c>
      <c r="JQ109">
        <v>47</v>
      </c>
      <c r="JR109">
        <v>66</v>
      </c>
      <c r="JS109">
        <v>16</v>
      </c>
      <c r="JT109">
        <v>1174</v>
      </c>
      <c r="JU109" t="s">
        <v>85</v>
      </c>
      <c r="JV109" t="s">
        <v>85</v>
      </c>
      <c r="JW109" t="s">
        <v>85</v>
      </c>
      <c r="JX109" t="s">
        <v>85</v>
      </c>
      <c r="JY109" t="s">
        <v>85</v>
      </c>
      <c r="JZ109" t="s">
        <v>769</v>
      </c>
      <c r="KA109">
        <v>43</v>
      </c>
      <c r="KB109">
        <v>48</v>
      </c>
      <c r="KC109">
        <v>35</v>
      </c>
      <c r="KD109">
        <v>12</v>
      </c>
      <c r="KE109">
        <v>792</v>
      </c>
      <c r="KF109">
        <v>136</v>
      </c>
      <c r="KG109">
        <v>146</v>
      </c>
      <c r="KH109">
        <v>125</v>
      </c>
      <c r="KI109">
        <v>19</v>
      </c>
      <c r="KJ109">
        <v>2756</v>
      </c>
      <c r="KK109">
        <v>55</v>
      </c>
      <c r="KL109">
        <v>55</v>
      </c>
      <c r="KM109">
        <v>39</v>
      </c>
      <c r="KN109">
        <v>22</v>
      </c>
      <c r="KO109">
        <v>1020</v>
      </c>
      <c r="KP109">
        <v>22</v>
      </c>
      <c r="KQ109">
        <v>17</v>
      </c>
      <c r="KR109">
        <v>46</v>
      </c>
      <c r="KS109">
        <v>26</v>
      </c>
      <c r="KT109">
        <v>621</v>
      </c>
      <c r="KU109" t="s">
        <v>85</v>
      </c>
      <c r="KV109" t="s">
        <v>85</v>
      </c>
      <c r="KW109" t="s">
        <v>85</v>
      </c>
      <c r="KX109" t="s">
        <v>85</v>
      </c>
      <c r="KY109" t="s">
        <v>85</v>
      </c>
      <c r="KZ109" t="s">
        <v>769</v>
      </c>
      <c r="LA109">
        <v>77</v>
      </c>
      <c r="LB109">
        <v>88</v>
      </c>
      <c r="LC109">
        <v>67</v>
      </c>
      <c r="LD109">
        <v>24</v>
      </c>
      <c r="LE109">
        <v>1648</v>
      </c>
      <c r="LF109">
        <v>45</v>
      </c>
      <c r="LG109">
        <v>59</v>
      </c>
      <c r="LH109">
        <v>43</v>
      </c>
      <c r="LI109">
        <v>12</v>
      </c>
      <c r="LJ109">
        <v>933</v>
      </c>
      <c r="LK109">
        <v>90</v>
      </c>
      <c r="LL109">
        <v>84</v>
      </c>
      <c r="LM109">
        <v>86</v>
      </c>
      <c r="LN109">
        <v>29</v>
      </c>
      <c r="LO109">
        <v>1771</v>
      </c>
      <c r="LP109">
        <v>75</v>
      </c>
      <c r="LQ109">
        <v>81</v>
      </c>
      <c r="LR109">
        <v>86</v>
      </c>
      <c r="LS109">
        <v>14</v>
      </c>
      <c r="LT109">
        <v>1579</v>
      </c>
      <c r="LU109">
        <v>0</v>
      </c>
      <c r="LV109">
        <v>3</v>
      </c>
      <c r="LW109">
        <v>3</v>
      </c>
      <c r="LX109">
        <v>3</v>
      </c>
      <c r="LY109">
        <v>30</v>
      </c>
      <c r="LZ109" t="s">
        <v>769</v>
      </c>
      <c r="MA109">
        <v>46</v>
      </c>
      <c r="MB109">
        <v>71</v>
      </c>
      <c r="MC109">
        <v>40</v>
      </c>
      <c r="MD109">
        <v>27</v>
      </c>
      <c r="ME109">
        <v>1060</v>
      </c>
      <c r="MF109" t="s">
        <v>85</v>
      </c>
      <c r="MG109" t="s">
        <v>85</v>
      </c>
      <c r="MH109" t="s">
        <v>85</v>
      </c>
      <c r="MI109" t="s">
        <v>85</v>
      </c>
      <c r="MJ109" t="s">
        <v>85</v>
      </c>
      <c r="MK109" t="s">
        <v>85</v>
      </c>
      <c r="ML109" t="s">
        <v>85</v>
      </c>
      <c r="MM109" t="s">
        <v>85</v>
      </c>
      <c r="MN109" t="s">
        <v>85</v>
      </c>
      <c r="MO109" t="s">
        <v>85</v>
      </c>
      <c r="MP109" t="s">
        <v>85</v>
      </c>
      <c r="MQ109" t="s">
        <v>85</v>
      </c>
      <c r="MR109" t="s">
        <v>85</v>
      </c>
      <c r="MS109" t="s">
        <v>85</v>
      </c>
      <c r="MT109" t="s">
        <v>85</v>
      </c>
      <c r="MU109" t="s">
        <v>85</v>
      </c>
      <c r="MV109" t="s">
        <v>85</v>
      </c>
      <c r="MW109" t="s">
        <v>85</v>
      </c>
      <c r="MX109" t="s">
        <v>85</v>
      </c>
      <c r="MY109" t="s">
        <v>85</v>
      </c>
    </row>
    <row r="110" spans="1:363">
      <c r="A110" s="467" t="s">
        <v>770</v>
      </c>
      <c r="B110">
        <v>1</v>
      </c>
      <c r="C110">
        <v>1</v>
      </c>
      <c r="D110">
        <v>1</v>
      </c>
      <c r="E110">
        <v>1</v>
      </c>
      <c r="F110">
        <v>1</v>
      </c>
      <c r="G110">
        <v>22</v>
      </c>
      <c r="H110">
        <v>4</v>
      </c>
      <c r="I110">
        <v>7</v>
      </c>
      <c r="J110">
        <v>1</v>
      </c>
      <c r="K110">
        <v>20</v>
      </c>
      <c r="L110">
        <v>19</v>
      </c>
      <c r="M110">
        <v>19</v>
      </c>
      <c r="N110">
        <v>19</v>
      </c>
      <c r="O110">
        <v>1</v>
      </c>
      <c r="P110">
        <v>24</v>
      </c>
      <c r="Q110">
        <v>18</v>
      </c>
      <c r="R110">
        <v>18</v>
      </c>
      <c r="S110">
        <v>18</v>
      </c>
      <c r="T110">
        <v>1</v>
      </c>
      <c r="U110">
        <v>21</v>
      </c>
      <c r="V110">
        <v>19</v>
      </c>
      <c r="W110">
        <v>19</v>
      </c>
      <c r="X110">
        <v>19</v>
      </c>
      <c r="Y110">
        <v>1</v>
      </c>
      <c r="Z110">
        <v>1</v>
      </c>
      <c r="AA110" t="s">
        <v>770</v>
      </c>
      <c r="AB110">
        <v>5</v>
      </c>
      <c r="AC110">
        <v>5</v>
      </c>
      <c r="AD110">
        <v>5</v>
      </c>
      <c r="AE110">
        <v>1</v>
      </c>
      <c r="AF110">
        <v>24</v>
      </c>
      <c r="AG110">
        <v>1</v>
      </c>
      <c r="AH110">
        <v>1</v>
      </c>
      <c r="AI110">
        <v>1</v>
      </c>
      <c r="AJ110">
        <v>1</v>
      </c>
      <c r="AK110">
        <v>1</v>
      </c>
      <c r="AL110">
        <v>1</v>
      </c>
      <c r="AM110">
        <v>1</v>
      </c>
      <c r="AN110">
        <v>1</v>
      </c>
      <c r="AO110">
        <v>1</v>
      </c>
      <c r="AP110">
        <v>1</v>
      </c>
      <c r="AQ110" t="s">
        <v>85</v>
      </c>
      <c r="AR110" t="s">
        <v>85</v>
      </c>
      <c r="AS110" t="s">
        <v>85</v>
      </c>
      <c r="AT110" t="s">
        <v>85</v>
      </c>
      <c r="AU110" t="s">
        <v>85</v>
      </c>
      <c r="AV110" t="s">
        <v>85</v>
      </c>
      <c r="AW110" t="s">
        <v>85</v>
      </c>
      <c r="AX110" t="s">
        <v>85</v>
      </c>
      <c r="AY110" t="s">
        <v>85</v>
      </c>
      <c r="AZ110" t="s">
        <v>85</v>
      </c>
      <c r="BA110" t="s">
        <v>770</v>
      </c>
      <c r="BB110">
        <v>6</v>
      </c>
      <c r="BC110">
        <v>6</v>
      </c>
      <c r="BD110">
        <v>6</v>
      </c>
      <c r="BE110">
        <v>1</v>
      </c>
      <c r="BF110">
        <v>1</v>
      </c>
      <c r="BG110">
        <v>11</v>
      </c>
      <c r="BH110">
        <v>11</v>
      </c>
      <c r="BI110">
        <v>6</v>
      </c>
      <c r="BJ110">
        <v>1</v>
      </c>
      <c r="BK110">
        <v>7</v>
      </c>
      <c r="BL110">
        <v>7</v>
      </c>
      <c r="BM110">
        <v>7</v>
      </c>
      <c r="BN110">
        <v>7</v>
      </c>
      <c r="BO110">
        <v>1</v>
      </c>
      <c r="BP110">
        <v>7</v>
      </c>
      <c r="BQ110">
        <v>12</v>
      </c>
      <c r="BR110">
        <v>12</v>
      </c>
      <c r="BS110">
        <v>12</v>
      </c>
      <c r="BT110">
        <v>1</v>
      </c>
      <c r="BU110">
        <v>13</v>
      </c>
      <c r="BV110">
        <v>7</v>
      </c>
      <c r="BW110">
        <v>7</v>
      </c>
      <c r="BX110">
        <v>7</v>
      </c>
      <c r="BY110">
        <v>1</v>
      </c>
      <c r="BZ110">
        <v>15</v>
      </c>
      <c r="CA110" t="s">
        <v>770</v>
      </c>
      <c r="CB110" t="s">
        <v>85</v>
      </c>
      <c r="CC110" t="s">
        <v>85</v>
      </c>
      <c r="CD110" t="s">
        <v>85</v>
      </c>
      <c r="CE110" t="s">
        <v>85</v>
      </c>
      <c r="CF110">
        <v>1</v>
      </c>
      <c r="CG110">
        <v>1</v>
      </c>
      <c r="CH110">
        <v>1</v>
      </c>
      <c r="CI110">
        <v>1</v>
      </c>
      <c r="CJ110">
        <v>1</v>
      </c>
      <c r="CK110">
        <v>11</v>
      </c>
      <c r="CL110" t="s">
        <v>85</v>
      </c>
      <c r="CM110" t="s">
        <v>85</v>
      </c>
      <c r="CN110" t="s">
        <v>85</v>
      </c>
      <c r="CO110" t="s">
        <v>85</v>
      </c>
      <c r="CP110" t="s">
        <v>85</v>
      </c>
      <c r="CQ110" t="s">
        <v>85</v>
      </c>
      <c r="CR110" t="s">
        <v>85</v>
      </c>
      <c r="CS110" t="s">
        <v>85</v>
      </c>
      <c r="CT110" t="s">
        <v>85</v>
      </c>
      <c r="CU110" t="s">
        <v>85</v>
      </c>
      <c r="CV110" t="s">
        <v>85</v>
      </c>
      <c r="CW110" t="s">
        <v>85</v>
      </c>
      <c r="CX110" t="s">
        <v>85</v>
      </c>
      <c r="CY110" t="s">
        <v>85</v>
      </c>
      <c r="CZ110" t="s">
        <v>85</v>
      </c>
      <c r="DA110" t="s">
        <v>770</v>
      </c>
      <c r="DB110">
        <v>11</v>
      </c>
      <c r="DC110">
        <v>11</v>
      </c>
      <c r="DD110">
        <v>11</v>
      </c>
      <c r="DE110">
        <v>1</v>
      </c>
      <c r="DF110">
        <v>15</v>
      </c>
      <c r="DG110">
        <v>6</v>
      </c>
      <c r="DH110">
        <v>6</v>
      </c>
      <c r="DI110">
        <v>6</v>
      </c>
      <c r="DJ110">
        <v>1</v>
      </c>
      <c r="DK110">
        <v>6</v>
      </c>
      <c r="DL110">
        <v>12</v>
      </c>
      <c r="DM110">
        <v>14</v>
      </c>
      <c r="DN110">
        <v>12</v>
      </c>
      <c r="DO110">
        <v>1</v>
      </c>
      <c r="DP110">
        <v>14</v>
      </c>
      <c r="DQ110">
        <v>1</v>
      </c>
      <c r="DR110">
        <v>1</v>
      </c>
      <c r="DS110">
        <v>1</v>
      </c>
      <c r="DT110">
        <v>1</v>
      </c>
      <c r="DU110">
        <v>1</v>
      </c>
      <c r="DV110">
        <v>1</v>
      </c>
      <c r="DW110">
        <v>1</v>
      </c>
      <c r="DX110">
        <v>1</v>
      </c>
      <c r="DY110">
        <v>1</v>
      </c>
      <c r="DZ110">
        <v>1</v>
      </c>
      <c r="EA110" t="s">
        <v>770</v>
      </c>
      <c r="EB110">
        <v>1</v>
      </c>
      <c r="EC110">
        <v>1</v>
      </c>
      <c r="ED110">
        <v>1</v>
      </c>
      <c r="EE110">
        <v>1</v>
      </c>
      <c r="EF110">
        <v>1</v>
      </c>
      <c r="EG110" t="s">
        <v>85</v>
      </c>
      <c r="EH110" t="s">
        <v>85</v>
      </c>
      <c r="EI110" t="s">
        <v>85</v>
      </c>
      <c r="EJ110" t="s">
        <v>85</v>
      </c>
      <c r="EK110" t="s">
        <v>85</v>
      </c>
      <c r="EL110" t="s">
        <v>85</v>
      </c>
      <c r="EM110" t="s">
        <v>85</v>
      </c>
      <c r="EN110" t="s">
        <v>85</v>
      </c>
      <c r="EO110" t="s">
        <v>85</v>
      </c>
      <c r="EP110" t="s">
        <v>85</v>
      </c>
      <c r="EQ110" t="s">
        <v>85</v>
      </c>
      <c r="ER110" t="s">
        <v>85</v>
      </c>
      <c r="ES110" t="s">
        <v>85</v>
      </c>
      <c r="ET110" t="s">
        <v>85</v>
      </c>
      <c r="EU110" t="s">
        <v>85</v>
      </c>
      <c r="EV110" t="s">
        <v>85</v>
      </c>
      <c r="EW110" t="s">
        <v>85</v>
      </c>
      <c r="EX110" t="s">
        <v>85</v>
      </c>
      <c r="EY110" t="s">
        <v>85</v>
      </c>
      <c r="EZ110" t="s">
        <v>85</v>
      </c>
      <c r="FA110" t="s">
        <v>770</v>
      </c>
      <c r="FB110">
        <v>4</v>
      </c>
      <c r="FC110">
        <v>1</v>
      </c>
      <c r="FD110">
        <v>1</v>
      </c>
      <c r="FE110">
        <v>1</v>
      </c>
      <c r="FF110">
        <v>1</v>
      </c>
      <c r="FG110">
        <v>1</v>
      </c>
      <c r="FH110">
        <v>1</v>
      </c>
      <c r="FI110">
        <v>1</v>
      </c>
      <c r="FJ110">
        <v>1</v>
      </c>
      <c r="FK110">
        <v>1</v>
      </c>
      <c r="FL110">
        <v>1</v>
      </c>
      <c r="FM110">
        <v>1</v>
      </c>
      <c r="FN110">
        <v>1</v>
      </c>
      <c r="FO110">
        <v>1</v>
      </c>
      <c r="FP110">
        <v>1</v>
      </c>
      <c r="FQ110">
        <v>8</v>
      </c>
      <c r="FR110">
        <v>8</v>
      </c>
      <c r="FS110">
        <v>8</v>
      </c>
      <c r="FT110">
        <v>1</v>
      </c>
      <c r="FU110">
        <v>7</v>
      </c>
      <c r="FV110">
        <v>22</v>
      </c>
      <c r="FW110">
        <v>22</v>
      </c>
      <c r="FX110">
        <v>4</v>
      </c>
      <c r="FY110">
        <v>1</v>
      </c>
      <c r="FZ110">
        <v>4</v>
      </c>
      <c r="GA110" t="s">
        <v>770</v>
      </c>
      <c r="GB110">
        <v>12</v>
      </c>
      <c r="GC110">
        <v>12</v>
      </c>
      <c r="GD110">
        <v>12</v>
      </c>
      <c r="GE110">
        <v>1</v>
      </c>
      <c r="GF110">
        <v>13</v>
      </c>
      <c r="GG110" t="s">
        <v>85</v>
      </c>
      <c r="GH110" t="s">
        <v>85</v>
      </c>
      <c r="GI110" t="s">
        <v>85</v>
      </c>
      <c r="GJ110" t="s">
        <v>85</v>
      </c>
      <c r="GK110" t="s">
        <v>85</v>
      </c>
      <c r="GL110" t="s">
        <v>85</v>
      </c>
      <c r="GM110" t="s">
        <v>85</v>
      </c>
      <c r="GN110" t="s">
        <v>85</v>
      </c>
      <c r="GO110" t="s">
        <v>85</v>
      </c>
      <c r="GP110" t="s">
        <v>85</v>
      </c>
      <c r="GQ110" t="s">
        <v>85</v>
      </c>
      <c r="GR110" t="s">
        <v>85</v>
      </c>
      <c r="GS110" t="s">
        <v>85</v>
      </c>
      <c r="GT110" t="s">
        <v>85</v>
      </c>
      <c r="GU110" t="s">
        <v>85</v>
      </c>
      <c r="GV110" t="s">
        <v>85</v>
      </c>
      <c r="GW110" t="s">
        <v>85</v>
      </c>
      <c r="GX110" t="s">
        <v>85</v>
      </c>
      <c r="GY110" t="s">
        <v>85</v>
      </c>
      <c r="GZ110" t="s">
        <v>782</v>
      </c>
      <c r="HA110">
        <v>24</v>
      </c>
      <c r="HB110">
        <v>6</v>
      </c>
      <c r="HC110">
        <v>24</v>
      </c>
      <c r="HD110">
        <v>4</v>
      </c>
      <c r="HE110">
        <v>5</v>
      </c>
      <c r="HF110">
        <v>8</v>
      </c>
      <c r="HG110">
        <v>8</v>
      </c>
      <c r="HH110">
        <v>8</v>
      </c>
      <c r="HI110">
        <v>7</v>
      </c>
      <c r="HJ110">
        <v>8</v>
      </c>
      <c r="HK110">
        <v>6</v>
      </c>
      <c r="HL110">
        <v>6</v>
      </c>
      <c r="HM110">
        <v>6</v>
      </c>
      <c r="HN110">
        <v>7</v>
      </c>
      <c r="HO110">
        <v>6</v>
      </c>
      <c r="HP110">
        <v>4</v>
      </c>
      <c r="HQ110">
        <v>4</v>
      </c>
      <c r="HR110">
        <v>4</v>
      </c>
      <c r="HS110">
        <v>7</v>
      </c>
      <c r="HT110">
        <v>5</v>
      </c>
      <c r="HU110">
        <v>6</v>
      </c>
      <c r="HV110">
        <v>6</v>
      </c>
      <c r="HW110">
        <v>6</v>
      </c>
      <c r="HX110">
        <v>9</v>
      </c>
      <c r="HY110">
        <v>7</v>
      </c>
      <c r="HZ110" t="s">
        <v>770</v>
      </c>
      <c r="IA110">
        <v>6</v>
      </c>
      <c r="IB110">
        <v>6</v>
      </c>
      <c r="IC110">
        <v>6</v>
      </c>
      <c r="ID110">
        <v>7</v>
      </c>
      <c r="IE110">
        <v>6</v>
      </c>
      <c r="IF110" t="s">
        <v>85</v>
      </c>
      <c r="IG110" t="s">
        <v>85</v>
      </c>
      <c r="IH110" t="s">
        <v>85</v>
      </c>
      <c r="II110" t="s">
        <v>85</v>
      </c>
      <c r="IJ110" t="s">
        <v>85</v>
      </c>
      <c r="IK110" t="s">
        <v>85</v>
      </c>
      <c r="IL110" t="s">
        <v>85</v>
      </c>
      <c r="IM110" t="s">
        <v>85</v>
      </c>
      <c r="IN110" t="s">
        <v>85</v>
      </c>
      <c r="IO110" t="s">
        <v>85</v>
      </c>
      <c r="IP110" t="s">
        <v>85</v>
      </c>
      <c r="IQ110" t="s">
        <v>85</v>
      </c>
      <c r="IR110" t="s">
        <v>85</v>
      </c>
      <c r="IS110" t="s">
        <v>85</v>
      </c>
      <c r="IT110" t="s">
        <v>85</v>
      </c>
      <c r="IU110" t="s">
        <v>85</v>
      </c>
      <c r="IV110" t="s">
        <v>85</v>
      </c>
      <c r="IW110" t="s">
        <v>85</v>
      </c>
      <c r="IX110" t="s">
        <v>85</v>
      </c>
      <c r="IY110" t="s">
        <v>85</v>
      </c>
      <c r="IZ110" t="s">
        <v>770</v>
      </c>
      <c r="JA110">
        <v>5</v>
      </c>
      <c r="JB110">
        <v>5</v>
      </c>
      <c r="JC110">
        <v>6</v>
      </c>
      <c r="JD110">
        <v>9</v>
      </c>
      <c r="JE110">
        <v>7</v>
      </c>
      <c r="JF110">
        <v>6</v>
      </c>
      <c r="JG110">
        <v>6</v>
      </c>
      <c r="JH110">
        <v>6</v>
      </c>
      <c r="JI110">
        <v>6</v>
      </c>
      <c r="JJ110">
        <v>6</v>
      </c>
      <c r="JK110">
        <v>6</v>
      </c>
      <c r="JL110">
        <v>5</v>
      </c>
      <c r="JM110">
        <v>6</v>
      </c>
      <c r="JN110">
        <v>7</v>
      </c>
      <c r="JO110">
        <v>6</v>
      </c>
      <c r="JP110">
        <v>5</v>
      </c>
      <c r="JQ110">
        <v>6</v>
      </c>
      <c r="JR110">
        <v>5</v>
      </c>
      <c r="JS110">
        <v>9</v>
      </c>
      <c r="JT110">
        <v>6</v>
      </c>
      <c r="JU110" t="s">
        <v>85</v>
      </c>
      <c r="JV110" t="s">
        <v>85</v>
      </c>
      <c r="JW110" t="s">
        <v>85</v>
      </c>
      <c r="JX110" t="s">
        <v>85</v>
      </c>
      <c r="JY110" t="s">
        <v>85</v>
      </c>
      <c r="JZ110" t="s">
        <v>770</v>
      </c>
      <c r="KA110">
        <v>7</v>
      </c>
      <c r="KB110">
        <v>7</v>
      </c>
      <c r="KC110">
        <v>7</v>
      </c>
      <c r="KD110">
        <v>7</v>
      </c>
      <c r="KE110">
        <v>8</v>
      </c>
      <c r="KF110">
        <v>7</v>
      </c>
      <c r="KG110">
        <v>7</v>
      </c>
      <c r="KH110">
        <v>7</v>
      </c>
      <c r="KI110">
        <v>8</v>
      </c>
      <c r="KJ110">
        <v>7</v>
      </c>
      <c r="KK110">
        <v>4</v>
      </c>
      <c r="KL110">
        <v>4</v>
      </c>
      <c r="KM110">
        <v>6</v>
      </c>
      <c r="KN110">
        <v>4</v>
      </c>
      <c r="KO110">
        <v>6</v>
      </c>
      <c r="KP110">
        <v>8</v>
      </c>
      <c r="KQ110">
        <v>8</v>
      </c>
      <c r="KR110">
        <v>8</v>
      </c>
      <c r="KS110">
        <v>6</v>
      </c>
      <c r="KT110">
        <v>8</v>
      </c>
      <c r="KU110" t="s">
        <v>85</v>
      </c>
      <c r="KV110" t="s">
        <v>85</v>
      </c>
      <c r="KW110" t="s">
        <v>85</v>
      </c>
      <c r="KX110" t="s">
        <v>85</v>
      </c>
      <c r="KY110" t="s">
        <v>85</v>
      </c>
      <c r="KZ110" t="s">
        <v>770</v>
      </c>
      <c r="LA110">
        <v>6</v>
      </c>
      <c r="LB110">
        <v>6</v>
      </c>
      <c r="LC110">
        <v>6</v>
      </c>
      <c r="LD110">
        <v>4</v>
      </c>
      <c r="LE110">
        <v>6</v>
      </c>
      <c r="LF110">
        <v>6</v>
      </c>
      <c r="LG110">
        <v>5</v>
      </c>
      <c r="LH110">
        <v>7</v>
      </c>
      <c r="LI110">
        <v>23</v>
      </c>
      <c r="LJ110">
        <v>7</v>
      </c>
      <c r="LK110">
        <v>6</v>
      </c>
      <c r="LL110">
        <v>7</v>
      </c>
      <c r="LM110">
        <v>6</v>
      </c>
      <c r="LN110">
        <v>8</v>
      </c>
      <c r="LO110">
        <v>7</v>
      </c>
      <c r="LP110">
        <v>7</v>
      </c>
      <c r="LQ110">
        <v>7</v>
      </c>
      <c r="LR110">
        <v>7</v>
      </c>
      <c r="LS110">
        <v>3</v>
      </c>
      <c r="LT110">
        <v>6</v>
      </c>
      <c r="LU110">
        <v>1</v>
      </c>
      <c r="LV110">
        <v>6</v>
      </c>
      <c r="LW110">
        <v>5</v>
      </c>
      <c r="LX110">
        <v>7</v>
      </c>
      <c r="LY110">
        <v>6</v>
      </c>
      <c r="LZ110" t="s">
        <v>770</v>
      </c>
      <c r="MA110">
        <v>6</v>
      </c>
      <c r="MB110">
        <v>6</v>
      </c>
      <c r="MC110">
        <v>6</v>
      </c>
      <c r="MD110">
        <v>7</v>
      </c>
      <c r="ME110">
        <v>6</v>
      </c>
      <c r="MF110" t="s">
        <v>85</v>
      </c>
      <c r="MG110" t="s">
        <v>85</v>
      </c>
      <c r="MH110" t="s">
        <v>85</v>
      </c>
      <c r="MI110" t="s">
        <v>85</v>
      </c>
      <c r="MJ110" t="s">
        <v>85</v>
      </c>
      <c r="MK110" t="s">
        <v>85</v>
      </c>
      <c r="ML110" t="s">
        <v>85</v>
      </c>
      <c r="MM110" t="s">
        <v>85</v>
      </c>
      <c r="MN110" t="s">
        <v>85</v>
      </c>
      <c r="MO110" t="s">
        <v>85</v>
      </c>
      <c r="MP110" t="s">
        <v>85</v>
      </c>
      <c r="MQ110" t="s">
        <v>85</v>
      </c>
      <c r="MR110" t="s">
        <v>85</v>
      </c>
      <c r="MS110" t="s">
        <v>85</v>
      </c>
      <c r="MT110" t="s">
        <v>85</v>
      </c>
      <c r="MU110" t="s">
        <v>85</v>
      </c>
      <c r="MV110" t="s">
        <v>85</v>
      </c>
      <c r="MW110" t="s">
        <v>85</v>
      </c>
      <c r="MX110" t="s">
        <v>85</v>
      </c>
      <c r="MY110" t="s">
        <v>85</v>
      </c>
    </row>
  </sheetData>
  <mergeCells count="6">
    <mergeCell ref="B9:F9"/>
    <mergeCell ref="G9:K9"/>
    <mergeCell ref="B43:F43"/>
    <mergeCell ref="G43:K43"/>
    <mergeCell ref="M43:Q43"/>
    <mergeCell ref="N9:R9"/>
  </mergeCells>
  <phoneticPr fontId="1" type="noConversion"/>
  <conditionalFormatting sqref="M11:R11 M12:M34 N12:R40">
    <cfRule type="expression" dxfId="333" priority="2">
      <formula>M11=MAX($M$11:$P$34)</formula>
    </cfRule>
  </conditionalFormatting>
  <conditionalFormatting sqref="N11:Q34">
    <cfRule type="expression" dxfId="332" priority="1">
      <formula>N11=MIN($N$11:$Q$34)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饋線日報表小工具">
                <anchor moveWithCells="1" sizeWithCells="1">
                  <from>
                    <xdr:col>5</xdr:col>
                    <xdr:colOff>209550</xdr:colOff>
                    <xdr:row>0</xdr:row>
                    <xdr:rowOff>76200</xdr:rowOff>
                  </from>
                  <to>
                    <xdr:col>6</xdr:col>
                    <xdr:colOff>600075</xdr:colOff>
                    <xdr:row>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7"/>
  <dimension ref="A1:O626"/>
  <sheetViews>
    <sheetView zoomScale="110" zoomScaleNormal="110" workbookViewId="0">
      <pane xSplit="3" ySplit="1" topLeftCell="D2" activePane="bottomRight" state="frozen"/>
      <selection pane="topRight" activeCell="D1" sqref="D1"/>
      <selection pane="bottomLeft" activeCell="A2" sqref="A2"/>
      <selection pane="bottomRight" activeCell="F10" sqref="F10"/>
    </sheetView>
  </sheetViews>
  <sheetFormatPr defaultColWidth="9" defaultRowHeight="16.5"/>
  <cols>
    <col min="1" max="1" width="4.625" style="583" customWidth="1"/>
    <col min="2" max="2" width="8.75" style="537" customWidth="1"/>
    <col min="3" max="3" width="6.75" style="537" customWidth="1"/>
    <col min="4" max="4" width="7.25" style="532" customWidth="1"/>
    <col min="5" max="5" width="12.875" style="584" customWidth="1"/>
    <col min="6" max="6" width="17.5" style="532" customWidth="1"/>
    <col min="7" max="7" width="34.625" style="537" customWidth="1"/>
    <col min="8" max="8" width="6.875" style="532" customWidth="1"/>
    <col min="9" max="9" width="6.75" style="532" customWidth="1"/>
    <col min="10" max="10" width="6.625" style="532" customWidth="1"/>
    <col min="11" max="11" width="17.125" style="532" customWidth="1"/>
    <col min="12" max="12" width="5.25" style="532" customWidth="1"/>
    <col min="13" max="13" width="8.75" style="532" customWidth="1"/>
    <col min="14" max="16384" width="9" style="532"/>
  </cols>
  <sheetData>
    <row r="1" spans="1:15" s="521" customFormat="1" ht="57.75" customHeight="1">
      <c r="A1" s="515" t="s">
        <v>3316</v>
      </c>
      <c r="B1" s="515" t="s">
        <v>287</v>
      </c>
      <c r="C1" s="516" t="s">
        <v>762</v>
      </c>
      <c r="D1" s="517" t="s">
        <v>3317</v>
      </c>
      <c r="E1" s="518" t="s">
        <v>3318</v>
      </c>
      <c r="F1" s="518" t="s">
        <v>3319</v>
      </c>
      <c r="G1" s="519" t="s">
        <v>3320</v>
      </c>
      <c r="H1" s="518" t="s">
        <v>3321</v>
      </c>
      <c r="I1" s="520" t="s">
        <v>3322</v>
      </c>
      <c r="J1" s="515" t="s">
        <v>3323</v>
      </c>
      <c r="K1" s="879" t="s">
        <v>3324</v>
      </c>
      <c r="L1" s="880"/>
      <c r="M1" s="880"/>
    </row>
    <row r="2" spans="1:15" ht="16.5" customHeight="1">
      <c r="A2" s="522">
        <v>1</v>
      </c>
      <c r="B2" s="523" t="s">
        <v>3325</v>
      </c>
      <c r="C2" s="524" t="s">
        <v>2784</v>
      </c>
      <c r="D2" s="524">
        <v>2.5</v>
      </c>
      <c r="E2" s="525"/>
      <c r="F2" s="526" t="s">
        <v>3326</v>
      </c>
      <c r="G2" s="527" t="s">
        <v>3327</v>
      </c>
      <c r="H2" s="528" t="s">
        <v>3328</v>
      </c>
      <c r="I2" s="528" t="s">
        <v>3329</v>
      </c>
      <c r="J2" s="528"/>
      <c r="K2" s="529"/>
      <c r="L2" s="530"/>
      <c r="M2" s="530"/>
      <c r="N2" s="531"/>
      <c r="O2" s="532" t="s">
        <v>3330</v>
      </c>
    </row>
    <row r="3" spans="1:15">
      <c r="A3" s="522">
        <v>2</v>
      </c>
      <c r="B3" s="523" t="s">
        <v>3325</v>
      </c>
      <c r="C3" s="524" t="s">
        <v>2786</v>
      </c>
      <c r="D3" s="524">
        <v>3.5</v>
      </c>
      <c r="E3" s="525"/>
      <c r="F3" s="526" t="s">
        <v>3331</v>
      </c>
      <c r="G3" s="527" t="s">
        <v>3332</v>
      </c>
      <c r="H3" s="528" t="s">
        <v>3328</v>
      </c>
      <c r="I3" s="528" t="s">
        <v>3333</v>
      </c>
      <c r="J3" s="528"/>
      <c r="K3" s="529"/>
      <c r="L3" s="530"/>
      <c r="M3" s="530"/>
      <c r="N3" s="533"/>
      <c r="O3" s="532" t="s">
        <v>3334</v>
      </c>
    </row>
    <row r="4" spans="1:15">
      <c r="A4" s="522">
        <v>3</v>
      </c>
      <c r="B4" s="523" t="s">
        <v>3325</v>
      </c>
      <c r="C4" s="524" t="s">
        <v>1870</v>
      </c>
      <c r="D4" s="524">
        <v>0.5</v>
      </c>
      <c r="E4" s="525"/>
      <c r="F4" s="534" t="s">
        <v>3335</v>
      </c>
      <c r="G4" s="527" t="s">
        <v>3336</v>
      </c>
      <c r="H4" s="528" t="s">
        <v>3328</v>
      </c>
      <c r="I4" s="528" t="s">
        <v>3329</v>
      </c>
      <c r="J4" s="528" t="s">
        <v>3337</v>
      </c>
      <c r="K4" s="529"/>
      <c r="L4" s="530"/>
      <c r="M4" s="530"/>
      <c r="N4" s="535"/>
      <c r="O4" s="532" t="s">
        <v>3338</v>
      </c>
    </row>
    <row r="5" spans="1:15">
      <c r="A5" s="522">
        <v>4</v>
      </c>
      <c r="B5" s="523" t="s">
        <v>3325</v>
      </c>
      <c r="C5" s="524" t="s">
        <v>2790</v>
      </c>
      <c r="D5" s="524">
        <v>4.5</v>
      </c>
      <c r="E5" s="525"/>
      <c r="F5" s="526" t="s">
        <v>3339</v>
      </c>
      <c r="G5" s="536" t="s">
        <v>3340</v>
      </c>
      <c r="H5" s="528" t="s">
        <v>3341</v>
      </c>
      <c r="I5" s="528" t="s">
        <v>3333</v>
      </c>
      <c r="J5" s="528"/>
      <c r="K5" s="529"/>
      <c r="L5" s="530"/>
      <c r="M5" s="530"/>
    </row>
    <row r="6" spans="1:15">
      <c r="A6" s="522">
        <v>5</v>
      </c>
      <c r="B6" s="523" t="s">
        <v>3325</v>
      </c>
      <c r="C6" s="524" t="s">
        <v>2791</v>
      </c>
      <c r="D6" s="524">
        <v>3.5</v>
      </c>
      <c r="E6" s="525"/>
      <c r="F6" s="526" t="s">
        <v>3342</v>
      </c>
      <c r="G6" s="536" t="s">
        <v>3343</v>
      </c>
      <c r="H6" s="528" t="s">
        <v>3341</v>
      </c>
      <c r="I6" s="528" t="s">
        <v>3333</v>
      </c>
      <c r="J6" s="528"/>
      <c r="K6" s="529"/>
      <c r="L6" s="530"/>
      <c r="M6" s="530"/>
    </row>
    <row r="7" spans="1:15">
      <c r="A7" s="522">
        <v>6</v>
      </c>
      <c r="B7" s="523" t="s">
        <v>3325</v>
      </c>
      <c r="C7" s="524" t="s">
        <v>2780</v>
      </c>
      <c r="D7" s="524">
        <v>5.5</v>
      </c>
      <c r="E7" s="525"/>
      <c r="F7" s="526" t="s">
        <v>3344</v>
      </c>
      <c r="G7" s="536" t="s">
        <v>3345</v>
      </c>
      <c r="H7" s="528" t="s">
        <v>3341</v>
      </c>
      <c r="I7" s="528" t="s">
        <v>3333</v>
      </c>
      <c r="J7" s="528"/>
      <c r="K7" s="529"/>
      <c r="L7" s="530"/>
      <c r="M7" s="530"/>
    </row>
    <row r="8" spans="1:15">
      <c r="A8" s="522">
        <v>7</v>
      </c>
      <c r="B8" s="523" t="s">
        <v>3325</v>
      </c>
      <c r="C8" s="524" t="s">
        <v>2785</v>
      </c>
      <c r="D8" s="524">
        <v>2.5</v>
      </c>
      <c r="E8" s="525"/>
      <c r="F8" s="526" t="s">
        <v>3346</v>
      </c>
      <c r="G8" s="536" t="s">
        <v>3347</v>
      </c>
      <c r="H8" s="528" t="s">
        <v>3341</v>
      </c>
      <c r="I8" s="528" t="s">
        <v>3333</v>
      </c>
      <c r="J8" s="528"/>
      <c r="K8" s="529"/>
      <c r="L8" s="530"/>
      <c r="M8" s="530"/>
    </row>
    <row r="9" spans="1:15">
      <c r="A9" s="522">
        <v>8</v>
      </c>
      <c r="B9" s="523" t="s">
        <v>3325</v>
      </c>
      <c r="C9" s="524" t="s">
        <v>2788</v>
      </c>
      <c r="D9" s="524">
        <v>1.5</v>
      </c>
      <c r="E9" s="525"/>
      <c r="F9" s="526" t="s">
        <v>3348</v>
      </c>
      <c r="G9" s="536" t="s">
        <v>3349</v>
      </c>
      <c r="H9" s="528" t="s">
        <v>3341</v>
      </c>
      <c r="I9" s="528" t="s">
        <v>3333</v>
      </c>
      <c r="J9" s="528"/>
      <c r="K9" s="529"/>
      <c r="L9" s="530"/>
      <c r="M9" s="530"/>
    </row>
    <row r="10" spans="1:15" ht="26.25" customHeight="1">
      <c r="A10" s="522">
        <v>9</v>
      </c>
      <c r="B10" s="523" t="s">
        <v>3325</v>
      </c>
      <c r="C10" s="524" t="s">
        <v>1952</v>
      </c>
      <c r="D10" s="537">
        <v>2.5</v>
      </c>
      <c r="E10" s="538" t="s">
        <v>3350</v>
      </c>
      <c r="F10" s="526" t="s">
        <v>9421</v>
      </c>
      <c r="G10" s="527" t="s">
        <v>3351</v>
      </c>
      <c r="H10" s="528" t="s">
        <v>3328</v>
      </c>
      <c r="I10" s="528" t="s">
        <v>3333</v>
      </c>
      <c r="J10" s="528"/>
      <c r="K10" s="529"/>
      <c r="L10" s="530"/>
      <c r="M10" s="530"/>
    </row>
    <row r="11" spans="1:15">
      <c r="A11" s="522">
        <v>10</v>
      </c>
      <c r="B11" s="523" t="s">
        <v>3325</v>
      </c>
      <c r="C11" s="524" t="s">
        <v>2793</v>
      </c>
      <c r="D11" s="524">
        <v>1.5</v>
      </c>
      <c r="E11" s="539"/>
      <c r="F11" s="526" t="s">
        <v>3352</v>
      </c>
      <c r="G11" s="527" t="s">
        <v>3353</v>
      </c>
      <c r="H11" s="528" t="s">
        <v>3328</v>
      </c>
      <c r="I11" s="528" t="s">
        <v>3333</v>
      </c>
      <c r="J11" s="528"/>
      <c r="K11" s="529"/>
      <c r="L11" s="530"/>
      <c r="M11" s="530"/>
    </row>
    <row r="12" spans="1:15" ht="17.25" customHeight="1">
      <c r="A12" s="522">
        <v>11</v>
      </c>
      <c r="B12" s="523" t="s">
        <v>3325</v>
      </c>
      <c r="C12" s="524" t="s">
        <v>2779</v>
      </c>
      <c r="D12" s="524">
        <v>1.5</v>
      </c>
      <c r="E12" s="525"/>
      <c r="F12" s="526" t="s">
        <v>3354</v>
      </c>
      <c r="G12" s="527" t="s">
        <v>3355</v>
      </c>
      <c r="H12" s="528" t="s">
        <v>3328</v>
      </c>
      <c r="I12" s="528" t="s">
        <v>3333</v>
      </c>
      <c r="J12" s="528"/>
      <c r="K12" s="529"/>
      <c r="L12" s="530"/>
      <c r="M12" s="530"/>
    </row>
    <row r="13" spans="1:15">
      <c r="A13" s="522">
        <v>12</v>
      </c>
      <c r="B13" s="523" t="s">
        <v>3325</v>
      </c>
      <c r="C13" s="524" t="s">
        <v>2211</v>
      </c>
      <c r="D13" s="524">
        <v>1.5</v>
      </c>
      <c r="E13" s="525"/>
      <c r="F13" s="534" t="s">
        <v>3356</v>
      </c>
      <c r="G13" s="527" t="s">
        <v>3357</v>
      </c>
      <c r="H13" s="528" t="s">
        <v>3328</v>
      </c>
      <c r="I13" s="528" t="s">
        <v>3329</v>
      </c>
      <c r="J13" s="528" t="s">
        <v>3337</v>
      </c>
      <c r="K13" s="529"/>
      <c r="L13" s="530"/>
      <c r="M13" s="530"/>
    </row>
    <row r="14" spans="1:15">
      <c r="A14" s="522">
        <v>13</v>
      </c>
      <c r="B14" s="523" t="s">
        <v>3325</v>
      </c>
      <c r="C14" s="524" t="s">
        <v>2782</v>
      </c>
      <c r="D14" s="524">
        <v>3.5</v>
      </c>
      <c r="E14" s="525"/>
      <c r="F14" s="534" t="s">
        <v>3358</v>
      </c>
      <c r="G14" s="527" t="s">
        <v>3359</v>
      </c>
      <c r="H14" s="528" t="s">
        <v>3328</v>
      </c>
      <c r="I14" s="528" t="s">
        <v>3329</v>
      </c>
      <c r="J14" s="528" t="s">
        <v>3337</v>
      </c>
      <c r="K14" s="529"/>
      <c r="L14" s="530"/>
      <c r="M14" s="530"/>
    </row>
    <row r="15" spans="1:15" ht="18" customHeight="1">
      <c r="A15" s="522">
        <v>14</v>
      </c>
      <c r="B15" s="523" t="s">
        <v>3325</v>
      </c>
      <c r="C15" s="524" t="s">
        <v>2783</v>
      </c>
      <c r="D15" s="524">
        <v>2.5</v>
      </c>
      <c r="E15" s="525"/>
      <c r="F15" s="526" t="s">
        <v>3360</v>
      </c>
      <c r="G15" s="527" t="s">
        <v>3361</v>
      </c>
      <c r="H15" s="528" t="s">
        <v>3328</v>
      </c>
      <c r="I15" s="528" t="s">
        <v>3333</v>
      </c>
      <c r="J15" s="528"/>
      <c r="K15" s="529"/>
      <c r="L15" s="530"/>
      <c r="M15" s="530"/>
    </row>
    <row r="16" spans="1:15">
      <c r="A16" s="522">
        <v>15</v>
      </c>
      <c r="B16" s="523" t="s">
        <v>3325</v>
      </c>
      <c r="C16" s="524" t="s">
        <v>2789</v>
      </c>
      <c r="D16" s="524">
        <v>3.5</v>
      </c>
      <c r="E16" s="525"/>
      <c r="F16" s="526" t="s">
        <v>3362</v>
      </c>
      <c r="G16" s="527" t="s">
        <v>3363</v>
      </c>
      <c r="H16" s="528" t="s">
        <v>3328</v>
      </c>
      <c r="I16" s="528" t="s">
        <v>3333</v>
      </c>
      <c r="J16" s="528"/>
      <c r="K16" s="529"/>
      <c r="L16" s="530"/>
      <c r="M16" s="530"/>
    </row>
    <row r="17" spans="1:13">
      <c r="A17" s="522">
        <v>16</v>
      </c>
      <c r="B17" s="523" t="s">
        <v>3325</v>
      </c>
      <c r="C17" s="524" t="s">
        <v>2778</v>
      </c>
      <c r="D17" s="524">
        <v>3.5</v>
      </c>
      <c r="E17" s="525"/>
      <c r="F17" s="526" t="s">
        <v>3364</v>
      </c>
      <c r="G17" s="527" t="s">
        <v>3365</v>
      </c>
      <c r="H17" s="528" t="s">
        <v>3328</v>
      </c>
      <c r="I17" s="528" t="s">
        <v>3333</v>
      </c>
      <c r="J17" s="528"/>
      <c r="K17" s="529"/>
      <c r="L17" s="530"/>
      <c r="M17" s="530"/>
    </row>
    <row r="18" spans="1:13">
      <c r="A18" s="522">
        <v>17</v>
      </c>
      <c r="B18" s="523" t="s">
        <v>3325</v>
      </c>
      <c r="C18" s="524" t="s">
        <v>1872</v>
      </c>
      <c r="D18" s="524">
        <v>0.5</v>
      </c>
      <c r="E18" s="525"/>
      <c r="F18" s="534" t="s">
        <v>3366</v>
      </c>
      <c r="G18" s="536" t="s">
        <v>3367</v>
      </c>
      <c r="H18" s="528" t="s">
        <v>3341</v>
      </c>
      <c r="I18" s="528" t="s">
        <v>3329</v>
      </c>
      <c r="J18" s="528" t="s">
        <v>3337</v>
      </c>
      <c r="K18" s="529"/>
      <c r="L18" s="530"/>
      <c r="M18" s="530"/>
    </row>
    <row r="19" spans="1:13">
      <c r="A19" s="522">
        <v>18</v>
      </c>
      <c r="B19" s="523" t="s">
        <v>3325</v>
      </c>
      <c r="C19" s="524" t="s">
        <v>2781</v>
      </c>
      <c r="D19" s="524">
        <v>2.5</v>
      </c>
      <c r="E19" s="525"/>
      <c r="F19" s="534" t="s">
        <v>3368</v>
      </c>
      <c r="G19" s="527" t="s">
        <v>3369</v>
      </c>
      <c r="H19" s="528" t="s">
        <v>3328</v>
      </c>
      <c r="I19" s="528" t="s">
        <v>3329</v>
      </c>
      <c r="J19" s="528" t="s">
        <v>3337</v>
      </c>
      <c r="K19" s="529"/>
      <c r="L19" s="530"/>
      <c r="M19" s="530"/>
    </row>
    <row r="20" spans="1:13">
      <c r="A20" s="522">
        <v>19</v>
      </c>
      <c r="B20" s="523" t="s">
        <v>3325</v>
      </c>
      <c r="C20" s="524" t="s">
        <v>2787</v>
      </c>
      <c r="D20" s="524">
        <v>1.5</v>
      </c>
      <c r="E20" s="525"/>
      <c r="F20" s="526" t="s">
        <v>3370</v>
      </c>
      <c r="G20" s="536" t="s">
        <v>3371</v>
      </c>
      <c r="H20" s="528" t="s">
        <v>3341</v>
      </c>
      <c r="I20" s="528" t="s">
        <v>3333</v>
      </c>
      <c r="J20" s="528"/>
      <c r="K20" s="529"/>
      <c r="L20" s="530"/>
      <c r="M20" s="530"/>
    </row>
    <row r="21" spans="1:13">
      <c r="A21" s="522">
        <v>20</v>
      </c>
      <c r="B21" s="523" t="s">
        <v>3325</v>
      </c>
      <c r="C21" s="524" t="s">
        <v>2792</v>
      </c>
      <c r="D21" s="524">
        <v>2.5</v>
      </c>
      <c r="E21" s="525"/>
      <c r="F21" s="526" t="s">
        <v>3372</v>
      </c>
      <c r="G21" s="527" t="s">
        <v>3373</v>
      </c>
      <c r="H21" s="528" t="s">
        <v>3328</v>
      </c>
      <c r="I21" s="528" t="s">
        <v>3333</v>
      </c>
      <c r="J21" s="528"/>
      <c r="K21" s="529"/>
      <c r="L21" s="530"/>
      <c r="M21" s="530"/>
    </row>
    <row r="22" spans="1:13">
      <c r="A22" s="522">
        <v>21</v>
      </c>
      <c r="B22" s="523" t="s">
        <v>3325</v>
      </c>
      <c r="C22" s="524" t="s">
        <v>2794</v>
      </c>
      <c r="D22" s="524">
        <v>3.5</v>
      </c>
      <c r="E22" s="525"/>
      <c r="F22" s="526" t="s">
        <v>3374</v>
      </c>
      <c r="G22" s="536" t="s">
        <v>3375</v>
      </c>
      <c r="H22" s="528" t="s">
        <v>3341</v>
      </c>
      <c r="I22" s="528" t="s">
        <v>3333</v>
      </c>
      <c r="J22" s="528"/>
      <c r="K22" s="529"/>
      <c r="L22" s="530"/>
      <c r="M22" s="530"/>
    </row>
    <row r="23" spans="1:13" ht="27" customHeight="1">
      <c r="A23" s="522">
        <v>22</v>
      </c>
      <c r="B23" s="523" t="s">
        <v>3325</v>
      </c>
      <c r="C23" s="524" t="s">
        <v>1954</v>
      </c>
      <c r="D23" s="524">
        <v>2.5</v>
      </c>
      <c r="E23" s="538" t="s">
        <v>3350</v>
      </c>
      <c r="F23" s="526" t="s">
        <v>3376</v>
      </c>
      <c r="G23" s="527" t="s">
        <v>3377</v>
      </c>
      <c r="H23" s="528" t="s">
        <v>3328</v>
      </c>
      <c r="I23" s="528" t="s">
        <v>3333</v>
      </c>
      <c r="J23" s="528"/>
      <c r="K23" s="529"/>
      <c r="L23" s="530"/>
      <c r="M23" s="530"/>
    </row>
    <row r="24" spans="1:13">
      <c r="A24" s="522">
        <v>23</v>
      </c>
      <c r="B24" s="523" t="s">
        <v>3325</v>
      </c>
      <c r="C24" s="524" t="s">
        <v>2221</v>
      </c>
      <c r="D24" s="524">
        <v>2.5</v>
      </c>
      <c r="E24" s="525"/>
      <c r="F24" s="526" t="s">
        <v>3378</v>
      </c>
      <c r="G24" s="527" t="s">
        <v>3379</v>
      </c>
      <c r="H24" s="528" t="s">
        <v>3328</v>
      </c>
      <c r="I24" s="528" t="s">
        <v>3333</v>
      </c>
      <c r="J24" s="528"/>
      <c r="K24" s="529"/>
      <c r="L24" s="530"/>
      <c r="M24" s="530"/>
    </row>
    <row r="25" spans="1:13">
      <c r="A25" s="522">
        <v>24</v>
      </c>
      <c r="B25" s="523" t="s">
        <v>3325</v>
      </c>
      <c r="C25" s="524" t="s">
        <v>2222</v>
      </c>
      <c r="D25" s="524">
        <v>0.5</v>
      </c>
      <c r="E25" s="525"/>
      <c r="F25" s="526" t="s">
        <v>3380</v>
      </c>
      <c r="G25" s="527" t="s">
        <v>3381</v>
      </c>
      <c r="H25" s="528" t="s">
        <v>3328</v>
      </c>
      <c r="I25" s="528" t="s">
        <v>3333</v>
      </c>
      <c r="J25" s="528"/>
      <c r="K25" s="529"/>
      <c r="L25" s="530"/>
      <c r="M25" s="530"/>
    </row>
    <row r="26" spans="1:13">
      <c r="A26" s="522">
        <v>25</v>
      </c>
      <c r="B26" s="523" t="s">
        <v>3325</v>
      </c>
      <c r="C26" s="524" t="s">
        <v>1955</v>
      </c>
      <c r="D26" s="524">
        <v>0</v>
      </c>
      <c r="E26" s="525"/>
      <c r="F26" s="534" t="s">
        <v>3382</v>
      </c>
      <c r="G26" s="527" t="s">
        <v>3383</v>
      </c>
      <c r="H26" s="528" t="s">
        <v>3328</v>
      </c>
      <c r="I26" s="528" t="s">
        <v>3329</v>
      </c>
      <c r="J26" s="528" t="s">
        <v>3337</v>
      </c>
      <c r="K26" s="529"/>
      <c r="L26" s="530"/>
      <c r="M26" s="530"/>
    </row>
    <row r="27" spans="1:13">
      <c r="A27" s="522">
        <v>26</v>
      </c>
      <c r="B27" s="523" t="s">
        <v>3325</v>
      </c>
      <c r="C27" s="524" t="s">
        <v>2224</v>
      </c>
      <c r="D27" s="524">
        <v>4.5</v>
      </c>
      <c r="E27" s="525"/>
      <c r="F27" s="526" t="s">
        <v>3384</v>
      </c>
      <c r="G27" s="527" t="s">
        <v>3385</v>
      </c>
      <c r="H27" s="528" t="s">
        <v>3328</v>
      </c>
      <c r="I27" s="528" t="s">
        <v>3333</v>
      </c>
      <c r="J27" s="528"/>
      <c r="K27" s="529"/>
      <c r="L27" s="530"/>
      <c r="M27" s="530"/>
    </row>
    <row r="28" spans="1:13">
      <c r="A28" s="522">
        <v>27</v>
      </c>
      <c r="B28" s="523" t="s">
        <v>3325</v>
      </c>
      <c r="C28" s="524" t="s">
        <v>2225</v>
      </c>
      <c r="D28" s="524">
        <v>2.5</v>
      </c>
      <c r="E28" s="525"/>
      <c r="F28" s="526" t="s">
        <v>3386</v>
      </c>
      <c r="G28" s="536" t="s">
        <v>3387</v>
      </c>
      <c r="H28" s="528" t="s">
        <v>3341</v>
      </c>
      <c r="I28" s="528" t="s">
        <v>3333</v>
      </c>
      <c r="J28" s="528"/>
      <c r="K28" s="529"/>
      <c r="L28" s="530"/>
      <c r="M28" s="530"/>
    </row>
    <row r="29" spans="1:13">
      <c r="A29" s="522">
        <v>28</v>
      </c>
      <c r="B29" s="523" t="s">
        <v>3325</v>
      </c>
      <c r="C29" s="524" t="s">
        <v>2226</v>
      </c>
      <c r="D29" s="524">
        <v>1.5</v>
      </c>
      <c r="E29" s="525"/>
      <c r="F29" s="526" t="s">
        <v>3388</v>
      </c>
      <c r="G29" s="527" t="s">
        <v>3389</v>
      </c>
      <c r="H29" s="528" t="s">
        <v>3328</v>
      </c>
      <c r="I29" s="528" t="s">
        <v>3333</v>
      </c>
      <c r="J29" s="528"/>
      <c r="K29" s="529"/>
      <c r="L29" s="530"/>
      <c r="M29" s="530"/>
    </row>
    <row r="30" spans="1:13">
      <c r="A30" s="522">
        <v>29</v>
      </c>
      <c r="B30" s="523" t="s">
        <v>3325</v>
      </c>
      <c r="C30" s="524" t="s">
        <v>2227</v>
      </c>
      <c r="D30" s="524">
        <v>2.5</v>
      </c>
      <c r="E30" s="525"/>
      <c r="F30" s="526" t="s">
        <v>3390</v>
      </c>
      <c r="G30" s="527" t="s">
        <v>3391</v>
      </c>
      <c r="H30" s="528" t="s">
        <v>3328</v>
      </c>
      <c r="I30" s="528" t="s">
        <v>3333</v>
      </c>
      <c r="J30" s="528"/>
      <c r="K30" s="529"/>
      <c r="L30" s="530"/>
      <c r="M30" s="530"/>
    </row>
    <row r="31" spans="1:13">
      <c r="A31" s="522">
        <v>30</v>
      </c>
      <c r="B31" s="523" t="s">
        <v>3325</v>
      </c>
      <c r="C31" s="524" t="s">
        <v>2228</v>
      </c>
      <c r="D31" s="524">
        <v>4.5</v>
      </c>
      <c r="E31" s="525"/>
      <c r="F31" s="526" t="s">
        <v>3392</v>
      </c>
      <c r="G31" s="527" t="s">
        <v>3393</v>
      </c>
      <c r="H31" s="528" t="s">
        <v>3328</v>
      </c>
      <c r="I31" s="528" t="s">
        <v>3333</v>
      </c>
      <c r="J31" s="528"/>
      <c r="K31" s="529"/>
      <c r="L31" s="530"/>
      <c r="M31" s="530"/>
    </row>
    <row r="32" spans="1:13">
      <c r="A32" s="522">
        <v>31</v>
      </c>
      <c r="B32" s="540" t="s">
        <v>3394</v>
      </c>
      <c r="C32" s="524" t="s">
        <v>2795</v>
      </c>
      <c r="D32" s="524">
        <v>2.5</v>
      </c>
      <c r="E32" s="525"/>
      <c r="F32" s="526" t="s">
        <v>3395</v>
      </c>
      <c r="G32" s="536" t="s">
        <v>3396</v>
      </c>
      <c r="H32" s="528" t="s">
        <v>3341</v>
      </c>
      <c r="I32" s="528" t="s">
        <v>3333</v>
      </c>
      <c r="J32" s="528"/>
      <c r="K32" s="529"/>
      <c r="L32" s="530"/>
      <c r="M32" s="530"/>
    </row>
    <row r="33" spans="1:13">
      <c r="A33" s="522">
        <v>32</v>
      </c>
      <c r="B33" s="540" t="s">
        <v>3394</v>
      </c>
      <c r="C33" s="524" t="s">
        <v>2796</v>
      </c>
      <c r="D33" s="524">
        <v>1.5</v>
      </c>
      <c r="E33" s="525"/>
      <c r="F33" s="526" t="s">
        <v>3397</v>
      </c>
      <c r="G33" s="527" t="s">
        <v>3398</v>
      </c>
      <c r="H33" s="528" t="s">
        <v>3328</v>
      </c>
      <c r="I33" s="528" t="s">
        <v>3333</v>
      </c>
      <c r="J33" s="528"/>
      <c r="K33" s="529"/>
      <c r="L33" s="530"/>
      <c r="M33" s="530"/>
    </row>
    <row r="34" spans="1:13">
      <c r="A34" s="522">
        <v>33</v>
      </c>
      <c r="B34" s="540" t="s">
        <v>3394</v>
      </c>
      <c r="C34" s="524" t="s">
        <v>2802</v>
      </c>
      <c r="D34" s="524">
        <v>4.5</v>
      </c>
      <c r="E34" s="525"/>
      <c r="F34" s="526" t="s">
        <v>3399</v>
      </c>
      <c r="G34" s="536" t="s">
        <v>3400</v>
      </c>
      <c r="H34" s="528" t="s">
        <v>3341</v>
      </c>
      <c r="I34" s="528" t="s">
        <v>3333</v>
      </c>
      <c r="J34" s="528"/>
      <c r="K34" s="529"/>
      <c r="L34" s="530"/>
      <c r="M34" s="530"/>
    </row>
    <row r="35" spans="1:13">
      <c r="A35" s="522">
        <v>34</v>
      </c>
      <c r="B35" s="540" t="s">
        <v>3394</v>
      </c>
      <c r="C35" s="524" t="s">
        <v>2233</v>
      </c>
      <c r="D35" s="524">
        <v>4.5</v>
      </c>
      <c r="E35" s="525"/>
      <c r="F35" s="526" t="s">
        <v>3401</v>
      </c>
      <c r="G35" s="536" t="s">
        <v>3402</v>
      </c>
      <c r="H35" s="528" t="s">
        <v>3341</v>
      </c>
      <c r="I35" s="528" t="s">
        <v>3333</v>
      </c>
      <c r="J35" s="528"/>
      <c r="K35" s="529"/>
      <c r="L35" s="530"/>
      <c r="M35" s="530"/>
    </row>
    <row r="36" spans="1:13">
      <c r="A36" s="522">
        <v>35</v>
      </c>
      <c r="B36" s="540" t="s">
        <v>3394</v>
      </c>
      <c r="C36" s="524" t="s">
        <v>2798</v>
      </c>
      <c r="D36" s="524">
        <v>1</v>
      </c>
      <c r="E36" s="525"/>
      <c r="F36" s="526" t="s">
        <v>3403</v>
      </c>
      <c r="G36" s="536" t="s">
        <v>3404</v>
      </c>
      <c r="H36" s="528" t="s">
        <v>3341</v>
      </c>
      <c r="I36" s="528" t="s">
        <v>3333</v>
      </c>
      <c r="J36" s="528"/>
      <c r="K36" s="529"/>
      <c r="L36" s="530"/>
      <c r="M36" s="530"/>
    </row>
    <row r="37" spans="1:13" ht="31.5">
      <c r="A37" s="522">
        <v>36</v>
      </c>
      <c r="B37" s="540" t="s">
        <v>3394</v>
      </c>
      <c r="C37" s="524" t="s">
        <v>2236</v>
      </c>
      <c r="D37" s="524">
        <v>4.5</v>
      </c>
      <c r="E37" s="541" t="s">
        <v>3405</v>
      </c>
      <c r="F37" s="526" t="s">
        <v>3406</v>
      </c>
      <c r="G37" s="527" t="s">
        <v>3407</v>
      </c>
      <c r="H37" s="528" t="s">
        <v>3341</v>
      </c>
      <c r="I37" s="528" t="s">
        <v>3333</v>
      </c>
      <c r="J37" s="528"/>
      <c r="K37" s="529"/>
      <c r="L37" s="530"/>
      <c r="M37" s="530"/>
    </row>
    <row r="38" spans="1:13">
      <c r="A38" s="522">
        <v>37</v>
      </c>
      <c r="B38" s="540" t="s">
        <v>3394</v>
      </c>
      <c r="C38" s="524" t="s">
        <v>2800</v>
      </c>
      <c r="D38" s="524">
        <v>1.5</v>
      </c>
      <c r="E38" s="525"/>
      <c r="F38" s="526" t="s">
        <v>3408</v>
      </c>
      <c r="G38" s="527" t="s">
        <v>3409</v>
      </c>
      <c r="H38" s="528" t="s">
        <v>3328</v>
      </c>
      <c r="I38" s="528" t="s">
        <v>3333</v>
      </c>
      <c r="J38" s="528"/>
      <c r="K38" s="529"/>
      <c r="L38" s="530"/>
      <c r="M38" s="530"/>
    </row>
    <row r="39" spans="1:13">
      <c r="A39" s="522">
        <v>38</v>
      </c>
      <c r="B39" s="540" t="s">
        <v>3394</v>
      </c>
      <c r="C39" s="524" t="s">
        <v>2237</v>
      </c>
      <c r="D39" s="524">
        <v>3.5</v>
      </c>
      <c r="E39" s="525"/>
      <c r="F39" s="526" t="s">
        <v>3410</v>
      </c>
      <c r="G39" s="527" t="s">
        <v>3411</v>
      </c>
      <c r="H39" s="528" t="s">
        <v>3328</v>
      </c>
      <c r="I39" s="528" t="s">
        <v>3333</v>
      </c>
      <c r="J39" s="528"/>
      <c r="K39" s="529"/>
      <c r="L39" s="530"/>
      <c r="M39" s="530"/>
    </row>
    <row r="40" spans="1:13">
      <c r="A40" s="522">
        <v>39</v>
      </c>
      <c r="B40" s="540" t="s">
        <v>3394</v>
      </c>
      <c r="C40" s="524" t="s">
        <v>2804</v>
      </c>
      <c r="D40" s="524">
        <v>2.5</v>
      </c>
      <c r="E40" s="525"/>
      <c r="F40" s="526" t="s">
        <v>3412</v>
      </c>
      <c r="G40" s="536" t="s">
        <v>3413</v>
      </c>
      <c r="H40" s="528" t="s">
        <v>3341</v>
      </c>
      <c r="I40" s="528" t="s">
        <v>3333</v>
      </c>
      <c r="J40" s="528"/>
      <c r="K40" s="529"/>
      <c r="L40" s="530"/>
      <c r="M40" s="530"/>
    </row>
    <row r="41" spans="1:13">
      <c r="A41" s="522">
        <v>40</v>
      </c>
      <c r="B41" s="540" t="s">
        <v>3394</v>
      </c>
      <c r="C41" s="524" t="s">
        <v>2797</v>
      </c>
      <c r="D41" s="524">
        <v>1.5</v>
      </c>
      <c r="E41" s="525"/>
      <c r="F41" s="526" t="s">
        <v>5536</v>
      </c>
      <c r="G41" s="527" t="s">
        <v>3414</v>
      </c>
      <c r="H41" s="528" t="s">
        <v>3328</v>
      </c>
      <c r="I41" s="528" t="s">
        <v>3333</v>
      </c>
      <c r="J41" s="528"/>
      <c r="K41" s="529"/>
      <c r="L41" s="530"/>
      <c r="M41" s="530"/>
    </row>
    <row r="42" spans="1:13">
      <c r="A42" s="522">
        <v>41</v>
      </c>
      <c r="B42" s="540" t="s">
        <v>3394</v>
      </c>
      <c r="C42" s="524" t="s">
        <v>2799</v>
      </c>
      <c r="D42" s="524">
        <v>2.5</v>
      </c>
      <c r="E42" s="525"/>
      <c r="F42" s="526" t="s">
        <v>5537</v>
      </c>
      <c r="G42" s="527" t="s">
        <v>3415</v>
      </c>
      <c r="H42" s="528" t="s">
        <v>3328</v>
      </c>
      <c r="I42" s="528" t="s">
        <v>3333</v>
      </c>
      <c r="J42" s="528"/>
      <c r="K42" s="529"/>
      <c r="L42" s="530"/>
      <c r="M42" s="530"/>
    </row>
    <row r="43" spans="1:13">
      <c r="A43" s="522">
        <v>42</v>
      </c>
      <c r="B43" s="540" t="s">
        <v>3394</v>
      </c>
      <c r="C43" s="524" t="s">
        <v>2801</v>
      </c>
      <c r="D43" s="524">
        <v>3.5</v>
      </c>
      <c r="E43" s="525"/>
      <c r="F43" s="526" t="s">
        <v>3416</v>
      </c>
      <c r="G43" s="536" t="s">
        <v>3417</v>
      </c>
      <c r="H43" s="528" t="s">
        <v>3341</v>
      </c>
      <c r="I43" s="528" t="s">
        <v>3333</v>
      </c>
      <c r="J43" s="528"/>
      <c r="K43" s="529"/>
      <c r="L43" s="530"/>
      <c r="M43" s="530"/>
    </row>
    <row r="44" spans="1:13">
      <c r="A44" s="522">
        <v>43</v>
      </c>
      <c r="B44" s="540" t="s">
        <v>3394</v>
      </c>
      <c r="C44" s="524" t="s">
        <v>2803</v>
      </c>
      <c r="D44" s="524">
        <v>2.5</v>
      </c>
      <c r="E44" s="525"/>
      <c r="F44" s="526" t="s">
        <v>3418</v>
      </c>
      <c r="G44" s="536" t="s">
        <v>3419</v>
      </c>
      <c r="H44" s="528" t="s">
        <v>3341</v>
      </c>
      <c r="I44" s="528" t="s">
        <v>3333</v>
      </c>
      <c r="J44" s="528"/>
      <c r="K44" s="529"/>
      <c r="L44" s="530"/>
      <c r="M44" s="530"/>
    </row>
    <row r="45" spans="1:13">
      <c r="A45" s="522">
        <v>44</v>
      </c>
      <c r="B45" s="540" t="s">
        <v>3394</v>
      </c>
      <c r="C45" s="524" t="s">
        <v>2805</v>
      </c>
      <c r="D45" s="524">
        <v>1.5</v>
      </c>
      <c r="E45" s="525"/>
      <c r="F45" s="526" t="s">
        <v>3420</v>
      </c>
      <c r="G45" s="536" t="s">
        <v>3421</v>
      </c>
      <c r="H45" s="528" t="s">
        <v>3341</v>
      </c>
      <c r="I45" s="528" t="s">
        <v>3333</v>
      </c>
      <c r="J45" s="528"/>
      <c r="K45" s="529"/>
      <c r="L45" s="530"/>
      <c r="M45" s="530"/>
    </row>
    <row r="46" spans="1:13">
      <c r="A46" s="522">
        <v>45</v>
      </c>
      <c r="B46" s="542" t="s">
        <v>3422</v>
      </c>
      <c r="C46" s="524" t="s">
        <v>2806</v>
      </c>
      <c r="D46" s="524">
        <v>2.5</v>
      </c>
      <c r="E46" s="525"/>
      <c r="F46" s="526" t="s">
        <v>3423</v>
      </c>
      <c r="G46" s="527" t="s">
        <v>3424</v>
      </c>
      <c r="H46" s="528" t="s">
        <v>3328</v>
      </c>
      <c r="I46" s="528" t="s">
        <v>3333</v>
      </c>
      <c r="J46" s="528"/>
      <c r="K46" s="529"/>
      <c r="L46" s="530"/>
      <c r="M46" s="530"/>
    </row>
    <row r="47" spans="1:13">
      <c r="A47" s="522">
        <v>46</v>
      </c>
      <c r="B47" s="542" t="s">
        <v>3422</v>
      </c>
      <c r="C47" s="524" t="s">
        <v>2809</v>
      </c>
      <c r="D47" s="524">
        <v>1.5</v>
      </c>
      <c r="E47" s="525"/>
      <c r="F47" s="526" t="s">
        <v>3425</v>
      </c>
      <c r="G47" s="536" t="s">
        <v>3426</v>
      </c>
      <c r="H47" s="528" t="s">
        <v>3341</v>
      </c>
      <c r="I47" s="528" t="s">
        <v>3333</v>
      </c>
      <c r="J47" s="528"/>
      <c r="K47" s="529"/>
      <c r="L47" s="530"/>
      <c r="M47" s="530"/>
    </row>
    <row r="48" spans="1:13">
      <c r="A48" s="522">
        <v>47</v>
      </c>
      <c r="B48" s="542" t="s">
        <v>3422</v>
      </c>
      <c r="C48" s="524" t="s">
        <v>2811</v>
      </c>
      <c r="D48" s="524">
        <v>1.5</v>
      </c>
      <c r="E48" s="525"/>
      <c r="F48" s="526" t="s">
        <v>3427</v>
      </c>
      <c r="G48" s="527" t="s">
        <v>3428</v>
      </c>
      <c r="H48" s="528" t="s">
        <v>3328</v>
      </c>
      <c r="I48" s="528" t="s">
        <v>3333</v>
      </c>
      <c r="J48" s="528"/>
      <c r="K48" s="529"/>
      <c r="L48" s="530"/>
      <c r="M48" s="530"/>
    </row>
    <row r="49" spans="1:13">
      <c r="A49" s="522">
        <v>48</v>
      </c>
      <c r="B49" s="542" t="s">
        <v>3422</v>
      </c>
      <c r="C49" s="524" t="s">
        <v>2813</v>
      </c>
      <c r="D49" s="524">
        <v>2.5</v>
      </c>
      <c r="E49" s="525"/>
      <c r="F49" s="526" t="s">
        <v>3429</v>
      </c>
      <c r="G49" s="536" t="s">
        <v>3430</v>
      </c>
      <c r="H49" s="528" t="s">
        <v>3341</v>
      </c>
      <c r="I49" s="528" t="s">
        <v>3333</v>
      </c>
      <c r="J49" s="528"/>
      <c r="K49" s="529"/>
      <c r="L49" s="530"/>
      <c r="M49" s="530"/>
    </row>
    <row r="50" spans="1:13">
      <c r="A50" s="522">
        <v>49</v>
      </c>
      <c r="B50" s="542" t="s">
        <v>3422</v>
      </c>
      <c r="C50" s="524" t="s">
        <v>2815</v>
      </c>
      <c r="D50" s="524">
        <v>6.5</v>
      </c>
      <c r="E50" s="525"/>
      <c r="F50" s="526" t="s">
        <v>3431</v>
      </c>
      <c r="G50" s="527" t="s">
        <v>3432</v>
      </c>
      <c r="H50" s="528" t="s">
        <v>3328</v>
      </c>
      <c r="I50" s="528" t="s">
        <v>3333</v>
      </c>
      <c r="J50" s="528"/>
      <c r="K50" s="529"/>
      <c r="L50" s="530"/>
      <c r="M50" s="530"/>
    </row>
    <row r="51" spans="1:13">
      <c r="A51" s="522">
        <v>50</v>
      </c>
      <c r="B51" s="542" t="s">
        <v>3422</v>
      </c>
      <c r="C51" s="524" t="s">
        <v>2807</v>
      </c>
      <c r="D51" s="524">
        <v>4.5</v>
      </c>
      <c r="E51" s="525"/>
      <c r="F51" s="526" t="s">
        <v>3433</v>
      </c>
      <c r="G51" s="536" t="s">
        <v>3434</v>
      </c>
      <c r="H51" s="528" t="s">
        <v>3341</v>
      </c>
      <c r="I51" s="528" t="s">
        <v>3333</v>
      </c>
      <c r="J51" s="528"/>
      <c r="K51" s="529"/>
      <c r="L51" s="530"/>
      <c r="M51" s="530"/>
    </row>
    <row r="52" spans="1:13">
      <c r="A52" s="522">
        <v>51</v>
      </c>
      <c r="B52" s="542" t="s">
        <v>3422</v>
      </c>
      <c r="C52" s="524" t="s">
        <v>2810</v>
      </c>
      <c r="D52" s="524">
        <v>2.5</v>
      </c>
      <c r="E52" s="543"/>
      <c r="F52" s="526" t="s">
        <v>3435</v>
      </c>
      <c r="G52" s="536" t="s">
        <v>3436</v>
      </c>
      <c r="H52" s="528" t="s">
        <v>3341</v>
      </c>
      <c r="I52" s="528" t="s">
        <v>3333</v>
      </c>
      <c r="J52" s="528"/>
      <c r="K52" s="529"/>
      <c r="L52" s="530"/>
      <c r="M52" s="530"/>
    </row>
    <row r="53" spans="1:13">
      <c r="A53" s="522">
        <v>52</v>
      </c>
      <c r="B53" s="542" t="s">
        <v>3422</v>
      </c>
      <c r="C53" s="524" t="s">
        <v>2259</v>
      </c>
      <c r="D53" s="524">
        <v>2.5</v>
      </c>
      <c r="E53" s="525"/>
      <c r="F53" s="534" t="s">
        <v>3437</v>
      </c>
      <c r="G53" s="527" t="s">
        <v>3438</v>
      </c>
      <c r="H53" s="528" t="s">
        <v>3328</v>
      </c>
      <c r="I53" s="528" t="s">
        <v>3329</v>
      </c>
      <c r="J53" s="528"/>
      <c r="K53" s="529"/>
      <c r="L53" s="530"/>
      <c r="M53" s="530"/>
    </row>
    <row r="54" spans="1:13">
      <c r="A54" s="522">
        <v>53</v>
      </c>
      <c r="B54" s="542" t="s">
        <v>3422</v>
      </c>
      <c r="C54" s="524" t="s">
        <v>2814</v>
      </c>
      <c r="D54" s="524">
        <v>2.5</v>
      </c>
      <c r="E54" s="525"/>
      <c r="F54" s="534" t="s">
        <v>3439</v>
      </c>
      <c r="G54" s="527" t="s">
        <v>3440</v>
      </c>
      <c r="H54" s="528" t="s">
        <v>3328</v>
      </c>
      <c r="I54" s="528" t="s">
        <v>3329</v>
      </c>
      <c r="J54" s="528"/>
      <c r="K54" s="529"/>
      <c r="L54" s="530"/>
      <c r="M54" s="530"/>
    </row>
    <row r="55" spans="1:13">
      <c r="A55" s="522">
        <v>54</v>
      </c>
      <c r="B55" s="542" t="s">
        <v>3422</v>
      </c>
      <c r="C55" s="524" t="s">
        <v>2255</v>
      </c>
      <c r="D55" s="524">
        <v>1.5</v>
      </c>
      <c r="E55" s="525"/>
      <c r="F55" s="534" t="s">
        <v>3441</v>
      </c>
      <c r="G55" s="527" t="s">
        <v>3442</v>
      </c>
      <c r="H55" s="528" t="s">
        <v>3328</v>
      </c>
      <c r="I55" s="528" t="s">
        <v>3329</v>
      </c>
      <c r="J55" s="528"/>
      <c r="K55" s="529"/>
      <c r="L55" s="530"/>
      <c r="M55" s="530"/>
    </row>
    <row r="56" spans="1:13">
      <c r="A56" s="522">
        <v>55</v>
      </c>
      <c r="B56" s="542" t="s">
        <v>3422</v>
      </c>
      <c r="C56" s="524" t="s">
        <v>2808</v>
      </c>
      <c r="D56" s="524">
        <v>2.5</v>
      </c>
      <c r="E56" s="525"/>
      <c r="F56" s="534" t="s">
        <v>3443</v>
      </c>
      <c r="G56" s="536" t="s">
        <v>3444</v>
      </c>
      <c r="H56" s="528" t="s">
        <v>3341</v>
      </c>
      <c r="I56" s="528" t="s">
        <v>3329</v>
      </c>
      <c r="J56" s="528"/>
      <c r="K56" s="529"/>
      <c r="L56" s="530"/>
      <c r="M56" s="530"/>
    </row>
    <row r="57" spans="1:13">
      <c r="A57" s="522">
        <v>56</v>
      </c>
      <c r="B57" s="542" t="s">
        <v>3422</v>
      </c>
      <c r="C57" s="524" t="s">
        <v>2812</v>
      </c>
      <c r="D57" s="524">
        <v>2.5</v>
      </c>
      <c r="E57" s="525"/>
      <c r="F57" s="526" t="s">
        <v>3445</v>
      </c>
      <c r="G57" s="536" t="s">
        <v>3446</v>
      </c>
      <c r="H57" s="528" t="s">
        <v>3341</v>
      </c>
      <c r="I57" s="528" t="s">
        <v>3333</v>
      </c>
      <c r="J57" s="528"/>
      <c r="K57" s="529"/>
      <c r="L57" s="530"/>
      <c r="M57" s="530"/>
    </row>
    <row r="58" spans="1:13">
      <c r="A58" s="522">
        <v>57</v>
      </c>
      <c r="B58" s="542" t="s">
        <v>3422</v>
      </c>
      <c r="C58" s="524" t="s">
        <v>1958</v>
      </c>
      <c r="D58" s="524">
        <v>0.5</v>
      </c>
      <c r="E58" s="525"/>
      <c r="F58" s="526" t="s">
        <v>3447</v>
      </c>
      <c r="G58" s="536" t="s">
        <v>3448</v>
      </c>
      <c r="H58" s="528" t="s">
        <v>3341</v>
      </c>
      <c r="I58" s="528" t="s">
        <v>3333</v>
      </c>
      <c r="J58" s="528"/>
      <c r="K58" s="529"/>
      <c r="L58" s="530"/>
      <c r="M58" s="530"/>
    </row>
    <row r="59" spans="1:13">
      <c r="A59" s="522">
        <v>58</v>
      </c>
      <c r="B59" s="544" t="s">
        <v>3449</v>
      </c>
      <c r="C59" s="524" t="s">
        <v>2817</v>
      </c>
      <c r="D59" s="524">
        <v>1.5</v>
      </c>
      <c r="E59" s="525"/>
      <c r="F59" s="526" t="s">
        <v>3450</v>
      </c>
      <c r="G59" s="536" t="s">
        <v>3451</v>
      </c>
      <c r="H59" s="528" t="s">
        <v>3341</v>
      </c>
      <c r="I59" s="528" t="s">
        <v>3333</v>
      </c>
      <c r="J59" s="528"/>
      <c r="K59" s="529"/>
      <c r="L59" s="530"/>
      <c r="M59" s="530"/>
    </row>
    <row r="60" spans="1:13">
      <c r="A60" s="522">
        <v>59</v>
      </c>
      <c r="B60" s="544" t="s">
        <v>3449</v>
      </c>
      <c r="C60" s="524" t="s">
        <v>2270</v>
      </c>
      <c r="D60" s="524">
        <v>2.5</v>
      </c>
      <c r="E60" s="525"/>
      <c r="F60" s="526" t="s">
        <v>3452</v>
      </c>
      <c r="G60" s="536" t="s">
        <v>3453</v>
      </c>
      <c r="H60" s="528" t="s">
        <v>3341</v>
      </c>
      <c r="I60" s="528" t="s">
        <v>3333</v>
      </c>
      <c r="J60" s="528"/>
      <c r="K60" s="529"/>
      <c r="L60" s="530"/>
      <c r="M60" s="530"/>
    </row>
    <row r="61" spans="1:13">
      <c r="A61" s="522">
        <v>60</v>
      </c>
      <c r="B61" s="544" t="s">
        <v>3449</v>
      </c>
      <c r="C61" s="524" t="s">
        <v>2819</v>
      </c>
      <c r="D61" s="524">
        <v>1.5</v>
      </c>
      <c r="E61" s="525"/>
      <c r="F61" s="526" t="s">
        <v>3454</v>
      </c>
      <c r="G61" s="536" t="s">
        <v>3455</v>
      </c>
      <c r="H61" s="528" t="s">
        <v>3341</v>
      </c>
      <c r="I61" s="528" t="s">
        <v>3333</v>
      </c>
      <c r="J61" s="528"/>
      <c r="K61" s="529"/>
      <c r="L61" s="530"/>
      <c r="M61" s="530"/>
    </row>
    <row r="62" spans="1:13">
      <c r="A62" s="522">
        <v>61</v>
      </c>
      <c r="B62" s="544" t="s">
        <v>3449</v>
      </c>
      <c r="C62" s="524" t="s">
        <v>2266</v>
      </c>
      <c r="D62" s="524">
        <v>4.5</v>
      </c>
      <c r="E62" s="545"/>
      <c r="F62" s="534" t="s">
        <v>3456</v>
      </c>
      <c r="G62" s="536" t="s">
        <v>3457</v>
      </c>
      <c r="H62" s="528" t="s">
        <v>3341</v>
      </c>
      <c r="I62" s="528" t="s">
        <v>3329</v>
      </c>
      <c r="J62" s="528"/>
      <c r="K62" s="529"/>
      <c r="L62" s="530"/>
      <c r="M62" s="530"/>
    </row>
    <row r="63" spans="1:13">
      <c r="A63" s="522">
        <v>62</v>
      </c>
      <c r="B63" s="544" t="s">
        <v>3449</v>
      </c>
      <c r="C63" s="524" t="s">
        <v>2821</v>
      </c>
      <c r="D63" s="524">
        <v>7.5</v>
      </c>
      <c r="E63" s="525"/>
      <c r="F63" s="526" t="s">
        <v>3458</v>
      </c>
      <c r="G63" s="536" t="s">
        <v>3459</v>
      </c>
      <c r="H63" s="528" t="s">
        <v>3341</v>
      </c>
      <c r="I63" s="528" t="s">
        <v>3333</v>
      </c>
      <c r="J63" s="528"/>
      <c r="K63" s="529"/>
      <c r="L63" s="530"/>
      <c r="M63" s="530"/>
    </row>
    <row r="64" spans="1:13">
      <c r="A64" s="522">
        <v>63</v>
      </c>
      <c r="B64" s="544" t="s">
        <v>3449</v>
      </c>
      <c r="C64" s="524" t="s">
        <v>2816</v>
      </c>
      <c r="D64" s="524">
        <v>2.5</v>
      </c>
      <c r="E64" s="525"/>
      <c r="F64" s="526" t="s">
        <v>3460</v>
      </c>
      <c r="G64" s="536" t="s">
        <v>3461</v>
      </c>
      <c r="H64" s="528" t="s">
        <v>3341</v>
      </c>
      <c r="I64" s="528" t="s">
        <v>3333</v>
      </c>
      <c r="J64" s="528"/>
      <c r="K64" s="529"/>
      <c r="L64" s="530"/>
      <c r="M64" s="530"/>
    </row>
    <row r="65" spans="1:13">
      <c r="A65" s="522">
        <v>64</v>
      </c>
      <c r="B65" s="544" t="s">
        <v>3449</v>
      </c>
      <c r="C65" s="524" t="s">
        <v>2818</v>
      </c>
      <c r="D65" s="524">
        <v>2.5</v>
      </c>
      <c r="E65" s="525"/>
      <c r="F65" s="526" t="s">
        <v>3462</v>
      </c>
      <c r="G65" s="536" t="s">
        <v>3463</v>
      </c>
      <c r="H65" s="528" t="s">
        <v>3341</v>
      </c>
      <c r="I65" s="528" t="s">
        <v>3333</v>
      </c>
      <c r="J65" s="528"/>
      <c r="K65" s="529"/>
      <c r="L65" s="530"/>
      <c r="M65" s="530"/>
    </row>
    <row r="66" spans="1:13">
      <c r="A66" s="522">
        <v>65</v>
      </c>
      <c r="B66" s="544" t="s">
        <v>3449</v>
      </c>
      <c r="C66" s="524" t="s">
        <v>2820</v>
      </c>
      <c r="D66" s="524">
        <v>4.5</v>
      </c>
      <c r="E66" s="525"/>
      <c r="F66" s="526" t="s">
        <v>3464</v>
      </c>
      <c r="G66" s="536" t="s">
        <v>3465</v>
      </c>
      <c r="H66" s="528" t="s">
        <v>3341</v>
      </c>
      <c r="I66" s="528" t="s">
        <v>3333</v>
      </c>
      <c r="J66" s="528"/>
      <c r="K66" s="529"/>
      <c r="L66" s="530"/>
      <c r="M66" s="530"/>
    </row>
    <row r="67" spans="1:13">
      <c r="A67" s="522">
        <v>66</v>
      </c>
      <c r="B67" s="544" t="s">
        <v>3449</v>
      </c>
      <c r="C67" s="524" t="s">
        <v>2822</v>
      </c>
      <c r="D67" s="524">
        <v>3.5</v>
      </c>
      <c r="E67" s="525"/>
      <c r="F67" s="526" t="s">
        <v>3466</v>
      </c>
      <c r="G67" s="536" t="s">
        <v>3467</v>
      </c>
      <c r="H67" s="528" t="s">
        <v>3341</v>
      </c>
      <c r="I67" s="528" t="s">
        <v>3333</v>
      </c>
      <c r="J67" s="528"/>
      <c r="K67" s="529"/>
      <c r="L67" s="530"/>
      <c r="M67" s="530"/>
    </row>
    <row r="68" spans="1:13">
      <c r="A68" s="522">
        <v>67</v>
      </c>
      <c r="B68" s="544" t="s">
        <v>3449</v>
      </c>
      <c r="C68" s="524" t="s">
        <v>2276</v>
      </c>
      <c r="D68" s="524">
        <v>2.5</v>
      </c>
      <c r="E68" s="525"/>
      <c r="F68" s="526" t="s">
        <v>3468</v>
      </c>
      <c r="G68" s="536" t="s">
        <v>3469</v>
      </c>
      <c r="H68" s="528" t="s">
        <v>3341</v>
      </c>
      <c r="I68" s="528" t="s">
        <v>3333</v>
      </c>
      <c r="J68" s="528"/>
      <c r="K68" s="529"/>
      <c r="L68" s="530"/>
      <c r="M68" s="530"/>
    </row>
    <row r="69" spans="1:13">
      <c r="A69" s="522">
        <v>68</v>
      </c>
      <c r="B69" s="546" t="s">
        <v>3470</v>
      </c>
      <c r="C69" s="524" t="s">
        <v>2824</v>
      </c>
      <c r="D69" s="524">
        <v>2.5</v>
      </c>
      <c r="E69" s="525"/>
      <c r="F69" s="526" t="s">
        <v>3471</v>
      </c>
      <c r="G69" s="536" t="s">
        <v>3472</v>
      </c>
      <c r="H69" s="528" t="s">
        <v>3341</v>
      </c>
      <c r="I69" s="528" t="s">
        <v>3333</v>
      </c>
      <c r="J69" s="528"/>
      <c r="K69" s="529"/>
      <c r="L69" s="530"/>
      <c r="M69" s="530"/>
    </row>
    <row r="70" spans="1:13">
      <c r="A70" s="522">
        <v>69</v>
      </c>
      <c r="B70" s="546" t="s">
        <v>3470</v>
      </c>
      <c r="C70" s="524" t="s">
        <v>2826</v>
      </c>
      <c r="D70" s="524">
        <v>1.5</v>
      </c>
      <c r="E70" s="525"/>
      <c r="F70" s="526" t="s">
        <v>3473</v>
      </c>
      <c r="G70" s="527" t="s">
        <v>3474</v>
      </c>
      <c r="H70" s="528" t="s">
        <v>3328</v>
      </c>
      <c r="I70" s="528" t="s">
        <v>3333</v>
      </c>
      <c r="J70" s="528"/>
      <c r="K70" s="529"/>
      <c r="L70" s="530"/>
      <c r="M70" s="530"/>
    </row>
    <row r="71" spans="1:13">
      <c r="A71" s="522">
        <v>70</v>
      </c>
      <c r="B71" s="546" t="s">
        <v>3470</v>
      </c>
      <c r="C71" s="524" t="s">
        <v>2829</v>
      </c>
      <c r="D71" s="524">
        <v>4.5</v>
      </c>
      <c r="E71" s="525"/>
      <c r="F71" s="526" t="s">
        <v>3475</v>
      </c>
      <c r="G71" s="536" t="s">
        <v>3476</v>
      </c>
      <c r="H71" s="528" t="s">
        <v>3341</v>
      </c>
      <c r="I71" s="528" t="s">
        <v>3333</v>
      </c>
      <c r="J71" s="528"/>
      <c r="K71" s="529"/>
      <c r="L71" s="530"/>
      <c r="M71" s="530"/>
    </row>
    <row r="72" spans="1:13">
      <c r="A72" s="522">
        <v>71</v>
      </c>
      <c r="B72" s="546" t="s">
        <v>3470</v>
      </c>
      <c r="C72" s="524" t="s">
        <v>2832</v>
      </c>
      <c r="D72" s="524">
        <v>2.5</v>
      </c>
      <c r="E72" s="525"/>
      <c r="F72" s="526" t="s">
        <v>3477</v>
      </c>
      <c r="G72" s="536" t="s">
        <v>3478</v>
      </c>
      <c r="H72" s="528" t="s">
        <v>3341</v>
      </c>
      <c r="I72" s="528" t="s">
        <v>3333</v>
      </c>
      <c r="J72" s="528"/>
      <c r="K72" s="529"/>
      <c r="L72" s="530"/>
      <c r="M72" s="530"/>
    </row>
    <row r="73" spans="1:13">
      <c r="A73" s="522">
        <v>72</v>
      </c>
      <c r="B73" s="546" t="s">
        <v>3470</v>
      </c>
      <c r="C73" s="524" t="s">
        <v>2282</v>
      </c>
      <c r="D73" s="524">
        <v>2.5</v>
      </c>
      <c r="E73" s="525"/>
      <c r="F73" s="526" t="s">
        <v>3479</v>
      </c>
      <c r="G73" s="536" t="s">
        <v>3480</v>
      </c>
      <c r="H73" s="528" t="s">
        <v>3341</v>
      </c>
      <c r="I73" s="528" t="s">
        <v>3333</v>
      </c>
      <c r="J73" s="528"/>
      <c r="K73" s="529"/>
      <c r="L73" s="530"/>
      <c r="M73" s="530"/>
    </row>
    <row r="74" spans="1:13">
      <c r="A74" s="522">
        <v>73</v>
      </c>
      <c r="B74" s="546" t="s">
        <v>3470</v>
      </c>
      <c r="C74" s="524" t="s">
        <v>2825</v>
      </c>
      <c r="D74" s="524">
        <v>1.5</v>
      </c>
      <c r="E74" s="525"/>
      <c r="F74" s="526" t="s">
        <v>3481</v>
      </c>
      <c r="G74" s="527" t="s">
        <v>3482</v>
      </c>
      <c r="H74" s="528" t="s">
        <v>3328</v>
      </c>
      <c r="I74" s="528" t="s">
        <v>3333</v>
      </c>
      <c r="J74" s="528"/>
      <c r="K74" s="529"/>
      <c r="L74" s="530"/>
      <c r="M74" s="530"/>
    </row>
    <row r="75" spans="1:13">
      <c r="A75" s="522">
        <v>74</v>
      </c>
      <c r="B75" s="546" t="s">
        <v>3470</v>
      </c>
      <c r="C75" s="524" t="s">
        <v>2285</v>
      </c>
      <c r="D75" s="524">
        <v>1.5</v>
      </c>
      <c r="E75" s="525"/>
      <c r="F75" s="526" t="s">
        <v>3483</v>
      </c>
      <c r="G75" s="536" t="s">
        <v>3484</v>
      </c>
      <c r="H75" s="528" t="s">
        <v>3341</v>
      </c>
      <c r="I75" s="528" t="s">
        <v>3333</v>
      </c>
      <c r="J75" s="528"/>
      <c r="K75" s="529"/>
      <c r="L75" s="530"/>
      <c r="M75" s="530"/>
    </row>
    <row r="76" spans="1:13">
      <c r="A76" s="522">
        <v>75</v>
      </c>
      <c r="B76" s="546" t="s">
        <v>3470</v>
      </c>
      <c r="C76" s="524" t="s">
        <v>2287</v>
      </c>
      <c r="D76" s="524">
        <v>5.5</v>
      </c>
      <c r="E76" s="525"/>
      <c r="F76" s="526" t="s">
        <v>3485</v>
      </c>
      <c r="G76" s="536" t="s">
        <v>3486</v>
      </c>
      <c r="H76" s="528" t="s">
        <v>3341</v>
      </c>
      <c r="I76" s="528" t="s">
        <v>3333</v>
      </c>
      <c r="J76" s="528"/>
      <c r="K76" s="529"/>
      <c r="L76" s="530"/>
      <c r="M76" s="530"/>
    </row>
    <row r="77" spans="1:13">
      <c r="A77" s="522">
        <v>76</v>
      </c>
      <c r="B77" s="546" t="s">
        <v>3470</v>
      </c>
      <c r="C77" s="524" t="s">
        <v>2827</v>
      </c>
      <c r="D77" s="524">
        <v>3.5</v>
      </c>
      <c r="E77" s="525"/>
      <c r="F77" s="526" t="s">
        <v>3487</v>
      </c>
      <c r="G77" s="536" t="s">
        <v>3488</v>
      </c>
      <c r="H77" s="528" t="s">
        <v>3341</v>
      </c>
      <c r="I77" s="528" t="s">
        <v>3333</v>
      </c>
      <c r="J77" s="528"/>
      <c r="K77" s="529"/>
      <c r="L77" s="530"/>
      <c r="M77" s="530"/>
    </row>
    <row r="78" spans="1:13">
      <c r="A78" s="522">
        <v>77</v>
      </c>
      <c r="B78" s="546" t="s">
        <v>3470</v>
      </c>
      <c r="C78" s="524" t="s">
        <v>2830</v>
      </c>
      <c r="D78" s="524">
        <v>2.5</v>
      </c>
      <c r="E78" s="525"/>
      <c r="F78" s="526" t="s">
        <v>3489</v>
      </c>
      <c r="G78" s="536" t="s">
        <v>3490</v>
      </c>
      <c r="H78" s="528" t="s">
        <v>3341</v>
      </c>
      <c r="I78" s="528" t="s">
        <v>3333</v>
      </c>
      <c r="J78" s="528"/>
      <c r="K78" s="529"/>
      <c r="L78" s="530"/>
      <c r="M78" s="530"/>
    </row>
    <row r="79" spans="1:13">
      <c r="A79" s="522">
        <v>78</v>
      </c>
      <c r="B79" s="546" t="s">
        <v>3470</v>
      </c>
      <c r="C79" s="524" t="s">
        <v>2833</v>
      </c>
      <c r="D79" s="524">
        <v>1.5</v>
      </c>
      <c r="E79" s="525"/>
      <c r="F79" s="526" t="s">
        <v>3491</v>
      </c>
      <c r="G79" s="527" t="s">
        <v>3492</v>
      </c>
      <c r="H79" s="528" t="s">
        <v>3328</v>
      </c>
      <c r="I79" s="528" t="s">
        <v>3333</v>
      </c>
      <c r="J79" s="528"/>
      <c r="K79" s="529"/>
      <c r="L79" s="530"/>
      <c r="M79" s="530"/>
    </row>
    <row r="80" spans="1:13">
      <c r="A80" s="522">
        <v>79</v>
      </c>
      <c r="B80" s="546" t="s">
        <v>3470</v>
      </c>
      <c r="C80" s="524" t="s">
        <v>2294</v>
      </c>
      <c r="D80" s="524">
        <v>1.5</v>
      </c>
      <c r="E80" s="525"/>
      <c r="F80" s="526" t="s">
        <v>3493</v>
      </c>
      <c r="G80" s="527" t="s">
        <v>3494</v>
      </c>
      <c r="H80" s="528" t="s">
        <v>3328</v>
      </c>
      <c r="I80" s="528" t="s">
        <v>3333</v>
      </c>
      <c r="J80" s="528"/>
      <c r="K80" s="529"/>
      <c r="L80" s="530"/>
      <c r="M80" s="530"/>
    </row>
    <row r="81" spans="1:13">
      <c r="A81" s="522">
        <v>80</v>
      </c>
      <c r="B81" s="546" t="s">
        <v>3470</v>
      </c>
      <c r="C81" s="524" t="s">
        <v>2292</v>
      </c>
      <c r="D81" s="524">
        <v>2.5</v>
      </c>
      <c r="E81" s="525"/>
      <c r="F81" s="526" t="s">
        <v>3495</v>
      </c>
      <c r="G81" s="536" t="s">
        <v>3496</v>
      </c>
      <c r="H81" s="528" t="s">
        <v>3341</v>
      </c>
      <c r="I81" s="528" t="s">
        <v>3329</v>
      </c>
      <c r="J81" s="528"/>
      <c r="K81" s="529"/>
      <c r="L81" s="530"/>
      <c r="M81" s="530"/>
    </row>
    <row r="82" spans="1:13">
      <c r="A82" s="522">
        <v>81</v>
      </c>
      <c r="B82" s="546" t="s">
        <v>3470</v>
      </c>
      <c r="C82" s="524" t="s">
        <v>2293</v>
      </c>
      <c r="D82" s="524">
        <v>2.5</v>
      </c>
      <c r="E82" s="525"/>
      <c r="F82" s="526" t="s">
        <v>3497</v>
      </c>
      <c r="G82" s="536" t="s">
        <v>3498</v>
      </c>
      <c r="H82" s="528" t="s">
        <v>3341</v>
      </c>
      <c r="I82" s="528" t="s">
        <v>3329</v>
      </c>
      <c r="J82" s="528"/>
      <c r="K82" s="529"/>
      <c r="L82" s="530"/>
      <c r="M82" s="530"/>
    </row>
    <row r="83" spans="1:13">
      <c r="A83" s="522">
        <v>82</v>
      </c>
      <c r="B83" s="546" t="s">
        <v>3470</v>
      </c>
      <c r="C83" s="524" t="s">
        <v>2291</v>
      </c>
      <c r="D83" s="524">
        <v>2.5</v>
      </c>
      <c r="E83" s="525"/>
      <c r="F83" s="526" t="s">
        <v>3499</v>
      </c>
      <c r="G83" s="536" t="s">
        <v>3500</v>
      </c>
      <c r="H83" s="528" t="s">
        <v>3341</v>
      </c>
      <c r="I83" s="528" t="s">
        <v>3333</v>
      </c>
      <c r="J83" s="528"/>
      <c r="K83" s="529"/>
      <c r="L83" s="530"/>
      <c r="M83" s="530"/>
    </row>
    <row r="84" spans="1:13">
      <c r="A84" s="522">
        <v>83</v>
      </c>
      <c r="B84" s="546" t="s">
        <v>3470</v>
      </c>
      <c r="C84" s="524" t="s">
        <v>2823</v>
      </c>
      <c r="D84" s="524">
        <v>5.5</v>
      </c>
      <c r="E84" s="525"/>
      <c r="F84" s="526" t="s">
        <v>3501</v>
      </c>
      <c r="G84" s="527" t="s">
        <v>3502</v>
      </c>
      <c r="H84" s="528" t="s">
        <v>3328</v>
      </c>
      <c r="I84" s="528" t="s">
        <v>3333</v>
      </c>
      <c r="J84" s="528"/>
      <c r="K84" s="529"/>
      <c r="L84" s="530"/>
      <c r="M84" s="530"/>
    </row>
    <row r="85" spans="1:13">
      <c r="A85" s="522">
        <v>84</v>
      </c>
      <c r="B85" s="546" t="s">
        <v>3470</v>
      </c>
      <c r="C85" s="524" t="s">
        <v>2828</v>
      </c>
      <c r="D85" s="524">
        <v>2.5</v>
      </c>
      <c r="E85" s="525"/>
      <c r="F85" s="526" t="s">
        <v>3503</v>
      </c>
      <c r="G85" s="536" t="s">
        <v>3504</v>
      </c>
      <c r="H85" s="528" t="s">
        <v>3341</v>
      </c>
      <c r="I85" s="528" t="s">
        <v>3333</v>
      </c>
      <c r="J85" s="528"/>
      <c r="K85" s="529"/>
      <c r="L85" s="530"/>
      <c r="M85" s="530"/>
    </row>
    <row r="86" spans="1:13">
      <c r="A86" s="522">
        <v>85</v>
      </c>
      <c r="B86" s="546" t="s">
        <v>3470</v>
      </c>
      <c r="C86" s="524" t="s">
        <v>2298</v>
      </c>
      <c r="D86" s="524">
        <v>2.5</v>
      </c>
      <c r="E86" s="525"/>
      <c r="F86" s="526" t="s">
        <v>3505</v>
      </c>
      <c r="G86" s="527" t="s">
        <v>3506</v>
      </c>
      <c r="H86" s="528" t="s">
        <v>3328</v>
      </c>
      <c r="I86" s="528" t="s">
        <v>3333</v>
      </c>
      <c r="J86" s="528"/>
      <c r="K86" s="529"/>
      <c r="L86" s="530"/>
      <c r="M86" s="530"/>
    </row>
    <row r="87" spans="1:13">
      <c r="A87" s="522">
        <v>86</v>
      </c>
      <c r="B87" s="546" t="s">
        <v>3470</v>
      </c>
      <c r="C87" s="524" t="s">
        <v>2300</v>
      </c>
      <c r="D87" s="524">
        <v>1.5</v>
      </c>
      <c r="E87" s="525"/>
      <c r="F87" s="526" t="s">
        <v>3507</v>
      </c>
      <c r="G87" s="536" t="s">
        <v>3508</v>
      </c>
      <c r="H87" s="528" t="s">
        <v>3341</v>
      </c>
      <c r="I87" s="528" t="s">
        <v>3333</v>
      </c>
      <c r="J87" s="528"/>
      <c r="K87" s="529"/>
      <c r="L87" s="530"/>
      <c r="M87" s="530"/>
    </row>
    <row r="88" spans="1:13">
      <c r="A88" s="522">
        <v>87</v>
      </c>
      <c r="B88" s="546" t="s">
        <v>3470</v>
      </c>
      <c r="C88" s="524" t="s">
        <v>2831</v>
      </c>
      <c r="D88" s="524">
        <v>3.5</v>
      </c>
      <c r="E88" s="525"/>
      <c r="F88" s="526" t="s">
        <v>3509</v>
      </c>
      <c r="G88" s="536" t="s">
        <v>3510</v>
      </c>
      <c r="H88" s="528" t="s">
        <v>3341</v>
      </c>
      <c r="I88" s="528" t="s">
        <v>3333</v>
      </c>
      <c r="J88" s="528"/>
      <c r="K88" s="529"/>
      <c r="L88" s="530"/>
      <c r="M88" s="530"/>
    </row>
    <row r="89" spans="1:13">
      <c r="A89" s="522">
        <v>88</v>
      </c>
      <c r="B89" s="540" t="s">
        <v>3511</v>
      </c>
      <c r="C89" s="524" t="s">
        <v>1876</v>
      </c>
      <c r="D89" s="547">
        <v>0.5</v>
      </c>
      <c r="E89" s="525"/>
      <c r="F89" s="548" t="s">
        <v>3512</v>
      </c>
      <c r="G89" s="536" t="s">
        <v>3513</v>
      </c>
      <c r="H89" s="528" t="s">
        <v>3341</v>
      </c>
      <c r="I89" s="528" t="s">
        <v>3329</v>
      </c>
      <c r="J89" s="528" t="s">
        <v>3337</v>
      </c>
      <c r="K89" s="529"/>
      <c r="L89" s="530"/>
      <c r="M89" s="530"/>
    </row>
    <row r="90" spans="1:13">
      <c r="A90" s="522">
        <v>89</v>
      </c>
      <c r="B90" s="540" t="s">
        <v>3511</v>
      </c>
      <c r="C90" s="524" t="s">
        <v>1205</v>
      </c>
      <c r="D90" s="547">
        <v>2.5</v>
      </c>
      <c r="E90" s="525"/>
      <c r="F90" s="526" t="s">
        <v>3514</v>
      </c>
      <c r="G90" s="536" t="s">
        <v>3515</v>
      </c>
      <c r="H90" s="528" t="s">
        <v>3341</v>
      </c>
      <c r="I90" s="528" t="s">
        <v>3333</v>
      </c>
      <c r="J90" s="528"/>
      <c r="K90" s="529"/>
      <c r="L90" s="530"/>
      <c r="M90" s="530"/>
    </row>
    <row r="91" spans="1:13">
      <c r="A91" s="522">
        <v>90</v>
      </c>
      <c r="B91" s="540" t="s">
        <v>3511</v>
      </c>
      <c r="C91" s="524" t="s">
        <v>1220</v>
      </c>
      <c r="D91" s="547">
        <v>3.5</v>
      </c>
      <c r="E91" s="525"/>
      <c r="F91" s="526" t="s">
        <v>3516</v>
      </c>
      <c r="G91" s="536" t="s">
        <v>3517</v>
      </c>
      <c r="H91" s="528" t="s">
        <v>3341</v>
      </c>
      <c r="I91" s="528" t="s">
        <v>3333</v>
      </c>
      <c r="J91" s="528"/>
      <c r="K91" s="529"/>
      <c r="L91" s="530"/>
      <c r="M91" s="530"/>
    </row>
    <row r="92" spans="1:13">
      <c r="A92" s="522">
        <v>91</v>
      </c>
      <c r="B92" s="540" t="s">
        <v>3511</v>
      </c>
      <c r="C92" s="524" t="s">
        <v>1244</v>
      </c>
      <c r="D92" s="547">
        <v>3.5</v>
      </c>
      <c r="E92" s="525"/>
      <c r="F92" s="526" t="s">
        <v>3518</v>
      </c>
      <c r="G92" s="536" t="s">
        <v>3519</v>
      </c>
      <c r="H92" s="528" t="s">
        <v>3341</v>
      </c>
      <c r="I92" s="528" t="s">
        <v>3333</v>
      </c>
      <c r="J92" s="528"/>
      <c r="K92" s="529"/>
      <c r="L92" s="530"/>
      <c r="M92" s="530"/>
    </row>
    <row r="93" spans="1:13">
      <c r="A93" s="522">
        <v>92</v>
      </c>
      <c r="B93" s="540" t="s">
        <v>3511</v>
      </c>
      <c r="C93" s="524" t="s">
        <v>1276</v>
      </c>
      <c r="D93" s="547">
        <v>1.5</v>
      </c>
      <c r="E93" s="525"/>
      <c r="F93" s="526" t="s">
        <v>3520</v>
      </c>
      <c r="G93" s="536" t="s">
        <v>3521</v>
      </c>
      <c r="H93" s="528" t="s">
        <v>3341</v>
      </c>
      <c r="I93" s="528" t="s">
        <v>3333</v>
      </c>
      <c r="J93" s="528"/>
      <c r="K93" s="529"/>
      <c r="L93" s="530"/>
      <c r="M93" s="530"/>
    </row>
    <row r="94" spans="1:13">
      <c r="A94" s="522">
        <v>93</v>
      </c>
      <c r="B94" s="540" t="s">
        <v>3511</v>
      </c>
      <c r="C94" s="524" t="s">
        <v>1878</v>
      </c>
      <c r="D94" s="547">
        <v>2.5</v>
      </c>
      <c r="E94" s="525"/>
      <c r="F94" s="526" t="s">
        <v>3522</v>
      </c>
      <c r="G94" s="536" t="s">
        <v>3523</v>
      </c>
      <c r="H94" s="528" t="s">
        <v>3341</v>
      </c>
      <c r="I94" s="528" t="s">
        <v>3333</v>
      </c>
      <c r="J94" s="528"/>
      <c r="K94" s="529"/>
      <c r="L94" s="530"/>
      <c r="M94" s="530"/>
    </row>
    <row r="95" spans="1:13">
      <c r="A95" s="522">
        <v>94</v>
      </c>
      <c r="B95" s="540" t="s">
        <v>3511</v>
      </c>
      <c r="C95" s="524" t="s">
        <v>1346</v>
      </c>
      <c r="D95" s="547">
        <v>1.5</v>
      </c>
      <c r="E95" s="525"/>
      <c r="F95" s="526" t="s">
        <v>3524</v>
      </c>
      <c r="G95" s="536" t="s">
        <v>3525</v>
      </c>
      <c r="H95" s="528" t="s">
        <v>3341</v>
      </c>
      <c r="I95" s="528" t="s">
        <v>3333</v>
      </c>
      <c r="J95" s="528"/>
      <c r="K95" s="529"/>
      <c r="L95" s="530"/>
      <c r="M95" s="530"/>
    </row>
    <row r="96" spans="1:13">
      <c r="A96" s="522">
        <v>95</v>
      </c>
      <c r="B96" s="540" t="s">
        <v>3511</v>
      </c>
      <c r="C96" s="524" t="s">
        <v>1374</v>
      </c>
      <c r="D96" s="547">
        <v>2.5</v>
      </c>
      <c r="E96" s="525"/>
      <c r="F96" s="526" t="s">
        <v>3526</v>
      </c>
      <c r="G96" s="536" t="s">
        <v>3527</v>
      </c>
      <c r="H96" s="528" t="s">
        <v>3341</v>
      </c>
      <c r="I96" s="528" t="s">
        <v>3333</v>
      </c>
      <c r="J96" s="528"/>
      <c r="K96" s="529"/>
      <c r="L96" s="530"/>
      <c r="M96" s="530"/>
    </row>
    <row r="97" spans="1:13">
      <c r="A97" s="522">
        <v>96</v>
      </c>
      <c r="B97" s="540" t="s">
        <v>3511</v>
      </c>
      <c r="C97" s="524" t="s">
        <v>1391</v>
      </c>
      <c r="D97" s="547">
        <v>2.5</v>
      </c>
      <c r="E97" s="525"/>
      <c r="F97" s="526" t="s">
        <v>3528</v>
      </c>
      <c r="G97" s="536" t="s">
        <v>3529</v>
      </c>
      <c r="H97" s="528" t="s">
        <v>3341</v>
      </c>
      <c r="I97" s="528" t="s">
        <v>3333</v>
      </c>
      <c r="J97" s="528"/>
      <c r="K97" s="529"/>
      <c r="L97" s="530"/>
      <c r="M97" s="530"/>
    </row>
    <row r="98" spans="1:13">
      <c r="A98" s="522">
        <v>97</v>
      </c>
      <c r="B98" s="540" t="s">
        <v>3511</v>
      </c>
      <c r="C98" s="524" t="s">
        <v>1418</v>
      </c>
      <c r="D98" s="547">
        <v>2.5</v>
      </c>
      <c r="E98" s="525"/>
      <c r="F98" s="526" t="s">
        <v>3530</v>
      </c>
      <c r="G98" s="536" t="s">
        <v>3531</v>
      </c>
      <c r="H98" s="528" t="s">
        <v>3341</v>
      </c>
      <c r="I98" s="528" t="s">
        <v>3333</v>
      </c>
      <c r="J98" s="528"/>
      <c r="K98" s="529"/>
      <c r="L98" s="530"/>
      <c r="M98" s="530"/>
    </row>
    <row r="99" spans="1:13">
      <c r="A99" s="522">
        <v>98</v>
      </c>
      <c r="B99" s="540" t="s">
        <v>3511</v>
      </c>
      <c r="C99" s="524" t="s">
        <v>1879</v>
      </c>
      <c r="D99" s="547">
        <v>1.5</v>
      </c>
      <c r="E99" s="525"/>
      <c r="F99" s="526" t="s">
        <v>3532</v>
      </c>
      <c r="G99" s="536" t="s">
        <v>3533</v>
      </c>
      <c r="H99" s="528" t="s">
        <v>3341</v>
      </c>
      <c r="I99" s="528" t="s">
        <v>3333</v>
      </c>
      <c r="J99" s="528"/>
      <c r="K99" s="529"/>
      <c r="L99" s="530"/>
      <c r="M99" s="530"/>
    </row>
    <row r="100" spans="1:13">
      <c r="A100" s="522">
        <v>99</v>
      </c>
      <c r="B100" s="540" t="s">
        <v>3511</v>
      </c>
      <c r="C100" s="524" t="s">
        <v>1446</v>
      </c>
      <c r="D100" s="547">
        <v>4.5</v>
      </c>
      <c r="E100" s="525"/>
      <c r="F100" s="526" t="s">
        <v>3534</v>
      </c>
      <c r="G100" s="536" t="s">
        <v>3535</v>
      </c>
      <c r="H100" s="528" t="s">
        <v>3341</v>
      </c>
      <c r="I100" s="528" t="s">
        <v>3333</v>
      </c>
      <c r="J100" s="528"/>
      <c r="K100" s="529"/>
      <c r="L100" s="530"/>
      <c r="M100" s="530"/>
    </row>
    <row r="101" spans="1:13">
      <c r="A101" s="522">
        <v>100</v>
      </c>
      <c r="B101" s="540" t="s">
        <v>3511</v>
      </c>
      <c r="C101" s="524" t="s">
        <v>1467</v>
      </c>
      <c r="D101" s="547">
        <v>1.5</v>
      </c>
      <c r="E101" s="525"/>
      <c r="F101" s="526" t="s">
        <v>3536</v>
      </c>
      <c r="G101" s="536" t="s">
        <v>3537</v>
      </c>
      <c r="H101" s="528" t="s">
        <v>3341</v>
      </c>
      <c r="I101" s="528" t="s">
        <v>3333</v>
      </c>
      <c r="J101" s="528"/>
      <c r="K101" s="529"/>
      <c r="L101" s="530"/>
      <c r="M101" s="530"/>
    </row>
    <row r="102" spans="1:13">
      <c r="A102" s="522">
        <v>101</v>
      </c>
      <c r="B102" s="540" t="s">
        <v>3511</v>
      </c>
      <c r="C102" s="524" t="s">
        <v>1880</v>
      </c>
      <c r="D102" s="547">
        <v>1.5</v>
      </c>
      <c r="E102" s="525"/>
      <c r="F102" s="534" t="s">
        <v>3538</v>
      </c>
      <c r="G102" s="536" t="s">
        <v>3539</v>
      </c>
      <c r="H102" s="528" t="s">
        <v>3341</v>
      </c>
      <c r="I102" s="528" t="s">
        <v>3329</v>
      </c>
      <c r="J102" s="528" t="s">
        <v>3337</v>
      </c>
      <c r="K102" s="529"/>
      <c r="L102" s="530"/>
      <c r="M102" s="530"/>
    </row>
    <row r="103" spans="1:13">
      <c r="A103" s="522">
        <v>102</v>
      </c>
      <c r="B103" s="540" t="s">
        <v>3511</v>
      </c>
      <c r="C103" s="524" t="s">
        <v>1881</v>
      </c>
      <c r="D103" s="547">
        <v>1.5</v>
      </c>
      <c r="E103" s="525"/>
      <c r="F103" s="526" t="s">
        <v>3540</v>
      </c>
      <c r="G103" s="536" t="s">
        <v>3541</v>
      </c>
      <c r="H103" s="528" t="s">
        <v>3341</v>
      </c>
      <c r="I103" s="528" t="s">
        <v>3333</v>
      </c>
      <c r="J103" s="528"/>
      <c r="K103" s="529"/>
      <c r="L103" s="530"/>
      <c r="M103" s="530"/>
    </row>
    <row r="104" spans="1:13">
      <c r="A104" s="522">
        <v>103</v>
      </c>
      <c r="B104" s="540" t="s">
        <v>3511</v>
      </c>
      <c r="C104" s="524" t="s">
        <v>1882</v>
      </c>
      <c r="D104" s="547">
        <v>2.5</v>
      </c>
      <c r="E104" s="525"/>
      <c r="F104" s="526" t="s">
        <v>3542</v>
      </c>
      <c r="G104" s="536" t="s">
        <v>3543</v>
      </c>
      <c r="H104" s="528" t="s">
        <v>3341</v>
      </c>
      <c r="I104" s="528" t="s">
        <v>3333</v>
      </c>
      <c r="J104" s="528"/>
      <c r="K104" s="529"/>
      <c r="L104" s="530"/>
      <c r="M104" s="530"/>
    </row>
    <row r="105" spans="1:13">
      <c r="A105" s="522">
        <v>104</v>
      </c>
      <c r="B105" s="540" t="s">
        <v>3511</v>
      </c>
      <c r="C105" s="524" t="s">
        <v>1883</v>
      </c>
      <c r="D105" s="547">
        <v>0.5</v>
      </c>
      <c r="E105" s="525"/>
      <c r="F105" s="534" t="s">
        <v>3544</v>
      </c>
      <c r="G105" s="536" t="s">
        <v>3545</v>
      </c>
      <c r="H105" s="528" t="s">
        <v>3341</v>
      </c>
      <c r="I105" s="528" t="s">
        <v>3329</v>
      </c>
      <c r="J105" s="528" t="s">
        <v>3337</v>
      </c>
      <c r="K105" s="529"/>
      <c r="L105" s="530"/>
      <c r="M105" s="530"/>
    </row>
    <row r="106" spans="1:13">
      <c r="A106" s="522">
        <v>105</v>
      </c>
      <c r="B106" s="540" t="s">
        <v>3511</v>
      </c>
      <c r="C106" s="524" t="s">
        <v>1884</v>
      </c>
      <c r="D106" s="547">
        <v>1.5</v>
      </c>
      <c r="E106" s="525"/>
      <c r="F106" s="526" t="s">
        <v>3546</v>
      </c>
      <c r="G106" s="536" t="s">
        <v>3547</v>
      </c>
      <c r="H106" s="528" t="s">
        <v>3341</v>
      </c>
      <c r="I106" s="528" t="s">
        <v>3333</v>
      </c>
      <c r="J106" s="528"/>
      <c r="K106" s="529"/>
      <c r="L106" s="530"/>
      <c r="M106" s="530"/>
    </row>
    <row r="107" spans="1:13">
      <c r="A107" s="522">
        <v>106</v>
      </c>
      <c r="B107" s="540" t="s">
        <v>3511</v>
      </c>
      <c r="C107" s="524" t="s">
        <v>1686</v>
      </c>
      <c r="D107" s="547">
        <v>2.5</v>
      </c>
      <c r="E107" s="525"/>
      <c r="F107" s="526" t="s">
        <v>3548</v>
      </c>
      <c r="G107" s="536" t="s">
        <v>3549</v>
      </c>
      <c r="H107" s="528" t="s">
        <v>3341</v>
      </c>
      <c r="I107" s="528" t="s">
        <v>3333</v>
      </c>
      <c r="J107" s="528"/>
      <c r="K107" s="529"/>
      <c r="L107" s="530"/>
      <c r="M107" s="530"/>
    </row>
    <row r="108" spans="1:13">
      <c r="A108" s="522">
        <v>107</v>
      </c>
      <c r="B108" s="540" t="s">
        <v>3511</v>
      </c>
      <c r="C108" s="524" t="s">
        <v>1695</v>
      </c>
      <c r="D108" s="547">
        <v>1.5</v>
      </c>
      <c r="E108" s="525"/>
      <c r="F108" s="526" t="s">
        <v>3550</v>
      </c>
      <c r="G108" s="536" t="s">
        <v>3551</v>
      </c>
      <c r="H108" s="528" t="s">
        <v>3341</v>
      </c>
      <c r="I108" s="528" t="s">
        <v>3333</v>
      </c>
      <c r="J108" s="528"/>
      <c r="K108" s="529"/>
      <c r="L108" s="530"/>
      <c r="M108" s="530"/>
    </row>
    <row r="109" spans="1:13">
      <c r="A109" s="522">
        <v>108</v>
      </c>
      <c r="B109" s="523" t="s">
        <v>3552</v>
      </c>
      <c r="C109" s="524" t="s">
        <v>2835</v>
      </c>
      <c r="D109" s="524">
        <v>1.5</v>
      </c>
      <c r="E109" s="525"/>
      <c r="F109" s="534" t="s">
        <v>3553</v>
      </c>
      <c r="G109" s="536" t="s">
        <v>3554</v>
      </c>
      <c r="H109" s="528" t="s">
        <v>3341</v>
      </c>
      <c r="I109" s="528" t="s">
        <v>3329</v>
      </c>
      <c r="J109" s="528"/>
      <c r="K109" s="529"/>
      <c r="L109" s="530"/>
      <c r="M109" s="530"/>
    </row>
    <row r="110" spans="1:13">
      <c r="A110" s="522">
        <v>109</v>
      </c>
      <c r="B110" s="523" t="s">
        <v>3552</v>
      </c>
      <c r="C110" s="524" t="s">
        <v>2837</v>
      </c>
      <c r="D110" s="524">
        <v>4.5</v>
      </c>
      <c r="E110" s="525"/>
      <c r="F110" s="534" t="s">
        <v>3555</v>
      </c>
      <c r="G110" s="536" t="s">
        <v>3556</v>
      </c>
      <c r="H110" s="528" t="s">
        <v>3341</v>
      </c>
      <c r="I110" s="528" t="s">
        <v>3329</v>
      </c>
      <c r="J110" s="528"/>
      <c r="K110" s="529"/>
      <c r="L110" s="530"/>
      <c r="M110" s="530"/>
    </row>
    <row r="111" spans="1:13">
      <c r="A111" s="522">
        <v>110</v>
      </c>
      <c r="B111" s="523" t="s">
        <v>3552</v>
      </c>
      <c r="C111" s="524" t="s">
        <v>2308</v>
      </c>
      <c r="D111" s="524">
        <v>2.5</v>
      </c>
      <c r="E111" s="525"/>
      <c r="F111" s="526" t="s">
        <v>3557</v>
      </c>
      <c r="G111" s="536" t="s">
        <v>3558</v>
      </c>
      <c r="H111" s="528" t="s">
        <v>3341</v>
      </c>
      <c r="I111" s="528" t="s">
        <v>3333</v>
      </c>
      <c r="J111" s="528"/>
      <c r="K111" s="529"/>
      <c r="L111" s="530"/>
      <c r="M111" s="530"/>
    </row>
    <row r="112" spans="1:13">
      <c r="A112" s="522">
        <v>111</v>
      </c>
      <c r="B112" s="523" t="s">
        <v>3552</v>
      </c>
      <c r="C112" s="524" t="s">
        <v>2839</v>
      </c>
      <c r="D112" s="524">
        <v>2.5</v>
      </c>
      <c r="E112" s="525"/>
      <c r="F112" s="526" t="s">
        <v>3559</v>
      </c>
      <c r="G112" s="536" t="s">
        <v>3560</v>
      </c>
      <c r="H112" s="528" t="s">
        <v>3341</v>
      </c>
      <c r="I112" s="528" t="s">
        <v>3333</v>
      </c>
      <c r="J112" s="528"/>
      <c r="K112" s="529"/>
      <c r="L112" s="530"/>
      <c r="M112" s="530"/>
    </row>
    <row r="113" spans="1:13">
      <c r="A113" s="522">
        <v>112</v>
      </c>
      <c r="B113" s="523" t="s">
        <v>3552</v>
      </c>
      <c r="C113" s="524" t="s">
        <v>2310</v>
      </c>
      <c r="D113" s="524">
        <v>3.5</v>
      </c>
      <c r="E113" s="525"/>
      <c r="F113" s="526" t="s">
        <v>3561</v>
      </c>
      <c r="G113" s="536" t="s">
        <v>3562</v>
      </c>
      <c r="H113" s="528" t="s">
        <v>3341</v>
      </c>
      <c r="I113" s="528" t="s">
        <v>3333</v>
      </c>
      <c r="J113" s="528"/>
      <c r="K113" s="529"/>
      <c r="L113" s="530"/>
      <c r="M113" s="530"/>
    </row>
    <row r="114" spans="1:13">
      <c r="A114" s="522">
        <v>113</v>
      </c>
      <c r="B114" s="523" t="s">
        <v>3552</v>
      </c>
      <c r="C114" s="524" t="s">
        <v>2841</v>
      </c>
      <c r="D114" s="524">
        <v>2.5</v>
      </c>
      <c r="E114" s="525"/>
      <c r="F114" s="534" t="s">
        <v>3563</v>
      </c>
      <c r="G114" s="527" t="s">
        <v>3564</v>
      </c>
      <c r="H114" s="528" t="s">
        <v>3328</v>
      </c>
      <c r="I114" s="528" t="s">
        <v>3329</v>
      </c>
      <c r="J114" s="528"/>
      <c r="K114" s="529"/>
      <c r="L114" s="530"/>
      <c r="M114" s="530"/>
    </row>
    <row r="115" spans="1:13">
      <c r="A115" s="522">
        <v>114</v>
      </c>
      <c r="B115" s="523" t="s">
        <v>3552</v>
      </c>
      <c r="C115" s="524" t="s">
        <v>2313</v>
      </c>
      <c r="D115" s="524">
        <v>1.5</v>
      </c>
      <c r="E115" s="525"/>
      <c r="F115" s="526" t="s">
        <v>3565</v>
      </c>
      <c r="G115" s="527" t="s">
        <v>3566</v>
      </c>
      <c r="H115" s="528" t="s">
        <v>3328</v>
      </c>
      <c r="I115" s="528" t="s">
        <v>3333</v>
      </c>
      <c r="J115" s="528"/>
      <c r="K115" s="529"/>
      <c r="L115" s="530"/>
      <c r="M115" s="530"/>
    </row>
    <row r="116" spans="1:13">
      <c r="A116" s="522">
        <v>115</v>
      </c>
      <c r="B116" s="523" t="s">
        <v>3552</v>
      </c>
      <c r="C116" s="524" t="s">
        <v>2312</v>
      </c>
      <c r="D116" s="524">
        <v>1.5</v>
      </c>
      <c r="E116" s="525"/>
      <c r="F116" s="534" t="s">
        <v>3567</v>
      </c>
      <c r="G116" s="527" t="s">
        <v>3568</v>
      </c>
      <c r="H116" s="528" t="s">
        <v>3328</v>
      </c>
      <c r="I116" s="528" t="s">
        <v>3329</v>
      </c>
      <c r="J116" s="528"/>
      <c r="K116" s="529"/>
      <c r="L116" s="530"/>
      <c r="M116" s="530"/>
    </row>
    <row r="117" spans="1:13">
      <c r="A117" s="522">
        <v>116</v>
      </c>
      <c r="B117" s="523" t="s">
        <v>3552</v>
      </c>
      <c r="C117" s="524" t="s">
        <v>2315</v>
      </c>
      <c r="D117" s="524">
        <v>1.5</v>
      </c>
      <c r="E117" s="525"/>
      <c r="F117" s="534" t="s">
        <v>3569</v>
      </c>
      <c r="G117" s="527" t="s">
        <v>3570</v>
      </c>
      <c r="H117" s="528" t="s">
        <v>3328</v>
      </c>
      <c r="I117" s="528" t="s">
        <v>3329</v>
      </c>
      <c r="J117" s="528"/>
      <c r="K117" s="529"/>
      <c r="L117" s="530"/>
      <c r="M117" s="530"/>
    </row>
    <row r="118" spans="1:13">
      <c r="A118" s="522">
        <v>117</v>
      </c>
      <c r="B118" s="523" t="s">
        <v>3552</v>
      </c>
      <c r="C118" s="524" t="s">
        <v>2316</v>
      </c>
      <c r="D118" s="524">
        <v>5.5</v>
      </c>
      <c r="E118" s="525"/>
      <c r="F118" s="534" t="s">
        <v>3571</v>
      </c>
      <c r="G118" s="527" t="s">
        <v>3572</v>
      </c>
      <c r="H118" s="528" t="s">
        <v>3328</v>
      </c>
      <c r="I118" s="528" t="s">
        <v>3329</v>
      </c>
      <c r="J118" s="528"/>
      <c r="K118" s="529"/>
      <c r="L118" s="530"/>
      <c r="M118" s="530"/>
    </row>
    <row r="119" spans="1:13">
      <c r="A119" s="522">
        <v>118</v>
      </c>
      <c r="B119" s="523" t="s">
        <v>3552</v>
      </c>
      <c r="C119" s="524" t="s">
        <v>2834</v>
      </c>
      <c r="D119" s="524">
        <v>3.5</v>
      </c>
      <c r="E119" s="525"/>
      <c r="F119" s="526" t="s">
        <v>3573</v>
      </c>
      <c r="G119" s="536" t="s">
        <v>3574</v>
      </c>
      <c r="H119" s="528" t="s">
        <v>3341</v>
      </c>
      <c r="I119" s="528" t="s">
        <v>3333</v>
      </c>
      <c r="J119" s="528"/>
      <c r="K119" s="529"/>
      <c r="L119" s="530"/>
      <c r="M119" s="530"/>
    </row>
    <row r="120" spans="1:13">
      <c r="A120" s="522">
        <v>119</v>
      </c>
      <c r="B120" s="523" t="s">
        <v>3552</v>
      </c>
      <c r="C120" s="524" t="s">
        <v>2836</v>
      </c>
      <c r="D120" s="524">
        <v>3.5</v>
      </c>
      <c r="E120" s="525"/>
      <c r="F120" s="526" t="s">
        <v>3575</v>
      </c>
      <c r="G120" s="536" t="s">
        <v>3576</v>
      </c>
      <c r="H120" s="528" t="s">
        <v>3341</v>
      </c>
      <c r="I120" s="528" t="s">
        <v>3333</v>
      </c>
      <c r="J120" s="528"/>
      <c r="K120" s="529"/>
      <c r="L120" s="530"/>
      <c r="M120" s="530"/>
    </row>
    <row r="121" spans="1:13">
      <c r="A121" s="522">
        <v>120</v>
      </c>
      <c r="B121" s="523" t="s">
        <v>3552</v>
      </c>
      <c r="C121" s="524" t="s">
        <v>2319</v>
      </c>
      <c r="D121" s="524">
        <v>0.5</v>
      </c>
      <c r="E121" s="525"/>
      <c r="F121" s="534" t="s">
        <v>3577</v>
      </c>
      <c r="G121" s="527" t="s">
        <v>3578</v>
      </c>
      <c r="H121" s="528" t="s">
        <v>3328</v>
      </c>
      <c r="I121" s="528" t="s">
        <v>3329</v>
      </c>
      <c r="J121" s="528"/>
      <c r="K121" s="529"/>
      <c r="L121" s="530"/>
      <c r="M121" s="530"/>
    </row>
    <row r="122" spans="1:13">
      <c r="A122" s="522">
        <v>121</v>
      </c>
      <c r="B122" s="523" t="s">
        <v>3552</v>
      </c>
      <c r="C122" s="524" t="s">
        <v>2838</v>
      </c>
      <c r="D122" s="524">
        <v>3.5</v>
      </c>
      <c r="E122" s="525"/>
      <c r="F122" s="526" t="s">
        <v>3579</v>
      </c>
      <c r="G122" s="527" t="s">
        <v>3580</v>
      </c>
      <c r="H122" s="528" t="s">
        <v>3328</v>
      </c>
      <c r="I122" s="528" t="s">
        <v>3333</v>
      </c>
      <c r="J122" s="528"/>
      <c r="K122" s="529"/>
      <c r="L122" s="530"/>
      <c r="M122" s="530"/>
    </row>
    <row r="123" spans="1:13">
      <c r="A123" s="522">
        <v>122</v>
      </c>
      <c r="B123" s="523" t="s">
        <v>3552</v>
      </c>
      <c r="C123" s="524" t="s">
        <v>2840</v>
      </c>
      <c r="D123" s="524">
        <v>2.5</v>
      </c>
      <c r="E123" s="525"/>
      <c r="F123" s="526" t="s">
        <v>3581</v>
      </c>
      <c r="G123" s="536" t="s">
        <v>3582</v>
      </c>
      <c r="H123" s="528" t="s">
        <v>3341</v>
      </c>
      <c r="I123" s="528" t="s">
        <v>3333</v>
      </c>
      <c r="J123" s="528"/>
      <c r="K123" s="529"/>
      <c r="L123" s="530"/>
      <c r="M123" s="530"/>
    </row>
    <row r="124" spans="1:13">
      <c r="A124" s="522">
        <v>123</v>
      </c>
      <c r="B124" s="549" t="s">
        <v>3583</v>
      </c>
      <c r="C124" s="524" t="s">
        <v>2842</v>
      </c>
      <c r="D124" s="524">
        <v>3.5</v>
      </c>
      <c r="E124" s="525"/>
      <c r="F124" s="526" t="s">
        <v>3584</v>
      </c>
      <c r="G124" s="550" t="s">
        <v>3585</v>
      </c>
      <c r="H124" s="528" t="s">
        <v>3328</v>
      </c>
      <c r="I124" s="528" t="s">
        <v>3333</v>
      </c>
      <c r="J124" s="528"/>
      <c r="K124" s="529"/>
      <c r="L124" s="530"/>
      <c r="M124" s="530"/>
    </row>
    <row r="125" spans="1:13">
      <c r="A125" s="522">
        <v>124</v>
      </c>
      <c r="B125" s="549" t="s">
        <v>3583</v>
      </c>
      <c r="C125" s="524" t="s">
        <v>2844</v>
      </c>
      <c r="D125" s="524">
        <v>1.5</v>
      </c>
      <c r="E125" s="525"/>
      <c r="F125" s="526" t="s">
        <v>3586</v>
      </c>
      <c r="G125" s="527" t="s">
        <v>3587</v>
      </c>
      <c r="H125" s="528" t="s">
        <v>3328</v>
      </c>
      <c r="I125" s="528" t="s">
        <v>3333</v>
      </c>
      <c r="J125" s="528"/>
      <c r="K125" s="529"/>
      <c r="L125" s="530"/>
      <c r="M125" s="530"/>
    </row>
    <row r="126" spans="1:13">
      <c r="A126" s="522">
        <v>125</v>
      </c>
      <c r="B126" s="549" t="s">
        <v>3583</v>
      </c>
      <c r="C126" s="524" t="s">
        <v>2846</v>
      </c>
      <c r="D126" s="524">
        <v>2.5</v>
      </c>
      <c r="E126" s="525"/>
      <c r="F126" s="526" t="s">
        <v>3588</v>
      </c>
      <c r="G126" s="527" t="s">
        <v>3589</v>
      </c>
      <c r="H126" s="528" t="s">
        <v>3328</v>
      </c>
      <c r="I126" s="528" t="s">
        <v>3333</v>
      </c>
      <c r="J126" s="528"/>
      <c r="K126" s="529"/>
      <c r="L126" s="530"/>
      <c r="M126" s="530"/>
    </row>
    <row r="127" spans="1:13">
      <c r="A127" s="522">
        <v>126</v>
      </c>
      <c r="B127" s="549" t="s">
        <v>3583</v>
      </c>
      <c r="C127" s="524" t="s">
        <v>2327</v>
      </c>
      <c r="D127" s="524">
        <v>1.5</v>
      </c>
      <c r="E127" s="525"/>
      <c r="F127" s="534" t="s">
        <v>3590</v>
      </c>
      <c r="G127" s="527" t="s">
        <v>3591</v>
      </c>
      <c r="H127" s="528" t="s">
        <v>3328</v>
      </c>
      <c r="I127" s="528" t="s">
        <v>3329</v>
      </c>
      <c r="J127" s="528"/>
      <c r="K127" s="529"/>
      <c r="L127" s="530"/>
      <c r="M127" s="530"/>
    </row>
    <row r="128" spans="1:13">
      <c r="A128" s="522">
        <v>127</v>
      </c>
      <c r="B128" s="549" t="s">
        <v>3583</v>
      </c>
      <c r="C128" s="524" t="s">
        <v>2328</v>
      </c>
      <c r="D128" s="524">
        <v>2.5</v>
      </c>
      <c r="E128" s="525"/>
      <c r="F128" s="526" t="s">
        <v>3592</v>
      </c>
      <c r="G128" s="536" t="s">
        <v>3593</v>
      </c>
      <c r="H128" s="528" t="s">
        <v>3341</v>
      </c>
      <c r="I128" s="528" t="s">
        <v>3333</v>
      </c>
      <c r="J128" s="528"/>
      <c r="K128" s="529"/>
      <c r="L128" s="530"/>
      <c r="M128" s="530"/>
    </row>
    <row r="129" spans="1:13">
      <c r="A129" s="522">
        <v>128</v>
      </c>
      <c r="B129" s="549" t="s">
        <v>3583</v>
      </c>
      <c r="C129" s="524" t="s">
        <v>2334</v>
      </c>
      <c r="D129" s="524">
        <v>2.5</v>
      </c>
      <c r="E129" s="525"/>
      <c r="F129" s="526" t="s">
        <v>3594</v>
      </c>
      <c r="G129" s="527" t="s">
        <v>3595</v>
      </c>
      <c r="H129" s="528" t="s">
        <v>3328</v>
      </c>
      <c r="I129" s="528" t="s">
        <v>3329</v>
      </c>
      <c r="J129" s="528"/>
      <c r="K129" s="529"/>
      <c r="L129" s="530"/>
      <c r="M129" s="530"/>
    </row>
    <row r="130" spans="1:13">
      <c r="A130" s="522">
        <v>129</v>
      </c>
      <c r="B130" s="549" t="s">
        <v>3583</v>
      </c>
      <c r="C130" s="524" t="s">
        <v>2848</v>
      </c>
      <c r="D130" s="524">
        <v>1.5</v>
      </c>
      <c r="E130" s="525"/>
      <c r="F130" s="526" t="s">
        <v>3596</v>
      </c>
      <c r="G130" s="527" t="s">
        <v>3597</v>
      </c>
      <c r="H130" s="528" t="s">
        <v>3328</v>
      </c>
      <c r="I130" s="528" t="s">
        <v>3333</v>
      </c>
      <c r="J130" s="528"/>
      <c r="K130" s="529"/>
      <c r="L130" s="530"/>
      <c r="M130" s="530"/>
    </row>
    <row r="131" spans="1:13">
      <c r="A131" s="522">
        <v>130</v>
      </c>
      <c r="B131" s="549" t="s">
        <v>3583</v>
      </c>
      <c r="C131" s="524" t="s">
        <v>2333</v>
      </c>
      <c r="D131" s="524">
        <v>4.5</v>
      </c>
      <c r="E131" s="525"/>
      <c r="F131" s="534" t="s">
        <v>3598</v>
      </c>
      <c r="G131" s="527" t="s">
        <v>3599</v>
      </c>
      <c r="H131" s="528" t="s">
        <v>3328</v>
      </c>
      <c r="I131" s="528" t="s">
        <v>3329</v>
      </c>
      <c r="J131" s="528" t="s">
        <v>3337</v>
      </c>
      <c r="K131" s="529"/>
      <c r="L131" s="530"/>
      <c r="M131" s="530"/>
    </row>
    <row r="132" spans="1:13">
      <c r="A132" s="522">
        <v>131</v>
      </c>
      <c r="B132" s="549" t="s">
        <v>3583</v>
      </c>
      <c r="C132" s="524" t="s">
        <v>2330</v>
      </c>
      <c r="D132" s="524">
        <v>1.5</v>
      </c>
      <c r="E132" s="525"/>
      <c r="F132" s="526" t="s">
        <v>3600</v>
      </c>
      <c r="G132" s="527" t="s">
        <v>3601</v>
      </c>
      <c r="H132" s="528" t="s">
        <v>3328</v>
      </c>
      <c r="I132" s="528" t="s">
        <v>3333</v>
      </c>
      <c r="J132" s="528"/>
      <c r="K132" s="529"/>
      <c r="L132" s="530"/>
      <c r="M132" s="530"/>
    </row>
    <row r="133" spans="1:13">
      <c r="A133" s="522">
        <v>132</v>
      </c>
      <c r="B133" s="549" t="s">
        <v>3583</v>
      </c>
      <c r="C133" s="524" t="s">
        <v>2849</v>
      </c>
      <c r="D133" s="524">
        <v>1.5</v>
      </c>
      <c r="E133" s="525"/>
      <c r="F133" s="526" t="s">
        <v>3602</v>
      </c>
      <c r="G133" s="527" t="s">
        <v>3603</v>
      </c>
      <c r="H133" s="528" t="s">
        <v>3328</v>
      </c>
      <c r="I133" s="528" t="s">
        <v>3333</v>
      </c>
      <c r="J133" s="528"/>
      <c r="K133" s="529"/>
      <c r="L133" s="530"/>
      <c r="M133" s="530"/>
    </row>
    <row r="134" spans="1:13">
      <c r="A134" s="522">
        <v>133</v>
      </c>
      <c r="B134" s="549" t="s">
        <v>3583</v>
      </c>
      <c r="C134" s="524" t="s">
        <v>2843</v>
      </c>
      <c r="D134" s="524">
        <v>2.5</v>
      </c>
      <c r="E134" s="525"/>
      <c r="F134" s="526" t="s">
        <v>3604</v>
      </c>
      <c r="G134" s="527" t="s">
        <v>3605</v>
      </c>
      <c r="H134" s="528" t="s">
        <v>3328</v>
      </c>
      <c r="I134" s="528" t="s">
        <v>3333</v>
      </c>
      <c r="J134" s="528"/>
      <c r="K134" s="529"/>
      <c r="L134" s="530"/>
      <c r="M134" s="530"/>
    </row>
    <row r="135" spans="1:13">
      <c r="A135" s="522">
        <v>134</v>
      </c>
      <c r="B135" s="549" t="s">
        <v>3583</v>
      </c>
      <c r="C135" s="524" t="s">
        <v>2845</v>
      </c>
      <c r="D135" s="524">
        <v>1.5</v>
      </c>
      <c r="E135" s="525"/>
      <c r="F135" s="526" t="s">
        <v>3606</v>
      </c>
      <c r="G135" s="536" t="s">
        <v>3607</v>
      </c>
      <c r="H135" s="528" t="s">
        <v>3341</v>
      </c>
      <c r="I135" s="528" t="s">
        <v>3333</v>
      </c>
      <c r="J135" s="528"/>
      <c r="K135" s="529"/>
      <c r="L135" s="530"/>
      <c r="M135" s="530"/>
    </row>
    <row r="136" spans="1:13">
      <c r="A136" s="522">
        <v>135</v>
      </c>
      <c r="B136" s="549" t="s">
        <v>3583</v>
      </c>
      <c r="C136" s="524" t="s">
        <v>2336</v>
      </c>
      <c r="D136" s="524">
        <v>3.5</v>
      </c>
      <c r="E136" s="545"/>
      <c r="F136" s="526" t="s">
        <v>3608</v>
      </c>
      <c r="G136" s="527" t="s">
        <v>3609</v>
      </c>
      <c r="H136" s="528" t="s">
        <v>3328</v>
      </c>
      <c r="I136" s="528" t="s">
        <v>3333</v>
      </c>
      <c r="J136" s="528"/>
      <c r="K136" s="529"/>
      <c r="L136" s="530"/>
      <c r="M136" s="530"/>
    </row>
    <row r="137" spans="1:13">
      <c r="A137" s="522">
        <v>136</v>
      </c>
      <c r="B137" s="549" t="s">
        <v>3583</v>
      </c>
      <c r="C137" s="524" t="s">
        <v>2847</v>
      </c>
      <c r="D137" s="524">
        <v>3.5</v>
      </c>
      <c r="E137" s="525"/>
      <c r="F137" s="526" t="s">
        <v>3610</v>
      </c>
      <c r="G137" s="536" t="s">
        <v>3611</v>
      </c>
      <c r="H137" s="528" t="s">
        <v>3341</v>
      </c>
      <c r="I137" s="528" t="s">
        <v>3333</v>
      </c>
      <c r="J137" s="528"/>
      <c r="K137" s="529"/>
      <c r="L137" s="530"/>
      <c r="M137" s="530"/>
    </row>
    <row r="138" spans="1:13">
      <c r="A138" s="522">
        <v>137</v>
      </c>
      <c r="B138" s="549" t="s">
        <v>3583</v>
      </c>
      <c r="C138" s="524" t="s">
        <v>2337</v>
      </c>
      <c r="D138" s="524">
        <v>3.5</v>
      </c>
      <c r="E138" s="525"/>
      <c r="F138" s="534" t="s">
        <v>3612</v>
      </c>
      <c r="G138" s="527" t="s">
        <v>3613</v>
      </c>
      <c r="H138" s="528" t="s">
        <v>3328</v>
      </c>
      <c r="I138" s="528" t="s">
        <v>3329</v>
      </c>
      <c r="J138" s="528" t="s">
        <v>3337</v>
      </c>
      <c r="K138" s="529"/>
      <c r="L138" s="530"/>
      <c r="M138" s="530"/>
    </row>
    <row r="139" spans="1:13">
      <c r="A139" s="522">
        <v>138</v>
      </c>
      <c r="B139" s="544" t="s">
        <v>3614</v>
      </c>
      <c r="C139" s="524" t="s">
        <v>2852</v>
      </c>
      <c r="D139" s="524">
        <v>2.5</v>
      </c>
      <c r="E139" s="525"/>
      <c r="F139" s="526" t="s">
        <v>3615</v>
      </c>
      <c r="G139" s="536" t="s">
        <v>3616</v>
      </c>
      <c r="H139" s="528" t="s">
        <v>3341</v>
      </c>
      <c r="I139" s="528" t="s">
        <v>3333</v>
      </c>
      <c r="J139" s="528"/>
      <c r="K139" s="529"/>
      <c r="L139" s="530"/>
      <c r="M139" s="530"/>
    </row>
    <row r="140" spans="1:13">
      <c r="A140" s="522">
        <v>139</v>
      </c>
      <c r="B140" s="544" t="s">
        <v>3614</v>
      </c>
      <c r="C140" s="524" t="s">
        <v>2342</v>
      </c>
      <c r="D140" s="524">
        <v>3.5</v>
      </c>
      <c r="E140" s="525"/>
      <c r="F140" s="526" t="s">
        <v>3617</v>
      </c>
      <c r="G140" s="536" t="s">
        <v>3618</v>
      </c>
      <c r="H140" s="528" t="s">
        <v>3341</v>
      </c>
      <c r="I140" s="528" t="s">
        <v>3333</v>
      </c>
      <c r="J140" s="528"/>
      <c r="K140" s="529"/>
      <c r="L140" s="530"/>
      <c r="M140" s="530"/>
    </row>
    <row r="141" spans="1:13">
      <c r="A141" s="522">
        <v>140</v>
      </c>
      <c r="B141" s="544" t="s">
        <v>3614</v>
      </c>
      <c r="C141" s="524" t="s">
        <v>2857</v>
      </c>
      <c r="D141" s="524">
        <v>2.5</v>
      </c>
      <c r="E141" s="525"/>
      <c r="F141" s="526" t="s">
        <v>3619</v>
      </c>
      <c r="G141" s="536" t="s">
        <v>3620</v>
      </c>
      <c r="H141" s="528" t="s">
        <v>3341</v>
      </c>
      <c r="I141" s="528" t="s">
        <v>3329</v>
      </c>
      <c r="J141" s="528"/>
      <c r="K141" s="529"/>
      <c r="L141" s="530"/>
      <c r="M141" s="530"/>
    </row>
    <row r="142" spans="1:13">
      <c r="A142" s="522">
        <v>141</v>
      </c>
      <c r="B142" s="544" t="s">
        <v>3614</v>
      </c>
      <c r="C142" s="524" t="s">
        <v>2860</v>
      </c>
      <c r="D142" s="524">
        <v>2.5</v>
      </c>
      <c r="E142" s="525"/>
      <c r="F142" s="526" t="s">
        <v>3621</v>
      </c>
      <c r="G142" s="536" t="s">
        <v>3622</v>
      </c>
      <c r="H142" s="528" t="s">
        <v>3341</v>
      </c>
      <c r="I142" s="528" t="s">
        <v>3333</v>
      </c>
      <c r="J142" s="528"/>
      <c r="K142" s="529"/>
      <c r="L142" s="530"/>
      <c r="M142" s="530"/>
    </row>
    <row r="143" spans="1:13">
      <c r="A143" s="522">
        <v>142</v>
      </c>
      <c r="B143" s="544" t="s">
        <v>3614</v>
      </c>
      <c r="C143" s="524" t="s">
        <v>2346</v>
      </c>
      <c r="D143" s="524">
        <v>1.5</v>
      </c>
      <c r="E143" s="525"/>
      <c r="F143" s="526" t="s">
        <v>3623</v>
      </c>
      <c r="G143" s="536" t="s">
        <v>3624</v>
      </c>
      <c r="H143" s="528" t="s">
        <v>3341</v>
      </c>
      <c r="I143" s="528" t="s">
        <v>3333</v>
      </c>
      <c r="J143" s="528"/>
      <c r="K143" s="529"/>
      <c r="L143" s="530"/>
      <c r="M143" s="530"/>
    </row>
    <row r="144" spans="1:13">
      <c r="A144" s="522">
        <v>143</v>
      </c>
      <c r="B144" s="544" t="s">
        <v>3614</v>
      </c>
      <c r="C144" s="524" t="s">
        <v>2850</v>
      </c>
      <c r="D144" s="524">
        <v>1.5</v>
      </c>
      <c r="E144" s="525"/>
      <c r="F144" s="526" t="s">
        <v>3625</v>
      </c>
      <c r="G144" s="536" t="s">
        <v>3626</v>
      </c>
      <c r="H144" s="528" t="s">
        <v>3341</v>
      </c>
      <c r="I144" s="528" t="s">
        <v>3333</v>
      </c>
      <c r="J144" s="528"/>
      <c r="K144" s="529"/>
      <c r="L144" s="530"/>
      <c r="M144" s="530"/>
    </row>
    <row r="145" spans="1:13">
      <c r="A145" s="522">
        <v>144</v>
      </c>
      <c r="B145" s="544" t="s">
        <v>3614</v>
      </c>
      <c r="C145" s="524" t="s">
        <v>2854</v>
      </c>
      <c r="D145" s="524">
        <v>1.5</v>
      </c>
      <c r="E145" s="525"/>
      <c r="F145" s="526" t="s">
        <v>3627</v>
      </c>
      <c r="G145" s="536" t="s">
        <v>3628</v>
      </c>
      <c r="H145" s="528" t="s">
        <v>3341</v>
      </c>
      <c r="I145" s="528" t="s">
        <v>3333</v>
      </c>
      <c r="J145" s="528"/>
      <c r="K145" s="529"/>
      <c r="L145" s="530"/>
      <c r="M145" s="530"/>
    </row>
    <row r="146" spans="1:13">
      <c r="A146" s="522">
        <v>145</v>
      </c>
      <c r="B146" s="544" t="s">
        <v>3614</v>
      </c>
      <c r="C146" s="524" t="s">
        <v>2856</v>
      </c>
      <c r="D146" s="524">
        <v>2.5</v>
      </c>
      <c r="E146" s="525"/>
      <c r="F146" s="526" t="s">
        <v>3629</v>
      </c>
      <c r="G146" s="536" t="s">
        <v>3630</v>
      </c>
      <c r="H146" s="528" t="s">
        <v>3341</v>
      </c>
      <c r="I146" s="528" t="s">
        <v>3333</v>
      </c>
      <c r="J146" s="528"/>
      <c r="K146" s="529"/>
      <c r="L146" s="530"/>
      <c r="M146" s="530"/>
    </row>
    <row r="147" spans="1:13">
      <c r="A147" s="522">
        <v>146</v>
      </c>
      <c r="B147" s="544" t="s">
        <v>3614</v>
      </c>
      <c r="C147" s="524" t="s">
        <v>2351</v>
      </c>
      <c r="D147" s="524">
        <v>1.5</v>
      </c>
      <c r="E147" s="525"/>
      <c r="F147" s="526" t="s">
        <v>3631</v>
      </c>
      <c r="G147" s="536" t="s">
        <v>3632</v>
      </c>
      <c r="H147" s="528" t="s">
        <v>3341</v>
      </c>
      <c r="I147" s="528" t="s">
        <v>3333</v>
      </c>
      <c r="J147" s="528"/>
      <c r="K147" s="529"/>
      <c r="L147" s="530"/>
      <c r="M147" s="530"/>
    </row>
    <row r="148" spans="1:13">
      <c r="A148" s="522">
        <v>147</v>
      </c>
      <c r="B148" s="544" t="s">
        <v>3614</v>
      </c>
      <c r="C148" s="524" t="s">
        <v>2859</v>
      </c>
      <c r="D148" s="524">
        <v>2.5</v>
      </c>
      <c r="E148" s="525"/>
      <c r="F148" s="526" t="s">
        <v>3633</v>
      </c>
      <c r="G148" s="527" t="s">
        <v>3634</v>
      </c>
      <c r="H148" s="528" t="s">
        <v>3328</v>
      </c>
      <c r="I148" s="528" t="s">
        <v>3333</v>
      </c>
      <c r="J148" s="528"/>
      <c r="K148" s="529"/>
      <c r="L148" s="530"/>
      <c r="M148" s="530"/>
    </row>
    <row r="149" spans="1:13">
      <c r="A149" s="522">
        <v>148</v>
      </c>
      <c r="B149" s="544" t="s">
        <v>3614</v>
      </c>
      <c r="C149" s="524" t="s">
        <v>2851</v>
      </c>
      <c r="D149" s="524">
        <v>2.5</v>
      </c>
      <c r="E149" s="525"/>
      <c r="F149" s="526" t="s">
        <v>3635</v>
      </c>
      <c r="G149" s="536" t="s">
        <v>3636</v>
      </c>
      <c r="H149" s="528" t="s">
        <v>3341</v>
      </c>
      <c r="I149" s="528" t="s">
        <v>3333</v>
      </c>
      <c r="J149" s="528"/>
      <c r="K149" s="529"/>
      <c r="L149" s="530"/>
      <c r="M149" s="530"/>
    </row>
    <row r="150" spans="1:13">
      <c r="A150" s="522">
        <v>149</v>
      </c>
      <c r="B150" s="544" t="s">
        <v>3614</v>
      </c>
      <c r="C150" s="524" t="s">
        <v>2853</v>
      </c>
      <c r="D150" s="524">
        <v>4.5</v>
      </c>
      <c r="E150" s="525"/>
      <c r="F150" s="526" t="s">
        <v>3637</v>
      </c>
      <c r="G150" s="536" t="s">
        <v>3638</v>
      </c>
      <c r="H150" s="528" t="s">
        <v>3341</v>
      </c>
      <c r="I150" s="528" t="s">
        <v>3333</v>
      </c>
      <c r="J150" s="528"/>
      <c r="K150" s="529"/>
      <c r="L150" s="530"/>
      <c r="M150" s="530"/>
    </row>
    <row r="151" spans="1:13">
      <c r="A151" s="522">
        <v>150</v>
      </c>
      <c r="B151" s="544" t="s">
        <v>3614</v>
      </c>
      <c r="C151" s="524" t="s">
        <v>2356</v>
      </c>
      <c r="D151" s="524">
        <v>1.5</v>
      </c>
      <c r="E151" s="525"/>
      <c r="F151" s="526" t="s">
        <v>3639</v>
      </c>
      <c r="G151" s="536" t="s">
        <v>3640</v>
      </c>
      <c r="H151" s="528" t="s">
        <v>3341</v>
      </c>
      <c r="I151" s="528" t="s">
        <v>3333</v>
      </c>
      <c r="J151" s="528"/>
      <c r="K151" s="529"/>
      <c r="L151" s="530"/>
      <c r="M151" s="530"/>
    </row>
    <row r="152" spans="1:13">
      <c r="A152" s="522">
        <v>151</v>
      </c>
      <c r="B152" s="544" t="s">
        <v>3614</v>
      </c>
      <c r="C152" s="524" t="s">
        <v>2855</v>
      </c>
      <c r="D152" s="524">
        <v>1.5</v>
      </c>
      <c r="E152" s="525"/>
      <c r="F152" s="526" t="s">
        <v>3641</v>
      </c>
      <c r="G152" s="536" t="s">
        <v>3642</v>
      </c>
      <c r="H152" s="528" t="s">
        <v>3341</v>
      </c>
      <c r="I152" s="528" t="s">
        <v>3333</v>
      </c>
      <c r="J152" s="528"/>
      <c r="K152" s="529"/>
      <c r="L152" s="530"/>
      <c r="M152" s="530"/>
    </row>
    <row r="153" spans="1:13">
      <c r="A153" s="522">
        <v>152</v>
      </c>
      <c r="B153" s="544" t="s">
        <v>3614</v>
      </c>
      <c r="C153" s="524" t="s">
        <v>2858</v>
      </c>
      <c r="D153" s="524">
        <v>1.5</v>
      </c>
      <c r="E153" s="525"/>
      <c r="F153" s="526" t="s">
        <v>3643</v>
      </c>
      <c r="G153" s="527" t="s">
        <v>3644</v>
      </c>
      <c r="H153" s="528" t="s">
        <v>3328</v>
      </c>
      <c r="I153" s="528" t="s">
        <v>3333</v>
      </c>
      <c r="J153" s="528"/>
      <c r="K153" s="529"/>
      <c r="L153" s="530"/>
      <c r="M153" s="530"/>
    </row>
    <row r="154" spans="1:13">
      <c r="A154" s="522">
        <v>153</v>
      </c>
      <c r="B154" s="551" t="s">
        <v>3645</v>
      </c>
      <c r="C154" s="524" t="s">
        <v>2360</v>
      </c>
      <c r="D154" s="524">
        <v>3.5</v>
      </c>
      <c r="E154" s="525"/>
      <c r="F154" s="548" t="s">
        <v>3646</v>
      </c>
      <c r="G154" s="552" t="s">
        <v>3647</v>
      </c>
      <c r="H154" s="528" t="s">
        <v>3341</v>
      </c>
      <c r="I154" s="528" t="s">
        <v>3333</v>
      </c>
      <c r="J154" s="528" t="s">
        <v>3337</v>
      </c>
      <c r="K154" s="553" t="s">
        <v>3648</v>
      </c>
      <c r="L154" s="554" t="s">
        <v>3328</v>
      </c>
      <c r="M154" s="555" t="s">
        <v>3649</v>
      </c>
    </row>
    <row r="155" spans="1:13">
      <c r="A155" s="522">
        <v>154</v>
      </c>
      <c r="B155" s="551" t="s">
        <v>3645</v>
      </c>
      <c r="C155" s="524" t="s">
        <v>2361</v>
      </c>
      <c r="D155" s="524">
        <v>1.5</v>
      </c>
      <c r="E155" s="525"/>
      <c r="F155" s="526" t="s">
        <v>3650</v>
      </c>
      <c r="G155" s="536" t="s">
        <v>3651</v>
      </c>
      <c r="H155" s="528" t="s">
        <v>3341</v>
      </c>
      <c r="I155" s="528" t="s">
        <v>3333</v>
      </c>
      <c r="J155" s="528"/>
      <c r="K155" s="529"/>
      <c r="L155" s="530"/>
      <c r="M155" s="530"/>
    </row>
    <row r="156" spans="1:13">
      <c r="A156" s="522">
        <v>155</v>
      </c>
      <c r="B156" s="551" t="s">
        <v>3645</v>
      </c>
      <c r="C156" s="524" t="s">
        <v>2362</v>
      </c>
      <c r="D156" s="524">
        <v>1.5</v>
      </c>
      <c r="E156" s="525"/>
      <c r="F156" s="526" t="s">
        <v>3652</v>
      </c>
      <c r="G156" s="536" t="s">
        <v>3653</v>
      </c>
      <c r="H156" s="528" t="s">
        <v>3341</v>
      </c>
      <c r="I156" s="528" t="s">
        <v>3333</v>
      </c>
      <c r="J156" s="528"/>
      <c r="K156" s="529"/>
      <c r="L156" s="530"/>
      <c r="M156" s="530"/>
    </row>
    <row r="157" spans="1:13">
      <c r="A157" s="522">
        <v>156</v>
      </c>
      <c r="B157" s="551" t="s">
        <v>3645</v>
      </c>
      <c r="C157" s="524" t="s">
        <v>2363</v>
      </c>
      <c r="D157" s="524">
        <v>4.5</v>
      </c>
      <c r="E157" s="539"/>
      <c r="F157" s="526" t="s">
        <v>3654</v>
      </c>
      <c r="G157" s="536" t="s">
        <v>3655</v>
      </c>
      <c r="H157" s="528" t="s">
        <v>3341</v>
      </c>
      <c r="I157" s="528" t="s">
        <v>3333</v>
      </c>
      <c r="J157" s="528"/>
      <c r="K157" s="529"/>
      <c r="L157" s="530"/>
      <c r="M157" s="530"/>
    </row>
    <row r="158" spans="1:13">
      <c r="A158" s="522">
        <v>157</v>
      </c>
      <c r="B158" s="551" t="s">
        <v>3645</v>
      </c>
      <c r="C158" s="524" t="s">
        <v>2364</v>
      </c>
      <c r="D158" s="524">
        <v>1</v>
      </c>
      <c r="E158" s="525"/>
      <c r="F158" s="526" t="s">
        <v>3656</v>
      </c>
      <c r="G158" s="536" t="s">
        <v>3657</v>
      </c>
      <c r="H158" s="528" t="s">
        <v>3341</v>
      </c>
      <c r="I158" s="528" t="s">
        <v>3333</v>
      </c>
      <c r="J158" s="528"/>
      <c r="K158" s="529"/>
      <c r="L158" s="530"/>
      <c r="M158" s="530"/>
    </row>
    <row r="159" spans="1:13">
      <c r="A159" s="522">
        <v>158</v>
      </c>
      <c r="B159" s="551" t="s">
        <v>3645</v>
      </c>
      <c r="C159" s="524" t="s">
        <v>2861</v>
      </c>
      <c r="D159" s="524">
        <v>0.5</v>
      </c>
      <c r="E159" s="525"/>
      <c r="F159" s="526" t="s">
        <v>3658</v>
      </c>
      <c r="G159" s="527" t="s">
        <v>3659</v>
      </c>
      <c r="H159" s="528" t="s">
        <v>3328</v>
      </c>
      <c r="I159" s="528" t="s">
        <v>3333</v>
      </c>
      <c r="J159" s="528"/>
      <c r="K159" s="529"/>
      <c r="L159" s="530"/>
      <c r="M159" s="530"/>
    </row>
    <row r="160" spans="1:13">
      <c r="A160" s="522">
        <v>159</v>
      </c>
      <c r="B160" s="551" t="s">
        <v>3645</v>
      </c>
      <c r="C160" s="524" t="s">
        <v>2369</v>
      </c>
      <c r="D160" s="524">
        <v>2.5</v>
      </c>
      <c r="E160" s="525"/>
      <c r="F160" s="526" t="s">
        <v>3660</v>
      </c>
      <c r="G160" s="536" t="s">
        <v>3661</v>
      </c>
      <c r="H160" s="528" t="s">
        <v>3341</v>
      </c>
      <c r="I160" s="528" t="s">
        <v>3333</v>
      </c>
      <c r="J160" s="528"/>
      <c r="K160" s="529"/>
      <c r="L160" s="530"/>
      <c r="M160" s="530"/>
    </row>
    <row r="161" spans="1:13">
      <c r="A161" s="522">
        <v>160</v>
      </c>
      <c r="B161" s="551" t="s">
        <v>3645</v>
      </c>
      <c r="C161" s="524" t="s">
        <v>2368</v>
      </c>
      <c r="D161" s="524">
        <v>3.5</v>
      </c>
      <c r="E161" s="525"/>
      <c r="F161" s="526" t="s">
        <v>3662</v>
      </c>
      <c r="G161" s="536" t="s">
        <v>3663</v>
      </c>
      <c r="H161" s="528" t="s">
        <v>3341</v>
      </c>
      <c r="I161" s="528" t="s">
        <v>3333</v>
      </c>
      <c r="J161" s="528"/>
      <c r="K161" s="529"/>
      <c r="L161" s="530"/>
      <c r="M161" s="530"/>
    </row>
    <row r="162" spans="1:13">
      <c r="A162" s="522">
        <v>161</v>
      </c>
      <c r="B162" s="551" t="s">
        <v>3645</v>
      </c>
      <c r="C162" s="524" t="s">
        <v>2367</v>
      </c>
      <c r="D162" s="524">
        <v>3.5</v>
      </c>
      <c r="E162" s="525"/>
      <c r="F162" s="526" t="s">
        <v>3664</v>
      </c>
      <c r="G162" s="536" t="s">
        <v>3665</v>
      </c>
      <c r="H162" s="528" t="s">
        <v>3341</v>
      </c>
      <c r="I162" s="528" t="s">
        <v>3333</v>
      </c>
      <c r="J162" s="528"/>
      <c r="K162" s="529"/>
      <c r="L162" s="530"/>
      <c r="M162" s="530"/>
    </row>
    <row r="163" spans="1:13">
      <c r="A163" s="522">
        <v>162</v>
      </c>
      <c r="B163" s="551" t="s">
        <v>3645</v>
      </c>
      <c r="C163" s="524" t="s">
        <v>2372</v>
      </c>
      <c r="D163" s="524">
        <v>2.5</v>
      </c>
      <c r="E163" s="525"/>
      <c r="F163" s="534" t="s">
        <v>3666</v>
      </c>
      <c r="G163" s="527" t="s">
        <v>3667</v>
      </c>
      <c r="H163" s="528" t="s">
        <v>3328</v>
      </c>
      <c r="I163" s="528" t="s">
        <v>3329</v>
      </c>
      <c r="J163" s="528" t="s">
        <v>3337</v>
      </c>
      <c r="K163" s="529"/>
      <c r="L163" s="530"/>
      <c r="M163" s="530"/>
    </row>
    <row r="164" spans="1:13">
      <c r="A164" s="522">
        <v>163</v>
      </c>
      <c r="B164" s="551" t="s">
        <v>3645</v>
      </c>
      <c r="C164" s="524" t="s">
        <v>2373</v>
      </c>
      <c r="D164" s="524">
        <v>2.5</v>
      </c>
      <c r="E164" s="525"/>
      <c r="F164" s="526" t="s">
        <v>3668</v>
      </c>
      <c r="G164" s="527" t="s">
        <v>3669</v>
      </c>
      <c r="H164" s="528" t="s">
        <v>3328</v>
      </c>
      <c r="I164" s="528" t="s">
        <v>3333</v>
      </c>
      <c r="J164" s="528"/>
      <c r="K164" s="529"/>
      <c r="L164" s="530"/>
      <c r="M164" s="530"/>
    </row>
    <row r="165" spans="1:13">
      <c r="A165" s="522">
        <v>164</v>
      </c>
      <c r="B165" s="551" t="s">
        <v>3645</v>
      </c>
      <c r="C165" s="524" t="s">
        <v>2374</v>
      </c>
      <c r="D165" s="524">
        <v>3.5</v>
      </c>
      <c r="E165" s="525"/>
      <c r="F165" s="526" t="s">
        <v>3670</v>
      </c>
      <c r="G165" s="536" t="s">
        <v>3671</v>
      </c>
      <c r="H165" s="528" t="s">
        <v>3341</v>
      </c>
      <c r="I165" s="528" t="s">
        <v>3333</v>
      </c>
      <c r="J165" s="528"/>
      <c r="K165" s="529"/>
      <c r="L165" s="530"/>
      <c r="M165" s="530"/>
    </row>
    <row r="166" spans="1:13">
      <c r="A166" s="522">
        <v>165</v>
      </c>
      <c r="B166" s="551" t="s">
        <v>3645</v>
      </c>
      <c r="C166" s="524" t="s">
        <v>2375</v>
      </c>
      <c r="D166" s="524">
        <v>3.5</v>
      </c>
      <c r="E166" s="525"/>
      <c r="F166" s="526" t="s">
        <v>3672</v>
      </c>
      <c r="G166" s="536" t="s">
        <v>3673</v>
      </c>
      <c r="H166" s="528" t="s">
        <v>3341</v>
      </c>
      <c r="I166" s="528" t="s">
        <v>3333</v>
      </c>
      <c r="J166" s="528"/>
      <c r="K166" s="529"/>
      <c r="L166" s="530"/>
      <c r="M166" s="530"/>
    </row>
    <row r="167" spans="1:13">
      <c r="A167" s="522">
        <v>166</v>
      </c>
      <c r="B167" s="551" t="s">
        <v>3645</v>
      </c>
      <c r="C167" s="524" t="s">
        <v>2382</v>
      </c>
      <c r="D167" s="524">
        <v>3.5</v>
      </c>
      <c r="E167" s="525"/>
      <c r="F167" s="526" t="s">
        <v>3674</v>
      </c>
      <c r="G167" s="536" t="s">
        <v>3675</v>
      </c>
      <c r="H167" s="528" t="s">
        <v>3341</v>
      </c>
      <c r="I167" s="528" t="s">
        <v>3333</v>
      </c>
      <c r="J167" s="528"/>
      <c r="K167" s="529"/>
      <c r="L167" s="530"/>
      <c r="M167" s="530"/>
    </row>
    <row r="168" spans="1:13">
      <c r="A168" s="522">
        <v>167</v>
      </c>
      <c r="B168" s="551" t="s">
        <v>3645</v>
      </c>
      <c r="C168" s="524" t="s">
        <v>2381</v>
      </c>
      <c r="D168" s="524">
        <v>2.5</v>
      </c>
      <c r="E168" s="525"/>
      <c r="F168" s="526" t="s">
        <v>3676</v>
      </c>
      <c r="G168" s="536" t="s">
        <v>3677</v>
      </c>
      <c r="H168" s="528" t="s">
        <v>3341</v>
      </c>
      <c r="I168" s="528" t="s">
        <v>3333</v>
      </c>
      <c r="J168" s="528"/>
      <c r="K168" s="529"/>
      <c r="L168" s="530"/>
      <c r="M168" s="530"/>
    </row>
    <row r="169" spans="1:13">
      <c r="A169" s="522">
        <v>168</v>
      </c>
      <c r="B169" s="551" t="s">
        <v>3645</v>
      </c>
      <c r="C169" s="524" t="s">
        <v>2380</v>
      </c>
      <c r="D169" s="524">
        <v>4.5</v>
      </c>
      <c r="E169" s="525"/>
      <c r="F169" s="526" t="s">
        <v>3678</v>
      </c>
      <c r="G169" s="536" t="s">
        <v>3679</v>
      </c>
      <c r="H169" s="528" t="s">
        <v>3341</v>
      </c>
      <c r="I169" s="528" t="s">
        <v>3333</v>
      </c>
      <c r="J169" s="528"/>
      <c r="K169" s="529"/>
      <c r="L169" s="530"/>
      <c r="M169" s="530"/>
    </row>
    <row r="170" spans="1:13">
      <c r="A170" s="522">
        <v>169</v>
      </c>
      <c r="B170" s="551" t="s">
        <v>3645</v>
      </c>
      <c r="C170" s="524" t="s">
        <v>2379</v>
      </c>
      <c r="D170" s="524">
        <v>3.5</v>
      </c>
      <c r="E170" s="525"/>
      <c r="F170" s="526" t="s">
        <v>3680</v>
      </c>
      <c r="G170" s="536" t="s">
        <v>3681</v>
      </c>
      <c r="H170" s="528" t="s">
        <v>3341</v>
      </c>
      <c r="I170" s="528" t="s">
        <v>3333</v>
      </c>
      <c r="J170" s="528"/>
      <c r="K170" s="529"/>
      <c r="L170" s="530"/>
      <c r="M170" s="530"/>
    </row>
    <row r="171" spans="1:13">
      <c r="A171" s="522">
        <v>170</v>
      </c>
      <c r="B171" s="551" t="s">
        <v>3645</v>
      </c>
      <c r="C171" s="524" t="s">
        <v>2378</v>
      </c>
      <c r="D171" s="524">
        <v>3.5</v>
      </c>
      <c r="E171" s="525"/>
      <c r="F171" s="526" t="s">
        <v>3682</v>
      </c>
      <c r="G171" s="536" t="s">
        <v>3683</v>
      </c>
      <c r="H171" s="528" t="s">
        <v>3341</v>
      </c>
      <c r="I171" s="528" t="s">
        <v>3333</v>
      </c>
      <c r="J171" s="528"/>
      <c r="K171" s="529"/>
      <c r="L171" s="530"/>
      <c r="M171" s="530"/>
    </row>
    <row r="172" spans="1:13">
      <c r="A172" s="522">
        <v>171</v>
      </c>
      <c r="B172" s="556" t="s">
        <v>3684</v>
      </c>
      <c r="C172" s="524" t="s">
        <v>3685</v>
      </c>
      <c r="D172" s="524">
        <v>0.5</v>
      </c>
      <c r="E172" s="525"/>
      <c r="F172" s="526" t="s">
        <v>3686</v>
      </c>
      <c r="G172" s="527" t="s">
        <v>3687</v>
      </c>
      <c r="H172" s="528" t="s">
        <v>3328</v>
      </c>
      <c r="I172" s="528" t="s">
        <v>3333</v>
      </c>
      <c r="J172" s="528"/>
      <c r="K172" s="529"/>
      <c r="L172" s="530"/>
      <c r="M172" s="530"/>
    </row>
    <row r="173" spans="1:13">
      <c r="A173" s="522">
        <v>172</v>
      </c>
      <c r="B173" s="556" t="s">
        <v>3684</v>
      </c>
      <c r="C173" s="524" t="s">
        <v>2389</v>
      </c>
      <c r="D173" s="524">
        <v>3.5</v>
      </c>
      <c r="E173" s="525"/>
      <c r="F173" s="526" t="s">
        <v>3688</v>
      </c>
      <c r="G173" s="536" t="s">
        <v>3689</v>
      </c>
      <c r="H173" s="528" t="s">
        <v>3341</v>
      </c>
      <c r="I173" s="528" t="s">
        <v>3333</v>
      </c>
      <c r="J173" s="528"/>
      <c r="K173" s="529"/>
      <c r="L173" s="530"/>
      <c r="M173" s="530"/>
    </row>
    <row r="174" spans="1:13">
      <c r="A174" s="522">
        <v>173</v>
      </c>
      <c r="B174" s="556" t="s">
        <v>3684</v>
      </c>
      <c r="C174" s="524" t="s">
        <v>2391</v>
      </c>
      <c r="D174" s="524">
        <v>4.5</v>
      </c>
      <c r="E174" s="525"/>
      <c r="F174" s="526" t="s">
        <v>3690</v>
      </c>
      <c r="G174" s="527" t="s">
        <v>3691</v>
      </c>
      <c r="H174" s="528" t="s">
        <v>3328</v>
      </c>
      <c r="I174" s="528" t="s">
        <v>3333</v>
      </c>
      <c r="J174" s="528"/>
      <c r="K174" s="529"/>
      <c r="L174" s="530"/>
      <c r="M174" s="530"/>
    </row>
    <row r="175" spans="1:13">
      <c r="A175" s="522">
        <v>174</v>
      </c>
      <c r="B175" s="556" t="s">
        <v>3684</v>
      </c>
      <c r="C175" s="524" t="s">
        <v>2392</v>
      </c>
      <c r="D175" s="524">
        <v>1.5</v>
      </c>
      <c r="E175" s="525"/>
      <c r="F175" s="526" t="s">
        <v>3692</v>
      </c>
      <c r="G175" s="536" t="s">
        <v>3693</v>
      </c>
      <c r="H175" s="528" t="s">
        <v>3341</v>
      </c>
      <c r="I175" s="528" t="s">
        <v>3333</v>
      </c>
      <c r="J175" s="528"/>
      <c r="K175" s="529"/>
      <c r="L175" s="530"/>
      <c r="M175" s="530"/>
    </row>
    <row r="176" spans="1:13">
      <c r="A176" s="522">
        <v>175</v>
      </c>
      <c r="B176" s="556" t="s">
        <v>3684</v>
      </c>
      <c r="C176" s="524" t="s">
        <v>2863</v>
      </c>
      <c r="D176" s="524">
        <v>1.5</v>
      </c>
      <c r="E176" s="525"/>
      <c r="F176" s="526" t="s">
        <v>3694</v>
      </c>
      <c r="G176" s="536" t="s">
        <v>3695</v>
      </c>
      <c r="H176" s="528" t="s">
        <v>3341</v>
      </c>
      <c r="I176" s="528" t="s">
        <v>3333</v>
      </c>
      <c r="J176" s="528"/>
      <c r="K176" s="529"/>
      <c r="L176" s="530"/>
      <c r="M176" s="530"/>
    </row>
    <row r="177" spans="1:13">
      <c r="A177" s="522">
        <v>176</v>
      </c>
      <c r="B177" s="556" t="s">
        <v>3684</v>
      </c>
      <c r="C177" s="524" t="s">
        <v>3696</v>
      </c>
      <c r="D177" s="524">
        <v>1.5</v>
      </c>
      <c r="E177" s="525"/>
      <c r="F177" s="548" t="s">
        <v>3697</v>
      </c>
      <c r="G177" s="527" t="s">
        <v>3698</v>
      </c>
      <c r="H177" s="528" t="s">
        <v>3328</v>
      </c>
      <c r="I177" s="528" t="s">
        <v>3333</v>
      </c>
      <c r="J177" s="528" t="s">
        <v>3337</v>
      </c>
      <c r="K177" s="553" t="s">
        <v>3699</v>
      </c>
      <c r="L177" s="557"/>
      <c r="M177" s="555" t="s">
        <v>3649</v>
      </c>
    </row>
    <row r="178" spans="1:13">
      <c r="A178" s="522">
        <v>177</v>
      </c>
      <c r="B178" s="556" t="s">
        <v>3684</v>
      </c>
      <c r="C178" s="524" t="s">
        <v>2862</v>
      </c>
      <c r="D178" s="524">
        <v>2.5</v>
      </c>
      <c r="E178" s="525"/>
      <c r="F178" s="558" t="s">
        <v>3700</v>
      </c>
      <c r="G178" s="527" t="s">
        <v>3701</v>
      </c>
      <c r="H178" s="528" t="s">
        <v>3341</v>
      </c>
      <c r="I178" s="528" t="s">
        <v>3333</v>
      </c>
      <c r="J178" s="528"/>
      <c r="K178" s="529"/>
      <c r="L178" s="557"/>
      <c r="M178" s="559"/>
    </row>
    <row r="179" spans="1:13">
      <c r="A179" s="522">
        <v>178</v>
      </c>
      <c r="B179" s="556" t="s">
        <v>3684</v>
      </c>
      <c r="C179" s="524" t="s">
        <v>2398</v>
      </c>
      <c r="D179" s="524">
        <v>2.5</v>
      </c>
      <c r="E179" s="525"/>
      <c r="F179" s="558" t="s">
        <v>3702</v>
      </c>
      <c r="G179" s="527" t="s">
        <v>3703</v>
      </c>
      <c r="H179" s="528" t="s">
        <v>3341</v>
      </c>
      <c r="I179" s="528" t="s">
        <v>3333</v>
      </c>
      <c r="J179" s="528"/>
      <c r="K179" s="529"/>
      <c r="L179" s="557"/>
      <c r="M179" s="559"/>
    </row>
    <row r="180" spans="1:13">
      <c r="A180" s="522">
        <v>179</v>
      </c>
      <c r="B180" s="556" t="s">
        <v>3684</v>
      </c>
      <c r="C180" s="524" t="s">
        <v>2865</v>
      </c>
      <c r="D180" s="524">
        <v>1.5</v>
      </c>
      <c r="E180" s="543"/>
      <c r="F180" s="558" t="s">
        <v>3704</v>
      </c>
      <c r="G180" s="527" t="s">
        <v>3705</v>
      </c>
      <c r="H180" s="528" t="s">
        <v>3341</v>
      </c>
      <c r="I180" s="528" t="s">
        <v>3333</v>
      </c>
      <c r="J180" s="528"/>
      <c r="K180" s="529"/>
      <c r="L180" s="557"/>
      <c r="M180" s="559"/>
    </row>
    <row r="181" spans="1:13">
      <c r="A181" s="522">
        <v>180</v>
      </c>
      <c r="B181" s="556" t="s">
        <v>3684</v>
      </c>
      <c r="C181" s="524" t="s">
        <v>2867</v>
      </c>
      <c r="D181" s="524">
        <v>2.5</v>
      </c>
      <c r="E181" s="525"/>
      <c r="F181" s="558" t="s">
        <v>3706</v>
      </c>
      <c r="G181" s="527" t="s">
        <v>3707</v>
      </c>
      <c r="H181" s="528" t="s">
        <v>3341</v>
      </c>
      <c r="I181" s="528" t="s">
        <v>3333</v>
      </c>
      <c r="J181" s="528"/>
      <c r="K181" s="529"/>
      <c r="L181" s="557"/>
      <c r="M181" s="559"/>
    </row>
    <row r="182" spans="1:13">
      <c r="A182" s="522">
        <v>181</v>
      </c>
      <c r="B182" s="556" t="s">
        <v>3684</v>
      </c>
      <c r="C182" s="524" t="s">
        <v>2864</v>
      </c>
      <c r="D182" s="524">
        <v>3.5</v>
      </c>
      <c r="E182" s="525"/>
      <c r="F182" s="526" t="s">
        <v>3708</v>
      </c>
      <c r="G182" s="536" t="s">
        <v>3709</v>
      </c>
      <c r="H182" s="528" t="s">
        <v>3341</v>
      </c>
      <c r="I182" s="528" t="s">
        <v>3333</v>
      </c>
      <c r="J182" s="528"/>
      <c r="K182" s="529"/>
      <c r="L182" s="530"/>
      <c r="M182" s="530"/>
    </row>
    <row r="183" spans="1:13">
      <c r="A183" s="522">
        <v>182</v>
      </c>
      <c r="B183" s="556" t="s">
        <v>3684</v>
      </c>
      <c r="C183" s="524" t="s">
        <v>2866</v>
      </c>
      <c r="D183" s="560" t="s">
        <v>3710</v>
      </c>
      <c r="E183" s="543" t="s">
        <v>3711</v>
      </c>
      <c r="F183" s="526" t="s">
        <v>3712</v>
      </c>
      <c r="G183" s="536" t="s">
        <v>3713</v>
      </c>
      <c r="H183" s="528" t="s">
        <v>3341</v>
      </c>
      <c r="I183" s="528" t="s">
        <v>3333</v>
      </c>
      <c r="J183" s="528"/>
      <c r="K183" s="529"/>
      <c r="L183" s="530"/>
      <c r="M183" s="530"/>
    </row>
    <row r="184" spans="1:13">
      <c r="A184" s="522">
        <v>183</v>
      </c>
      <c r="B184" s="556" t="s">
        <v>3684</v>
      </c>
      <c r="C184" s="524" t="s">
        <v>2402</v>
      </c>
      <c r="D184" s="524">
        <v>2.5</v>
      </c>
      <c r="E184" s="525"/>
      <c r="F184" s="526" t="s">
        <v>3714</v>
      </c>
      <c r="G184" s="536" t="s">
        <v>3715</v>
      </c>
      <c r="H184" s="528" t="s">
        <v>3341</v>
      </c>
      <c r="I184" s="528" t="s">
        <v>3333</v>
      </c>
      <c r="J184" s="528"/>
      <c r="K184" s="529"/>
      <c r="L184" s="530"/>
      <c r="M184" s="530"/>
    </row>
    <row r="185" spans="1:13">
      <c r="A185" s="522">
        <v>184</v>
      </c>
      <c r="B185" s="561" t="s">
        <v>3716</v>
      </c>
      <c r="C185" s="524" t="s">
        <v>2868</v>
      </c>
      <c r="D185" s="524">
        <v>4.5</v>
      </c>
      <c r="E185" s="525"/>
      <c r="F185" s="526" t="s">
        <v>3717</v>
      </c>
      <c r="G185" s="536" t="s">
        <v>3718</v>
      </c>
      <c r="H185" s="528" t="s">
        <v>3341</v>
      </c>
      <c r="I185" s="528" t="s">
        <v>3333</v>
      </c>
      <c r="J185" s="528"/>
      <c r="K185" s="529"/>
      <c r="L185" s="530"/>
      <c r="M185" s="530"/>
    </row>
    <row r="186" spans="1:13">
      <c r="A186" s="522">
        <v>185</v>
      </c>
      <c r="B186" s="561" t="s">
        <v>3716</v>
      </c>
      <c r="C186" s="524" t="s">
        <v>2869</v>
      </c>
      <c r="D186" s="524">
        <v>1.5</v>
      </c>
      <c r="E186" s="525"/>
      <c r="F186" s="526" t="s">
        <v>3719</v>
      </c>
      <c r="G186" s="536" t="s">
        <v>3720</v>
      </c>
      <c r="H186" s="528" t="s">
        <v>3341</v>
      </c>
      <c r="I186" s="528" t="s">
        <v>3333</v>
      </c>
      <c r="J186" s="528"/>
      <c r="K186" s="529"/>
      <c r="L186" s="530"/>
      <c r="M186" s="530"/>
    </row>
    <row r="187" spans="1:13">
      <c r="A187" s="522">
        <v>186</v>
      </c>
      <c r="B187" s="561" t="s">
        <v>3716</v>
      </c>
      <c r="C187" s="524" t="s">
        <v>2872</v>
      </c>
      <c r="D187" s="524">
        <v>2.5</v>
      </c>
      <c r="E187" s="525"/>
      <c r="F187" s="526" t="s">
        <v>3721</v>
      </c>
      <c r="G187" s="536" t="s">
        <v>3722</v>
      </c>
      <c r="H187" s="528" t="s">
        <v>3341</v>
      </c>
      <c r="I187" s="528" t="s">
        <v>3333</v>
      </c>
      <c r="J187" s="528"/>
      <c r="K187" s="529"/>
      <c r="L187" s="530"/>
      <c r="M187" s="530"/>
    </row>
    <row r="188" spans="1:13">
      <c r="A188" s="522">
        <v>187</v>
      </c>
      <c r="B188" s="561" t="s">
        <v>3716</v>
      </c>
      <c r="C188" s="524" t="s">
        <v>2874</v>
      </c>
      <c r="D188" s="524">
        <v>2.5</v>
      </c>
      <c r="E188" s="525"/>
      <c r="F188" s="526" t="s">
        <v>3723</v>
      </c>
      <c r="G188" s="536" t="s">
        <v>3724</v>
      </c>
      <c r="H188" s="528" t="s">
        <v>3341</v>
      </c>
      <c r="I188" s="528" t="s">
        <v>3333</v>
      </c>
      <c r="J188" s="528"/>
      <c r="K188" s="529"/>
      <c r="L188" s="530"/>
      <c r="M188" s="530"/>
    </row>
    <row r="189" spans="1:13">
      <c r="A189" s="522">
        <v>188</v>
      </c>
      <c r="B189" s="561" t="s">
        <v>3716</v>
      </c>
      <c r="C189" s="524" t="s">
        <v>2404</v>
      </c>
      <c r="D189" s="524">
        <v>3.5</v>
      </c>
      <c r="E189" s="525"/>
      <c r="F189" s="526" t="s">
        <v>3725</v>
      </c>
      <c r="G189" s="536" t="s">
        <v>3726</v>
      </c>
      <c r="H189" s="528" t="s">
        <v>3341</v>
      </c>
      <c r="I189" s="528" t="s">
        <v>3333</v>
      </c>
      <c r="J189" s="528"/>
      <c r="K189" s="529"/>
      <c r="L189" s="530"/>
      <c r="M189" s="530"/>
    </row>
    <row r="190" spans="1:13">
      <c r="A190" s="522">
        <v>189</v>
      </c>
      <c r="B190" s="561" t="s">
        <v>3716</v>
      </c>
      <c r="C190" s="524" t="s">
        <v>2870</v>
      </c>
      <c r="D190" s="524">
        <v>3.5</v>
      </c>
      <c r="E190" s="525"/>
      <c r="F190" s="526" t="s">
        <v>3727</v>
      </c>
      <c r="G190" s="536" t="s">
        <v>3728</v>
      </c>
      <c r="H190" s="528" t="s">
        <v>3341</v>
      </c>
      <c r="I190" s="528" t="s">
        <v>3333</v>
      </c>
      <c r="J190" s="528"/>
      <c r="K190" s="529"/>
      <c r="L190" s="530"/>
      <c r="M190" s="530"/>
    </row>
    <row r="191" spans="1:13">
      <c r="A191" s="522">
        <v>190</v>
      </c>
      <c r="B191" s="561" t="s">
        <v>3716</v>
      </c>
      <c r="C191" s="524" t="s">
        <v>2413</v>
      </c>
      <c r="D191" s="524">
        <v>1.5</v>
      </c>
      <c r="E191" s="525"/>
      <c r="F191" s="526" t="s">
        <v>3729</v>
      </c>
      <c r="G191" s="536" t="s">
        <v>3730</v>
      </c>
      <c r="H191" s="528" t="s">
        <v>3341</v>
      </c>
      <c r="I191" s="528" t="s">
        <v>3333</v>
      </c>
      <c r="J191" s="528"/>
      <c r="K191" s="529"/>
      <c r="L191" s="530"/>
      <c r="M191" s="530"/>
    </row>
    <row r="192" spans="1:13">
      <c r="A192" s="522">
        <v>191</v>
      </c>
      <c r="B192" s="561" t="s">
        <v>3716</v>
      </c>
      <c r="C192" s="524" t="s">
        <v>2871</v>
      </c>
      <c r="D192" s="524">
        <v>2.5</v>
      </c>
      <c r="E192" s="525"/>
      <c r="F192" s="526" t="s">
        <v>3731</v>
      </c>
      <c r="G192" s="536" t="s">
        <v>3732</v>
      </c>
      <c r="H192" s="528" t="s">
        <v>3341</v>
      </c>
      <c r="I192" s="528" t="s">
        <v>3333</v>
      </c>
      <c r="J192" s="528"/>
      <c r="K192" s="529"/>
      <c r="L192" s="530"/>
      <c r="M192" s="530"/>
    </row>
    <row r="193" spans="1:13">
      <c r="A193" s="522">
        <v>192</v>
      </c>
      <c r="B193" s="561" t="s">
        <v>3716</v>
      </c>
      <c r="C193" s="524" t="s">
        <v>2873</v>
      </c>
      <c r="D193" s="524">
        <v>2.5</v>
      </c>
      <c r="E193" s="525"/>
      <c r="F193" s="526" t="s">
        <v>3733</v>
      </c>
      <c r="G193" s="536" t="s">
        <v>3734</v>
      </c>
      <c r="H193" s="528" t="s">
        <v>3341</v>
      </c>
      <c r="I193" s="528" t="s">
        <v>3333</v>
      </c>
      <c r="J193" s="528"/>
      <c r="K193" s="529"/>
      <c r="L193" s="530"/>
      <c r="M193" s="530"/>
    </row>
    <row r="194" spans="1:13">
      <c r="A194" s="522">
        <v>193</v>
      </c>
      <c r="B194" s="561" t="s">
        <v>3716</v>
      </c>
      <c r="C194" s="524" t="s">
        <v>2410</v>
      </c>
      <c r="D194" s="524">
        <v>1.5</v>
      </c>
      <c r="E194" s="525"/>
      <c r="F194" s="526" t="s">
        <v>3735</v>
      </c>
      <c r="G194" s="536" t="s">
        <v>3736</v>
      </c>
      <c r="H194" s="528" t="s">
        <v>3341</v>
      </c>
      <c r="I194" s="528" t="s">
        <v>3333</v>
      </c>
      <c r="J194" s="528"/>
      <c r="K194" s="529"/>
      <c r="L194" s="530"/>
      <c r="M194" s="530"/>
    </row>
    <row r="195" spans="1:13">
      <c r="A195" s="522">
        <v>194</v>
      </c>
      <c r="B195" s="561" t="s">
        <v>3716</v>
      </c>
      <c r="C195" s="524" t="s">
        <v>1960</v>
      </c>
      <c r="D195" s="524">
        <v>0.5</v>
      </c>
      <c r="E195" s="525"/>
      <c r="F195" s="526" t="s">
        <v>3737</v>
      </c>
      <c r="G195" s="536" t="s">
        <v>3738</v>
      </c>
      <c r="H195" s="528" t="s">
        <v>3341</v>
      </c>
      <c r="I195" s="528" t="s">
        <v>3333</v>
      </c>
      <c r="J195" s="528"/>
      <c r="K195" s="529"/>
      <c r="L195" s="530"/>
      <c r="M195" s="530"/>
    </row>
    <row r="196" spans="1:13">
      <c r="A196" s="522">
        <v>195</v>
      </c>
      <c r="B196" s="562" t="s">
        <v>3739</v>
      </c>
      <c r="C196" s="524" t="s">
        <v>2877</v>
      </c>
      <c r="D196" s="524">
        <v>1.5</v>
      </c>
      <c r="E196" s="525"/>
      <c r="F196" s="526" t="s">
        <v>3740</v>
      </c>
      <c r="G196" s="536" t="s">
        <v>3741</v>
      </c>
      <c r="H196" s="528" t="s">
        <v>3341</v>
      </c>
      <c r="I196" s="528" t="s">
        <v>3333</v>
      </c>
      <c r="J196" s="528"/>
      <c r="K196" s="529"/>
      <c r="L196" s="530"/>
      <c r="M196" s="530"/>
    </row>
    <row r="197" spans="1:13">
      <c r="A197" s="522">
        <v>196</v>
      </c>
      <c r="B197" s="562" t="s">
        <v>3739</v>
      </c>
      <c r="C197" s="524" t="s">
        <v>2879</v>
      </c>
      <c r="D197" s="524">
        <v>3.5</v>
      </c>
      <c r="E197" s="525"/>
      <c r="F197" s="526" t="s">
        <v>3742</v>
      </c>
      <c r="G197" s="536" t="s">
        <v>3743</v>
      </c>
      <c r="H197" s="528" t="s">
        <v>3341</v>
      </c>
      <c r="I197" s="528" t="s">
        <v>3333</v>
      </c>
      <c r="J197" s="528"/>
      <c r="K197" s="529"/>
      <c r="L197" s="530"/>
      <c r="M197" s="530"/>
    </row>
    <row r="198" spans="1:13">
      <c r="A198" s="522">
        <v>197</v>
      </c>
      <c r="B198" s="562" t="s">
        <v>3739</v>
      </c>
      <c r="C198" s="524" t="s">
        <v>2420</v>
      </c>
      <c r="D198" s="524">
        <v>2.5</v>
      </c>
      <c r="E198" s="525"/>
      <c r="F198" s="526" t="s">
        <v>3744</v>
      </c>
      <c r="G198" s="536" t="s">
        <v>3745</v>
      </c>
      <c r="H198" s="528" t="s">
        <v>3341</v>
      </c>
      <c r="I198" s="528" t="s">
        <v>3333</v>
      </c>
      <c r="J198" s="528"/>
      <c r="K198" s="529"/>
      <c r="L198" s="530"/>
      <c r="M198" s="530"/>
    </row>
    <row r="199" spans="1:13">
      <c r="A199" s="522">
        <v>198</v>
      </c>
      <c r="B199" s="562" t="s">
        <v>3739</v>
      </c>
      <c r="C199" s="524" t="s">
        <v>2881</v>
      </c>
      <c r="D199" s="524">
        <v>2.5</v>
      </c>
      <c r="E199" s="525"/>
      <c r="F199" s="526" t="s">
        <v>3746</v>
      </c>
      <c r="G199" s="536" t="s">
        <v>3747</v>
      </c>
      <c r="H199" s="528" t="s">
        <v>3341</v>
      </c>
      <c r="I199" s="528" t="s">
        <v>3333</v>
      </c>
      <c r="J199" s="528"/>
      <c r="K199" s="529"/>
      <c r="L199" s="530"/>
      <c r="M199" s="530"/>
    </row>
    <row r="200" spans="1:13">
      <c r="A200" s="522">
        <v>199</v>
      </c>
      <c r="B200" s="562" t="s">
        <v>3739</v>
      </c>
      <c r="C200" s="524" t="s">
        <v>2876</v>
      </c>
      <c r="D200" s="524">
        <v>4.5</v>
      </c>
      <c r="E200" s="525"/>
      <c r="F200" s="526" t="s">
        <v>3748</v>
      </c>
      <c r="G200" s="536" t="s">
        <v>3749</v>
      </c>
      <c r="H200" s="528" t="s">
        <v>3341</v>
      </c>
      <c r="I200" s="528" t="s">
        <v>3333</v>
      </c>
      <c r="J200" s="528"/>
      <c r="K200" s="529"/>
      <c r="L200" s="530"/>
      <c r="M200" s="530"/>
    </row>
    <row r="201" spans="1:13">
      <c r="A201" s="522">
        <v>200</v>
      </c>
      <c r="B201" s="562" t="s">
        <v>3739</v>
      </c>
      <c r="C201" s="524" t="s">
        <v>2423</v>
      </c>
      <c r="D201" s="524">
        <v>2.5</v>
      </c>
      <c r="E201" s="525"/>
      <c r="F201" s="526" t="s">
        <v>3750</v>
      </c>
      <c r="G201" s="527" t="s">
        <v>3751</v>
      </c>
      <c r="H201" s="528" t="s">
        <v>3328</v>
      </c>
      <c r="I201" s="528" t="s">
        <v>3333</v>
      </c>
      <c r="J201" s="528"/>
      <c r="K201" s="529"/>
      <c r="L201" s="530"/>
      <c r="M201" s="530"/>
    </row>
    <row r="202" spans="1:13">
      <c r="A202" s="522">
        <v>201</v>
      </c>
      <c r="B202" s="562" t="s">
        <v>3739</v>
      </c>
      <c r="C202" s="524" t="s">
        <v>2425</v>
      </c>
      <c r="D202" s="524">
        <v>1.5</v>
      </c>
      <c r="E202" s="525"/>
      <c r="F202" s="534" t="s">
        <v>3752</v>
      </c>
      <c r="G202" s="536" t="s">
        <v>3753</v>
      </c>
      <c r="H202" s="528" t="s">
        <v>3341</v>
      </c>
      <c r="I202" s="528" t="s">
        <v>3333</v>
      </c>
      <c r="J202" s="528" t="s">
        <v>3337</v>
      </c>
      <c r="K202" s="553" t="s">
        <v>3754</v>
      </c>
      <c r="L202" s="554"/>
      <c r="M202" s="555" t="s">
        <v>3649</v>
      </c>
    </row>
    <row r="203" spans="1:13">
      <c r="A203" s="522">
        <v>202</v>
      </c>
      <c r="B203" s="562" t="s">
        <v>3739</v>
      </c>
      <c r="C203" s="524" t="s">
        <v>2426</v>
      </c>
      <c r="D203" s="524">
        <v>1.5</v>
      </c>
      <c r="E203" s="525"/>
      <c r="F203" s="526" t="s">
        <v>3755</v>
      </c>
      <c r="G203" s="536" t="s">
        <v>3756</v>
      </c>
      <c r="H203" s="528" t="s">
        <v>3341</v>
      </c>
      <c r="I203" s="528" t="s">
        <v>3333</v>
      </c>
      <c r="J203" s="528"/>
      <c r="K203" s="529"/>
      <c r="L203" s="530"/>
      <c r="M203" s="530"/>
    </row>
    <row r="204" spans="1:13">
      <c r="A204" s="522">
        <v>203</v>
      </c>
      <c r="B204" s="562" t="s">
        <v>3739</v>
      </c>
      <c r="C204" s="524" t="s">
        <v>2882</v>
      </c>
      <c r="D204" s="524">
        <v>1.5</v>
      </c>
      <c r="E204" s="525"/>
      <c r="F204" s="526" t="s">
        <v>3757</v>
      </c>
      <c r="G204" s="536" t="s">
        <v>3758</v>
      </c>
      <c r="H204" s="528" t="s">
        <v>3341</v>
      </c>
      <c r="I204" s="528" t="s">
        <v>3333</v>
      </c>
      <c r="J204" s="528"/>
      <c r="K204" s="529"/>
      <c r="L204" s="530"/>
      <c r="M204" s="530"/>
    </row>
    <row r="205" spans="1:13">
      <c r="A205" s="522">
        <v>204</v>
      </c>
      <c r="B205" s="562" t="s">
        <v>3739</v>
      </c>
      <c r="C205" s="524" t="s">
        <v>2875</v>
      </c>
      <c r="D205" s="524">
        <v>1.5</v>
      </c>
      <c r="E205" s="525"/>
      <c r="F205" s="548" t="s">
        <v>3759</v>
      </c>
      <c r="G205" s="536" t="s">
        <v>3760</v>
      </c>
      <c r="H205" s="528" t="s">
        <v>3341</v>
      </c>
      <c r="I205" s="528" t="s">
        <v>3329</v>
      </c>
      <c r="J205" s="528" t="s">
        <v>3337</v>
      </c>
      <c r="K205" s="529"/>
      <c r="L205" s="530"/>
      <c r="M205" s="530"/>
    </row>
    <row r="206" spans="1:13">
      <c r="A206" s="522">
        <v>205</v>
      </c>
      <c r="B206" s="562" t="s">
        <v>3739</v>
      </c>
      <c r="C206" s="524" t="s">
        <v>2878</v>
      </c>
      <c r="D206" s="524">
        <v>1</v>
      </c>
      <c r="E206" s="525"/>
      <c r="F206" s="526" t="s">
        <v>3761</v>
      </c>
      <c r="G206" s="527" t="s">
        <v>3762</v>
      </c>
      <c r="H206" s="528" t="s">
        <v>3328</v>
      </c>
      <c r="I206" s="528" t="s">
        <v>3333</v>
      </c>
      <c r="J206" s="528"/>
      <c r="K206" s="529"/>
      <c r="L206" s="530"/>
      <c r="M206" s="530"/>
    </row>
    <row r="207" spans="1:13">
      <c r="A207" s="522">
        <v>206</v>
      </c>
      <c r="B207" s="562" t="s">
        <v>3739</v>
      </c>
      <c r="C207" s="524" t="s">
        <v>2880</v>
      </c>
      <c r="D207" s="524">
        <v>1.5</v>
      </c>
      <c r="E207" s="525"/>
      <c r="F207" s="526" t="s">
        <v>3763</v>
      </c>
      <c r="G207" s="536" t="s">
        <v>3764</v>
      </c>
      <c r="H207" s="528" t="s">
        <v>3341</v>
      </c>
      <c r="I207" s="528" t="s">
        <v>3333</v>
      </c>
      <c r="J207" s="528"/>
      <c r="K207" s="529"/>
      <c r="L207" s="530"/>
      <c r="M207" s="530"/>
    </row>
    <row r="208" spans="1:13">
      <c r="A208" s="522">
        <v>207</v>
      </c>
      <c r="B208" s="562" t="s">
        <v>3739</v>
      </c>
      <c r="C208" s="524" t="s">
        <v>2883</v>
      </c>
      <c r="D208" s="524">
        <v>3.5</v>
      </c>
      <c r="E208" s="525"/>
      <c r="F208" s="526" t="s">
        <v>3765</v>
      </c>
      <c r="G208" s="536" t="s">
        <v>3766</v>
      </c>
      <c r="H208" s="528" t="s">
        <v>3341</v>
      </c>
      <c r="I208" s="528" t="s">
        <v>3333</v>
      </c>
      <c r="J208" s="528"/>
      <c r="K208" s="529"/>
      <c r="L208" s="530"/>
      <c r="M208" s="530"/>
    </row>
    <row r="209" spans="1:13">
      <c r="A209" s="522">
        <v>208</v>
      </c>
      <c r="B209" s="562" t="s">
        <v>3739</v>
      </c>
      <c r="C209" s="524" t="s">
        <v>2428</v>
      </c>
      <c r="D209" s="524">
        <v>2.5</v>
      </c>
      <c r="E209" s="525"/>
      <c r="F209" s="526" t="s">
        <v>3767</v>
      </c>
      <c r="G209" s="536" t="s">
        <v>3768</v>
      </c>
      <c r="H209" s="528" t="s">
        <v>3341</v>
      </c>
      <c r="I209" s="528" t="s">
        <v>3333</v>
      </c>
      <c r="J209" s="528"/>
      <c r="K209" s="529"/>
      <c r="L209" s="530"/>
      <c r="M209" s="530"/>
    </row>
    <row r="210" spans="1:13">
      <c r="A210" s="522">
        <v>209</v>
      </c>
      <c r="B210" s="523" t="s">
        <v>3769</v>
      </c>
      <c r="C210" s="524" t="s">
        <v>2885</v>
      </c>
      <c r="D210" s="524">
        <v>2.5</v>
      </c>
      <c r="E210" s="525"/>
      <c r="F210" s="526" t="s">
        <v>3770</v>
      </c>
      <c r="G210" s="527" t="s">
        <v>3771</v>
      </c>
      <c r="H210" s="528" t="s">
        <v>3328</v>
      </c>
      <c r="I210" s="528" t="s">
        <v>3333</v>
      </c>
      <c r="J210" s="528"/>
      <c r="K210" s="529"/>
      <c r="L210" s="530"/>
      <c r="M210" s="530"/>
    </row>
    <row r="211" spans="1:13">
      <c r="A211" s="522">
        <v>210</v>
      </c>
      <c r="B211" s="523" t="s">
        <v>3769</v>
      </c>
      <c r="C211" s="524" t="s">
        <v>2441</v>
      </c>
      <c r="D211" s="524">
        <v>2.5</v>
      </c>
      <c r="E211" s="525"/>
      <c r="F211" s="526" t="s">
        <v>3772</v>
      </c>
      <c r="G211" s="527" t="s">
        <v>3773</v>
      </c>
      <c r="H211" s="528" t="s">
        <v>3328</v>
      </c>
      <c r="I211" s="528" t="s">
        <v>3333</v>
      </c>
      <c r="J211" s="528"/>
      <c r="K211" s="529"/>
      <c r="L211" s="530"/>
      <c r="M211" s="530"/>
    </row>
    <row r="212" spans="1:13">
      <c r="A212" s="522">
        <v>211</v>
      </c>
      <c r="B212" s="523" t="s">
        <v>3769</v>
      </c>
      <c r="C212" s="524" t="s">
        <v>2442</v>
      </c>
      <c r="D212" s="524">
        <v>1.5</v>
      </c>
      <c r="E212" s="525"/>
      <c r="F212" s="526" t="s">
        <v>3774</v>
      </c>
      <c r="G212" s="527" t="s">
        <v>3775</v>
      </c>
      <c r="H212" s="528" t="s">
        <v>3328</v>
      </c>
      <c r="I212" s="528" t="s">
        <v>3333</v>
      </c>
      <c r="J212" s="528"/>
      <c r="K212" s="529"/>
      <c r="L212" s="530"/>
      <c r="M212" s="530"/>
    </row>
    <row r="213" spans="1:13">
      <c r="A213" s="522">
        <v>212</v>
      </c>
      <c r="B213" s="523" t="s">
        <v>3769</v>
      </c>
      <c r="C213" s="524" t="s">
        <v>2443</v>
      </c>
      <c r="D213" s="524">
        <v>1.5</v>
      </c>
      <c r="E213" s="525"/>
      <c r="F213" s="526" t="s">
        <v>3776</v>
      </c>
      <c r="G213" s="527" t="s">
        <v>3777</v>
      </c>
      <c r="H213" s="528" t="s">
        <v>3328</v>
      </c>
      <c r="I213" s="528" t="s">
        <v>3333</v>
      </c>
      <c r="J213" s="528"/>
      <c r="K213" s="529"/>
      <c r="L213" s="530"/>
      <c r="M213" s="530"/>
    </row>
    <row r="214" spans="1:13">
      <c r="A214" s="522">
        <v>213</v>
      </c>
      <c r="B214" s="523" t="s">
        <v>3769</v>
      </c>
      <c r="C214" s="524" t="s">
        <v>2444</v>
      </c>
      <c r="D214" s="524">
        <v>2.5</v>
      </c>
      <c r="E214" s="525"/>
      <c r="F214" s="526" t="s">
        <v>3778</v>
      </c>
      <c r="G214" s="527" t="s">
        <v>3779</v>
      </c>
      <c r="H214" s="528" t="s">
        <v>3328</v>
      </c>
      <c r="I214" s="528" t="s">
        <v>3333</v>
      </c>
      <c r="J214" s="528"/>
      <c r="K214" s="529"/>
      <c r="L214" s="530"/>
      <c r="M214" s="530"/>
    </row>
    <row r="215" spans="1:13">
      <c r="A215" s="522">
        <v>214</v>
      </c>
      <c r="B215" s="523" t="s">
        <v>3769</v>
      </c>
      <c r="C215" s="524" t="s">
        <v>2445</v>
      </c>
      <c r="D215" s="524">
        <v>3.5</v>
      </c>
      <c r="E215" s="525"/>
      <c r="F215" s="526" t="s">
        <v>3780</v>
      </c>
      <c r="G215" s="527" t="s">
        <v>3781</v>
      </c>
      <c r="H215" s="528" t="s">
        <v>3328</v>
      </c>
      <c r="I215" s="528" t="s">
        <v>3333</v>
      </c>
      <c r="J215" s="528"/>
      <c r="K215" s="529"/>
      <c r="L215" s="530"/>
      <c r="M215" s="530"/>
    </row>
    <row r="216" spans="1:13">
      <c r="A216" s="522">
        <v>215</v>
      </c>
      <c r="B216" s="523" t="s">
        <v>3769</v>
      </c>
      <c r="C216" s="524" t="s">
        <v>2884</v>
      </c>
      <c r="D216" s="524">
        <v>1.5</v>
      </c>
      <c r="E216" s="525"/>
      <c r="F216" s="526" t="s">
        <v>3782</v>
      </c>
      <c r="G216" s="536" t="s">
        <v>3783</v>
      </c>
      <c r="H216" s="528" t="s">
        <v>3341</v>
      </c>
      <c r="I216" s="528" t="s">
        <v>3333</v>
      </c>
      <c r="J216" s="528"/>
      <c r="K216" s="529"/>
      <c r="L216" s="530"/>
      <c r="M216" s="530"/>
    </row>
    <row r="217" spans="1:13" ht="16.5" customHeight="1">
      <c r="A217" s="522">
        <v>216</v>
      </c>
      <c r="B217" s="523" t="s">
        <v>3769</v>
      </c>
      <c r="C217" s="524" t="s">
        <v>2437</v>
      </c>
      <c r="D217" s="524">
        <v>3.5</v>
      </c>
      <c r="E217" s="538"/>
      <c r="F217" s="526" t="s">
        <v>3784</v>
      </c>
      <c r="G217" s="527" t="s">
        <v>3785</v>
      </c>
      <c r="H217" s="528" t="s">
        <v>3328</v>
      </c>
      <c r="I217" s="528" t="s">
        <v>3333</v>
      </c>
      <c r="J217" s="528"/>
      <c r="K217" s="529"/>
      <c r="L217" s="530"/>
      <c r="M217" s="530"/>
    </row>
    <row r="218" spans="1:13" ht="16.5" customHeight="1">
      <c r="A218" s="522">
        <v>217</v>
      </c>
      <c r="B218" s="523" t="s">
        <v>3769</v>
      </c>
      <c r="C218" s="524" t="s">
        <v>2436</v>
      </c>
      <c r="D218" s="524">
        <v>1.5</v>
      </c>
      <c r="E218" s="538"/>
      <c r="F218" s="526" t="s">
        <v>3786</v>
      </c>
      <c r="G218" s="527" t="s">
        <v>3787</v>
      </c>
      <c r="H218" s="528" t="s">
        <v>3328</v>
      </c>
      <c r="I218" s="528" t="s">
        <v>3333</v>
      </c>
      <c r="J218" s="528"/>
      <c r="K218" s="529"/>
      <c r="L218" s="530"/>
      <c r="M218" s="530"/>
    </row>
    <row r="219" spans="1:13">
      <c r="A219" s="522">
        <v>218</v>
      </c>
      <c r="B219" s="523" t="s">
        <v>3769</v>
      </c>
      <c r="C219" s="524" t="s">
        <v>2435</v>
      </c>
      <c r="D219" s="524">
        <v>2.5</v>
      </c>
      <c r="E219" s="525"/>
      <c r="F219" s="526" t="s">
        <v>3788</v>
      </c>
      <c r="G219" s="536" t="s">
        <v>3789</v>
      </c>
      <c r="H219" s="528" t="s">
        <v>3341</v>
      </c>
      <c r="I219" s="528" t="s">
        <v>3333</v>
      </c>
      <c r="J219" s="528"/>
      <c r="K219" s="529"/>
      <c r="L219" s="530"/>
      <c r="M219" s="530"/>
    </row>
    <row r="220" spans="1:13">
      <c r="A220" s="522">
        <v>219</v>
      </c>
      <c r="B220" s="523" t="s">
        <v>3769</v>
      </c>
      <c r="C220" s="524" t="s">
        <v>2434</v>
      </c>
      <c r="D220" s="524">
        <v>1.5</v>
      </c>
      <c r="E220" s="525"/>
      <c r="F220" s="526" t="s">
        <v>3790</v>
      </c>
      <c r="G220" s="536" t="s">
        <v>3791</v>
      </c>
      <c r="H220" s="528" t="s">
        <v>3341</v>
      </c>
      <c r="I220" s="528" t="s">
        <v>3333</v>
      </c>
      <c r="J220" s="528"/>
      <c r="K220" s="529"/>
      <c r="L220" s="530"/>
      <c r="M220" s="530"/>
    </row>
    <row r="221" spans="1:13">
      <c r="A221" s="522">
        <v>220</v>
      </c>
      <c r="B221" s="523" t="s">
        <v>3769</v>
      </c>
      <c r="C221" s="524" t="s">
        <v>2433</v>
      </c>
      <c r="D221" s="524">
        <v>2.5</v>
      </c>
      <c r="E221" s="525"/>
      <c r="F221" s="526" t="s">
        <v>3792</v>
      </c>
      <c r="G221" s="527" t="s">
        <v>3793</v>
      </c>
      <c r="H221" s="528" t="s">
        <v>3328</v>
      </c>
      <c r="I221" s="528" t="s">
        <v>3333</v>
      </c>
      <c r="J221" s="528"/>
      <c r="K221" s="529"/>
      <c r="L221" s="530"/>
      <c r="M221" s="530"/>
    </row>
    <row r="222" spans="1:13">
      <c r="A222" s="522">
        <v>221</v>
      </c>
      <c r="B222" s="523" t="s">
        <v>3769</v>
      </c>
      <c r="C222" s="524" t="s">
        <v>2886</v>
      </c>
      <c r="D222" s="524">
        <v>1.5</v>
      </c>
      <c r="E222" s="525"/>
      <c r="F222" s="526" t="s">
        <v>3794</v>
      </c>
      <c r="G222" s="527" t="s">
        <v>3795</v>
      </c>
      <c r="H222" s="528" t="s">
        <v>3328</v>
      </c>
      <c r="I222" s="528" t="s">
        <v>3333</v>
      </c>
      <c r="J222" s="528"/>
      <c r="K222" s="529"/>
      <c r="L222" s="530"/>
      <c r="M222" s="530"/>
    </row>
    <row r="223" spans="1:13">
      <c r="A223" s="522">
        <v>222</v>
      </c>
      <c r="B223" s="523" t="s">
        <v>3769</v>
      </c>
      <c r="C223" s="524" t="s">
        <v>2448</v>
      </c>
      <c r="D223" s="524">
        <v>1.5</v>
      </c>
      <c r="E223" s="525"/>
      <c r="F223" s="526" t="s">
        <v>3796</v>
      </c>
      <c r="G223" s="527" t="s">
        <v>3797</v>
      </c>
      <c r="H223" s="528" t="s">
        <v>3328</v>
      </c>
      <c r="I223" s="528" t="s">
        <v>3333</v>
      </c>
      <c r="J223" s="528"/>
      <c r="K223" s="529"/>
      <c r="L223" s="530"/>
      <c r="M223" s="530"/>
    </row>
    <row r="224" spans="1:13">
      <c r="A224" s="522">
        <v>223</v>
      </c>
      <c r="B224" s="523" t="s">
        <v>3769</v>
      </c>
      <c r="C224" s="524" t="s">
        <v>2449</v>
      </c>
      <c r="D224" s="524">
        <v>0</v>
      </c>
      <c r="E224" s="525"/>
      <c r="F224" s="526" t="s">
        <v>3798</v>
      </c>
      <c r="G224" s="527" t="s">
        <v>3799</v>
      </c>
      <c r="H224" s="528" t="s">
        <v>3328</v>
      </c>
      <c r="I224" s="528" t="s">
        <v>3329</v>
      </c>
      <c r="J224" s="528"/>
      <c r="K224" s="529"/>
      <c r="L224" s="530"/>
      <c r="M224" s="530"/>
    </row>
    <row r="225" spans="1:13">
      <c r="A225" s="522">
        <v>224</v>
      </c>
      <c r="B225" s="523" t="s">
        <v>3769</v>
      </c>
      <c r="C225" s="524" t="s">
        <v>2450</v>
      </c>
      <c r="D225" s="524">
        <v>2.5</v>
      </c>
      <c r="E225" s="525"/>
      <c r="F225" s="526" t="s">
        <v>3800</v>
      </c>
      <c r="G225" s="527" t="s">
        <v>3801</v>
      </c>
      <c r="H225" s="528" t="s">
        <v>3328</v>
      </c>
      <c r="I225" s="528" t="s">
        <v>3333</v>
      </c>
      <c r="J225" s="528"/>
      <c r="K225" s="529"/>
      <c r="L225" s="530"/>
      <c r="M225" s="530"/>
    </row>
    <row r="226" spans="1:13" ht="30.75" customHeight="1">
      <c r="A226" s="522">
        <v>225</v>
      </c>
      <c r="B226" s="523" t="s">
        <v>3769</v>
      </c>
      <c r="C226" s="524" t="s">
        <v>2451</v>
      </c>
      <c r="D226" s="524">
        <v>1.5</v>
      </c>
      <c r="E226" s="563" t="s">
        <v>3802</v>
      </c>
      <c r="F226" s="526" t="s">
        <v>3803</v>
      </c>
      <c r="G226" s="527" t="s">
        <v>3804</v>
      </c>
      <c r="H226" s="528" t="s">
        <v>3328</v>
      </c>
      <c r="I226" s="528" t="s">
        <v>3329</v>
      </c>
      <c r="J226" s="528"/>
      <c r="K226" s="529"/>
      <c r="L226" s="530"/>
      <c r="M226" s="530"/>
    </row>
    <row r="227" spans="1:13">
      <c r="A227" s="522">
        <v>226</v>
      </c>
      <c r="B227" s="523" t="s">
        <v>3769</v>
      </c>
      <c r="C227" s="524" t="s">
        <v>2452</v>
      </c>
      <c r="D227" s="524">
        <v>0.5</v>
      </c>
      <c r="E227" s="525"/>
      <c r="F227" s="526" t="s">
        <v>3805</v>
      </c>
      <c r="G227" s="527" t="s">
        <v>3806</v>
      </c>
      <c r="H227" s="528" t="s">
        <v>3328</v>
      </c>
      <c r="I227" s="528" t="s">
        <v>3329</v>
      </c>
      <c r="J227" s="528"/>
      <c r="K227" s="529"/>
      <c r="L227" s="530"/>
      <c r="M227" s="530"/>
    </row>
    <row r="228" spans="1:13">
      <c r="A228" s="522">
        <v>227</v>
      </c>
      <c r="B228" s="523" t="s">
        <v>3769</v>
      </c>
      <c r="C228" s="524" t="s">
        <v>2887</v>
      </c>
      <c r="D228" s="524">
        <v>2.5</v>
      </c>
      <c r="E228" s="525"/>
      <c r="F228" s="526" t="s">
        <v>3807</v>
      </c>
      <c r="G228" s="527" t="s">
        <v>3808</v>
      </c>
      <c r="H228" s="528" t="s">
        <v>3328</v>
      </c>
      <c r="I228" s="528" t="s">
        <v>3333</v>
      </c>
      <c r="J228" s="528"/>
      <c r="K228" s="529"/>
      <c r="L228" s="530"/>
      <c r="M228" s="530"/>
    </row>
    <row r="229" spans="1:13">
      <c r="A229" s="522">
        <v>228</v>
      </c>
      <c r="B229" s="523" t="s">
        <v>3769</v>
      </c>
      <c r="C229" s="524" t="s">
        <v>2459</v>
      </c>
      <c r="D229" s="524">
        <v>0.5</v>
      </c>
      <c r="E229" s="525"/>
      <c r="F229" s="526" t="s">
        <v>3809</v>
      </c>
      <c r="G229" s="527" t="s">
        <v>3810</v>
      </c>
      <c r="H229" s="528" t="s">
        <v>3328</v>
      </c>
      <c r="I229" s="528" t="s">
        <v>3333</v>
      </c>
      <c r="J229" s="528"/>
      <c r="K229" s="529"/>
      <c r="L229" s="530"/>
      <c r="M229" s="530"/>
    </row>
    <row r="230" spans="1:13">
      <c r="A230" s="522">
        <v>229</v>
      </c>
      <c r="B230" s="523" t="s">
        <v>3769</v>
      </c>
      <c r="C230" s="524" t="s">
        <v>2458</v>
      </c>
      <c r="D230" s="524">
        <v>1.5</v>
      </c>
      <c r="E230" s="525"/>
      <c r="F230" s="526" t="s">
        <v>3811</v>
      </c>
      <c r="G230" s="527" t="s">
        <v>3812</v>
      </c>
      <c r="H230" s="528" t="s">
        <v>3328</v>
      </c>
      <c r="I230" s="528" t="s">
        <v>3333</v>
      </c>
      <c r="J230" s="528"/>
      <c r="K230" s="529"/>
      <c r="L230" s="530"/>
      <c r="M230" s="530"/>
    </row>
    <row r="231" spans="1:13">
      <c r="A231" s="522">
        <v>230</v>
      </c>
      <c r="B231" s="523" t="s">
        <v>3769</v>
      </c>
      <c r="C231" s="524" t="s">
        <v>2457</v>
      </c>
      <c r="D231" s="524">
        <v>0.5</v>
      </c>
      <c r="E231" s="525"/>
      <c r="F231" s="526" t="s">
        <v>3813</v>
      </c>
      <c r="G231" s="527" t="s">
        <v>3814</v>
      </c>
      <c r="H231" s="528" t="s">
        <v>3328</v>
      </c>
      <c r="I231" s="528" t="s">
        <v>3333</v>
      </c>
      <c r="J231" s="528"/>
      <c r="K231" s="529"/>
      <c r="L231" s="530"/>
      <c r="M231" s="530"/>
    </row>
    <row r="232" spans="1:13">
      <c r="A232" s="522">
        <v>231</v>
      </c>
      <c r="B232" s="523" t="s">
        <v>3769</v>
      </c>
      <c r="C232" s="524" t="s">
        <v>2456</v>
      </c>
      <c r="D232" s="524">
        <v>2.5</v>
      </c>
      <c r="E232" s="525"/>
      <c r="F232" s="526" t="s">
        <v>3815</v>
      </c>
      <c r="G232" s="527" t="s">
        <v>3816</v>
      </c>
      <c r="H232" s="528" t="s">
        <v>3328</v>
      </c>
      <c r="I232" s="528" t="s">
        <v>3333</v>
      </c>
      <c r="J232" s="528"/>
      <c r="K232" s="529"/>
      <c r="L232" s="530"/>
      <c r="M232" s="530"/>
    </row>
    <row r="233" spans="1:13">
      <c r="A233" s="522">
        <v>232</v>
      </c>
      <c r="B233" s="523" t="s">
        <v>3769</v>
      </c>
      <c r="C233" s="524" t="s">
        <v>2455</v>
      </c>
      <c r="D233" s="524">
        <v>2.5</v>
      </c>
      <c r="E233" s="525"/>
      <c r="F233" s="526" t="s">
        <v>3817</v>
      </c>
      <c r="G233" s="527" t="s">
        <v>3818</v>
      </c>
      <c r="H233" s="528" t="s">
        <v>3328</v>
      </c>
      <c r="I233" s="528" t="s">
        <v>3333</v>
      </c>
      <c r="J233" s="528"/>
      <c r="K233" s="529"/>
      <c r="L233" s="530"/>
      <c r="M233" s="530"/>
    </row>
    <row r="234" spans="1:13">
      <c r="A234" s="522">
        <v>233</v>
      </c>
      <c r="B234" s="564" t="s">
        <v>3819</v>
      </c>
      <c r="C234" s="524" t="s">
        <v>1888</v>
      </c>
      <c r="D234" s="547" t="s">
        <v>3820</v>
      </c>
      <c r="E234" s="543" t="s">
        <v>3711</v>
      </c>
      <c r="F234" s="565" t="s">
        <v>3821</v>
      </c>
      <c r="G234" s="536" t="s">
        <v>3822</v>
      </c>
      <c r="H234" s="528" t="s">
        <v>3341</v>
      </c>
      <c r="I234" s="528" t="s">
        <v>3329</v>
      </c>
      <c r="J234" s="528" t="s">
        <v>3337</v>
      </c>
      <c r="K234" s="529"/>
      <c r="L234" s="530"/>
      <c r="M234" s="530"/>
    </row>
    <row r="235" spans="1:13">
      <c r="A235" s="522">
        <v>234</v>
      </c>
      <c r="B235" s="564" t="s">
        <v>3819</v>
      </c>
      <c r="C235" s="524" t="s">
        <v>1890</v>
      </c>
      <c r="D235" s="547" t="s">
        <v>3823</v>
      </c>
      <c r="E235" s="543" t="s">
        <v>3711</v>
      </c>
      <c r="F235" s="565" t="s">
        <v>3824</v>
      </c>
      <c r="G235" s="536" t="s">
        <v>3825</v>
      </c>
      <c r="H235" s="528" t="s">
        <v>3341</v>
      </c>
      <c r="I235" s="528" t="s">
        <v>3329</v>
      </c>
      <c r="J235" s="528" t="s">
        <v>3337</v>
      </c>
      <c r="K235" s="529"/>
      <c r="L235" s="530"/>
      <c r="M235" s="530"/>
    </row>
    <row r="236" spans="1:13">
      <c r="A236" s="522">
        <v>235</v>
      </c>
      <c r="B236" s="564" t="s">
        <v>3819</v>
      </c>
      <c r="C236" s="524" t="s">
        <v>2888</v>
      </c>
      <c r="D236" s="547">
        <v>2.5</v>
      </c>
      <c r="E236" s="566"/>
      <c r="F236" s="526" t="s">
        <v>3826</v>
      </c>
      <c r="G236" s="536" t="s">
        <v>3827</v>
      </c>
      <c r="H236" s="528" t="s">
        <v>3341</v>
      </c>
      <c r="I236" s="528" t="s">
        <v>3333</v>
      </c>
      <c r="J236" s="528"/>
      <c r="K236" s="529"/>
      <c r="L236" s="530"/>
      <c r="M236" s="530"/>
    </row>
    <row r="237" spans="1:13">
      <c r="A237" s="522">
        <v>236</v>
      </c>
      <c r="B237" s="564" t="s">
        <v>3819</v>
      </c>
      <c r="C237" s="524" t="s">
        <v>2889</v>
      </c>
      <c r="D237" s="547">
        <v>1.5</v>
      </c>
      <c r="E237" s="566"/>
      <c r="F237" s="526" t="s">
        <v>3828</v>
      </c>
      <c r="G237" s="527" t="s">
        <v>3829</v>
      </c>
      <c r="H237" s="528" t="s">
        <v>3328</v>
      </c>
      <c r="I237" s="528" t="s">
        <v>3333</v>
      </c>
      <c r="J237" s="528"/>
      <c r="K237" s="529"/>
      <c r="L237" s="530"/>
      <c r="M237" s="530"/>
    </row>
    <row r="238" spans="1:13">
      <c r="A238" s="522">
        <v>237</v>
      </c>
      <c r="B238" s="564" t="s">
        <v>3819</v>
      </c>
      <c r="C238" s="524" t="s">
        <v>2892</v>
      </c>
      <c r="D238" s="547">
        <v>3.5</v>
      </c>
      <c r="E238" s="566"/>
      <c r="F238" s="526" t="s">
        <v>3830</v>
      </c>
      <c r="G238" s="536" t="s">
        <v>3831</v>
      </c>
      <c r="H238" s="528" t="s">
        <v>3341</v>
      </c>
      <c r="I238" s="528" t="s">
        <v>3333</v>
      </c>
      <c r="J238" s="528"/>
      <c r="K238" s="529"/>
      <c r="L238" s="530"/>
      <c r="M238" s="530"/>
    </row>
    <row r="239" spans="1:13">
      <c r="A239" s="522">
        <v>238</v>
      </c>
      <c r="B239" s="564" t="s">
        <v>3819</v>
      </c>
      <c r="C239" s="524" t="s">
        <v>2890</v>
      </c>
      <c r="D239" s="547">
        <v>2.5</v>
      </c>
      <c r="E239" s="566"/>
      <c r="F239" s="526" t="s">
        <v>3832</v>
      </c>
      <c r="G239" s="527" t="s">
        <v>3833</v>
      </c>
      <c r="H239" s="528" t="s">
        <v>3328</v>
      </c>
      <c r="I239" s="528" t="s">
        <v>3333</v>
      </c>
      <c r="J239" s="528"/>
      <c r="K239" s="529"/>
      <c r="L239" s="530"/>
      <c r="M239" s="530"/>
    </row>
    <row r="240" spans="1:13">
      <c r="A240" s="522">
        <v>239</v>
      </c>
      <c r="B240" s="564" t="s">
        <v>3819</v>
      </c>
      <c r="C240" s="524" t="s">
        <v>1961</v>
      </c>
      <c r="D240" s="547" t="s">
        <v>3834</v>
      </c>
      <c r="E240" s="543" t="s">
        <v>3711</v>
      </c>
      <c r="F240" s="565" t="s">
        <v>3835</v>
      </c>
      <c r="G240" s="536" t="s">
        <v>3836</v>
      </c>
      <c r="H240" s="528" t="s">
        <v>3341</v>
      </c>
      <c r="I240" s="528" t="s">
        <v>3329</v>
      </c>
      <c r="J240" s="528" t="s">
        <v>3337</v>
      </c>
      <c r="K240" s="529"/>
      <c r="L240" s="530"/>
      <c r="M240" s="530"/>
    </row>
    <row r="241" spans="1:13">
      <c r="A241" s="522">
        <v>240</v>
      </c>
      <c r="B241" s="564" t="s">
        <v>3819</v>
      </c>
      <c r="C241" s="524" t="s">
        <v>1963</v>
      </c>
      <c r="D241" s="547" t="s">
        <v>3837</v>
      </c>
      <c r="E241" s="543" t="s">
        <v>3711</v>
      </c>
      <c r="F241" s="565" t="s">
        <v>3838</v>
      </c>
      <c r="G241" s="536" t="s">
        <v>3839</v>
      </c>
      <c r="H241" s="528" t="s">
        <v>3341</v>
      </c>
      <c r="I241" s="528" t="s">
        <v>3329</v>
      </c>
      <c r="J241" s="528"/>
      <c r="K241" s="529"/>
      <c r="L241" s="530"/>
      <c r="M241" s="530"/>
    </row>
    <row r="242" spans="1:13">
      <c r="A242" s="522">
        <v>241</v>
      </c>
      <c r="B242" s="564" t="s">
        <v>3819</v>
      </c>
      <c r="C242" s="524" t="s">
        <v>2893</v>
      </c>
      <c r="D242" s="547">
        <v>1.5</v>
      </c>
      <c r="E242" s="566"/>
      <c r="F242" s="526" t="s">
        <v>3840</v>
      </c>
      <c r="G242" s="527" t="s">
        <v>3841</v>
      </c>
      <c r="H242" s="528" t="s">
        <v>3328</v>
      </c>
      <c r="I242" s="528" t="s">
        <v>3333</v>
      </c>
      <c r="J242" s="528"/>
      <c r="K242" s="529"/>
      <c r="L242" s="530"/>
      <c r="M242" s="530"/>
    </row>
    <row r="243" spans="1:13">
      <c r="A243" s="522">
        <v>242</v>
      </c>
      <c r="B243" s="564" t="s">
        <v>3819</v>
      </c>
      <c r="C243" s="524" t="s">
        <v>2467</v>
      </c>
      <c r="D243" s="547">
        <v>3.5</v>
      </c>
      <c r="E243" s="566"/>
      <c r="F243" s="526" t="s">
        <v>3842</v>
      </c>
      <c r="G243" s="536" t="s">
        <v>3843</v>
      </c>
      <c r="H243" s="528" t="s">
        <v>3341</v>
      </c>
      <c r="I243" s="528" t="s">
        <v>3333</v>
      </c>
      <c r="J243" s="528"/>
      <c r="K243" s="529"/>
      <c r="L243" s="530"/>
      <c r="M243" s="530"/>
    </row>
    <row r="244" spans="1:13">
      <c r="A244" s="522">
        <v>243</v>
      </c>
      <c r="B244" s="564" t="s">
        <v>3819</v>
      </c>
      <c r="C244" s="524" t="s">
        <v>1965</v>
      </c>
      <c r="D244" s="547">
        <v>1</v>
      </c>
      <c r="E244" s="566"/>
      <c r="F244" s="526" t="s">
        <v>3844</v>
      </c>
      <c r="G244" s="527" t="s">
        <v>3833</v>
      </c>
      <c r="H244" s="528" t="s">
        <v>3328</v>
      </c>
      <c r="I244" s="528" t="s">
        <v>3333</v>
      </c>
      <c r="J244" s="528"/>
      <c r="K244" s="529"/>
      <c r="L244" s="530"/>
      <c r="M244" s="530"/>
    </row>
    <row r="245" spans="1:13">
      <c r="A245" s="522">
        <v>244</v>
      </c>
      <c r="B245" s="564" t="s">
        <v>3819</v>
      </c>
      <c r="C245" s="524" t="s">
        <v>2891</v>
      </c>
      <c r="D245" s="547">
        <v>1.5</v>
      </c>
      <c r="E245" s="566"/>
      <c r="F245" s="526" t="s">
        <v>3845</v>
      </c>
      <c r="G245" s="527" t="s">
        <v>3833</v>
      </c>
      <c r="H245" s="528" t="s">
        <v>3328</v>
      </c>
      <c r="I245" s="528" t="s">
        <v>3333</v>
      </c>
      <c r="J245" s="528"/>
      <c r="K245" s="529"/>
      <c r="L245" s="530"/>
      <c r="M245" s="530"/>
    </row>
    <row r="246" spans="1:13">
      <c r="A246" s="522">
        <v>245</v>
      </c>
      <c r="B246" s="564" t="s">
        <v>3819</v>
      </c>
      <c r="C246" s="524" t="s">
        <v>2894</v>
      </c>
      <c r="D246" s="547">
        <v>1.5</v>
      </c>
      <c r="E246" s="566"/>
      <c r="F246" s="526" t="s">
        <v>3846</v>
      </c>
      <c r="G246" s="536" t="s">
        <v>3847</v>
      </c>
      <c r="H246" s="528" t="s">
        <v>3341</v>
      </c>
      <c r="I246" s="528" t="s">
        <v>3333</v>
      </c>
      <c r="J246" s="528"/>
      <c r="K246" s="529"/>
      <c r="L246" s="530"/>
      <c r="M246" s="530"/>
    </row>
    <row r="247" spans="1:13">
      <c r="A247" s="522">
        <v>246</v>
      </c>
      <c r="B247" s="564" t="s">
        <v>3819</v>
      </c>
      <c r="C247" s="524" t="s">
        <v>2473</v>
      </c>
      <c r="D247" s="547">
        <v>3.5</v>
      </c>
      <c r="E247" s="566"/>
      <c r="F247" s="526" t="s">
        <v>3848</v>
      </c>
      <c r="G247" s="536" t="s">
        <v>3849</v>
      </c>
      <c r="H247" s="528" t="s">
        <v>3341</v>
      </c>
      <c r="I247" s="528" t="s">
        <v>3333</v>
      </c>
      <c r="J247" s="528"/>
      <c r="K247" s="529"/>
      <c r="L247" s="530"/>
      <c r="M247" s="530"/>
    </row>
    <row r="248" spans="1:13">
      <c r="A248" s="522">
        <v>247</v>
      </c>
      <c r="B248" s="564" t="s">
        <v>3819</v>
      </c>
      <c r="C248" s="524" t="s">
        <v>2474</v>
      </c>
      <c r="D248" s="547">
        <v>1.5</v>
      </c>
      <c r="E248" s="566"/>
      <c r="F248" s="526" t="s">
        <v>3850</v>
      </c>
      <c r="G248" s="527" t="s">
        <v>3851</v>
      </c>
      <c r="H248" s="528" t="s">
        <v>3328</v>
      </c>
      <c r="I248" s="528" t="s">
        <v>3329</v>
      </c>
      <c r="J248" s="528"/>
      <c r="K248" s="529"/>
      <c r="L248" s="530"/>
      <c r="M248" s="530"/>
    </row>
    <row r="249" spans="1:13">
      <c r="A249" s="522">
        <v>248</v>
      </c>
      <c r="B249" s="567" t="s">
        <v>3852</v>
      </c>
      <c r="C249" s="524" t="s">
        <v>2476</v>
      </c>
      <c r="D249" s="524">
        <v>3.5</v>
      </c>
      <c r="E249" s="525"/>
      <c r="F249" s="534" t="s">
        <v>3853</v>
      </c>
      <c r="G249" s="527" t="s">
        <v>3854</v>
      </c>
      <c r="H249" s="528" t="s">
        <v>3328</v>
      </c>
      <c r="I249" s="528" t="s">
        <v>3329</v>
      </c>
      <c r="J249" s="528" t="s">
        <v>3337</v>
      </c>
      <c r="K249" s="529"/>
      <c r="L249" s="530"/>
      <c r="M249" s="530"/>
    </row>
    <row r="250" spans="1:13">
      <c r="A250" s="522">
        <v>249</v>
      </c>
      <c r="B250" s="567" t="s">
        <v>3852</v>
      </c>
      <c r="C250" s="524" t="s">
        <v>2477</v>
      </c>
      <c r="D250" s="524">
        <v>1.5</v>
      </c>
      <c r="E250" s="525"/>
      <c r="F250" s="526" t="s">
        <v>3855</v>
      </c>
      <c r="G250" s="527" t="s">
        <v>3856</v>
      </c>
      <c r="H250" s="528" t="s">
        <v>3328</v>
      </c>
      <c r="I250" s="528" t="s">
        <v>3333</v>
      </c>
      <c r="J250" s="528"/>
      <c r="K250" s="529"/>
      <c r="L250" s="530"/>
      <c r="M250" s="530"/>
    </row>
    <row r="251" spans="1:13">
      <c r="A251" s="522">
        <v>250</v>
      </c>
      <c r="B251" s="567" t="s">
        <v>3852</v>
      </c>
      <c r="C251" s="524" t="s">
        <v>2478</v>
      </c>
      <c r="D251" s="524">
        <v>0.5</v>
      </c>
      <c r="E251" s="525"/>
      <c r="F251" s="526" t="s">
        <v>3857</v>
      </c>
      <c r="G251" s="527" t="s">
        <v>3858</v>
      </c>
      <c r="H251" s="528" t="s">
        <v>3328</v>
      </c>
      <c r="I251" s="528" t="s">
        <v>3333</v>
      </c>
      <c r="J251" s="528"/>
      <c r="K251" s="529"/>
      <c r="L251" s="530"/>
      <c r="M251" s="530"/>
    </row>
    <row r="252" spans="1:13">
      <c r="A252" s="522">
        <v>251</v>
      </c>
      <c r="B252" s="567" t="s">
        <v>3852</v>
      </c>
      <c r="C252" s="524" t="s">
        <v>2479</v>
      </c>
      <c r="D252" s="524">
        <v>1.5</v>
      </c>
      <c r="E252" s="525"/>
      <c r="F252" s="548" t="s">
        <v>3859</v>
      </c>
      <c r="G252" s="527" t="s">
        <v>3860</v>
      </c>
      <c r="H252" s="528" t="s">
        <v>3328</v>
      </c>
      <c r="I252" s="528" t="s">
        <v>3329</v>
      </c>
      <c r="J252" s="528" t="s">
        <v>3337</v>
      </c>
      <c r="K252" s="529"/>
      <c r="L252" s="530"/>
      <c r="M252" s="530"/>
    </row>
    <row r="253" spans="1:13">
      <c r="A253" s="522">
        <v>252</v>
      </c>
      <c r="B253" s="567" t="s">
        <v>3852</v>
      </c>
      <c r="C253" s="524" t="s">
        <v>2480</v>
      </c>
      <c r="D253" s="524">
        <v>2.5</v>
      </c>
      <c r="E253" s="525"/>
      <c r="F253" s="534" t="s">
        <v>3861</v>
      </c>
      <c r="G253" s="527" t="s">
        <v>3862</v>
      </c>
      <c r="H253" s="528" t="s">
        <v>3328</v>
      </c>
      <c r="I253" s="528" t="s">
        <v>3329</v>
      </c>
      <c r="J253" s="528" t="s">
        <v>3337</v>
      </c>
      <c r="K253" s="529"/>
      <c r="L253" s="530"/>
      <c r="M253" s="530"/>
    </row>
    <row r="254" spans="1:13">
      <c r="A254" s="522">
        <v>253</v>
      </c>
      <c r="B254" s="567" t="s">
        <v>3852</v>
      </c>
      <c r="C254" s="524" t="s">
        <v>2482</v>
      </c>
      <c r="D254" s="524">
        <v>3.5</v>
      </c>
      <c r="E254" s="525"/>
      <c r="F254" s="526" t="s">
        <v>3863</v>
      </c>
      <c r="G254" s="527" t="s">
        <v>3864</v>
      </c>
      <c r="H254" s="528" t="s">
        <v>3328</v>
      </c>
      <c r="I254" s="528" t="s">
        <v>3333</v>
      </c>
      <c r="J254" s="528"/>
      <c r="K254" s="529"/>
      <c r="L254" s="530"/>
      <c r="M254" s="530"/>
    </row>
    <row r="255" spans="1:13">
      <c r="A255" s="522">
        <v>254</v>
      </c>
      <c r="B255" s="567" t="s">
        <v>3852</v>
      </c>
      <c r="C255" s="524" t="s">
        <v>2483</v>
      </c>
      <c r="D255" s="524">
        <v>2.5</v>
      </c>
      <c r="E255" s="525"/>
      <c r="F255" s="526" t="s">
        <v>3865</v>
      </c>
      <c r="G255" s="527" t="s">
        <v>3866</v>
      </c>
      <c r="H255" s="528" t="s">
        <v>3328</v>
      </c>
      <c r="I255" s="528" t="s">
        <v>3333</v>
      </c>
      <c r="J255" s="528"/>
      <c r="K255" s="529"/>
      <c r="L255" s="530"/>
      <c r="M255" s="530"/>
    </row>
    <row r="256" spans="1:13">
      <c r="A256" s="522">
        <v>255</v>
      </c>
      <c r="B256" s="567" t="s">
        <v>3852</v>
      </c>
      <c r="C256" s="524" t="s">
        <v>2484</v>
      </c>
      <c r="D256" s="524">
        <v>1.5</v>
      </c>
      <c r="E256" s="525"/>
      <c r="F256" s="526" t="s">
        <v>3867</v>
      </c>
      <c r="G256" s="550" t="s">
        <v>3868</v>
      </c>
      <c r="H256" s="528" t="s">
        <v>3328</v>
      </c>
      <c r="I256" s="528" t="s">
        <v>3333</v>
      </c>
      <c r="J256" s="528"/>
      <c r="K256" s="529"/>
      <c r="L256" s="530"/>
      <c r="M256" s="530"/>
    </row>
    <row r="257" spans="1:13">
      <c r="A257" s="522">
        <v>256</v>
      </c>
      <c r="B257" s="567" t="s">
        <v>3852</v>
      </c>
      <c r="C257" s="524" t="s">
        <v>2485</v>
      </c>
      <c r="D257" s="524">
        <v>0.5</v>
      </c>
      <c r="E257" s="525"/>
      <c r="F257" s="534" t="s">
        <v>3869</v>
      </c>
      <c r="G257" s="527" t="s">
        <v>3870</v>
      </c>
      <c r="H257" s="528" t="s">
        <v>3328</v>
      </c>
      <c r="I257" s="528" t="s">
        <v>3329</v>
      </c>
      <c r="J257" s="528" t="s">
        <v>3337</v>
      </c>
      <c r="K257" s="529"/>
      <c r="L257" s="530"/>
      <c r="M257" s="530"/>
    </row>
    <row r="258" spans="1:13">
      <c r="A258" s="522">
        <v>257</v>
      </c>
      <c r="B258" s="567" t="s">
        <v>3852</v>
      </c>
      <c r="C258" s="524" t="s">
        <v>2486</v>
      </c>
      <c r="D258" s="524">
        <v>2.5</v>
      </c>
      <c r="E258" s="525"/>
      <c r="F258" s="526" t="s">
        <v>3871</v>
      </c>
      <c r="G258" s="527" t="s">
        <v>3872</v>
      </c>
      <c r="H258" s="528" t="s">
        <v>3328</v>
      </c>
      <c r="I258" s="528" t="s">
        <v>3333</v>
      </c>
      <c r="J258" s="528"/>
      <c r="K258" s="529"/>
      <c r="L258" s="530"/>
      <c r="M258" s="530"/>
    </row>
    <row r="259" spans="1:13">
      <c r="A259" s="522">
        <v>258</v>
      </c>
      <c r="B259" s="567" t="s">
        <v>3852</v>
      </c>
      <c r="C259" s="524" t="s">
        <v>2488</v>
      </c>
      <c r="D259" s="524">
        <v>2.5</v>
      </c>
      <c r="E259" s="525"/>
      <c r="F259" s="526" t="s">
        <v>3873</v>
      </c>
      <c r="G259" s="527" t="s">
        <v>3874</v>
      </c>
      <c r="H259" s="528" t="s">
        <v>3328</v>
      </c>
      <c r="I259" s="528" t="s">
        <v>3333</v>
      </c>
      <c r="J259" s="528"/>
      <c r="K259" s="529"/>
      <c r="L259" s="530"/>
      <c r="M259" s="530"/>
    </row>
    <row r="260" spans="1:13">
      <c r="A260" s="522">
        <v>259</v>
      </c>
      <c r="B260" s="567" t="s">
        <v>3852</v>
      </c>
      <c r="C260" s="524" t="s">
        <v>2489</v>
      </c>
      <c r="D260" s="524">
        <v>1.5</v>
      </c>
      <c r="E260" s="525"/>
      <c r="F260" s="526" t="s">
        <v>3875</v>
      </c>
      <c r="G260" s="527" t="s">
        <v>3876</v>
      </c>
      <c r="H260" s="528" t="s">
        <v>3328</v>
      </c>
      <c r="I260" s="528" t="s">
        <v>3333</v>
      </c>
      <c r="J260" s="528"/>
      <c r="K260" s="529"/>
      <c r="L260" s="530"/>
      <c r="M260" s="530"/>
    </row>
    <row r="261" spans="1:13">
      <c r="A261" s="522">
        <v>260</v>
      </c>
      <c r="B261" s="567" t="s">
        <v>3852</v>
      </c>
      <c r="C261" s="524" t="s">
        <v>2490</v>
      </c>
      <c r="D261" s="524">
        <v>3.5</v>
      </c>
      <c r="E261" s="525"/>
      <c r="F261" s="526" t="s">
        <v>3877</v>
      </c>
      <c r="G261" s="527" t="s">
        <v>3878</v>
      </c>
      <c r="H261" s="528" t="s">
        <v>3328</v>
      </c>
      <c r="I261" s="528" t="s">
        <v>3333</v>
      </c>
      <c r="J261" s="528"/>
      <c r="K261" s="529"/>
      <c r="L261" s="530"/>
      <c r="M261" s="530"/>
    </row>
    <row r="262" spans="1:13">
      <c r="A262" s="522">
        <v>261</v>
      </c>
      <c r="B262" s="567" t="s">
        <v>3852</v>
      </c>
      <c r="C262" s="524" t="s">
        <v>2491</v>
      </c>
      <c r="D262" s="524">
        <v>2.5</v>
      </c>
      <c r="E262" s="525"/>
      <c r="F262" s="534" t="s">
        <v>3879</v>
      </c>
      <c r="G262" s="527" t="s">
        <v>3880</v>
      </c>
      <c r="H262" s="528" t="s">
        <v>3328</v>
      </c>
      <c r="I262" s="528" t="s">
        <v>3329</v>
      </c>
      <c r="J262" s="528" t="s">
        <v>3337</v>
      </c>
      <c r="K262" s="529"/>
      <c r="L262" s="530"/>
      <c r="M262" s="530"/>
    </row>
    <row r="263" spans="1:13">
      <c r="A263" s="522">
        <v>262</v>
      </c>
      <c r="B263" s="567" t="s">
        <v>3852</v>
      </c>
      <c r="C263" s="524" t="s">
        <v>2492</v>
      </c>
      <c r="D263" s="524">
        <v>2.5</v>
      </c>
      <c r="E263" s="525"/>
      <c r="F263" s="526" t="s">
        <v>3881</v>
      </c>
      <c r="G263" s="550" t="s">
        <v>3882</v>
      </c>
      <c r="H263" s="528" t="s">
        <v>3328</v>
      </c>
      <c r="I263" s="528" t="s">
        <v>3333</v>
      </c>
      <c r="J263" s="528"/>
      <c r="K263" s="529"/>
      <c r="L263" s="530"/>
      <c r="M263" s="530"/>
    </row>
    <row r="264" spans="1:13">
      <c r="A264" s="522">
        <v>263</v>
      </c>
      <c r="B264" s="523" t="s">
        <v>3883</v>
      </c>
      <c r="C264" s="524" t="s">
        <v>2896</v>
      </c>
      <c r="D264" s="524">
        <v>3.5</v>
      </c>
      <c r="E264" s="525"/>
      <c r="F264" s="526" t="s">
        <v>3884</v>
      </c>
      <c r="G264" s="536" t="s">
        <v>3885</v>
      </c>
      <c r="H264" s="528" t="s">
        <v>3341</v>
      </c>
      <c r="I264" s="528" t="s">
        <v>3333</v>
      </c>
      <c r="J264" s="528"/>
      <c r="K264" s="529"/>
      <c r="L264" s="530"/>
      <c r="M264" s="530"/>
    </row>
    <row r="265" spans="1:13">
      <c r="A265" s="522">
        <v>264</v>
      </c>
      <c r="B265" s="523" t="s">
        <v>3883</v>
      </c>
      <c r="C265" s="524" t="s">
        <v>2900</v>
      </c>
      <c r="D265" s="524">
        <v>4.5</v>
      </c>
      <c r="E265" s="525"/>
      <c r="F265" s="526" t="s">
        <v>3886</v>
      </c>
      <c r="G265" s="536" t="s">
        <v>3887</v>
      </c>
      <c r="H265" s="528" t="s">
        <v>3341</v>
      </c>
      <c r="I265" s="528" t="s">
        <v>3333</v>
      </c>
      <c r="J265" s="528"/>
      <c r="K265" s="529"/>
      <c r="L265" s="530"/>
      <c r="M265" s="530"/>
    </row>
    <row r="266" spans="1:13">
      <c r="A266" s="522">
        <v>265</v>
      </c>
      <c r="B266" s="523" t="s">
        <v>3883</v>
      </c>
      <c r="C266" s="524" t="s">
        <v>2496</v>
      </c>
      <c r="D266" s="524">
        <v>5.5</v>
      </c>
      <c r="E266" s="525"/>
      <c r="F266" s="526" t="s">
        <v>3888</v>
      </c>
      <c r="G266" s="536" t="s">
        <v>3889</v>
      </c>
      <c r="H266" s="528" t="s">
        <v>3341</v>
      </c>
      <c r="I266" s="528" t="s">
        <v>3333</v>
      </c>
      <c r="J266" s="528"/>
      <c r="K266" s="529"/>
      <c r="L266" s="530"/>
      <c r="M266" s="530"/>
    </row>
    <row r="267" spans="1:13">
      <c r="A267" s="522">
        <v>266</v>
      </c>
      <c r="B267" s="523" t="s">
        <v>3883</v>
      </c>
      <c r="C267" s="524" t="s">
        <v>2497</v>
      </c>
      <c r="D267" s="524">
        <v>1.5</v>
      </c>
      <c r="E267" s="525"/>
      <c r="F267" s="526" t="s">
        <v>3890</v>
      </c>
      <c r="G267" s="536" t="s">
        <v>3891</v>
      </c>
      <c r="H267" s="528" t="s">
        <v>3341</v>
      </c>
      <c r="I267" s="528" t="s">
        <v>3333</v>
      </c>
      <c r="J267" s="528"/>
      <c r="K267" s="529"/>
      <c r="L267" s="530"/>
      <c r="M267" s="530"/>
    </row>
    <row r="268" spans="1:13">
      <c r="A268" s="522">
        <v>267</v>
      </c>
      <c r="B268" s="523" t="s">
        <v>3883</v>
      </c>
      <c r="C268" s="524" t="s">
        <v>2498</v>
      </c>
      <c r="D268" s="524">
        <v>2.5</v>
      </c>
      <c r="E268" s="525"/>
      <c r="F268" s="526" t="s">
        <v>3892</v>
      </c>
      <c r="G268" s="536" t="s">
        <v>3893</v>
      </c>
      <c r="H268" s="528" t="s">
        <v>3341</v>
      </c>
      <c r="I268" s="528" t="s">
        <v>3333</v>
      </c>
      <c r="J268" s="528"/>
      <c r="K268" s="529"/>
      <c r="L268" s="530"/>
      <c r="M268" s="530"/>
    </row>
    <row r="269" spans="1:13">
      <c r="A269" s="522">
        <v>268</v>
      </c>
      <c r="B269" s="523" t="s">
        <v>3883</v>
      </c>
      <c r="C269" s="524" t="s">
        <v>2895</v>
      </c>
      <c r="D269" s="524">
        <v>3.5</v>
      </c>
      <c r="E269" s="525"/>
      <c r="F269" s="526" t="s">
        <v>3894</v>
      </c>
      <c r="G269" s="536" t="s">
        <v>3895</v>
      </c>
      <c r="H269" s="528" t="s">
        <v>3341</v>
      </c>
      <c r="I269" s="528" t="s">
        <v>3333</v>
      </c>
      <c r="J269" s="528"/>
      <c r="K269" s="529"/>
      <c r="L269" s="530"/>
      <c r="M269" s="530"/>
    </row>
    <row r="270" spans="1:13">
      <c r="A270" s="522">
        <v>269</v>
      </c>
      <c r="B270" s="523" t="s">
        <v>3883</v>
      </c>
      <c r="C270" s="524" t="s">
        <v>2898</v>
      </c>
      <c r="D270" s="524">
        <v>1.5</v>
      </c>
      <c r="E270" s="525"/>
      <c r="F270" s="526" t="s">
        <v>3896</v>
      </c>
      <c r="G270" s="536" t="s">
        <v>3897</v>
      </c>
      <c r="H270" s="528" t="s">
        <v>3341</v>
      </c>
      <c r="I270" s="528" t="s">
        <v>3333</v>
      </c>
      <c r="J270" s="528"/>
      <c r="K270" s="529"/>
      <c r="L270" s="530"/>
      <c r="M270" s="530"/>
    </row>
    <row r="271" spans="1:13">
      <c r="A271" s="522">
        <v>270</v>
      </c>
      <c r="B271" s="523" t="s">
        <v>3883</v>
      </c>
      <c r="C271" s="524" t="s">
        <v>2503</v>
      </c>
      <c r="D271" s="524">
        <v>4.5</v>
      </c>
      <c r="E271" s="525"/>
      <c r="F271" s="526" t="s">
        <v>3898</v>
      </c>
      <c r="G271" s="536" t="s">
        <v>3899</v>
      </c>
      <c r="H271" s="528" t="s">
        <v>3341</v>
      </c>
      <c r="I271" s="528" t="s">
        <v>3333</v>
      </c>
      <c r="J271" s="528"/>
      <c r="K271" s="529"/>
      <c r="L271" s="530"/>
      <c r="M271" s="530"/>
    </row>
    <row r="272" spans="1:13">
      <c r="A272" s="522">
        <v>271</v>
      </c>
      <c r="B272" s="523" t="s">
        <v>3883</v>
      </c>
      <c r="C272" s="524" t="s">
        <v>2504</v>
      </c>
      <c r="D272" s="524">
        <v>4.5</v>
      </c>
      <c r="E272" s="525"/>
      <c r="F272" s="526" t="s">
        <v>3900</v>
      </c>
      <c r="G272" s="536" t="s">
        <v>3901</v>
      </c>
      <c r="H272" s="528" t="s">
        <v>3341</v>
      </c>
      <c r="I272" s="528" t="s">
        <v>3333</v>
      </c>
      <c r="J272" s="528"/>
      <c r="K272" s="529"/>
      <c r="L272" s="530"/>
      <c r="M272" s="530"/>
    </row>
    <row r="273" spans="1:13">
      <c r="A273" s="522">
        <v>272</v>
      </c>
      <c r="B273" s="523" t="s">
        <v>3883</v>
      </c>
      <c r="C273" s="524" t="s">
        <v>2901</v>
      </c>
      <c r="D273" s="524">
        <v>4.5</v>
      </c>
      <c r="E273" s="543"/>
      <c r="F273" s="526" t="s">
        <v>3902</v>
      </c>
      <c r="G273" s="536" t="s">
        <v>3903</v>
      </c>
      <c r="H273" s="528" t="s">
        <v>3341</v>
      </c>
      <c r="I273" s="528" t="s">
        <v>3333</v>
      </c>
      <c r="J273" s="528"/>
      <c r="K273" s="529"/>
      <c r="L273" s="530"/>
      <c r="M273" s="530"/>
    </row>
    <row r="274" spans="1:13">
      <c r="A274" s="522">
        <v>273</v>
      </c>
      <c r="B274" s="523" t="s">
        <v>3883</v>
      </c>
      <c r="C274" s="524" t="s">
        <v>2507</v>
      </c>
      <c r="D274" s="524">
        <v>3.5</v>
      </c>
      <c r="E274" s="525"/>
      <c r="F274" s="526" t="s">
        <v>3904</v>
      </c>
      <c r="G274" s="536" t="s">
        <v>3905</v>
      </c>
      <c r="H274" s="528" t="s">
        <v>3341</v>
      </c>
      <c r="I274" s="528" t="s">
        <v>3333</v>
      </c>
      <c r="J274" s="528"/>
      <c r="K274" s="529"/>
      <c r="L274" s="530"/>
      <c r="M274" s="530"/>
    </row>
    <row r="275" spans="1:13">
      <c r="A275" s="522">
        <v>274</v>
      </c>
      <c r="B275" s="523" t="s">
        <v>3883</v>
      </c>
      <c r="C275" s="524" t="s">
        <v>2902</v>
      </c>
      <c r="D275" s="524">
        <v>4.5</v>
      </c>
      <c r="E275" s="525"/>
      <c r="F275" s="548" t="s">
        <v>3906</v>
      </c>
      <c r="G275" s="536" t="s">
        <v>3907</v>
      </c>
      <c r="H275" s="528" t="s">
        <v>3341</v>
      </c>
      <c r="I275" s="528" t="s">
        <v>3333</v>
      </c>
      <c r="J275" s="528" t="s">
        <v>3337</v>
      </c>
      <c r="K275" s="568" t="s">
        <v>3908</v>
      </c>
      <c r="L275" s="554"/>
      <c r="M275" s="555" t="s">
        <v>3649</v>
      </c>
    </row>
    <row r="276" spans="1:13">
      <c r="A276" s="522">
        <v>275</v>
      </c>
      <c r="B276" s="523" t="s">
        <v>3883</v>
      </c>
      <c r="C276" s="524" t="s">
        <v>2508</v>
      </c>
      <c r="D276" s="524">
        <v>5.5</v>
      </c>
      <c r="E276" s="525"/>
      <c r="F276" s="548" t="s">
        <v>3909</v>
      </c>
      <c r="G276" s="536" t="s">
        <v>3910</v>
      </c>
      <c r="H276" s="528" t="s">
        <v>3341</v>
      </c>
      <c r="I276" s="528" t="s">
        <v>3333</v>
      </c>
      <c r="J276" s="528" t="s">
        <v>3337</v>
      </c>
      <c r="K276" s="568" t="s">
        <v>3911</v>
      </c>
      <c r="L276" s="554"/>
      <c r="M276" s="555" t="s">
        <v>3649</v>
      </c>
    </row>
    <row r="277" spans="1:13" ht="15.75" customHeight="1">
      <c r="A277" s="522">
        <v>276</v>
      </c>
      <c r="B277" s="523" t="s">
        <v>3883</v>
      </c>
      <c r="C277" s="524" t="s">
        <v>2903</v>
      </c>
      <c r="D277" s="524">
        <v>3.5</v>
      </c>
      <c r="E277" s="525"/>
      <c r="F277" s="548" t="s">
        <v>3912</v>
      </c>
      <c r="G277" s="536" t="s">
        <v>3913</v>
      </c>
      <c r="H277" s="528" t="s">
        <v>3341</v>
      </c>
      <c r="I277" s="528" t="s">
        <v>3333</v>
      </c>
      <c r="J277" s="528" t="s">
        <v>3337</v>
      </c>
      <c r="K277" s="568" t="s">
        <v>3914</v>
      </c>
      <c r="L277" s="554"/>
      <c r="M277" s="555" t="s">
        <v>3649</v>
      </c>
    </row>
    <row r="278" spans="1:13">
      <c r="A278" s="522">
        <v>277</v>
      </c>
      <c r="B278" s="523" t="s">
        <v>3883</v>
      </c>
      <c r="C278" s="524" t="s">
        <v>2510</v>
      </c>
      <c r="D278" s="524">
        <v>1.5</v>
      </c>
      <c r="E278" s="525"/>
      <c r="F278" s="526" t="s">
        <v>3915</v>
      </c>
      <c r="G278" s="536" t="s">
        <v>3916</v>
      </c>
      <c r="H278" s="528" t="s">
        <v>3341</v>
      </c>
      <c r="I278" s="528" t="s">
        <v>3333</v>
      </c>
      <c r="J278" s="528"/>
      <c r="K278" s="529"/>
      <c r="L278" s="530"/>
      <c r="M278" s="530"/>
    </row>
    <row r="279" spans="1:13">
      <c r="A279" s="522">
        <v>278</v>
      </c>
      <c r="B279" s="523" t="s">
        <v>3883</v>
      </c>
      <c r="C279" s="524" t="s">
        <v>2897</v>
      </c>
      <c r="D279" s="524">
        <v>1.5</v>
      </c>
      <c r="E279" s="525"/>
      <c r="F279" s="526" t="s">
        <v>3917</v>
      </c>
      <c r="G279" s="536" t="s">
        <v>3918</v>
      </c>
      <c r="H279" s="528" t="s">
        <v>3341</v>
      </c>
      <c r="I279" s="528" t="s">
        <v>3333</v>
      </c>
      <c r="J279" s="528"/>
      <c r="K279" s="529"/>
      <c r="L279" s="530"/>
      <c r="M279" s="530"/>
    </row>
    <row r="280" spans="1:13">
      <c r="A280" s="522">
        <v>279</v>
      </c>
      <c r="B280" s="523" t="s">
        <v>3883</v>
      </c>
      <c r="C280" s="524" t="s">
        <v>2512</v>
      </c>
      <c r="D280" s="524">
        <v>3.5</v>
      </c>
      <c r="E280" s="525"/>
      <c r="F280" s="526" t="s">
        <v>3919</v>
      </c>
      <c r="G280" s="536" t="s">
        <v>3920</v>
      </c>
      <c r="H280" s="528" t="s">
        <v>3341</v>
      </c>
      <c r="I280" s="528" t="s">
        <v>3333</v>
      </c>
      <c r="J280" s="528"/>
      <c r="K280" s="529"/>
      <c r="L280" s="530"/>
      <c r="M280" s="530"/>
    </row>
    <row r="281" spans="1:13">
      <c r="A281" s="522">
        <v>280</v>
      </c>
      <c r="B281" s="523" t="s">
        <v>3883</v>
      </c>
      <c r="C281" s="524" t="s">
        <v>2516</v>
      </c>
      <c r="D281" s="524">
        <v>4.5</v>
      </c>
      <c r="E281" s="525"/>
      <c r="F281" s="526" t="s">
        <v>3921</v>
      </c>
      <c r="G281" s="536" t="s">
        <v>3922</v>
      </c>
      <c r="H281" s="528" t="s">
        <v>3341</v>
      </c>
      <c r="I281" s="528" t="s">
        <v>3333</v>
      </c>
      <c r="J281" s="528"/>
      <c r="K281" s="529"/>
      <c r="L281" s="530"/>
      <c r="M281" s="530"/>
    </row>
    <row r="282" spans="1:13">
      <c r="A282" s="522">
        <v>281</v>
      </c>
      <c r="B282" s="523" t="s">
        <v>3883</v>
      </c>
      <c r="C282" s="524" t="s">
        <v>2899</v>
      </c>
      <c r="D282" s="524">
        <v>1.5</v>
      </c>
      <c r="E282" s="525"/>
      <c r="F282" s="526" t="s">
        <v>3923</v>
      </c>
      <c r="G282" s="536" t="s">
        <v>3924</v>
      </c>
      <c r="H282" s="528" t="s">
        <v>3341</v>
      </c>
      <c r="I282" s="528" t="s">
        <v>3333</v>
      </c>
      <c r="J282" s="528"/>
      <c r="K282" s="529"/>
      <c r="L282" s="530"/>
      <c r="M282" s="530"/>
    </row>
    <row r="283" spans="1:13">
      <c r="A283" s="522">
        <v>282</v>
      </c>
      <c r="B283" s="523" t="s">
        <v>3883</v>
      </c>
      <c r="C283" s="524" t="s">
        <v>2515</v>
      </c>
      <c r="D283" s="524">
        <v>4.5</v>
      </c>
      <c r="E283" s="525"/>
      <c r="F283" s="526" t="s">
        <v>3925</v>
      </c>
      <c r="G283" s="536" t="s">
        <v>3926</v>
      </c>
      <c r="H283" s="528" t="s">
        <v>3341</v>
      </c>
      <c r="I283" s="528" t="s">
        <v>3333</v>
      </c>
      <c r="J283" s="528"/>
      <c r="K283" s="529"/>
      <c r="L283" s="530"/>
      <c r="M283" s="530"/>
    </row>
    <row r="284" spans="1:13">
      <c r="A284" s="522">
        <v>283</v>
      </c>
      <c r="B284" s="567" t="s">
        <v>3927</v>
      </c>
      <c r="C284" s="524" t="s">
        <v>2904</v>
      </c>
      <c r="D284" s="524">
        <v>4.5</v>
      </c>
      <c r="E284" s="525"/>
      <c r="F284" s="526" t="s">
        <v>3928</v>
      </c>
      <c r="G284" s="536" t="s">
        <v>3929</v>
      </c>
      <c r="H284" s="528" t="s">
        <v>3341</v>
      </c>
      <c r="I284" s="528" t="s">
        <v>3333</v>
      </c>
      <c r="J284" s="528"/>
      <c r="K284" s="529"/>
      <c r="L284" s="530"/>
      <c r="M284" s="530"/>
    </row>
    <row r="285" spans="1:13">
      <c r="A285" s="522">
        <v>284</v>
      </c>
      <c r="B285" s="567" t="s">
        <v>3927</v>
      </c>
      <c r="C285" s="524" t="s">
        <v>2519</v>
      </c>
      <c r="D285" s="524">
        <v>2.5</v>
      </c>
      <c r="E285" s="525"/>
      <c r="F285" s="526" t="s">
        <v>3930</v>
      </c>
      <c r="G285" s="536" t="s">
        <v>3931</v>
      </c>
      <c r="H285" s="528" t="s">
        <v>3341</v>
      </c>
      <c r="I285" s="528" t="s">
        <v>3333</v>
      </c>
      <c r="J285" s="528"/>
      <c r="K285" s="529"/>
      <c r="L285" s="530"/>
      <c r="M285" s="530"/>
    </row>
    <row r="286" spans="1:13">
      <c r="A286" s="522">
        <v>285</v>
      </c>
      <c r="B286" s="567" t="s">
        <v>3927</v>
      </c>
      <c r="C286" s="524" t="s">
        <v>2520</v>
      </c>
      <c r="D286" s="524">
        <v>4.5</v>
      </c>
      <c r="E286" s="525"/>
      <c r="F286" s="526" t="s">
        <v>3932</v>
      </c>
      <c r="G286" s="536" t="s">
        <v>3933</v>
      </c>
      <c r="H286" s="528" t="s">
        <v>3341</v>
      </c>
      <c r="I286" s="528" t="s">
        <v>3333</v>
      </c>
      <c r="J286" s="528"/>
      <c r="K286" s="529"/>
      <c r="L286" s="530"/>
      <c r="M286" s="530"/>
    </row>
    <row r="287" spans="1:13">
      <c r="A287" s="522">
        <v>286</v>
      </c>
      <c r="B287" s="567" t="s">
        <v>3927</v>
      </c>
      <c r="C287" s="524" t="s">
        <v>2906</v>
      </c>
      <c r="D287" s="524">
        <v>3.5</v>
      </c>
      <c r="E287" s="525"/>
      <c r="F287" s="526" t="s">
        <v>3934</v>
      </c>
      <c r="G287" s="536" t="s">
        <v>3935</v>
      </c>
      <c r="H287" s="528" t="s">
        <v>3341</v>
      </c>
      <c r="I287" s="528" t="s">
        <v>3333</v>
      </c>
      <c r="J287" s="528"/>
      <c r="K287" s="529"/>
      <c r="L287" s="530"/>
      <c r="M287" s="530"/>
    </row>
    <row r="288" spans="1:13">
      <c r="A288" s="522">
        <v>287</v>
      </c>
      <c r="B288" s="567" t="s">
        <v>3927</v>
      </c>
      <c r="C288" s="524" t="s">
        <v>2908</v>
      </c>
      <c r="D288" s="524">
        <v>2.5</v>
      </c>
      <c r="E288" s="525"/>
      <c r="F288" s="526" t="s">
        <v>3936</v>
      </c>
      <c r="G288" s="536" t="s">
        <v>3937</v>
      </c>
      <c r="H288" s="528" t="s">
        <v>3341</v>
      </c>
      <c r="I288" s="528" t="s">
        <v>3333</v>
      </c>
      <c r="J288" s="528"/>
      <c r="K288" s="529"/>
      <c r="L288" s="530"/>
      <c r="M288" s="530"/>
    </row>
    <row r="289" spans="1:13">
      <c r="A289" s="522">
        <v>288</v>
      </c>
      <c r="B289" s="567" t="s">
        <v>3927</v>
      </c>
      <c r="C289" s="524" t="s">
        <v>2905</v>
      </c>
      <c r="D289" s="524">
        <v>2.5</v>
      </c>
      <c r="E289" s="525"/>
      <c r="F289" s="526" t="s">
        <v>3938</v>
      </c>
      <c r="G289" s="536" t="s">
        <v>3939</v>
      </c>
      <c r="H289" s="528" t="s">
        <v>3341</v>
      </c>
      <c r="I289" s="528" t="s">
        <v>3333</v>
      </c>
      <c r="J289" s="528"/>
      <c r="K289" s="529"/>
      <c r="L289" s="530"/>
      <c r="M289" s="530"/>
    </row>
    <row r="290" spans="1:13">
      <c r="A290" s="522">
        <v>289</v>
      </c>
      <c r="B290" s="567" t="s">
        <v>3927</v>
      </c>
      <c r="C290" s="524" t="s">
        <v>2527</v>
      </c>
      <c r="D290" s="524">
        <v>4.5</v>
      </c>
      <c r="E290" s="525"/>
      <c r="F290" s="526" t="s">
        <v>3940</v>
      </c>
      <c r="G290" s="536" t="s">
        <v>3941</v>
      </c>
      <c r="H290" s="528" t="s">
        <v>3341</v>
      </c>
      <c r="I290" s="528" t="s">
        <v>3333</v>
      </c>
      <c r="J290" s="528"/>
      <c r="K290" s="529"/>
      <c r="L290" s="530"/>
      <c r="M290" s="530"/>
    </row>
    <row r="291" spans="1:13">
      <c r="A291" s="522">
        <v>290</v>
      </c>
      <c r="B291" s="567" t="s">
        <v>3927</v>
      </c>
      <c r="C291" s="524" t="s">
        <v>2525</v>
      </c>
      <c r="D291" s="524">
        <v>1.5</v>
      </c>
      <c r="E291" s="525"/>
      <c r="F291" s="526" t="s">
        <v>3942</v>
      </c>
      <c r="G291" s="536" t="s">
        <v>3943</v>
      </c>
      <c r="H291" s="528" t="s">
        <v>3341</v>
      </c>
      <c r="I291" s="528" t="s">
        <v>3333</v>
      </c>
      <c r="J291" s="528"/>
      <c r="K291" s="529"/>
      <c r="L291" s="530"/>
      <c r="M291" s="530"/>
    </row>
    <row r="292" spans="1:13">
      <c r="A292" s="522">
        <v>291</v>
      </c>
      <c r="B292" s="567" t="s">
        <v>3927</v>
      </c>
      <c r="C292" s="524" t="s">
        <v>2524</v>
      </c>
      <c r="D292" s="524">
        <v>3.5</v>
      </c>
      <c r="E292" s="525"/>
      <c r="F292" s="526" t="s">
        <v>3944</v>
      </c>
      <c r="G292" s="536" t="s">
        <v>3945</v>
      </c>
      <c r="H292" s="528" t="s">
        <v>3341</v>
      </c>
      <c r="I292" s="528" t="s">
        <v>3333</v>
      </c>
      <c r="J292" s="528"/>
      <c r="K292" s="529"/>
      <c r="L292" s="530"/>
      <c r="M292" s="530"/>
    </row>
    <row r="293" spans="1:13">
      <c r="A293" s="522">
        <v>292</v>
      </c>
      <c r="B293" s="567" t="s">
        <v>3927</v>
      </c>
      <c r="C293" s="524" t="s">
        <v>2907</v>
      </c>
      <c r="D293" s="524">
        <v>1.5</v>
      </c>
      <c r="E293" s="525"/>
      <c r="F293" s="526" t="s">
        <v>3946</v>
      </c>
      <c r="G293" s="536" t="s">
        <v>3947</v>
      </c>
      <c r="H293" s="528" t="s">
        <v>3341</v>
      </c>
      <c r="I293" s="528" t="s">
        <v>3333</v>
      </c>
      <c r="J293" s="528"/>
      <c r="K293" s="529"/>
      <c r="L293" s="530"/>
      <c r="M293" s="530"/>
    </row>
    <row r="294" spans="1:13">
      <c r="A294" s="522">
        <v>293</v>
      </c>
      <c r="B294" s="523" t="s">
        <v>3948</v>
      </c>
      <c r="C294" s="524" t="s">
        <v>2911</v>
      </c>
      <c r="D294" s="524">
        <v>3.5</v>
      </c>
      <c r="E294" s="525"/>
      <c r="F294" s="526" t="s">
        <v>3949</v>
      </c>
      <c r="G294" s="536" t="s">
        <v>3950</v>
      </c>
      <c r="H294" s="528" t="s">
        <v>3341</v>
      </c>
      <c r="I294" s="528" t="s">
        <v>3333</v>
      </c>
      <c r="J294" s="528"/>
      <c r="K294" s="529"/>
      <c r="L294" s="530"/>
      <c r="M294" s="530"/>
    </row>
    <row r="295" spans="1:13">
      <c r="A295" s="522">
        <v>294</v>
      </c>
      <c r="B295" s="523" t="s">
        <v>3948</v>
      </c>
      <c r="C295" s="524" t="s">
        <v>2533</v>
      </c>
      <c r="D295" s="524">
        <v>4.5</v>
      </c>
      <c r="E295" s="525"/>
      <c r="F295" s="526" t="s">
        <v>3951</v>
      </c>
      <c r="G295" s="536" t="s">
        <v>3952</v>
      </c>
      <c r="H295" s="528" t="s">
        <v>3341</v>
      </c>
      <c r="I295" s="528" t="s">
        <v>3333</v>
      </c>
      <c r="J295" s="528"/>
      <c r="K295" s="529"/>
      <c r="L295" s="530"/>
      <c r="M295" s="530"/>
    </row>
    <row r="296" spans="1:13">
      <c r="A296" s="522">
        <v>295</v>
      </c>
      <c r="B296" s="523" t="s">
        <v>3948</v>
      </c>
      <c r="C296" s="524" t="s">
        <v>2914</v>
      </c>
      <c r="D296" s="524">
        <v>1.5</v>
      </c>
      <c r="E296" s="525"/>
      <c r="F296" s="526" t="s">
        <v>3953</v>
      </c>
      <c r="G296" s="536" t="s">
        <v>3954</v>
      </c>
      <c r="H296" s="528" t="s">
        <v>3341</v>
      </c>
      <c r="I296" s="528" t="s">
        <v>3333</v>
      </c>
      <c r="J296" s="528"/>
      <c r="K296" s="529"/>
      <c r="L296" s="530"/>
      <c r="M296" s="530"/>
    </row>
    <row r="297" spans="1:13">
      <c r="A297" s="522">
        <v>296</v>
      </c>
      <c r="B297" s="523" t="s">
        <v>3948</v>
      </c>
      <c r="C297" s="524" t="s">
        <v>2918</v>
      </c>
      <c r="D297" s="524">
        <v>1.5</v>
      </c>
      <c r="E297" s="525"/>
      <c r="F297" s="526" t="s">
        <v>3955</v>
      </c>
      <c r="G297" s="536" t="s">
        <v>3956</v>
      </c>
      <c r="H297" s="528" t="s">
        <v>3341</v>
      </c>
      <c r="I297" s="528" t="s">
        <v>3333</v>
      </c>
      <c r="J297" s="528"/>
      <c r="K297" s="529"/>
      <c r="L297" s="530"/>
      <c r="M297" s="530"/>
    </row>
    <row r="298" spans="1:13">
      <c r="A298" s="522">
        <v>297</v>
      </c>
      <c r="B298" s="523" t="s">
        <v>3948</v>
      </c>
      <c r="C298" s="524" t="s">
        <v>2923</v>
      </c>
      <c r="D298" s="524">
        <v>2.5</v>
      </c>
      <c r="E298" s="525"/>
      <c r="F298" s="526" t="s">
        <v>3957</v>
      </c>
      <c r="G298" s="536" t="s">
        <v>3958</v>
      </c>
      <c r="H298" s="528" t="s">
        <v>3341</v>
      </c>
      <c r="I298" s="528" t="s">
        <v>3333</v>
      </c>
      <c r="J298" s="528"/>
      <c r="K298" s="529"/>
      <c r="L298" s="530"/>
      <c r="M298" s="530"/>
    </row>
    <row r="299" spans="1:13">
      <c r="A299" s="522">
        <v>298</v>
      </c>
      <c r="B299" s="523" t="s">
        <v>3948</v>
      </c>
      <c r="C299" s="524" t="s">
        <v>2909</v>
      </c>
      <c r="D299" s="524">
        <v>3.5</v>
      </c>
      <c r="E299" s="525"/>
      <c r="F299" s="526" t="s">
        <v>3959</v>
      </c>
      <c r="G299" s="536" t="s">
        <v>3960</v>
      </c>
      <c r="H299" s="528" t="s">
        <v>3341</v>
      </c>
      <c r="I299" s="528" t="s">
        <v>3333</v>
      </c>
      <c r="J299" s="528"/>
      <c r="K299" s="529"/>
      <c r="L299" s="530"/>
      <c r="M299" s="530"/>
    </row>
    <row r="300" spans="1:13">
      <c r="A300" s="522">
        <v>299</v>
      </c>
      <c r="B300" s="523" t="s">
        <v>3948</v>
      </c>
      <c r="C300" s="524" t="s">
        <v>2913</v>
      </c>
      <c r="D300" s="524">
        <v>3.5</v>
      </c>
      <c r="E300" s="525"/>
      <c r="F300" s="526" t="s">
        <v>3961</v>
      </c>
      <c r="G300" s="536" t="s">
        <v>3962</v>
      </c>
      <c r="H300" s="528" t="s">
        <v>3341</v>
      </c>
      <c r="I300" s="528" t="s">
        <v>3333</v>
      </c>
      <c r="J300" s="528"/>
      <c r="K300" s="529"/>
      <c r="L300" s="530"/>
      <c r="M300" s="530"/>
    </row>
    <row r="301" spans="1:13">
      <c r="A301" s="522">
        <v>300</v>
      </c>
      <c r="B301" s="523" t="s">
        <v>3948</v>
      </c>
      <c r="C301" s="524" t="s">
        <v>2916</v>
      </c>
      <c r="D301" s="524">
        <v>3.5</v>
      </c>
      <c r="E301" s="525"/>
      <c r="F301" s="526" t="s">
        <v>3963</v>
      </c>
      <c r="G301" s="536" t="s">
        <v>3964</v>
      </c>
      <c r="H301" s="528" t="s">
        <v>3341</v>
      </c>
      <c r="I301" s="528" t="s">
        <v>3333</v>
      </c>
      <c r="J301" s="528"/>
      <c r="K301" s="529"/>
      <c r="L301" s="530"/>
      <c r="M301" s="530"/>
    </row>
    <row r="302" spans="1:13">
      <c r="A302" s="522">
        <v>301</v>
      </c>
      <c r="B302" s="523" t="s">
        <v>3948</v>
      </c>
      <c r="C302" s="524" t="s">
        <v>2921</v>
      </c>
      <c r="D302" s="524">
        <v>3.5</v>
      </c>
      <c r="E302" s="525"/>
      <c r="F302" s="526" t="s">
        <v>3965</v>
      </c>
      <c r="G302" s="536" t="s">
        <v>3966</v>
      </c>
      <c r="H302" s="528" t="s">
        <v>3341</v>
      </c>
      <c r="I302" s="528" t="s">
        <v>3333</v>
      </c>
      <c r="J302" s="528"/>
      <c r="K302" s="529"/>
      <c r="L302" s="530"/>
      <c r="M302" s="530"/>
    </row>
    <row r="303" spans="1:13">
      <c r="A303" s="522">
        <v>302</v>
      </c>
      <c r="B303" s="523" t="s">
        <v>3948</v>
      </c>
      <c r="C303" s="524" t="s">
        <v>2922</v>
      </c>
      <c r="D303" s="524">
        <v>3.5</v>
      </c>
      <c r="E303" s="525"/>
      <c r="F303" s="526" t="s">
        <v>3967</v>
      </c>
      <c r="G303" s="536" t="s">
        <v>3968</v>
      </c>
      <c r="H303" s="528" t="s">
        <v>3341</v>
      </c>
      <c r="I303" s="528" t="s">
        <v>3333</v>
      </c>
      <c r="J303" s="528"/>
      <c r="K303" s="529"/>
      <c r="L303" s="530"/>
      <c r="M303" s="530"/>
    </row>
    <row r="304" spans="1:13">
      <c r="A304" s="522">
        <v>303</v>
      </c>
      <c r="B304" s="523" t="s">
        <v>3948</v>
      </c>
      <c r="C304" s="524" t="s">
        <v>2910</v>
      </c>
      <c r="D304" s="524">
        <v>3.5</v>
      </c>
      <c r="E304" s="525"/>
      <c r="F304" s="526" t="s">
        <v>3969</v>
      </c>
      <c r="G304" s="536" t="s">
        <v>3970</v>
      </c>
      <c r="H304" s="528" t="s">
        <v>3341</v>
      </c>
      <c r="I304" s="528" t="s">
        <v>3333</v>
      </c>
      <c r="J304" s="528"/>
      <c r="K304" s="529"/>
      <c r="L304" s="530"/>
      <c r="M304" s="530"/>
    </row>
    <row r="305" spans="1:13">
      <c r="A305" s="522">
        <v>304</v>
      </c>
      <c r="B305" s="523" t="s">
        <v>3948</v>
      </c>
      <c r="C305" s="524" t="s">
        <v>2915</v>
      </c>
      <c r="D305" s="524">
        <v>0</v>
      </c>
      <c r="E305" s="525"/>
      <c r="F305" s="526" t="s">
        <v>3971</v>
      </c>
      <c r="G305" s="527" t="s">
        <v>3972</v>
      </c>
      <c r="H305" s="528" t="s">
        <v>3328</v>
      </c>
      <c r="I305" s="528" t="s">
        <v>3329</v>
      </c>
      <c r="J305" s="528"/>
      <c r="K305" s="529"/>
      <c r="L305" s="530"/>
      <c r="M305" s="530"/>
    </row>
    <row r="306" spans="1:13">
      <c r="A306" s="522">
        <v>305</v>
      </c>
      <c r="B306" s="523" t="s">
        <v>3948</v>
      </c>
      <c r="C306" s="524" t="s">
        <v>2917</v>
      </c>
      <c r="D306" s="524">
        <v>1</v>
      </c>
      <c r="E306" s="525"/>
      <c r="F306" s="526" t="s">
        <v>3973</v>
      </c>
      <c r="G306" s="536" t="s">
        <v>3974</v>
      </c>
      <c r="H306" s="528" t="s">
        <v>3341</v>
      </c>
      <c r="I306" s="528" t="s">
        <v>3333</v>
      </c>
      <c r="J306" s="528"/>
      <c r="K306" s="529"/>
      <c r="L306" s="530"/>
      <c r="M306" s="530"/>
    </row>
    <row r="307" spans="1:13">
      <c r="A307" s="522">
        <v>306</v>
      </c>
      <c r="B307" s="523" t="s">
        <v>3948</v>
      </c>
      <c r="C307" s="524" t="s">
        <v>2919</v>
      </c>
      <c r="D307" s="524">
        <v>3.5</v>
      </c>
      <c r="E307" s="525"/>
      <c r="F307" s="526" t="s">
        <v>3975</v>
      </c>
      <c r="G307" s="536" t="s">
        <v>3976</v>
      </c>
      <c r="H307" s="528" t="s">
        <v>3341</v>
      </c>
      <c r="I307" s="528" t="s">
        <v>3333</v>
      </c>
      <c r="J307" s="528"/>
      <c r="K307" s="529"/>
      <c r="L307" s="530"/>
      <c r="M307" s="530"/>
    </row>
    <row r="308" spans="1:13">
      <c r="A308" s="522">
        <v>307</v>
      </c>
      <c r="B308" s="523" t="s">
        <v>3948</v>
      </c>
      <c r="C308" s="524" t="s">
        <v>2920</v>
      </c>
      <c r="D308" s="524">
        <v>1.5</v>
      </c>
      <c r="E308" s="525"/>
      <c r="F308" s="526" t="s">
        <v>3977</v>
      </c>
      <c r="G308" s="536" t="s">
        <v>3978</v>
      </c>
      <c r="H308" s="528" t="s">
        <v>3341</v>
      </c>
      <c r="I308" s="528" t="s">
        <v>3333</v>
      </c>
      <c r="J308" s="528"/>
      <c r="K308" s="529"/>
      <c r="L308" s="530"/>
      <c r="M308" s="530"/>
    </row>
    <row r="309" spans="1:13">
      <c r="A309" s="522">
        <v>308</v>
      </c>
      <c r="B309" s="540" t="s">
        <v>3979</v>
      </c>
      <c r="C309" s="524" t="s">
        <v>2924</v>
      </c>
      <c r="D309" s="524">
        <v>3</v>
      </c>
      <c r="E309" s="525"/>
      <c r="F309" s="526" t="s">
        <v>3980</v>
      </c>
      <c r="G309" s="536" t="s">
        <v>3981</v>
      </c>
      <c r="H309" s="528" t="s">
        <v>3341</v>
      </c>
      <c r="I309" s="528" t="s">
        <v>3333</v>
      </c>
      <c r="J309" s="528"/>
      <c r="K309" s="529"/>
      <c r="L309" s="530"/>
      <c r="M309" s="530"/>
    </row>
    <row r="310" spans="1:13">
      <c r="A310" s="522">
        <v>309</v>
      </c>
      <c r="B310" s="540" t="s">
        <v>3979</v>
      </c>
      <c r="C310" s="524" t="s">
        <v>2925</v>
      </c>
      <c r="D310" s="524">
        <v>2.5</v>
      </c>
      <c r="E310" s="525"/>
      <c r="F310" s="526" t="s">
        <v>3982</v>
      </c>
      <c r="G310" s="536" t="s">
        <v>3983</v>
      </c>
      <c r="H310" s="528" t="s">
        <v>3341</v>
      </c>
      <c r="I310" s="528" t="s">
        <v>3333</v>
      </c>
      <c r="J310" s="528"/>
      <c r="K310" s="529"/>
      <c r="L310" s="530"/>
      <c r="M310" s="530"/>
    </row>
    <row r="311" spans="1:13">
      <c r="A311" s="522">
        <v>310</v>
      </c>
      <c r="B311" s="540" t="s">
        <v>3979</v>
      </c>
      <c r="C311" s="524" t="s">
        <v>2550</v>
      </c>
      <c r="D311" s="569" t="s">
        <v>3984</v>
      </c>
      <c r="E311" s="543" t="s">
        <v>3711</v>
      </c>
      <c r="F311" s="565" t="s">
        <v>3985</v>
      </c>
      <c r="G311" s="536" t="s">
        <v>3986</v>
      </c>
      <c r="H311" s="528" t="s">
        <v>3341</v>
      </c>
      <c r="I311" s="528" t="s">
        <v>3329</v>
      </c>
      <c r="J311" s="528" t="s">
        <v>3337</v>
      </c>
      <c r="K311" s="529"/>
      <c r="L311" s="530"/>
      <c r="M311" s="530"/>
    </row>
    <row r="312" spans="1:13">
      <c r="A312" s="522">
        <v>311</v>
      </c>
      <c r="B312" s="540" t="s">
        <v>3979</v>
      </c>
      <c r="C312" s="524" t="s">
        <v>2551</v>
      </c>
      <c r="D312" s="524">
        <v>1.5</v>
      </c>
      <c r="E312" s="525"/>
      <c r="F312" s="526" t="s">
        <v>3987</v>
      </c>
      <c r="G312" s="536" t="s">
        <v>3988</v>
      </c>
      <c r="H312" s="528" t="s">
        <v>3341</v>
      </c>
      <c r="I312" s="528" t="s">
        <v>3333</v>
      </c>
      <c r="J312" s="528"/>
      <c r="K312" s="529"/>
      <c r="L312" s="530"/>
      <c r="M312" s="530"/>
    </row>
    <row r="313" spans="1:13">
      <c r="A313" s="522">
        <v>312</v>
      </c>
      <c r="B313" s="540" t="s">
        <v>3979</v>
      </c>
      <c r="C313" s="524" t="s">
        <v>2552</v>
      </c>
      <c r="D313" s="524">
        <v>2.5</v>
      </c>
      <c r="E313" s="525"/>
      <c r="F313" s="526" t="s">
        <v>3989</v>
      </c>
      <c r="G313" s="536" t="s">
        <v>3990</v>
      </c>
      <c r="H313" s="528" t="s">
        <v>3341</v>
      </c>
      <c r="I313" s="528" t="s">
        <v>3333</v>
      </c>
      <c r="J313" s="528"/>
      <c r="K313" s="529"/>
      <c r="L313" s="530"/>
      <c r="M313" s="530"/>
    </row>
    <row r="314" spans="1:13">
      <c r="A314" s="522">
        <v>313</v>
      </c>
      <c r="B314" s="540" t="s">
        <v>3979</v>
      </c>
      <c r="C314" s="524" t="s">
        <v>1892</v>
      </c>
      <c r="D314" s="524" t="s">
        <v>3991</v>
      </c>
      <c r="E314" s="543" t="s">
        <v>3711</v>
      </c>
      <c r="F314" s="565" t="s">
        <v>3992</v>
      </c>
      <c r="G314" s="536" t="s">
        <v>3993</v>
      </c>
      <c r="H314" s="528" t="s">
        <v>3341</v>
      </c>
      <c r="I314" s="528" t="s">
        <v>3329</v>
      </c>
      <c r="J314" s="528" t="s">
        <v>3337</v>
      </c>
      <c r="K314" s="529"/>
      <c r="L314" s="530"/>
      <c r="M314" s="530"/>
    </row>
    <row r="315" spans="1:13">
      <c r="A315" s="522">
        <v>314</v>
      </c>
      <c r="B315" s="540" t="s">
        <v>3979</v>
      </c>
      <c r="C315" s="524" t="s">
        <v>2554</v>
      </c>
      <c r="D315" s="524" t="s">
        <v>3994</v>
      </c>
      <c r="E315" s="543" t="s">
        <v>3711</v>
      </c>
      <c r="F315" s="565" t="s">
        <v>3995</v>
      </c>
      <c r="G315" s="536" t="s">
        <v>3996</v>
      </c>
      <c r="H315" s="528" t="s">
        <v>3341</v>
      </c>
      <c r="I315" s="528" t="s">
        <v>3329</v>
      </c>
      <c r="J315" s="528" t="s">
        <v>3337</v>
      </c>
      <c r="K315" s="529"/>
      <c r="L315" s="530"/>
      <c r="M315" s="530"/>
    </row>
    <row r="316" spans="1:13">
      <c r="A316" s="522">
        <v>315</v>
      </c>
      <c r="B316" s="540" t="s">
        <v>3979</v>
      </c>
      <c r="C316" s="524" t="s">
        <v>1895</v>
      </c>
      <c r="D316" s="524" t="s">
        <v>3834</v>
      </c>
      <c r="E316" s="543" t="s">
        <v>3711</v>
      </c>
      <c r="F316" s="565" t="s">
        <v>3997</v>
      </c>
      <c r="G316" s="527" t="s">
        <v>3998</v>
      </c>
      <c r="H316" s="528" t="s">
        <v>3328</v>
      </c>
      <c r="I316" s="528" t="s">
        <v>3329</v>
      </c>
      <c r="J316" s="528" t="s">
        <v>3337</v>
      </c>
      <c r="K316" s="529"/>
      <c r="L316" s="530"/>
      <c r="M316" s="530"/>
    </row>
    <row r="317" spans="1:13">
      <c r="A317" s="522">
        <v>316</v>
      </c>
      <c r="B317" s="540" t="s">
        <v>3979</v>
      </c>
      <c r="C317" s="524" t="s">
        <v>1897</v>
      </c>
      <c r="D317" s="524" t="s">
        <v>3999</v>
      </c>
      <c r="E317" s="543" t="s">
        <v>3711</v>
      </c>
      <c r="F317" s="565" t="s">
        <v>4000</v>
      </c>
      <c r="G317" s="527" t="s">
        <v>4001</v>
      </c>
      <c r="H317" s="528" t="s">
        <v>3328</v>
      </c>
      <c r="I317" s="528" t="s">
        <v>3329</v>
      </c>
      <c r="J317" s="528" t="s">
        <v>3337</v>
      </c>
      <c r="K317" s="529"/>
      <c r="L317" s="530"/>
      <c r="M317" s="530"/>
    </row>
    <row r="318" spans="1:13">
      <c r="A318" s="522">
        <v>317</v>
      </c>
      <c r="B318" s="540" t="s">
        <v>3979</v>
      </c>
      <c r="C318" s="524" t="s">
        <v>1899</v>
      </c>
      <c r="D318" s="524" t="s">
        <v>3820</v>
      </c>
      <c r="E318" s="543" t="s">
        <v>3711</v>
      </c>
      <c r="F318" s="565" t="s">
        <v>4002</v>
      </c>
      <c r="G318" s="527" t="s">
        <v>4003</v>
      </c>
      <c r="H318" s="528" t="s">
        <v>3328</v>
      </c>
      <c r="I318" s="528" t="s">
        <v>3329</v>
      </c>
      <c r="J318" s="528" t="s">
        <v>3337</v>
      </c>
      <c r="K318" s="529"/>
      <c r="L318" s="530"/>
      <c r="M318" s="530"/>
    </row>
    <row r="319" spans="1:13">
      <c r="A319" s="522">
        <v>318</v>
      </c>
      <c r="B319" s="540" t="s">
        <v>3979</v>
      </c>
      <c r="C319" s="524" t="s">
        <v>1893</v>
      </c>
      <c r="D319" s="524" t="s">
        <v>4004</v>
      </c>
      <c r="E319" s="543" t="s">
        <v>3711</v>
      </c>
      <c r="F319" s="565" t="s">
        <v>4005</v>
      </c>
      <c r="G319" s="527" t="s">
        <v>4006</v>
      </c>
      <c r="H319" s="528" t="s">
        <v>3328</v>
      </c>
      <c r="I319" s="528" t="s">
        <v>3329</v>
      </c>
      <c r="J319" s="528" t="s">
        <v>3337</v>
      </c>
      <c r="K319" s="529"/>
      <c r="L319" s="530"/>
      <c r="M319" s="530"/>
    </row>
    <row r="320" spans="1:13">
      <c r="A320" s="522">
        <v>319</v>
      </c>
      <c r="B320" s="540" t="s">
        <v>3979</v>
      </c>
      <c r="C320" s="524" t="s">
        <v>1894</v>
      </c>
      <c r="D320" s="524">
        <v>2.5</v>
      </c>
      <c r="E320" s="525"/>
      <c r="F320" s="526" t="s">
        <v>4007</v>
      </c>
      <c r="G320" s="536" t="s">
        <v>4008</v>
      </c>
      <c r="H320" s="528" t="s">
        <v>3341</v>
      </c>
      <c r="I320" s="528" t="s">
        <v>3333</v>
      </c>
      <c r="J320" s="528"/>
      <c r="K320" s="529"/>
      <c r="L320" s="530"/>
      <c r="M320" s="530"/>
    </row>
    <row r="321" spans="1:13">
      <c r="A321" s="522">
        <v>320</v>
      </c>
      <c r="B321" s="540" t="s">
        <v>3979</v>
      </c>
      <c r="C321" s="524" t="s">
        <v>2556</v>
      </c>
      <c r="D321" s="524" t="s">
        <v>3994</v>
      </c>
      <c r="E321" s="543" t="s">
        <v>3711</v>
      </c>
      <c r="F321" s="565" t="s">
        <v>4009</v>
      </c>
      <c r="G321" s="527" t="s">
        <v>4010</v>
      </c>
      <c r="H321" s="528" t="s">
        <v>3328</v>
      </c>
      <c r="I321" s="528" t="s">
        <v>3329</v>
      </c>
      <c r="J321" s="528" t="s">
        <v>3337</v>
      </c>
      <c r="K321" s="529"/>
      <c r="L321" s="530"/>
      <c r="M321" s="530"/>
    </row>
    <row r="322" spans="1:13">
      <c r="A322" s="522">
        <v>321</v>
      </c>
      <c r="B322" s="540" t="s">
        <v>3979</v>
      </c>
      <c r="C322" s="524" t="s">
        <v>1966</v>
      </c>
      <c r="D322" s="524" t="s">
        <v>4011</v>
      </c>
      <c r="E322" s="543" t="s">
        <v>3711</v>
      </c>
      <c r="F322" s="565" t="s">
        <v>4012</v>
      </c>
      <c r="G322" s="527" t="s">
        <v>4013</v>
      </c>
      <c r="H322" s="528" t="s">
        <v>3328</v>
      </c>
      <c r="I322" s="528" t="s">
        <v>3329</v>
      </c>
      <c r="J322" s="528" t="s">
        <v>3337</v>
      </c>
      <c r="K322" s="529"/>
      <c r="L322" s="530"/>
      <c r="M322" s="530"/>
    </row>
    <row r="323" spans="1:13">
      <c r="A323" s="522">
        <v>322</v>
      </c>
      <c r="B323" s="540" t="s">
        <v>3979</v>
      </c>
      <c r="C323" s="524" t="s">
        <v>2558</v>
      </c>
      <c r="D323" s="524" t="s">
        <v>3994</v>
      </c>
      <c r="E323" s="543" t="s">
        <v>3711</v>
      </c>
      <c r="F323" s="565" t="s">
        <v>4014</v>
      </c>
      <c r="G323" s="527" t="s">
        <v>4015</v>
      </c>
      <c r="H323" s="528" t="s">
        <v>3328</v>
      </c>
      <c r="I323" s="528" t="s">
        <v>3329</v>
      </c>
      <c r="J323" s="528" t="s">
        <v>3337</v>
      </c>
      <c r="K323" s="529"/>
      <c r="L323" s="530"/>
      <c r="M323" s="530"/>
    </row>
    <row r="324" spans="1:13">
      <c r="A324" s="522">
        <v>323</v>
      </c>
      <c r="B324" s="540" t="s">
        <v>3979</v>
      </c>
      <c r="C324" s="524" t="s">
        <v>2559</v>
      </c>
      <c r="D324" s="524">
        <v>1.5</v>
      </c>
      <c r="E324" s="525"/>
      <c r="F324" s="526" t="s">
        <v>4016</v>
      </c>
      <c r="G324" s="536" t="s">
        <v>4017</v>
      </c>
      <c r="H324" s="528" t="s">
        <v>3341</v>
      </c>
      <c r="I324" s="528" t="s">
        <v>3333</v>
      </c>
      <c r="J324" s="528"/>
      <c r="K324" s="529"/>
      <c r="L324" s="530"/>
      <c r="M324" s="530"/>
    </row>
    <row r="325" spans="1:13">
      <c r="A325" s="522">
        <v>324</v>
      </c>
      <c r="B325" s="540" t="s">
        <v>3979</v>
      </c>
      <c r="C325" s="524" t="s">
        <v>1968</v>
      </c>
      <c r="D325" s="524" t="s">
        <v>4018</v>
      </c>
      <c r="E325" s="543" t="s">
        <v>3711</v>
      </c>
      <c r="F325" s="565" t="s">
        <v>4019</v>
      </c>
      <c r="G325" s="527" t="s">
        <v>4020</v>
      </c>
      <c r="H325" s="528" t="s">
        <v>3328</v>
      </c>
      <c r="I325" s="528" t="s">
        <v>3329</v>
      </c>
      <c r="J325" s="528" t="s">
        <v>3337</v>
      </c>
      <c r="K325" s="529"/>
      <c r="L325" s="530"/>
      <c r="M325" s="530"/>
    </row>
    <row r="326" spans="1:13">
      <c r="A326" s="522">
        <v>325</v>
      </c>
      <c r="B326" s="540" t="s">
        <v>3979</v>
      </c>
      <c r="C326" s="524" t="s">
        <v>2560</v>
      </c>
      <c r="D326" s="524">
        <v>2.5</v>
      </c>
      <c r="E326" s="525"/>
      <c r="F326" s="526" t="s">
        <v>4021</v>
      </c>
      <c r="G326" s="536" t="s">
        <v>4022</v>
      </c>
      <c r="H326" s="528" t="s">
        <v>3341</v>
      </c>
      <c r="I326" s="528" t="s">
        <v>3333</v>
      </c>
      <c r="J326" s="528"/>
      <c r="K326" s="529"/>
      <c r="L326" s="530"/>
      <c r="M326" s="530"/>
    </row>
    <row r="327" spans="1:13">
      <c r="A327" s="522">
        <v>326</v>
      </c>
      <c r="B327" s="540" t="s">
        <v>3979</v>
      </c>
      <c r="C327" s="524" t="s">
        <v>1970</v>
      </c>
      <c r="D327" s="524" t="s">
        <v>4023</v>
      </c>
      <c r="E327" s="543" t="s">
        <v>3711</v>
      </c>
      <c r="F327" s="565" t="s">
        <v>4024</v>
      </c>
      <c r="G327" s="527" t="s">
        <v>4025</v>
      </c>
      <c r="H327" s="528" t="s">
        <v>3328</v>
      </c>
      <c r="I327" s="528" t="s">
        <v>3329</v>
      </c>
      <c r="J327" s="528" t="s">
        <v>3337</v>
      </c>
      <c r="K327" s="529"/>
      <c r="L327" s="530"/>
      <c r="M327" s="530"/>
    </row>
    <row r="328" spans="1:13">
      <c r="A328" s="522">
        <v>327</v>
      </c>
      <c r="B328" s="540" t="s">
        <v>3979</v>
      </c>
      <c r="C328" s="524" t="s">
        <v>2926</v>
      </c>
      <c r="D328" s="524" t="s">
        <v>3991</v>
      </c>
      <c r="E328" s="543" t="s">
        <v>3711</v>
      </c>
      <c r="F328" s="548" t="s">
        <v>4026</v>
      </c>
      <c r="G328" s="536" t="s">
        <v>4027</v>
      </c>
      <c r="H328" s="528" t="s">
        <v>3341</v>
      </c>
      <c r="I328" s="528" t="s">
        <v>3329</v>
      </c>
      <c r="J328" s="528" t="s">
        <v>3337</v>
      </c>
      <c r="K328" s="570" t="s">
        <v>4028</v>
      </c>
      <c r="L328" s="530"/>
    </row>
    <row r="329" spans="1:13">
      <c r="A329" s="522">
        <v>328</v>
      </c>
      <c r="B329" s="571" t="s">
        <v>4029</v>
      </c>
      <c r="C329" s="524" t="s">
        <v>1901</v>
      </c>
      <c r="D329" s="524">
        <v>0</v>
      </c>
      <c r="E329" s="525"/>
      <c r="F329" s="534" t="s">
        <v>4030</v>
      </c>
      <c r="G329" s="527" t="s">
        <v>4031</v>
      </c>
      <c r="H329" s="528" t="s">
        <v>3328</v>
      </c>
      <c r="I329" s="528" t="s">
        <v>3329</v>
      </c>
      <c r="J329" s="528" t="s">
        <v>3337</v>
      </c>
      <c r="K329" s="529"/>
      <c r="L329" s="530"/>
      <c r="M329" s="530"/>
    </row>
    <row r="330" spans="1:13">
      <c r="A330" s="522">
        <v>329</v>
      </c>
      <c r="B330" s="571" t="s">
        <v>4029</v>
      </c>
      <c r="C330" s="524" t="s">
        <v>1208</v>
      </c>
      <c r="D330" s="524">
        <v>0.5</v>
      </c>
      <c r="E330" s="525"/>
      <c r="F330" s="526" t="s">
        <v>4032</v>
      </c>
      <c r="G330" s="527" t="s">
        <v>4033</v>
      </c>
      <c r="H330" s="528" t="s">
        <v>3328</v>
      </c>
      <c r="I330" s="528" t="s">
        <v>3333</v>
      </c>
      <c r="J330" s="528"/>
      <c r="K330" s="529"/>
      <c r="L330" s="530"/>
      <c r="M330" s="530"/>
    </row>
    <row r="331" spans="1:13">
      <c r="A331" s="522">
        <v>330</v>
      </c>
      <c r="B331" s="571" t="s">
        <v>4029</v>
      </c>
      <c r="C331" s="524" t="s">
        <v>1902</v>
      </c>
      <c r="D331" s="524">
        <v>0</v>
      </c>
      <c r="E331" s="525"/>
      <c r="F331" s="534" t="s">
        <v>4034</v>
      </c>
      <c r="G331" s="527" t="s">
        <v>4035</v>
      </c>
      <c r="H331" s="528" t="s">
        <v>3328</v>
      </c>
      <c r="I331" s="528" t="s">
        <v>3329</v>
      </c>
      <c r="J331" s="528" t="s">
        <v>3337</v>
      </c>
      <c r="K331" s="553" t="s">
        <v>4036</v>
      </c>
      <c r="L331" s="530"/>
      <c r="M331" s="530"/>
    </row>
    <row r="332" spans="1:13">
      <c r="A332" s="522">
        <v>331</v>
      </c>
      <c r="B332" s="571" t="s">
        <v>4029</v>
      </c>
      <c r="C332" s="524" t="s">
        <v>1259</v>
      </c>
      <c r="D332" s="524">
        <v>0.5</v>
      </c>
      <c r="E332" s="525"/>
      <c r="F332" s="526" t="s">
        <v>4037</v>
      </c>
      <c r="G332" s="527" t="s">
        <v>4038</v>
      </c>
      <c r="H332" s="528" t="s">
        <v>3328</v>
      </c>
      <c r="I332" s="528" t="s">
        <v>3333</v>
      </c>
      <c r="J332" s="528"/>
      <c r="K332" s="529"/>
      <c r="L332" s="530"/>
      <c r="M332" s="530"/>
    </row>
    <row r="333" spans="1:13">
      <c r="A333" s="522">
        <v>332</v>
      </c>
      <c r="B333" s="571" t="s">
        <v>4029</v>
      </c>
      <c r="C333" s="524" t="s">
        <v>1280</v>
      </c>
      <c r="D333" s="524">
        <v>0.5</v>
      </c>
      <c r="E333" s="525"/>
      <c r="F333" s="526" t="s">
        <v>4039</v>
      </c>
      <c r="G333" s="527" t="s">
        <v>4040</v>
      </c>
      <c r="H333" s="528" t="s">
        <v>3328</v>
      </c>
      <c r="I333" s="528" t="s">
        <v>3333</v>
      </c>
      <c r="J333" s="528"/>
      <c r="K333" s="529"/>
      <c r="L333" s="530"/>
      <c r="M333" s="530"/>
    </row>
    <row r="334" spans="1:13">
      <c r="A334" s="522">
        <v>333</v>
      </c>
      <c r="B334" s="571" t="s">
        <v>4029</v>
      </c>
      <c r="C334" s="524" t="s">
        <v>2567</v>
      </c>
      <c r="D334" s="524">
        <v>3.5</v>
      </c>
      <c r="E334" s="525"/>
      <c r="F334" s="526" t="s">
        <v>4041</v>
      </c>
      <c r="G334" s="536" t="s">
        <v>4042</v>
      </c>
      <c r="H334" s="528" t="s">
        <v>3341</v>
      </c>
      <c r="I334" s="528" t="s">
        <v>3333</v>
      </c>
      <c r="J334" s="528"/>
      <c r="K334" s="529"/>
      <c r="L334" s="530"/>
      <c r="M334" s="530"/>
    </row>
    <row r="335" spans="1:13">
      <c r="A335" s="522">
        <v>334</v>
      </c>
      <c r="B335" s="571" t="s">
        <v>4029</v>
      </c>
      <c r="C335" s="524" t="s">
        <v>2563</v>
      </c>
      <c r="D335" s="524">
        <v>1.5</v>
      </c>
      <c r="E335" s="525"/>
      <c r="F335" s="526" t="s">
        <v>4043</v>
      </c>
      <c r="G335" s="536" t="s">
        <v>4044</v>
      </c>
      <c r="H335" s="528" t="s">
        <v>3341</v>
      </c>
      <c r="I335" s="528" t="s">
        <v>3333</v>
      </c>
      <c r="J335" s="528"/>
      <c r="K335" s="529"/>
      <c r="L335" s="530"/>
      <c r="M335" s="530"/>
    </row>
    <row r="336" spans="1:13">
      <c r="A336" s="522">
        <v>335</v>
      </c>
      <c r="B336" s="571" t="s">
        <v>4029</v>
      </c>
      <c r="C336" s="524" t="s">
        <v>2566</v>
      </c>
      <c r="D336" s="524">
        <v>1.5</v>
      </c>
      <c r="E336" s="525"/>
      <c r="F336" s="534" t="s">
        <v>4045</v>
      </c>
      <c r="G336" s="527" t="s">
        <v>4046</v>
      </c>
      <c r="H336" s="528" t="s">
        <v>3328</v>
      </c>
      <c r="I336" s="528" t="s">
        <v>3329</v>
      </c>
      <c r="J336" s="528" t="s">
        <v>3337</v>
      </c>
      <c r="K336" s="572"/>
      <c r="L336" s="530"/>
      <c r="M336" s="530"/>
    </row>
    <row r="337" spans="1:13">
      <c r="A337" s="522">
        <v>336</v>
      </c>
      <c r="B337" s="571" t="s">
        <v>4029</v>
      </c>
      <c r="C337" s="524" t="s">
        <v>2564</v>
      </c>
      <c r="D337" s="524">
        <v>2.5</v>
      </c>
      <c r="E337" s="525"/>
      <c r="F337" s="526" t="s">
        <v>4047</v>
      </c>
      <c r="G337" s="536" t="s">
        <v>4048</v>
      </c>
      <c r="H337" s="528" t="s">
        <v>3341</v>
      </c>
      <c r="I337" s="528" t="s">
        <v>3333</v>
      </c>
      <c r="J337" s="528"/>
      <c r="K337" s="572"/>
      <c r="L337" s="530"/>
      <c r="M337" s="530"/>
    </row>
    <row r="338" spans="1:13">
      <c r="A338" s="522">
        <v>337</v>
      </c>
      <c r="B338" s="571" t="s">
        <v>4029</v>
      </c>
      <c r="C338" s="524" t="s">
        <v>2565</v>
      </c>
      <c r="D338" s="524">
        <v>0.5</v>
      </c>
      <c r="E338" s="525"/>
      <c r="F338" s="526" t="s">
        <v>4049</v>
      </c>
      <c r="G338" s="527" t="s">
        <v>4050</v>
      </c>
      <c r="H338" s="528" t="s">
        <v>3328</v>
      </c>
      <c r="I338" s="528" t="s">
        <v>3333</v>
      </c>
      <c r="J338" s="528"/>
      <c r="K338" s="572"/>
      <c r="L338" s="530"/>
      <c r="M338" s="530"/>
    </row>
    <row r="339" spans="1:13">
      <c r="A339" s="522">
        <v>338</v>
      </c>
      <c r="B339" s="571" t="s">
        <v>4029</v>
      </c>
      <c r="C339" s="524" t="s">
        <v>2927</v>
      </c>
      <c r="D339" s="524">
        <v>3.5</v>
      </c>
      <c r="E339" s="525"/>
      <c r="F339" s="526" t="s">
        <v>4051</v>
      </c>
      <c r="G339" s="527" t="s">
        <v>4052</v>
      </c>
      <c r="H339" s="528" t="s">
        <v>3328</v>
      </c>
      <c r="I339" s="528" t="s">
        <v>3333</v>
      </c>
      <c r="J339" s="528"/>
      <c r="K339" s="529"/>
      <c r="L339" s="530"/>
      <c r="M339" s="530"/>
    </row>
    <row r="340" spans="1:13">
      <c r="A340" s="522">
        <v>339</v>
      </c>
      <c r="B340" s="571" t="s">
        <v>4029</v>
      </c>
      <c r="C340" s="524" t="s">
        <v>2571</v>
      </c>
      <c r="D340" s="524">
        <v>5.5</v>
      </c>
      <c r="E340" s="525"/>
      <c r="F340" s="526" t="s">
        <v>4053</v>
      </c>
      <c r="G340" s="536" t="s">
        <v>4054</v>
      </c>
      <c r="H340" s="528" t="s">
        <v>3341</v>
      </c>
      <c r="I340" s="528" t="s">
        <v>3333</v>
      </c>
      <c r="J340" s="528"/>
      <c r="K340" s="529"/>
      <c r="L340" s="530"/>
      <c r="M340" s="530"/>
    </row>
    <row r="341" spans="1:13">
      <c r="A341" s="522">
        <v>340</v>
      </c>
      <c r="B341" s="571" t="s">
        <v>4029</v>
      </c>
      <c r="C341" s="524" t="s">
        <v>2928</v>
      </c>
      <c r="D341" s="524">
        <v>1.5</v>
      </c>
      <c r="E341" s="525"/>
      <c r="F341" s="526" t="s">
        <v>4055</v>
      </c>
      <c r="G341" s="536" t="s">
        <v>4056</v>
      </c>
      <c r="H341" s="528" t="s">
        <v>3341</v>
      </c>
      <c r="I341" s="528" t="s">
        <v>3333</v>
      </c>
      <c r="J341" s="528"/>
      <c r="K341" s="529"/>
      <c r="L341" s="530"/>
      <c r="M341" s="530"/>
    </row>
    <row r="342" spans="1:13">
      <c r="A342" s="522">
        <v>341</v>
      </c>
      <c r="B342" s="571" t="s">
        <v>4029</v>
      </c>
      <c r="C342" s="524" t="s">
        <v>2570</v>
      </c>
      <c r="D342" s="524">
        <v>2.5</v>
      </c>
      <c r="E342" s="525"/>
      <c r="F342" s="526" t="s">
        <v>4057</v>
      </c>
      <c r="G342" s="536" t="s">
        <v>4058</v>
      </c>
      <c r="H342" s="528" t="s">
        <v>3341</v>
      </c>
      <c r="I342" s="528" t="s">
        <v>3333</v>
      </c>
      <c r="J342" s="528"/>
      <c r="K342" s="529"/>
      <c r="L342" s="530"/>
      <c r="M342" s="530"/>
    </row>
    <row r="343" spans="1:13">
      <c r="A343" s="522">
        <v>342</v>
      </c>
      <c r="B343" s="571" t="s">
        <v>4029</v>
      </c>
      <c r="C343" s="524" t="s">
        <v>2929</v>
      </c>
      <c r="D343" s="524">
        <v>2.5</v>
      </c>
      <c r="E343" s="525"/>
      <c r="F343" s="526" t="s">
        <v>4059</v>
      </c>
      <c r="G343" s="536" t="s">
        <v>4060</v>
      </c>
      <c r="H343" s="528" t="s">
        <v>3341</v>
      </c>
      <c r="I343" s="528" t="s">
        <v>3333</v>
      </c>
      <c r="J343" s="528"/>
      <c r="K343" s="529"/>
      <c r="L343" s="530"/>
      <c r="M343" s="530"/>
    </row>
    <row r="344" spans="1:13">
      <c r="A344" s="522">
        <v>343</v>
      </c>
      <c r="B344" s="523" t="s">
        <v>4061</v>
      </c>
      <c r="C344" s="524" t="s">
        <v>2931</v>
      </c>
      <c r="D344" s="524">
        <v>5.5</v>
      </c>
      <c r="E344" s="525"/>
      <c r="F344" s="526" t="s">
        <v>4062</v>
      </c>
      <c r="G344" s="536" t="s">
        <v>4063</v>
      </c>
      <c r="H344" s="528" t="s">
        <v>3341</v>
      </c>
      <c r="I344" s="528" t="s">
        <v>3333</v>
      </c>
      <c r="J344" s="528"/>
      <c r="K344" s="529"/>
      <c r="L344" s="530"/>
      <c r="M344" s="530"/>
    </row>
    <row r="345" spans="1:13">
      <c r="A345" s="522">
        <v>344</v>
      </c>
      <c r="B345" s="523" t="s">
        <v>4061</v>
      </c>
      <c r="C345" s="524" t="s">
        <v>2933</v>
      </c>
      <c r="D345" s="524">
        <v>3.5</v>
      </c>
      <c r="E345" s="525"/>
      <c r="F345" s="526" t="s">
        <v>4064</v>
      </c>
      <c r="G345" s="536" t="s">
        <v>4065</v>
      </c>
      <c r="H345" s="528" t="s">
        <v>3341</v>
      </c>
      <c r="I345" s="528" t="s">
        <v>3333</v>
      </c>
      <c r="J345" s="528"/>
      <c r="K345" s="529"/>
      <c r="L345" s="530"/>
      <c r="M345" s="530"/>
    </row>
    <row r="346" spans="1:13">
      <c r="A346" s="522">
        <v>345</v>
      </c>
      <c r="B346" s="523" t="s">
        <v>4061</v>
      </c>
      <c r="C346" s="524" t="s">
        <v>2577</v>
      </c>
      <c r="D346" s="524">
        <v>2.5</v>
      </c>
      <c r="E346" s="525"/>
      <c r="F346" s="526" t="s">
        <v>4066</v>
      </c>
      <c r="G346" s="536" t="s">
        <v>4067</v>
      </c>
      <c r="H346" s="528" t="s">
        <v>3341</v>
      </c>
      <c r="I346" s="528" t="s">
        <v>3333</v>
      </c>
      <c r="J346" s="528"/>
      <c r="K346" s="529"/>
      <c r="L346" s="530"/>
      <c r="M346" s="530"/>
    </row>
    <row r="347" spans="1:13">
      <c r="A347" s="522">
        <v>346</v>
      </c>
      <c r="B347" s="523" t="s">
        <v>4061</v>
      </c>
      <c r="C347" s="524" t="s">
        <v>2576</v>
      </c>
      <c r="D347" s="524">
        <v>2.5</v>
      </c>
      <c r="E347" s="525"/>
      <c r="F347" s="526" t="s">
        <v>4068</v>
      </c>
      <c r="G347" s="536" t="s">
        <v>4069</v>
      </c>
      <c r="H347" s="528" t="s">
        <v>3341</v>
      </c>
      <c r="I347" s="528" t="s">
        <v>3333</v>
      </c>
      <c r="J347" s="528"/>
      <c r="K347" s="529"/>
      <c r="L347" s="530"/>
      <c r="M347" s="530"/>
    </row>
    <row r="348" spans="1:13">
      <c r="A348" s="522">
        <v>347</v>
      </c>
      <c r="B348" s="523" t="s">
        <v>4061</v>
      </c>
      <c r="C348" s="524" t="s">
        <v>2935</v>
      </c>
      <c r="D348" s="524">
        <v>2.5</v>
      </c>
      <c r="E348" s="525"/>
      <c r="F348" s="526" t="s">
        <v>4070</v>
      </c>
      <c r="G348" s="536" t="s">
        <v>4071</v>
      </c>
      <c r="H348" s="528" t="s">
        <v>3341</v>
      </c>
      <c r="I348" s="528" t="s">
        <v>3333</v>
      </c>
      <c r="J348" s="528"/>
      <c r="K348" s="529"/>
      <c r="L348" s="530"/>
      <c r="M348" s="530"/>
    </row>
    <row r="349" spans="1:13">
      <c r="A349" s="522">
        <v>348</v>
      </c>
      <c r="B349" s="523" t="s">
        <v>4061</v>
      </c>
      <c r="C349" s="524" t="s">
        <v>2581</v>
      </c>
      <c r="D349" s="524">
        <v>3.5</v>
      </c>
      <c r="E349" s="525"/>
      <c r="F349" s="526" t="s">
        <v>4072</v>
      </c>
      <c r="G349" s="536" t="s">
        <v>4073</v>
      </c>
      <c r="H349" s="528" t="s">
        <v>3341</v>
      </c>
      <c r="I349" s="528" t="s">
        <v>3333</v>
      </c>
      <c r="J349" s="528"/>
      <c r="K349" s="529"/>
      <c r="L349" s="530"/>
      <c r="M349" s="530"/>
    </row>
    <row r="350" spans="1:13">
      <c r="A350" s="522">
        <v>349</v>
      </c>
      <c r="B350" s="523" t="s">
        <v>4061</v>
      </c>
      <c r="C350" s="524" t="s">
        <v>2582</v>
      </c>
      <c r="D350" s="524">
        <v>2.5</v>
      </c>
      <c r="E350" s="525"/>
      <c r="F350" s="526" t="s">
        <v>4074</v>
      </c>
      <c r="G350" s="536" t="s">
        <v>4075</v>
      </c>
      <c r="H350" s="528" t="s">
        <v>3341</v>
      </c>
      <c r="I350" s="528" t="s">
        <v>3333</v>
      </c>
      <c r="J350" s="528"/>
      <c r="K350" s="529"/>
      <c r="L350" s="530"/>
      <c r="M350" s="530"/>
    </row>
    <row r="351" spans="1:13">
      <c r="A351" s="522">
        <v>350</v>
      </c>
      <c r="B351" s="523" t="s">
        <v>4061</v>
      </c>
      <c r="C351" s="524" t="s">
        <v>2583</v>
      </c>
      <c r="D351" s="524">
        <v>3.5</v>
      </c>
      <c r="E351" s="525"/>
      <c r="F351" s="526" t="s">
        <v>4076</v>
      </c>
      <c r="G351" s="536" t="s">
        <v>4077</v>
      </c>
      <c r="H351" s="528" t="s">
        <v>3341</v>
      </c>
      <c r="I351" s="528" t="s">
        <v>3333</v>
      </c>
      <c r="J351" s="528"/>
      <c r="K351" s="529"/>
      <c r="L351" s="530"/>
      <c r="M351" s="530"/>
    </row>
    <row r="352" spans="1:13">
      <c r="A352" s="522">
        <v>351</v>
      </c>
      <c r="B352" s="523" t="s">
        <v>4061</v>
      </c>
      <c r="C352" s="524" t="s">
        <v>2585</v>
      </c>
      <c r="D352" s="524">
        <v>1.5</v>
      </c>
      <c r="E352" s="525"/>
      <c r="F352" s="526" t="s">
        <v>4078</v>
      </c>
      <c r="G352" s="536" t="s">
        <v>4079</v>
      </c>
      <c r="H352" s="528" t="s">
        <v>3341</v>
      </c>
      <c r="I352" s="528" t="s">
        <v>3333</v>
      </c>
      <c r="J352" s="528"/>
      <c r="K352" s="529"/>
      <c r="L352" s="530"/>
      <c r="M352" s="530"/>
    </row>
    <row r="353" spans="1:13">
      <c r="A353" s="522">
        <v>352</v>
      </c>
      <c r="B353" s="523" t="s">
        <v>4061</v>
      </c>
      <c r="C353" s="524" t="s">
        <v>2584</v>
      </c>
      <c r="D353" s="524">
        <v>5.5</v>
      </c>
      <c r="E353" s="525"/>
      <c r="F353" s="526" t="s">
        <v>4080</v>
      </c>
      <c r="G353" s="536" t="s">
        <v>4081</v>
      </c>
      <c r="H353" s="528" t="s">
        <v>3341</v>
      </c>
      <c r="I353" s="528" t="s">
        <v>3333</v>
      </c>
      <c r="J353" s="528"/>
      <c r="K353" s="529"/>
      <c r="L353" s="530"/>
      <c r="M353" s="530"/>
    </row>
    <row r="354" spans="1:13">
      <c r="A354" s="522">
        <v>353</v>
      </c>
      <c r="B354" s="523" t="s">
        <v>4061</v>
      </c>
      <c r="C354" s="524" t="s">
        <v>2930</v>
      </c>
      <c r="D354" s="524">
        <v>2.5</v>
      </c>
      <c r="E354" s="525"/>
      <c r="F354" s="526" t="s">
        <v>4082</v>
      </c>
      <c r="G354" s="536" t="s">
        <v>4083</v>
      </c>
      <c r="H354" s="528" t="s">
        <v>3341</v>
      </c>
      <c r="I354" s="528" t="s">
        <v>3333</v>
      </c>
      <c r="J354" s="528"/>
      <c r="K354" s="529"/>
      <c r="L354" s="530"/>
      <c r="M354" s="530"/>
    </row>
    <row r="355" spans="1:13">
      <c r="A355" s="522">
        <v>354</v>
      </c>
      <c r="B355" s="523" t="s">
        <v>4061</v>
      </c>
      <c r="C355" s="524" t="s">
        <v>2587</v>
      </c>
      <c r="D355" s="524">
        <v>3.5</v>
      </c>
      <c r="E355" s="525"/>
      <c r="F355" s="526" t="s">
        <v>4084</v>
      </c>
      <c r="G355" s="536" t="s">
        <v>4085</v>
      </c>
      <c r="H355" s="528" t="s">
        <v>3341</v>
      </c>
      <c r="I355" s="528" t="s">
        <v>3333</v>
      </c>
      <c r="J355" s="528"/>
      <c r="K355" s="529"/>
      <c r="L355" s="530"/>
      <c r="M355" s="530"/>
    </row>
    <row r="356" spans="1:13">
      <c r="A356" s="522">
        <v>355</v>
      </c>
      <c r="B356" s="523" t="s">
        <v>4061</v>
      </c>
      <c r="C356" s="524" t="s">
        <v>2932</v>
      </c>
      <c r="D356" s="524">
        <v>2.5</v>
      </c>
      <c r="E356" s="525"/>
      <c r="F356" s="526" t="s">
        <v>4086</v>
      </c>
      <c r="G356" s="536" t="s">
        <v>4087</v>
      </c>
      <c r="H356" s="528" t="s">
        <v>3341</v>
      </c>
      <c r="I356" s="528" t="s">
        <v>3333</v>
      </c>
      <c r="J356" s="528"/>
      <c r="K356" s="529"/>
      <c r="L356" s="530"/>
      <c r="M356" s="530"/>
    </row>
    <row r="357" spans="1:13">
      <c r="A357" s="522">
        <v>356</v>
      </c>
      <c r="B357" s="523" t="s">
        <v>4061</v>
      </c>
      <c r="C357" s="524" t="s">
        <v>2934</v>
      </c>
      <c r="D357" s="524">
        <v>6.5</v>
      </c>
      <c r="E357" s="525"/>
      <c r="F357" s="526" t="s">
        <v>4088</v>
      </c>
      <c r="G357" s="536" t="s">
        <v>4089</v>
      </c>
      <c r="H357" s="528" t="s">
        <v>3341</v>
      </c>
      <c r="I357" s="528" t="s">
        <v>3333</v>
      </c>
      <c r="J357" s="528"/>
      <c r="K357" s="529"/>
      <c r="L357" s="530"/>
      <c r="M357" s="530"/>
    </row>
    <row r="358" spans="1:13">
      <c r="A358" s="522">
        <v>357</v>
      </c>
      <c r="B358" s="523" t="s">
        <v>4061</v>
      </c>
      <c r="C358" s="524" t="s">
        <v>2591</v>
      </c>
      <c r="D358" s="524">
        <v>7.5</v>
      </c>
      <c r="E358" s="525"/>
      <c r="F358" s="526" t="s">
        <v>4090</v>
      </c>
      <c r="G358" s="536" t="s">
        <v>4091</v>
      </c>
      <c r="H358" s="528" t="s">
        <v>3341</v>
      </c>
      <c r="I358" s="528" t="s">
        <v>3333</v>
      </c>
      <c r="J358" s="528"/>
      <c r="K358" s="529"/>
      <c r="L358" s="530"/>
      <c r="M358" s="530"/>
    </row>
    <row r="359" spans="1:13">
      <c r="A359" s="522">
        <v>358</v>
      </c>
      <c r="B359" s="540" t="s">
        <v>4092</v>
      </c>
      <c r="C359" s="524" t="s">
        <v>2938</v>
      </c>
      <c r="D359" s="524">
        <v>4.5</v>
      </c>
      <c r="E359" s="525"/>
      <c r="F359" s="526" t="s">
        <v>4093</v>
      </c>
      <c r="G359" s="536" t="s">
        <v>4094</v>
      </c>
      <c r="H359" s="528" t="s">
        <v>3341</v>
      </c>
      <c r="I359" s="528" t="s">
        <v>3333</v>
      </c>
      <c r="J359" s="528"/>
      <c r="K359" s="529"/>
      <c r="L359" s="530"/>
      <c r="M359" s="530"/>
    </row>
    <row r="360" spans="1:13">
      <c r="A360" s="522">
        <v>359</v>
      </c>
      <c r="B360" s="540" t="s">
        <v>4092</v>
      </c>
      <c r="C360" s="524" t="s">
        <v>2597</v>
      </c>
      <c r="D360" s="524">
        <v>2.5</v>
      </c>
      <c r="E360" s="525"/>
      <c r="F360" s="526" t="s">
        <v>4095</v>
      </c>
      <c r="G360" s="527" t="s">
        <v>4096</v>
      </c>
      <c r="H360" s="528" t="s">
        <v>3328</v>
      </c>
      <c r="I360" s="528" t="s">
        <v>3333</v>
      </c>
      <c r="J360" s="528"/>
      <c r="K360" s="529"/>
      <c r="L360" s="530"/>
      <c r="M360" s="530"/>
    </row>
    <row r="361" spans="1:13">
      <c r="A361" s="522">
        <v>360</v>
      </c>
      <c r="B361" s="540" t="s">
        <v>4092</v>
      </c>
      <c r="C361" s="524" t="s">
        <v>2593</v>
      </c>
      <c r="D361" s="524">
        <v>2.5</v>
      </c>
      <c r="E361" s="525"/>
      <c r="F361" s="526" t="s">
        <v>4097</v>
      </c>
      <c r="G361" s="536" t="s">
        <v>4098</v>
      </c>
      <c r="H361" s="528" t="s">
        <v>3341</v>
      </c>
      <c r="I361" s="528" t="s">
        <v>3333</v>
      </c>
      <c r="J361" s="528"/>
      <c r="K361" s="529"/>
      <c r="L361" s="530"/>
      <c r="M361" s="530"/>
    </row>
    <row r="362" spans="1:13">
      <c r="A362" s="522">
        <v>361</v>
      </c>
      <c r="B362" s="540" t="s">
        <v>4092</v>
      </c>
      <c r="C362" s="524" t="s">
        <v>2939</v>
      </c>
      <c r="D362" s="524">
        <v>2.5</v>
      </c>
      <c r="E362" s="545"/>
      <c r="F362" s="526" t="s">
        <v>4099</v>
      </c>
      <c r="G362" s="550" t="s">
        <v>4100</v>
      </c>
      <c r="H362" s="528" t="s">
        <v>3328</v>
      </c>
      <c r="I362" s="528" t="s">
        <v>3333</v>
      </c>
      <c r="J362" s="528"/>
      <c r="K362" s="529"/>
      <c r="L362" s="530"/>
      <c r="M362" s="530"/>
    </row>
    <row r="363" spans="1:13">
      <c r="A363" s="522">
        <v>362</v>
      </c>
      <c r="B363" s="540" t="s">
        <v>4092</v>
      </c>
      <c r="C363" s="524" t="s">
        <v>2943</v>
      </c>
      <c r="D363" s="524">
        <v>2.5</v>
      </c>
      <c r="E363" s="525"/>
      <c r="F363" s="526" t="s">
        <v>4101</v>
      </c>
      <c r="G363" s="536" t="s">
        <v>4102</v>
      </c>
      <c r="H363" s="528" t="s">
        <v>3341</v>
      </c>
      <c r="I363" s="528" t="s">
        <v>3333</v>
      </c>
      <c r="J363" s="528"/>
      <c r="K363" s="529"/>
      <c r="L363" s="530"/>
      <c r="M363" s="530"/>
    </row>
    <row r="364" spans="1:13">
      <c r="A364" s="522">
        <v>363</v>
      </c>
      <c r="B364" s="540" t="s">
        <v>4092</v>
      </c>
      <c r="C364" s="524" t="s">
        <v>2941</v>
      </c>
      <c r="D364" s="524">
        <v>2.5</v>
      </c>
      <c r="E364" s="525"/>
      <c r="F364" s="526" t="s">
        <v>4103</v>
      </c>
      <c r="G364" s="536" t="s">
        <v>4104</v>
      </c>
      <c r="H364" s="528" t="s">
        <v>3341</v>
      </c>
      <c r="I364" s="528" t="s">
        <v>3333</v>
      </c>
      <c r="J364" s="528"/>
      <c r="K364" s="529"/>
      <c r="L364" s="530"/>
      <c r="M364" s="530"/>
    </row>
    <row r="365" spans="1:13">
      <c r="A365" s="522">
        <v>364</v>
      </c>
      <c r="B365" s="540" t="s">
        <v>4092</v>
      </c>
      <c r="C365" s="524" t="s">
        <v>2944</v>
      </c>
      <c r="D365" s="524">
        <v>1.5</v>
      </c>
      <c r="E365" s="525"/>
      <c r="F365" s="534" t="s">
        <v>4105</v>
      </c>
      <c r="G365" s="527" t="s">
        <v>4106</v>
      </c>
      <c r="H365" s="528" t="s">
        <v>3328</v>
      </c>
      <c r="I365" s="528" t="s">
        <v>3329</v>
      </c>
      <c r="J365" s="528"/>
      <c r="K365" s="529"/>
      <c r="L365" s="530"/>
      <c r="M365" s="530"/>
    </row>
    <row r="366" spans="1:13">
      <c r="A366" s="522">
        <v>365</v>
      </c>
      <c r="B366" s="540" t="s">
        <v>4092</v>
      </c>
      <c r="C366" s="524" t="s">
        <v>2601</v>
      </c>
      <c r="D366" s="524">
        <v>2.5</v>
      </c>
      <c r="E366" s="525"/>
      <c r="F366" s="526" t="s">
        <v>4107</v>
      </c>
      <c r="G366" s="536" t="s">
        <v>4108</v>
      </c>
      <c r="H366" s="528" t="s">
        <v>3341</v>
      </c>
      <c r="I366" s="528" t="s">
        <v>3333</v>
      </c>
      <c r="J366" s="528"/>
      <c r="K366" s="529"/>
      <c r="L366" s="530"/>
      <c r="M366" s="530"/>
    </row>
    <row r="367" spans="1:13">
      <c r="A367" s="522">
        <v>366</v>
      </c>
      <c r="B367" s="540" t="s">
        <v>4092</v>
      </c>
      <c r="C367" s="524" t="s">
        <v>2603</v>
      </c>
      <c r="D367" s="524">
        <v>2.5</v>
      </c>
      <c r="E367" s="525"/>
      <c r="F367" s="526" t="s">
        <v>4109</v>
      </c>
      <c r="G367" s="536" t="s">
        <v>4110</v>
      </c>
      <c r="H367" s="528" t="s">
        <v>3341</v>
      </c>
      <c r="I367" s="528" t="s">
        <v>3333</v>
      </c>
      <c r="J367" s="528"/>
      <c r="K367" s="529"/>
      <c r="L367" s="530"/>
      <c r="M367" s="530"/>
    </row>
    <row r="368" spans="1:13">
      <c r="A368" s="522">
        <v>367</v>
      </c>
      <c r="B368" s="540" t="s">
        <v>4092</v>
      </c>
      <c r="C368" s="524" t="s">
        <v>2602</v>
      </c>
      <c r="D368" s="524">
        <v>4.5</v>
      </c>
      <c r="E368" s="525"/>
      <c r="F368" s="526" t="s">
        <v>4111</v>
      </c>
      <c r="G368" s="550" t="s">
        <v>4112</v>
      </c>
      <c r="H368" s="528" t="s">
        <v>3328</v>
      </c>
      <c r="I368" s="528" t="s">
        <v>3333</v>
      </c>
      <c r="J368" s="528"/>
      <c r="K368" s="529"/>
      <c r="L368" s="530"/>
      <c r="M368" s="530"/>
    </row>
    <row r="369" spans="1:13">
      <c r="A369" s="522">
        <v>368</v>
      </c>
      <c r="B369" s="540" t="s">
        <v>4092</v>
      </c>
      <c r="C369" s="524" t="s">
        <v>2936</v>
      </c>
      <c r="D369" s="524">
        <v>1.5</v>
      </c>
      <c r="E369" s="525"/>
      <c r="F369" s="526" t="s">
        <v>4113</v>
      </c>
      <c r="G369" s="550" t="s">
        <v>4114</v>
      </c>
      <c r="H369" s="528" t="s">
        <v>3328</v>
      </c>
      <c r="I369" s="528" t="s">
        <v>3333</v>
      </c>
      <c r="J369" s="528"/>
      <c r="K369" s="529"/>
      <c r="L369" s="530"/>
      <c r="M369" s="530"/>
    </row>
    <row r="370" spans="1:13">
      <c r="A370" s="522">
        <v>369</v>
      </c>
      <c r="B370" s="540" t="s">
        <v>4092</v>
      </c>
      <c r="C370" s="524" t="s">
        <v>2937</v>
      </c>
      <c r="D370" s="524">
        <v>3.5</v>
      </c>
      <c r="E370" s="525"/>
      <c r="F370" s="534" t="s">
        <v>4115</v>
      </c>
      <c r="G370" s="527" t="s">
        <v>4116</v>
      </c>
      <c r="H370" s="528" t="s">
        <v>3328</v>
      </c>
      <c r="I370" s="528" t="s">
        <v>3329</v>
      </c>
      <c r="J370" s="528" t="s">
        <v>3337</v>
      </c>
      <c r="K370" s="529"/>
      <c r="L370" s="530"/>
      <c r="M370" s="530"/>
    </row>
    <row r="371" spans="1:13">
      <c r="A371" s="522">
        <v>370</v>
      </c>
      <c r="B371" s="540" t="s">
        <v>4092</v>
      </c>
      <c r="C371" s="524" t="s">
        <v>2605</v>
      </c>
      <c r="D371" s="524">
        <v>3.5</v>
      </c>
      <c r="E371" s="525"/>
      <c r="F371" s="526" t="s">
        <v>4117</v>
      </c>
      <c r="G371" s="536" t="s">
        <v>4118</v>
      </c>
      <c r="H371" s="528" t="s">
        <v>3341</v>
      </c>
      <c r="I371" s="528" t="s">
        <v>3333</v>
      </c>
      <c r="J371" s="528"/>
      <c r="K371" s="529"/>
      <c r="L371" s="530"/>
      <c r="M371" s="530"/>
    </row>
    <row r="372" spans="1:13">
      <c r="A372" s="522">
        <v>371</v>
      </c>
      <c r="B372" s="540" t="s">
        <v>4092</v>
      </c>
      <c r="C372" s="524" t="s">
        <v>2940</v>
      </c>
      <c r="D372" s="524">
        <v>6.5</v>
      </c>
      <c r="E372" s="525"/>
      <c r="F372" s="526" t="s">
        <v>4119</v>
      </c>
      <c r="G372" s="536" t="s">
        <v>4120</v>
      </c>
      <c r="H372" s="528" t="s">
        <v>3341</v>
      </c>
      <c r="I372" s="528" t="s">
        <v>3333</v>
      </c>
      <c r="J372" s="528"/>
      <c r="K372" s="529"/>
      <c r="L372" s="530"/>
      <c r="M372" s="530"/>
    </row>
    <row r="373" spans="1:13">
      <c r="A373" s="522">
        <v>372</v>
      </c>
      <c r="B373" s="540" t="s">
        <v>4092</v>
      </c>
      <c r="C373" s="524" t="s">
        <v>2942</v>
      </c>
      <c r="D373" s="524">
        <v>4.5</v>
      </c>
      <c r="E373" s="525"/>
      <c r="F373" s="526" t="s">
        <v>4121</v>
      </c>
      <c r="G373" s="536" t="s">
        <v>4122</v>
      </c>
      <c r="H373" s="528" t="s">
        <v>3341</v>
      </c>
      <c r="I373" s="528" t="s">
        <v>3333</v>
      </c>
      <c r="J373" s="528"/>
      <c r="K373" s="529"/>
      <c r="L373" s="530"/>
      <c r="M373" s="530"/>
    </row>
    <row r="374" spans="1:13" ht="27" customHeight="1">
      <c r="A374" s="522">
        <v>373</v>
      </c>
      <c r="B374" s="523" t="s">
        <v>4123</v>
      </c>
      <c r="C374" s="524" t="s">
        <v>1905</v>
      </c>
      <c r="D374" s="524">
        <v>1</v>
      </c>
      <c r="E374" s="539" t="s">
        <v>4124</v>
      </c>
      <c r="F374" s="526" t="s">
        <v>4125</v>
      </c>
      <c r="G374" s="527" t="s">
        <v>4126</v>
      </c>
      <c r="H374" s="528" t="s">
        <v>3328</v>
      </c>
      <c r="I374" s="528" t="s">
        <v>3333</v>
      </c>
      <c r="J374" s="528"/>
      <c r="K374" s="529"/>
      <c r="L374" s="530"/>
      <c r="M374" s="530"/>
    </row>
    <row r="375" spans="1:13">
      <c r="A375" s="522">
        <v>374</v>
      </c>
      <c r="B375" s="523" t="s">
        <v>4123</v>
      </c>
      <c r="C375" s="524" t="s">
        <v>2949</v>
      </c>
      <c r="D375" s="524">
        <v>2.5</v>
      </c>
      <c r="E375" s="525"/>
      <c r="F375" s="526" t="s">
        <v>4127</v>
      </c>
      <c r="G375" s="527" t="s">
        <v>4128</v>
      </c>
      <c r="H375" s="528" t="s">
        <v>3328</v>
      </c>
      <c r="I375" s="528" t="s">
        <v>3333</v>
      </c>
      <c r="J375" s="528"/>
      <c r="K375" s="529"/>
      <c r="L375" s="530"/>
      <c r="M375" s="530"/>
    </row>
    <row r="376" spans="1:13">
      <c r="A376" s="522">
        <v>375</v>
      </c>
      <c r="B376" s="523" t="s">
        <v>4123</v>
      </c>
      <c r="C376" s="524" t="s">
        <v>1907</v>
      </c>
      <c r="D376" s="524">
        <v>1.5</v>
      </c>
      <c r="E376" s="525"/>
      <c r="F376" s="526" t="s">
        <v>4129</v>
      </c>
      <c r="G376" s="527" t="s">
        <v>4130</v>
      </c>
      <c r="H376" s="528" t="s">
        <v>3328</v>
      </c>
      <c r="I376" s="528" t="s">
        <v>3333</v>
      </c>
      <c r="J376" s="528"/>
      <c r="K376" s="529"/>
      <c r="L376" s="530"/>
      <c r="M376" s="530"/>
    </row>
    <row r="377" spans="1:13">
      <c r="A377" s="522">
        <v>376</v>
      </c>
      <c r="B377" s="523" t="s">
        <v>4123</v>
      </c>
      <c r="C377" s="524" t="s">
        <v>2950</v>
      </c>
      <c r="D377" s="524">
        <v>2.5</v>
      </c>
      <c r="E377" s="525"/>
      <c r="F377" s="526" t="s">
        <v>4131</v>
      </c>
      <c r="G377" s="536" t="s">
        <v>4132</v>
      </c>
      <c r="H377" s="528" t="s">
        <v>3341</v>
      </c>
      <c r="I377" s="528" t="s">
        <v>3333</v>
      </c>
      <c r="J377" s="528"/>
      <c r="K377" s="529"/>
      <c r="L377" s="530"/>
      <c r="M377" s="530"/>
    </row>
    <row r="378" spans="1:13">
      <c r="A378" s="522">
        <v>377</v>
      </c>
      <c r="B378" s="523" t="s">
        <v>4123</v>
      </c>
      <c r="C378" s="524" t="s">
        <v>1909</v>
      </c>
      <c r="D378" s="524">
        <v>4.5</v>
      </c>
      <c r="E378" s="525"/>
      <c r="F378" s="526" t="s">
        <v>4133</v>
      </c>
      <c r="G378" s="527" t="s">
        <v>4134</v>
      </c>
      <c r="H378" s="528" t="s">
        <v>3328</v>
      </c>
      <c r="I378" s="528" t="s">
        <v>3333</v>
      </c>
      <c r="J378" s="528"/>
      <c r="K378" s="529"/>
      <c r="L378" s="530"/>
      <c r="M378" s="530"/>
    </row>
    <row r="379" spans="1:13">
      <c r="A379" s="522">
        <v>378</v>
      </c>
      <c r="B379" s="523" t="s">
        <v>4123</v>
      </c>
      <c r="C379" s="524" t="s">
        <v>2945</v>
      </c>
      <c r="D379" s="524">
        <v>1.5</v>
      </c>
      <c r="E379" s="525"/>
      <c r="F379" s="526" t="s">
        <v>4135</v>
      </c>
      <c r="G379" s="536" t="s">
        <v>4136</v>
      </c>
      <c r="H379" s="528" t="s">
        <v>3341</v>
      </c>
      <c r="I379" s="528" t="s">
        <v>3333</v>
      </c>
      <c r="J379" s="528"/>
      <c r="K379" s="529"/>
      <c r="L379" s="530"/>
      <c r="M379" s="530"/>
    </row>
    <row r="380" spans="1:13">
      <c r="A380" s="522">
        <v>379</v>
      </c>
      <c r="B380" s="523" t="s">
        <v>4123</v>
      </c>
      <c r="C380" s="524" t="s">
        <v>2947</v>
      </c>
      <c r="D380" s="524">
        <v>2.5</v>
      </c>
      <c r="E380" s="525"/>
      <c r="F380" s="526" t="s">
        <v>4137</v>
      </c>
      <c r="G380" s="536" t="s">
        <v>4138</v>
      </c>
      <c r="H380" s="528" t="s">
        <v>3341</v>
      </c>
      <c r="I380" s="528" t="s">
        <v>3333</v>
      </c>
      <c r="J380" s="528"/>
      <c r="K380" s="529"/>
      <c r="L380" s="530"/>
      <c r="M380" s="530"/>
    </row>
    <row r="381" spans="1:13">
      <c r="A381" s="522">
        <v>380</v>
      </c>
      <c r="B381" s="523" t="s">
        <v>4123</v>
      </c>
      <c r="C381" s="524" t="s">
        <v>2951</v>
      </c>
      <c r="D381" s="524">
        <v>1.5</v>
      </c>
      <c r="E381" s="525"/>
      <c r="F381" s="526" t="s">
        <v>4139</v>
      </c>
      <c r="G381" s="536" t="s">
        <v>4140</v>
      </c>
      <c r="H381" s="528" t="s">
        <v>3341</v>
      </c>
      <c r="I381" s="528" t="s">
        <v>3333</v>
      </c>
      <c r="J381" s="528"/>
      <c r="K381" s="529"/>
      <c r="L381" s="530"/>
      <c r="M381" s="530"/>
    </row>
    <row r="382" spans="1:13">
      <c r="A382" s="522">
        <v>381</v>
      </c>
      <c r="B382" s="523" t="s">
        <v>4123</v>
      </c>
      <c r="C382" s="524" t="s">
        <v>2952</v>
      </c>
      <c r="D382" s="524">
        <v>1.5</v>
      </c>
      <c r="E382" s="525"/>
      <c r="F382" s="526" t="s">
        <v>4141</v>
      </c>
      <c r="G382" s="536" t="s">
        <v>4142</v>
      </c>
      <c r="H382" s="528" t="s">
        <v>3341</v>
      </c>
      <c r="I382" s="528" t="s">
        <v>3333</v>
      </c>
      <c r="J382" s="528"/>
      <c r="K382" s="529"/>
      <c r="L382" s="530"/>
      <c r="M382" s="530"/>
    </row>
    <row r="383" spans="1:13">
      <c r="A383" s="522">
        <v>382</v>
      </c>
      <c r="B383" s="523" t="s">
        <v>4123</v>
      </c>
      <c r="C383" s="524" t="s">
        <v>2946</v>
      </c>
      <c r="D383" s="524">
        <v>1.5</v>
      </c>
      <c r="E383" s="525"/>
      <c r="F383" s="526" t="s">
        <v>4143</v>
      </c>
      <c r="G383" s="527" t="s">
        <v>4134</v>
      </c>
      <c r="H383" s="528" t="s">
        <v>3328</v>
      </c>
      <c r="I383" s="528" t="s">
        <v>3333</v>
      </c>
      <c r="J383" s="528"/>
      <c r="K383" s="529"/>
      <c r="L383" s="530"/>
      <c r="M383" s="530"/>
    </row>
    <row r="384" spans="1:13">
      <c r="A384" s="522">
        <v>383</v>
      </c>
      <c r="B384" s="523" t="s">
        <v>4123</v>
      </c>
      <c r="C384" s="524" t="s">
        <v>1979</v>
      </c>
      <c r="D384" s="524">
        <v>2.5</v>
      </c>
      <c r="E384" s="525"/>
      <c r="F384" s="526" t="s">
        <v>4144</v>
      </c>
      <c r="G384" s="527" t="s">
        <v>4145</v>
      </c>
      <c r="H384" s="528" t="s">
        <v>3328</v>
      </c>
      <c r="I384" s="528" t="s">
        <v>3333</v>
      </c>
      <c r="J384" s="528"/>
      <c r="K384" s="529"/>
      <c r="L384" s="530"/>
      <c r="M384" s="530"/>
    </row>
    <row r="385" spans="1:13" ht="28.5">
      <c r="A385" s="522">
        <v>384</v>
      </c>
      <c r="B385" s="523" t="s">
        <v>4123</v>
      </c>
      <c r="C385" s="524" t="s">
        <v>2948</v>
      </c>
      <c r="D385" s="524">
        <v>3.5</v>
      </c>
      <c r="E385" s="573" t="s">
        <v>4146</v>
      </c>
      <c r="F385" s="526" t="s">
        <v>4147</v>
      </c>
      <c r="G385" s="527" t="s">
        <v>4148</v>
      </c>
      <c r="H385" s="528" t="s">
        <v>3328</v>
      </c>
      <c r="I385" s="528" t="s">
        <v>3333</v>
      </c>
      <c r="J385" s="528"/>
      <c r="K385" s="529"/>
      <c r="L385" s="530"/>
      <c r="M385" s="530"/>
    </row>
    <row r="386" spans="1:13">
      <c r="A386" s="522">
        <v>385</v>
      </c>
      <c r="B386" s="523" t="s">
        <v>4123</v>
      </c>
      <c r="C386" s="524" t="s">
        <v>1981</v>
      </c>
      <c r="D386" s="524">
        <v>2.5</v>
      </c>
      <c r="E386" s="525"/>
      <c r="F386" s="526" t="s">
        <v>4149</v>
      </c>
      <c r="G386" s="527" t="s">
        <v>4150</v>
      </c>
      <c r="H386" s="528" t="s">
        <v>3328</v>
      </c>
      <c r="I386" s="528" t="s">
        <v>3333</v>
      </c>
      <c r="J386" s="528"/>
      <c r="K386" s="529"/>
      <c r="L386" s="530"/>
      <c r="M386" s="530"/>
    </row>
    <row r="387" spans="1:13">
      <c r="A387" s="522">
        <v>386</v>
      </c>
      <c r="B387" s="523" t="s">
        <v>4123</v>
      </c>
      <c r="C387" s="524" t="s">
        <v>1982</v>
      </c>
      <c r="D387" s="524">
        <v>0.5</v>
      </c>
      <c r="E387" s="525"/>
      <c r="F387" s="526" t="s">
        <v>4151</v>
      </c>
      <c r="G387" s="527" t="s">
        <v>4152</v>
      </c>
      <c r="H387" s="528" t="s">
        <v>3328</v>
      </c>
      <c r="I387" s="528" t="s">
        <v>3333</v>
      </c>
      <c r="J387" s="528"/>
      <c r="K387" s="529"/>
      <c r="L387" s="530"/>
      <c r="M387" s="530"/>
    </row>
    <row r="388" spans="1:13">
      <c r="A388" s="522">
        <v>387</v>
      </c>
      <c r="B388" s="540" t="s">
        <v>4153</v>
      </c>
      <c r="C388" s="524" t="s">
        <v>1910</v>
      </c>
      <c r="D388" s="524">
        <v>0</v>
      </c>
      <c r="E388" s="525"/>
      <c r="F388" s="534" t="s">
        <v>4154</v>
      </c>
      <c r="G388" s="527" t="s">
        <v>4155</v>
      </c>
      <c r="H388" s="528" t="s">
        <v>3328</v>
      </c>
      <c r="I388" s="528" t="s">
        <v>3329</v>
      </c>
      <c r="J388" s="528" t="s">
        <v>3337</v>
      </c>
      <c r="K388" s="529"/>
      <c r="L388" s="530"/>
      <c r="M388" s="530"/>
    </row>
    <row r="389" spans="1:13">
      <c r="A389" s="522">
        <v>388</v>
      </c>
      <c r="B389" s="540" t="s">
        <v>4153</v>
      </c>
      <c r="C389" s="524" t="s">
        <v>2621</v>
      </c>
      <c r="D389" s="524">
        <v>2.5</v>
      </c>
      <c r="E389" s="525"/>
      <c r="F389" s="526" t="s">
        <v>4156</v>
      </c>
      <c r="G389" s="527" t="s">
        <v>4157</v>
      </c>
      <c r="H389" s="528" t="s">
        <v>3328</v>
      </c>
      <c r="I389" s="528" t="s">
        <v>3333</v>
      </c>
      <c r="J389" s="528"/>
      <c r="K389" s="529"/>
      <c r="L389" s="530"/>
      <c r="M389" s="530"/>
    </row>
    <row r="390" spans="1:13">
      <c r="A390" s="522">
        <v>389</v>
      </c>
      <c r="B390" s="540" t="s">
        <v>4153</v>
      </c>
      <c r="C390" s="524" t="s">
        <v>2622</v>
      </c>
      <c r="D390" s="524">
        <v>1.5</v>
      </c>
      <c r="E390" s="525"/>
      <c r="F390" s="526" t="s">
        <v>4158</v>
      </c>
      <c r="G390" s="527" t="s">
        <v>4159</v>
      </c>
      <c r="H390" s="528" t="s">
        <v>3328</v>
      </c>
      <c r="I390" s="528" t="s">
        <v>3333</v>
      </c>
      <c r="J390" s="528"/>
      <c r="K390" s="529"/>
      <c r="L390" s="530"/>
      <c r="M390" s="530"/>
    </row>
    <row r="391" spans="1:13">
      <c r="A391" s="522">
        <v>390</v>
      </c>
      <c r="B391" s="540" t="s">
        <v>4153</v>
      </c>
      <c r="C391" s="524" t="s">
        <v>2623</v>
      </c>
      <c r="D391" s="524">
        <v>2.5</v>
      </c>
      <c r="E391" s="525"/>
      <c r="F391" s="526" t="s">
        <v>4160</v>
      </c>
      <c r="G391" s="527" t="s">
        <v>4161</v>
      </c>
      <c r="H391" s="528" t="s">
        <v>3328</v>
      </c>
      <c r="I391" s="528" t="s">
        <v>3333</v>
      </c>
      <c r="J391" s="528"/>
      <c r="K391" s="529"/>
      <c r="L391" s="530"/>
      <c r="M391" s="530"/>
    </row>
    <row r="392" spans="1:13">
      <c r="A392" s="522">
        <v>391</v>
      </c>
      <c r="B392" s="540" t="s">
        <v>4153</v>
      </c>
      <c r="C392" s="524" t="s">
        <v>2624</v>
      </c>
      <c r="D392" s="524">
        <v>2.5</v>
      </c>
      <c r="E392" s="525"/>
      <c r="F392" s="526" t="s">
        <v>4162</v>
      </c>
      <c r="G392" s="527" t="s">
        <v>4163</v>
      </c>
      <c r="H392" s="528" t="s">
        <v>3328</v>
      </c>
      <c r="I392" s="528" t="s">
        <v>3333</v>
      </c>
      <c r="J392" s="528"/>
      <c r="K392" s="529"/>
      <c r="L392" s="530"/>
      <c r="M392" s="530"/>
    </row>
    <row r="393" spans="1:13">
      <c r="A393" s="522">
        <v>392</v>
      </c>
      <c r="B393" s="540" t="s">
        <v>4153</v>
      </c>
      <c r="C393" s="524" t="s">
        <v>1912</v>
      </c>
      <c r="D393" s="524">
        <v>1</v>
      </c>
      <c r="E393" s="525"/>
      <c r="F393" s="534" t="s">
        <v>4164</v>
      </c>
      <c r="G393" s="527" t="s">
        <v>4165</v>
      </c>
      <c r="H393" s="528" t="s">
        <v>3328</v>
      </c>
      <c r="I393" s="528" t="s">
        <v>3329</v>
      </c>
      <c r="J393" s="528" t="s">
        <v>3337</v>
      </c>
      <c r="K393" s="529"/>
      <c r="L393" s="530"/>
      <c r="M393" s="530"/>
    </row>
    <row r="394" spans="1:13">
      <c r="A394" s="522">
        <v>393</v>
      </c>
      <c r="B394" s="540" t="s">
        <v>4153</v>
      </c>
      <c r="C394" s="524" t="s">
        <v>2953</v>
      </c>
      <c r="D394" s="524">
        <v>2</v>
      </c>
      <c r="E394" s="525"/>
      <c r="F394" s="526" t="s">
        <v>4166</v>
      </c>
      <c r="G394" s="527" t="s">
        <v>4167</v>
      </c>
      <c r="H394" s="528" t="s">
        <v>3328</v>
      </c>
      <c r="I394" s="528" t="s">
        <v>3333</v>
      </c>
      <c r="J394" s="528"/>
      <c r="K394" s="529"/>
      <c r="L394" s="530"/>
      <c r="M394" s="530"/>
    </row>
    <row r="395" spans="1:13">
      <c r="A395" s="522">
        <v>394</v>
      </c>
      <c r="B395" s="540" t="s">
        <v>4153</v>
      </c>
      <c r="C395" s="524" t="s">
        <v>2627</v>
      </c>
      <c r="D395" s="524">
        <v>1.5</v>
      </c>
      <c r="E395" s="525"/>
      <c r="F395" s="526" t="s">
        <v>4168</v>
      </c>
      <c r="G395" s="527" t="s">
        <v>4169</v>
      </c>
      <c r="H395" s="528" t="s">
        <v>3328</v>
      </c>
      <c r="I395" s="528" t="s">
        <v>3333</v>
      </c>
      <c r="J395" s="528"/>
      <c r="K395" s="529"/>
      <c r="L395" s="530"/>
      <c r="M395" s="530"/>
    </row>
    <row r="396" spans="1:13">
      <c r="A396" s="522">
        <v>395</v>
      </c>
      <c r="B396" s="540" t="s">
        <v>4153</v>
      </c>
      <c r="C396" s="524" t="s">
        <v>2628</v>
      </c>
      <c r="D396" s="524">
        <v>1.5</v>
      </c>
      <c r="E396" s="525"/>
      <c r="F396" s="526" t="s">
        <v>4170</v>
      </c>
      <c r="G396" s="527" t="s">
        <v>4171</v>
      </c>
      <c r="H396" s="528" t="s">
        <v>3328</v>
      </c>
      <c r="I396" s="528" t="s">
        <v>3333</v>
      </c>
      <c r="J396" s="528"/>
      <c r="K396" s="529"/>
      <c r="L396" s="530"/>
      <c r="M396" s="530"/>
    </row>
    <row r="397" spans="1:13">
      <c r="A397" s="522">
        <v>396</v>
      </c>
      <c r="B397" s="540" t="s">
        <v>4153</v>
      </c>
      <c r="C397" s="524" t="s">
        <v>1987</v>
      </c>
      <c r="D397" s="524">
        <v>0</v>
      </c>
      <c r="E397" s="525"/>
      <c r="F397" s="534" t="s">
        <v>4172</v>
      </c>
      <c r="G397" s="527" t="s">
        <v>4173</v>
      </c>
      <c r="H397" s="528" t="s">
        <v>3328</v>
      </c>
      <c r="I397" s="528" t="s">
        <v>3329</v>
      </c>
      <c r="J397" s="528" t="s">
        <v>3337</v>
      </c>
      <c r="K397" s="529"/>
      <c r="L397" s="530"/>
      <c r="M397" s="530"/>
    </row>
    <row r="398" spans="1:13">
      <c r="A398" s="522">
        <v>397</v>
      </c>
      <c r="B398" s="540" t="s">
        <v>4153</v>
      </c>
      <c r="C398" s="524" t="s">
        <v>2629</v>
      </c>
      <c r="D398" s="524">
        <v>1.5</v>
      </c>
      <c r="E398" s="525"/>
      <c r="F398" s="526" t="s">
        <v>4174</v>
      </c>
      <c r="G398" s="527" t="s">
        <v>4175</v>
      </c>
      <c r="H398" s="528" t="s">
        <v>3328</v>
      </c>
      <c r="I398" s="528" t="s">
        <v>3333</v>
      </c>
      <c r="J398" s="528"/>
      <c r="K398" s="529"/>
      <c r="L398" s="530"/>
      <c r="M398" s="530"/>
    </row>
    <row r="399" spans="1:13">
      <c r="A399" s="522">
        <v>398</v>
      </c>
      <c r="B399" s="540" t="s">
        <v>4153</v>
      </c>
      <c r="C399" s="524" t="s">
        <v>3274</v>
      </c>
      <c r="D399" s="524">
        <v>2</v>
      </c>
      <c r="E399" s="525"/>
      <c r="F399" s="526" t="s">
        <v>4176</v>
      </c>
      <c r="G399" s="527" t="s">
        <v>4177</v>
      </c>
      <c r="H399" s="528" t="s">
        <v>3328</v>
      </c>
      <c r="I399" s="528" t="s">
        <v>3333</v>
      </c>
      <c r="J399" s="528"/>
      <c r="K399" s="529"/>
      <c r="L399" s="530"/>
      <c r="M399" s="530"/>
    </row>
    <row r="400" spans="1:13">
      <c r="A400" s="522">
        <v>399</v>
      </c>
      <c r="B400" s="540" t="s">
        <v>4153</v>
      </c>
      <c r="C400" s="524" t="s">
        <v>2617</v>
      </c>
      <c r="D400" s="524">
        <v>1.5</v>
      </c>
      <c r="E400" s="525"/>
      <c r="F400" s="534" t="s">
        <v>4178</v>
      </c>
      <c r="G400" s="536" t="s">
        <v>4179</v>
      </c>
      <c r="H400" s="528" t="s">
        <v>3341</v>
      </c>
      <c r="I400" s="528" t="s">
        <v>3329</v>
      </c>
      <c r="J400" s="528" t="s">
        <v>3337</v>
      </c>
      <c r="K400" s="529"/>
      <c r="L400" s="530"/>
      <c r="M400" s="530"/>
    </row>
    <row r="401" spans="1:13">
      <c r="A401" s="522">
        <v>400</v>
      </c>
      <c r="B401" s="540" t="s">
        <v>4153</v>
      </c>
      <c r="C401" s="524" t="s">
        <v>2616</v>
      </c>
      <c r="D401" s="524">
        <v>3.5</v>
      </c>
      <c r="E401" s="525"/>
      <c r="F401" s="534" t="s">
        <v>4180</v>
      </c>
      <c r="G401" s="536" t="s">
        <v>4181</v>
      </c>
      <c r="H401" s="528" t="s">
        <v>3341</v>
      </c>
      <c r="I401" s="528" t="s">
        <v>3329</v>
      </c>
      <c r="J401" s="528" t="s">
        <v>3337</v>
      </c>
      <c r="K401" s="529"/>
      <c r="L401" s="530"/>
      <c r="M401" s="530"/>
    </row>
    <row r="402" spans="1:13">
      <c r="A402" s="522">
        <v>401</v>
      </c>
      <c r="B402" s="540" t="s">
        <v>4153</v>
      </c>
      <c r="C402" s="524" t="s">
        <v>2615</v>
      </c>
      <c r="D402" s="524">
        <v>1.5</v>
      </c>
      <c r="E402" s="525"/>
      <c r="F402" s="534" t="s">
        <v>4182</v>
      </c>
      <c r="G402" s="536" t="s">
        <v>4183</v>
      </c>
      <c r="H402" s="528" t="s">
        <v>3341</v>
      </c>
      <c r="I402" s="528" t="s">
        <v>3329</v>
      </c>
      <c r="J402" s="528" t="s">
        <v>3337</v>
      </c>
      <c r="K402" s="529"/>
      <c r="L402" s="530"/>
      <c r="M402" s="530"/>
    </row>
    <row r="403" spans="1:13">
      <c r="A403" s="522">
        <v>402</v>
      </c>
      <c r="B403" s="540" t="s">
        <v>4153</v>
      </c>
      <c r="C403" s="524" t="s">
        <v>1983</v>
      </c>
      <c r="D403" s="524">
        <v>0.5</v>
      </c>
      <c r="E403" s="525"/>
      <c r="F403" s="534" t="s">
        <v>4184</v>
      </c>
      <c r="G403" s="536" t="s">
        <v>4185</v>
      </c>
      <c r="H403" s="528" t="s">
        <v>3341</v>
      </c>
      <c r="I403" s="528" t="s">
        <v>3329</v>
      </c>
      <c r="J403" s="528" t="s">
        <v>3337</v>
      </c>
      <c r="K403" s="529"/>
      <c r="L403" s="530"/>
      <c r="M403" s="530"/>
    </row>
    <row r="404" spans="1:13">
      <c r="A404" s="522">
        <v>403</v>
      </c>
      <c r="B404" s="540" t="s">
        <v>4153</v>
      </c>
      <c r="C404" s="524" t="s">
        <v>2619</v>
      </c>
      <c r="D404" s="524">
        <v>1.5</v>
      </c>
      <c r="E404" s="525"/>
      <c r="F404" s="534" t="s">
        <v>4186</v>
      </c>
      <c r="G404" s="536" t="s">
        <v>4187</v>
      </c>
      <c r="H404" s="528" t="s">
        <v>3341</v>
      </c>
      <c r="I404" s="528" t="s">
        <v>3329</v>
      </c>
      <c r="J404" s="528" t="s">
        <v>3337</v>
      </c>
      <c r="K404" s="529"/>
      <c r="L404" s="530"/>
      <c r="M404" s="530"/>
    </row>
    <row r="405" spans="1:13">
      <c r="A405" s="522">
        <v>404</v>
      </c>
      <c r="B405" s="540" t="s">
        <v>4153</v>
      </c>
      <c r="C405" s="524" t="s">
        <v>1985</v>
      </c>
      <c r="D405" s="524">
        <v>0.5</v>
      </c>
      <c r="E405" s="525"/>
      <c r="F405" s="534" t="s">
        <v>4188</v>
      </c>
      <c r="G405" s="536" t="s">
        <v>4189</v>
      </c>
      <c r="H405" s="528" t="s">
        <v>3341</v>
      </c>
      <c r="I405" s="528" t="s">
        <v>3329</v>
      </c>
      <c r="J405" s="528" t="s">
        <v>3337</v>
      </c>
      <c r="K405" s="529"/>
      <c r="L405" s="530"/>
      <c r="M405" s="530"/>
    </row>
    <row r="406" spans="1:13" ht="16.5" customHeight="1">
      <c r="A406" s="522">
        <v>405</v>
      </c>
      <c r="B406" s="571" t="s">
        <v>4190</v>
      </c>
      <c r="C406" s="524" t="s">
        <v>1914</v>
      </c>
      <c r="D406" s="524">
        <v>0</v>
      </c>
      <c r="E406" s="525"/>
      <c r="F406" s="574" t="s">
        <v>4191</v>
      </c>
      <c r="G406" s="575" t="s">
        <v>4192</v>
      </c>
      <c r="H406" s="528" t="s">
        <v>3328</v>
      </c>
      <c r="I406" s="528" t="s">
        <v>3329</v>
      </c>
      <c r="J406" s="576"/>
      <c r="K406" s="529"/>
      <c r="L406" s="530"/>
      <c r="M406" s="530"/>
    </row>
    <row r="407" spans="1:13">
      <c r="A407" s="522">
        <v>406</v>
      </c>
      <c r="B407" s="571" t="s">
        <v>4190</v>
      </c>
      <c r="C407" s="524" t="s">
        <v>2055</v>
      </c>
      <c r="D407" s="524">
        <v>1.5</v>
      </c>
      <c r="E407" s="525"/>
      <c r="F407" s="534" t="s">
        <v>4193</v>
      </c>
      <c r="G407" s="527" t="s">
        <v>4194</v>
      </c>
      <c r="H407" s="528" t="s">
        <v>3328</v>
      </c>
      <c r="I407" s="528" t="s">
        <v>3329</v>
      </c>
      <c r="J407" s="528" t="s">
        <v>3337</v>
      </c>
      <c r="K407" s="529"/>
      <c r="L407" s="530"/>
      <c r="M407" s="530"/>
    </row>
    <row r="408" spans="1:13">
      <c r="A408" s="522">
        <v>407</v>
      </c>
      <c r="B408" s="571" t="s">
        <v>4190</v>
      </c>
      <c r="C408" s="524" t="s">
        <v>2056</v>
      </c>
      <c r="D408" s="524">
        <v>1.5</v>
      </c>
      <c r="E408" s="525"/>
      <c r="F408" s="526" t="s">
        <v>4195</v>
      </c>
      <c r="G408" s="527" t="s">
        <v>4196</v>
      </c>
      <c r="H408" s="528" t="s">
        <v>3328</v>
      </c>
      <c r="I408" s="528" t="s">
        <v>3333</v>
      </c>
      <c r="J408" s="528"/>
      <c r="K408" s="529"/>
      <c r="L408" s="530"/>
      <c r="M408" s="530"/>
    </row>
    <row r="409" spans="1:13">
      <c r="A409" s="522">
        <v>408</v>
      </c>
      <c r="B409" s="571" t="s">
        <v>4190</v>
      </c>
      <c r="C409" s="524" t="s">
        <v>2057</v>
      </c>
      <c r="D409" s="524">
        <v>2.5</v>
      </c>
      <c r="E409" s="525"/>
      <c r="F409" s="526" t="s">
        <v>4197</v>
      </c>
      <c r="G409" s="527" t="s">
        <v>4198</v>
      </c>
      <c r="H409" s="528" t="s">
        <v>3328</v>
      </c>
      <c r="I409" s="528" t="s">
        <v>3333</v>
      </c>
      <c r="J409" s="528"/>
      <c r="K409" s="529"/>
      <c r="L409" s="530"/>
      <c r="M409" s="530"/>
    </row>
    <row r="410" spans="1:13">
      <c r="A410" s="522">
        <v>409</v>
      </c>
      <c r="B410" s="571" t="s">
        <v>4190</v>
      </c>
      <c r="C410" s="524" t="s">
        <v>2058</v>
      </c>
      <c r="D410" s="524">
        <v>1.5</v>
      </c>
      <c r="E410" s="525"/>
      <c r="F410" s="526" t="s">
        <v>4199</v>
      </c>
      <c r="G410" s="527" t="s">
        <v>4200</v>
      </c>
      <c r="H410" s="528" t="s">
        <v>3328</v>
      </c>
      <c r="I410" s="528" t="s">
        <v>3333</v>
      </c>
      <c r="J410" s="528"/>
      <c r="K410" s="529"/>
      <c r="L410" s="530"/>
      <c r="M410" s="530"/>
    </row>
    <row r="411" spans="1:13">
      <c r="A411" s="522">
        <v>410</v>
      </c>
      <c r="B411" s="571" t="s">
        <v>4190</v>
      </c>
      <c r="C411" s="524" t="s">
        <v>1989</v>
      </c>
      <c r="D411" s="524">
        <v>0</v>
      </c>
      <c r="E411" s="525"/>
      <c r="F411" s="534" t="s">
        <v>4201</v>
      </c>
      <c r="G411" s="527" t="s">
        <v>4202</v>
      </c>
      <c r="H411" s="528" t="s">
        <v>3328</v>
      </c>
      <c r="I411" s="528" t="s">
        <v>3329</v>
      </c>
      <c r="J411" s="528" t="s">
        <v>3337</v>
      </c>
      <c r="K411" s="529"/>
      <c r="L411" s="530"/>
      <c r="M411" s="530"/>
    </row>
    <row r="412" spans="1:13">
      <c r="A412" s="522">
        <v>411</v>
      </c>
      <c r="B412" s="571" t="s">
        <v>4190</v>
      </c>
      <c r="C412" s="524" t="s">
        <v>2062</v>
      </c>
      <c r="D412" s="524">
        <v>1.5</v>
      </c>
      <c r="E412" s="525"/>
      <c r="F412" s="526" t="s">
        <v>4203</v>
      </c>
      <c r="G412" s="527" t="s">
        <v>4204</v>
      </c>
      <c r="H412" s="528" t="s">
        <v>3328</v>
      </c>
      <c r="I412" s="528" t="s">
        <v>3333</v>
      </c>
      <c r="J412" s="528"/>
      <c r="K412" s="529"/>
      <c r="L412" s="530"/>
      <c r="M412" s="530"/>
    </row>
    <row r="413" spans="1:13" ht="17.25" customHeight="1">
      <c r="A413" s="522">
        <v>412</v>
      </c>
      <c r="B413" s="571" t="s">
        <v>4190</v>
      </c>
      <c r="C413" s="524" t="s">
        <v>2063</v>
      </c>
      <c r="D413" s="524">
        <v>0.5</v>
      </c>
      <c r="E413" s="525"/>
      <c r="F413" s="534" t="s">
        <v>4205</v>
      </c>
      <c r="G413" s="527" t="s">
        <v>4206</v>
      </c>
      <c r="H413" s="528" t="s">
        <v>3328</v>
      </c>
      <c r="I413" s="528" t="s">
        <v>3329</v>
      </c>
      <c r="J413" s="528" t="s">
        <v>3337</v>
      </c>
      <c r="K413" s="529"/>
      <c r="L413" s="530"/>
      <c r="M413" s="530"/>
    </row>
    <row r="414" spans="1:13">
      <c r="A414" s="522">
        <v>413</v>
      </c>
      <c r="B414" s="571" t="s">
        <v>4190</v>
      </c>
      <c r="C414" s="524" t="s">
        <v>1993</v>
      </c>
      <c r="D414" s="524">
        <v>1.5</v>
      </c>
      <c r="E414" s="525"/>
      <c r="F414" s="526" t="s">
        <v>4207</v>
      </c>
      <c r="G414" s="527" t="s">
        <v>4208</v>
      </c>
      <c r="H414" s="528" t="s">
        <v>3328</v>
      </c>
      <c r="I414" s="528" t="s">
        <v>3333</v>
      </c>
      <c r="J414" s="528"/>
      <c r="K414" s="529"/>
      <c r="L414" s="530"/>
      <c r="M414" s="530"/>
    </row>
    <row r="415" spans="1:13">
      <c r="A415" s="522">
        <v>414</v>
      </c>
      <c r="B415" s="571" t="s">
        <v>4190</v>
      </c>
      <c r="C415" s="524" t="s">
        <v>1994</v>
      </c>
      <c r="D415" s="524">
        <v>1</v>
      </c>
      <c r="E415" s="525"/>
      <c r="F415" s="526" t="s">
        <v>4209</v>
      </c>
      <c r="G415" s="527" t="s">
        <v>4210</v>
      </c>
      <c r="H415" s="528" t="s">
        <v>3328</v>
      </c>
      <c r="I415" s="528" t="s">
        <v>3333</v>
      </c>
      <c r="J415" s="528"/>
      <c r="K415" s="529"/>
      <c r="L415" s="530"/>
      <c r="M415" s="530"/>
    </row>
    <row r="416" spans="1:13">
      <c r="A416" s="522">
        <v>415</v>
      </c>
      <c r="B416" s="571" t="s">
        <v>4190</v>
      </c>
      <c r="C416" s="537" t="s">
        <v>1995</v>
      </c>
      <c r="D416" s="524">
        <v>0.5</v>
      </c>
      <c r="E416" s="525"/>
      <c r="F416" s="534" t="s">
        <v>4211</v>
      </c>
      <c r="G416" s="527" t="s">
        <v>4212</v>
      </c>
      <c r="H416" s="528" t="s">
        <v>3328</v>
      </c>
      <c r="I416" s="528" t="s">
        <v>3329</v>
      </c>
      <c r="J416" s="528" t="s">
        <v>3337</v>
      </c>
      <c r="K416" s="577" t="s">
        <v>4213</v>
      </c>
      <c r="L416" s="530"/>
    </row>
    <row r="417" spans="1:13">
      <c r="A417" s="522">
        <v>416</v>
      </c>
      <c r="B417" s="578" t="s">
        <v>4214</v>
      </c>
      <c r="C417" s="524" t="s">
        <v>2750</v>
      </c>
      <c r="D417" s="524">
        <v>2.5</v>
      </c>
      <c r="E417" s="525"/>
      <c r="F417" s="526" t="s">
        <v>4215</v>
      </c>
      <c r="G417" s="527" t="s">
        <v>4216</v>
      </c>
      <c r="H417" s="528" t="s">
        <v>3328</v>
      </c>
      <c r="I417" s="528" t="s">
        <v>3333</v>
      </c>
      <c r="J417" s="528"/>
      <c r="K417" s="529"/>
      <c r="L417" s="530"/>
      <c r="M417" s="530"/>
    </row>
    <row r="418" spans="1:13">
      <c r="A418" s="522">
        <v>417</v>
      </c>
      <c r="B418" s="578" t="s">
        <v>4214</v>
      </c>
      <c r="C418" s="524" t="s">
        <v>1227</v>
      </c>
      <c r="D418" s="524">
        <v>4.5</v>
      </c>
      <c r="E418" s="525"/>
      <c r="F418" s="526" t="s">
        <v>4217</v>
      </c>
      <c r="G418" s="527" t="s">
        <v>4218</v>
      </c>
      <c r="H418" s="528" t="s">
        <v>3328</v>
      </c>
      <c r="I418" s="528" t="s">
        <v>3333</v>
      </c>
      <c r="J418" s="528"/>
      <c r="K418" s="529"/>
      <c r="L418" s="530"/>
      <c r="M418" s="530"/>
    </row>
    <row r="419" spans="1:13">
      <c r="A419" s="522">
        <v>418</v>
      </c>
      <c r="B419" s="578" t="s">
        <v>4214</v>
      </c>
      <c r="C419" s="524" t="s">
        <v>1264</v>
      </c>
      <c r="D419" s="524">
        <v>1.5</v>
      </c>
      <c r="E419" s="525"/>
      <c r="F419" s="526" t="s">
        <v>4219</v>
      </c>
      <c r="G419" s="550" t="s">
        <v>4220</v>
      </c>
      <c r="H419" s="528" t="s">
        <v>3328</v>
      </c>
      <c r="I419" s="528" t="s">
        <v>3333</v>
      </c>
      <c r="J419" s="528"/>
      <c r="K419" s="529"/>
      <c r="L419" s="530"/>
      <c r="M419" s="530"/>
    </row>
    <row r="420" spans="1:13">
      <c r="A420" s="522">
        <v>419</v>
      </c>
      <c r="B420" s="578" t="s">
        <v>4214</v>
      </c>
      <c r="C420" s="524" t="s">
        <v>1283</v>
      </c>
      <c r="D420" s="524">
        <v>1</v>
      </c>
      <c r="E420" s="525"/>
      <c r="F420" s="526" t="s">
        <v>4221</v>
      </c>
      <c r="G420" s="527" t="s">
        <v>4222</v>
      </c>
      <c r="H420" s="528" t="s">
        <v>3328</v>
      </c>
      <c r="I420" s="528" t="s">
        <v>3333</v>
      </c>
      <c r="J420" s="528"/>
      <c r="K420" s="529"/>
      <c r="L420" s="530"/>
      <c r="M420" s="530"/>
    </row>
    <row r="421" spans="1:13">
      <c r="A421" s="522">
        <v>420</v>
      </c>
      <c r="B421" s="578" t="s">
        <v>4214</v>
      </c>
      <c r="C421" s="524" t="s">
        <v>2751</v>
      </c>
      <c r="D421" s="524">
        <v>2.5</v>
      </c>
      <c r="E421" s="525"/>
      <c r="F421" s="534" t="s">
        <v>4223</v>
      </c>
      <c r="G421" s="527" t="s">
        <v>4224</v>
      </c>
      <c r="H421" s="528" t="s">
        <v>3328</v>
      </c>
      <c r="I421" s="528" t="s">
        <v>3329</v>
      </c>
      <c r="J421" s="528"/>
      <c r="K421" s="529"/>
      <c r="L421" s="530"/>
      <c r="M421" s="530"/>
    </row>
    <row r="422" spans="1:13">
      <c r="A422" s="522">
        <v>421</v>
      </c>
      <c r="B422" s="578" t="s">
        <v>4214</v>
      </c>
      <c r="C422" s="524" t="s">
        <v>2752</v>
      </c>
      <c r="D422" s="524">
        <v>0.5</v>
      </c>
      <c r="E422" s="525"/>
      <c r="F422" s="526" t="s">
        <v>4225</v>
      </c>
      <c r="G422" s="527" t="s">
        <v>4226</v>
      </c>
      <c r="H422" s="528" t="s">
        <v>3328</v>
      </c>
      <c r="I422" s="528" t="s">
        <v>3329</v>
      </c>
      <c r="J422" s="528"/>
      <c r="K422" s="529"/>
      <c r="L422" s="530"/>
      <c r="M422" s="530"/>
    </row>
    <row r="423" spans="1:13">
      <c r="A423" s="522">
        <v>422</v>
      </c>
      <c r="B423" s="578" t="s">
        <v>4214</v>
      </c>
      <c r="C423" s="524" t="s">
        <v>1487</v>
      </c>
      <c r="D423" s="524">
        <v>2.5</v>
      </c>
      <c r="E423" s="525"/>
      <c r="F423" s="526" t="s">
        <v>4227</v>
      </c>
      <c r="G423" s="527" t="s">
        <v>4228</v>
      </c>
      <c r="H423" s="528" t="s">
        <v>3328</v>
      </c>
      <c r="I423" s="528" t="s">
        <v>3333</v>
      </c>
      <c r="J423" s="528"/>
      <c r="K423" s="529"/>
      <c r="L423" s="530"/>
      <c r="M423" s="530"/>
    </row>
    <row r="424" spans="1:13">
      <c r="A424" s="522">
        <v>423</v>
      </c>
      <c r="B424" s="578" t="s">
        <v>4214</v>
      </c>
      <c r="C424" s="524" t="s">
        <v>1502</v>
      </c>
      <c r="D424" s="524">
        <v>1.5</v>
      </c>
      <c r="E424" s="525"/>
      <c r="F424" s="526" t="s">
        <v>4229</v>
      </c>
      <c r="G424" s="527" t="s">
        <v>4230</v>
      </c>
      <c r="H424" s="528" t="s">
        <v>3328</v>
      </c>
      <c r="I424" s="528" t="s">
        <v>3333</v>
      </c>
      <c r="J424" s="528"/>
      <c r="K424" s="529"/>
      <c r="L424" s="530"/>
      <c r="M424" s="530"/>
    </row>
    <row r="425" spans="1:13">
      <c r="A425" s="522">
        <v>424</v>
      </c>
      <c r="B425" s="578" t="s">
        <v>4214</v>
      </c>
      <c r="C425" s="524" t="s">
        <v>2001</v>
      </c>
      <c r="D425" s="524">
        <v>3.5</v>
      </c>
      <c r="E425" s="525"/>
      <c r="F425" s="526" t="s">
        <v>4231</v>
      </c>
      <c r="G425" s="527" t="s">
        <v>4232</v>
      </c>
      <c r="H425" s="528" t="s">
        <v>3328</v>
      </c>
      <c r="I425" s="528" t="s">
        <v>3333</v>
      </c>
      <c r="J425" s="528"/>
      <c r="K425" s="529"/>
      <c r="L425" s="530"/>
      <c r="M425" s="530"/>
    </row>
    <row r="426" spans="1:13">
      <c r="A426" s="522">
        <v>425</v>
      </c>
      <c r="B426" s="540" t="s">
        <v>4233</v>
      </c>
      <c r="C426" s="524" t="s">
        <v>2753</v>
      </c>
      <c r="D426" s="524">
        <v>1.5</v>
      </c>
      <c r="E426" s="525"/>
      <c r="F426" s="526" t="s">
        <v>4234</v>
      </c>
      <c r="G426" s="536" t="s">
        <v>4235</v>
      </c>
      <c r="H426" s="528" t="s">
        <v>3341</v>
      </c>
      <c r="I426" s="528" t="s">
        <v>3333</v>
      </c>
      <c r="J426" s="528"/>
      <c r="K426" s="529"/>
      <c r="L426" s="530"/>
      <c r="M426" s="530"/>
    </row>
    <row r="427" spans="1:13">
      <c r="A427" s="522">
        <v>426</v>
      </c>
      <c r="B427" s="540" t="s">
        <v>4233</v>
      </c>
      <c r="C427" s="524" t="s">
        <v>2754</v>
      </c>
      <c r="D427" s="524">
        <v>2.5</v>
      </c>
      <c r="E427" s="525"/>
      <c r="F427" s="526" t="s">
        <v>4236</v>
      </c>
      <c r="G427" s="536" t="s">
        <v>4237</v>
      </c>
      <c r="H427" s="528" t="s">
        <v>3341</v>
      </c>
      <c r="I427" s="528" t="s">
        <v>3333</v>
      </c>
      <c r="J427" s="528"/>
      <c r="K427" s="529"/>
      <c r="L427" s="530"/>
      <c r="M427" s="530"/>
    </row>
    <row r="428" spans="1:13">
      <c r="A428" s="522">
        <v>427</v>
      </c>
      <c r="B428" s="540" t="s">
        <v>4233</v>
      </c>
      <c r="C428" s="524" t="s">
        <v>1265</v>
      </c>
      <c r="D428" s="524">
        <v>1.5</v>
      </c>
      <c r="E428" s="525"/>
      <c r="F428" s="526" t="s">
        <v>4238</v>
      </c>
      <c r="G428" s="527" t="s">
        <v>4239</v>
      </c>
      <c r="H428" s="528" t="s">
        <v>3328</v>
      </c>
      <c r="I428" s="528" t="s">
        <v>3329</v>
      </c>
      <c r="J428" s="528"/>
      <c r="K428" s="529"/>
      <c r="L428" s="530"/>
      <c r="M428" s="530"/>
    </row>
    <row r="429" spans="1:13">
      <c r="A429" s="522">
        <v>428</v>
      </c>
      <c r="B429" s="540" t="s">
        <v>4233</v>
      </c>
      <c r="C429" s="524" t="s">
        <v>1284</v>
      </c>
      <c r="D429" s="524">
        <v>3.5</v>
      </c>
      <c r="E429" s="525"/>
      <c r="F429" s="534" t="s">
        <v>4240</v>
      </c>
      <c r="G429" s="536" t="s">
        <v>4241</v>
      </c>
      <c r="H429" s="528" t="s">
        <v>3341</v>
      </c>
      <c r="I429" s="528" t="s">
        <v>3329</v>
      </c>
      <c r="J429" s="528"/>
      <c r="K429" s="529"/>
      <c r="L429" s="530"/>
      <c r="M429" s="530"/>
    </row>
    <row r="430" spans="1:13">
      <c r="A430" s="522">
        <v>429</v>
      </c>
      <c r="B430" s="540" t="s">
        <v>4233</v>
      </c>
      <c r="C430" s="524" t="s">
        <v>1922</v>
      </c>
      <c r="D430" s="524" t="s">
        <v>4023</v>
      </c>
      <c r="E430" s="543" t="s">
        <v>3711</v>
      </c>
      <c r="F430" s="565" t="s">
        <v>4242</v>
      </c>
      <c r="G430" s="527" t="s">
        <v>4243</v>
      </c>
      <c r="H430" s="528" t="s">
        <v>3328</v>
      </c>
      <c r="I430" s="528" t="s">
        <v>3329</v>
      </c>
      <c r="J430" s="528"/>
      <c r="K430" s="529"/>
      <c r="L430" s="530"/>
      <c r="M430" s="530"/>
    </row>
    <row r="431" spans="1:13">
      <c r="A431" s="522">
        <v>430</v>
      </c>
      <c r="B431" s="540" t="s">
        <v>4233</v>
      </c>
      <c r="C431" s="524" t="s">
        <v>2755</v>
      </c>
      <c r="D431" s="524">
        <v>1.5</v>
      </c>
      <c r="E431" s="525"/>
      <c r="F431" s="526" t="s">
        <v>4244</v>
      </c>
      <c r="G431" s="527" t="s">
        <v>4245</v>
      </c>
      <c r="H431" s="528" t="s">
        <v>3328</v>
      </c>
      <c r="I431" s="528" t="s">
        <v>3329</v>
      </c>
      <c r="J431" s="528"/>
      <c r="K431" s="529"/>
      <c r="L431" s="530"/>
      <c r="M431" s="530"/>
    </row>
    <row r="432" spans="1:13">
      <c r="A432" s="522">
        <v>431</v>
      </c>
      <c r="B432" s="540" t="s">
        <v>4233</v>
      </c>
      <c r="C432" s="524" t="s">
        <v>2077</v>
      </c>
      <c r="D432" s="524">
        <v>1.5</v>
      </c>
      <c r="E432" s="525"/>
      <c r="F432" s="526" t="s">
        <v>4246</v>
      </c>
      <c r="G432" s="536" t="s">
        <v>4247</v>
      </c>
      <c r="H432" s="528" t="s">
        <v>3341</v>
      </c>
      <c r="I432" s="528" t="s">
        <v>3333</v>
      </c>
      <c r="J432" s="528"/>
      <c r="K432" s="529"/>
      <c r="L432" s="530"/>
      <c r="M432" s="530"/>
    </row>
    <row r="433" spans="1:13">
      <c r="A433" s="522">
        <v>432</v>
      </c>
      <c r="B433" s="540" t="s">
        <v>4233</v>
      </c>
      <c r="C433" s="524" t="s">
        <v>1924</v>
      </c>
      <c r="D433" s="524" t="s">
        <v>4248</v>
      </c>
      <c r="E433" s="543" t="s">
        <v>3711</v>
      </c>
      <c r="F433" s="565" t="s">
        <v>4249</v>
      </c>
      <c r="G433" s="527" t="s">
        <v>4250</v>
      </c>
      <c r="H433" s="528" t="s">
        <v>3328</v>
      </c>
      <c r="I433" s="528" t="s">
        <v>3329</v>
      </c>
      <c r="J433" s="528"/>
      <c r="K433" s="529"/>
      <c r="L433" s="530"/>
      <c r="M433" s="530"/>
    </row>
    <row r="434" spans="1:13">
      <c r="A434" s="522">
        <v>433</v>
      </c>
      <c r="B434" s="540" t="s">
        <v>4233</v>
      </c>
      <c r="C434" s="524" t="s">
        <v>2078</v>
      </c>
      <c r="D434" s="524">
        <v>3.5</v>
      </c>
      <c r="E434" s="525"/>
      <c r="F434" s="526" t="s">
        <v>4251</v>
      </c>
      <c r="G434" s="536" t="s">
        <v>4252</v>
      </c>
      <c r="H434" s="528" t="s">
        <v>3341</v>
      </c>
      <c r="I434" s="528" t="s">
        <v>3333</v>
      </c>
      <c r="J434" s="528"/>
      <c r="K434" s="529"/>
      <c r="L434" s="530"/>
      <c r="M434" s="530"/>
    </row>
    <row r="435" spans="1:13">
      <c r="A435" s="522">
        <v>434</v>
      </c>
      <c r="B435" s="540" t="s">
        <v>4233</v>
      </c>
      <c r="C435" s="524" t="s">
        <v>1442</v>
      </c>
      <c r="D435" s="524" t="s">
        <v>4253</v>
      </c>
      <c r="E435" s="543" t="s">
        <v>3711</v>
      </c>
      <c r="F435" s="565" t="s">
        <v>4254</v>
      </c>
      <c r="G435" s="527" t="s">
        <v>4255</v>
      </c>
      <c r="H435" s="528" t="s">
        <v>3328</v>
      </c>
      <c r="I435" s="528" t="s">
        <v>3329</v>
      </c>
      <c r="J435" s="528"/>
      <c r="K435" s="529"/>
      <c r="L435" s="530"/>
      <c r="M435" s="530"/>
    </row>
    <row r="436" spans="1:13">
      <c r="A436" s="522">
        <v>435</v>
      </c>
      <c r="B436" s="540" t="s">
        <v>4233</v>
      </c>
      <c r="C436" s="524" t="s">
        <v>1452</v>
      </c>
      <c r="D436" s="524" t="s">
        <v>3984</v>
      </c>
      <c r="E436" s="543" t="s">
        <v>3711</v>
      </c>
      <c r="F436" s="565" t="s">
        <v>4256</v>
      </c>
      <c r="G436" s="527" t="s">
        <v>4257</v>
      </c>
      <c r="H436" s="528" t="s">
        <v>3328</v>
      </c>
      <c r="I436" s="528" t="s">
        <v>3329</v>
      </c>
      <c r="J436" s="528"/>
      <c r="K436" s="529"/>
      <c r="L436" s="530"/>
      <c r="M436" s="530"/>
    </row>
    <row r="437" spans="1:13">
      <c r="A437" s="522">
        <v>436</v>
      </c>
      <c r="B437" s="540" t="s">
        <v>4233</v>
      </c>
      <c r="C437" s="524" t="s">
        <v>1488</v>
      </c>
      <c r="D437" s="524" t="s">
        <v>3991</v>
      </c>
      <c r="E437" s="543" t="s">
        <v>3711</v>
      </c>
      <c r="F437" s="565" t="s">
        <v>4258</v>
      </c>
      <c r="G437" s="527" t="s">
        <v>4259</v>
      </c>
      <c r="H437" s="528" t="s">
        <v>3328</v>
      </c>
      <c r="I437" s="528" t="s">
        <v>3329</v>
      </c>
      <c r="J437" s="528"/>
      <c r="K437" s="529"/>
      <c r="L437" s="530"/>
      <c r="M437" s="530"/>
    </row>
    <row r="438" spans="1:13">
      <c r="A438" s="522">
        <v>437</v>
      </c>
      <c r="B438" s="540" t="s">
        <v>4233</v>
      </c>
      <c r="C438" s="524" t="s">
        <v>1503</v>
      </c>
      <c r="D438" s="524" t="s">
        <v>4260</v>
      </c>
      <c r="E438" s="543" t="s">
        <v>3711</v>
      </c>
      <c r="F438" s="526" t="s">
        <v>4261</v>
      </c>
      <c r="G438" s="536" t="s">
        <v>4262</v>
      </c>
      <c r="H438" s="528" t="s">
        <v>3341</v>
      </c>
      <c r="I438" s="528" t="s">
        <v>3333</v>
      </c>
      <c r="J438" s="528"/>
      <c r="K438" s="529"/>
      <c r="L438" s="530"/>
      <c r="M438" s="530"/>
    </row>
    <row r="439" spans="1:13">
      <c r="A439" s="522">
        <v>438</v>
      </c>
      <c r="B439" s="540" t="s">
        <v>4233</v>
      </c>
      <c r="C439" s="524" t="s">
        <v>1537</v>
      </c>
      <c r="D439" s="524">
        <v>1.5</v>
      </c>
      <c r="E439" s="525"/>
      <c r="F439" s="526" t="s">
        <v>4263</v>
      </c>
      <c r="G439" s="527" t="s">
        <v>4264</v>
      </c>
      <c r="H439" s="528" t="s">
        <v>3328</v>
      </c>
      <c r="I439" s="528" t="s">
        <v>3329</v>
      </c>
      <c r="J439" s="528"/>
      <c r="K439" s="529"/>
      <c r="L439" s="530"/>
      <c r="M439" s="530"/>
    </row>
    <row r="440" spans="1:13">
      <c r="A440" s="522">
        <v>439</v>
      </c>
      <c r="B440" s="540" t="s">
        <v>4233</v>
      </c>
      <c r="C440" s="524" t="s">
        <v>1595</v>
      </c>
      <c r="D440" s="524" t="s">
        <v>3991</v>
      </c>
      <c r="E440" s="543" t="s">
        <v>3711</v>
      </c>
      <c r="F440" s="565" t="s">
        <v>4265</v>
      </c>
      <c r="G440" s="527" t="s">
        <v>4266</v>
      </c>
      <c r="H440" s="528" t="s">
        <v>3328</v>
      </c>
      <c r="I440" s="528" t="s">
        <v>3329</v>
      </c>
      <c r="J440" s="528"/>
      <c r="K440" s="529"/>
      <c r="L440" s="530"/>
      <c r="M440" s="530"/>
    </row>
    <row r="441" spans="1:13">
      <c r="A441" s="522">
        <v>440</v>
      </c>
      <c r="B441" s="540" t="s">
        <v>4233</v>
      </c>
      <c r="C441" s="524" t="s">
        <v>1630</v>
      </c>
      <c r="D441" s="524">
        <v>1.5</v>
      </c>
      <c r="E441" s="525"/>
      <c r="F441" s="534" t="s">
        <v>4267</v>
      </c>
      <c r="G441" s="527" t="s">
        <v>4268</v>
      </c>
      <c r="H441" s="528" t="s">
        <v>3328</v>
      </c>
      <c r="I441" s="528" t="s">
        <v>3329</v>
      </c>
      <c r="J441" s="528"/>
      <c r="K441" s="529"/>
      <c r="L441" s="530"/>
      <c r="M441" s="530"/>
    </row>
    <row r="442" spans="1:13">
      <c r="A442" s="522">
        <v>441</v>
      </c>
      <c r="B442" s="540" t="s">
        <v>4233</v>
      </c>
      <c r="C442" s="524" t="s">
        <v>1644</v>
      </c>
      <c r="D442" s="524">
        <v>3.5</v>
      </c>
      <c r="E442" s="525"/>
      <c r="F442" s="526" t="s">
        <v>4269</v>
      </c>
      <c r="G442" s="536" t="s">
        <v>4270</v>
      </c>
      <c r="H442" s="528" t="s">
        <v>3341</v>
      </c>
      <c r="I442" s="528" t="s">
        <v>3333</v>
      </c>
      <c r="J442" s="528"/>
      <c r="K442" s="529"/>
      <c r="L442" s="530"/>
      <c r="M442" s="530"/>
    </row>
    <row r="443" spans="1:13">
      <c r="A443" s="522">
        <v>442</v>
      </c>
      <c r="B443" s="540" t="s">
        <v>4233</v>
      </c>
      <c r="C443" s="524" t="s">
        <v>1677</v>
      </c>
      <c r="D443" s="524">
        <v>4.5</v>
      </c>
      <c r="E443" s="525"/>
      <c r="F443" s="526" t="s">
        <v>4271</v>
      </c>
      <c r="G443" s="536" t="s">
        <v>4272</v>
      </c>
      <c r="H443" s="528" t="s">
        <v>3341</v>
      </c>
      <c r="I443" s="528" t="s">
        <v>3333</v>
      </c>
      <c r="J443" s="528"/>
      <c r="K443" s="529"/>
      <c r="L443" s="530"/>
      <c r="M443" s="530"/>
    </row>
    <row r="444" spans="1:13">
      <c r="A444" s="522">
        <v>443</v>
      </c>
      <c r="B444" s="540" t="s">
        <v>4233</v>
      </c>
      <c r="C444" s="524" t="s">
        <v>1688</v>
      </c>
      <c r="D444" s="524">
        <v>2.5</v>
      </c>
      <c r="E444" s="525"/>
      <c r="F444" s="526" t="s">
        <v>4273</v>
      </c>
      <c r="G444" s="536" t="s">
        <v>4274</v>
      </c>
      <c r="H444" s="528" t="s">
        <v>3341</v>
      </c>
      <c r="I444" s="528" t="s">
        <v>3333</v>
      </c>
      <c r="J444" s="528"/>
      <c r="K444" s="529"/>
      <c r="L444" s="530"/>
      <c r="M444" s="530"/>
    </row>
    <row r="445" spans="1:13">
      <c r="A445" s="522">
        <v>444</v>
      </c>
      <c r="B445" s="540" t="s">
        <v>4233</v>
      </c>
      <c r="C445" s="524" t="s">
        <v>2082</v>
      </c>
      <c r="D445" s="524" t="s">
        <v>3834</v>
      </c>
      <c r="E445" s="543" t="s">
        <v>3711</v>
      </c>
      <c r="F445" s="565" t="s">
        <v>4275</v>
      </c>
      <c r="G445" s="527" t="s">
        <v>4276</v>
      </c>
      <c r="H445" s="528" t="s">
        <v>3328</v>
      </c>
      <c r="I445" s="528" t="s">
        <v>3329</v>
      </c>
      <c r="J445" s="528"/>
      <c r="K445" s="529"/>
      <c r="L445" s="530"/>
      <c r="M445" s="530"/>
    </row>
    <row r="446" spans="1:13">
      <c r="A446" s="522">
        <v>445</v>
      </c>
      <c r="B446" s="540" t="s">
        <v>4233</v>
      </c>
      <c r="C446" s="524" t="s">
        <v>2083</v>
      </c>
      <c r="D446" s="524">
        <v>2.5</v>
      </c>
      <c r="E446" s="525"/>
      <c r="F446" s="526" t="s">
        <v>4277</v>
      </c>
      <c r="G446" s="536" t="s">
        <v>4278</v>
      </c>
      <c r="H446" s="528" t="s">
        <v>3341</v>
      </c>
      <c r="I446" s="528" t="s">
        <v>3333</v>
      </c>
      <c r="J446" s="528"/>
      <c r="K446" s="529"/>
      <c r="L446" s="530"/>
      <c r="M446" s="530"/>
    </row>
    <row r="447" spans="1:13">
      <c r="A447" s="522">
        <v>446</v>
      </c>
      <c r="B447" s="540" t="s">
        <v>4233</v>
      </c>
      <c r="C447" s="524" t="s">
        <v>2009</v>
      </c>
      <c r="D447" s="524" t="s">
        <v>4018</v>
      </c>
      <c r="E447" s="543" t="s">
        <v>3711</v>
      </c>
      <c r="F447" s="565" t="s">
        <v>4279</v>
      </c>
      <c r="G447" s="527" t="s">
        <v>4280</v>
      </c>
      <c r="H447" s="528" t="s">
        <v>3328</v>
      </c>
      <c r="I447" s="528" t="s">
        <v>3329</v>
      </c>
      <c r="J447" s="528"/>
      <c r="K447" s="529"/>
      <c r="L447" s="530"/>
      <c r="M447" s="530"/>
    </row>
    <row r="448" spans="1:13">
      <c r="A448" s="522">
        <v>447</v>
      </c>
      <c r="B448" s="540" t="s">
        <v>4233</v>
      </c>
      <c r="C448" s="524" t="s">
        <v>1761</v>
      </c>
      <c r="D448" s="524">
        <v>3.5</v>
      </c>
      <c r="E448" s="525"/>
      <c r="F448" s="526" t="s">
        <v>4281</v>
      </c>
      <c r="G448" s="536" t="s">
        <v>4282</v>
      </c>
      <c r="H448" s="528" t="s">
        <v>3341</v>
      </c>
      <c r="I448" s="528" t="s">
        <v>3333</v>
      </c>
      <c r="J448" s="528"/>
      <c r="K448" s="529"/>
      <c r="L448" s="530"/>
      <c r="M448" s="530"/>
    </row>
    <row r="449" spans="1:13">
      <c r="A449" s="522">
        <v>448</v>
      </c>
      <c r="B449" s="540" t="s">
        <v>4233</v>
      </c>
      <c r="C449" s="524" t="s">
        <v>2010</v>
      </c>
      <c r="D449" s="524" t="s">
        <v>4023</v>
      </c>
      <c r="E449" s="543" t="s">
        <v>3711</v>
      </c>
      <c r="F449" s="534" t="s">
        <v>4283</v>
      </c>
      <c r="G449" s="527" t="s">
        <v>4284</v>
      </c>
      <c r="H449" s="528" t="s">
        <v>3328</v>
      </c>
      <c r="I449" s="528" t="s">
        <v>3329</v>
      </c>
      <c r="J449" s="528"/>
      <c r="K449" s="529"/>
      <c r="L449" s="530"/>
      <c r="M449" s="530"/>
    </row>
    <row r="450" spans="1:13">
      <c r="A450" s="522">
        <v>449</v>
      </c>
      <c r="B450" s="540" t="s">
        <v>4233</v>
      </c>
      <c r="C450" s="524" t="s">
        <v>2085</v>
      </c>
      <c r="D450" s="524">
        <v>1.5</v>
      </c>
      <c r="E450" s="525"/>
      <c r="F450" s="526" t="s">
        <v>4285</v>
      </c>
      <c r="G450" s="536" t="s">
        <v>4286</v>
      </c>
      <c r="H450" s="528" t="s">
        <v>3341</v>
      </c>
      <c r="I450" s="528" t="s">
        <v>3333</v>
      </c>
      <c r="J450" s="528"/>
      <c r="K450" s="529"/>
      <c r="L450" s="530"/>
      <c r="M450" s="530"/>
    </row>
    <row r="451" spans="1:13">
      <c r="A451" s="522">
        <v>450</v>
      </c>
      <c r="B451" s="540" t="s">
        <v>4233</v>
      </c>
      <c r="C451" s="524" t="s">
        <v>2086</v>
      </c>
      <c r="D451" s="524">
        <v>1.5</v>
      </c>
      <c r="E451" s="525"/>
      <c r="F451" s="526" t="s">
        <v>4287</v>
      </c>
      <c r="G451" s="536" t="s">
        <v>4288</v>
      </c>
      <c r="H451" s="528" t="s">
        <v>3341</v>
      </c>
      <c r="I451" s="528" t="s">
        <v>3333</v>
      </c>
      <c r="J451" s="528"/>
      <c r="K451" s="529"/>
      <c r="L451" s="530"/>
      <c r="M451" s="530"/>
    </row>
    <row r="452" spans="1:13">
      <c r="A452" s="522">
        <v>451</v>
      </c>
      <c r="B452" s="540" t="s">
        <v>4233</v>
      </c>
      <c r="C452" s="524" t="s">
        <v>2087</v>
      </c>
      <c r="D452" s="524">
        <v>2.5</v>
      </c>
      <c r="E452" s="525"/>
      <c r="F452" s="526" t="s">
        <v>4289</v>
      </c>
      <c r="G452" s="536" t="s">
        <v>4290</v>
      </c>
      <c r="H452" s="528" t="s">
        <v>3341</v>
      </c>
      <c r="I452" s="528" t="s">
        <v>3333</v>
      </c>
      <c r="J452" s="528"/>
      <c r="K452" s="529"/>
      <c r="L452" s="530"/>
      <c r="M452" s="530"/>
    </row>
    <row r="453" spans="1:13">
      <c r="A453" s="522">
        <v>452</v>
      </c>
      <c r="B453" s="540" t="s">
        <v>4233</v>
      </c>
      <c r="C453" s="524" t="s">
        <v>2088</v>
      </c>
      <c r="D453" s="524">
        <v>1.5</v>
      </c>
      <c r="E453" s="525"/>
      <c r="F453" s="526" t="s">
        <v>4291</v>
      </c>
      <c r="G453" s="536" t="s">
        <v>4292</v>
      </c>
      <c r="H453" s="528" t="s">
        <v>3341</v>
      </c>
      <c r="I453" s="528" t="s">
        <v>3333</v>
      </c>
      <c r="J453" s="528"/>
      <c r="K453" s="529"/>
      <c r="L453" s="530"/>
      <c r="M453" s="530"/>
    </row>
    <row r="454" spans="1:13">
      <c r="A454" s="522">
        <v>453</v>
      </c>
      <c r="B454" s="523" t="s">
        <v>4293</v>
      </c>
      <c r="C454" s="524" t="s">
        <v>2756</v>
      </c>
      <c r="D454" s="547" t="s">
        <v>3984</v>
      </c>
      <c r="E454" s="543" t="s">
        <v>3711</v>
      </c>
      <c r="F454" s="526" t="s">
        <v>4294</v>
      </c>
      <c r="G454" s="527" t="s">
        <v>4295</v>
      </c>
      <c r="H454" s="528" t="s">
        <v>3328</v>
      </c>
      <c r="I454" s="528" t="s">
        <v>3329</v>
      </c>
      <c r="J454" s="528"/>
      <c r="K454" s="529"/>
      <c r="L454" s="530"/>
      <c r="M454" s="530"/>
    </row>
    <row r="455" spans="1:13">
      <c r="A455" s="522">
        <v>454</v>
      </c>
      <c r="B455" s="523" t="s">
        <v>4293</v>
      </c>
      <c r="C455" s="524" t="s">
        <v>1212</v>
      </c>
      <c r="D455" s="547">
        <v>1.5</v>
      </c>
      <c r="E455" s="525"/>
      <c r="F455" s="526" t="s">
        <v>4296</v>
      </c>
      <c r="G455" s="527" t="s">
        <v>4297</v>
      </c>
      <c r="H455" s="528" t="s">
        <v>3328</v>
      </c>
      <c r="I455" s="528" t="s">
        <v>3329</v>
      </c>
      <c r="J455" s="528"/>
      <c r="K455" s="529"/>
      <c r="L455" s="530"/>
      <c r="M455" s="530"/>
    </row>
    <row r="456" spans="1:13">
      <c r="A456" s="522">
        <v>455</v>
      </c>
      <c r="B456" s="523" t="s">
        <v>4293</v>
      </c>
      <c r="C456" s="524" t="s">
        <v>1927</v>
      </c>
      <c r="D456" s="547" t="s">
        <v>3837</v>
      </c>
      <c r="E456" s="543" t="s">
        <v>3711</v>
      </c>
      <c r="F456" s="534" t="s">
        <v>4298</v>
      </c>
      <c r="G456" s="527" t="s">
        <v>4299</v>
      </c>
      <c r="H456" s="528" t="s">
        <v>3328</v>
      </c>
      <c r="I456" s="528" t="s">
        <v>3329</v>
      </c>
      <c r="J456" s="528"/>
      <c r="K456" s="529"/>
      <c r="L456" s="530"/>
      <c r="M456" s="530"/>
    </row>
    <row r="457" spans="1:13">
      <c r="A457" s="522">
        <v>456</v>
      </c>
      <c r="B457" s="523" t="s">
        <v>4293</v>
      </c>
      <c r="C457" s="524" t="s">
        <v>1928</v>
      </c>
      <c r="D457" s="547">
        <v>1.5</v>
      </c>
      <c r="E457" s="525"/>
      <c r="F457" s="526" t="s">
        <v>4300</v>
      </c>
      <c r="G457" s="527" t="s">
        <v>4301</v>
      </c>
      <c r="H457" s="528" t="s">
        <v>3328</v>
      </c>
      <c r="I457" s="528" t="s">
        <v>3333</v>
      </c>
      <c r="J457" s="528"/>
      <c r="K457" s="529"/>
      <c r="L457" s="530"/>
      <c r="M457" s="530"/>
    </row>
    <row r="458" spans="1:13">
      <c r="A458" s="522">
        <v>457</v>
      </c>
      <c r="B458" s="523" t="s">
        <v>4293</v>
      </c>
      <c r="C458" s="524" t="s">
        <v>1929</v>
      </c>
      <c r="D458" s="547" t="s">
        <v>3820</v>
      </c>
      <c r="E458" s="543" t="s">
        <v>3711</v>
      </c>
      <c r="F458" s="534" t="s">
        <v>4302</v>
      </c>
      <c r="G458" s="527" t="s">
        <v>4303</v>
      </c>
      <c r="H458" s="528" t="s">
        <v>3328</v>
      </c>
      <c r="I458" s="528" t="s">
        <v>3329</v>
      </c>
      <c r="J458" s="528"/>
      <c r="K458" s="529"/>
      <c r="L458" s="530"/>
      <c r="M458" s="530"/>
    </row>
    <row r="459" spans="1:13">
      <c r="A459" s="522">
        <v>458</v>
      </c>
      <c r="B459" s="523" t="s">
        <v>4293</v>
      </c>
      <c r="C459" s="524" t="s">
        <v>1320</v>
      </c>
      <c r="D459" s="547">
        <v>0.5</v>
      </c>
      <c r="E459" s="525"/>
      <c r="F459" s="526" t="s">
        <v>4304</v>
      </c>
      <c r="G459" s="527" t="s">
        <v>4305</v>
      </c>
      <c r="H459" s="528" t="s">
        <v>3328</v>
      </c>
      <c r="I459" s="528" t="s">
        <v>3329</v>
      </c>
      <c r="J459" s="528"/>
      <c r="K459" s="529"/>
      <c r="L459" s="530"/>
      <c r="M459" s="530"/>
    </row>
    <row r="460" spans="1:13" ht="28.5">
      <c r="A460" s="522">
        <v>459</v>
      </c>
      <c r="B460" s="523" t="s">
        <v>4293</v>
      </c>
      <c r="C460" s="524" t="s">
        <v>1930</v>
      </c>
      <c r="D460" s="547">
        <v>2.5</v>
      </c>
      <c r="E460" s="573" t="s">
        <v>4306</v>
      </c>
      <c r="F460" s="534" t="s">
        <v>4307</v>
      </c>
      <c r="G460" s="527" t="s">
        <v>4308</v>
      </c>
      <c r="H460" s="528" t="s">
        <v>3328</v>
      </c>
      <c r="I460" s="528" t="s">
        <v>3329</v>
      </c>
      <c r="J460" s="528"/>
      <c r="K460" s="529"/>
      <c r="L460" s="530"/>
      <c r="M460" s="530"/>
    </row>
    <row r="461" spans="1:13">
      <c r="A461" s="522">
        <v>460</v>
      </c>
      <c r="B461" s="523" t="s">
        <v>4293</v>
      </c>
      <c r="C461" s="524" t="s">
        <v>1931</v>
      </c>
      <c r="D461" s="547">
        <v>1.5</v>
      </c>
      <c r="E461" s="525"/>
      <c r="F461" s="526" t="s">
        <v>4309</v>
      </c>
      <c r="G461" s="527" t="s">
        <v>4310</v>
      </c>
      <c r="H461" s="528" t="s">
        <v>3328</v>
      </c>
      <c r="I461" s="528" t="s">
        <v>3333</v>
      </c>
      <c r="J461" s="528"/>
      <c r="K461" s="529"/>
      <c r="L461" s="530"/>
      <c r="M461" s="530"/>
    </row>
    <row r="462" spans="1:13">
      <c r="A462" s="522">
        <v>461</v>
      </c>
      <c r="B462" s="523" t="s">
        <v>4293</v>
      </c>
      <c r="C462" s="524" t="s">
        <v>2757</v>
      </c>
      <c r="D462" s="547">
        <v>1.5</v>
      </c>
      <c r="E462" s="525"/>
      <c r="F462" s="526" t="s">
        <v>4311</v>
      </c>
      <c r="G462" s="527" t="s">
        <v>4312</v>
      </c>
      <c r="H462" s="528" t="s">
        <v>3328</v>
      </c>
      <c r="I462" s="528" t="s">
        <v>3333</v>
      </c>
      <c r="J462" s="528"/>
      <c r="K462" s="529"/>
      <c r="L462" s="530"/>
      <c r="M462" s="530"/>
    </row>
    <row r="463" spans="1:13">
      <c r="A463" s="522">
        <v>462</v>
      </c>
      <c r="B463" s="523" t="s">
        <v>4293</v>
      </c>
      <c r="C463" s="524" t="s">
        <v>1453</v>
      </c>
      <c r="D463" s="547">
        <v>0.5</v>
      </c>
      <c r="E463" s="525"/>
      <c r="F463" s="534" t="s">
        <v>4313</v>
      </c>
      <c r="G463" s="527" t="s">
        <v>4314</v>
      </c>
      <c r="H463" s="528" t="s">
        <v>3328</v>
      </c>
      <c r="I463" s="528" t="s">
        <v>3329</v>
      </c>
      <c r="J463" s="528"/>
      <c r="K463" s="529"/>
      <c r="L463" s="530"/>
      <c r="M463" s="530"/>
    </row>
    <row r="464" spans="1:13">
      <c r="A464" s="522">
        <v>463</v>
      </c>
      <c r="B464" s="523" t="s">
        <v>4293</v>
      </c>
      <c r="C464" s="524" t="s">
        <v>2013</v>
      </c>
      <c r="D464" s="547">
        <v>1.5</v>
      </c>
      <c r="E464" s="525"/>
      <c r="F464" s="534" t="s">
        <v>3805</v>
      </c>
      <c r="G464" s="527" t="s">
        <v>3806</v>
      </c>
      <c r="H464" s="528" t="s">
        <v>3328</v>
      </c>
      <c r="I464" s="528" t="s">
        <v>3329</v>
      </c>
      <c r="J464" s="528"/>
      <c r="K464" s="529"/>
      <c r="L464" s="530"/>
      <c r="M464" s="530"/>
    </row>
    <row r="465" spans="1:13">
      <c r="A465" s="522">
        <v>464</v>
      </c>
      <c r="B465" s="523" t="s">
        <v>4293</v>
      </c>
      <c r="C465" s="524" t="s">
        <v>1504</v>
      </c>
      <c r="D465" s="547">
        <v>0.5</v>
      </c>
      <c r="E465" s="525"/>
      <c r="F465" s="534" t="s">
        <v>4315</v>
      </c>
      <c r="G465" s="527" t="s">
        <v>4316</v>
      </c>
      <c r="H465" s="528" t="s">
        <v>3328</v>
      </c>
      <c r="I465" s="528" t="s">
        <v>3329</v>
      </c>
      <c r="J465" s="528"/>
      <c r="K465" s="529"/>
      <c r="L465" s="530"/>
      <c r="M465" s="530"/>
    </row>
    <row r="466" spans="1:13">
      <c r="A466" s="522">
        <v>465</v>
      </c>
      <c r="B466" s="523" t="s">
        <v>4293</v>
      </c>
      <c r="C466" s="524" t="s">
        <v>2014</v>
      </c>
      <c r="D466" s="547">
        <v>1.5</v>
      </c>
      <c r="E466" s="525"/>
      <c r="F466" s="526" t="s">
        <v>4317</v>
      </c>
      <c r="G466" s="527" t="s">
        <v>4318</v>
      </c>
      <c r="H466" s="528" t="s">
        <v>3328</v>
      </c>
      <c r="I466" s="528" t="s">
        <v>3333</v>
      </c>
      <c r="J466" s="528"/>
      <c r="K466" s="529"/>
      <c r="L466" s="530"/>
      <c r="M466" s="530"/>
    </row>
    <row r="467" spans="1:13">
      <c r="A467" s="522">
        <v>466</v>
      </c>
      <c r="B467" s="523" t="s">
        <v>4293</v>
      </c>
      <c r="C467" s="524" t="s">
        <v>1552</v>
      </c>
      <c r="D467" s="547">
        <v>1.5</v>
      </c>
      <c r="E467" s="525"/>
      <c r="F467" s="534" t="s">
        <v>4319</v>
      </c>
      <c r="G467" s="527" t="s">
        <v>4320</v>
      </c>
      <c r="H467" s="528" t="s">
        <v>3328</v>
      </c>
      <c r="I467" s="528" t="s">
        <v>3329</v>
      </c>
      <c r="J467" s="528"/>
      <c r="K467" s="529"/>
      <c r="L467" s="530"/>
      <c r="M467" s="530"/>
    </row>
    <row r="468" spans="1:13">
      <c r="A468" s="522">
        <v>467</v>
      </c>
      <c r="B468" s="523" t="s">
        <v>4293</v>
      </c>
      <c r="C468" s="524" t="s">
        <v>2015</v>
      </c>
      <c r="D468" s="547">
        <v>1.5</v>
      </c>
      <c r="E468" s="525"/>
      <c r="F468" s="526" t="s">
        <v>4321</v>
      </c>
      <c r="G468" s="527" t="s">
        <v>4322</v>
      </c>
      <c r="H468" s="528" t="s">
        <v>3328</v>
      </c>
      <c r="I468" s="528" t="s">
        <v>3333</v>
      </c>
      <c r="J468" s="528"/>
      <c r="K468" s="529"/>
      <c r="L468" s="530"/>
      <c r="M468" s="530"/>
    </row>
    <row r="469" spans="1:13">
      <c r="A469" s="522">
        <v>468</v>
      </c>
      <c r="B469" s="523" t="s">
        <v>4293</v>
      </c>
      <c r="C469" s="524" t="s">
        <v>2016</v>
      </c>
      <c r="D469" s="547">
        <v>1.5</v>
      </c>
      <c r="E469" s="525"/>
      <c r="F469" s="526" t="s">
        <v>4323</v>
      </c>
      <c r="G469" s="527" t="s">
        <v>4324</v>
      </c>
      <c r="H469" s="528" t="s">
        <v>3328</v>
      </c>
      <c r="I469" s="528" t="s">
        <v>3333</v>
      </c>
      <c r="J469" s="528"/>
      <c r="K469" s="529"/>
      <c r="L469" s="530"/>
      <c r="M469" s="530"/>
    </row>
    <row r="470" spans="1:13">
      <c r="A470" s="522">
        <v>469</v>
      </c>
      <c r="B470" s="579" t="s">
        <v>4325</v>
      </c>
      <c r="C470" s="524" t="s">
        <v>2758</v>
      </c>
      <c r="D470" s="524">
        <v>2.5</v>
      </c>
      <c r="E470" s="525"/>
      <c r="F470" s="526" t="s">
        <v>4326</v>
      </c>
      <c r="G470" s="536" t="s">
        <v>4327</v>
      </c>
      <c r="H470" s="528" t="s">
        <v>3341</v>
      </c>
      <c r="I470" s="528" t="s">
        <v>3333</v>
      </c>
      <c r="J470" s="528"/>
      <c r="K470" s="529"/>
      <c r="L470" s="530"/>
      <c r="M470" s="530"/>
    </row>
    <row r="471" spans="1:13">
      <c r="A471" s="522">
        <v>470</v>
      </c>
      <c r="B471" s="579" t="s">
        <v>4325</v>
      </c>
      <c r="C471" s="524" t="s">
        <v>1213</v>
      </c>
      <c r="D471" s="524">
        <v>5.5</v>
      </c>
      <c r="E471" s="525"/>
      <c r="F471" s="526" t="s">
        <v>4328</v>
      </c>
      <c r="G471" s="536" t="s">
        <v>4329</v>
      </c>
      <c r="H471" s="528" t="s">
        <v>3341</v>
      </c>
      <c r="I471" s="528" t="s">
        <v>3333</v>
      </c>
      <c r="J471" s="528"/>
      <c r="K471" s="529"/>
      <c r="L471" s="530"/>
      <c r="M471" s="530"/>
    </row>
    <row r="472" spans="1:13">
      <c r="A472" s="522">
        <v>471</v>
      </c>
      <c r="B472" s="579" t="s">
        <v>4325</v>
      </c>
      <c r="C472" s="524" t="s">
        <v>1230</v>
      </c>
      <c r="D472" s="524">
        <v>2.5</v>
      </c>
      <c r="E472" s="525"/>
      <c r="F472" s="526" t="s">
        <v>4330</v>
      </c>
      <c r="G472" s="536" t="s">
        <v>4331</v>
      </c>
      <c r="H472" s="528" t="s">
        <v>3341</v>
      </c>
      <c r="I472" s="528" t="s">
        <v>3333</v>
      </c>
      <c r="J472" s="528"/>
      <c r="K472" s="529"/>
      <c r="L472" s="530"/>
      <c r="M472" s="530"/>
    </row>
    <row r="473" spans="1:13">
      <c r="A473" s="522">
        <v>472</v>
      </c>
      <c r="B473" s="579" t="s">
        <v>4325</v>
      </c>
      <c r="C473" s="524" t="s">
        <v>1267</v>
      </c>
      <c r="D473" s="524">
        <v>4.5</v>
      </c>
      <c r="E473" s="525"/>
      <c r="F473" s="526" t="s">
        <v>4332</v>
      </c>
      <c r="G473" s="536" t="s">
        <v>4333</v>
      </c>
      <c r="H473" s="528" t="s">
        <v>3341</v>
      </c>
      <c r="I473" s="528" t="s">
        <v>3333</v>
      </c>
      <c r="J473" s="528"/>
      <c r="K473" s="529"/>
      <c r="L473" s="530"/>
      <c r="M473" s="530"/>
    </row>
    <row r="474" spans="1:13">
      <c r="A474" s="522">
        <v>473</v>
      </c>
      <c r="B474" s="579" t="s">
        <v>4325</v>
      </c>
      <c r="C474" s="524" t="s">
        <v>1286</v>
      </c>
      <c r="D474" s="524">
        <v>3.5</v>
      </c>
      <c r="E474" s="525"/>
      <c r="F474" s="526" t="s">
        <v>4334</v>
      </c>
      <c r="G474" s="536" t="s">
        <v>4335</v>
      </c>
      <c r="H474" s="528" t="s">
        <v>3341</v>
      </c>
      <c r="I474" s="528" t="s">
        <v>3333</v>
      </c>
      <c r="J474" s="528"/>
      <c r="K474" s="529"/>
      <c r="L474" s="530"/>
      <c r="M474" s="530"/>
    </row>
    <row r="475" spans="1:13">
      <c r="A475" s="522">
        <v>474</v>
      </c>
      <c r="B475" s="579" t="s">
        <v>4325</v>
      </c>
      <c r="C475" s="524" t="s">
        <v>1334</v>
      </c>
      <c r="D475" s="524">
        <v>1.5</v>
      </c>
      <c r="E475" s="525"/>
      <c r="F475" s="526" t="s">
        <v>2043</v>
      </c>
      <c r="G475" s="536" t="s">
        <v>2044</v>
      </c>
      <c r="H475" s="528" t="s">
        <v>3341</v>
      </c>
      <c r="I475" s="528" t="s">
        <v>3329</v>
      </c>
      <c r="J475" s="528"/>
      <c r="K475" s="529"/>
      <c r="L475" s="530"/>
      <c r="M475" s="530"/>
    </row>
    <row r="476" spans="1:13">
      <c r="A476" s="522">
        <v>475</v>
      </c>
      <c r="B476" s="579" t="s">
        <v>4325</v>
      </c>
      <c r="C476" s="524" t="s">
        <v>757</v>
      </c>
      <c r="D476" s="524">
        <v>1.5</v>
      </c>
      <c r="E476" s="525"/>
      <c r="F476" s="526" t="s">
        <v>4336</v>
      </c>
      <c r="G476" s="536" t="s">
        <v>4337</v>
      </c>
      <c r="H476" s="528" t="s">
        <v>3341</v>
      </c>
      <c r="I476" s="528" t="s">
        <v>3333</v>
      </c>
      <c r="J476" s="528"/>
      <c r="K476" s="529"/>
      <c r="L476" s="530"/>
      <c r="M476" s="530"/>
    </row>
    <row r="477" spans="1:13">
      <c r="A477" s="522">
        <v>476</v>
      </c>
      <c r="B477" s="579" t="s">
        <v>4325</v>
      </c>
      <c r="C477" s="524" t="s">
        <v>758</v>
      </c>
      <c r="D477" s="524">
        <v>1.5</v>
      </c>
      <c r="E477" s="525"/>
      <c r="F477" s="526" t="s">
        <v>4338</v>
      </c>
      <c r="G477" s="536" t="s">
        <v>4339</v>
      </c>
      <c r="H477" s="528" t="s">
        <v>3341</v>
      </c>
      <c r="I477" s="528" t="s">
        <v>3333</v>
      </c>
      <c r="J477" s="528"/>
      <c r="K477" s="529"/>
      <c r="L477" s="530"/>
      <c r="M477" s="530"/>
    </row>
    <row r="478" spans="1:13">
      <c r="A478" s="522">
        <v>477</v>
      </c>
      <c r="B478" s="579" t="s">
        <v>4325</v>
      </c>
      <c r="C478" s="524" t="s">
        <v>759</v>
      </c>
      <c r="D478" s="524">
        <v>2.5</v>
      </c>
      <c r="E478" s="525"/>
      <c r="F478" s="526" t="s">
        <v>4340</v>
      </c>
      <c r="G478" s="536" t="s">
        <v>4341</v>
      </c>
      <c r="H478" s="528" t="s">
        <v>3341</v>
      </c>
      <c r="I478" s="528" t="s">
        <v>3333</v>
      </c>
      <c r="J478" s="528"/>
      <c r="K478" s="529"/>
      <c r="L478" s="530"/>
      <c r="M478" s="530"/>
    </row>
    <row r="479" spans="1:13">
      <c r="A479" s="522">
        <v>478</v>
      </c>
      <c r="B479" s="579" t="s">
        <v>4325</v>
      </c>
      <c r="C479" s="524" t="s">
        <v>760</v>
      </c>
      <c r="D479" s="524">
        <v>2.5</v>
      </c>
      <c r="E479" s="525"/>
      <c r="F479" s="526" t="s">
        <v>4342</v>
      </c>
      <c r="G479" s="536" t="s">
        <v>4343</v>
      </c>
      <c r="H479" s="528" t="s">
        <v>3341</v>
      </c>
      <c r="I479" s="528" t="s">
        <v>3333</v>
      </c>
      <c r="J479" s="528"/>
      <c r="K479" s="529"/>
      <c r="L479" s="530"/>
      <c r="M479" s="530"/>
    </row>
    <row r="480" spans="1:13">
      <c r="A480" s="522">
        <v>479</v>
      </c>
      <c r="B480" s="579" t="s">
        <v>4325</v>
      </c>
      <c r="C480" s="524" t="s">
        <v>1454</v>
      </c>
      <c r="D480" s="524">
        <v>3.5</v>
      </c>
      <c r="E480" s="525"/>
      <c r="F480" s="526" t="s">
        <v>4344</v>
      </c>
      <c r="G480" s="536" t="s">
        <v>4345</v>
      </c>
      <c r="H480" s="528" t="s">
        <v>3341</v>
      </c>
      <c r="I480" s="528" t="s">
        <v>3333</v>
      </c>
      <c r="J480" s="528"/>
      <c r="K480" s="529"/>
      <c r="L480" s="530"/>
      <c r="M480" s="530"/>
    </row>
    <row r="481" spans="1:13">
      <c r="A481" s="522">
        <v>480</v>
      </c>
      <c r="B481" s="579" t="s">
        <v>4325</v>
      </c>
      <c r="C481" s="524" t="s">
        <v>1490</v>
      </c>
      <c r="D481" s="524">
        <v>1.5</v>
      </c>
      <c r="E481" s="525"/>
      <c r="F481" s="526" t="s">
        <v>4346</v>
      </c>
      <c r="G481" s="536" t="s">
        <v>4347</v>
      </c>
      <c r="H481" s="528" t="s">
        <v>3341</v>
      </c>
      <c r="I481" s="528" t="s">
        <v>3333</v>
      </c>
      <c r="J481" s="528"/>
      <c r="K481" s="529"/>
      <c r="L481" s="530"/>
      <c r="M481" s="530"/>
    </row>
    <row r="482" spans="1:13">
      <c r="A482" s="522">
        <v>481</v>
      </c>
      <c r="B482" s="579" t="s">
        <v>4325</v>
      </c>
      <c r="C482" s="524" t="s">
        <v>1505</v>
      </c>
      <c r="D482" s="524">
        <v>3.5</v>
      </c>
      <c r="E482" s="525"/>
      <c r="F482" s="526" t="s">
        <v>4348</v>
      </c>
      <c r="G482" s="536" t="s">
        <v>4349</v>
      </c>
      <c r="H482" s="528" t="s">
        <v>3341</v>
      </c>
      <c r="I482" s="528" t="s">
        <v>3333</v>
      </c>
      <c r="J482" s="528"/>
      <c r="K482" s="529"/>
      <c r="L482" s="530"/>
      <c r="M482" s="530"/>
    </row>
    <row r="483" spans="1:13">
      <c r="A483" s="522">
        <v>482</v>
      </c>
      <c r="B483" s="579" t="s">
        <v>4325</v>
      </c>
      <c r="C483" s="524" t="s">
        <v>1539</v>
      </c>
      <c r="D483" s="524">
        <v>1.5</v>
      </c>
      <c r="E483" s="525"/>
      <c r="F483" s="526" t="s">
        <v>4350</v>
      </c>
      <c r="G483" s="536" t="s">
        <v>4351</v>
      </c>
      <c r="H483" s="528" t="s">
        <v>3341</v>
      </c>
      <c r="I483" s="528" t="s">
        <v>3333</v>
      </c>
      <c r="J483" s="528"/>
      <c r="K483" s="529"/>
      <c r="L483" s="530"/>
      <c r="M483" s="530"/>
    </row>
    <row r="484" spans="1:13">
      <c r="A484" s="522">
        <v>483</v>
      </c>
      <c r="B484" s="579" t="s">
        <v>4325</v>
      </c>
      <c r="C484" s="524" t="s">
        <v>1553</v>
      </c>
      <c r="D484" s="524">
        <v>3.5</v>
      </c>
      <c r="E484" s="525"/>
      <c r="F484" s="526" t="s">
        <v>4352</v>
      </c>
      <c r="G484" s="536" t="s">
        <v>4353</v>
      </c>
      <c r="H484" s="528" t="s">
        <v>3341</v>
      </c>
      <c r="I484" s="528" t="s">
        <v>3333</v>
      </c>
      <c r="J484" s="528"/>
      <c r="K484" s="529"/>
      <c r="L484" s="530"/>
      <c r="M484" s="530"/>
    </row>
    <row r="485" spans="1:13">
      <c r="A485" s="522">
        <v>484</v>
      </c>
      <c r="B485" s="579" t="s">
        <v>4325</v>
      </c>
      <c r="C485" s="524" t="s">
        <v>1597</v>
      </c>
      <c r="D485" s="524">
        <v>3.5</v>
      </c>
      <c r="E485" s="525"/>
      <c r="F485" s="526" t="s">
        <v>4354</v>
      </c>
      <c r="G485" s="536" t="s">
        <v>4355</v>
      </c>
      <c r="H485" s="528" t="s">
        <v>3341</v>
      </c>
      <c r="I485" s="528" t="s">
        <v>3333</v>
      </c>
      <c r="J485" s="528"/>
      <c r="K485" s="529"/>
      <c r="L485" s="530"/>
      <c r="M485" s="530"/>
    </row>
    <row r="486" spans="1:13">
      <c r="A486" s="522">
        <v>485</v>
      </c>
      <c r="B486" s="579" t="s">
        <v>4325</v>
      </c>
      <c r="C486" s="524" t="s">
        <v>1631</v>
      </c>
      <c r="D486" s="524">
        <v>2.5</v>
      </c>
      <c r="E486" s="525"/>
      <c r="F486" s="526" t="s">
        <v>4356</v>
      </c>
      <c r="G486" s="536" t="s">
        <v>4357</v>
      </c>
      <c r="H486" s="528" t="s">
        <v>3341</v>
      </c>
      <c r="I486" s="528" t="s">
        <v>3333</v>
      </c>
      <c r="J486" s="528"/>
      <c r="K486" s="529"/>
      <c r="L486" s="530"/>
      <c r="M486" s="530"/>
    </row>
    <row r="487" spans="1:13">
      <c r="A487" s="522">
        <v>486</v>
      </c>
      <c r="B487" s="579" t="s">
        <v>4325</v>
      </c>
      <c r="C487" s="524" t="s">
        <v>1645</v>
      </c>
      <c r="D487" s="524">
        <v>4.5</v>
      </c>
      <c r="E487" s="525"/>
      <c r="F487" s="526" t="s">
        <v>4358</v>
      </c>
      <c r="G487" s="536" t="s">
        <v>4359</v>
      </c>
      <c r="H487" s="528" t="s">
        <v>3341</v>
      </c>
      <c r="I487" s="528" t="s">
        <v>3333</v>
      </c>
      <c r="J487" s="528"/>
      <c r="K487" s="529"/>
      <c r="L487" s="530"/>
      <c r="M487" s="530"/>
    </row>
    <row r="488" spans="1:13">
      <c r="A488" s="522">
        <v>487</v>
      </c>
      <c r="B488" s="579" t="s">
        <v>4325</v>
      </c>
      <c r="C488" s="524" t="s">
        <v>1678</v>
      </c>
      <c r="D488" s="524">
        <v>7.5</v>
      </c>
      <c r="E488" s="525"/>
      <c r="F488" s="526" t="s">
        <v>4360</v>
      </c>
      <c r="G488" s="536" t="s">
        <v>4361</v>
      </c>
      <c r="H488" s="528" t="s">
        <v>3341</v>
      </c>
      <c r="I488" s="528" t="s">
        <v>3333</v>
      </c>
      <c r="J488" s="528"/>
      <c r="K488" s="529"/>
      <c r="L488" s="530"/>
      <c r="M488" s="530"/>
    </row>
    <row r="489" spans="1:13">
      <c r="A489" s="522">
        <v>488</v>
      </c>
      <c r="B489" s="579" t="s">
        <v>4325</v>
      </c>
      <c r="C489" s="524" t="s">
        <v>2759</v>
      </c>
      <c r="D489" s="524">
        <v>4.5</v>
      </c>
      <c r="E489" s="525"/>
      <c r="F489" s="526" t="s">
        <v>4362</v>
      </c>
      <c r="G489" s="536" t="s">
        <v>4363</v>
      </c>
      <c r="H489" s="528" t="s">
        <v>3341</v>
      </c>
      <c r="I489" s="528" t="s">
        <v>3333</v>
      </c>
      <c r="J489" s="528"/>
      <c r="K489" s="529"/>
      <c r="L489" s="530"/>
      <c r="M489" s="530"/>
    </row>
    <row r="490" spans="1:13">
      <c r="A490" s="522">
        <v>489</v>
      </c>
      <c r="B490" s="540" t="s">
        <v>4364</v>
      </c>
      <c r="C490" s="524" t="s">
        <v>2760</v>
      </c>
      <c r="D490" s="524">
        <v>3.5</v>
      </c>
      <c r="E490" s="525"/>
      <c r="F490" s="526" t="s">
        <v>4365</v>
      </c>
      <c r="G490" s="536" t="s">
        <v>4366</v>
      </c>
      <c r="H490" s="528" t="s">
        <v>3341</v>
      </c>
      <c r="I490" s="528" t="s">
        <v>3333</v>
      </c>
      <c r="J490" s="528"/>
      <c r="K490" s="529"/>
      <c r="L490" s="530"/>
      <c r="M490" s="530"/>
    </row>
    <row r="491" spans="1:13" ht="18" customHeight="1">
      <c r="A491" s="522">
        <v>490</v>
      </c>
      <c r="B491" s="540" t="s">
        <v>4364</v>
      </c>
      <c r="C491" s="524" t="s">
        <v>2112</v>
      </c>
      <c r="D491" s="524">
        <v>2.5</v>
      </c>
      <c r="E491" s="525"/>
      <c r="F491" s="526" t="s">
        <v>4367</v>
      </c>
      <c r="G491" s="536" t="s">
        <v>4368</v>
      </c>
      <c r="H491" s="528" t="s">
        <v>3341</v>
      </c>
      <c r="I491" s="528" t="s">
        <v>3333</v>
      </c>
      <c r="J491" s="528"/>
      <c r="K491" s="529"/>
      <c r="L491" s="530"/>
      <c r="M491" s="530"/>
    </row>
    <row r="492" spans="1:13" ht="18" customHeight="1">
      <c r="A492" s="522">
        <v>491</v>
      </c>
      <c r="B492" s="540" t="s">
        <v>4364</v>
      </c>
      <c r="C492" s="524" t="s">
        <v>2113</v>
      </c>
      <c r="D492" s="524">
        <v>2.5</v>
      </c>
      <c r="E492" s="525"/>
      <c r="F492" s="526" t="s">
        <v>4369</v>
      </c>
      <c r="G492" s="536" t="s">
        <v>4370</v>
      </c>
      <c r="H492" s="528" t="s">
        <v>3341</v>
      </c>
      <c r="I492" s="528" t="s">
        <v>3333</v>
      </c>
      <c r="J492" s="528"/>
      <c r="K492" s="529"/>
      <c r="L492" s="530"/>
      <c r="M492" s="530"/>
    </row>
    <row r="493" spans="1:13">
      <c r="A493" s="522">
        <v>492</v>
      </c>
      <c r="B493" s="540" t="s">
        <v>4364</v>
      </c>
      <c r="C493" s="524" t="s">
        <v>2114</v>
      </c>
      <c r="D493" s="524">
        <v>2.5</v>
      </c>
      <c r="E493" s="525"/>
      <c r="F493" s="526" t="s">
        <v>4371</v>
      </c>
      <c r="G493" s="536" t="s">
        <v>4372</v>
      </c>
      <c r="H493" s="528" t="s">
        <v>3341</v>
      </c>
      <c r="I493" s="528" t="s">
        <v>3333</v>
      </c>
      <c r="J493" s="528"/>
      <c r="K493" s="529"/>
      <c r="L493" s="530"/>
      <c r="M493" s="530"/>
    </row>
    <row r="494" spans="1:13">
      <c r="A494" s="522">
        <v>493</v>
      </c>
      <c r="B494" s="540" t="s">
        <v>4364</v>
      </c>
      <c r="C494" s="524" t="s">
        <v>2115</v>
      </c>
      <c r="D494" s="524">
        <v>1.5</v>
      </c>
      <c r="E494" s="525"/>
      <c r="F494" s="526" t="s">
        <v>4373</v>
      </c>
      <c r="G494" s="536" t="s">
        <v>4374</v>
      </c>
      <c r="H494" s="528" t="s">
        <v>3341</v>
      </c>
      <c r="I494" s="528" t="s">
        <v>3333</v>
      </c>
      <c r="J494" s="528"/>
      <c r="K494" s="529"/>
      <c r="L494" s="530"/>
      <c r="M494" s="530"/>
    </row>
    <row r="495" spans="1:13">
      <c r="A495" s="522">
        <v>494</v>
      </c>
      <c r="B495" s="540" t="s">
        <v>4364</v>
      </c>
      <c r="C495" s="524" t="s">
        <v>2117</v>
      </c>
      <c r="D495" s="524">
        <v>4.5</v>
      </c>
      <c r="E495" s="525"/>
      <c r="F495" s="526" t="s">
        <v>4375</v>
      </c>
      <c r="G495" s="536" t="s">
        <v>4376</v>
      </c>
      <c r="H495" s="528" t="s">
        <v>3341</v>
      </c>
      <c r="I495" s="528" t="s">
        <v>3333</v>
      </c>
      <c r="J495" s="528"/>
      <c r="K495" s="529"/>
      <c r="L495" s="530"/>
      <c r="M495" s="530"/>
    </row>
    <row r="496" spans="1:13" ht="18" customHeight="1">
      <c r="A496" s="522">
        <v>495</v>
      </c>
      <c r="B496" s="540" t="s">
        <v>4364</v>
      </c>
      <c r="C496" s="524" t="s">
        <v>2118</v>
      </c>
      <c r="D496" s="524">
        <v>2.5</v>
      </c>
      <c r="E496" s="525"/>
      <c r="F496" s="526" t="s">
        <v>4377</v>
      </c>
      <c r="G496" s="536" t="s">
        <v>4378</v>
      </c>
      <c r="H496" s="528" t="s">
        <v>3341</v>
      </c>
      <c r="I496" s="528" t="s">
        <v>3333</v>
      </c>
      <c r="J496" s="528"/>
      <c r="K496" s="529"/>
      <c r="L496" s="530"/>
      <c r="M496" s="530"/>
    </row>
    <row r="497" spans="1:13" ht="18" customHeight="1">
      <c r="A497" s="522">
        <v>496</v>
      </c>
      <c r="B497" s="540" t="s">
        <v>4364</v>
      </c>
      <c r="C497" s="524" t="s">
        <v>2119</v>
      </c>
      <c r="D497" s="524">
        <v>3.5</v>
      </c>
      <c r="E497" s="525"/>
      <c r="F497" s="526" t="s">
        <v>4379</v>
      </c>
      <c r="G497" s="536" t="s">
        <v>4380</v>
      </c>
      <c r="H497" s="528" t="s">
        <v>3341</v>
      </c>
      <c r="I497" s="528" t="s">
        <v>3333</v>
      </c>
      <c r="J497" s="528"/>
      <c r="K497" s="529"/>
      <c r="L497" s="530"/>
      <c r="M497" s="530"/>
    </row>
    <row r="498" spans="1:13">
      <c r="A498" s="522">
        <v>497</v>
      </c>
      <c r="B498" s="540" t="s">
        <v>4364</v>
      </c>
      <c r="C498" s="524" t="s">
        <v>2120</v>
      </c>
      <c r="D498" s="524">
        <v>5.5</v>
      </c>
      <c r="E498" s="525"/>
      <c r="F498" s="526" t="s">
        <v>4381</v>
      </c>
      <c r="G498" s="536" t="s">
        <v>4382</v>
      </c>
      <c r="H498" s="528" t="s">
        <v>3341</v>
      </c>
      <c r="I498" s="528" t="s">
        <v>3333</v>
      </c>
      <c r="J498" s="528"/>
      <c r="K498" s="529"/>
      <c r="L498" s="530"/>
      <c r="M498" s="530"/>
    </row>
    <row r="499" spans="1:13">
      <c r="A499" s="522">
        <v>498</v>
      </c>
      <c r="B499" s="540" t="s">
        <v>4364</v>
      </c>
      <c r="C499" s="524" t="s">
        <v>2764</v>
      </c>
      <c r="D499" s="524">
        <v>5.5</v>
      </c>
      <c r="E499" s="525"/>
      <c r="F499" s="526" t="s">
        <v>4383</v>
      </c>
      <c r="G499" s="536" t="s">
        <v>4384</v>
      </c>
      <c r="H499" s="528" t="s">
        <v>3341</v>
      </c>
      <c r="I499" s="528" t="s">
        <v>3333</v>
      </c>
      <c r="J499" s="528"/>
      <c r="K499" s="529"/>
      <c r="L499" s="530"/>
      <c r="M499" s="530"/>
    </row>
    <row r="500" spans="1:13">
      <c r="A500" s="522">
        <v>499</v>
      </c>
      <c r="B500" s="540" t="s">
        <v>4364</v>
      </c>
      <c r="C500" s="524" t="s">
        <v>2124</v>
      </c>
      <c r="D500" s="524">
        <v>2.5</v>
      </c>
      <c r="E500" s="525"/>
      <c r="F500" s="526" t="s">
        <v>4385</v>
      </c>
      <c r="G500" s="527" t="s">
        <v>4386</v>
      </c>
      <c r="H500" s="528" t="s">
        <v>3328</v>
      </c>
      <c r="I500" s="528" t="s">
        <v>3329</v>
      </c>
      <c r="J500" s="528"/>
      <c r="K500" s="529"/>
      <c r="L500" s="530"/>
      <c r="M500" s="530"/>
    </row>
    <row r="501" spans="1:13" ht="18" customHeight="1">
      <c r="A501" s="522">
        <v>500</v>
      </c>
      <c r="B501" s="540" t="s">
        <v>4364</v>
      </c>
      <c r="C501" s="524" t="s">
        <v>2125</v>
      </c>
      <c r="D501" s="524">
        <v>1.5</v>
      </c>
      <c r="E501" s="525"/>
      <c r="F501" s="526" t="s">
        <v>4387</v>
      </c>
      <c r="G501" s="536" t="s">
        <v>4388</v>
      </c>
      <c r="H501" s="528" t="s">
        <v>3341</v>
      </c>
      <c r="I501" s="528" t="s">
        <v>3333</v>
      </c>
      <c r="J501" s="528"/>
      <c r="K501" s="529"/>
      <c r="L501" s="530"/>
      <c r="M501" s="530"/>
    </row>
    <row r="502" spans="1:13" ht="18" customHeight="1">
      <c r="A502" s="522">
        <v>501</v>
      </c>
      <c r="B502" s="540" t="s">
        <v>4364</v>
      </c>
      <c r="C502" s="524" t="s">
        <v>2126</v>
      </c>
      <c r="D502" s="524">
        <v>2.5</v>
      </c>
      <c r="E502" s="525"/>
      <c r="F502" s="526" t="s">
        <v>4389</v>
      </c>
      <c r="G502" s="536" t="s">
        <v>4390</v>
      </c>
      <c r="H502" s="528" t="s">
        <v>3341</v>
      </c>
      <c r="I502" s="528" t="s">
        <v>3333</v>
      </c>
      <c r="J502" s="528"/>
      <c r="K502" s="529"/>
      <c r="L502" s="530"/>
      <c r="M502" s="530"/>
    </row>
    <row r="503" spans="1:13">
      <c r="A503" s="522">
        <v>502</v>
      </c>
      <c r="B503" s="540" t="s">
        <v>4364</v>
      </c>
      <c r="C503" s="524" t="s">
        <v>2127</v>
      </c>
      <c r="D503" s="524">
        <v>3.5</v>
      </c>
      <c r="E503" s="525"/>
      <c r="F503" s="534" t="s">
        <v>4391</v>
      </c>
      <c r="G503" s="536" t="s">
        <v>4392</v>
      </c>
      <c r="H503" s="528" t="s">
        <v>3341</v>
      </c>
      <c r="I503" s="528" t="s">
        <v>3329</v>
      </c>
      <c r="J503" s="528"/>
      <c r="K503" s="529"/>
      <c r="L503" s="530"/>
      <c r="M503" s="530"/>
    </row>
    <row r="504" spans="1:13">
      <c r="A504" s="522">
        <v>503</v>
      </c>
      <c r="B504" s="540" t="s">
        <v>4364</v>
      </c>
      <c r="C504" s="524" t="s">
        <v>2129</v>
      </c>
      <c r="D504" s="524">
        <v>4.5</v>
      </c>
      <c r="E504" s="525"/>
      <c r="F504" s="526" t="s">
        <v>4393</v>
      </c>
      <c r="G504" s="536" t="s">
        <v>4394</v>
      </c>
      <c r="H504" s="528" t="s">
        <v>3341</v>
      </c>
      <c r="I504" s="528" t="s">
        <v>3333</v>
      </c>
      <c r="J504" s="528"/>
      <c r="K504" s="529"/>
      <c r="L504" s="530"/>
      <c r="M504" s="530"/>
    </row>
    <row r="505" spans="1:13">
      <c r="A505" s="522">
        <v>504</v>
      </c>
      <c r="B505" s="540" t="s">
        <v>4364</v>
      </c>
      <c r="C505" s="524" t="s">
        <v>2130</v>
      </c>
      <c r="D505" s="524">
        <v>3.5</v>
      </c>
      <c r="E505" s="525"/>
      <c r="F505" s="526" t="s">
        <v>4395</v>
      </c>
      <c r="G505" s="536" t="s">
        <v>4396</v>
      </c>
      <c r="H505" s="528" t="s">
        <v>3341</v>
      </c>
      <c r="I505" s="528" t="s">
        <v>3333</v>
      </c>
      <c r="J505" s="528"/>
      <c r="K505" s="529"/>
      <c r="L505" s="530"/>
      <c r="M505" s="530"/>
    </row>
    <row r="506" spans="1:13" ht="18" customHeight="1">
      <c r="A506" s="522">
        <v>505</v>
      </c>
      <c r="B506" s="540" t="s">
        <v>4364</v>
      </c>
      <c r="C506" s="524" t="s">
        <v>2131</v>
      </c>
      <c r="D506" s="524">
        <v>3.5</v>
      </c>
      <c r="E506" s="525"/>
      <c r="F506" s="526" t="s">
        <v>4397</v>
      </c>
      <c r="G506" s="536" t="s">
        <v>4398</v>
      </c>
      <c r="H506" s="528" t="s">
        <v>3341</v>
      </c>
      <c r="I506" s="528" t="s">
        <v>3333</v>
      </c>
      <c r="J506" s="528"/>
      <c r="K506" s="529"/>
      <c r="L506" s="530"/>
      <c r="M506" s="530"/>
    </row>
    <row r="507" spans="1:13" ht="18" customHeight="1">
      <c r="A507" s="522">
        <v>506</v>
      </c>
      <c r="B507" s="540" t="s">
        <v>4364</v>
      </c>
      <c r="C507" s="524" t="s">
        <v>2132</v>
      </c>
      <c r="D507" s="524">
        <v>2.5</v>
      </c>
      <c r="E507" s="525"/>
      <c r="F507" s="526" t="s">
        <v>4399</v>
      </c>
      <c r="G507" s="536" t="s">
        <v>4400</v>
      </c>
      <c r="H507" s="528" t="s">
        <v>3341</v>
      </c>
      <c r="I507" s="528" t="s">
        <v>3333</v>
      </c>
      <c r="J507" s="528"/>
      <c r="K507" s="529"/>
      <c r="L507" s="530"/>
      <c r="M507" s="530"/>
    </row>
    <row r="508" spans="1:13">
      <c r="A508" s="522">
        <v>507</v>
      </c>
      <c r="B508" s="546" t="s">
        <v>4401</v>
      </c>
      <c r="C508" s="524" t="s">
        <v>2765</v>
      </c>
      <c r="D508" s="524">
        <v>2.5</v>
      </c>
      <c r="E508" s="525"/>
      <c r="F508" s="526" t="s">
        <v>4402</v>
      </c>
      <c r="G508" s="536" t="s">
        <v>4403</v>
      </c>
      <c r="H508" s="528" t="s">
        <v>3341</v>
      </c>
      <c r="I508" s="528" t="s">
        <v>3333</v>
      </c>
      <c r="J508" s="528"/>
      <c r="K508" s="529"/>
      <c r="L508" s="530"/>
      <c r="M508" s="530"/>
    </row>
    <row r="509" spans="1:13">
      <c r="A509" s="522">
        <v>508</v>
      </c>
      <c r="B509" s="546" t="s">
        <v>4401</v>
      </c>
      <c r="C509" s="524" t="s">
        <v>1214</v>
      </c>
      <c r="D509" s="524">
        <v>3.5</v>
      </c>
      <c r="E509" s="525"/>
      <c r="F509" s="526" t="s">
        <v>4404</v>
      </c>
      <c r="G509" s="536" t="s">
        <v>4405</v>
      </c>
      <c r="H509" s="528" t="s">
        <v>3341</v>
      </c>
      <c r="I509" s="528" t="s">
        <v>3333</v>
      </c>
      <c r="J509" s="528"/>
      <c r="K509" s="529"/>
      <c r="L509" s="530"/>
      <c r="M509" s="530"/>
    </row>
    <row r="510" spans="1:13" ht="18" customHeight="1">
      <c r="A510" s="522">
        <v>509</v>
      </c>
      <c r="B510" s="546" t="s">
        <v>4401</v>
      </c>
      <c r="C510" s="524" t="s">
        <v>1232</v>
      </c>
      <c r="D510" s="547">
        <v>3</v>
      </c>
      <c r="E510" s="525"/>
      <c r="F510" s="526" t="s">
        <v>4406</v>
      </c>
      <c r="G510" s="527" t="s">
        <v>4407</v>
      </c>
      <c r="H510" s="528" t="s">
        <v>3328</v>
      </c>
      <c r="I510" s="528" t="s">
        <v>3333</v>
      </c>
      <c r="J510" s="528"/>
      <c r="K510" s="529"/>
      <c r="L510" s="530"/>
      <c r="M510" s="530"/>
    </row>
    <row r="511" spans="1:13" ht="18" customHeight="1">
      <c r="A511" s="522">
        <v>510</v>
      </c>
      <c r="B511" s="546" t="s">
        <v>4401</v>
      </c>
      <c r="C511" s="524" t="s">
        <v>1269</v>
      </c>
      <c r="D511" s="524">
        <v>1.5</v>
      </c>
      <c r="E511" s="525"/>
      <c r="F511" s="526" t="s">
        <v>4408</v>
      </c>
      <c r="G511" s="536" t="s">
        <v>4409</v>
      </c>
      <c r="H511" s="528" t="s">
        <v>3341</v>
      </c>
      <c r="I511" s="528" t="s">
        <v>3333</v>
      </c>
      <c r="J511" s="528"/>
      <c r="K511" s="529"/>
      <c r="L511" s="530"/>
      <c r="M511" s="530"/>
    </row>
    <row r="512" spans="1:13">
      <c r="A512" s="522">
        <v>511</v>
      </c>
      <c r="B512" s="546" t="s">
        <v>4401</v>
      </c>
      <c r="C512" s="524" t="s">
        <v>1288</v>
      </c>
      <c r="D512" s="524">
        <v>2.5</v>
      </c>
      <c r="E512" s="525"/>
      <c r="F512" s="526" t="s">
        <v>4410</v>
      </c>
      <c r="G512" s="536" t="s">
        <v>4411</v>
      </c>
      <c r="H512" s="528" t="s">
        <v>3341</v>
      </c>
      <c r="I512" s="528" t="s">
        <v>3333</v>
      </c>
      <c r="J512" s="528"/>
      <c r="K512" s="529"/>
      <c r="L512" s="530"/>
      <c r="M512" s="530"/>
    </row>
    <row r="513" spans="1:13">
      <c r="A513" s="522">
        <v>512</v>
      </c>
      <c r="B513" s="546" t="s">
        <v>4401</v>
      </c>
      <c r="C513" s="524" t="s">
        <v>2766</v>
      </c>
      <c r="D513" s="524">
        <v>4.5</v>
      </c>
      <c r="E513" s="525"/>
      <c r="F513" s="526" t="s">
        <v>4412</v>
      </c>
      <c r="G513" s="536" t="s">
        <v>4413</v>
      </c>
      <c r="H513" s="528" t="s">
        <v>3341</v>
      </c>
      <c r="I513" s="528" t="s">
        <v>3333</v>
      </c>
      <c r="J513" s="528"/>
      <c r="K513" s="529"/>
      <c r="L513" s="530"/>
      <c r="M513" s="530"/>
    </row>
    <row r="514" spans="1:13">
      <c r="A514" s="522">
        <v>513</v>
      </c>
      <c r="B514" s="546" t="s">
        <v>4401</v>
      </c>
      <c r="C514" s="524" t="s">
        <v>2769</v>
      </c>
      <c r="D514" s="524">
        <v>3.5</v>
      </c>
      <c r="E514" s="525"/>
      <c r="F514" s="526" t="s">
        <v>4414</v>
      </c>
      <c r="G514" s="536" t="s">
        <v>4415</v>
      </c>
      <c r="H514" s="528" t="s">
        <v>3341</v>
      </c>
      <c r="I514" s="528" t="s">
        <v>3333</v>
      </c>
      <c r="J514" s="528"/>
      <c r="K514" s="529"/>
      <c r="L514" s="530"/>
      <c r="M514" s="530"/>
    </row>
    <row r="515" spans="1:13">
      <c r="A515" s="522">
        <v>514</v>
      </c>
      <c r="B515" s="546" t="s">
        <v>4401</v>
      </c>
      <c r="C515" s="524" t="s">
        <v>1379</v>
      </c>
      <c r="D515" s="524">
        <v>3.5</v>
      </c>
      <c r="E515" s="525"/>
      <c r="F515" s="526" t="s">
        <v>4416</v>
      </c>
      <c r="G515" s="536" t="s">
        <v>4417</v>
      </c>
      <c r="H515" s="528" t="s">
        <v>3341</v>
      </c>
      <c r="I515" s="528" t="s">
        <v>3333</v>
      </c>
      <c r="J515" s="528"/>
      <c r="K515" s="529"/>
      <c r="L515" s="530"/>
      <c r="M515" s="530"/>
    </row>
    <row r="516" spans="1:13">
      <c r="A516" s="522">
        <v>515</v>
      </c>
      <c r="B516" s="546" t="s">
        <v>4401</v>
      </c>
      <c r="C516" s="524" t="s">
        <v>1411</v>
      </c>
      <c r="D516" s="524">
        <v>2.5</v>
      </c>
      <c r="E516" s="525"/>
      <c r="F516" s="526" t="s">
        <v>4418</v>
      </c>
      <c r="G516" s="536" t="s">
        <v>4419</v>
      </c>
      <c r="H516" s="528" t="s">
        <v>3341</v>
      </c>
      <c r="I516" s="528" t="s">
        <v>3333</v>
      </c>
      <c r="J516" s="528"/>
      <c r="K516" s="529"/>
      <c r="L516" s="530"/>
      <c r="M516" s="530"/>
    </row>
    <row r="517" spans="1:13">
      <c r="A517" s="522">
        <v>516</v>
      </c>
      <c r="B517" s="546" t="s">
        <v>4401</v>
      </c>
      <c r="C517" s="524" t="s">
        <v>1423</v>
      </c>
      <c r="D517" s="524">
        <v>2.5</v>
      </c>
      <c r="E517" s="525"/>
      <c r="F517" s="526" t="s">
        <v>4420</v>
      </c>
      <c r="G517" s="536" t="s">
        <v>4421</v>
      </c>
      <c r="H517" s="528" t="s">
        <v>3341</v>
      </c>
      <c r="I517" s="528" t="s">
        <v>3333</v>
      </c>
      <c r="J517" s="528"/>
      <c r="K517" s="529"/>
      <c r="L517" s="530"/>
      <c r="M517" s="530"/>
    </row>
    <row r="518" spans="1:13">
      <c r="A518" s="522">
        <v>517</v>
      </c>
      <c r="B518" s="546" t="s">
        <v>4401</v>
      </c>
      <c r="C518" s="524" t="s">
        <v>2767</v>
      </c>
      <c r="D518" s="524">
        <v>1.5</v>
      </c>
      <c r="E518" s="525"/>
      <c r="F518" s="526" t="s">
        <v>4422</v>
      </c>
      <c r="G518" s="536" t="s">
        <v>4423</v>
      </c>
      <c r="H518" s="528" t="s">
        <v>3341</v>
      </c>
      <c r="I518" s="528" t="s">
        <v>3333</v>
      </c>
      <c r="J518" s="528"/>
      <c r="K518" s="529"/>
      <c r="L518" s="530"/>
      <c r="M518" s="530"/>
    </row>
    <row r="519" spans="1:13">
      <c r="A519" s="522">
        <v>518</v>
      </c>
      <c r="B519" s="546" t="s">
        <v>4401</v>
      </c>
      <c r="C519" s="524" t="s">
        <v>1492</v>
      </c>
      <c r="D519" s="524">
        <v>3.5</v>
      </c>
      <c r="E519" s="525"/>
      <c r="F519" s="526" t="s">
        <v>4424</v>
      </c>
      <c r="G519" s="536" t="s">
        <v>4425</v>
      </c>
      <c r="H519" s="528" t="s">
        <v>3341</v>
      </c>
      <c r="I519" s="528" t="s">
        <v>3333</v>
      </c>
      <c r="J519" s="528"/>
      <c r="K519" s="529"/>
      <c r="L519" s="530"/>
      <c r="M519" s="530"/>
    </row>
    <row r="520" spans="1:13">
      <c r="A520" s="522">
        <v>519</v>
      </c>
      <c r="B520" s="546" t="s">
        <v>4401</v>
      </c>
      <c r="C520" s="524" t="s">
        <v>1507</v>
      </c>
      <c r="D520" s="524">
        <v>3.5</v>
      </c>
      <c r="E520" s="525"/>
      <c r="F520" s="526" t="s">
        <v>4426</v>
      </c>
      <c r="G520" s="536" t="s">
        <v>4427</v>
      </c>
      <c r="H520" s="528" t="s">
        <v>3341</v>
      </c>
      <c r="I520" s="528" t="s">
        <v>3333</v>
      </c>
      <c r="J520" s="528"/>
      <c r="K520" s="529"/>
      <c r="L520" s="530"/>
      <c r="M520" s="530"/>
    </row>
    <row r="521" spans="1:13">
      <c r="A521" s="522">
        <v>520</v>
      </c>
      <c r="B521" s="546" t="s">
        <v>4401</v>
      </c>
      <c r="C521" s="524" t="s">
        <v>1541</v>
      </c>
      <c r="D521" s="524">
        <v>2.5</v>
      </c>
      <c r="E521" s="525"/>
      <c r="F521" s="526" t="s">
        <v>4428</v>
      </c>
      <c r="G521" s="536" t="s">
        <v>4429</v>
      </c>
      <c r="H521" s="528" t="s">
        <v>3341</v>
      </c>
      <c r="I521" s="528" t="s">
        <v>3333</v>
      </c>
      <c r="J521" s="528"/>
      <c r="K521" s="529"/>
      <c r="L521" s="530"/>
      <c r="M521" s="530"/>
    </row>
    <row r="522" spans="1:13">
      <c r="A522" s="522">
        <v>521</v>
      </c>
      <c r="B522" s="546" t="s">
        <v>4401</v>
      </c>
      <c r="C522" s="524" t="s">
        <v>1587</v>
      </c>
      <c r="D522" s="524">
        <v>3.5</v>
      </c>
      <c r="E522" s="525"/>
      <c r="F522" s="526" t="s">
        <v>4430</v>
      </c>
      <c r="G522" s="536" t="s">
        <v>4431</v>
      </c>
      <c r="H522" s="528" t="s">
        <v>3341</v>
      </c>
      <c r="I522" s="528" t="s">
        <v>3333</v>
      </c>
      <c r="J522" s="528"/>
      <c r="K522" s="529"/>
      <c r="L522" s="530"/>
      <c r="M522" s="530"/>
    </row>
    <row r="523" spans="1:13" ht="18" customHeight="1">
      <c r="A523" s="522">
        <v>522</v>
      </c>
      <c r="B523" s="546" t="s">
        <v>4401</v>
      </c>
      <c r="C523" s="524" t="s">
        <v>1599</v>
      </c>
      <c r="D523" s="524">
        <v>0.5</v>
      </c>
      <c r="E523" s="525"/>
      <c r="F523" s="526" t="s">
        <v>4432</v>
      </c>
      <c r="G523" s="527" t="s">
        <v>4433</v>
      </c>
      <c r="H523" s="528" t="s">
        <v>3328</v>
      </c>
      <c r="I523" s="528" t="s">
        <v>3333</v>
      </c>
      <c r="J523" s="528"/>
      <c r="K523" s="529"/>
      <c r="L523" s="530"/>
      <c r="M523" s="530"/>
    </row>
    <row r="524" spans="1:13" ht="18" customHeight="1">
      <c r="A524" s="522">
        <v>523</v>
      </c>
      <c r="B524" s="546" t="s">
        <v>4401</v>
      </c>
      <c r="C524" s="524" t="s">
        <v>1633</v>
      </c>
      <c r="D524" s="524">
        <v>2.5</v>
      </c>
      <c r="E524" s="525"/>
      <c r="F524" s="526" t="s">
        <v>4434</v>
      </c>
      <c r="G524" s="536" t="s">
        <v>4435</v>
      </c>
      <c r="H524" s="528" t="s">
        <v>3341</v>
      </c>
      <c r="I524" s="528" t="s">
        <v>3333</v>
      </c>
      <c r="J524" s="528"/>
      <c r="K524" s="529"/>
      <c r="L524" s="530"/>
      <c r="M524" s="530"/>
    </row>
    <row r="525" spans="1:13">
      <c r="A525" s="522">
        <v>524</v>
      </c>
      <c r="B525" s="546" t="s">
        <v>4401</v>
      </c>
      <c r="C525" s="524" t="s">
        <v>1647</v>
      </c>
      <c r="D525" s="524">
        <v>4.5</v>
      </c>
      <c r="E525" s="525"/>
      <c r="F525" s="526" t="s">
        <v>4436</v>
      </c>
      <c r="G525" s="536" t="s">
        <v>4437</v>
      </c>
      <c r="H525" s="528" t="s">
        <v>3341</v>
      </c>
      <c r="I525" s="528" t="s">
        <v>3333</v>
      </c>
      <c r="J525" s="528"/>
      <c r="K525" s="529"/>
      <c r="L525" s="530"/>
      <c r="M525" s="530"/>
    </row>
    <row r="526" spans="1:13">
      <c r="A526" s="522">
        <v>525</v>
      </c>
      <c r="B526" s="546" t="s">
        <v>4401</v>
      </c>
      <c r="C526" s="524" t="s">
        <v>1680</v>
      </c>
      <c r="D526" s="524">
        <v>2.5</v>
      </c>
      <c r="E526" s="525"/>
      <c r="F526" s="526" t="s">
        <v>4438</v>
      </c>
      <c r="G526" s="536" t="s">
        <v>4439</v>
      </c>
      <c r="H526" s="528" t="s">
        <v>3341</v>
      </c>
      <c r="I526" s="528" t="s">
        <v>3333</v>
      </c>
      <c r="J526" s="528"/>
      <c r="K526" s="529"/>
      <c r="L526" s="530"/>
      <c r="M526" s="530"/>
    </row>
    <row r="527" spans="1:13">
      <c r="A527" s="522">
        <v>526</v>
      </c>
      <c r="B527" s="546" t="s">
        <v>4401</v>
      </c>
      <c r="C527" s="524" t="s">
        <v>1690</v>
      </c>
      <c r="D527" s="524">
        <v>3.5</v>
      </c>
      <c r="E527" s="525"/>
      <c r="F527" s="526" t="s">
        <v>4440</v>
      </c>
      <c r="G527" s="536" t="s">
        <v>4441</v>
      </c>
      <c r="H527" s="528" t="s">
        <v>3341</v>
      </c>
      <c r="I527" s="528" t="s">
        <v>3333</v>
      </c>
      <c r="J527" s="528"/>
      <c r="K527" s="529"/>
      <c r="L527" s="530"/>
      <c r="M527" s="530"/>
    </row>
    <row r="528" spans="1:13">
      <c r="A528" s="522">
        <v>527</v>
      </c>
      <c r="B528" s="556" t="s">
        <v>4442</v>
      </c>
      <c r="C528" s="524" t="s">
        <v>2770</v>
      </c>
      <c r="D528" s="524">
        <v>3.5</v>
      </c>
      <c r="E528" s="525"/>
      <c r="F528" s="526" t="s">
        <v>4443</v>
      </c>
      <c r="G528" s="536" t="s">
        <v>4444</v>
      </c>
      <c r="H528" s="528" t="s">
        <v>3341</v>
      </c>
      <c r="I528" s="528" t="s">
        <v>3333</v>
      </c>
      <c r="J528" s="528"/>
      <c r="K528" s="529"/>
      <c r="L528" s="530"/>
      <c r="M528" s="530"/>
    </row>
    <row r="529" spans="1:13">
      <c r="A529" s="522">
        <v>528</v>
      </c>
      <c r="B529" s="556" t="s">
        <v>4442</v>
      </c>
      <c r="C529" s="524" t="s">
        <v>2140</v>
      </c>
      <c r="D529" s="524">
        <v>2.5</v>
      </c>
      <c r="E529" s="525"/>
      <c r="F529" s="526" t="s">
        <v>4445</v>
      </c>
      <c r="G529" s="536" t="s">
        <v>4446</v>
      </c>
      <c r="H529" s="528" t="s">
        <v>3341</v>
      </c>
      <c r="I529" s="528" t="s">
        <v>3333</v>
      </c>
      <c r="J529" s="528"/>
      <c r="K529" s="529"/>
      <c r="L529" s="530"/>
      <c r="M529" s="530"/>
    </row>
    <row r="530" spans="1:13">
      <c r="A530" s="522">
        <v>529</v>
      </c>
      <c r="B530" s="556" t="s">
        <v>4442</v>
      </c>
      <c r="C530" s="524" t="s">
        <v>2141</v>
      </c>
      <c r="D530" s="524">
        <v>3.5</v>
      </c>
      <c r="E530" s="525"/>
      <c r="F530" s="526" t="s">
        <v>4447</v>
      </c>
      <c r="G530" s="536" t="s">
        <v>4448</v>
      </c>
      <c r="H530" s="528" t="s">
        <v>3341</v>
      </c>
      <c r="I530" s="528" t="s">
        <v>3333</v>
      </c>
      <c r="J530" s="528"/>
      <c r="K530" s="529"/>
      <c r="L530" s="530"/>
      <c r="M530" s="530"/>
    </row>
    <row r="531" spans="1:13">
      <c r="A531" s="522">
        <v>530</v>
      </c>
      <c r="B531" s="556" t="s">
        <v>4442</v>
      </c>
      <c r="C531" s="524" t="s">
        <v>2142</v>
      </c>
      <c r="D531" s="524">
        <v>2.5</v>
      </c>
      <c r="E531" s="525"/>
      <c r="F531" s="526" t="s">
        <v>4449</v>
      </c>
      <c r="G531" s="536" t="s">
        <v>4450</v>
      </c>
      <c r="H531" s="528" t="s">
        <v>3341</v>
      </c>
      <c r="I531" s="528" t="s">
        <v>3333</v>
      </c>
      <c r="J531" s="528"/>
      <c r="K531" s="529"/>
      <c r="L531" s="530"/>
      <c r="M531" s="530"/>
    </row>
    <row r="532" spans="1:13">
      <c r="A532" s="522">
        <v>531</v>
      </c>
      <c r="B532" s="556" t="s">
        <v>4442</v>
      </c>
      <c r="C532" s="524" t="s">
        <v>2143</v>
      </c>
      <c r="D532" s="524">
        <v>3.5</v>
      </c>
      <c r="E532" s="525"/>
      <c r="F532" s="526" t="s">
        <v>4451</v>
      </c>
      <c r="G532" s="536" t="s">
        <v>4452</v>
      </c>
      <c r="H532" s="528" t="s">
        <v>3341</v>
      </c>
      <c r="I532" s="528" t="s">
        <v>3333</v>
      </c>
      <c r="J532" s="528"/>
      <c r="K532" s="529"/>
      <c r="L532" s="530"/>
      <c r="M532" s="530"/>
    </row>
    <row r="533" spans="1:13">
      <c r="A533" s="522">
        <v>532</v>
      </c>
      <c r="B533" s="556" t="s">
        <v>4442</v>
      </c>
      <c r="C533" s="524" t="s">
        <v>2771</v>
      </c>
      <c r="D533" s="524" t="s">
        <v>4453</v>
      </c>
      <c r="E533" s="543" t="s">
        <v>3711</v>
      </c>
      <c r="F533" s="526" t="s">
        <v>4454</v>
      </c>
      <c r="G533" s="536" t="s">
        <v>4455</v>
      </c>
      <c r="H533" s="528" t="s">
        <v>3341</v>
      </c>
      <c r="I533" s="528" t="s">
        <v>3333</v>
      </c>
      <c r="J533" s="528"/>
      <c r="K533" s="529"/>
      <c r="L533" s="530"/>
      <c r="M533" s="530"/>
    </row>
    <row r="534" spans="1:13">
      <c r="A534" s="522">
        <v>533</v>
      </c>
      <c r="B534" s="556" t="s">
        <v>4442</v>
      </c>
      <c r="C534" s="524" t="s">
        <v>2146</v>
      </c>
      <c r="D534" s="524">
        <v>3.5</v>
      </c>
      <c r="E534" s="525"/>
      <c r="F534" s="526" t="s">
        <v>4456</v>
      </c>
      <c r="G534" s="536" t="s">
        <v>4457</v>
      </c>
      <c r="H534" s="528" t="s">
        <v>3341</v>
      </c>
      <c r="I534" s="528" t="s">
        <v>3333</v>
      </c>
      <c r="J534" s="528"/>
      <c r="K534" s="529"/>
      <c r="L534" s="530"/>
      <c r="M534" s="530"/>
    </row>
    <row r="535" spans="1:13">
      <c r="A535" s="522">
        <v>534</v>
      </c>
      <c r="B535" s="556" t="s">
        <v>4442</v>
      </c>
      <c r="C535" s="524" t="s">
        <v>2147</v>
      </c>
      <c r="D535" s="524">
        <v>2.5</v>
      </c>
      <c r="E535" s="525"/>
      <c r="F535" s="526" t="s">
        <v>4458</v>
      </c>
      <c r="G535" s="536" t="s">
        <v>4459</v>
      </c>
      <c r="H535" s="528" t="s">
        <v>3341</v>
      </c>
      <c r="I535" s="528" t="s">
        <v>3333</v>
      </c>
      <c r="J535" s="528"/>
      <c r="K535" s="529"/>
      <c r="L535" s="530"/>
      <c r="M535" s="530"/>
    </row>
    <row r="536" spans="1:13">
      <c r="A536" s="522">
        <v>535</v>
      </c>
      <c r="B536" s="556" t="s">
        <v>4442</v>
      </c>
      <c r="C536" s="524" t="s">
        <v>2148</v>
      </c>
      <c r="D536" s="524">
        <v>3.5</v>
      </c>
      <c r="E536" s="525"/>
      <c r="F536" s="526" t="s">
        <v>4460</v>
      </c>
      <c r="G536" s="536" t="s">
        <v>4461</v>
      </c>
      <c r="H536" s="528" t="s">
        <v>3341</v>
      </c>
      <c r="I536" s="528" t="s">
        <v>3333</v>
      </c>
      <c r="J536" s="528"/>
      <c r="K536" s="529"/>
      <c r="L536" s="530"/>
      <c r="M536" s="530"/>
    </row>
    <row r="537" spans="1:13">
      <c r="A537" s="522">
        <v>536</v>
      </c>
      <c r="B537" s="556" t="s">
        <v>4442</v>
      </c>
      <c r="C537" s="524" t="s">
        <v>2149</v>
      </c>
      <c r="D537" s="524">
        <v>0.5</v>
      </c>
      <c r="E537" s="525"/>
      <c r="F537" s="526" t="s">
        <v>4462</v>
      </c>
      <c r="G537" s="536" t="s">
        <v>4463</v>
      </c>
      <c r="H537" s="528" t="s">
        <v>3341</v>
      </c>
      <c r="I537" s="528" t="s">
        <v>3333</v>
      </c>
      <c r="J537" s="528"/>
      <c r="K537" s="529"/>
      <c r="L537" s="530"/>
      <c r="M537" s="530"/>
    </row>
    <row r="538" spans="1:13">
      <c r="A538" s="522">
        <v>537</v>
      </c>
      <c r="B538" s="556" t="s">
        <v>4442</v>
      </c>
      <c r="C538" s="524" t="s">
        <v>2772</v>
      </c>
      <c r="D538" s="524">
        <v>2.5</v>
      </c>
      <c r="E538" s="525"/>
      <c r="F538" s="526" t="s">
        <v>4464</v>
      </c>
      <c r="G538" s="536" t="s">
        <v>4465</v>
      </c>
      <c r="H538" s="528" t="s">
        <v>3341</v>
      </c>
      <c r="I538" s="528" t="s">
        <v>3333</v>
      </c>
      <c r="J538" s="528"/>
      <c r="K538" s="529"/>
      <c r="L538" s="530"/>
      <c r="M538" s="530"/>
    </row>
    <row r="539" spans="1:13">
      <c r="A539" s="522">
        <v>538</v>
      </c>
      <c r="B539" s="556" t="s">
        <v>4442</v>
      </c>
      <c r="C539" s="524" t="s">
        <v>2152</v>
      </c>
      <c r="D539" s="524">
        <v>1.5</v>
      </c>
      <c r="E539" s="525"/>
      <c r="F539" s="526" t="s">
        <v>4466</v>
      </c>
      <c r="G539" s="536" t="s">
        <v>4467</v>
      </c>
      <c r="H539" s="528" t="s">
        <v>3341</v>
      </c>
      <c r="I539" s="528" t="s">
        <v>3333</v>
      </c>
      <c r="J539" s="528"/>
      <c r="K539" s="529"/>
      <c r="L539" s="530"/>
      <c r="M539" s="530"/>
    </row>
    <row r="540" spans="1:13">
      <c r="A540" s="522">
        <v>539</v>
      </c>
      <c r="B540" s="556" t="s">
        <v>4442</v>
      </c>
      <c r="C540" s="524" t="s">
        <v>2153</v>
      </c>
      <c r="D540" s="524">
        <v>1.5</v>
      </c>
      <c r="E540" s="525"/>
      <c r="F540" s="526" t="s">
        <v>4468</v>
      </c>
      <c r="G540" s="536" t="s">
        <v>4469</v>
      </c>
      <c r="H540" s="528" t="s">
        <v>3341</v>
      </c>
      <c r="I540" s="528" t="s">
        <v>3333</v>
      </c>
      <c r="J540" s="528"/>
      <c r="K540" s="529"/>
      <c r="L540" s="530"/>
      <c r="M540" s="530"/>
    </row>
    <row r="541" spans="1:13">
      <c r="A541" s="522">
        <v>540</v>
      </c>
      <c r="B541" s="556" t="s">
        <v>4442</v>
      </c>
      <c r="C541" s="524" t="s">
        <v>2040</v>
      </c>
      <c r="D541" s="524">
        <v>3.5</v>
      </c>
      <c r="E541" s="525"/>
      <c r="F541" s="526" t="s">
        <v>4470</v>
      </c>
      <c r="G541" s="536" t="s">
        <v>4471</v>
      </c>
      <c r="H541" s="528" t="s">
        <v>3341</v>
      </c>
      <c r="I541" s="528" t="s">
        <v>3333</v>
      </c>
      <c r="J541" s="528"/>
      <c r="K541" s="529"/>
      <c r="L541" s="530"/>
      <c r="M541" s="530"/>
    </row>
    <row r="542" spans="1:13">
      <c r="A542" s="522">
        <v>541</v>
      </c>
      <c r="B542" s="556" t="s">
        <v>4442</v>
      </c>
      <c r="C542" s="524" t="s">
        <v>2154</v>
      </c>
      <c r="D542" s="524">
        <v>4.5</v>
      </c>
      <c r="E542" s="525"/>
      <c r="F542" s="526" t="s">
        <v>4472</v>
      </c>
      <c r="G542" s="536" t="s">
        <v>4473</v>
      </c>
      <c r="H542" s="528" t="s">
        <v>3341</v>
      </c>
      <c r="I542" s="528" t="s">
        <v>3333</v>
      </c>
      <c r="J542" s="528"/>
      <c r="K542" s="529"/>
      <c r="L542" s="530"/>
      <c r="M542" s="530"/>
    </row>
    <row r="543" spans="1:13">
      <c r="A543" s="522">
        <v>542</v>
      </c>
      <c r="B543" s="561" t="s">
        <v>4474</v>
      </c>
      <c r="C543" s="524" t="s">
        <v>2156</v>
      </c>
      <c r="D543" s="524">
        <v>1.5</v>
      </c>
      <c r="E543" s="525"/>
      <c r="F543" s="534" t="s">
        <v>4475</v>
      </c>
      <c r="G543" s="527" t="s">
        <v>4476</v>
      </c>
      <c r="H543" s="528" t="s">
        <v>3328</v>
      </c>
      <c r="I543" s="528" t="s">
        <v>3329</v>
      </c>
      <c r="J543" s="528" t="s">
        <v>3337</v>
      </c>
      <c r="K543" s="529"/>
      <c r="L543" s="530"/>
      <c r="M543" s="530"/>
    </row>
    <row r="544" spans="1:13">
      <c r="A544" s="522">
        <v>543</v>
      </c>
      <c r="B544" s="561" t="s">
        <v>4474</v>
      </c>
      <c r="C544" s="524" t="s">
        <v>1215</v>
      </c>
      <c r="D544" s="524">
        <v>4.5</v>
      </c>
      <c r="E544" s="525"/>
      <c r="F544" s="534" t="s">
        <v>4477</v>
      </c>
      <c r="G544" s="536" t="s">
        <v>4478</v>
      </c>
      <c r="H544" s="528" t="s">
        <v>3341</v>
      </c>
      <c r="I544" s="528" t="s">
        <v>3329</v>
      </c>
      <c r="J544" s="528" t="s">
        <v>3337</v>
      </c>
      <c r="K544" s="529"/>
      <c r="L544" s="530"/>
      <c r="M544" s="530"/>
    </row>
    <row r="545" spans="1:13">
      <c r="A545" s="522">
        <v>544</v>
      </c>
      <c r="B545" s="561" t="s">
        <v>4474</v>
      </c>
      <c r="C545" s="524" t="s">
        <v>1233</v>
      </c>
      <c r="D545" s="524">
        <v>2.5</v>
      </c>
      <c r="E545" s="525"/>
      <c r="F545" s="526" t="s">
        <v>4479</v>
      </c>
      <c r="G545" s="536" t="s">
        <v>4480</v>
      </c>
      <c r="H545" s="528" t="s">
        <v>3341</v>
      </c>
      <c r="I545" s="528" t="s">
        <v>3333</v>
      </c>
      <c r="J545" s="528"/>
      <c r="K545" s="529"/>
      <c r="L545" s="530"/>
      <c r="M545" s="530"/>
    </row>
    <row r="546" spans="1:13">
      <c r="A546" s="522">
        <v>545</v>
      </c>
      <c r="B546" s="561" t="s">
        <v>4474</v>
      </c>
      <c r="C546" s="524" t="s">
        <v>1271</v>
      </c>
      <c r="D546" s="524">
        <v>1.5</v>
      </c>
      <c r="E546" s="525"/>
      <c r="F546" s="534" t="s">
        <v>4481</v>
      </c>
      <c r="G546" s="536" t="s">
        <v>4482</v>
      </c>
      <c r="H546" s="528" t="s">
        <v>3341</v>
      </c>
      <c r="I546" s="528" t="s">
        <v>3329</v>
      </c>
      <c r="J546" s="528" t="s">
        <v>3337</v>
      </c>
      <c r="K546" s="529"/>
      <c r="L546" s="530"/>
      <c r="M546" s="530"/>
    </row>
    <row r="547" spans="1:13">
      <c r="A547" s="522">
        <v>546</v>
      </c>
      <c r="B547" s="561" t="s">
        <v>4474</v>
      </c>
      <c r="C547" s="524" t="s">
        <v>1289</v>
      </c>
      <c r="D547" s="524">
        <v>3.5</v>
      </c>
      <c r="E547" s="525"/>
      <c r="F547" s="526" t="s">
        <v>4483</v>
      </c>
      <c r="G547" s="536" t="s">
        <v>4484</v>
      </c>
      <c r="H547" s="528" t="s">
        <v>3341</v>
      </c>
      <c r="I547" s="528" t="s">
        <v>3333</v>
      </c>
      <c r="J547" s="528"/>
      <c r="K547" s="529"/>
      <c r="L547" s="530"/>
      <c r="M547" s="530"/>
    </row>
    <row r="548" spans="1:13">
      <c r="A548" s="522">
        <v>547</v>
      </c>
      <c r="B548" s="561" t="s">
        <v>4474</v>
      </c>
      <c r="C548" s="524" t="s">
        <v>2158</v>
      </c>
      <c r="D548" s="524">
        <v>1.5</v>
      </c>
      <c r="E548" s="525"/>
      <c r="F548" s="526" t="s">
        <v>4485</v>
      </c>
      <c r="G548" s="536" t="s">
        <v>4486</v>
      </c>
      <c r="H548" s="528" t="s">
        <v>3341</v>
      </c>
      <c r="I548" s="528" t="s">
        <v>3333</v>
      </c>
      <c r="J548" s="528"/>
      <c r="K548" s="529"/>
      <c r="L548" s="530"/>
      <c r="M548" s="530"/>
    </row>
    <row r="549" spans="1:13">
      <c r="A549" s="522">
        <v>548</v>
      </c>
      <c r="B549" s="561" t="s">
        <v>4474</v>
      </c>
      <c r="C549" s="524" t="s">
        <v>1369</v>
      </c>
      <c r="D549" s="524">
        <v>2.5</v>
      </c>
      <c r="E549" s="525"/>
      <c r="F549" s="526" t="s">
        <v>4487</v>
      </c>
      <c r="G549" s="536" t="s">
        <v>4488</v>
      </c>
      <c r="H549" s="528" t="s">
        <v>3341</v>
      </c>
      <c r="I549" s="528" t="s">
        <v>3333</v>
      </c>
      <c r="J549" s="528"/>
      <c r="K549" s="529"/>
      <c r="L549" s="530"/>
      <c r="M549" s="530"/>
    </row>
    <row r="550" spans="1:13">
      <c r="A550" s="522">
        <v>549</v>
      </c>
      <c r="B550" s="561" t="s">
        <v>4474</v>
      </c>
      <c r="C550" s="524" t="s">
        <v>1380</v>
      </c>
      <c r="D550" s="524">
        <v>1.5</v>
      </c>
      <c r="E550" s="525"/>
      <c r="F550" s="526" t="s">
        <v>4489</v>
      </c>
      <c r="G550" s="536" t="s">
        <v>4490</v>
      </c>
      <c r="H550" s="528" t="s">
        <v>3341</v>
      </c>
      <c r="I550" s="528" t="s">
        <v>3333</v>
      </c>
      <c r="J550" s="528"/>
      <c r="K550" s="529"/>
      <c r="L550" s="530"/>
      <c r="M550" s="530"/>
    </row>
    <row r="551" spans="1:13">
      <c r="A551" s="522">
        <v>550</v>
      </c>
      <c r="B551" s="561" t="s">
        <v>4474</v>
      </c>
      <c r="C551" s="524" t="s">
        <v>1413</v>
      </c>
      <c r="D551" s="524">
        <v>5.5</v>
      </c>
      <c r="E551" s="525"/>
      <c r="F551" s="526" t="s">
        <v>4491</v>
      </c>
      <c r="G551" s="536" t="s">
        <v>4492</v>
      </c>
      <c r="H551" s="528" t="s">
        <v>3341</v>
      </c>
      <c r="I551" s="528" t="s">
        <v>3333</v>
      </c>
      <c r="J551" s="528"/>
      <c r="K551" s="529"/>
      <c r="L551" s="530"/>
      <c r="M551" s="530"/>
    </row>
    <row r="552" spans="1:13">
      <c r="A552" s="522">
        <v>551</v>
      </c>
      <c r="B552" s="561" t="s">
        <v>4474</v>
      </c>
      <c r="C552" s="524" t="s">
        <v>1424</v>
      </c>
      <c r="D552" s="524">
        <v>1.5</v>
      </c>
      <c r="E552" s="525"/>
      <c r="F552" s="534" t="s">
        <v>4493</v>
      </c>
      <c r="G552" s="536" t="s">
        <v>4494</v>
      </c>
      <c r="H552" s="528" t="s">
        <v>3341</v>
      </c>
      <c r="I552" s="528" t="s">
        <v>3329</v>
      </c>
      <c r="J552" s="528" t="s">
        <v>3337</v>
      </c>
      <c r="K552" s="529"/>
      <c r="L552" s="530"/>
      <c r="M552" s="530"/>
    </row>
    <row r="553" spans="1:13">
      <c r="A553" s="522">
        <v>552</v>
      </c>
      <c r="B553" s="561" t="s">
        <v>4474</v>
      </c>
      <c r="C553" s="524" t="s">
        <v>131</v>
      </c>
      <c r="D553" s="524">
        <v>3.5</v>
      </c>
      <c r="E553" s="525"/>
      <c r="F553" s="526" t="s">
        <v>4495</v>
      </c>
      <c r="G553" s="536" t="s">
        <v>4496</v>
      </c>
      <c r="H553" s="528" t="s">
        <v>3341</v>
      </c>
      <c r="I553" s="528" t="s">
        <v>3333</v>
      </c>
      <c r="J553" s="528"/>
      <c r="K553" s="529"/>
      <c r="L553" s="530"/>
      <c r="M553" s="530"/>
    </row>
    <row r="554" spans="1:13">
      <c r="A554" s="522">
        <v>553</v>
      </c>
      <c r="B554" s="561" t="s">
        <v>4474</v>
      </c>
      <c r="C554" s="524" t="s">
        <v>128</v>
      </c>
      <c r="D554" s="524">
        <v>1.5</v>
      </c>
      <c r="E554" s="525"/>
      <c r="F554" s="526" t="s">
        <v>4497</v>
      </c>
      <c r="G554" s="536" t="s">
        <v>4498</v>
      </c>
      <c r="H554" s="528" t="s">
        <v>3341</v>
      </c>
      <c r="I554" s="528" t="s">
        <v>3333</v>
      </c>
      <c r="J554" s="528"/>
      <c r="K554" s="529"/>
      <c r="L554" s="530"/>
      <c r="M554" s="530"/>
    </row>
    <row r="555" spans="1:13">
      <c r="A555" s="522">
        <v>554</v>
      </c>
      <c r="B555" s="561" t="s">
        <v>4474</v>
      </c>
      <c r="C555" s="524" t="s">
        <v>2160</v>
      </c>
      <c r="D555" s="524">
        <v>2.5</v>
      </c>
      <c r="E555" s="525"/>
      <c r="F555" s="526" t="s">
        <v>4499</v>
      </c>
      <c r="G555" s="536" t="s">
        <v>4500</v>
      </c>
      <c r="H555" s="528" t="s">
        <v>3341</v>
      </c>
      <c r="I555" s="528" t="s">
        <v>3333</v>
      </c>
      <c r="J555" s="528"/>
      <c r="K555" s="529"/>
      <c r="L555" s="530"/>
      <c r="M555" s="530"/>
    </row>
    <row r="556" spans="1:13">
      <c r="A556" s="522">
        <v>555</v>
      </c>
      <c r="B556" s="561" t="s">
        <v>4474</v>
      </c>
      <c r="C556" s="524" t="s">
        <v>124</v>
      </c>
      <c r="D556" s="524">
        <v>2.5</v>
      </c>
      <c r="E556" s="525"/>
      <c r="F556" s="526" t="s">
        <v>4501</v>
      </c>
      <c r="G556" s="536" t="s">
        <v>4502</v>
      </c>
      <c r="H556" s="528" t="s">
        <v>3341</v>
      </c>
      <c r="I556" s="528" t="s">
        <v>3333</v>
      </c>
      <c r="J556" s="528"/>
      <c r="K556" s="529"/>
      <c r="L556" s="530"/>
      <c r="M556" s="530"/>
    </row>
    <row r="557" spans="1:13">
      <c r="A557" s="522">
        <v>556</v>
      </c>
      <c r="B557" s="561" t="s">
        <v>4474</v>
      </c>
      <c r="C557" s="524" t="s">
        <v>141</v>
      </c>
      <c r="D557" s="524">
        <v>3.5</v>
      </c>
      <c r="E557" s="525"/>
      <c r="F557" s="526" t="s">
        <v>4503</v>
      </c>
      <c r="G557" s="536" t="s">
        <v>4504</v>
      </c>
      <c r="H557" s="528" t="s">
        <v>3341</v>
      </c>
      <c r="I557" s="528" t="s">
        <v>3333</v>
      </c>
      <c r="J557" s="528"/>
      <c r="K557" s="529"/>
      <c r="L557" s="530"/>
      <c r="M557" s="530"/>
    </row>
    <row r="558" spans="1:13">
      <c r="A558" s="522">
        <v>557</v>
      </c>
      <c r="B558" s="561" t="s">
        <v>4474</v>
      </c>
      <c r="C558" s="524" t="s">
        <v>155</v>
      </c>
      <c r="D558" s="524">
        <v>1.5</v>
      </c>
      <c r="E558" s="525"/>
      <c r="F558" s="526" t="s">
        <v>4505</v>
      </c>
      <c r="G558" s="536" t="s">
        <v>4506</v>
      </c>
      <c r="H558" s="528" t="s">
        <v>3341</v>
      </c>
      <c r="I558" s="528" t="s">
        <v>3333</v>
      </c>
      <c r="J558" s="528"/>
      <c r="K558" s="529"/>
      <c r="L558" s="530"/>
      <c r="M558" s="530"/>
    </row>
    <row r="559" spans="1:13">
      <c r="A559" s="522">
        <v>558</v>
      </c>
      <c r="B559" s="561" t="s">
        <v>4474</v>
      </c>
      <c r="C559" s="524" t="s">
        <v>158</v>
      </c>
      <c r="D559" s="524">
        <v>2.5</v>
      </c>
      <c r="E559" s="525"/>
      <c r="F559" s="526" t="s">
        <v>4507</v>
      </c>
      <c r="G559" s="536" t="s">
        <v>4508</v>
      </c>
      <c r="H559" s="528" t="s">
        <v>3341</v>
      </c>
      <c r="I559" s="528" t="s">
        <v>3333</v>
      </c>
      <c r="J559" s="528"/>
      <c r="K559" s="529"/>
      <c r="L559" s="530"/>
      <c r="M559" s="530"/>
    </row>
    <row r="560" spans="1:13">
      <c r="A560" s="522">
        <v>559</v>
      </c>
      <c r="B560" s="561" t="s">
        <v>4474</v>
      </c>
      <c r="C560" s="524" t="s">
        <v>168</v>
      </c>
      <c r="D560" s="524">
        <v>1.5</v>
      </c>
      <c r="E560" s="525"/>
      <c r="F560" s="526" t="s">
        <v>4509</v>
      </c>
      <c r="G560" s="536" t="s">
        <v>4510</v>
      </c>
      <c r="H560" s="528" t="s">
        <v>3341</v>
      </c>
      <c r="I560" s="528" t="s">
        <v>3333</v>
      </c>
      <c r="J560" s="528"/>
      <c r="K560" s="529"/>
      <c r="L560" s="530"/>
      <c r="M560" s="530"/>
    </row>
    <row r="561" spans="1:13">
      <c r="A561" s="522">
        <v>560</v>
      </c>
      <c r="B561" s="561" t="s">
        <v>4474</v>
      </c>
      <c r="C561" s="524" t="s">
        <v>171</v>
      </c>
      <c r="D561" s="524">
        <v>2.5</v>
      </c>
      <c r="E561" s="525"/>
      <c r="F561" s="526" t="s">
        <v>4511</v>
      </c>
      <c r="G561" s="536" t="s">
        <v>4512</v>
      </c>
      <c r="H561" s="528" t="s">
        <v>3341</v>
      </c>
      <c r="I561" s="528" t="s">
        <v>3333</v>
      </c>
      <c r="J561" s="528"/>
      <c r="K561" s="529"/>
      <c r="L561" s="530"/>
      <c r="M561" s="530"/>
    </row>
    <row r="562" spans="1:13">
      <c r="A562" s="522">
        <v>561</v>
      </c>
      <c r="B562" s="561" t="s">
        <v>4474</v>
      </c>
      <c r="C562" s="524" t="s">
        <v>174</v>
      </c>
      <c r="D562" s="524">
        <v>3.5</v>
      </c>
      <c r="E562" s="525"/>
      <c r="F562" s="526" t="s">
        <v>4513</v>
      </c>
      <c r="G562" s="536" t="s">
        <v>4514</v>
      </c>
      <c r="H562" s="528" t="s">
        <v>3341</v>
      </c>
      <c r="I562" s="528" t="s">
        <v>3333</v>
      </c>
      <c r="J562" s="528"/>
      <c r="K562" s="529"/>
      <c r="L562" s="530"/>
      <c r="M562" s="530"/>
    </row>
    <row r="563" spans="1:13">
      <c r="A563" s="522">
        <v>562</v>
      </c>
      <c r="B563" s="523" t="s">
        <v>4515</v>
      </c>
      <c r="C563" s="524" t="s">
        <v>1932</v>
      </c>
      <c r="D563" s="569">
        <v>1</v>
      </c>
      <c r="E563" s="543"/>
      <c r="F563" s="526" t="s">
        <v>4516</v>
      </c>
      <c r="G563" s="536" t="s">
        <v>4517</v>
      </c>
      <c r="H563" s="528" t="s">
        <v>3341</v>
      </c>
      <c r="I563" s="528" t="s">
        <v>3333</v>
      </c>
      <c r="J563" s="528"/>
      <c r="K563" s="529"/>
      <c r="L563" s="530"/>
      <c r="M563" s="530"/>
    </row>
    <row r="564" spans="1:13">
      <c r="A564" s="522">
        <v>563</v>
      </c>
      <c r="B564" s="523" t="s">
        <v>4515</v>
      </c>
      <c r="C564" s="524" t="s">
        <v>1934</v>
      </c>
      <c r="D564" s="569" t="s">
        <v>3994</v>
      </c>
      <c r="E564" s="543" t="s">
        <v>3711</v>
      </c>
      <c r="F564" s="565" t="s">
        <v>4518</v>
      </c>
      <c r="G564" s="536" t="s">
        <v>4519</v>
      </c>
      <c r="H564" s="528" t="s">
        <v>3341</v>
      </c>
      <c r="I564" s="528" t="s">
        <v>3329</v>
      </c>
      <c r="J564" s="528"/>
      <c r="K564" s="529"/>
      <c r="L564" s="530"/>
      <c r="M564" s="530"/>
    </row>
    <row r="565" spans="1:13">
      <c r="A565" s="522">
        <v>564</v>
      </c>
      <c r="B565" s="523" t="s">
        <v>4515</v>
      </c>
      <c r="C565" s="524" t="s">
        <v>1935</v>
      </c>
      <c r="D565" s="569" t="s">
        <v>3984</v>
      </c>
      <c r="E565" s="543" t="s">
        <v>3711</v>
      </c>
      <c r="F565" s="565" t="s">
        <v>4520</v>
      </c>
      <c r="G565" s="536" t="s">
        <v>4521</v>
      </c>
      <c r="H565" s="528" t="s">
        <v>3341</v>
      </c>
      <c r="I565" s="528" t="s">
        <v>3329</v>
      </c>
      <c r="J565" s="528" t="s">
        <v>3337</v>
      </c>
      <c r="K565" s="529"/>
      <c r="L565" s="530"/>
      <c r="M565" s="530"/>
    </row>
    <row r="566" spans="1:13">
      <c r="A566" s="522">
        <v>565</v>
      </c>
      <c r="B566" s="523" t="s">
        <v>4515</v>
      </c>
      <c r="C566" s="524" t="s">
        <v>1936</v>
      </c>
      <c r="D566" s="569" t="s">
        <v>3984</v>
      </c>
      <c r="E566" s="543" t="s">
        <v>3711</v>
      </c>
      <c r="F566" s="565" t="s">
        <v>4522</v>
      </c>
      <c r="G566" s="536" t="s">
        <v>4523</v>
      </c>
      <c r="H566" s="528" t="s">
        <v>3341</v>
      </c>
      <c r="I566" s="528" t="s">
        <v>3329</v>
      </c>
      <c r="J566" s="528" t="s">
        <v>3337</v>
      </c>
      <c r="K566" s="529"/>
      <c r="L566" s="530"/>
      <c r="M566" s="530"/>
    </row>
    <row r="567" spans="1:13">
      <c r="A567" s="522">
        <v>566</v>
      </c>
      <c r="B567" s="523" t="s">
        <v>4515</v>
      </c>
      <c r="C567" s="524" t="s">
        <v>1937</v>
      </c>
      <c r="D567" s="569">
        <v>0.5</v>
      </c>
      <c r="E567" s="543"/>
      <c r="F567" s="526" t="s">
        <v>4524</v>
      </c>
      <c r="G567" s="536" t="s">
        <v>4525</v>
      </c>
      <c r="H567" s="528" t="s">
        <v>3341</v>
      </c>
      <c r="I567" s="528" t="s">
        <v>3329</v>
      </c>
      <c r="J567" s="528"/>
      <c r="K567" s="529"/>
      <c r="L567" s="530"/>
      <c r="M567" s="530"/>
    </row>
    <row r="568" spans="1:13">
      <c r="A568" s="522">
        <v>567</v>
      </c>
      <c r="B568" s="523" t="s">
        <v>4515</v>
      </c>
      <c r="C568" s="524" t="s">
        <v>1938</v>
      </c>
      <c r="D568" s="569">
        <v>0</v>
      </c>
      <c r="E568" s="543"/>
      <c r="F568" s="534" t="s">
        <v>4526</v>
      </c>
      <c r="G568" s="527" t="s">
        <v>4527</v>
      </c>
      <c r="H568" s="528" t="s">
        <v>3328</v>
      </c>
      <c r="I568" s="528" t="s">
        <v>3329</v>
      </c>
      <c r="J568" s="528" t="s">
        <v>3337</v>
      </c>
      <c r="K568" s="529"/>
      <c r="L568" s="530"/>
      <c r="M568" s="530"/>
    </row>
    <row r="569" spans="1:13">
      <c r="A569" s="522">
        <v>568</v>
      </c>
      <c r="B569" s="523" t="s">
        <v>4515</v>
      </c>
      <c r="C569" s="524" t="s">
        <v>1939</v>
      </c>
      <c r="D569" s="569" t="s">
        <v>3984</v>
      </c>
      <c r="E569" s="543" t="s">
        <v>3711</v>
      </c>
      <c r="F569" s="565" t="s">
        <v>4528</v>
      </c>
      <c r="G569" s="536" t="s">
        <v>4529</v>
      </c>
      <c r="H569" s="528" t="s">
        <v>3341</v>
      </c>
      <c r="I569" s="528" t="s">
        <v>3329</v>
      </c>
      <c r="J569" s="528" t="s">
        <v>3337</v>
      </c>
      <c r="K569" s="529"/>
      <c r="L569" s="530"/>
      <c r="M569" s="530"/>
    </row>
    <row r="570" spans="1:13">
      <c r="A570" s="522">
        <v>569</v>
      </c>
      <c r="B570" s="523" t="s">
        <v>4515</v>
      </c>
      <c r="C570" s="524" t="s">
        <v>1940</v>
      </c>
      <c r="D570" s="569" t="s">
        <v>3834</v>
      </c>
      <c r="E570" s="543" t="s">
        <v>3711</v>
      </c>
      <c r="F570" s="565" t="s">
        <v>4530</v>
      </c>
      <c r="G570" s="536" t="s">
        <v>4531</v>
      </c>
      <c r="H570" s="528" t="s">
        <v>3341</v>
      </c>
      <c r="I570" s="528" t="s">
        <v>3329</v>
      </c>
      <c r="J570" s="528" t="s">
        <v>3337</v>
      </c>
      <c r="K570" s="529"/>
      <c r="L570" s="530"/>
      <c r="M570" s="530"/>
    </row>
    <row r="571" spans="1:13">
      <c r="A571" s="522">
        <v>570</v>
      </c>
      <c r="B571" s="523" t="s">
        <v>4515</v>
      </c>
      <c r="C571" s="524" t="s">
        <v>1941</v>
      </c>
      <c r="D571" s="569" t="s">
        <v>4532</v>
      </c>
      <c r="E571" s="543" t="s">
        <v>3711</v>
      </c>
      <c r="F571" s="565" t="s">
        <v>4533</v>
      </c>
      <c r="G571" s="536" t="s">
        <v>4534</v>
      </c>
      <c r="H571" s="528" t="s">
        <v>3341</v>
      </c>
      <c r="I571" s="528" t="s">
        <v>3329</v>
      </c>
      <c r="J571" s="528" t="s">
        <v>3337</v>
      </c>
      <c r="K571" s="529"/>
      <c r="L571" s="530"/>
      <c r="M571" s="530"/>
    </row>
    <row r="572" spans="1:13">
      <c r="A572" s="522">
        <v>571</v>
      </c>
      <c r="B572" s="523" t="s">
        <v>4515</v>
      </c>
      <c r="C572" s="524" t="s">
        <v>1942</v>
      </c>
      <c r="D572" s="569">
        <v>0.5</v>
      </c>
      <c r="E572" s="543"/>
      <c r="F572" s="526" t="s">
        <v>4535</v>
      </c>
      <c r="G572" s="536" t="s">
        <v>4536</v>
      </c>
      <c r="H572" s="528" t="s">
        <v>3341</v>
      </c>
      <c r="I572" s="528" t="s">
        <v>3329</v>
      </c>
      <c r="J572" s="528"/>
      <c r="K572" s="529"/>
      <c r="L572" s="530"/>
      <c r="M572" s="530"/>
    </row>
    <row r="573" spans="1:13">
      <c r="A573" s="522">
        <v>572</v>
      </c>
      <c r="B573" s="523" t="s">
        <v>4515</v>
      </c>
      <c r="C573" s="524" t="s">
        <v>2017</v>
      </c>
      <c r="D573" s="569" t="s">
        <v>3820</v>
      </c>
      <c r="E573" s="543" t="s">
        <v>3711</v>
      </c>
      <c r="F573" s="565" t="s">
        <v>4537</v>
      </c>
      <c r="G573" s="536" t="s">
        <v>4538</v>
      </c>
      <c r="H573" s="528" t="s">
        <v>3341</v>
      </c>
      <c r="I573" s="528" t="s">
        <v>3329</v>
      </c>
      <c r="J573" s="528" t="s">
        <v>3337</v>
      </c>
      <c r="K573" s="580" t="s">
        <v>4539</v>
      </c>
      <c r="L573" s="530"/>
    </row>
    <row r="574" spans="1:13">
      <c r="A574" s="522">
        <v>573</v>
      </c>
      <c r="B574" s="523" t="s">
        <v>4515</v>
      </c>
      <c r="C574" s="524" t="s">
        <v>2019</v>
      </c>
      <c r="D574" s="569">
        <v>0</v>
      </c>
      <c r="E574" s="543"/>
      <c r="F574" s="534" t="s">
        <v>4540</v>
      </c>
      <c r="G574" s="527" t="s">
        <v>4527</v>
      </c>
      <c r="H574" s="528" t="s">
        <v>3328</v>
      </c>
      <c r="I574" s="528" t="s">
        <v>3329</v>
      </c>
      <c r="J574" s="528" t="s">
        <v>3337</v>
      </c>
      <c r="K574" s="529"/>
      <c r="L574" s="530"/>
      <c r="M574" s="530"/>
    </row>
    <row r="575" spans="1:13">
      <c r="A575" s="522">
        <v>574</v>
      </c>
      <c r="B575" s="523" t="s">
        <v>4515</v>
      </c>
      <c r="C575" s="524" t="s">
        <v>2020</v>
      </c>
      <c r="D575" s="569">
        <v>0</v>
      </c>
      <c r="E575" s="543"/>
      <c r="F575" s="526" t="s">
        <v>4541</v>
      </c>
      <c r="G575" s="536" t="s">
        <v>4542</v>
      </c>
      <c r="H575" s="528" t="s">
        <v>3341</v>
      </c>
      <c r="I575" s="528" t="s">
        <v>3329</v>
      </c>
      <c r="J575" s="528"/>
      <c r="K575" s="529"/>
      <c r="L575" s="530"/>
      <c r="M575" s="530"/>
    </row>
    <row r="576" spans="1:13">
      <c r="A576" s="522">
        <v>575</v>
      </c>
      <c r="B576" s="523" t="s">
        <v>4515</v>
      </c>
      <c r="C576" s="524" t="s">
        <v>2021</v>
      </c>
      <c r="D576" s="569" t="s">
        <v>3984</v>
      </c>
      <c r="E576" s="543" t="s">
        <v>3711</v>
      </c>
      <c r="F576" s="565" t="s">
        <v>4543</v>
      </c>
      <c r="G576" s="536" t="s">
        <v>4544</v>
      </c>
      <c r="H576" s="528" t="s">
        <v>3341</v>
      </c>
      <c r="I576" s="528" t="s">
        <v>3329</v>
      </c>
      <c r="J576" s="528" t="s">
        <v>3337</v>
      </c>
      <c r="K576" s="529"/>
      <c r="L576" s="530"/>
      <c r="M576" s="530"/>
    </row>
    <row r="577" spans="1:13">
      <c r="A577" s="522">
        <v>576</v>
      </c>
      <c r="B577" s="523" t="s">
        <v>4515</v>
      </c>
      <c r="C577" s="524" t="s">
        <v>2022</v>
      </c>
      <c r="D577" s="569" t="s">
        <v>3994</v>
      </c>
      <c r="E577" s="543" t="s">
        <v>3711</v>
      </c>
      <c r="F577" s="565" t="s">
        <v>4545</v>
      </c>
      <c r="G577" s="536" t="s">
        <v>4546</v>
      </c>
      <c r="H577" s="528" t="s">
        <v>3341</v>
      </c>
      <c r="I577" s="528" t="s">
        <v>3329</v>
      </c>
      <c r="J577" s="528" t="s">
        <v>3337</v>
      </c>
      <c r="K577" s="529"/>
      <c r="L577" s="530"/>
      <c r="M577" s="530"/>
    </row>
    <row r="578" spans="1:13">
      <c r="A578" s="522">
        <v>577</v>
      </c>
      <c r="B578" s="523" t="s">
        <v>4515</v>
      </c>
      <c r="C578" s="524" t="s">
        <v>2023</v>
      </c>
      <c r="D578" s="569" t="s">
        <v>3820</v>
      </c>
      <c r="E578" s="543" t="s">
        <v>3711</v>
      </c>
      <c r="F578" s="565" t="s">
        <v>4547</v>
      </c>
      <c r="G578" s="536" t="s">
        <v>4548</v>
      </c>
      <c r="H578" s="528" t="s">
        <v>3341</v>
      </c>
      <c r="I578" s="528" t="s">
        <v>3329</v>
      </c>
      <c r="J578" s="528" t="s">
        <v>3337</v>
      </c>
      <c r="K578" s="529"/>
      <c r="L578" s="530"/>
      <c r="M578" s="530"/>
    </row>
    <row r="579" spans="1:13">
      <c r="A579" s="522">
        <v>578</v>
      </c>
      <c r="B579" s="523" t="s">
        <v>4515</v>
      </c>
      <c r="C579" s="524" t="s">
        <v>2024</v>
      </c>
      <c r="D579" s="569" t="s">
        <v>4549</v>
      </c>
      <c r="E579" s="543" t="s">
        <v>3711</v>
      </c>
      <c r="F579" s="534" t="s">
        <v>4550</v>
      </c>
      <c r="G579" s="536" t="s">
        <v>4551</v>
      </c>
      <c r="H579" s="528" t="s">
        <v>3341</v>
      </c>
      <c r="I579" s="528" t="s">
        <v>3329</v>
      </c>
      <c r="J579" s="528" t="s">
        <v>3337</v>
      </c>
      <c r="K579" s="529"/>
      <c r="L579" s="530"/>
      <c r="M579" s="530"/>
    </row>
    <row r="580" spans="1:13">
      <c r="A580" s="522">
        <v>579</v>
      </c>
      <c r="B580" s="523" t="s">
        <v>4515</v>
      </c>
      <c r="C580" s="524" t="s">
        <v>2025</v>
      </c>
      <c r="D580" s="569" t="s">
        <v>3820</v>
      </c>
      <c r="E580" s="543" t="s">
        <v>3711</v>
      </c>
      <c r="F580" s="565" t="s">
        <v>4552</v>
      </c>
      <c r="G580" s="536" t="s">
        <v>4553</v>
      </c>
      <c r="H580" s="528" t="s">
        <v>3341</v>
      </c>
      <c r="I580" s="528" t="s">
        <v>3329</v>
      </c>
      <c r="J580" s="528" t="s">
        <v>3337</v>
      </c>
      <c r="K580" s="529"/>
      <c r="L580" s="530"/>
      <c r="M580" s="530"/>
    </row>
    <row r="581" spans="1:13">
      <c r="A581" s="522">
        <v>580</v>
      </c>
      <c r="B581" s="523" t="s">
        <v>4515</v>
      </c>
      <c r="C581" s="524" t="s">
        <v>2026</v>
      </c>
      <c r="D581" s="569" t="s">
        <v>3820</v>
      </c>
      <c r="E581" s="543" t="s">
        <v>3711</v>
      </c>
      <c r="F581" s="565" t="s">
        <v>4554</v>
      </c>
      <c r="G581" s="536" t="s">
        <v>4555</v>
      </c>
      <c r="H581" s="528" t="s">
        <v>3341</v>
      </c>
      <c r="I581" s="528" t="s">
        <v>3329</v>
      </c>
      <c r="J581" s="528" t="s">
        <v>3337</v>
      </c>
      <c r="K581" s="529"/>
      <c r="L581" s="530"/>
      <c r="M581" s="530"/>
    </row>
    <row r="582" spans="1:13">
      <c r="A582" s="522">
        <v>581</v>
      </c>
      <c r="B582" s="523" t="s">
        <v>4515</v>
      </c>
      <c r="C582" s="524" t="s">
        <v>2027</v>
      </c>
      <c r="D582" s="569">
        <v>1.5</v>
      </c>
      <c r="E582" s="543"/>
      <c r="F582" s="526" t="s">
        <v>4556</v>
      </c>
      <c r="G582" s="536" t="s">
        <v>4557</v>
      </c>
      <c r="H582" s="528" t="s">
        <v>3341</v>
      </c>
      <c r="I582" s="528" t="s">
        <v>3329</v>
      </c>
      <c r="J582" s="528"/>
      <c r="K582" s="529"/>
      <c r="L582" s="530"/>
      <c r="M582" s="530"/>
    </row>
    <row r="583" spans="1:13">
      <c r="A583" s="522">
        <v>582</v>
      </c>
      <c r="B583" s="581" t="s">
        <v>4558</v>
      </c>
      <c r="C583" s="524" t="s">
        <v>2773</v>
      </c>
      <c r="D583" s="524">
        <v>3.5</v>
      </c>
      <c r="E583" s="525"/>
      <c r="F583" s="526" t="s">
        <v>4559</v>
      </c>
      <c r="G583" s="536" t="s">
        <v>4560</v>
      </c>
      <c r="H583" s="528" t="s">
        <v>3341</v>
      </c>
      <c r="I583" s="528" t="s">
        <v>3333</v>
      </c>
      <c r="J583" s="528"/>
      <c r="K583" s="529"/>
      <c r="L583" s="530"/>
      <c r="M583" s="530"/>
    </row>
    <row r="584" spans="1:13">
      <c r="A584" s="522">
        <v>583</v>
      </c>
      <c r="B584" s="581" t="s">
        <v>4558</v>
      </c>
      <c r="C584" s="524" t="s">
        <v>1217</v>
      </c>
      <c r="D584" s="524">
        <v>2.5</v>
      </c>
      <c r="E584" s="525"/>
      <c r="F584" s="526" t="s">
        <v>4561</v>
      </c>
      <c r="G584" s="536" t="s">
        <v>4562</v>
      </c>
      <c r="H584" s="528" t="s">
        <v>3341</v>
      </c>
      <c r="I584" s="528" t="s">
        <v>3333</v>
      </c>
      <c r="J584" s="528"/>
      <c r="K584" s="529"/>
      <c r="L584" s="530"/>
      <c r="M584" s="530"/>
    </row>
    <row r="585" spans="1:13">
      <c r="A585" s="522">
        <v>584</v>
      </c>
      <c r="B585" s="581" t="s">
        <v>4558</v>
      </c>
      <c r="C585" s="524" t="s">
        <v>1235</v>
      </c>
      <c r="D585" s="524">
        <v>3.5</v>
      </c>
      <c r="E585" s="525"/>
      <c r="F585" s="526" t="s">
        <v>4563</v>
      </c>
      <c r="G585" s="536" t="s">
        <v>4564</v>
      </c>
      <c r="H585" s="528" t="s">
        <v>3341</v>
      </c>
      <c r="I585" s="528" t="s">
        <v>3333</v>
      </c>
      <c r="J585" s="528"/>
      <c r="K585" s="529"/>
      <c r="L585" s="530"/>
      <c r="M585" s="530"/>
    </row>
    <row r="586" spans="1:13">
      <c r="A586" s="522">
        <v>585</v>
      </c>
      <c r="B586" s="581" t="s">
        <v>4558</v>
      </c>
      <c r="C586" s="524" t="s">
        <v>1273</v>
      </c>
      <c r="D586" s="524">
        <v>2.5</v>
      </c>
      <c r="E586" s="525"/>
      <c r="F586" s="526" t="s">
        <v>4565</v>
      </c>
      <c r="G586" s="536" t="s">
        <v>4566</v>
      </c>
      <c r="H586" s="528" t="s">
        <v>3341</v>
      </c>
      <c r="I586" s="528" t="s">
        <v>3333</v>
      </c>
      <c r="J586" s="528"/>
      <c r="K586" s="529"/>
      <c r="L586" s="530"/>
      <c r="M586" s="530"/>
    </row>
    <row r="587" spans="1:13">
      <c r="A587" s="522">
        <v>586</v>
      </c>
      <c r="B587" s="581" t="s">
        <v>4558</v>
      </c>
      <c r="C587" s="524" t="s">
        <v>1291</v>
      </c>
      <c r="D587" s="524">
        <v>1.5</v>
      </c>
      <c r="E587" s="525"/>
      <c r="F587" s="526" t="s">
        <v>4567</v>
      </c>
      <c r="G587" s="536" t="s">
        <v>4568</v>
      </c>
      <c r="H587" s="528" t="s">
        <v>3341</v>
      </c>
      <c r="I587" s="528" t="s">
        <v>3333</v>
      </c>
      <c r="J587" s="528"/>
      <c r="K587" s="529"/>
      <c r="L587" s="530"/>
      <c r="M587" s="530"/>
    </row>
    <row r="588" spans="1:13">
      <c r="A588" s="522">
        <v>587</v>
      </c>
      <c r="B588" s="581" t="s">
        <v>4558</v>
      </c>
      <c r="C588" s="524" t="s">
        <v>2169</v>
      </c>
      <c r="D588" s="524">
        <v>2.5</v>
      </c>
      <c r="E588" s="525"/>
      <c r="F588" s="526" t="s">
        <v>4569</v>
      </c>
      <c r="G588" s="536" t="s">
        <v>4570</v>
      </c>
      <c r="H588" s="528" t="s">
        <v>3341</v>
      </c>
      <c r="I588" s="528" t="s">
        <v>3333</v>
      </c>
      <c r="J588" s="528"/>
      <c r="K588" s="529"/>
      <c r="L588" s="530"/>
      <c r="M588" s="530"/>
    </row>
    <row r="589" spans="1:13">
      <c r="A589" s="522">
        <v>588</v>
      </c>
      <c r="B589" s="581" t="s">
        <v>4558</v>
      </c>
      <c r="C589" s="524" t="s">
        <v>1371</v>
      </c>
      <c r="D589" s="524">
        <v>2.5</v>
      </c>
      <c r="E589" s="525"/>
      <c r="F589" s="526" t="s">
        <v>4571</v>
      </c>
      <c r="G589" s="536" t="s">
        <v>4572</v>
      </c>
      <c r="H589" s="528" t="s">
        <v>3341</v>
      </c>
      <c r="I589" s="528" t="s">
        <v>3333</v>
      </c>
      <c r="J589" s="528"/>
      <c r="K589" s="529"/>
      <c r="L589" s="530"/>
      <c r="M589" s="530"/>
    </row>
    <row r="590" spans="1:13">
      <c r="A590" s="522">
        <v>589</v>
      </c>
      <c r="B590" s="581" t="s">
        <v>4558</v>
      </c>
      <c r="C590" s="524" t="s">
        <v>1382</v>
      </c>
      <c r="D590" s="524">
        <v>3.5</v>
      </c>
      <c r="E590" s="525"/>
      <c r="F590" s="526" t="s">
        <v>4573</v>
      </c>
      <c r="G590" s="536" t="s">
        <v>4574</v>
      </c>
      <c r="H590" s="528" t="s">
        <v>3341</v>
      </c>
      <c r="I590" s="528" t="s">
        <v>3333</v>
      </c>
      <c r="J590" s="528"/>
      <c r="K590" s="529"/>
      <c r="L590" s="530"/>
      <c r="M590" s="530"/>
    </row>
    <row r="591" spans="1:13">
      <c r="A591" s="522">
        <v>590</v>
      </c>
      <c r="B591" s="581" t="s">
        <v>4558</v>
      </c>
      <c r="C591" s="524" t="s">
        <v>1415</v>
      </c>
      <c r="D591" s="524">
        <v>2.5</v>
      </c>
      <c r="E591" s="525"/>
      <c r="F591" s="526" t="s">
        <v>4575</v>
      </c>
      <c r="G591" s="536" t="s">
        <v>4576</v>
      </c>
      <c r="H591" s="528" t="s">
        <v>3341</v>
      </c>
      <c r="I591" s="528" t="s">
        <v>3333</v>
      </c>
      <c r="J591" s="528"/>
      <c r="K591" s="529"/>
      <c r="L591" s="530"/>
      <c r="M591" s="530"/>
    </row>
    <row r="592" spans="1:13">
      <c r="A592" s="522">
        <v>591</v>
      </c>
      <c r="B592" s="581" t="s">
        <v>4558</v>
      </c>
      <c r="C592" s="524" t="s">
        <v>1426</v>
      </c>
      <c r="D592" s="524">
        <v>4.5</v>
      </c>
      <c r="E592" s="525"/>
      <c r="F592" s="526" t="s">
        <v>4577</v>
      </c>
      <c r="G592" s="536" t="s">
        <v>4578</v>
      </c>
      <c r="H592" s="528" t="s">
        <v>3341</v>
      </c>
      <c r="I592" s="528" t="s">
        <v>3333</v>
      </c>
      <c r="J592" s="528"/>
      <c r="K592" s="529"/>
      <c r="L592" s="530"/>
      <c r="M592" s="530"/>
    </row>
    <row r="593" spans="1:13">
      <c r="A593" s="522">
        <v>592</v>
      </c>
      <c r="B593" s="581" t="s">
        <v>4558</v>
      </c>
      <c r="C593" s="524" t="s">
        <v>2171</v>
      </c>
      <c r="D593" s="524">
        <v>3.5</v>
      </c>
      <c r="E593" s="525"/>
      <c r="F593" s="526" t="s">
        <v>4579</v>
      </c>
      <c r="G593" s="536" t="s">
        <v>4580</v>
      </c>
      <c r="H593" s="528" t="s">
        <v>3341</v>
      </c>
      <c r="I593" s="528" t="s">
        <v>3333</v>
      </c>
      <c r="J593" s="528"/>
      <c r="K593" s="529"/>
      <c r="L593" s="530"/>
      <c r="M593" s="530"/>
    </row>
    <row r="594" spans="1:13">
      <c r="A594" s="522">
        <v>593</v>
      </c>
      <c r="B594" s="581" t="s">
        <v>4558</v>
      </c>
      <c r="C594" s="524" t="s">
        <v>1495</v>
      </c>
      <c r="D594" s="524">
        <v>1.5</v>
      </c>
      <c r="E594" s="525"/>
      <c r="F594" s="526" t="s">
        <v>4581</v>
      </c>
      <c r="G594" s="536" t="s">
        <v>4582</v>
      </c>
      <c r="H594" s="528" t="s">
        <v>3341</v>
      </c>
      <c r="I594" s="528" t="s">
        <v>3333</v>
      </c>
      <c r="J594" s="528"/>
      <c r="K594" s="529"/>
      <c r="L594" s="530"/>
      <c r="M594" s="530"/>
    </row>
    <row r="595" spans="1:13">
      <c r="A595" s="522">
        <v>594</v>
      </c>
      <c r="B595" s="581" t="s">
        <v>4558</v>
      </c>
      <c r="C595" s="524" t="s">
        <v>1509</v>
      </c>
      <c r="D595" s="524">
        <v>2.5</v>
      </c>
      <c r="E595" s="525"/>
      <c r="F595" s="526" t="s">
        <v>4583</v>
      </c>
      <c r="G595" s="536" t="s">
        <v>4584</v>
      </c>
      <c r="H595" s="528" t="s">
        <v>3341</v>
      </c>
      <c r="I595" s="528" t="s">
        <v>3333</v>
      </c>
      <c r="J595" s="528"/>
      <c r="K595" s="529"/>
      <c r="L595" s="530"/>
      <c r="M595" s="530"/>
    </row>
    <row r="596" spans="1:13">
      <c r="A596" s="522">
        <v>595</v>
      </c>
      <c r="B596" s="581" t="s">
        <v>4558</v>
      </c>
      <c r="C596" s="524" t="s">
        <v>1545</v>
      </c>
      <c r="D596" s="524">
        <v>1.5</v>
      </c>
      <c r="E596" s="525"/>
      <c r="F596" s="534" t="s">
        <v>4585</v>
      </c>
      <c r="G596" s="527" t="s">
        <v>4586</v>
      </c>
      <c r="H596" s="528" t="s">
        <v>3328</v>
      </c>
      <c r="I596" s="528" t="s">
        <v>3329</v>
      </c>
      <c r="J596" s="528" t="s">
        <v>3337</v>
      </c>
      <c r="K596" s="529"/>
      <c r="L596" s="530"/>
      <c r="M596" s="530"/>
    </row>
    <row r="597" spans="1:13">
      <c r="A597" s="522">
        <v>596</v>
      </c>
      <c r="B597" s="581" t="s">
        <v>4558</v>
      </c>
      <c r="C597" s="524" t="s">
        <v>1557</v>
      </c>
      <c r="D597" s="524">
        <v>2.5</v>
      </c>
      <c r="E597" s="525"/>
      <c r="F597" s="526" t="s">
        <v>4587</v>
      </c>
      <c r="G597" s="536" t="s">
        <v>4588</v>
      </c>
      <c r="H597" s="528" t="s">
        <v>3341</v>
      </c>
      <c r="I597" s="528" t="s">
        <v>3333</v>
      </c>
      <c r="J597" s="528"/>
      <c r="K597" s="529"/>
      <c r="L597" s="530"/>
      <c r="M597" s="530"/>
    </row>
    <row r="598" spans="1:13">
      <c r="A598" s="522">
        <v>597</v>
      </c>
      <c r="B598" s="581" t="s">
        <v>4558</v>
      </c>
      <c r="C598" s="524" t="s">
        <v>2173</v>
      </c>
      <c r="D598" s="524">
        <v>2.5</v>
      </c>
      <c r="E598" s="525"/>
      <c r="F598" s="526" t="s">
        <v>4589</v>
      </c>
      <c r="G598" s="536" t="s">
        <v>4590</v>
      </c>
      <c r="H598" s="528" t="s">
        <v>3341</v>
      </c>
      <c r="I598" s="528" t="s">
        <v>3333</v>
      </c>
      <c r="J598" s="528"/>
      <c r="K598" s="529"/>
      <c r="L598" s="530"/>
      <c r="M598" s="530"/>
    </row>
    <row r="599" spans="1:13">
      <c r="A599" s="522">
        <v>598</v>
      </c>
      <c r="B599" s="581" t="s">
        <v>4558</v>
      </c>
      <c r="C599" s="524" t="s">
        <v>1637</v>
      </c>
      <c r="D599" s="524">
        <v>2.5</v>
      </c>
      <c r="E599" s="525"/>
      <c r="F599" s="526" t="s">
        <v>4591</v>
      </c>
      <c r="G599" s="536" t="s">
        <v>4592</v>
      </c>
      <c r="H599" s="528" t="s">
        <v>3341</v>
      </c>
      <c r="I599" s="528" t="s">
        <v>3333</v>
      </c>
      <c r="J599" s="528"/>
      <c r="K599" s="529"/>
      <c r="L599" s="530"/>
      <c r="M599" s="530"/>
    </row>
    <row r="600" spans="1:13">
      <c r="A600" s="522">
        <v>599</v>
      </c>
      <c r="B600" s="581" t="s">
        <v>4558</v>
      </c>
      <c r="C600" s="524" t="s">
        <v>1649</v>
      </c>
      <c r="D600" s="524">
        <v>2.5</v>
      </c>
      <c r="E600" s="525"/>
      <c r="F600" s="526" t="s">
        <v>4593</v>
      </c>
      <c r="G600" s="536" t="s">
        <v>4594</v>
      </c>
      <c r="H600" s="528" t="s">
        <v>3341</v>
      </c>
      <c r="I600" s="528" t="s">
        <v>3333</v>
      </c>
      <c r="J600" s="528"/>
      <c r="K600" s="529"/>
      <c r="L600" s="530"/>
      <c r="M600" s="530"/>
    </row>
    <row r="601" spans="1:13">
      <c r="A601" s="522">
        <v>600</v>
      </c>
      <c r="B601" s="581" t="s">
        <v>4558</v>
      </c>
      <c r="C601" s="524" t="s">
        <v>1684</v>
      </c>
      <c r="D601" s="524">
        <v>4.5</v>
      </c>
      <c r="E601" s="525"/>
      <c r="F601" s="526" t="s">
        <v>4595</v>
      </c>
      <c r="G601" s="536" t="s">
        <v>4596</v>
      </c>
      <c r="H601" s="528" t="s">
        <v>3341</v>
      </c>
      <c r="I601" s="528" t="s">
        <v>3333</v>
      </c>
      <c r="J601" s="528"/>
      <c r="K601" s="529"/>
      <c r="L601" s="530"/>
      <c r="M601" s="530"/>
    </row>
    <row r="602" spans="1:13">
      <c r="A602" s="522">
        <v>601</v>
      </c>
      <c r="B602" s="581" t="s">
        <v>4558</v>
      </c>
      <c r="C602" s="524" t="s">
        <v>1693</v>
      </c>
      <c r="D602" s="524">
        <v>1.5</v>
      </c>
      <c r="E602" s="525"/>
      <c r="F602" s="534" t="s">
        <v>4597</v>
      </c>
      <c r="G602" s="527" t="s">
        <v>4598</v>
      </c>
      <c r="H602" s="528" t="s">
        <v>3328</v>
      </c>
      <c r="I602" s="528" t="s">
        <v>3329</v>
      </c>
      <c r="J602" s="528" t="s">
        <v>3337</v>
      </c>
      <c r="K602" s="529"/>
      <c r="L602" s="530"/>
      <c r="M602" s="530"/>
    </row>
    <row r="603" spans="1:13">
      <c r="A603" s="522">
        <v>602</v>
      </c>
      <c r="B603" s="582" t="s">
        <v>4599</v>
      </c>
      <c r="C603" s="524" t="s">
        <v>2774</v>
      </c>
      <c r="D603" s="524">
        <v>1.5</v>
      </c>
      <c r="E603" s="525"/>
      <c r="F603" s="526" t="s">
        <v>4600</v>
      </c>
      <c r="G603" s="536" t="s">
        <v>4601</v>
      </c>
      <c r="H603" s="528" t="s">
        <v>3341</v>
      </c>
      <c r="I603" s="528" t="s">
        <v>3329</v>
      </c>
      <c r="J603" s="528"/>
      <c r="K603" s="529"/>
      <c r="L603" s="530"/>
      <c r="M603" s="530"/>
    </row>
    <row r="604" spans="1:13">
      <c r="A604" s="522">
        <v>603</v>
      </c>
      <c r="B604" s="582" t="s">
        <v>4599</v>
      </c>
      <c r="C604" s="524" t="s">
        <v>2775</v>
      </c>
      <c r="D604" s="524">
        <v>3.5</v>
      </c>
      <c r="E604" s="525"/>
      <c r="F604" s="526" t="s">
        <v>4602</v>
      </c>
      <c r="G604" s="536" t="s">
        <v>4603</v>
      </c>
      <c r="H604" s="528" t="s">
        <v>3341</v>
      </c>
      <c r="I604" s="528" t="s">
        <v>3329</v>
      </c>
      <c r="J604" s="528"/>
      <c r="K604" s="529"/>
      <c r="L604" s="530"/>
      <c r="M604" s="530"/>
    </row>
    <row r="605" spans="1:13">
      <c r="A605" s="522">
        <v>604</v>
      </c>
      <c r="B605" s="582" t="s">
        <v>4599</v>
      </c>
      <c r="C605" s="524" t="s">
        <v>2776</v>
      </c>
      <c r="D605" s="524">
        <v>0.5</v>
      </c>
      <c r="E605" s="525"/>
      <c r="F605" s="526" t="s">
        <v>4604</v>
      </c>
      <c r="G605" s="536" t="s">
        <v>4605</v>
      </c>
      <c r="H605" s="528" t="s">
        <v>3341</v>
      </c>
      <c r="I605" s="528" t="s">
        <v>3329</v>
      </c>
      <c r="J605" s="528"/>
      <c r="K605" s="529"/>
      <c r="L605" s="530"/>
      <c r="M605" s="530"/>
    </row>
    <row r="606" spans="1:13">
      <c r="A606" s="522">
        <v>605</v>
      </c>
      <c r="B606" s="582" t="s">
        <v>4599</v>
      </c>
      <c r="C606" s="524" t="s">
        <v>1383</v>
      </c>
      <c r="D606" s="524">
        <v>0.5</v>
      </c>
      <c r="E606" s="525"/>
      <c r="F606" s="526" t="s">
        <v>4606</v>
      </c>
      <c r="G606" s="536" t="s">
        <v>4607</v>
      </c>
      <c r="H606" s="528" t="s">
        <v>3341</v>
      </c>
      <c r="I606" s="528" t="s">
        <v>3329</v>
      </c>
      <c r="J606" s="528"/>
      <c r="K606" s="529"/>
      <c r="L606" s="530"/>
      <c r="M606" s="530"/>
    </row>
    <row r="607" spans="1:13">
      <c r="A607" s="522">
        <v>606</v>
      </c>
      <c r="B607" s="582" t="s">
        <v>4599</v>
      </c>
      <c r="C607" s="524" t="s">
        <v>2777</v>
      </c>
      <c r="D607" s="524">
        <v>1.5</v>
      </c>
      <c r="E607" s="525"/>
      <c r="F607" s="526" t="s">
        <v>4608</v>
      </c>
      <c r="G607" s="536" t="s">
        <v>4609</v>
      </c>
      <c r="H607" s="528" t="s">
        <v>3341</v>
      </c>
      <c r="I607" s="528" t="s">
        <v>3329</v>
      </c>
      <c r="J607" s="528"/>
      <c r="K607" s="529"/>
      <c r="L607" s="530"/>
      <c r="M607" s="530"/>
    </row>
    <row r="608" spans="1:13">
      <c r="A608" s="522">
        <v>607</v>
      </c>
      <c r="B608" s="571" t="s">
        <v>4610</v>
      </c>
      <c r="C608" s="524" t="s">
        <v>2029</v>
      </c>
      <c r="D608" s="524">
        <v>0.5</v>
      </c>
      <c r="E608" s="525"/>
      <c r="F608" s="534" t="s">
        <v>4611</v>
      </c>
      <c r="G608" s="536" t="s">
        <v>4612</v>
      </c>
      <c r="H608" s="528" t="s">
        <v>3341</v>
      </c>
      <c r="I608" s="528" t="s">
        <v>3329</v>
      </c>
      <c r="J608" s="528" t="s">
        <v>3337</v>
      </c>
      <c r="K608" s="529"/>
      <c r="L608" s="530"/>
      <c r="M608" s="530"/>
    </row>
    <row r="609" spans="1:13">
      <c r="A609" s="522">
        <v>608</v>
      </c>
      <c r="B609" s="571" t="s">
        <v>4610</v>
      </c>
      <c r="C609" s="524" t="s">
        <v>2180</v>
      </c>
      <c r="D609" s="524">
        <v>3.5</v>
      </c>
      <c r="E609" s="525"/>
      <c r="F609" s="534" t="s">
        <v>4613</v>
      </c>
      <c r="G609" s="536" t="s">
        <v>4614</v>
      </c>
      <c r="H609" s="528" t="s">
        <v>3341</v>
      </c>
      <c r="I609" s="528" t="s">
        <v>3329</v>
      </c>
      <c r="J609" s="528" t="s">
        <v>3337</v>
      </c>
      <c r="K609" s="529"/>
      <c r="L609" s="530"/>
      <c r="M609" s="530"/>
    </row>
    <row r="610" spans="1:13">
      <c r="A610" s="522">
        <v>609</v>
      </c>
      <c r="B610" s="571" t="s">
        <v>4610</v>
      </c>
      <c r="C610" s="524" t="s">
        <v>2181</v>
      </c>
      <c r="D610" s="524">
        <v>3.5</v>
      </c>
      <c r="E610" s="525"/>
      <c r="F610" s="526" t="s">
        <v>4615</v>
      </c>
      <c r="G610" s="536" t="s">
        <v>4616</v>
      </c>
      <c r="H610" s="528" t="s">
        <v>3341</v>
      </c>
      <c r="I610" s="528" t="s">
        <v>3333</v>
      </c>
      <c r="J610" s="528"/>
      <c r="K610" s="529"/>
      <c r="L610" s="530"/>
      <c r="M610" s="530"/>
    </row>
    <row r="611" spans="1:13">
      <c r="A611" s="522">
        <v>610</v>
      </c>
      <c r="B611" s="571" t="s">
        <v>4610</v>
      </c>
      <c r="C611" s="524" t="s">
        <v>2182</v>
      </c>
      <c r="D611" s="524">
        <v>1.5</v>
      </c>
      <c r="E611" s="525"/>
      <c r="F611" s="526" t="s">
        <v>4617</v>
      </c>
      <c r="G611" s="536" t="s">
        <v>4618</v>
      </c>
      <c r="H611" s="528" t="s">
        <v>3341</v>
      </c>
      <c r="I611" s="528" t="s">
        <v>3333</v>
      </c>
      <c r="J611" s="528"/>
      <c r="K611" s="529"/>
      <c r="L611" s="530"/>
      <c r="M611" s="530"/>
    </row>
    <row r="612" spans="1:13">
      <c r="A612" s="522">
        <v>611</v>
      </c>
      <c r="B612" s="571" t="s">
        <v>4610</v>
      </c>
      <c r="C612" s="524" t="s">
        <v>2183</v>
      </c>
      <c r="D612" s="524">
        <v>1.5</v>
      </c>
      <c r="E612" s="525"/>
      <c r="F612" s="526" t="s">
        <v>4619</v>
      </c>
      <c r="G612" s="536" t="s">
        <v>4620</v>
      </c>
      <c r="H612" s="528" t="s">
        <v>3341</v>
      </c>
      <c r="I612" s="528" t="s">
        <v>3333</v>
      </c>
      <c r="J612" s="528"/>
      <c r="K612" s="529"/>
      <c r="L612" s="530"/>
      <c r="M612" s="530"/>
    </row>
    <row r="613" spans="1:13">
      <c r="A613" s="522">
        <v>612</v>
      </c>
      <c r="B613" s="571" t="s">
        <v>4610</v>
      </c>
      <c r="C613" s="524" t="s">
        <v>2185</v>
      </c>
      <c r="D613" s="524">
        <v>1.5</v>
      </c>
      <c r="E613" s="525"/>
      <c r="F613" s="534" t="s">
        <v>4621</v>
      </c>
      <c r="G613" s="536" t="s">
        <v>4622</v>
      </c>
      <c r="H613" s="528" t="s">
        <v>3341</v>
      </c>
      <c r="I613" s="528" t="s">
        <v>3329</v>
      </c>
      <c r="J613" s="528" t="s">
        <v>3337</v>
      </c>
      <c r="K613" s="529"/>
      <c r="L613" s="530"/>
      <c r="M613" s="530"/>
    </row>
    <row r="614" spans="1:13">
      <c r="A614" s="522">
        <v>613</v>
      </c>
      <c r="B614" s="571" t="s">
        <v>4610</v>
      </c>
      <c r="C614" s="524" t="s">
        <v>2186</v>
      </c>
      <c r="D614" s="524">
        <v>2.5</v>
      </c>
      <c r="E614" s="525"/>
      <c r="F614" s="534" t="s">
        <v>4623</v>
      </c>
      <c r="G614" s="536" t="s">
        <v>4624</v>
      </c>
      <c r="H614" s="528" t="s">
        <v>3341</v>
      </c>
      <c r="I614" s="528" t="s">
        <v>3329</v>
      </c>
      <c r="J614" s="528" t="s">
        <v>3337</v>
      </c>
      <c r="K614" s="580" t="s">
        <v>4625</v>
      </c>
      <c r="L614" s="530"/>
    </row>
    <row r="615" spans="1:13">
      <c r="A615" s="522">
        <v>614</v>
      </c>
      <c r="B615" s="571" t="s">
        <v>4610</v>
      </c>
      <c r="C615" s="524" t="s">
        <v>2187</v>
      </c>
      <c r="D615" s="524">
        <v>3.5</v>
      </c>
      <c r="E615" s="525"/>
      <c r="F615" s="526" t="s">
        <v>4626</v>
      </c>
      <c r="G615" s="536" t="s">
        <v>4627</v>
      </c>
      <c r="H615" s="528" t="s">
        <v>3341</v>
      </c>
      <c r="I615" s="528" t="s">
        <v>3333</v>
      </c>
      <c r="J615" s="528"/>
      <c r="K615" s="529"/>
      <c r="L615" s="530"/>
      <c r="M615" s="530"/>
    </row>
    <row r="616" spans="1:13">
      <c r="A616" s="522">
        <v>615</v>
      </c>
      <c r="B616" s="571" t="s">
        <v>4610</v>
      </c>
      <c r="C616" s="524" t="s">
        <v>2031</v>
      </c>
      <c r="D616" s="524">
        <v>0.5</v>
      </c>
      <c r="E616" s="525"/>
      <c r="F616" s="526" t="s">
        <v>4628</v>
      </c>
      <c r="G616" s="536" t="s">
        <v>4629</v>
      </c>
      <c r="H616" s="528" t="s">
        <v>3341</v>
      </c>
      <c r="I616" s="528" t="s">
        <v>3333</v>
      </c>
      <c r="J616" s="528"/>
      <c r="K616" s="529"/>
      <c r="L616" s="530"/>
      <c r="M616" s="530"/>
    </row>
    <row r="617" spans="1:13">
      <c r="A617" s="522">
        <v>616</v>
      </c>
      <c r="B617" s="571" t="s">
        <v>4610</v>
      </c>
      <c r="C617" s="524" t="s">
        <v>2188</v>
      </c>
      <c r="D617" s="524">
        <v>1.5</v>
      </c>
      <c r="E617" s="525"/>
      <c r="F617" s="526" t="s">
        <v>4630</v>
      </c>
      <c r="G617" s="536" t="s">
        <v>4631</v>
      </c>
      <c r="H617" s="528" t="s">
        <v>3341</v>
      </c>
      <c r="I617" s="528" t="s">
        <v>3333</v>
      </c>
      <c r="J617" s="528"/>
      <c r="K617" s="529"/>
      <c r="L617" s="530"/>
      <c r="M617" s="530"/>
    </row>
    <row r="618" spans="1:13">
      <c r="A618" s="522">
        <v>617</v>
      </c>
      <c r="B618" s="571" t="s">
        <v>4610</v>
      </c>
      <c r="C618" s="524" t="s">
        <v>2190</v>
      </c>
      <c r="D618" s="524">
        <v>2.5</v>
      </c>
      <c r="E618" s="525"/>
      <c r="F618" s="526" t="s">
        <v>4632</v>
      </c>
      <c r="G618" s="536" t="s">
        <v>4633</v>
      </c>
      <c r="H618" s="528" t="s">
        <v>3341</v>
      </c>
      <c r="I618" s="528" t="s">
        <v>3333</v>
      </c>
      <c r="J618" s="528"/>
      <c r="K618" s="529"/>
      <c r="L618" s="530"/>
      <c r="M618" s="530"/>
    </row>
    <row r="619" spans="1:13">
      <c r="A619" s="522">
        <v>618</v>
      </c>
      <c r="B619" s="571" t="s">
        <v>4610</v>
      </c>
      <c r="C619" s="524" t="s">
        <v>2191</v>
      </c>
      <c r="D619" s="524">
        <v>4.5</v>
      </c>
      <c r="E619" s="525"/>
      <c r="F619" s="526" t="s">
        <v>4634</v>
      </c>
      <c r="G619" s="536" t="s">
        <v>4635</v>
      </c>
      <c r="H619" s="528" t="s">
        <v>3341</v>
      </c>
      <c r="I619" s="528" t="s">
        <v>3333</v>
      </c>
      <c r="J619" s="528"/>
      <c r="K619" s="529"/>
      <c r="L619" s="530"/>
      <c r="M619" s="530"/>
    </row>
    <row r="620" spans="1:13">
      <c r="A620" s="522">
        <v>619</v>
      </c>
      <c r="B620" s="571" t="s">
        <v>4610</v>
      </c>
      <c r="C620" s="524" t="s">
        <v>2192</v>
      </c>
      <c r="D620" s="524">
        <v>0.5</v>
      </c>
      <c r="E620" s="525"/>
      <c r="F620" s="534" t="s">
        <v>4636</v>
      </c>
      <c r="G620" s="536" t="s">
        <v>4637</v>
      </c>
      <c r="H620" s="528" t="s">
        <v>3341</v>
      </c>
      <c r="I620" s="528" t="s">
        <v>3329</v>
      </c>
      <c r="J620" s="528" t="s">
        <v>3337</v>
      </c>
      <c r="K620" s="529"/>
      <c r="L620" s="530"/>
      <c r="M620" s="530"/>
    </row>
    <row r="621" spans="1:13">
      <c r="A621" s="522">
        <v>620</v>
      </c>
      <c r="B621" s="571" t="s">
        <v>4610</v>
      </c>
      <c r="C621" s="524" t="s">
        <v>2193</v>
      </c>
      <c r="D621" s="524">
        <v>1.5</v>
      </c>
      <c r="E621" s="525"/>
      <c r="F621" s="534" t="s">
        <v>4638</v>
      </c>
      <c r="G621" s="536" t="s">
        <v>4639</v>
      </c>
      <c r="H621" s="528" t="s">
        <v>3341</v>
      </c>
      <c r="I621" s="528" t="s">
        <v>3329</v>
      </c>
      <c r="J621" s="528" t="s">
        <v>3337</v>
      </c>
      <c r="K621" s="529"/>
      <c r="L621" s="530"/>
      <c r="M621" s="530"/>
    </row>
    <row r="622" spans="1:13">
      <c r="A622" s="522">
        <v>621</v>
      </c>
      <c r="B622" s="571" t="s">
        <v>4610</v>
      </c>
      <c r="C622" s="524" t="s">
        <v>2035</v>
      </c>
      <c r="D622" s="524">
        <v>0.5</v>
      </c>
      <c r="E622" s="525"/>
      <c r="F622" s="534" t="s">
        <v>4640</v>
      </c>
      <c r="G622" s="536" t="s">
        <v>4641</v>
      </c>
      <c r="H622" s="528" t="s">
        <v>3341</v>
      </c>
      <c r="I622" s="528" t="s">
        <v>3329</v>
      </c>
      <c r="J622" s="528" t="s">
        <v>3337</v>
      </c>
      <c r="K622" s="529"/>
      <c r="L622" s="530"/>
      <c r="M622" s="530"/>
    </row>
    <row r="623" spans="1:13">
      <c r="A623" s="522">
        <v>622</v>
      </c>
      <c r="B623" s="571" t="s">
        <v>4610</v>
      </c>
      <c r="C623" s="524" t="s">
        <v>2195</v>
      </c>
      <c r="D623" s="524">
        <v>1.5</v>
      </c>
      <c r="E623" s="525"/>
      <c r="F623" s="526" t="s">
        <v>4642</v>
      </c>
      <c r="G623" s="527" t="s">
        <v>4643</v>
      </c>
      <c r="H623" s="528" t="s">
        <v>3328</v>
      </c>
      <c r="I623" s="528" t="s">
        <v>3333</v>
      </c>
      <c r="J623" s="528"/>
      <c r="K623" s="529"/>
      <c r="L623" s="530"/>
      <c r="M623" s="530"/>
    </row>
    <row r="624" spans="1:13">
      <c r="A624" s="522">
        <v>623</v>
      </c>
      <c r="B624" s="571" t="s">
        <v>4610</v>
      </c>
      <c r="C624" s="524" t="s">
        <v>2196</v>
      </c>
      <c r="D624" s="524">
        <v>2.5</v>
      </c>
      <c r="E624" s="525"/>
      <c r="F624" s="526" t="s">
        <v>4644</v>
      </c>
      <c r="G624" s="536" t="s">
        <v>4645</v>
      </c>
      <c r="H624" s="528" t="s">
        <v>3341</v>
      </c>
      <c r="I624" s="528" t="s">
        <v>3333</v>
      </c>
      <c r="J624" s="528"/>
      <c r="K624" s="529"/>
      <c r="L624" s="530"/>
      <c r="M624" s="530"/>
    </row>
    <row r="625" spans="1:13">
      <c r="A625" s="522">
        <v>624</v>
      </c>
      <c r="B625" s="571" t="s">
        <v>4610</v>
      </c>
      <c r="C625" s="524" t="s">
        <v>2197</v>
      </c>
      <c r="D625" s="524">
        <v>1.5</v>
      </c>
      <c r="E625" s="525"/>
      <c r="F625" s="526" t="s">
        <v>4646</v>
      </c>
      <c r="G625" s="536" t="s">
        <v>4647</v>
      </c>
      <c r="H625" s="528" t="s">
        <v>3341</v>
      </c>
      <c r="I625" s="528" t="s">
        <v>3333</v>
      </c>
      <c r="J625" s="528"/>
      <c r="K625" s="529"/>
      <c r="L625" s="530"/>
      <c r="M625" s="530"/>
    </row>
    <row r="626" spans="1:13">
      <c r="A626" s="522">
        <v>625</v>
      </c>
      <c r="B626" s="571" t="s">
        <v>4610</v>
      </c>
      <c r="C626" s="524" t="s">
        <v>2198</v>
      </c>
      <c r="D626" s="524">
        <v>1.5</v>
      </c>
      <c r="E626" s="525"/>
      <c r="F626" s="534" t="s">
        <v>4648</v>
      </c>
      <c r="G626" s="536" t="s">
        <v>4649</v>
      </c>
      <c r="H626" s="528" t="s">
        <v>3341</v>
      </c>
      <c r="I626" s="528" t="s">
        <v>3329</v>
      </c>
      <c r="J626" s="528" t="s">
        <v>3337</v>
      </c>
      <c r="K626" s="529"/>
      <c r="L626" s="530"/>
      <c r="M626" s="530"/>
    </row>
  </sheetData>
  <autoFilter ref="A1:M626" xr:uid="{00000000-0009-0000-0000-00000A000000}">
    <filterColumn colId="10" showButton="0"/>
    <filterColumn colId="11" showButton="0"/>
  </autoFilter>
  <mergeCells count="1">
    <mergeCell ref="K1:M1"/>
  </mergeCells>
  <phoneticPr fontId="1" type="noConversion"/>
  <conditionalFormatting sqref="F2:F31">
    <cfRule type="duplicateValues" dxfId="331" priority="279"/>
  </conditionalFormatting>
  <conditionalFormatting sqref="F32:F33">
    <cfRule type="duplicateValues" dxfId="330" priority="278"/>
  </conditionalFormatting>
  <conditionalFormatting sqref="F34:F35">
    <cfRule type="duplicateValues" dxfId="329" priority="277"/>
  </conditionalFormatting>
  <conditionalFormatting sqref="F36">
    <cfRule type="duplicateValues" dxfId="328" priority="276"/>
  </conditionalFormatting>
  <conditionalFormatting sqref="F37:F38">
    <cfRule type="duplicateValues" dxfId="327" priority="275"/>
  </conditionalFormatting>
  <conditionalFormatting sqref="F39">
    <cfRule type="duplicateValues" dxfId="326" priority="274"/>
  </conditionalFormatting>
  <conditionalFormatting sqref="F40">
    <cfRule type="duplicateValues" dxfId="325" priority="273"/>
  </conditionalFormatting>
  <conditionalFormatting sqref="F41:F42">
    <cfRule type="duplicateValues" dxfId="324" priority="272"/>
  </conditionalFormatting>
  <conditionalFormatting sqref="F43:F44">
    <cfRule type="duplicateValues" dxfId="323" priority="271"/>
  </conditionalFormatting>
  <conditionalFormatting sqref="F45">
    <cfRule type="duplicateValues" dxfId="322" priority="270"/>
  </conditionalFormatting>
  <conditionalFormatting sqref="F46:F47">
    <cfRule type="duplicateValues" dxfId="321" priority="268"/>
  </conditionalFormatting>
  <conditionalFormatting sqref="F48">
    <cfRule type="duplicateValues" dxfId="320" priority="269"/>
  </conditionalFormatting>
  <conditionalFormatting sqref="F49:F50">
    <cfRule type="duplicateValues" dxfId="319" priority="266"/>
  </conditionalFormatting>
  <conditionalFormatting sqref="F51">
    <cfRule type="duplicateValues" dxfId="318" priority="267"/>
  </conditionalFormatting>
  <conditionalFormatting sqref="F52:F53">
    <cfRule type="duplicateValues" dxfId="317" priority="264"/>
  </conditionalFormatting>
  <conditionalFormatting sqref="F54">
    <cfRule type="duplicateValues" dxfId="316" priority="265"/>
  </conditionalFormatting>
  <conditionalFormatting sqref="F55:F56">
    <cfRule type="duplicateValues" dxfId="315" priority="262"/>
  </conditionalFormatting>
  <conditionalFormatting sqref="F57">
    <cfRule type="duplicateValues" dxfId="314" priority="263"/>
  </conditionalFormatting>
  <conditionalFormatting sqref="F58">
    <cfRule type="duplicateValues" dxfId="313" priority="261"/>
  </conditionalFormatting>
  <conditionalFormatting sqref="F59">
    <cfRule type="duplicateValues" dxfId="312" priority="259"/>
  </conditionalFormatting>
  <conditionalFormatting sqref="F62">
    <cfRule type="duplicateValues" dxfId="311" priority="257"/>
  </conditionalFormatting>
  <conditionalFormatting sqref="F63:F64">
    <cfRule type="duplicateValues" dxfId="310" priority="258"/>
  </conditionalFormatting>
  <conditionalFormatting sqref="F65">
    <cfRule type="duplicateValues" dxfId="309" priority="255"/>
  </conditionalFormatting>
  <conditionalFormatting sqref="F66:F67">
    <cfRule type="duplicateValues" dxfId="308" priority="256"/>
  </conditionalFormatting>
  <conditionalFormatting sqref="F68">
    <cfRule type="duplicateValues" dxfId="307" priority="254"/>
  </conditionalFormatting>
  <conditionalFormatting sqref="F60:F61">
    <cfRule type="duplicateValues" dxfId="306" priority="260"/>
  </conditionalFormatting>
  <conditionalFormatting sqref="F69">
    <cfRule type="duplicateValues" dxfId="305" priority="253"/>
  </conditionalFormatting>
  <conditionalFormatting sqref="F70">
    <cfRule type="duplicateValues" dxfId="304" priority="252"/>
  </conditionalFormatting>
  <conditionalFormatting sqref="F71:F72">
    <cfRule type="duplicateValues" dxfId="303" priority="251"/>
  </conditionalFormatting>
  <conditionalFormatting sqref="F73:F74">
    <cfRule type="duplicateValues" dxfId="302" priority="250"/>
  </conditionalFormatting>
  <conditionalFormatting sqref="F75:F76">
    <cfRule type="duplicateValues" dxfId="301" priority="249"/>
  </conditionalFormatting>
  <conditionalFormatting sqref="F77">
    <cfRule type="duplicateValues" dxfId="300" priority="248"/>
  </conditionalFormatting>
  <conditionalFormatting sqref="F78:F79">
    <cfRule type="duplicateValues" dxfId="299" priority="247"/>
  </conditionalFormatting>
  <conditionalFormatting sqref="F80">
    <cfRule type="duplicateValues" dxfId="298" priority="246"/>
  </conditionalFormatting>
  <conditionalFormatting sqref="F81">
    <cfRule type="duplicateValues" dxfId="297" priority="245"/>
  </conditionalFormatting>
  <conditionalFormatting sqref="F82:F83">
    <cfRule type="duplicateValues" dxfId="296" priority="244"/>
  </conditionalFormatting>
  <conditionalFormatting sqref="F84:F85">
    <cfRule type="duplicateValues" dxfId="295" priority="243"/>
  </conditionalFormatting>
  <conditionalFormatting sqref="F86:F87">
    <cfRule type="duplicateValues" dxfId="294" priority="242"/>
  </conditionalFormatting>
  <conditionalFormatting sqref="F88">
    <cfRule type="duplicateValues" dxfId="293" priority="241"/>
  </conditionalFormatting>
  <conditionalFormatting sqref="F106">
    <cfRule type="duplicateValues" dxfId="292" priority="239"/>
  </conditionalFormatting>
  <conditionalFormatting sqref="F107:F108">
    <cfRule type="duplicateValues" dxfId="291" priority="238"/>
  </conditionalFormatting>
  <conditionalFormatting sqref="F90">
    <cfRule type="duplicateValues" dxfId="290" priority="237"/>
  </conditionalFormatting>
  <conditionalFormatting sqref="F91:F92">
    <cfRule type="duplicateValues" dxfId="289" priority="236"/>
  </conditionalFormatting>
  <conditionalFormatting sqref="F93:F94">
    <cfRule type="duplicateValues" dxfId="288" priority="235"/>
  </conditionalFormatting>
  <conditionalFormatting sqref="F95:F96">
    <cfRule type="duplicateValues" dxfId="287" priority="234"/>
  </conditionalFormatting>
  <conditionalFormatting sqref="F97">
    <cfRule type="duplicateValues" dxfId="286" priority="233"/>
  </conditionalFormatting>
  <conditionalFormatting sqref="F98:F99">
    <cfRule type="duplicateValues" dxfId="285" priority="232"/>
  </conditionalFormatting>
  <conditionalFormatting sqref="F100:F101">
    <cfRule type="duplicateValues" dxfId="284" priority="231"/>
  </conditionalFormatting>
  <conditionalFormatting sqref="F103:F104">
    <cfRule type="duplicateValues" dxfId="283" priority="230"/>
  </conditionalFormatting>
  <conditionalFormatting sqref="F89 F102 F105">
    <cfRule type="duplicateValues" dxfId="282" priority="240"/>
  </conditionalFormatting>
  <conditionalFormatting sqref="F109">
    <cfRule type="duplicateValues" dxfId="281" priority="229"/>
  </conditionalFormatting>
  <conditionalFormatting sqref="F110:F111">
    <cfRule type="duplicateValues" dxfId="280" priority="228"/>
  </conditionalFormatting>
  <conditionalFormatting sqref="F112">
    <cfRule type="duplicateValues" dxfId="279" priority="227"/>
  </conditionalFormatting>
  <conditionalFormatting sqref="F113">
    <cfRule type="duplicateValues" dxfId="278" priority="226"/>
  </conditionalFormatting>
  <conditionalFormatting sqref="F114:F115">
    <cfRule type="duplicateValues" dxfId="277" priority="225"/>
  </conditionalFormatting>
  <conditionalFormatting sqref="F116:F117">
    <cfRule type="duplicateValues" dxfId="276" priority="224"/>
  </conditionalFormatting>
  <conditionalFormatting sqref="F118:F119">
    <cfRule type="duplicateValues" dxfId="275" priority="223"/>
  </conditionalFormatting>
  <conditionalFormatting sqref="F120">
    <cfRule type="duplicateValues" dxfId="274" priority="222"/>
  </conditionalFormatting>
  <conditionalFormatting sqref="F121:F122">
    <cfRule type="duplicateValues" dxfId="273" priority="221"/>
  </conditionalFormatting>
  <conditionalFormatting sqref="F123">
    <cfRule type="duplicateValues" dxfId="272" priority="220"/>
  </conditionalFormatting>
  <conditionalFormatting sqref="F124:F125">
    <cfRule type="duplicateValues" dxfId="271" priority="218"/>
  </conditionalFormatting>
  <conditionalFormatting sqref="F126:F127">
    <cfRule type="duplicateValues" dxfId="270" priority="217"/>
  </conditionalFormatting>
  <conditionalFormatting sqref="F128">
    <cfRule type="duplicateValues" dxfId="269" priority="216"/>
  </conditionalFormatting>
  <conditionalFormatting sqref="F129">
    <cfRule type="duplicateValues" dxfId="268" priority="215"/>
  </conditionalFormatting>
  <conditionalFormatting sqref="F130 F132">
    <cfRule type="duplicateValues" dxfId="267" priority="214"/>
  </conditionalFormatting>
  <conditionalFormatting sqref="F133">
    <cfRule type="duplicateValues" dxfId="266" priority="213"/>
  </conditionalFormatting>
  <conditionalFormatting sqref="F134:F135">
    <cfRule type="duplicateValues" dxfId="265" priority="212"/>
  </conditionalFormatting>
  <conditionalFormatting sqref="F136">
    <cfRule type="duplicateValues" dxfId="264" priority="211"/>
  </conditionalFormatting>
  <conditionalFormatting sqref="F137">
    <cfRule type="duplicateValues" dxfId="263" priority="210"/>
  </conditionalFormatting>
  <conditionalFormatting sqref="F138 F131">
    <cfRule type="duplicateValues" dxfId="262" priority="219"/>
  </conditionalFormatting>
  <conditionalFormatting sqref="F139">
    <cfRule type="duplicateValues" dxfId="261" priority="209"/>
  </conditionalFormatting>
  <conditionalFormatting sqref="F140:F141">
    <cfRule type="duplicateValues" dxfId="260" priority="208"/>
  </conditionalFormatting>
  <conditionalFormatting sqref="F142">
    <cfRule type="duplicateValues" dxfId="259" priority="207"/>
  </conditionalFormatting>
  <conditionalFormatting sqref="F143:F144">
    <cfRule type="duplicateValues" dxfId="258" priority="206"/>
  </conditionalFormatting>
  <conditionalFormatting sqref="F145:F146">
    <cfRule type="duplicateValues" dxfId="257" priority="205"/>
  </conditionalFormatting>
  <conditionalFormatting sqref="F147:F148">
    <cfRule type="duplicateValues" dxfId="256" priority="204"/>
  </conditionalFormatting>
  <conditionalFormatting sqref="F149">
    <cfRule type="duplicateValues" dxfId="255" priority="203"/>
  </conditionalFormatting>
  <conditionalFormatting sqref="F150:F151">
    <cfRule type="duplicateValues" dxfId="254" priority="202"/>
  </conditionalFormatting>
  <conditionalFormatting sqref="F152">
    <cfRule type="duplicateValues" dxfId="253" priority="201"/>
  </conditionalFormatting>
  <conditionalFormatting sqref="F153">
    <cfRule type="duplicateValues" dxfId="252" priority="200"/>
  </conditionalFormatting>
  <conditionalFormatting sqref="F164:F168">
    <cfRule type="duplicateValues" dxfId="251" priority="196"/>
  </conditionalFormatting>
  <conditionalFormatting sqref="F160:F162">
    <cfRule type="duplicateValues" dxfId="250" priority="197"/>
  </conditionalFormatting>
  <conditionalFormatting sqref="F169:F171">
    <cfRule type="duplicateValues" dxfId="249" priority="198"/>
  </conditionalFormatting>
  <conditionalFormatting sqref="F163 F154:F159">
    <cfRule type="duplicateValues" dxfId="248" priority="199"/>
  </conditionalFormatting>
  <conditionalFormatting sqref="F172:F173">
    <cfRule type="duplicateValues" dxfId="247" priority="194"/>
  </conditionalFormatting>
  <conditionalFormatting sqref="F174:F175">
    <cfRule type="duplicateValues" dxfId="246" priority="193"/>
  </conditionalFormatting>
  <conditionalFormatting sqref="F176 F182">
    <cfRule type="duplicateValues" dxfId="245" priority="192"/>
  </conditionalFormatting>
  <conditionalFormatting sqref="F183:F184">
    <cfRule type="duplicateValues" dxfId="244" priority="191"/>
  </conditionalFormatting>
  <conditionalFormatting sqref="F177:F181">
    <cfRule type="duplicateValues" dxfId="243" priority="195"/>
  </conditionalFormatting>
  <conditionalFormatting sqref="F185">
    <cfRule type="duplicateValues" dxfId="242" priority="190"/>
  </conditionalFormatting>
  <conditionalFormatting sqref="F186:F187">
    <cfRule type="duplicateValues" dxfId="241" priority="189"/>
  </conditionalFormatting>
  <conditionalFormatting sqref="F188:F189">
    <cfRule type="duplicateValues" dxfId="240" priority="188"/>
  </conditionalFormatting>
  <conditionalFormatting sqref="F190">
    <cfRule type="duplicateValues" dxfId="239" priority="187"/>
  </conditionalFormatting>
  <conditionalFormatting sqref="F191:F192">
    <cfRule type="duplicateValues" dxfId="238" priority="186"/>
  </conditionalFormatting>
  <conditionalFormatting sqref="F193:F194">
    <cfRule type="duplicateValues" dxfId="237" priority="185"/>
  </conditionalFormatting>
  <conditionalFormatting sqref="F195">
    <cfRule type="duplicateValues" dxfId="236" priority="184"/>
  </conditionalFormatting>
  <conditionalFormatting sqref="F196">
    <cfRule type="duplicateValues" dxfId="235" priority="181"/>
  </conditionalFormatting>
  <conditionalFormatting sqref="F197">
    <cfRule type="duplicateValues" dxfId="234" priority="180"/>
  </conditionalFormatting>
  <conditionalFormatting sqref="F198:F199">
    <cfRule type="duplicateValues" dxfId="233" priority="179"/>
  </conditionalFormatting>
  <conditionalFormatting sqref="F200">
    <cfRule type="duplicateValues" dxfId="232" priority="178"/>
  </conditionalFormatting>
  <conditionalFormatting sqref="F203">
    <cfRule type="duplicateValues" dxfId="231" priority="177"/>
  </conditionalFormatting>
  <conditionalFormatting sqref="F204">
    <cfRule type="duplicateValues" dxfId="230" priority="176"/>
  </conditionalFormatting>
  <conditionalFormatting sqref="F206:F207">
    <cfRule type="duplicateValues" dxfId="229" priority="175"/>
  </conditionalFormatting>
  <conditionalFormatting sqref="F208:F209">
    <cfRule type="duplicateValues" dxfId="228" priority="174"/>
  </conditionalFormatting>
  <conditionalFormatting sqref="F201">
    <cfRule type="duplicateValues" dxfId="227" priority="182"/>
  </conditionalFormatting>
  <conditionalFormatting sqref="F202 F205">
    <cfRule type="duplicateValues" dxfId="226" priority="183"/>
  </conditionalFormatting>
  <conditionalFormatting sqref="F210:F213">
    <cfRule type="duplicateValues" dxfId="225" priority="172"/>
  </conditionalFormatting>
  <conditionalFormatting sqref="F214:F217">
    <cfRule type="duplicateValues" dxfId="224" priority="171"/>
  </conditionalFormatting>
  <conditionalFormatting sqref="F218:F221">
    <cfRule type="duplicateValues" dxfId="223" priority="170"/>
  </conditionalFormatting>
  <conditionalFormatting sqref="F222:F226">
    <cfRule type="duplicateValues" dxfId="222" priority="169"/>
  </conditionalFormatting>
  <conditionalFormatting sqref="F227:F230">
    <cfRule type="duplicateValues" dxfId="221" priority="168"/>
  </conditionalFormatting>
  <conditionalFormatting sqref="F231:F233">
    <cfRule type="duplicateValues" dxfId="220" priority="173"/>
  </conditionalFormatting>
  <conditionalFormatting sqref="F236:F238">
    <cfRule type="duplicateValues" dxfId="219" priority="166"/>
  </conditionalFormatting>
  <conditionalFormatting sqref="F239 F241">
    <cfRule type="duplicateValues" dxfId="218" priority="165"/>
  </conditionalFormatting>
  <conditionalFormatting sqref="F242">
    <cfRule type="duplicateValues" dxfId="217" priority="163"/>
  </conditionalFormatting>
  <conditionalFormatting sqref="F243:F244">
    <cfRule type="duplicateValues" dxfId="216" priority="164"/>
  </conditionalFormatting>
  <conditionalFormatting sqref="F245">
    <cfRule type="duplicateValues" dxfId="215" priority="161"/>
  </conditionalFormatting>
  <conditionalFormatting sqref="F246:F247">
    <cfRule type="duplicateValues" dxfId="214" priority="162"/>
  </conditionalFormatting>
  <conditionalFormatting sqref="F248">
    <cfRule type="duplicateValues" dxfId="213" priority="160"/>
  </conditionalFormatting>
  <conditionalFormatting sqref="F240 F234:F235">
    <cfRule type="duplicateValues" dxfId="212" priority="167"/>
  </conditionalFormatting>
  <conditionalFormatting sqref="F263">
    <cfRule type="duplicateValues" dxfId="211" priority="158"/>
  </conditionalFormatting>
  <conditionalFormatting sqref="F250">
    <cfRule type="duplicateValues" dxfId="210" priority="157"/>
  </conditionalFormatting>
  <conditionalFormatting sqref="F251">
    <cfRule type="duplicateValues" dxfId="209" priority="156"/>
  </conditionalFormatting>
  <conditionalFormatting sqref="F254">
    <cfRule type="duplicateValues" dxfId="208" priority="155"/>
  </conditionalFormatting>
  <conditionalFormatting sqref="F255:F256">
    <cfRule type="duplicateValues" dxfId="207" priority="154"/>
  </conditionalFormatting>
  <conditionalFormatting sqref="F258">
    <cfRule type="duplicateValues" dxfId="206" priority="153"/>
  </conditionalFormatting>
  <conditionalFormatting sqref="F259:F260">
    <cfRule type="duplicateValues" dxfId="205" priority="152"/>
  </conditionalFormatting>
  <conditionalFormatting sqref="F261">
    <cfRule type="duplicateValues" dxfId="204" priority="151"/>
  </conditionalFormatting>
  <conditionalFormatting sqref="F249 F252:F253 F257 F262">
    <cfRule type="duplicateValues" dxfId="203" priority="159"/>
  </conditionalFormatting>
  <conditionalFormatting sqref="F264">
    <cfRule type="duplicateValues" dxfId="202" priority="149"/>
  </conditionalFormatting>
  <conditionalFormatting sqref="F273">
    <cfRule type="duplicateValues" dxfId="201" priority="148"/>
  </conditionalFormatting>
  <conditionalFormatting sqref="F274 F278">
    <cfRule type="duplicateValues" dxfId="200" priority="147"/>
  </conditionalFormatting>
  <conditionalFormatting sqref="F279:F280">
    <cfRule type="duplicateValues" dxfId="199" priority="146"/>
  </conditionalFormatting>
  <conditionalFormatting sqref="F281">
    <cfRule type="duplicateValues" dxfId="198" priority="145"/>
  </conditionalFormatting>
  <conditionalFormatting sqref="F282:F283">
    <cfRule type="duplicateValues" dxfId="197" priority="144"/>
  </conditionalFormatting>
  <conditionalFormatting sqref="F265">
    <cfRule type="duplicateValues" dxfId="196" priority="143"/>
  </conditionalFormatting>
  <conditionalFormatting sqref="F266 F272">
    <cfRule type="duplicateValues" dxfId="195" priority="142"/>
  </conditionalFormatting>
  <conditionalFormatting sqref="F267">
    <cfRule type="duplicateValues" dxfId="194" priority="141"/>
  </conditionalFormatting>
  <conditionalFormatting sqref="F268:F269">
    <cfRule type="duplicateValues" dxfId="193" priority="140"/>
  </conditionalFormatting>
  <conditionalFormatting sqref="F270">
    <cfRule type="duplicateValues" dxfId="192" priority="139"/>
  </conditionalFormatting>
  <conditionalFormatting sqref="F271">
    <cfRule type="duplicateValues" dxfId="191" priority="138"/>
  </conditionalFormatting>
  <conditionalFormatting sqref="F275:F277">
    <cfRule type="duplicateValues" dxfId="190" priority="150"/>
  </conditionalFormatting>
  <conditionalFormatting sqref="F284:F285">
    <cfRule type="duplicateValues" dxfId="189" priority="137"/>
  </conditionalFormatting>
  <conditionalFormatting sqref="F286:F287">
    <cfRule type="duplicateValues" dxfId="188" priority="136"/>
  </conditionalFormatting>
  <conditionalFormatting sqref="F288">
    <cfRule type="duplicateValues" dxfId="187" priority="135"/>
  </conditionalFormatting>
  <conditionalFormatting sqref="F289:F290">
    <cfRule type="duplicateValues" dxfId="186" priority="134"/>
  </conditionalFormatting>
  <conditionalFormatting sqref="F291">
    <cfRule type="duplicateValues" dxfId="185" priority="133"/>
  </conditionalFormatting>
  <conditionalFormatting sqref="F292">
    <cfRule type="duplicateValues" dxfId="184" priority="132"/>
  </conditionalFormatting>
  <conditionalFormatting sqref="F293">
    <cfRule type="duplicateValues" dxfId="183" priority="131"/>
  </conditionalFormatting>
  <conditionalFormatting sqref="F294:F295">
    <cfRule type="duplicateValues" dxfId="182" priority="130"/>
  </conditionalFormatting>
  <conditionalFormatting sqref="F296">
    <cfRule type="duplicateValues" dxfId="181" priority="129"/>
  </conditionalFormatting>
  <conditionalFormatting sqref="F297:F298">
    <cfRule type="duplicateValues" dxfId="180" priority="128"/>
  </conditionalFormatting>
  <conditionalFormatting sqref="F299:F300">
    <cfRule type="duplicateValues" dxfId="179" priority="127"/>
  </conditionalFormatting>
  <conditionalFormatting sqref="F301:F303">
    <cfRule type="duplicateValues" dxfId="178" priority="126"/>
  </conditionalFormatting>
  <conditionalFormatting sqref="F304:F305">
    <cfRule type="duplicateValues" dxfId="177" priority="125"/>
  </conditionalFormatting>
  <conditionalFormatting sqref="F306">
    <cfRule type="duplicateValues" dxfId="176" priority="124"/>
  </conditionalFormatting>
  <conditionalFormatting sqref="F307">
    <cfRule type="duplicateValues" dxfId="175" priority="123"/>
  </conditionalFormatting>
  <conditionalFormatting sqref="F308">
    <cfRule type="duplicateValues" dxfId="174" priority="122"/>
  </conditionalFormatting>
  <conditionalFormatting sqref="F309:F310">
    <cfRule type="duplicateValues" dxfId="173" priority="120"/>
  </conditionalFormatting>
  <conditionalFormatting sqref="F311:F328">
    <cfRule type="duplicateValues" dxfId="172" priority="121"/>
  </conditionalFormatting>
  <conditionalFormatting sqref="F329:F331 F336:F338">
    <cfRule type="duplicateValues" dxfId="171" priority="118"/>
  </conditionalFormatting>
  <conditionalFormatting sqref="F332">
    <cfRule type="duplicateValues" dxfId="170" priority="117"/>
  </conditionalFormatting>
  <conditionalFormatting sqref="F340">
    <cfRule type="duplicateValues" dxfId="169" priority="116"/>
  </conditionalFormatting>
  <conditionalFormatting sqref="F341:F342">
    <cfRule type="duplicateValues" dxfId="168" priority="114"/>
  </conditionalFormatting>
  <conditionalFormatting sqref="F334:F335 F343">
    <cfRule type="duplicateValues" dxfId="167" priority="115"/>
  </conditionalFormatting>
  <conditionalFormatting sqref="F339 F333">
    <cfRule type="duplicateValues" dxfId="166" priority="119"/>
  </conditionalFormatting>
  <conditionalFormatting sqref="F350">
    <cfRule type="duplicateValues" dxfId="165" priority="113"/>
  </conditionalFormatting>
  <conditionalFormatting sqref="F351:F352">
    <cfRule type="duplicateValues" dxfId="164" priority="112"/>
  </conditionalFormatting>
  <conditionalFormatting sqref="F353:F354">
    <cfRule type="duplicateValues" dxfId="163" priority="111"/>
  </conditionalFormatting>
  <conditionalFormatting sqref="F355">
    <cfRule type="duplicateValues" dxfId="162" priority="110"/>
  </conditionalFormatting>
  <conditionalFormatting sqref="F356:F357">
    <cfRule type="duplicateValues" dxfId="161" priority="109"/>
  </conditionalFormatting>
  <conditionalFormatting sqref="F358">
    <cfRule type="duplicateValues" dxfId="160" priority="108"/>
  </conditionalFormatting>
  <conditionalFormatting sqref="F344:F345">
    <cfRule type="duplicateValues" dxfId="159" priority="107"/>
  </conditionalFormatting>
  <conditionalFormatting sqref="F346:F347">
    <cfRule type="duplicateValues" dxfId="158" priority="106"/>
  </conditionalFormatting>
  <conditionalFormatting sqref="F348:F349">
    <cfRule type="duplicateValues" dxfId="157" priority="105"/>
  </conditionalFormatting>
  <conditionalFormatting sqref="F359:F361">
    <cfRule type="duplicateValues" dxfId="156" priority="103"/>
  </conditionalFormatting>
  <conditionalFormatting sqref="F361:F363">
    <cfRule type="duplicateValues" dxfId="155" priority="102"/>
  </conditionalFormatting>
  <conditionalFormatting sqref="F364">
    <cfRule type="duplicateValues" dxfId="154" priority="101"/>
  </conditionalFormatting>
  <conditionalFormatting sqref="F365:F366">
    <cfRule type="duplicateValues" dxfId="153" priority="100"/>
  </conditionalFormatting>
  <conditionalFormatting sqref="F367">
    <cfRule type="duplicateValues" dxfId="152" priority="99"/>
  </conditionalFormatting>
  <conditionalFormatting sqref="F368:F369">
    <cfRule type="duplicateValues" dxfId="151" priority="98"/>
  </conditionalFormatting>
  <conditionalFormatting sqref="F371:F372">
    <cfRule type="duplicateValues" dxfId="150" priority="97"/>
  </conditionalFormatting>
  <conditionalFormatting sqref="F373">
    <cfRule type="duplicateValues" dxfId="149" priority="96"/>
  </conditionalFormatting>
  <conditionalFormatting sqref="F363">
    <cfRule type="duplicateValues" dxfId="148" priority="95"/>
  </conditionalFormatting>
  <conditionalFormatting sqref="F359 F370">
    <cfRule type="duplicateValues" dxfId="147" priority="104"/>
  </conditionalFormatting>
  <conditionalFormatting sqref="F374">
    <cfRule type="duplicateValues" dxfId="146" priority="94"/>
  </conditionalFormatting>
  <conditionalFormatting sqref="F375:F376">
    <cfRule type="duplicateValues" dxfId="145" priority="93"/>
  </conditionalFormatting>
  <conditionalFormatting sqref="F377:F382">
    <cfRule type="duplicateValues" dxfId="144" priority="92"/>
  </conditionalFormatting>
  <conditionalFormatting sqref="F383">
    <cfRule type="duplicateValues" dxfId="143" priority="91"/>
  </conditionalFormatting>
  <conditionalFormatting sqref="F384:F385">
    <cfRule type="duplicateValues" dxfId="142" priority="90"/>
  </conditionalFormatting>
  <conditionalFormatting sqref="F386:F387">
    <cfRule type="duplicateValues" dxfId="141" priority="89"/>
  </conditionalFormatting>
  <conditionalFormatting sqref="F388:F405">
    <cfRule type="duplicateValues" dxfId="140" priority="88"/>
  </conditionalFormatting>
  <conditionalFormatting sqref="F406">
    <cfRule type="duplicateValues" dxfId="139" priority="86"/>
  </conditionalFormatting>
  <conditionalFormatting sqref="F407:F416">
    <cfRule type="duplicateValues" dxfId="138" priority="87"/>
  </conditionalFormatting>
  <conditionalFormatting sqref="F417:F418">
    <cfRule type="duplicateValues" dxfId="137" priority="85"/>
  </conditionalFormatting>
  <conditionalFormatting sqref="F419:F420">
    <cfRule type="duplicateValues" dxfId="136" priority="84"/>
  </conditionalFormatting>
  <conditionalFormatting sqref="F421:F422">
    <cfRule type="duplicateValues" dxfId="135" priority="83"/>
  </conditionalFormatting>
  <conditionalFormatting sqref="F423:F424">
    <cfRule type="duplicateValues" dxfId="134" priority="82"/>
  </conditionalFormatting>
  <conditionalFormatting sqref="F425">
    <cfRule type="duplicateValues" dxfId="133" priority="81"/>
  </conditionalFormatting>
  <conditionalFormatting sqref="F426:F427">
    <cfRule type="duplicateValues" dxfId="132" priority="78"/>
  </conditionalFormatting>
  <conditionalFormatting sqref="F428:F429">
    <cfRule type="duplicateValues" dxfId="131" priority="77"/>
  </conditionalFormatting>
  <conditionalFormatting sqref="F430:F431">
    <cfRule type="duplicateValues" dxfId="130" priority="76"/>
  </conditionalFormatting>
  <conditionalFormatting sqref="F432:F433">
    <cfRule type="duplicateValues" dxfId="129" priority="75"/>
  </conditionalFormatting>
  <conditionalFormatting sqref="F434:F435">
    <cfRule type="duplicateValues" dxfId="128" priority="74"/>
  </conditionalFormatting>
  <conditionalFormatting sqref="F436:F437">
    <cfRule type="duplicateValues" dxfId="127" priority="73"/>
  </conditionalFormatting>
  <conditionalFormatting sqref="F438:F439">
    <cfRule type="duplicateValues" dxfId="126" priority="72"/>
  </conditionalFormatting>
  <conditionalFormatting sqref="F440:F441">
    <cfRule type="duplicateValues" dxfId="125" priority="71"/>
  </conditionalFormatting>
  <conditionalFormatting sqref="F442:F443">
    <cfRule type="duplicateValues" dxfId="124" priority="70"/>
  </conditionalFormatting>
  <conditionalFormatting sqref="F444:F445">
    <cfRule type="duplicateValues" dxfId="123" priority="69"/>
  </conditionalFormatting>
  <conditionalFormatting sqref="F447:F448">
    <cfRule type="duplicateValues" dxfId="122" priority="68"/>
  </conditionalFormatting>
  <conditionalFormatting sqref="F449:F450">
    <cfRule type="duplicateValues" dxfId="121" priority="67"/>
  </conditionalFormatting>
  <conditionalFormatting sqref="F451:F452">
    <cfRule type="duplicateValues" dxfId="120" priority="66"/>
  </conditionalFormatting>
  <conditionalFormatting sqref="F446">
    <cfRule type="duplicateValues" dxfId="119" priority="79"/>
  </conditionalFormatting>
  <conditionalFormatting sqref="F453">
    <cfRule type="duplicateValues" dxfId="118" priority="80"/>
  </conditionalFormatting>
  <conditionalFormatting sqref="F454:F455">
    <cfRule type="duplicateValues" dxfId="117" priority="65"/>
  </conditionalFormatting>
  <conditionalFormatting sqref="F456:F457">
    <cfRule type="duplicateValues" dxfId="116" priority="64"/>
  </conditionalFormatting>
  <conditionalFormatting sqref="F458:F459">
    <cfRule type="duplicateValues" dxfId="115" priority="63"/>
  </conditionalFormatting>
  <conditionalFormatting sqref="F460:F461">
    <cfRule type="duplicateValues" dxfId="114" priority="62"/>
  </conditionalFormatting>
  <conditionalFormatting sqref="F462:F463">
    <cfRule type="duplicateValues" dxfId="113" priority="61"/>
  </conditionalFormatting>
  <conditionalFormatting sqref="F464:F465">
    <cfRule type="duplicateValues" dxfId="112" priority="60"/>
  </conditionalFormatting>
  <conditionalFormatting sqref="F466:F467">
    <cfRule type="duplicateValues" dxfId="111" priority="59"/>
  </conditionalFormatting>
  <conditionalFormatting sqref="F468:F469">
    <cfRule type="duplicateValues" dxfId="110" priority="58"/>
  </conditionalFormatting>
  <conditionalFormatting sqref="F475:F479">
    <cfRule type="duplicateValues" dxfId="109" priority="56"/>
  </conditionalFormatting>
  <conditionalFormatting sqref="F480:F484">
    <cfRule type="duplicateValues" dxfId="108" priority="55"/>
  </conditionalFormatting>
  <conditionalFormatting sqref="F485:F489">
    <cfRule type="duplicateValues" dxfId="107" priority="54"/>
  </conditionalFormatting>
  <conditionalFormatting sqref="F470:F474">
    <cfRule type="duplicateValues" dxfId="106" priority="57"/>
  </conditionalFormatting>
  <conditionalFormatting sqref="F495:F499">
    <cfRule type="duplicateValues" dxfId="105" priority="52"/>
  </conditionalFormatting>
  <conditionalFormatting sqref="F500:F504">
    <cfRule type="duplicateValues" dxfId="104" priority="51"/>
  </conditionalFormatting>
  <conditionalFormatting sqref="F505:F507">
    <cfRule type="duplicateValues" dxfId="103" priority="50"/>
  </conditionalFormatting>
  <conditionalFormatting sqref="F490:F494">
    <cfRule type="duplicateValues" dxfId="102" priority="53"/>
  </conditionalFormatting>
  <conditionalFormatting sqref="F508:F509">
    <cfRule type="duplicateValues" dxfId="101" priority="48"/>
  </conditionalFormatting>
  <conditionalFormatting sqref="F510:F520">
    <cfRule type="duplicateValues" dxfId="100" priority="47"/>
  </conditionalFormatting>
  <conditionalFormatting sqref="F521:F522">
    <cfRule type="duplicateValues" dxfId="99" priority="46"/>
  </conditionalFormatting>
  <conditionalFormatting sqref="F523:F527">
    <cfRule type="duplicateValues" dxfId="98" priority="49"/>
  </conditionalFormatting>
  <conditionalFormatting sqref="F528">
    <cfRule type="duplicateValues" dxfId="97" priority="45"/>
  </conditionalFormatting>
  <conditionalFormatting sqref="F529:F530">
    <cfRule type="duplicateValues" dxfId="96" priority="44"/>
  </conditionalFormatting>
  <conditionalFormatting sqref="F531:F532">
    <cfRule type="duplicateValues" dxfId="95" priority="43"/>
  </conditionalFormatting>
  <conditionalFormatting sqref="F533">
    <cfRule type="duplicateValues" dxfId="94" priority="42"/>
  </conditionalFormatting>
  <conditionalFormatting sqref="F534:F535">
    <cfRule type="duplicateValues" dxfId="93" priority="41"/>
  </conditionalFormatting>
  <conditionalFormatting sqref="F536">
    <cfRule type="duplicateValues" dxfId="92" priority="40"/>
  </conditionalFormatting>
  <conditionalFormatting sqref="F537">
    <cfRule type="duplicateValues" dxfId="91" priority="39"/>
  </conditionalFormatting>
  <conditionalFormatting sqref="F538">
    <cfRule type="duplicateValues" dxfId="90" priority="38"/>
  </conditionalFormatting>
  <conditionalFormatting sqref="F539:F540">
    <cfRule type="duplicateValues" dxfId="89" priority="37"/>
  </conditionalFormatting>
  <conditionalFormatting sqref="F541:F542">
    <cfRule type="duplicateValues" dxfId="88" priority="36"/>
  </conditionalFormatting>
  <conditionalFormatting sqref="F553:F558">
    <cfRule type="duplicateValues" dxfId="87" priority="34"/>
  </conditionalFormatting>
  <conditionalFormatting sqref="F547:F551">
    <cfRule type="duplicateValues" dxfId="86" priority="33"/>
  </conditionalFormatting>
  <conditionalFormatting sqref="F559:F562">
    <cfRule type="duplicateValues" dxfId="85" priority="32"/>
  </conditionalFormatting>
  <conditionalFormatting sqref="F543:F546 F552">
    <cfRule type="duplicateValues" dxfId="84" priority="35"/>
  </conditionalFormatting>
  <conditionalFormatting sqref="F563:F564">
    <cfRule type="duplicateValues" dxfId="83" priority="30"/>
  </conditionalFormatting>
  <conditionalFormatting sqref="F567">
    <cfRule type="duplicateValues" dxfId="82" priority="29"/>
  </conditionalFormatting>
  <conditionalFormatting sqref="F572">
    <cfRule type="duplicateValues" dxfId="81" priority="28"/>
  </conditionalFormatting>
  <conditionalFormatting sqref="F575">
    <cfRule type="duplicateValues" dxfId="80" priority="27"/>
  </conditionalFormatting>
  <conditionalFormatting sqref="F582">
    <cfRule type="duplicateValues" dxfId="79" priority="26"/>
  </conditionalFormatting>
  <conditionalFormatting sqref="F565:F566 F568:F571 F573:F574 F576:F581">
    <cfRule type="duplicateValues" dxfId="78" priority="31"/>
  </conditionalFormatting>
  <conditionalFormatting sqref="F594:F595">
    <cfRule type="duplicateValues" dxfId="77" priority="22"/>
  </conditionalFormatting>
  <conditionalFormatting sqref="F598:F599">
    <cfRule type="duplicateValues" dxfId="76" priority="21"/>
  </conditionalFormatting>
  <conditionalFormatting sqref="F600:F601">
    <cfRule type="duplicateValues" dxfId="75" priority="20"/>
  </conditionalFormatting>
  <conditionalFormatting sqref="F583:F584">
    <cfRule type="duplicateValues" dxfId="74" priority="19"/>
  </conditionalFormatting>
  <conditionalFormatting sqref="F585:F586">
    <cfRule type="duplicateValues" dxfId="73" priority="18"/>
  </conditionalFormatting>
  <conditionalFormatting sqref="F587:F588">
    <cfRule type="duplicateValues" dxfId="72" priority="17"/>
  </conditionalFormatting>
  <conditionalFormatting sqref="F589:F590">
    <cfRule type="duplicateValues" dxfId="71" priority="16"/>
  </conditionalFormatting>
  <conditionalFormatting sqref="F592:F593">
    <cfRule type="duplicateValues" dxfId="70" priority="15"/>
  </conditionalFormatting>
  <conditionalFormatting sqref="F591">
    <cfRule type="duplicateValues" dxfId="69" priority="23"/>
  </conditionalFormatting>
  <conditionalFormatting sqref="F597">
    <cfRule type="duplicateValues" dxfId="68" priority="24"/>
  </conditionalFormatting>
  <conditionalFormatting sqref="F602 F596">
    <cfRule type="duplicateValues" dxfId="67" priority="25"/>
  </conditionalFormatting>
  <conditionalFormatting sqref="F603:F605">
    <cfRule type="duplicateValues" dxfId="66" priority="14"/>
  </conditionalFormatting>
  <conditionalFormatting sqref="F606:F607">
    <cfRule type="duplicateValues" dxfId="65" priority="13"/>
  </conditionalFormatting>
  <conditionalFormatting sqref="F610">
    <cfRule type="duplicateValues" dxfId="64" priority="10"/>
  </conditionalFormatting>
  <conditionalFormatting sqref="F611">
    <cfRule type="duplicateValues" dxfId="63" priority="9"/>
  </conditionalFormatting>
  <conditionalFormatting sqref="F615">
    <cfRule type="duplicateValues" dxfId="62" priority="8"/>
  </conditionalFormatting>
  <conditionalFormatting sqref="F616">
    <cfRule type="duplicateValues" dxfId="61" priority="7"/>
  </conditionalFormatting>
  <conditionalFormatting sqref="F612">
    <cfRule type="duplicateValues" dxfId="60" priority="6"/>
  </conditionalFormatting>
  <conditionalFormatting sqref="F617">
    <cfRule type="duplicateValues" dxfId="59" priority="5"/>
  </conditionalFormatting>
  <conditionalFormatting sqref="F618">
    <cfRule type="duplicateValues" dxfId="58" priority="4"/>
  </conditionalFormatting>
  <conditionalFormatting sqref="F623:F624">
    <cfRule type="duplicateValues" dxfId="57" priority="3"/>
  </conditionalFormatting>
  <conditionalFormatting sqref="F625">
    <cfRule type="duplicateValues" dxfId="56" priority="2"/>
  </conditionalFormatting>
  <conditionalFormatting sqref="F619">
    <cfRule type="duplicateValues" dxfId="55" priority="11"/>
  </conditionalFormatting>
  <conditionalFormatting sqref="F608:F609 F613:F614 F620:F622 F626">
    <cfRule type="duplicateValues" dxfId="54" priority="12"/>
  </conditionalFormatting>
  <conditionalFormatting sqref="K275:K277">
    <cfRule type="duplicateValues" dxfId="53" priority="1"/>
  </conditionalFormatting>
  <pageMargins left="0.25" right="0.25" top="0.75" bottom="0.75" header="0.3" footer="0.3"/>
  <pageSetup paperSize="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8" filterMode="1"/>
  <dimension ref="A1:R827"/>
  <sheetViews>
    <sheetView topLeftCell="A313" workbookViewId="0">
      <selection activeCell="A339" sqref="A338:A339"/>
    </sheetView>
  </sheetViews>
  <sheetFormatPr defaultRowHeight="16.5"/>
  <cols>
    <col min="1" max="1" width="12.25" bestFit="1" customWidth="1"/>
    <col min="2" max="2" width="13.625" bestFit="1" customWidth="1"/>
    <col min="3" max="3" width="16.5" bestFit="1" customWidth="1"/>
    <col min="10" max="10" width="9" style="631"/>
    <col min="14" max="14" width="10.375" bestFit="1" customWidth="1"/>
  </cols>
  <sheetData>
    <row r="1" spans="1:18" ht="33">
      <c r="A1" s="595">
        <v>44646</v>
      </c>
      <c r="B1" t="s">
        <v>350</v>
      </c>
      <c r="C1" s="594" t="s">
        <v>4787</v>
      </c>
      <c r="D1" t="s">
        <v>352</v>
      </c>
      <c r="E1" t="s">
        <v>4788</v>
      </c>
      <c r="F1" t="s">
        <v>353</v>
      </c>
      <c r="G1" t="s">
        <v>4789</v>
      </c>
      <c r="H1" t="s">
        <v>354</v>
      </c>
      <c r="P1" t="s">
        <v>3214</v>
      </c>
      <c r="Q1" t="s">
        <v>3215</v>
      </c>
      <c r="R1" t="s">
        <v>3216</v>
      </c>
    </row>
    <row r="2" spans="1:18">
      <c r="B2" t="s">
        <v>356</v>
      </c>
      <c r="C2" t="s">
        <v>355</v>
      </c>
      <c r="D2" t="s">
        <v>356</v>
      </c>
      <c r="E2" t="s">
        <v>355</v>
      </c>
      <c r="F2" t="s">
        <v>356</v>
      </c>
      <c r="G2" t="s">
        <v>355</v>
      </c>
      <c r="H2" t="s">
        <v>356</v>
      </c>
      <c r="I2" t="s">
        <v>355</v>
      </c>
      <c r="P2" t="s">
        <v>85</v>
      </c>
      <c r="Q2" t="s">
        <v>85</v>
      </c>
      <c r="R2">
        <v>0</v>
      </c>
    </row>
    <row r="3" spans="1:18" ht="19.899999999999999" customHeight="1">
      <c r="A3" t="str">
        <f t="shared" ref="A3:A66" si="0">IF(COUNTIF(C3,"*TR*")&gt;0,SUBSTITUTE(RIGHT(B3,3) &amp; C3," ",""),MID(C3,FIND("(",C3)+1,4))</f>
        <v>IW#1MTR</v>
      </c>
      <c r="B3" t="s">
        <v>4790</v>
      </c>
      <c r="C3" t="s">
        <v>4791</v>
      </c>
      <c r="D3">
        <v>221</v>
      </c>
      <c r="E3" t="s">
        <v>4792</v>
      </c>
      <c r="F3">
        <v>200</v>
      </c>
      <c r="G3" t="s">
        <v>4802</v>
      </c>
      <c r="H3">
        <v>202</v>
      </c>
      <c r="I3" t="s">
        <v>4792</v>
      </c>
      <c r="J3" s="631">
        <v>221</v>
      </c>
      <c r="K3" t="s">
        <v>4793</v>
      </c>
      <c r="L3" t="s">
        <v>4793</v>
      </c>
      <c r="P3" t="s">
        <v>85</v>
      </c>
      <c r="Q3" t="s">
        <v>85</v>
      </c>
      <c r="R3">
        <v>0</v>
      </c>
    </row>
    <row r="4" spans="1:18" ht="19.899999999999999" customHeight="1">
      <c r="A4" t="str">
        <f t="shared" si="0"/>
        <v>IW22</v>
      </c>
      <c r="B4" t="s">
        <v>4790</v>
      </c>
      <c r="C4" t="s">
        <v>4794</v>
      </c>
      <c r="D4">
        <v>57</v>
      </c>
      <c r="E4" t="s">
        <v>4792</v>
      </c>
      <c r="F4">
        <v>58</v>
      </c>
      <c r="G4" t="s">
        <v>4800</v>
      </c>
      <c r="H4">
        <v>63</v>
      </c>
      <c r="I4" t="s">
        <v>4792</v>
      </c>
      <c r="J4" s="631">
        <v>63</v>
      </c>
      <c r="K4">
        <v>18</v>
      </c>
      <c r="L4" t="s">
        <v>4807</v>
      </c>
      <c r="P4" t="s">
        <v>85</v>
      </c>
      <c r="Q4" t="s">
        <v>85</v>
      </c>
      <c r="R4">
        <v>0</v>
      </c>
    </row>
    <row r="5" spans="1:18" ht="19.899999999999999" customHeight="1">
      <c r="A5" t="str">
        <f t="shared" si="0"/>
        <v>IW26</v>
      </c>
      <c r="B5" t="s">
        <v>4790</v>
      </c>
      <c r="C5" t="s">
        <v>4797</v>
      </c>
      <c r="D5">
        <v>11</v>
      </c>
      <c r="E5" t="s">
        <v>4817</v>
      </c>
      <c r="F5">
        <v>10</v>
      </c>
      <c r="G5" t="s">
        <v>4810</v>
      </c>
      <c r="H5">
        <v>12</v>
      </c>
      <c r="I5" t="s">
        <v>4792</v>
      </c>
      <c r="J5" s="631">
        <v>12</v>
      </c>
      <c r="K5">
        <v>8</v>
      </c>
      <c r="L5" t="s">
        <v>4926</v>
      </c>
      <c r="P5" t="s">
        <v>85</v>
      </c>
      <c r="Q5" t="s">
        <v>85</v>
      </c>
      <c r="R5">
        <v>0</v>
      </c>
    </row>
    <row r="6" spans="1:18" ht="19.899999999999999" customHeight="1">
      <c r="A6" t="str">
        <f t="shared" si="0"/>
        <v>IW25</v>
      </c>
      <c r="B6" t="s">
        <v>4790</v>
      </c>
      <c r="C6" t="s">
        <v>10151</v>
      </c>
      <c r="D6">
        <v>53</v>
      </c>
      <c r="E6" t="s">
        <v>4799</v>
      </c>
      <c r="F6">
        <v>40</v>
      </c>
      <c r="G6" t="s">
        <v>4799</v>
      </c>
      <c r="H6">
        <v>51</v>
      </c>
      <c r="I6" t="s">
        <v>4799</v>
      </c>
      <c r="J6" s="631">
        <v>53</v>
      </c>
      <c r="K6">
        <v>38</v>
      </c>
      <c r="L6" t="s">
        <v>4809</v>
      </c>
      <c r="P6">
        <v>3</v>
      </c>
      <c r="Q6">
        <v>1</v>
      </c>
      <c r="R6">
        <v>4</v>
      </c>
    </row>
    <row r="7" spans="1:18" ht="19.899999999999999" customHeight="1">
      <c r="A7" t="str">
        <f t="shared" si="0"/>
        <v>IW24</v>
      </c>
      <c r="B7" t="s">
        <v>4790</v>
      </c>
      <c r="C7" t="s">
        <v>10152</v>
      </c>
      <c r="D7">
        <v>16</v>
      </c>
      <c r="E7" t="s">
        <v>4795</v>
      </c>
      <c r="F7">
        <v>14</v>
      </c>
      <c r="G7" t="s">
        <v>4802</v>
      </c>
      <c r="H7">
        <v>8</v>
      </c>
      <c r="I7" t="s">
        <v>4798</v>
      </c>
      <c r="J7" s="631">
        <v>16</v>
      </c>
      <c r="K7">
        <v>12</v>
      </c>
      <c r="L7" t="s">
        <v>4795</v>
      </c>
      <c r="P7">
        <v>3</v>
      </c>
      <c r="Q7">
        <v>7</v>
      </c>
      <c r="R7">
        <v>10</v>
      </c>
    </row>
    <row r="8" spans="1:18" ht="19.899999999999999" customHeight="1">
      <c r="A8" t="str">
        <f t="shared" si="0"/>
        <v>IW29</v>
      </c>
      <c r="B8" t="s">
        <v>4790</v>
      </c>
      <c r="C8" t="s">
        <v>10153</v>
      </c>
      <c r="D8">
        <v>108</v>
      </c>
      <c r="E8" t="s">
        <v>4810</v>
      </c>
      <c r="F8">
        <v>108</v>
      </c>
      <c r="G8" t="s">
        <v>4810</v>
      </c>
      <c r="H8">
        <v>102</v>
      </c>
      <c r="I8" t="s">
        <v>4810</v>
      </c>
      <c r="J8" s="631">
        <v>108</v>
      </c>
      <c r="K8">
        <v>17</v>
      </c>
      <c r="L8" t="s">
        <v>4795</v>
      </c>
      <c r="P8">
        <v>2</v>
      </c>
      <c r="Q8">
        <v>6</v>
      </c>
      <c r="R8">
        <v>8</v>
      </c>
    </row>
    <row r="9" spans="1:18" ht="19.899999999999999" customHeight="1">
      <c r="A9" t="str">
        <f t="shared" si="0"/>
        <v>IW#2MTR</v>
      </c>
      <c r="B9" t="s">
        <v>4790</v>
      </c>
      <c r="C9" t="s">
        <v>4803</v>
      </c>
      <c r="D9">
        <v>547</v>
      </c>
      <c r="E9" t="s">
        <v>4792</v>
      </c>
      <c r="F9">
        <v>500</v>
      </c>
      <c r="G9" t="s">
        <v>4792</v>
      </c>
      <c r="H9">
        <v>510</v>
      </c>
      <c r="I9" t="s">
        <v>4792</v>
      </c>
      <c r="J9" s="631">
        <v>547</v>
      </c>
      <c r="K9" t="s">
        <v>4793</v>
      </c>
      <c r="L9" t="s">
        <v>4793</v>
      </c>
      <c r="P9" t="s">
        <v>85</v>
      </c>
      <c r="Q9" t="s">
        <v>85</v>
      </c>
      <c r="R9">
        <v>0</v>
      </c>
    </row>
    <row r="10" spans="1:18" ht="19.899999999999999" customHeight="1">
      <c r="A10" t="str">
        <f t="shared" si="0"/>
        <v>IW30</v>
      </c>
      <c r="B10" t="s">
        <v>4790</v>
      </c>
      <c r="C10" t="s">
        <v>4804</v>
      </c>
      <c r="D10">
        <v>51</v>
      </c>
      <c r="E10" t="s">
        <v>4792</v>
      </c>
      <c r="F10">
        <v>39</v>
      </c>
      <c r="G10" t="s">
        <v>4792</v>
      </c>
      <c r="H10">
        <v>67</v>
      </c>
      <c r="I10" t="s">
        <v>4792</v>
      </c>
      <c r="J10" s="631">
        <v>67</v>
      </c>
      <c r="K10">
        <v>25</v>
      </c>
      <c r="L10" t="s">
        <v>4795</v>
      </c>
      <c r="P10" t="s">
        <v>85</v>
      </c>
      <c r="Q10" t="s">
        <v>85</v>
      </c>
      <c r="R10">
        <v>0</v>
      </c>
    </row>
    <row r="11" spans="1:18" ht="19.899999999999999" customHeight="1">
      <c r="A11" t="str">
        <f t="shared" si="0"/>
        <v>IW34</v>
      </c>
      <c r="B11" t="s">
        <v>4790</v>
      </c>
      <c r="C11" t="s">
        <v>4806</v>
      </c>
      <c r="D11">
        <v>179</v>
      </c>
      <c r="E11" t="s">
        <v>4792</v>
      </c>
      <c r="F11">
        <v>183</v>
      </c>
      <c r="G11" t="s">
        <v>4792</v>
      </c>
      <c r="H11">
        <v>162</v>
      </c>
      <c r="I11" t="s">
        <v>4792</v>
      </c>
      <c r="J11" s="631">
        <v>183</v>
      </c>
      <c r="K11">
        <v>37</v>
      </c>
      <c r="L11" t="s">
        <v>4802</v>
      </c>
      <c r="P11" t="s">
        <v>85</v>
      </c>
      <c r="Q11" t="s">
        <v>85</v>
      </c>
      <c r="R11">
        <v>0</v>
      </c>
    </row>
    <row r="12" spans="1:18" ht="19.899999999999999" customHeight="1">
      <c r="A12" t="str">
        <f t="shared" si="0"/>
        <v>IW31</v>
      </c>
      <c r="B12" t="s">
        <v>4790</v>
      </c>
      <c r="C12" t="s">
        <v>10154</v>
      </c>
      <c r="D12">
        <v>70</v>
      </c>
      <c r="E12" t="s">
        <v>4800</v>
      </c>
      <c r="F12">
        <v>44</v>
      </c>
      <c r="G12" t="s">
        <v>4802</v>
      </c>
      <c r="H12">
        <v>50</v>
      </c>
      <c r="I12" t="s">
        <v>4795</v>
      </c>
      <c r="J12" s="631">
        <v>70</v>
      </c>
      <c r="K12">
        <v>43</v>
      </c>
      <c r="L12" t="s">
        <v>4795</v>
      </c>
      <c r="P12">
        <v>2</v>
      </c>
      <c r="Q12">
        <v>4</v>
      </c>
      <c r="R12">
        <v>6</v>
      </c>
    </row>
    <row r="13" spans="1:18" ht="19.899999999999999" customHeight="1">
      <c r="A13" t="str">
        <f t="shared" si="0"/>
        <v>IW33</v>
      </c>
      <c r="B13" t="s">
        <v>4790</v>
      </c>
      <c r="C13" t="s">
        <v>10155</v>
      </c>
      <c r="D13">
        <v>179</v>
      </c>
      <c r="E13" t="s">
        <v>4853</v>
      </c>
      <c r="F13">
        <v>185</v>
      </c>
      <c r="G13" t="s">
        <v>4853</v>
      </c>
      <c r="H13">
        <v>183</v>
      </c>
      <c r="I13" t="s">
        <v>4853</v>
      </c>
      <c r="J13" s="631">
        <v>185</v>
      </c>
      <c r="K13">
        <v>0</v>
      </c>
      <c r="L13" t="s">
        <v>4810</v>
      </c>
      <c r="N13" t="e">
        <f>FIND("TR",C13)&gt;0</f>
        <v>#VALUE!</v>
      </c>
      <c r="P13">
        <v>1</v>
      </c>
      <c r="Q13">
        <v>1</v>
      </c>
      <c r="R13">
        <v>2</v>
      </c>
    </row>
    <row r="14" spans="1:18" ht="19.899999999999999" customHeight="1">
      <c r="A14" t="str">
        <f t="shared" si="0"/>
        <v>IW32</v>
      </c>
      <c r="B14" t="s">
        <v>4790</v>
      </c>
      <c r="C14" t="s">
        <v>10156</v>
      </c>
      <c r="D14">
        <v>77</v>
      </c>
      <c r="E14" t="s">
        <v>4792</v>
      </c>
      <c r="F14">
        <v>54</v>
      </c>
      <c r="G14" t="s">
        <v>4795</v>
      </c>
      <c r="H14">
        <v>65</v>
      </c>
      <c r="I14" t="s">
        <v>4792</v>
      </c>
      <c r="J14" s="631">
        <v>77</v>
      </c>
      <c r="K14">
        <v>33</v>
      </c>
      <c r="L14" t="s">
        <v>4800</v>
      </c>
      <c r="P14">
        <v>28</v>
      </c>
      <c r="Q14">
        <v>6</v>
      </c>
      <c r="R14">
        <v>34</v>
      </c>
    </row>
    <row r="15" spans="1:18" ht="19.899999999999999" customHeight="1">
      <c r="A15" t="str">
        <f t="shared" si="0"/>
        <v>IW#3MTR</v>
      </c>
      <c r="B15" t="s">
        <v>4790</v>
      </c>
      <c r="C15" t="s">
        <v>4811</v>
      </c>
      <c r="D15">
        <v>352</v>
      </c>
      <c r="E15" t="s">
        <v>4812</v>
      </c>
      <c r="F15">
        <v>360</v>
      </c>
      <c r="G15" t="s">
        <v>4812</v>
      </c>
      <c r="H15">
        <v>399</v>
      </c>
      <c r="I15" t="s">
        <v>4795</v>
      </c>
      <c r="J15" s="631">
        <v>399</v>
      </c>
      <c r="K15" t="s">
        <v>4793</v>
      </c>
      <c r="L15" t="s">
        <v>4793</v>
      </c>
      <c r="N15">
        <f>COUNTIFS(C15,"*TR*")</f>
        <v>1</v>
      </c>
      <c r="P15">
        <v>0</v>
      </c>
      <c r="Q15">
        <v>1</v>
      </c>
      <c r="R15">
        <v>1</v>
      </c>
    </row>
    <row r="16" spans="1:18" ht="19.899999999999999" customHeight="1">
      <c r="A16" t="str">
        <f t="shared" si="0"/>
        <v>IW21</v>
      </c>
      <c r="B16" t="s">
        <v>4790</v>
      </c>
      <c r="C16" t="s">
        <v>10157</v>
      </c>
      <c r="D16">
        <v>25</v>
      </c>
      <c r="E16" t="s">
        <v>4802</v>
      </c>
      <c r="F16">
        <v>28</v>
      </c>
      <c r="G16" t="s">
        <v>4795</v>
      </c>
      <c r="H16">
        <v>21</v>
      </c>
      <c r="I16" t="s">
        <v>4792</v>
      </c>
      <c r="J16" s="631">
        <v>28</v>
      </c>
      <c r="K16">
        <v>12</v>
      </c>
      <c r="L16" t="s">
        <v>4872</v>
      </c>
      <c r="P16">
        <v>9</v>
      </c>
      <c r="Q16">
        <v>5</v>
      </c>
      <c r="R16">
        <v>14</v>
      </c>
    </row>
    <row r="17" spans="1:18" ht="19.899999999999999" customHeight="1">
      <c r="A17" t="str">
        <f t="shared" si="0"/>
        <v>IW20</v>
      </c>
      <c r="B17" t="s">
        <v>4790</v>
      </c>
      <c r="C17" t="s">
        <v>10158</v>
      </c>
      <c r="D17">
        <v>86</v>
      </c>
      <c r="E17" t="s">
        <v>4795</v>
      </c>
      <c r="F17">
        <v>90</v>
      </c>
      <c r="G17" t="s">
        <v>4792</v>
      </c>
      <c r="H17">
        <v>76</v>
      </c>
      <c r="I17" t="s">
        <v>4795</v>
      </c>
      <c r="J17" s="631">
        <v>90</v>
      </c>
      <c r="K17">
        <v>27</v>
      </c>
      <c r="L17" t="s">
        <v>4807</v>
      </c>
      <c r="P17">
        <v>8</v>
      </c>
      <c r="Q17">
        <v>2</v>
      </c>
      <c r="R17">
        <v>10</v>
      </c>
    </row>
    <row r="18" spans="1:18" ht="19.899999999999999" customHeight="1">
      <c r="A18" t="str">
        <f t="shared" si="0"/>
        <v>IW27</v>
      </c>
      <c r="B18" t="s">
        <v>4790</v>
      </c>
      <c r="C18" t="s">
        <v>10159</v>
      </c>
      <c r="D18">
        <v>98</v>
      </c>
      <c r="E18" t="s">
        <v>4812</v>
      </c>
      <c r="F18">
        <v>118</v>
      </c>
      <c r="G18" t="s">
        <v>4812</v>
      </c>
      <c r="H18">
        <v>118</v>
      </c>
      <c r="I18" t="s">
        <v>4812</v>
      </c>
      <c r="J18" s="631">
        <v>118</v>
      </c>
      <c r="K18">
        <v>33</v>
      </c>
      <c r="L18" t="s">
        <v>4800</v>
      </c>
      <c r="P18">
        <v>31</v>
      </c>
      <c r="Q18">
        <v>5</v>
      </c>
      <c r="R18">
        <v>36</v>
      </c>
    </row>
    <row r="19" spans="1:18" ht="19.899999999999999" customHeight="1">
      <c r="A19" t="str">
        <f t="shared" si="0"/>
        <v>IW23</v>
      </c>
      <c r="B19" t="s">
        <v>4790</v>
      </c>
      <c r="C19" t="s">
        <v>10160</v>
      </c>
      <c r="D19">
        <v>16</v>
      </c>
      <c r="E19" t="s">
        <v>4792</v>
      </c>
      <c r="F19">
        <v>12</v>
      </c>
      <c r="G19" t="s">
        <v>4802</v>
      </c>
      <c r="H19">
        <v>6</v>
      </c>
      <c r="I19" t="s">
        <v>4802</v>
      </c>
      <c r="J19" s="631">
        <v>16</v>
      </c>
      <c r="K19">
        <v>12</v>
      </c>
      <c r="L19" t="s">
        <v>4796</v>
      </c>
      <c r="P19">
        <v>1</v>
      </c>
      <c r="Q19">
        <v>2</v>
      </c>
      <c r="R19">
        <v>3</v>
      </c>
    </row>
    <row r="20" spans="1:18" ht="19.899999999999999" customHeight="1">
      <c r="A20" t="str">
        <f t="shared" si="0"/>
        <v>IW28</v>
      </c>
      <c r="B20" t="s">
        <v>4790</v>
      </c>
      <c r="C20" t="s">
        <v>4813</v>
      </c>
      <c r="D20">
        <v>151</v>
      </c>
      <c r="E20" t="s">
        <v>4792</v>
      </c>
      <c r="F20">
        <v>183</v>
      </c>
      <c r="G20" t="s">
        <v>4795</v>
      </c>
      <c r="H20">
        <v>200</v>
      </c>
      <c r="I20" t="s">
        <v>4795</v>
      </c>
      <c r="J20" s="631">
        <v>200</v>
      </c>
      <c r="K20">
        <v>46</v>
      </c>
      <c r="L20" t="s">
        <v>4795</v>
      </c>
      <c r="P20" t="s">
        <v>85</v>
      </c>
      <c r="Q20" t="s">
        <v>85</v>
      </c>
      <c r="R20">
        <v>0</v>
      </c>
    </row>
    <row r="21" spans="1:18" ht="19.899999999999999" customHeight="1">
      <c r="A21" t="str">
        <f t="shared" si="0"/>
        <v>IE#1MTR</v>
      </c>
      <c r="B21" t="s">
        <v>4815</v>
      </c>
      <c r="C21" t="s">
        <v>4791</v>
      </c>
      <c r="D21">
        <v>934</v>
      </c>
      <c r="E21" t="s">
        <v>4802</v>
      </c>
      <c r="F21">
        <v>940</v>
      </c>
      <c r="G21" t="s">
        <v>4802</v>
      </c>
      <c r="H21">
        <v>1069</v>
      </c>
      <c r="I21" t="s">
        <v>4802</v>
      </c>
      <c r="J21" s="631">
        <v>1069</v>
      </c>
      <c r="K21" t="s">
        <v>4793</v>
      </c>
      <c r="L21" t="s">
        <v>4793</v>
      </c>
      <c r="P21" t="s">
        <v>85</v>
      </c>
      <c r="Q21" t="s">
        <v>85</v>
      </c>
      <c r="R21">
        <v>0</v>
      </c>
    </row>
    <row r="22" spans="1:18" ht="19.899999999999999" customHeight="1">
      <c r="A22" t="str">
        <f t="shared" si="0"/>
        <v>IE25</v>
      </c>
      <c r="B22" t="s">
        <v>4815</v>
      </c>
      <c r="C22" t="s">
        <v>4816</v>
      </c>
      <c r="D22">
        <v>60</v>
      </c>
      <c r="E22" t="s">
        <v>4795</v>
      </c>
      <c r="F22">
        <v>76</v>
      </c>
      <c r="G22" t="s">
        <v>4802</v>
      </c>
      <c r="H22">
        <v>73</v>
      </c>
      <c r="I22" t="s">
        <v>4792</v>
      </c>
      <c r="J22" s="631">
        <v>76</v>
      </c>
      <c r="K22">
        <v>28</v>
      </c>
      <c r="L22" t="s">
        <v>4802</v>
      </c>
      <c r="P22">
        <v>9</v>
      </c>
      <c r="Q22">
        <v>10</v>
      </c>
      <c r="R22">
        <v>19</v>
      </c>
    </row>
    <row r="23" spans="1:18" ht="19.899999999999999" customHeight="1">
      <c r="A23" t="str">
        <f t="shared" si="0"/>
        <v>IE24</v>
      </c>
      <c r="B23" t="s">
        <v>4815</v>
      </c>
      <c r="C23" t="s">
        <v>4818</v>
      </c>
      <c r="D23">
        <v>21</v>
      </c>
      <c r="E23" t="s">
        <v>4796</v>
      </c>
      <c r="F23">
        <v>27</v>
      </c>
      <c r="G23" t="s">
        <v>4796</v>
      </c>
      <c r="H23">
        <v>28</v>
      </c>
      <c r="I23" t="s">
        <v>4792</v>
      </c>
      <c r="J23" s="631">
        <v>28</v>
      </c>
      <c r="K23">
        <v>20</v>
      </c>
      <c r="L23" t="s">
        <v>4812</v>
      </c>
      <c r="P23">
        <v>52</v>
      </c>
      <c r="Q23">
        <v>12</v>
      </c>
      <c r="R23">
        <v>64</v>
      </c>
    </row>
    <row r="24" spans="1:18" ht="19.899999999999999" customHeight="1">
      <c r="A24" t="str">
        <f t="shared" si="0"/>
        <v>IE21</v>
      </c>
      <c r="B24" t="s">
        <v>4815</v>
      </c>
      <c r="C24" t="s">
        <v>4819</v>
      </c>
      <c r="D24">
        <v>125</v>
      </c>
      <c r="E24" t="s">
        <v>4796</v>
      </c>
      <c r="F24">
        <v>121</v>
      </c>
      <c r="G24" t="s">
        <v>4796</v>
      </c>
      <c r="H24">
        <v>115</v>
      </c>
      <c r="I24" t="s">
        <v>4796</v>
      </c>
      <c r="J24" s="631">
        <v>125</v>
      </c>
      <c r="K24">
        <v>42</v>
      </c>
      <c r="L24" t="s">
        <v>4809</v>
      </c>
      <c r="P24">
        <v>15</v>
      </c>
      <c r="Q24">
        <v>9</v>
      </c>
      <c r="R24">
        <v>24</v>
      </c>
    </row>
    <row r="25" spans="1:18" ht="19.899999999999999" customHeight="1">
      <c r="A25" t="str">
        <f t="shared" si="0"/>
        <v>IE27</v>
      </c>
      <c r="B25" t="s">
        <v>4815</v>
      </c>
      <c r="C25" t="s">
        <v>4820</v>
      </c>
      <c r="D25">
        <v>177</v>
      </c>
      <c r="E25" t="s">
        <v>4802</v>
      </c>
      <c r="F25">
        <v>176</v>
      </c>
      <c r="G25" t="s">
        <v>4812</v>
      </c>
      <c r="H25">
        <v>156</v>
      </c>
      <c r="I25" t="s">
        <v>4812</v>
      </c>
      <c r="J25" s="631">
        <v>177</v>
      </c>
      <c r="K25">
        <v>42</v>
      </c>
      <c r="L25" t="s">
        <v>4809</v>
      </c>
      <c r="P25">
        <v>15</v>
      </c>
      <c r="Q25">
        <v>5</v>
      </c>
      <c r="R25">
        <v>20</v>
      </c>
    </row>
    <row r="26" spans="1:18" ht="19.899999999999999" customHeight="1">
      <c r="A26" t="str">
        <f t="shared" si="0"/>
        <v>IE22</v>
      </c>
      <c r="B26" t="s">
        <v>4815</v>
      </c>
      <c r="C26" t="s">
        <v>4822</v>
      </c>
      <c r="D26">
        <v>128</v>
      </c>
      <c r="E26" t="s">
        <v>4800</v>
      </c>
      <c r="F26">
        <v>121</v>
      </c>
      <c r="G26" t="s">
        <v>4800</v>
      </c>
      <c r="H26">
        <v>130</v>
      </c>
      <c r="I26" t="s">
        <v>4798</v>
      </c>
      <c r="J26" s="631">
        <v>130</v>
      </c>
      <c r="K26">
        <v>48</v>
      </c>
      <c r="L26" t="s">
        <v>4798</v>
      </c>
      <c r="P26">
        <v>8</v>
      </c>
      <c r="Q26">
        <v>11</v>
      </c>
      <c r="R26">
        <v>19</v>
      </c>
    </row>
    <row r="27" spans="1:18" ht="19.899999999999999" customHeight="1">
      <c r="A27" t="str">
        <f t="shared" si="0"/>
        <v>IE#2MTR</v>
      </c>
      <c r="B27" t="s">
        <v>4815</v>
      </c>
      <c r="C27" t="s">
        <v>4803</v>
      </c>
      <c r="D27">
        <v>0</v>
      </c>
      <c r="E27" t="s">
        <v>4810</v>
      </c>
      <c r="F27">
        <v>0</v>
      </c>
      <c r="G27" t="s">
        <v>4810</v>
      </c>
      <c r="H27">
        <v>0</v>
      </c>
      <c r="I27" t="s">
        <v>4810</v>
      </c>
      <c r="J27" s="631">
        <v>0</v>
      </c>
      <c r="K27" t="s">
        <v>4793</v>
      </c>
      <c r="L27" t="s">
        <v>4793</v>
      </c>
      <c r="P27">
        <v>8</v>
      </c>
      <c r="Q27">
        <v>4</v>
      </c>
      <c r="R27">
        <v>12</v>
      </c>
    </row>
    <row r="28" spans="1:18" ht="19.899999999999999" customHeight="1">
      <c r="A28" t="str">
        <f t="shared" si="0"/>
        <v>IE23</v>
      </c>
      <c r="B28" t="s">
        <v>4815</v>
      </c>
      <c r="C28" t="s">
        <v>4823</v>
      </c>
      <c r="D28">
        <v>89</v>
      </c>
      <c r="E28" t="s">
        <v>4798</v>
      </c>
      <c r="F28">
        <v>78</v>
      </c>
      <c r="G28" t="s">
        <v>4800</v>
      </c>
      <c r="H28">
        <v>109</v>
      </c>
      <c r="I28" t="s">
        <v>4792</v>
      </c>
      <c r="J28" s="631">
        <v>109</v>
      </c>
      <c r="K28">
        <v>57</v>
      </c>
      <c r="L28" t="s">
        <v>4812</v>
      </c>
      <c r="P28">
        <v>24</v>
      </c>
      <c r="Q28">
        <v>15</v>
      </c>
      <c r="R28">
        <v>39</v>
      </c>
    </row>
    <row r="29" spans="1:18" ht="19.899999999999999" customHeight="1">
      <c r="A29" t="str">
        <f t="shared" si="0"/>
        <v>IE28</v>
      </c>
      <c r="B29" t="s">
        <v>4815</v>
      </c>
      <c r="C29" t="s">
        <v>4824</v>
      </c>
      <c r="D29">
        <v>84</v>
      </c>
      <c r="E29" t="s">
        <v>4795</v>
      </c>
      <c r="F29">
        <v>83</v>
      </c>
      <c r="G29" t="s">
        <v>4795</v>
      </c>
      <c r="H29">
        <v>126</v>
      </c>
      <c r="I29" t="s">
        <v>4792</v>
      </c>
      <c r="J29" s="631">
        <v>126</v>
      </c>
      <c r="K29">
        <v>54</v>
      </c>
      <c r="L29" t="s">
        <v>4792</v>
      </c>
      <c r="P29">
        <v>6</v>
      </c>
      <c r="Q29">
        <v>4</v>
      </c>
      <c r="R29">
        <v>10</v>
      </c>
    </row>
    <row r="30" spans="1:18" ht="19.899999999999999" customHeight="1">
      <c r="A30" t="str">
        <f t="shared" si="0"/>
        <v>IE20</v>
      </c>
      <c r="B30" t="s">
        <v>4815</v>
      </c>
      <c r="C30" t="s">
        <v>4825</v>
      </c>
      <c r="D30">
        <v>101</v>
      </c>
      <c r="E30" t="s">
        <v>4814</v>
      </c>
      <c r="F30">
        <v>103</v>
      </c>
      <c r="G30" t="s">
        <v>4814</v>
      </c>
      <c r="H30">
        <v>105</v>
      </c>
      <c r="I30" t="s">
        <v>4802</v>
      </c>
      <c r="J30" s="631">
        <v>105</v>
      </c>
      <c r="K30">
        <v>13</v>
      </c>
      <c r="L30" t="s">
        <v>4795</v>
      </c>
      <c r="P30">
        <v>29</v>
      </c>
      <c r="Q30">
        <v>15</v>
      </c>
      <c r="R30">
        <v>44</v>
      </c>
    </row>
    <row r="31" spans="1:18" ht="19.899999999999999" customHeight="1">
      <c r="A31" t="str">
        <f t="shared" si="0"/>
        <v>IE26</v>
      </c>
      <c r="B31" t="s">
        <v>4815</v>
      </c>
      <c r="C31" t="s">
        <v>4827</v>
      </c>
      <c r="D31">
        <v>149</v>
      </c>
      <c r="E31" t="s">
        <v>4802</v>
      </c>
      <c r="F31">
        <v>184</v>
      </c>
      <c r="G31" t="s">
        <v>4802</v>
      </c>
      <c r="H31">
        <v>186</v>
      </c>
      <c r="I31" t="s">
        <v>4802</v>
      </c>
      <c r="J31" s="631">
        <v>186</v>
      </c>
      <c r="K31">
        <v>59</v>
      </c>
      <c r="L31" t="s">
        <v>4809</v>
      </c>
      <c r="P31" t="s">
        <v>85</v>
      </c>
      <c r="Q31" t="s">
        <v>85</v>
      </c>
      <c r="R31">
        <v>0</v>
      </c>
    </row>
    <row r="32" spans="1:18" ht="19.899999999999999" customHeight="1">
      <c r="A32" t="str">
        <f t="shared" si="0"/>
        <v>IE29</v>
      </c>
      <c r="B32" t="s">
        <v>4815</v>
      </c>
      <c r="C32" t="s">
        <v>4828</v>
      </c>
      <c r="D32">
        <v>178</v>
      </c>
      <c r="E32" t="s">
        <v>4792</v>
      </c>
      <c r="F32">
        <v>185</v>
      </c>
      <c r="G32" t="s">
        <v>4792</v>
      </c>
      <c r="H32">
        <v>194</v>
      </c>
      <c r="I32" t="s">
        <v>4812</v>
      </c>
      <c r="J32" s="631">
        <v>194</v>
      </c>
      <c r="K32">
        <v>46</v>
      </c>
      <c r="L32" t="s">
        <v>4801</v>
      </c>
      <c r="P32">
        <v>863</v>
      </c>
      <c r="Q32">
        <v>2</v>
      </c>
      <c r="R32">
        <v>865</v>
      </c>
    </row>
    <row r="33" spans="1:18" ht="19.899999999999999" customHeight="1">
      <c r="A33" t="str">
        <f t="shared" si="0"/>
        <v>IM#1MTR</v>
      </c>
      <c r="B33" t="s">
        <v>4829</v>
      </c>
      <c r="C33" t="s">
        <v>4791</v>
      </c>
      <c r="D33">
        <v>491</v>
      </c>
      <c r="E33" t="s">
        <v>4792</v>
      </c>
      <c r="F33">
        <v>537</v>
      </c>
      <c r="G33" t="s">
        <v>4805</v>
      </c>
      <c r="H33">
        <v>493</v>
      </c>
      <c r="I33" t="s">
        <v>4805</v>
      </c>
      <c r="J33" s="631">
        <v>537</v>
      </c>
      <c r="K33" t="s">
        <v>4793</v>
      </c>
      <c r="L33" t="s">
        <v>4793</v>
      </c>
      <c r="P33" t="s">
        <v>85</v>
      </c>
      <c r="Q33" t="s">
        <v>85</v>
      </c>
      <c r="R33">
        <v>0</v>
      </c>
    </row>
    <row r="34" spans="1:18" ht="19.899999999999999" customHeight="1">
      <c r="A34" t="str">
        <f t="shared" si="0"/>
        <v>IM30</v>
      </c>
      <c r="B34" t="s">
        <v>4829</v>
      </c>
      <c r="C34" t="s">
        <v>4830</v>
      </c>
      <c r="D34">
        <v>105</v>
      </c>
      <c r="E34" t="s">
        <v>4795</v>
      </c>
      <c r="F34">
        <v>103</v>
      </c>
      <c r="G34" t="s">
        <v>4800</v>
      </c>
      <c r="H34">
        <v>119</v>
      </c>
      <c r="I34" t="s">
        <v>4792</v>
      </c>
      <c r="J34" s="631">
        <v>119</v>
      </c>
      <c r="K34">
        <v>28</v>
      </c>
      <c r="L34" t="s">
        <v>4795</v>
      </c>
      <c r="P34">
        <v>3718</v>
      </c>
      <c r="Q34">
        <v>1</v>
      </c>
      <c r="R34">
        <v>3719</v>
      </c>
    </row>
    <row r="35" spans="1:18" ht="19.899999999999999" customHeight="1">
      <c r="A35" t="str">
        <f t="shared" si="0"/>
        <v>IM29</v>
      </c>
      <c r="B35" t="s">
        <v>4829</v>
      </c>
      <c r="C35" t="s">
        <v>4831</v>
      </c>
      <c r="D35">
        <v>104</v>
      </c>
      <c r="E35" t="s">
        <v>4802</v>
      </c>
      <c r="F35">
        <v>118</v>
      </c>
      <c r="G35" t="s">
        <v>4802</v>
      </c>
      <c r="H35">
        <v>115</v>
      </c>
      <c r="I35" t="s">
        <v>4800</v>
      </c>
      <c r="J35" s="631">
        <v>118</v>
      </c>
      <c r="K35">
        <v>32</v>
      </c>
      <c r="L35" t="s">
        <v>4798</v>
      </c>
      <c r="P35">
        <v>3804</v>
      </c>
      <c r="Q35">
        <v>2</v>
      </c>
      <c r="R35">
        <v>3806</v>
      </c>
    </row>
    <row r="36" spans="1:18" ht="19.899999999999999" customHeight="1">
      <c r="A36" t="str">
        <f t="shared" si="0"/>
        <v>IM26</v>
      </c>
      <c r="B36" t="s">
        <v>4829</v>
      </c>
      <c r="C36" t="s">
        <v>4832</v>
      </c>
      <c r="D36">
        <v>89</v>
      </c>
      <c r="E36" t="s">
        <v>4809</v>
      </c>
      <c r="F36">
        <v>84</v>
      </c>
      <c r="G36" t="s">
        <v>4809</v>
      </c>
      <c r="H36">
        <v>60</v>
      </c>
      <c r="I36" t="s">
        <v>4809</v>
      </c>
      <c r="J36" s="631">
        <v>89</v>
      </c>
      <c r="K36">
        <v>47</v>
      </c>
      <c r="L36" t="s">
        <v>4808</v>
      </c>
      <c r="P36">
        <v>1954</v>
      </c>
      <c r="Q36">
        <v>3</v>
      </c>
      <c r="R36">
        <v>1957</v>
      </c>
    </row>
    <row r="37" spans="1:18" ht="19.899999999999999" customHeight="1">
      <c r="A37" t="str">
        <f t="shared" si="0"/>
        <v>IM22</v>
      </c>
      <c r="B37" t="s">
        <v>4829</v>
      </c>
      <c r="C37" t="s">
        <v>4833</v>
      </c>
      <c r="D37">
        <v>148</v>
      </c>
      <c r="E37" t="s">
        <v>4792</v>
      </c>
      <c r="F37">
        <v>170</v>
      </c>
      <c r="G37" t="s">
        <v>4802</v>
      </c>
      <c r="H37">
        <v>131</v>
      </c>
      <c r="I37" t="s">
        <v>4792</v>
      </c>
      <c r="J37" s="631">
        <v>170</v>
      </c>
      <c r="K37">
        <v>53</v>
      </c>
      <c r="L37" t="s">
        <v>4808</v>
      </c>
      <c r="P37">
        <v>140</v>
      </c>
      <c r="Q37" t="s">
        <v>85</v>
      </c>
      <c r="R37">
        <v>140</v>
      </c>
    </row>
    <row r="38" spans="1:18" ht="19.899999999999999" customHeight="1">
      <c r="A38" t="str">
        <f t="shared" si="0"/>
        <v>IM20</v>
      </c>
      <c r="B38" t="s">
        <v>4829</v>
      </c>
      <c r="C38" t="s">
        <v>4834</v>
      </c>
      <c r="D38">
        <v>90</v>
      </c>
      <c r="E38" t="s">
        <v>4814</v>
      </c>
      <c r="F38">
        <v>97</v>
      </c>
      <c r="G38" t="s">
        <v>4805</v>
      </c>
      <c r="H38">
        <v>108</v>
      </c>
      <c r="I38" t="s">
        <v>4805</v>
      </c>
      <c r="J38" s="631">
        <v>108</v>
      </c>
      <c r="K38">
        <v>22</v>
      </c>
      <c r="L38" t="s">
        <v>4802</v>
      </c>
      <c r="P38">
        <v>3750</v>
      </c>
      <c r="Q38">
        <v>2</v>
      </c>
      <c r="R38">
        <v>3752</v>
      </c>
    </row>
    <row r="39" spans="1:18" ht="19.899999999999999" customHeight="1">
      <c r="A39" t="str">
        <f t="shared" si="0"/>
        <v>IM#2MTR</v>
      </c>
      <c r="B39" t="s">
        <v>4829</v>
      </c>
      <c r="C39" t="s">
        <v>4803</v>
      </c>
      <c r="D39">
        <v>294</v>
      </c>
      <c r="E39" t="s">
        <v>4800</v>
      </c>
      <c r="F39">
        <v>265</v>
      </c>
      <c r="G39" t="s">
        <v>4805</v>
      </c>
      <c r="H39">
        <v>230</v>
      </c>
      <c r="I39" t="s">
        <v>4805</v>
      </c>
      <c r="J39" s="631">
        <v>294</v>
      </c>
      <c r="K39" t="s">
        <v>4793</v>
      </c>
      <c r="L39" t="s">
        <v>4793</v>
      </c>
      <c r="P39">
        <v>829</v>
      </c>
      <c r="Q39">
        <v>8</v>
      </c>
      <c r="R39">
        <v>837</v>
      </c>
    </row>
    <row r="40" spans="1:18" ht="19.899999999999999" customHeight="1">
      <c r="A40" t="str">
        <f t="shared" si="0"/>
        <v>IM28</v>
      </c>
      <c r="B40" t="s">
        <v>4829</v>
      </c>
      <c r="C40" t="s">
        <v>4835</v>
      </c>
      <c r="D40">
        <v>37</v>
      </c>
      <c r="E40" t="s">
        <v>4795</v>
      </c>
      <c r="F40">
        <v>43</v>
      </c>
      <c r="G40" t="s">
        <v>4809</v>
      </c>
      <c r="H40">
        <v>39</v>
      </c>
      <c r="I40" t="s">
        <v>4938</v>
      </c>
      <c r="J40" s="631">
        <v>43</v>
      </c>
      <c r="K40">
        <v>28</v>
      </c>
      <c r="L40" t="s">
        <v>4938</v>
      </c>
      <c r="P40">
        <v>3108</v>
      </c>
      <c r="Q40">
        <v>1</v>
      </c>
      <c r="R40">
        <v>3109</v>
      </c>
    </row>
    <row r="41" spans="1:18" ht="19.899999999999999" customHeight="1">
      <c r="A41" t="str">
        <f t="shared" si="0"/>
        <v>IM27</v>
      </c>
      <c r="B41" t="s">
        <v>4829</v>
      </c>
      <c r="C41" t="s">
        <v>4836</v>
      </c>
      <c r="D41">
        <v>77</v>
      </c>
      <c r="E41" t="s">
        <v>4795</v>
      </c>
      <c r="F41">
        <v>71</v>
      </c>
      <c r="G41" t="s">
        <v>4805</v>
      </c>
      <c r="H41">
        <v>67</v>
      </c>
      <c r="I41" t="s">
        <v>4805</v>
      </c>
      <c r="J41" s="631">
        <v>77</v>
      </c>
      <c r="K41">
        <v>28</v>
      </c>
      <c r="L41" t="s">
        <v>4800</v>
      </c>
      <c r="P41">
        <v>3041</v>
      </c>
      <c r="Q41">
        <v>5</v>
      </c>
      <c r="R41">
        <v>3046</v>
      </c>
    </row>
    <row r="42" spans="1:18" ht="19.899999999999999" customHeight="1">
      <c r="A42" t="str">
        <f t="shared" si="0"/>
        <v>IM25</v>
      </c>
      <c r="B42" t="s">
        <v>4829</v>
      </c>
      <c r="C42" t="s">
        <v>4837</v>
      </c>
      <c r="D42">
        <v>114</v>
      </c>
      <c r="E42" t="s">
        <v>4792</v>
      </c>
      <c r="F42">
        <v>82</v>
      </c>
      <c r="G42" t="s">
        <v>4812</v>
      </c>
      <c r="H42">
        <v>83</v>
      </c>
      <c r="I42" t="s">
        <v>4800</v>
      </c>
      <c r="J42" s="631">
        <v>114</v>
      </c>
      <c r="K42">
        <v>54</v>
      </c>
      <c r="L42" t="s">
        <v>4792</v>
      </c>
      <c r="P42">
        <v>1498</v>
      </c>
      <c r="Q42">
        <v>1</v>
      </c>
      <c r="R42">
        <v>1499</v>
      </c>
    </row>
    <row r="43" spans="1:18" ht="19.899999999999999" customHeight="1">
      <c r="A43" t="str">
        <f t="shared" si="0"/>
        <v>IM24</v>
      </c>
      <c r="B43" t="s">
        <v>4829</v>
      </c>
      <c r="C43" t="s">
        <v>4838</v>
      </c>
      <c r="D43">
        <v>63</v>
      </c>
      <c r="E43" t="s">
        <v>4800</v>
      </c>
      <c r="F43">
        <v>50</v>
      </c>
      <c r="G43" t="s">
        <v>4812</v>
      </c>
      <c r="H43">
        <v>42</v>
      </c>
      <c r="I43" t="s">
        <v>4792</v>
      </c>
      <c r="J43" s="631">
        <v>63</v>
      </c>
      <c r="K43">
        <v>24</v>
      </c>
      <c r="L43" t="s">
        <v>4800</v>
      </c>
      <c r="P43">
        <v>2423</v>
      </c>
      <c r="Q43" t="s">
        <v>85</v>
      </c>
      <c r="R43">
        <v>2423</v>
      </c>
    </row>
    <row r="44" spans="1:18" ht="19.899999999999999" customHeight="1">
      <c r="A44" t="str">
        <f t="shared" si="0"/>
        <v>IM23</v>
      </c>
      <c r="B44" t="s">
        <v>4829</v>
      </c>
      <c r="C44" t="s">
        <v>4839</v>
      </c>
      <c r="D44">
        <v>16</v>
      </c>
      <c r="E44" t="s">
        <v>4792</v>
      </c>
      <c r="F44">
        <v>38</v>
      </c>
      <c r="G44" t="s">
        <v>4800</v>
      </c>
      <c r="H44">
        <v>21</v>
      </c>
      <c r="I44" t="s">
        <v>4805</v>
      </c>
      <c r="J44" s="631">
        <v>38</v>
      </c>
      <c r="K44">
        <v>29</v>
      </c>
      <c r="L44" t="s">
        <v>4805</v>
      </c>
      <c r="P44">
        <v>2780</v>
      </c>
      <c r="Q44">
        <v>1</v>
      </c>
      <c r="R44">
        <v>2781</v>
      </c>
    </row>
    <row r="45" spans="1:18" ht="19.899999999999999" customHeight="1">
      <c r="A45" t="str">
        <f t="shared" si="0"/>
        <v>IM#3MTR</v>
      </c>
      <c r="B45" t="s">
        <v>4829</v>
      </c>
      <c r="C45" t="s">
        <v>4811</v>
      </c>
      <c r="D45" t="s">
        <v>4793</v>
      </c>
      <c r="E45" t="s">
        <v>4793</v>
      </c>
      <c r="F45" t="s">
        <v>4793</v>
      </c>
      <c r="G45" t="s">
        <v>4793</v>
      </c>
      <c r="H45" t="s">
        <v>4793</v>
      </c>
      <c r="I45" t="s">
        <v>4793</v>
      </c>
      <c r="J45" s="631" t="s">
        <v>4793</v>
      </c>
      <c r="K45" t="s">
        <v>4793</v>
      </c>
      <c r="L45" t="s">
        <v>4793</v>
      </c>
      <c r="P45">
        <v>1157</v>
      </c>
      <c r="Q45" t="s">
        <v>85</v>
      </c>
      <c r="R45">
        <v>1157</v>
      </c>
    </row>
    <row r="46" spans="1:18" ht="19.899999999999999" customHeight="1">
      <c r="A46" t="str">
        <f t="shared" si="0"/>
        <v>IM21</v>
      </c>
      <c r="B46" t="s">
        <v>4829</v>
      </c>
      <c r="C46" t="s">
        <v>5416</v>
      </c>
      <c r="D46">
        <v>0</v>
      </c>
      <c r="E46" t="s">
        <v>4810</v>
      </c>
      <c r="F46">
        <v>0</v>
      </c>
      <c r="G46" t="s">
        <v>4810</v>
      </c>
      <c r="H46">
        <v>0</v>
      </c>
      <c r="I46" t="s">
        <v>4810</v>
      </c>
      <c r="J46" s="631">
        <v>0</v>
      </c>
      <c r="K46">
        <v>0</v>
      </c>
      <c r="L46" t="s">
        <v>4810</v>
      </c>
      <c r="P46">
        <v>1395</v>
      </c>
      <c r="Q46">
        <v>6</v>
      </c>
      <c r="R46">
        <v>1401</v>
      </c>
    </row>
    <row r="47" spans="1:18" ht="19.899999999999999" customHeight="1">
      <c r="A47" t="str">
        <f t="shared" si="0"/>
        <v>IN#1MTR</v>
      </c>
      <c r="B47" t="s">
        <v>4840</v>
      </c>
      <c r="C47" t="s">
        <v>4791</v>
      </c>
      <c r="D47">
        <v>607</v>
      </c>
      <c r="E47" t="s">
        <v>4814</v>
      </c>
      <c r="F47">
        <v>620</v>
      </c>
      <c r="G47" t="s">
        <v>4814</v>
      </c>
      <c r="H47">
        <v>631</v>
      </c>
      <c r="I47" t="s">
        <v>4814</v>
      </c>
      <c r="J47" s="631">
        <v>631</v>
      </c>
      <c r="K47" t="s">
        <v>4793</v>
      </c>
      <c r="L47" t="s">
        <v>4793</v>
      </c>
      <c r="P47">
        <v>335</v>
      </c>
      <c r="Q47">
        <v>3</v>
      </c>
      <c r="R47">
        <v>338</v>
      </c>
    </row>
    <row r="48" spans="1:18" ht="19.899999999999999" customHeight="1">
      <c r="A48" t="str">
        <f t="shared" si="0"/>
        <v>IN28</v>
      </c>
      <c r="B48" t="s">
        <v>4840</v>
      </c>
      <c r="C48" t="s">
        <v>4841</v>
      </c>
      <c r="D48">
        <v>240</v>
      </c>
      <c r="E48" t="s">
        <v>4805</v>
      </c>
      <c r="F48">
        <v>252</v>
      </c>
      <c r="G48" t="s">
        <v>4805</v>
      </c>
      <c r="H48">
        <v>264</v>
      </c>
      <c r="I48" t="s">
        <v>4805</v>
      </c>
      <c r="J48" s="631">
        <v>264</v>
      </c>
      <c r="K48">
        <v>43</v>
      </c>
      <c r="L48" t="s">
        <v>4800</v>
      </c>
      <c r="P48">
        <v>2530</v>
      </c>
      <c r="Q48" t="s">
        <v>85</v>
      </c>
      <c r="R48">
        <v>2530</v>
      </c>
    </row>
    <row r="49" spans="1:18" ht="19.899999999999999" customHeight="1">
      <c r="A49" t="str">
        <f t="shared" si="0"/>
        <v>IN24</v>
      </c>
      <c r="B49" t="s">
        <v>4840</v>
      </c>
      <c r="C49" t="s">
        <v>4842</v>
      </c>
      <c r="D49">
        <v>126</v>
      </c>
      <c r="E49" t="s">
        <v>4795</v>
      </c>
      <c r="F49">
        <v>128</v>
      </c>
      <c r="G49" t="s">
        <v>4795</v>
      </c>
      <c r="H49">
        <v>131</v>
      </c>
      <c r="I49" t="s">
        <v>4795</v>
      </c>
      <c r="J49" s="631">
        <v>131</v>
      </c>
      <c r="K49">
        <v>0</v>
      </c>
      <c r="L49" t="s">
        <v>4810</v>
      </c>
      <c r="P49">
        <v>1800</v>
      </c>
      <c r="Q49">
        <v>4</v>
      </c>
      <c r="R49">
        <v>1804</v>
      </c>
    </row>
    <row r="50" spans="1:18" ht="19.899999999999999" customHeight="1">
      <c r="A50" t="str">
        <f t="shared" si="0"/>
        <v>IN20</v>
      </c>
      <c r="B50" t="s">
        <v>4840</v>
      </c>
      <c r="C50" t="s">
        <v>4844</v>
      </c>
      <c r="D50">
        <v>0</v>
      </c>
      <c r="E50" t="s">
        <v>4810</v>
      </c>
      <c r="F50">
        <v>0</v>
      </c>
      <c r="G50" t="s">
        <v>4810</v>
      </c>
      <c r="H50">
        <v>0</v>
      </c>
      <c r="I50" t="s">
        <v>4810</v>
      </c>
      <c r="J50" s="631">
        <v>0</v>
      </c>
      <c r="K50">
        <v>0</v>
      </c>
      <c r="L50" t="s">
        <v>4810</v>
      </c>
      <c r="P50">
        <v>2826</v>
      </c>
      <c r="Q50">
        <v>5</v>
      </c>
      <c r="R50">
        <v>2831</v>
      </c>
    </row>
    <row r="51" spans="1:18" ht="19.899999999999999" customHeight="1">
      <c r="A51" t="str">
        <f t="shared" si="0"/>
        <v>IN31</v>
      </c>
      <c r="B51" t="s">
        <v>4840</v>
      </c>
      <c r="C51" t="s">
        <v>4845</v>
      </c>
      <c r="D51">
        <v>97</v>
      </c>
      <c r="E51" t="s">
        <v>4814</v>
      </c>
      <c r="F51">
        <v>109</v>
      </c>
      <c r="G51" t="s">
        <v>4809</v>
      </c>
      <c r="H51">
        <v>101</v>
      </c>
      <c r="I51" t="s">
        <v>4809</v>
      </c>
      <c r="J51" s="631">
        <v>109</v>
      </c>
      <c r="K51">
        <v>29</v>
      </c>
      <c r="L51" t="s">
        <v>4792</v>
      </c>
      <c r="P51">
        <v>4262</v>
      </c>
      <c r="Q51">
        <v>1</v>
      </c>
      <c r="R51">
        <v>4263</v>
      </c>
    </row>
    <row r="52" spans="1:18" ht="19.899999999999999" customHeight="1">
      <c r="A52" t="str">
        <f t="shared" si="0"/>
        <v>IN29</v>
      </c>
      <c r="B52" t="s">
        <v>4840</v>
      </c>
      <c r="C52" t="s">
        <v>4846</v>
      </c>
      <c r="D52">
        <v>177</v>
      </c>
      <c r="E52" t="s">
        <v>4814</v>
      </c>
      <c r="F52">
        <v>175</v>
      </c>
      <c r="G52" t="s">
        <v>4814</v>
      </c>
      <c r="H52">
        <v>175</v>
      </c>
      <c r="I52" t="s">
        <v>4814</v>
      </c>
      <c r="J52" s="631">
        <v>177</v>
      </c>
      <c r="K52">
        <v>17</v>
      </c>
      <c r="L52" t="s">
        <v>4808</v>
      </c>
      <c r="P52">
        <v>2447</v>
      </c>
      <c r="Q52">
        <v>6</v>
      </c>
      <c r="R52">
        <v>2453</v>
      </c>
    </row>
    <row r="53" spans="1:18" ht="19.899999999999999" customHeight="1">
      <c r="A53" t="str">
        <f t="shared" si="0"/>
        <v>IN#2MTR</v>
      </c>
      <c r="B53" t="s">
        <v>4840</v>
      </c>
      <c r="C53" t="s">
        <v>4803</v>
      </c>
      <c r="D53">
        <v>351</v>
      </c>
      <c r="E53" t="s">
        <v>4809</v>
      </c>
      <c r="F53">
        <v>335</v>
      </c>
      <c r="G53" t="s">
        <v>4802</v>
      </c>
      <c r="H53">
        <v>378</v>
      </c>
      <c r="I53" t="s">
        <v>4792</v>
      </c>
      <c r="J53" s="631">
        <v>378</v>
      </c>
      <c r="K53" t="s">
        <v>4793</v>
      </c>
      <c r="L53" t="s">
        <v>4793</v>
      </c>
      <c r="P53">
        <v>2825</v>
      </c>
      <c r="Q53">
        <v>4</v>
      </c>
      <c r="R53">
        <v>2829</v>
      </c>
    </row>
    <row r="54" spans="1:18" ht="19.899999999999999" customHeight="1">
      <c r="A54" t="str">
        <f t="shared" si="0"/>
        <v>IN22</v>
      </c>
      <c r="B54" t="s">
        <v>4840</v>
      </c>
      <c r="C54" t="s">
        <v>4847</v>
      </c>
      <c r="D54">
        <v>130</v>
      </c>
      <c r="E54" t="s">
        <v>4795</v>
      </c>
      <c r="F54">
        <v>152</v>
      </c>
      <c r="G54" t="s">
        <v>4795</v>
      </c>
      <c r="H54">
        <v>165</v>
      </c>
      <c r="I54" t="s">
        <v>4792</v>
      </c>
      <c r="J54" s="631">
        <v>165</v>
      </c>
      <c r="K54">
        <v>53</v>
      </c>
      <c r="L54" t="s">
        <v>4800</v>
      </c>
      <c r="P54" t="s">
        <v>85</v>
      </c>
      <c r="Q54" t="s">
        <v>85</v>
      </c>
      <c r="R54">
        <v>0</v>
      </c>
    </row>
    <row r="55" spans="1:18" ht="19.899999999999999" customHeight="1">
      <c r="A55" t="str">
        <f t="shared" si="0"/>
        <v>IN26</v>
      </c>
      <c r="B55" t="s">
        <v>4840</v>
      </c>
      <c r="C55" t="s">
        <v>4848</v>
      </c>
      <c r="D55">
        <v>91</v>
      </c>
      <c r="E55" t="s">
        <v>4808</v>
      </c>
      <c r="F55">
        <v>102</v>
      </c>
      <c r="G55" t="s">
        <v>4802</v>
      </c>
      <c r="H55">
        <v>107</v>
      </c>
      <c r="I55" t="s">
        <v>4808</v>
      </c>
      <c r="J55" s="631">
        <v>107</v>
      </c>
      <c r="K55">
        <v>27</v>
      </c>
      <c r="L55" t="s">
        <v>4796</v>
      </c>
      <c r="P55">
        <v>2182</v>
      </c>
      <c r="Q55">
        <v>6</v>
      </c>
      <c r="R55">
        <v>2188</v>
      </c>
    </row>
    <row r="56" spans="1:18" ht="19.899999999999999" customHeight="1">
      <c r="A56" t="str">
        <f t="shared" si="0"/>
        <v>IN23</v>
      </c>
      <c r="B56" t="s">
        <v>4840</v>
      </c>
      <c r="C56" t="s">
        <v>4849</v>
      </c>
      <c r="D56">
        <v>56</v>
      </c>
      <c r="E56" t="s">
        <v>4809</v>
      </c>
      <c r="F56">
        <v>47</v>
      </c>
      <c r="G56" t="s">
        <v>4796</v>
      </c>
      <c r="H56">
        <v>25</v>
      </c>
      <c r="I56" t="s">
        <v>4938</v>
      </c>
      <c r="J56" s="631">
        <v>56</v>
      </c>
      <c r="K56">
        <v>54</v>
      </c>
      <c r="L56" t="s">
        <v>4796</v>
      </c>
      <c r="P56">
        <v>2932</v>
      </c>
      <c r="Q56">
        <v>6</v>
      </c>
      <c r="R56">
        <v>2938</v>
      </c>
    </row>
    <row r="57" spans="1:18" ht="19.899999999999999" customHeight="1">
      <c r="A57" t="str">
        <f t="shared" si="0"/>
        <v>IN27</v>
      </c>
      <c r="B57" t="s">
        <v>4840</v>
      </c>
      <c r="C57" t="s">
        <v>4850</v>
      </c>
      <c r="D57">
        <v>38</v>
      </c>
      <c r="E57" t="s">
        <v>4795</v>
      </c>
      <c r="F57">
        <v>19</v>
      </c>
      <c r="G57" t="s">
        <v>4798</v>
      </c>
      <c r="H57">
        <v>33</v>
      </c>
      <c r="I57" t="s">
        <v>4795</v>
      </c>
      <c r="J57" s="631">
        <v>38</v>
      </c>
      <c r="K57">
        <v>28</v>
      </c>
      <c r="L57" t="s">
        <v>4805</v>
      </c>
      <c r="P57">
        <v>382</v>
      </c>
      <c r="Q57" t="s">
        <v>85</v>
      </c>
      <c r="R57">
        <v>382</v>
      </c>
    </row>
    <row r="58" spans="1:18" ht="19.899999999999999" customHeight="1">
      <c r="A58" t="str">
        <f t="shared" si="0"/>
        <v>IN32</v>
      </c>
      <c r="B58" t="s">
        <v>4840</v>
      </c>
      <c r="C58" t="s">
        <v>4851</v>
      </c>
      <c r="D58">
        <v>96</v>
      </c>
      <c r="E58" t="s">
        <v>4801</v>
      </c>
      <c r="F58">
        <v>86</v>
      </c>
      <c r="G58" t="s">
        <v>4801</v>
      </c>
      <c r="H58">
        <v>101</v>
      </c>
      <c r="I58" t="s">
        <v>4801</v>
      </c>
      <c r="J58" s="631">
        <v>101</v>
      </c>
      <c r="K58">
        <v>36</v>
      </c>
      <c r="L58" t="s">
        <v>4812</v>
      </c>
      <c r="P58">
        <v>1534</v>
      </c>
      <c r="Q58">
        <v>2</v>
      </c>
      <c r="R58">
        <v>1536</v>
      </c>
    </row>
    <row r="59" spans="1:18" ht="19.899999999999999" customHeight="1">
      <c r="A59" t="str">
        <f t="shared" si="0"/>
        <v>IN#3MTR</v>
      </c>
      <c r="B59" t="s">
        <v>4840</v>
      </c>
      <c r="C59" t="s">
        <v>4811</v>
      </c>
      <c r="D59">
        <v>227</v>
      </c>
      <c r="E59" t="s">
        <v>4796</v>
      </c>
      <c r="F59">
        <v>239</v>
      </c>
      <c r="G59" t="s">
        <v>4814</v>
      </c>
      <c r="H59">
        <v>285</v>
      </c>
      <c r="I59" t="s">
        <v>4805</v>
      </c>
      <c r="J59" s="631">
        <v>285</v>
      </c>
      <c r="K59" t="s">
        <v>4793</v>
      </c>
      <c r="L59" t="s">
        <v>4793</v>
      </c>
      <c r="P59">
        <v>4851</v>
      </c>
      <c r="Q59">
        <v>1</v>
      </c>
      <c r="R59">
        <v>4852</v>
      </c>
    </row>
    <row r="60" spans="1:18" ht="19.899999999999999" customHeight="1">
      <c r="A60" t="str">
        <f t="shared" si="0"/>
        <v>IN34</v>
      </c>
      <c r="B60" t="s">
        <v>4840</v>
      </c>
      <c r="C60" t="s">
        <v>4852</v>
      </c>
      <c r="D60">
        <v>56</v>
      </c>
      <c r="E60" t="s">
        <v>4809</v>
      </c>
      <c r="F60">
        <v>50</v>
      </c>
      <c r="G60" t="s">
        <v>4809</v>
      </c>
      <c r="H60">
        <v>55</v>
      </c>
      <c r="I60" t="s">
        <v>4805</v>
      </c>
      <c r="J60" s="631">
        <v>56</v>
      </c>
      <c r="K60">
        <v>28</v>
      </c>
      <c r="L60" t="s">
        <v>4853</v>
      </c>
      <c r="P60">
        <v>693</v>
      </c>
      <c r="Q60">
        <v>6</v>
      </c>
      <c r="R60">
        <v>699</v>
      </c>
    </row>
    <row r="61" spans="1:18" ht="19.899999999999999" customHeight="1">
      <c r="A61" t="str">
        <f t="shared" si="0"/>
        <v>IN33</v>
      </c>
      <c r="B61" t="s">
        <v>4840</v>
      </c>
      <c r="C61" t="s">
        <v>4854</v>
      </c>
      <c r="D61">
        <v>91</v>
      </c>
      <c r="E61" t="s">
        <v>4795</v>
      </c>
      <c r="F61">
        <v>106</v>
      </c>
      <c r="G61" t="s">
        <v>4792</v>
      </c>
      <c r="H61">
        <v>136</v>
      </c>
      <c r="I61" t="s">
        <v>4795</v>
      </c>
      <c r="J61" s="631">
        <v>136</v>
      </c>
      <c r="K61">
        <v>58</v>
      </c>
      <c r="L61" t="s">
        <v>4798</v>
      </c>
      <c r="P61">
        <v>834</v>
      </c>
      <c r="Q61">
        <v>2</v>
      </c>
      <c r="R61">
        <v>836</v>
      </c>
    </row>
    <row r="62" spans="1:18" ht="19.899999999999999" customHeight="1">
      <c r="A62" t="str">
        <f t="shared" si="0"/>
        <v>IN21</v>
      </c>
      <c r="B62" t="s">
        <v>4840</v>
      </c>
      <c r="C62" t="s">
        <v>4855</v>
      </c>
      <c r="D62">
        <v>42</v>
      </c>
      <c r="E62" t="s">
        <v>4926</v>
      </c>
      <c r="F62">
        <v>38</v>
      </c>
      <c r="G62" t="s">
        <v>4926</v>
      </c>
      <c r="H62">
        <v>37</v>
      </c>
      <c r="I62" t="s">
        <v>4926</v>
      </c>
      <c r="J62" s="631">
        <v>42</v>
      </c>
      <c r="K62">
        <v>9</v>
      </c>
      <c r="L62" t="s">
        <v>4795</v>
      </c>
      <c r="P62">
        <v>3</v>
      </c>
      <c r="Q62">
        <v>8</v>
      </c>
      <c r="R62">
        <v>11</v>
      </c>
    </row>
    <row r="63" spans="1:18" ht="19.899999999999999" customHeight="1">
      <c r="A63" t="str">
        <f t="shared" si="0"/>
        <v>IN25</v>
      </c>
      <c r="B63" t="s">
        <v>4840</v>
      </c>
      <c r="C63" t="s">
        <v>4856</v>
      </c>
      <c r="D63">
        <v>25</v>
      </c>
      <c r="E63" t="s">
        <v>4795</v>
      </c>
      <c r="F63">
        <v>51</v>
      </c>
      <c r="G63" t="s">
        <v>4802</v>
      </c>
      <c r="H63">
        <v>34</v>
      </c>
      <c r="I63" t="s">
        <v>4792</v>
      </c>
      <c r="J63" s="631">
        <v>51</v>
      </c>
      <c r="K63">
        <v>35</v>
      </c>
      <c r="L63" t="s">
        <v>4805</v>
      </c>
      <c r="P63">
        <v>25</v>
      </c>
      <c r="Q63">
        <v>17</v>
      </c>
      <c r="R63">
        <v>42</v>
      </c>
    </row>
    <row r="64" spans="1:18" ht="19.899999999999999" customHeight="1">
      <c r="A64" t="str">
        <f t="shared" si="0"/>
        <v>IN30</v>
      </c>
      <c r="B64" t="s">
        <v>4840</v>
      </c>
      <c r="C64" t="s">
        <v>4857</v>
      </c>
      <c r="D64">
        <v>85</v>
      </c>
      <c r="E64" t="s">
        <v>4796</v>
      </c>
      <c r="F64">
        <v>65</v>
      </c>
      <c r="G64" t="s">
        <v>4814</v>
      </c>
      <c r="H64">
        <v>88</v>
      </c>
      <c r="I64" t="s">
        <v>4801</v>
      </c>
      <c r="J64" s="631">
        <v>88</v>
      </c>
      <c r="K64">
        <v>43</v>
      </c>
      <c r="L64" t="s">
        <v>4801</v>
      </c>
      <c r="P64">
        <v>30</v>
      </c>
      <c r="Q64">
        <v>21</v>
      </c>
      <c r="R64">
        <v>51</v>
      </c>
    </row>
    <row r="65" spans="1:18" ht="19.899999999999999" customHeight="1">
      <c r="A65" t="str">
        <f t="shared" si="0"/>
        <v>9L#1DTR(A)</v>
      </c>
      <c r="B65" t="s">
        <v>4858</v>
      </c>
      <c r="C65" t="s">
        <v>4859</v>
      </c>
      <c r="D65">
        <v>325</v>
      </c>
      <c r="E65" t="s">
        <v>4802</v>
      </c>
      <c r="F65">
        <v>336</v>
      </c>
      <c r="G65" t="s">
        <v>4796</v>
      </c>
      <c r="H65">
        <v>304</v>
      </c>
      <c r="I65" t="s">
        <v>4796</v>
      </c>
      <c r="J65" s="631">
        <v>336</v>
      </c>
      <c r="K65" t="s">
        <v>4793</v>
      </c>
      <c r="L65" t="s">
        <v>4793</v>
      </c>
      <c r="P65">
        <v>7</v>
      </c>
      <c r="Q65">
        <v>5</v>
      </c>
      <c r="R65">
        <v>12</v>
      </c>
    </row>
    <row r="66" spans="1:18" ht="19.899999999999999" customHeight="1">
      <c r="A66" t="str">
        <f t="shared" si="0"/>
        <v>9L21</v>
      </c>
      <c r="B66" t="s">
        <v>4858</v>
      </c>
      <c r="C66" t="s">
        <v>4862</v>
      </c>
      <c r="D66">
        <v>75</v>
      </c>
      <c r="E66" t="s">
        <v>4796</v>
      </c>
      <c r="F66">
        <v>78</v>
      </c>
      <c r="G66" t="s">
        <v>4796</v>
      </c>
      <c r="H66">
        <v>86</v>
      </c>
      <c r="I66" t="s">
        <v>4796</v>
      </c>
      <c r="J66" s="631">
        <v>86</v>
      </c>
      <c r="K66">
        <v>43</v>
      </c>
      <c r="L66" t="s">
        <v>4799</v>
      </c>
      <c r="P66">
        <v>4</v>
      </c>
      <c r="Q66">
        <v>1</v>
      </c>
      <c r="R66">
        <v>5</v>
      </c>
    </row>
    <row r="67" spans="1:18" ht="19.899999999999999" customHeight="1">
      <c r="A67" t="str">
        <f t="shared" ref="A67:A130" si="1">IF(COUNTIF(C67,"*TR*")&gt;0,SUBSTITUTE(RIGHT(B67,3) &amp; C67," ",""),MID(C67,FIND("(",C67)+1,4))</f>
        <v>9L22</v>
      </c>
      <c r="B67" t="s">
        <v>4858</v>
      </c>
      <c r="C67" t="s">
        <v>4863</v>
      </c>
      <c r="D67">
        <v>40</v>
      </c>
      <c r="E67" t="s">
        <v>4796</v>
      </c>
      <c r="F67">
        <v>37</v>
      </c>
      <c r="G67" t="s">
        <v>4796</v>
      </c>
      <c r="H67">
        <v>35</v>
      </c>
      <c r="I67" t="s">
        <v>4796</v>
      </c>
      <c r="J67" s="631">
        <v>40</v>
      </c>
      <c r="K67">
        <v>23</v>
      </c>
      <c r="L67" t="s">
        <v>4812</v>
      </c>
      <c r="P67">
        <v>7</v>
      </c>
      <c r="Q67">
        <v>7</v>
      </c>
      <c r="R67">
        <v>14</v>
      </c>
    </row>
    <row r="68" spans="1:18" ht="19.899999999999999" customHeight="1">
      <c r="A68" t="str">
        <f t="shared" si="1"/>
        <v>9L23</v>
      </c>
      <c r="B68" t="s">
        <v>4858</v>
      </c>
      <c r="C68" t="s">
        <v>4866</v>
      </c>
      <c r="D68">
        <v>167</v>
      </c>
      <c r="E68" t="s">
        <v>4796</v>
      </c>
      <c r="F68">
        <v>172</v>
      </c>
      <c r="G68" t="s">
        <v>4796</v>
      </c>
      <c r="H68">
        <v>150</v>
      </c>
      <c r="I68" t="s">
        <v>4796</v>
      </c>
      <c r="J68" s="631">
        <v>172</v>
      </c>
      <c r="K68">
        <v>57</v>
      </c>
      <c r="L68" t="s">
        <v>4808</v>
      </c>
      <c r="P68">
        <v>1</v>
      </c>
      <c r="Q68">
        <v>10</v>
      </c>
      <c r="R68">
        <v>11</v>
      </c>
    </row>
    <row r="69" spans="1:18" ht="19.899999999999999" customHeight="1">
      <c r="A69" t="str">
        <f t="shared" si="1"/>
        <v>9L24</v>
      </c>
      <c r="B69" t="s">
        <v>4858</v>
      </c>
      <c r="C69" t="s">
        <v>4867</v>
      </c>
      <c r="D69">
        <v>134</v>
      </c>
      <c r="E69" t="s">
        <v>4795</v>
      </c>
      <c r="F69">
        <v>116</v>
      </c>
      <c r="G69" t="s">
        <v>4843</v>
      </c>
      <c r="H69">
        <v>107</v>
      </c>
      <c r="I69" t="s">
        <v>4795</v>
      </c>
      <c r="J69" s="631">
        <v>134</v>
      </c>
      <c r="K69">
        <v>44</v>
      </c>
      <c r="L69" t="s">
        <v>4817</v>
      </c>
      <c r="P69">
        <v>6</v>
      </c>
      <c r="Q69">
        <v>11</v>
      </c>
      <c r="R69">
        <v>17</v>
      </c>
    </row>
    <row r="70" spans="1:18" ht="19.899999999999999" customHeight="1">
      <c r="A70" t="str">
        <f t="shared" si="1"/>
        <v>9L25</v>
      </c>
      <c r="B70" t="s">
        <v>4858</v>
      </c>
      <c r="C70" t="s">
        <v>4869</v>
      </c>
      <c r="D70">
        <v>36</v>
      </c>
      <c r="E70" t="s">
        <v>4808</v>
      </c>
      <c r="F70">
        <v>51</v>
      </c>
      <c r="G70" t="s">
        <v>4796</v>
      </c>
      <c r="H70">
        <v>33</v>
      </c>
      <c r="I70" t="s">
        <v>4796</v>
      </c>
      <c r="J70" s="631">
        <v>51</v>
      </c>
      <c r="K70">
        <v>40</v>
      </c>
      <c r="L70" t="s">
        <v>4805</v>
      </c>
      <c r="P70" t="s">
        <v>85</v>
      </c>
      <c r="Q70">
        <v>1</v>
      </c>
      <c r="R70">
        <v>1</v>
      </c>
    </row>
    <row r="71" spans="1:18" ht="19.899999999999999" customHeight="1">
      <c r="A71" t="str">
        <f t="shared" si="1"/>
        <v>9L#1DTR(B)</v>
      </c>
      <c r="B71" t="s">
        <v>4858</v>
      </c>
      <c r="C71" t="s">
        <v>4889</v>
      </c>
      <c r="D71">
        <v>318</v>
      </c>
      <c r="E71" t="s">
        <v>4796</v>
      </c>
      <c r="F71">
        <v>318</v>
      </c>
      <c r="G71" t="s">
        <v>4796</v>
      </c>
      <c r="H71">
        <v>300</v>
      </c>
      <c r="I71" t="s">
        <v>4796</v>
      </c>
      <c r="J71" s="631">
        <v>318</v>
      </c>
      <c r="K71" t="s">
        <v>4793</v>
      </c>
      <c r="L71" t="s">
        <v>4793</v>
      </c>
      <c r="P71" t="s">
        <v>85</v>
      </c>
      <c r="Q71">
        <v>1</v>
      </c>
      <c r="R71">
        <v>1</v>
      </c>
    </row>
    <row r="72" spans="1:18" ht="19.899999999999999" customHeight="1">
      <c r="A72" t="str">
        <f t="shared" si="1"/>
        <v>9L26</v>
      </c>
      <c r="B72" t="s">
        <v>4858</v>
      </c>
      <c r="C72" t="s">
        <v>4860</v>
      </c>
      <c r="D72">
        <v>0</v>
      </c>
      <c r="E72" t="s">
        <v>4810</v>
      </c>
      <c r="F72">
        <v>0</v>
      </c>
      <c r="G72" t="s">
        <v>4810</v>
      </c>
      <c r="H72">
        <v>0</v>
      </c>
      <c r="I72" t="s">
        <v>4810</v>
      </c>
      <c r="J72" s="631">
        <v>0</v>
      </c>
      <c r="K72">
        <v>0</v>
      </c>
      <c r="L72" t="s">
        <v>4810</v>
      </c>
      <c r="P72">
        <v>4</v>
      </c>
      <c r="Q72">
        <v>6</v>
      </c>
      <c r="R72">
        <v>10</v>
      </c>
    </row>
    <row r="73" spans="1:18" ht="19.899999999999999" customHeight="1">
      <c r="A73" t="str">
        <f t="shared" si="1"/>
        <v>9L27</v>
      </c>
      <c r="B73" t="s">
        <v>4858</v>
      </c>
      <c r="C73" t="s">
        <v>4861</v>
      </c>
      <c r="D73">
        <v>18</v>
      </c>
      <c r="E73" t="s">
        <v>4802</v>
      </c>
      <c r="F73">
        <v>25</v>
      </c>
      <c r="G73" t="s">
        <v>4795</v>
      </c>
      <c r="H73">
        <v>25</v>
      </c>
      <c r="I73" t="s">
        <v>4802</v>
      </c>
      <c r="J73" s="631">
        <v>25</v>
      </c>
      <c r="K73">
        <v>14</v>
      </c>
      <c r="L73" t="s">
        <v>4799</v>
      </c>
      <c r="P73">
        <v>10</v>
      </c>
      <c r="Q73">
        <v>6</v>
      </c>
      <c r="R73">
        <v>16</v>
      </c>
    </row>
    <row r="74" spans="1:18" ht="19.899999999999999" customHeight="1">
      <c r="A74" t="str">
        <f t="shared" si="1"/>
        <v>9L28</v>
      </c>
      <c r="B74" t="s">
        <v>4858</v>
      </c>
      <c r="C74" t="s">
        <v>4864</v>
      </c>
      <c r="D74">
        <v>114</v>
      </c>
      <c r="E74" t="s">
        <v>4796</v>
      </c>
      <c r="F74">
        <v>138</v>
      </c>
      <c r="G74" t="s">
        <v>4796</v>
      </c>
      <c r="H74">
        <v>118</v>
      </c>
      <c r="I74" t="s">
        <v>4796</v>
      </c>
      <c r="J74" s="631">
        <v>138</v>
      </c>
      <c r="K74">
        <v>54</v>
      </c>
      <c r="L74" t="s">
        <v>4817</v>
      </c>
      <c r="P74">
        <v>0</v>
      </c>
      <c r="Q74">
        <v>2</v>
      </c>
      <c r="R74">
        <v>2</v>
      </c>
    </row>
    <row r="75" spans="1:18" ht="19.899999999999999" customHeight="1">
      <c r="A75" t="str">
        <f t="shared" si="1"/>
        <v>9L29</v>
      </c>
      <c r="B75" t="s">
        <v>4858</v>
      </c>
      <c r="C75" t="s">
        <v>4865</v>
      </c>
      <c r="D75">
        <v>194</v>
      </c>
      <c r="E75" t="s">
        <v>4796</v>
      </c>
      <c r="F75">
        <v>183</v>
      </c>
      <c r="G75" t="s">
        <v>4796</v>
      </c>
      <c r="H75">
        <v>179</v>
      </c>
      <c r="I75" t="s">
        <v>4796</v>
      </c>
      <c r="J75" s="631">
        <v>194</v>
      </c>
      <c r="K75">
        <v>46</v>
      </c>
      <c r="L75" t="s">
        <v>4814</v>
      </c>
      <c r="P75">
        <v>20</v>
      </c>
      <c r="Q75">
        <v>3</v>
      </c>
      <c r="R75">
        <v>23</v>
      </c>
    </row>
    <row r="76" spans="1:18" ht="19.899999999999999" customHeight="1">
      <c r="A76" t="str">
        <f t="shared" si="1"/>
        <v>9L30</v>
      </c>
      <c r="B76" t="s">
        <v>4858</v>
      </c>
      <c r="C76" t="s">
        <v>4868</v>
      </c>
      <c r="D76">
        <v>20</v>
      </c>
      <c r="E76" t="s">
        <v>4802</v>
      </c>
      <c r="F76">
        <v>25</v>
      </c>
      <c r="G76" t="s">
        <v>4792</v>
      </c>
      <c r="H76">
        <v>23</v>
      </c>
      <c r="I76" t="s">
        <v>4802</v>
      </c>
      <c r="J76" s="631">
        <v>25</v>
      </c>
      <c r="K76">
        <v>15</v>
      </c>
      <c r="L76" t="s">
        <v>4796</v>
      </c>
      <c r="P76">
        <v>0</v>
      </c>
      <c r="Q76">
        <v>2</v>
      </c>
      <c r="R76">
        <v>2</v>
      </c>
    </row>
    <row r="77" spans="1:18" ht="19.899999999999999" customHeight="1">
      <c r="A77" t="str">
        <f t="shared" si="1"/>
        <v>9L#2DTR(A)</v>
      </c>
      <c r="B77" t="s">
        <v>4858</v>
      </c>
      <c r="C77" t="s">
        <v>4870</v>
      </c>
      <c r="D77">
        <v>154</v>
      </c>
      <c r="E77" t="s">
        <v>4792</v>
      </c>
      <c r="F77">
        <v>163</v>
      </c>
      <c r="G77" t="s">
        <v>4792</v>
      </c>
      <c r="H77">
        <v>138</v>
      </c>
      <c r="I77" t="s">
        <v>4792</v>
      </c>
      <c r="J77" s="631">
        <v>163</v>
      </c>
      <c r="K77" t="s">
        <v>4793</v>
      </c>
      <c r="L77" t="s">
        <v>4793</v>
      </c>
      <c r="P77">
        <v>4</v>
      </c>
      <c r="Q77">
        <v>2</v>
      </c>
      <c r="R77">
        <v>6</v>
      </c>
    </row>
    <row r="78" spans="1:18" ht="19.899999999999999" customHeight="1">
      <c r="A78" t="str">
        <f t="shared" si="1"/>
        <v>9L35</v>
      </c>
      <c r="B78" t="s">
        <v>4858</v>
      </c>
      <c r="C78" t="s">
        <v>4871</v>
      </c>
      <c r="D78">
        <v>104</v>
      </c>
      <c r="E78" t="s">
        <v>4792</v>
      </c>
      <c r="F78">
        <v>81</v>
      </c>
      <c r="G78" t="s">
        <v>4792</v>
      </c>
      <c r="H78">
        <v>82</v>
      </c>
      <c r="I78" t="s">
        <v>4792</v>
      </c>
      <c r="J78" s="631">
        <v>104</v>
      </c>
      <c r="K78">
        <v>32</v>
      </c>
      <c r="L78" t="s">
        <v>4802</v>
      </c>
      <c r="P78">
        <v>502</v>
      </c>
      <c r="Q78">
        <v>1</v>
      </c>
      <c r="R78">
        <v>503</v>
      </c>
    </row>
    <row r="79" spans="1:18" ht="19.899999999999999" customHeight="1">
      <c r="A79" t="str">
        <f t="shared" si="1"/>
        <v>9L34</v>
      </c>
      <c r="B79" t="s">
        <v>4858</v>
      </c>
      <c r="C79" t="s">
        <v>4873</v>
      </c>
      <c r="D79">
        <v>21</v>
      </c>
      <c r="E79" t="s">
        <v>4792</v>
      </c>
      <c r="F79">
        <v>31</v>
      </c>
      <c r="G79" t="s">
        <v>4802</v>
      </c>
      <c r="H79">
        <v>28</v>
      </c>
      <c r="I79" t="s">
        <v>4802</v>
      </c>
      <c r="J79" s="631">
        <v>31</v>
      </c>
      <c r="K79">
        <v>17</v>
      </c>
      <c r="L79" t="s">
        <v>4814</v>
      </c>
      <c r="P79">
        <v>347</v>
      </c>
      <c r="Q79">
        <v>5</v>
      </c>
      <c r="R79">
        <v>352</v>
      </c>
    </row>
    <row r="80" spans="1:18" ht="19.899999999999999" customHeight="1">
      <c r="A80" t="str">
        <f t="shared" si="1"/>
        <v>9L33</v>
      </c>
      <c r="B80" t="s">
        <v>4858</v>
      </c>
      <c r="C80" t="s">
        <v>4874</v>
      </c>
      <c r="D80">
        <v>0</v>
      </c>
      <c r="E80" t="s">
        <v>4810</v>
      </c>
      <c r="F80">
        <v>0</v>
      </c>
      <c r="G80" t="s">
        <v>4810</v>
      </c>
      <c r="H80">
        <v>0</v>
      </c>
      <c r="I80" t="s">
        <v>4810</v>
      </c>
      <c r="J80" s="631">
        <v>0</v>
      </c>
      <c r="K80">
        <v>0</v>
      </c>
      <c r="L80" t="s">
        <v>4810</v>
      </c>
      <c r="P80">
        <v>1676</v>
      </c>
      <c r="Q80">
        <v>1</v>
      </c>
      <c r="R80">
        <v>1677</v>
      </c>
    </row>
    <row r="81" spans="1:18" ht="19.899999999999999" customHeight="1">
      <c r="A81" t="str">
        <f t="shared" si="1"/>
        <v>9L32</v>
      </c>
      <c r="B81" t="s">
        <v>4858</v>
      </c>
      <c r="C81" t="s">
        <v>4875</v>
      </c>
      <c r="D81">
        <v>0</v>
      </c>
      <c r="E81" t="s">
        <v>4810</v>
      </c>
      <c r="F81">
        <v>0</v>
      </c>
      <c r="G81" t="s">
        <v>4810</v>
      </c>
      <c r="H81">
        <v>0</v>
      </c>
      <c r="I81" t="s">
        <v>4810</v>
      </c>
      <c r="J81" s="631">
        <v>0</v>
      </c>
      <c r="K81">
        <v>0</v>
      </c>
      <c r="L81" t="s">
        <v>4810</v>
      </c>
      <c r="P81">
        <v>1828</v>
      </c>
      <c r="Q81" t="s">
        <v>85</v>
      </c>
      <c r="R81">
        <v>1828</v>
      </c>
    </row>
    <row r="82" spans="1:18" ht="19.899999999999999" customHeight="1">
      <c r="A82" t="str">
        <f t="shared" si="1"/>
        <v>9L31</v>
      </c>
      <c r="B82" t="s">
        <v>4858</v>
      </c>
      <c r="C82" t="s">
        <v>4876</v>
      </c>
      <c r="D82">
        <v>31</v>
      </c>
      <c r="E82" t="s">
        <v>4795</v>
      </c>
      <c r="F82">
        <v>59</v>
      </c>
      <c r="G82" t="s">
        <v>4795</v>
      </c>
      <c r="H82">
        <v>37</v>
      </c>
      <c r="I82" t="s">
        <v>4795</v>
      </c>
      <c r="J82" s="631">
        <v>59</v>
      </c>
      <c r="K82">
        <v>33</v>
      </c>
      <c r="L82" t="s">
        <v>4796</v>
      </c>
      <c r="P82">
        <v>440</v>
      </c>
      <c r="Q82" t="s">
        <v>85</v>
      </c>
      <c r="R82">
        <v>440</v>
      </c>
    </row>
    <row r="83" spans="1:18" ht="19.899999999999999" customHeight="1">
      <c r="A83" t="str">
        <f t="shared" si="1"/>
        <v>9L#2DTR(B)</v>
      </c>
      <c r="B83" t="s">
        <v>4858</v>
      </c>
      <c r="C83" t="s">
        <v>4877</v>
      </c>
      <c r="D83">
        <v>433</v>
      </c>
      <c r="E83" t="s">
        <v>4792</v>
      </c>
      <c r="F83">
        <v>397</v>
      </c>
      <c r="G83" t="s">
        <v>4792</v>
      </c>
      <c r="H83">
        <v>444</v>
      </c>
      <c r="I83" t="s">
        <v>4792</v>
      </c>
      <c r="J83" s="631">
        <v>444</v>
      </c>
      <c r="K83" t="s">
        <v>4793</v>
      </c>
      <c r="L83" t="s">
        <v>4793</v>
      </c>
      <c r="P83">
        <v>47</v>
      </c>
      <c r="Q83">
        <v>1</v>
      </c>
      <c r="R83">
        <v>48</v>
      </c>
    </row>
    <row r="84" spans="1:18" ht="19.899999999999999" customHeight="1">
      <c r="A84" t="str">
        <f t="shared" si="1"/>
        <v>9L40</v>
      </c>
      <c r="B84" t="s">
        <v>4858</v>
      </c>
      <c r="C84" t="s">
        <v>4878</v>
      </c>
      <c r="D84">
        <v>105</v>
      </c>
      <c r="E84" t="s">
        <v>4792</v>
      </c>
      <c r="F84">
        <v>75</v>
      </c>
      <c r="G84" t="s">
        <v>4792</v>
      </c>
      <c r="H84">
        <v>95</v>
      </c>
      <c r="I84" t="s">
        <v>4792</v>
      </c>
      <c r="J84" s="631">
        <v>105</v>
      </c>
      <c r="K84">
        <v>47</v>
      </c>
      <c r="L84" t="s">
        <v>4812</v>
      </c>
      <c r="P84">
        <v>1383</v>
      </c>
      <c r="Q84" t="s">
        <v>85</v>
      </c>
      <c r="R84">
        <v>1383</v>
      </c>
    </row>
    <row r="85" spans="1:18" ht="19.899999999999999" customHeight="1">
      <c r="A85" t="str">
        <f t="shared" si="1"/>
        <v>9L39</v>
      </c>
      <c r="B85" t="s">
        <v>4858</v>
      </c>
      <c r="C85" t="s">
        <v>4879</v>
      </c>
      <c r="D85">
        <v>230</v>
      </c>
      <c r="E85" t="s">
        <v>4801</v>
      </c>
      <c r="F85">
        <v>250</v>
      </c>
      <c r="G85" t="s">
        <v>4801</v>
      </c>
      <c r="H85">
        <v>247</v>
      </c>
      <c r="I85" t="s">
        <v>4801</v>
      </c>
      <c r="J85" s="631">
        <v>250</v>
      </c>
      <c r="K85">
        <v>27</v>
      </c>
      <c r="L85" t="s">
        <v>4814</v>
      </c>
      <c r="P85">
        <v>58</v>
      </c>
      <c r="Q85" t="s">
        <v>85</v>
      </c>
      <c r="R85">
        <v>58</v>
      </c>
    </row>
    <row r="86" spans="1:18" ht="19.899999999999999" customHeight="1">
      <c r="A86" t="str">
        <f t="shared" si="1"/>
        <v>9L38</v>
      </c>
      <c r="B86" t="s">
        <v>4858</v>
      </c>
      <c r="C86" t="s">
        <v>4880</v>
      </c>
      <c r="D86">
        <v>31</v>
      </c>
      <c r="E86" t="s">
        <v>4814</v>
      </c>
      <c r="F86">
        <v>15</v>
      </c>
      <c r="G86" t="s">
        <v>4801</v>
      </c>
      <c r="H86">
        <v>39</v>
      </c>
      <c r="I86" t="s">
        <v>4809</v>
      </c>
      <c r="J86" s="631">
        <v>39</v>
      </c>
      <c r="K86">
        <v>36</v>
      </c>
      <c r="L86" t="s">
        <v>4812</v>
      </c>
      <c r="P86">
        <v>950</v>
      </c>
      <c r="Q86" t="s">
        <v>85</v>
      </c>
      <c r="R86">
        <v>950</v>
      </c>
    </row>
    <row r="87" spans="1:18" ht="19.899999999999999" customHeight="1">
      <c r="A87" t="str">
        <f t="shared" si="1"/>
        <v>9L37</v>
      </c>
      <c r="B87" t="s">
        <v>4858</v>
      </c>
      <c r="C87" t="s">
        <v>4881</v>
      </c>
      <c r="D87">
        <v>121</v>
      </c>
      <c r="E87" t="s">
        <v>4796</v>
      </c>
      <c r="F87">
        <v>115</v>
      </c>
      <c r="G87" t="s">
        <v>4796</v>
      </c>
      <c r="H87">
        <v>115</v>
      </c>
      <c r="I87" t="s">
        <v>4796</v>
      </c>
      <c r="J87" s="631">
        <v>121</v>
      </c>
      <c r="K87">
        <v>20</v>
      </c>
      <c r="L87" t="s">
        <v>4799</v>
      </c>
      <c r="P87">
        <v>878</v>
      </c>
      <c r="Q87" t="s">
        <v>85</v>
      </c>
      <c r="R87">
        <v>878</v>
      </c>
    </row>
    <row r="88" spans="1:18" ht="19.899999999999999" customHeight="1">
      <c r="A88" t="str">
        <f t="shared" si="1"/>
        <v>9L36</v>
      </c>
      <c r="B88" t="s">
        <v>4858</v>
      </c>
      <c r="C88" t="s">
        <v>4882</v>
      </c>
      <c r="D88">
        <v>45</v>
      </c>
      <c r="E88" t="s">
        <v>4802</v>
      </c>
      <c r="F88">
        <v>32</v>
      </c>
      <c r="G88" t="s">
        <v>4792</v>
      </c>
      <c r="H88">
        <v>33</v>
      </c>
      <c r="I88" t="s">
        <v>4817</v>
      </c>
      <c r="J88" s="631">
        <v>45</v>
      </c>
      <c r="K88">
        <v>15</v>
      </c>
      <c r="L88" t="s">
        <v>4802</v>
      </c>
      <c r="P88">
        <v>640</v>
      </c>
      <c r="Q88" t="s">
        <v>85</v>
      </c>
      <c r="R88">
        <v>640</v>
      </c>
    </row>
    <row r="89" spans="1:18" ht="19.899999999999999" customHeight="1">
      <c r="A89" t="str">
        <f t="shared" si="1"/>
        <v>9K#1DTR(A)</v>
      </c>
      <c r="B89" t="s">
        <v>4883</v>
      </c>
      <c r="C89" t="s">
        <v>4859</v>
      </c>
      <c r="D89">
        <v>379</v>
      </c>
      <c r="E89" t="s">
        <v>4805</v>
      </c>
      <c r="F89">
        <v>409</v>
      </c>
      <c r="G89" t="s">
        <v>4805</v>
      </c>
      <c r="H89">
        <v>471</v>
      </c>
      <c r="I89" t="s">
        <v>4802</v>
      </c>
      <c r="J89" s="631">
        <v>471</v>
      </c>
      <c r="K89" t="s">
        <v>4793</v>
      </c>
      <c r="L89" t="s">
        <v>4793</v>
      </c>
      <c r="P89">
        <v>320</v>
      </c>
      <c r="Q89" t="s">
        <v>85</v>
      </c>
      <c r="R89">
        <v>320</v>
      </c>
    </row>
    <row r="90" spans="1:18" ht="19.899999999999999" customHeight="1">
      <c r="A90" t="str">
        <f t="shared" si="1"/>
        <v>9K21</v>
      </c>
      <c r="B90" t="s">
        <v>4883</v>
      </c>
      <c r="C90" t="s">
        <v>4884</v>
      </c>
      <c r="D90">
        <v>39</v>
      </c>
      <c r="E90" t="s">
        <v>4808</v>
      </c>
      <c r="F90">
        <v>30</v>
      </c>
      <c r="G90" t="s">
        <v>4808</v>
      </c>
      <c r="H90">
        <v>36</v>
      </c>
      <c r="I90" t="s">
        <v>4796</v>
      </c>
      <c r="J90" s="631">
        <v>39</v>
      </c>
      <c r="K90">
        <v>22</v>
      </c>
      <c r="L90" t="s">
        <v>4796</v>
      </c>
      <c r="P90">
        <v>1268</v>
      </c>
      <c r="Q90">
        <v>2</v>
      </c>
      <c r="R90">
        <v>1270</v>
      </c>
    </row>
    <row r="91" spans="1:18" ht="19.899999999999999" customHeight="1">
      <c r="A91" t="str">
        <f t="shared" si="1"/>
        <v>9K22</v>
      </c>
      <c r="B91" t="s">
        <v>4883</v>
      </c>
      <c r="C91" t="s">
        <v>4885</v>
      </c>
      <c r="D91">
        <v>136</v>
      </c>
      <c r="E91" t="s">
        <v>4802</v>
      </c>
      <c r="F91">
        <v>119</v>
      </c>
      <c r="G91" t="s">
        <v>4817</v>
      </c>
      <c r="H91">
        <v>125</v>
      </c>
      <c r="I91" t="s">
        <v>4792</v>
      </c>
      <c r="J91" s="631">
        <v>136</v>
      </c>
      <c r="K91">
        <v>42</v>
      </c>
      <c r="L91" t="s">
        <v>4795</v>
      </c>
      <c r="P91">
        <v>80</v>
      </c>
      <c r="Q91" t="s">
        <v>85</v>
      </c>
      <c r="R91">
        <v>80</v>
      </c>
    </row>
    <row r="92" spans="1:18" ht="19.899999999999999" customHeight="1">
      <c r="A92" t="str">
        <f t="shared" si="1"/>
        <v>9K23</v>
      </c>
      <c r="B92" t="s">
        <v>4883</v>
      </c>
      <c r="C92" t="s">
        <v>4886</v>
      </c>
      <c r="D92">
        <v>95</v>
      </c>
      <c r="E92" t="s">
        <v>4805</v>
      </c>
      <c r="F92">
        <v>126</v>
      </c>
      <c r="G92" t="s">
        <v>4805</v>
      </c>
      <c r="H92">
        <v>136</v>
      </c>
      <c r="I92" t="s">
        <v>4805</v>
      </c>
      <c r="J92" s="631">
        <v>136</v>
      </c>
      <c r="K92">
        <v>71</v>
      </c>
      <c r="L92" t="s">
        <v>4796</v>
      </c>
      <c r="P92">
        <v>3569</v>
      </c>
      <c r="Q92">
        <v>1</v>
      </c>
      <c r="R92">
        <v>3570</v>
      </c>
    </row>
    <row r="93" spans="1:18" ht="19.899999999999999" customHeight="1">
      <c r="A93" t="str">
        <f t="shared" si="1"/>
        <v>9K24</v>
      </c>
      <c r="B93" t="s">
        <v>4883</v>
      </c>
      <c r="C93" t="s">
        <v>4887</v>
      </c>
      <c r="D93">
        <v>25</v>
      </c>
      <c r="E93" t="s">
        <v>4805</v>
      </c>
      <c r="F93">
        <v>28</v>
      </c>
      <c r="G93" t="s">
        <v>4805</v>
      </c>
      <c r="H93">
        <v>34</v>
      </c>
      <c r="I93" t="s">
        <v>4802</v>
      </c>
      <c r="J93" s="631">
        <v>34</v>
      </c>
      <c r="K93">
        <v>18</v>
      </c>
      <c r="L93" t="s">
        <v>4798</v>
      </c>
      <c r="P93">
        <v>2721</v>
      </c>
      <c r="Q93">
        <v>3</v>
      </c>
      <c r="R93">
        <v>2724</v>
      </c>
    </row>
    <row r="94" spans="1:18" ht="19.899999999999999" customHeight="1">
      <c r="A94" t="str">
        <f t="shared" si="1"/>
        <v>9K25</v>
      </c>
      <c r="B94" t="s">
        <v>4883</v>
      </c>
      <c r="C94" t="s">
        <v>4888</v>
      </c>
      <c r="D94">
        <v>136</v>
      </c>
      <c r="E94" t="s">
        <v>4792</v>
      </c>
      <c r="F94">
        <v>155</v>
      </c>
      <c r="G94" t="s">
        <v>4800</v>
      </c>
      <c r="H94">
        <v>185</v>
      </c>
      <c r="I94" t="s">
        <v>4792</v>
      </c>
      <c r="J94" s="631">
        <v>185</v>
      </c>
      <c r="K94">
        <v>60</v>
      </c>
      <c r="L94" t="s">
        <v>4798</v>
      </c>
      <c r="P94">
        <v>464</v>
      </c>
      <c r="Q94">
        <v>2</v>
      </c>
      <c r="R94">
        <v>466</v>
      </c>
    </row>
    <row r="95" spans="1:18" ht="19.899999999999999" customHeight="1">
      <c r="A95" t="str">
        <f t="shared" si="1"/>
        <v>9K#1DTR(B)</v>
      </c>
      <c r="B95" t="s">
        <v>4883</v>
      </c>
      <c r="C95" t="s">
        <v>4889</v>
      </c>
      <c r="D95">
        <v>433</v>
      </c>
      <c r="E95" t="s">
        <v>4800</v>
      </c>
      <c r="F95">
        <v>402</v>
      </c>
      <c r="G95" t="s">
        <v>4814</v>
      </c>
      <c r="H95">
        <v>375</v>
      </c>
      <c r="I95" t="s">
        <v>4801</v>
      </c>
      <c r="J95" s="631">
        <v>433</v>
      </c>
      <c r="K95" t="s">
        <v>4793</v>
      </c>
      <c r="L95" t="s">
        <v>4793</v>
      </c>
      <c r="P95">
        <v>1067</v>
      </c>
      <c r="Q95">
        <v>5</v>
      </c>
      <c r="R95">
        <v>1072</v>
      </c>
    </row>
    <row r="96" spans="1:18" ht="19.899999999999999" customHeight="1">
      <c r="A96" t="str">
        <f t="shared" si="1"/>
        <v>9K26</v>
      </c>
      <c r="B96" t="s">
        <v>4883</v>
      </c>
      <c r="C96" t="s">
        <v>4890</v>
      </c>
      <c r="D96">
        <v>146</v>
      </c>
      <c r="E96" t="s">
        <v>4817</v>
      </c>
      <c r="F96">
        <v>126</v>
      </c>
      <c r="G96" t="s">
        <v>4801</v>
      </c>
      <c r="H96">
        <v>143</v>
      </c>
      <c r="I96" t="s">
        <v>4817</v>
      </c>
      <c r="J96" s="631">
        <v>146</v>
      </c>
      <c r="K96">
        <v>29</v>
      </c>
      <c r="L96" t="s">
        <v>4805</v>
      </c>
      <c r="P96">
        <v>3417</v>
      </c>
      <c r="Q96">
        <v>4</v>
      </c>
      <c r="R96">
        <v>3421</v>
      </c>
    </row>
    <row r="97" spans="1:18" ht="19.899999999999999" customHeight="1">
      <c r="A97" t="str">
        <f t="shared" si="1"/>
        <v>9K27</v>
      </c>
      <c r="B97" t="s">
        <v>4883</v>
      </c>
      <c r="C97" t="s">
        <v>4891</v>
      </c>
      <c r="D97">
        <v>73</v>
      </c>
      <c r="E97" t="s">
        <v>4826</v>
      </c>
      <c r="F97">
        <v>59</v>
      </c>
      <c r="G97" t="s">
        <v>4826</v>
      </c>
      <c r="H97">
        <v>67</v>
      </c>
      <c r="I97" t="s">
        <v>4810</v>
      </c>
      <c r="J97" s="631">
        <v>73</v>
      </c>
      <c r="K97">
        <v>37</v>
      </c>
      <c r="L97" t="s">
        <v>4800</v>
      </c>
      <c r="P97">
        <v>1974</v>
      </c>
      <c r="Q97">
        <v>6</v>
      </c>
      <c r="R97">
        <v>1980</v>
      </c>
    </row>
    <row r="98" spans="1:18" ht="19.899999999999999" customHeight="1">
      <c r="A98" t="str">
        <f t="shared" si="1"/>
        <v>9K28</v>
      </c>
      <c r="B98" t="s">
        <v>4883</v>
      </c>
      <c r="C98" t="s">
        <v>4892</v>
      </c>
      <c r="D98">
        <v>85</v>
      </c>
      <c r="E98" t="s">
        <v>4814</v>
      </c>
      <c r="F98">
        <v>85</v>
      </c>
      <c r="G98" t="s">
        <v>4814</v>
      </c>
      <c r="H98">
        <v>61</v>
      </c>
      <c r="I98" t="s">
        <v>4814</v>
      </c>
      <c r="J98" s="631">
        <v>85</v>
      </c>
      <c r="K98">
        <v>49</v>
      </c>
      <c r="L98" t="s">
        <v>4814</v>
      </c>
      <c r="P98" t="s">
        <v>85</v>
      </c>
      <c r="Q98" t="s">
        <v>85</v>
      </c>
      <c r="R98">
        <v>0</v>
      </c>
    </row>
    <row r="99" spans="1:18" ht="19.899999999999999" customHeight="1">
      <c r="A99" t="str">
        <f t="shared" si="1"/>
        <v>9K29</v>
      </c>
      <c r="B99" t="s">
        <v>4883</v>
      </c>
      <c r="C99" t="s">
        <v>4893</v>
      </c>
      <c r="D99">
        <v>104</v>
      </c>
      <c r="E99" t="s">
        <v>4796</v>
      </c>
      <c r="F99">
        <v>88</v>
      </c>
      <c r="G99" t="s">
        <v>4809</v>
      </c>
      <c r="H99">
        <v>80</v>
      </c>
      <c r="I99" t="s">
        <v>4805</v>
      </c>
      <c r="J99" s="631">
        <v>104</v>
      </c>
      <c r="K99">
        <v>59</v>
      </c>
      <c r="L99" t="s">
        <v>4792</v>
      </c>
      <c r="P99" t="s">
        <v>85</v>
      </c>
      <c r="Q99" t="s">
        <v>85</v>
      </c>
      <c r="R99">
        <v>0</v>
      </c>
    </row>
    <row r="100" spans="1:18" ht="19.899999999999999" customHeight="1">
      <c r="A100" t="str">
        <f t="shared" si="1"/>
        <v>9K30</v>
      </c>
      <c r="B100" t="s">
        <v>4883</v>
      </c>
      <c r="C100" t="s">
        <v>4894</v>
      </c>
      <c r="D100">
        <v>80</v>
      </c>
      <c r="E100" t="s">
        <v>4800</v>
      </c>
      <c r="F100">
        <v>103</v>
      </c>
      <c r="G100" t="s">
        <v>4795</v>
      </c>
      <c r="H100">
        <v>86</v>
      </c>
      <c r="I100" t="s">
        <v>4795</v>
      </c>
      <c r="J100" s="631">
        <v>103</v>
      </c>
      <c r="K100">
        <v>41</v>
      </c>
      <c r="L100" t="s">
        <v>4814</v>
      </c>
      <c r="P100" t="s">
        <v>85</v>
      </c>
      <c r="Q100" t="s">
        <v>85</v>
      </c>
      <c r="R100">
        <v>0</v>
      </c>
    </row>
    <row r="101" spans="1:18" ht="19.899999999999999" customHeight="1">
      <c r="A101" t="str">
        <f t="shared" si="1"/>
        <v>9K#2DTR(A)</v>
      </c>
      <c r="B101" t="s">
        <v>4883</v>
      </c>
      <c r="C101" t="s">
        <v>4870</v>
      </c>
      <c r="D101">
        <v>457</v>
      </c>
      <c r="E101" t="s">
        <v>4808</v>
      </c>
      <c r="F101">
        <v>501</v>
      </c>
      <c r="G101" t="s">
        <v>4805</v>
      </c>
      <c r="H101">
        <v>498</v>
      </c>
      <c r="I101" t="s">
        <v>4805</v>
      </c>
      <c r="J101" s="631">
        <v>501</v>
      </c>
      <c r="K101" t="s">
        <v>4793</v>
      </c>
      <c r="L101" t="s">
        <v>4793</v>
      </c>
      <c r="P101" t="s">
        <v>85</v>
      </c>
      <c r="Q101" t="s">
        <v>85</v>
      </c>
      <c r="R101">
        <v>0</v>
      </c>
    </row>
    <row r="102" spans="1:18" ht="19.899999999999999" customHeight="1">
      <c r="A102" t="str">
        <f t="shared" si="1"/>
        <v>9K31</v>
      </c>
      <c r="B102" t="s">
        <v>4883</v>
      </c>
      <c r="C102" t="s">
        <v>5417</v>
      </c>
      <c r="D102">
        <v>47</v>
      </c>
      <c r="E102" t="s">
        <v>4810</v>
      </c>
      <c r="F102">
        <v>51</v>
      </c>
      <c r="G102" t="s">
        <v>4826</v>
      </c>
      <c r="H102">
        <v>45</v>
      </c>
      <c r="I102" t="s">
        <v>4826</v>
      </c>
      <c r="J102" s="631">
        <v>51</v>
      </c>
      <c r="K102">
        <v>20</v>
      </c>
      <c r="L102" t="s">
        <v>4872</v>
      </c>
      <c r="P102">
        <v>1346</v>
      </c>
      <c r="Q102">
        <v>8</v>
      </c>
      <c r="R102">
        <v>1354</v>
      </c>
    </row>
    <row r="103" spans="1:18" ht="19.899999999999999" customHeight="1">
      <c r="A103" t="str">
        <f t="shared" si="1"/>
        <v>9K32</v>
      </c>
      <c r="B103" t="s">
        <v>4883</v>
      </c>
      <c r="C103" t="s">
        <v>5418</v>
      </c>
      <c r="D103">
        <v>77</v>
      </c>
      <c r="E103" t="s">
        <v>4808</v>
      </c>
      <c r="F103">
        <v>81</v>
      </c>
      <c r="G103" t="s">
        <v>4802</v>
      </c>
      <c r="H103">
        <v>79</v>
      </c>
      <c r="I103" t="s">
        <v>4814</v>
      </c>
      <c r="J103" s="631">
        <v>81</v>
      </c>
      <c r="K103">
        <v>20</v>
      </c>
      <c r="L103" t="s">
        <v>4805</v>
      </c>
      <c r="P103">
        <v>1850</v>
      </c>
      <c r="Q103">
        <v>1</v>
      </c>
      <c r="R103">
        <v>1851</v>
      </c>
    </row>
    <row r="104" spans="1:18" ht="19.899999999999999" customHeight="1">
      <c r="A104" t="str">
        <f t="shared" si="1"/>
        <v>9K34</v>
      </c>
      <c r="B104" t="s">
        <v>4883</v>
      </c>
      <c r="C104" t="s">
        <v>5419</v>
      </c>
      <c r="D104">
        <v>161</v>
      </c>
      <c r="E104" t="s">
        <v>4802</v>
      </c>
      <c r="F104">
        <v>162</v>
      </c>
      <c r="G104" t="s">
        <v>4802</v>
      </c>
      <c r="H104">
        <v>172</v>
      </c>
      <c r="I104" t="s">
        <v>4792</v>
      </c>
      <c r="J104" s="631">
        <v>172</v>
      </c>
      <c r="K104">
        <v>33</v>
      </c>
      <c r="L104" t="s">
        <v>4809</v>
      </c>
      <c r="P104">
        <v>146</v>
      </c>
      <c r="Q104" t="s">
        <v>85</v>
      </c>
      <c r="R104">
        <v>146</v>
      </c>
    </row>
    <row r="105" spans="1:18" ht="19.899999999999999" customHeight="1">
      <c r="A105" t="str">
        <f t="shared" si="1"/>
        <v>9K35</v>
      </c>
      <c r="B105" t="s">
        <v>4883</v>
      </c>
      <c r="C105" t="s">
        <v>5420</v>
      </c>
      <c r="D105">
        <v>120</v>
      </c>
      <c r="E105" t="s">
        <v>4826</v>
      </c>
      <c r="F105">
        <v>135</v>
      </c>
      <c r="G105" t="s">
        <v>4826</v>
      </c>
      <c r="H105">
        <v>131</v>
      </c>
      <c r="I105" t="s">
        <v>4809</v>
      </c>
      <c r="J105" s="631">
        <v>135</v>
      </c>
      <c r="K105">
        <v>67</v>
      </c>
      <c r="L105" t="s">
        <v>4809</v>
      </c>
      <c r="P105">
        <v>50</v>
      </c>
      <c r="Q105">
        <v>1</v>
      </c>
      <c r="R105">
        <v>51</v>
      </c>
    </row>
    <row r="106" spans="1:18" ht="19.899999999999999" customHeight="1">
      <c r="A106" t="str">
        <f t="shared" si="1"/>
        <v>9K33</v>
      </c>
      <c r="B106" t="s">
        <v>4883</v>
      </c>
      <c r="C106" t="s">
        <v>5421</v>
      </c>
      <c r="D106">
        <v>163</v>
      </c>
      <c r="E106" t="s">
        <v>4809</v>
      </c>
      <c r="F106">
        <v>172</v>
      </c>
      <c r="G106" t="s">
        <v>4801</v>
      </c>
      <c r="H106">
        <v>156</v>
      </c>
      <c r="I106" t="s">
        <v>4805</v>
      </c>
      <c r="J106" s="631">
        <v>172</v>
      </c>
      <c r="K106">
        <v>55</v>
      </c>
      <c r="L106" t="s">
        <v>4926</v>
      </c>
      <c r="P106">
        <v>293</v>
      </c>
      <c r="Q106">
        <v>1</v>
      </c>
      <c r="R106">
        <v>294</v>
      </c>
    </row>
    <row r="107" spans="1:18" ht="19.899999999999999" customHeight="1">
      <c r="A107" t="str">
        <f t="shared" si="1"/>
        <v>9K#2DTR(B)</v>
      </c>
      <c r="B107" t="s">
        <v>4883</v>
      </c>
      <c r="C107" t="s">
        <v>4877</v>
      </c>
      <c r="D107">
        <v>406</v>
      </c>
      <c r="E107" t="s">
        <v>4792</v>
      </c>
      <c r="F107">
        <v>361</v>
      </c>
      <c r="G107" t="s">
        <v>4792</v>
      </c>
      <c r="H107">
        <v>366</v>
      </c>
      <c r="I107" t="s">
        <v>4792</v>
      </c>
      <c r="J107" s="631">
        <v>406</v>
      </c>
      <c r="K107" t="s">
        <v>4793</v>
      </c>
      <c r="L107" t="s">
        <v>4793</v>
      </c>
      <c r="P107">
        <v>2342</v>
      </c>
      <c r="Q107">
        <v>6</v>
      </c>
      <c r="R107">
        <v>2348</v>
      </c>
    </row>
    <row r="108" spans="1:18" ht="19.899999999999999" customHeight="1">
      <c r="A108" t="str">
        <f t="shared" si="1"/>
        <v>9K36</v>
      </c>
      <c r="B108" t="s">
        <v>4883</v>
      </c>
      <c r="C108" t="s">
        <v>5422</v>
      </c>
      <c r="D108">
        <v>43</v>
      </c>
      <c r="E108" t="s">
        <v>4800</v>
      </c>
      <c r="F108">
        <v>32</v>
      </c>
      <c r="G108" t="s">
        <v>4812</v>
      </c>
      <c r="H108">
        <v>20</v>
      </c>
      <c r="I108" t="s">
        <v>4800</v>
      </c>
      <c r="J108" s="631">
        <v>43</v>
      </c>
      <c r="K108">
        <v>41</v>
      </c>
      <c r="L108" t="s">
        <v>4817</v>
      </c>
      <c r="P108">
        <v>908</v>
      </c>
      <c r="Q108">
        <v>1</v>
      </c>
      <c r="R108">
        <v>909</v>
      </c>
    </row>
    <row r="109" spans="1:18" ht="19.899999999999999" customHeight="1">
      <c r="A109" t="str">
        <f t="shared" si="1"/>
        <v>9K37</v>
      </c>
      <c r="B109" t="s">
        <v>4883</v>
      </c>
      <c r="C109" t="s">
        <v>5423</v>
      </c>
      <c r="D109">
        <v>118</v>
      </c>
      <c r="E109" t="s">
        <v>4792</v>
      </c>
      <c r="F109">
        <v>142</v>
      </c>
      <c r="G109" t="s">
        <v>4792</v>
      </c>
      <c r="H109">
        <v>136</v>
      </c>
      <c r="I109" t="s">
        <v>4792</v>
      </c>
      <c r="J109" s="631">
        <v>142</v>
      </c>
      <c r="K109">
        <v>44</v>
      </c>
      <c r="L109" t="s">
        <v>4802</v>
      </c>
      <c r="P109">
        <v>1529</v>
      </c>
      <c r="Q109">
        <v>3</v>
      </c>
      <c r="R109">
        <v>1532</v>
      </c>
    </row>
    <row r="110" spans="1:18" ht="19.899999999999999" customHeight="1">
      <c r="A110" t="str">
        <f t="shared" si="1"/>
        <v>9K38</v>
      </c>
      <c r="B110" t="s">
        <v>4883</v>
      </c>
      <c r="C110" t="s">
        <v>5424</v>
      </c>
      <c r="D110">
        <v>98</v>
      </c>
      <c r="E110" t="s">
        <v>4808</v>
      </c>
      <c r="F110">
        <v>93</v>
      </c>
      <c r="G110" t="s">
        <v>4809</v>
      </c>
      <c r="H110">
        <v>84</v>
      </c>
      <c r="I110" t="s">
        <v>4792</v>
      </c>
      <c r="J110" s="631">
        <v>98</v>
      </c>
      <c r="K110">
        <v>31</v>
      </c>
      <c r="L110" t="s">
        <v>4814</v>
      </c>
      <c r="P110">
        <v>5727</v>
      </c>
      <c r="Q110">
        <v>2</v>
      </c>
      <c r="R110">
        <v>5729</v>
      </c>
    </row>
    <row r="111" spans="1:18" ht="19.899999999999999" customHeight="1">
      <c r="A111" t="str">
        <f t="shared" si="1"/>
        <v>9K39</v>
      </c>
      <c r="B111" t="s">
        <v>4883</v>
      </c>
      <c r="C111" t="s">
        <v>5425</v>
      </c>
      <c r="D111">
        <v>50</v>
      </c>
      <c r="E111" t="s">
        <v>4812</v>
      </c>
      <c r="F111">
        <v>41</v>
      </c>
      <c r="G111" t="s">
        <v>4792</v>
      </c>
      <c r="H111">
        <v>66</v>
      </c>
      <c r="I111" t="s">
        <v>4812</v>
      </c>
      <c r="J111" s="631">
        <v>66</v>
      </c>
      <c r="K111">
        <v>32</v>
      </c>
      <c r="L111" t="s">
        <v>4800</v>
      </c>
      <c r="P111" t="s">
        <v>85</v>
      </c>
      <c r="Q111" t="s">
        <v>85</v>
      </c>
      <c r="R111">
        <v>0</v>
      </c>
    </row>
    <row r="112" spans="1:18" ht="19.899999999999999" customHeight="1">
      <c r="A112" t="str">
        <f t="shared" si="1"/>
        <v>9K40</v>
      </c>
      <c r="B112" t="s">
        <v>4883</v>
      </c>
      <c r="C112" t="s">
        <v>5426</v>
      </c>
      <c r="D112">
        <v>135</v>
      </c>
      <c r="E112" t="s">
        <v>4801</v>
      </c>
      <c r="F112">
        <v>99</v>
      </c>
      <c r="G112" t="s">
        <v>4809</v>
      </c>
      <c r="H112">
        <v>101</v>
      </c>
      <c r="I112" t="s">
        <v>4801</v>
      </c>
      <c r="J112" s="631">
        <v>135</v>
      </c>
      <c r="K112">
        <v>64</v>
      </c>
      <c r="L112" t="s">
        <v>4801</v>
      </c>
      <c r="P112">
        <v>4144</v>
      </c>
      <c r="Q112">
        <v>4</v>
      </c>
      <c r="R112">
        <v>4148</v>
      </c>
    </row>
    <row r="113" spans="1:18" ht="19.899999999999999" customHeight="1">
      <c r="A113" t="str">
        <f t="shared" si="1"/>
        <v>IX#1MTR</v>
      </c>
      <c r="B113" t="s">
        <v>4895</v>
      </c>
      <c r="C113" t="s">
        <v>4791</v>
      </c>
      <c r="D113">
        <v>469</v>
      </c>
      <c r="E113" t="s">
        <v>4792</v>
      </c>
      <c r="F113">
        <v>536</v>
      </c>
      <c r="G113" t="s">
        <v>4792</v>
      </c>
      <c r="H113">
        <v>547</v>
      </c>
      <c r="I113" t="s">
        <v>4792</v>
      </c>
      <c r="J113" s="631">
        <v>547</v>
      </c>
      <c r="K113" t="s">
        <v>4793</v>
      </c>
      <c r="L113" t="s">
        <v>4793</v>
      </c>
      <c r="P113">
        <v>465</v>
      </c>
      <c r="Q113">
        <v>1</v>
      </c>
      <c r="R113">
        <v>466</v>
      </c>
    </row>
    <row r="114" spans="1:18" ht="19.899999999999999" customHeight="1">
      <c r="A114" t="str">
        <f t="shared" si="1"/>
        <v>IX25</v>
      </c>
      <c r="B114" t="s">
        <v>4895</v>
      </c>
      <c r="C114" t="s">
        <v>4896</v>
      </c>
      <c r="D114">
        <v>41</v>
      </c>
      <c r="E114" t="s">
        <v>4807</v>
      </c>
      <c r="F114">
        <v>54</v>
      </c>
      <c r="G114" t="s">
        <v>4807</v>
      </c>
      <c r="H114">
        <v>59</v>
      </c>
      <c r="I114" t="s">
        <v>4802</v>
      </c>
      <c r="J114" s="631">
        <v>59</v>
      </c>
      <c r="K114">
        <v>25</v>
      </c>
      <c r="L114" t="s">
        <v>4802</v>
      </c>
      <c r="P114">
        <v>1973</v>
      </c>
      <c r="Q114">
        <v>2</v>
      </c>
      <c r="R114">
        <v>1975</v>
      </c>
    </row>
    <row r="115" spans="1:18" ht="19.899999999999999" customHeight="1">
      <c r="A115" t="str">
        <f t="shared" si="1"/>
        <v>IX23</v>
      </c>
      <c r="B115" t="s">
        <v>4895</v>
      </c>
      <c r="C115" t="s">
        <v>4897</v>
      </c>
      <c r="D115">
        <v>175</v>
      </c>
      <c r="E115" t="s">
        <v>4792</v>
      </c>
      <c r="F115">
        <v>223</v>
      </c>
      <c r="G115" t="s">
        <v>4792</v>
      </c>
      <c r="H115">
        <v>183</v>
      </c>
      <c r="I115" t="s">
        <v>4792</v>
      </c>
      <c r="J115" s="631">
        <v>223</v>
      </c>
      <c r="K115">
        <v>49</v>
      </c>
      <c r="L115" t="s">
        <v>4814</v>
      </c>
      <c r="P115">
        <v>1109</v>
      </c>
      <c r="Q115">
        <v>0</v>
      </c>
      <c r="R115">
        <v>1109</v>
      </c>
    </row>
    <row r="116" spans="1:18" ht="19.899999999999999" customHeight="1">
      <c r="A116" t="str">
        <f t="shared" si="1"/>
        <v>IX26</v>
      </c>
      <c r="B116" t="s">
        <v>4895</v>
      </c>
      <c r="C116" t="s">
        <v>4898</v>
      </c>
      <c r="D116">
        <v>138</v>
      </c>
      <c r="E116" t="s">
        <v>4792</v>
      </c>
      <c r="F116">
        <v>126</v>
      </c>
      <c r="G116" t="s">
        <v>4792</v>
      </c>
      <c r="H116">
        <v>156</v>
      </c>
      <c r="I116" t="s">
        <v>4792</v>
      </c>
      <c r="J116" s="631">
        <v>156</v>
      </c>
      <c r="K116">
        <v>42</v>
      </c>
      <c r="L116" t="s">
        <v>4802</v>
      </c>
      <c r="P116">
        <v>2367</v>
      </c>
      <c r="Q116">
        <v>1</v>
      </c>
      <c r="R116">
        <v>2368</v>
      </c>
    </row>
    <row r="117" spans="1:18" ht="19.899999999999999" customHeight="1">
      <c r="A117" t="str">
        <f t="shared" si="1"/>
        <v>IX30</v>
      </c>
      <c r="B117" t="s">
        <v>4895</v>
      </c>
      <c r="C117" t="s">
        <v>4899</v>
      </c>
      <c r="D117">
        <v>53</v>
      </c>
      <c r="E117" t="s">
        <v>4802</v>
      </c>
      <c r="F117">
        <v>51</v>
      </c>
      <c r="G117" t="s">
        <v>4798</v>
      </c>
      <c r="H117">
        <v>72</v>
      </c>
      <c r="I117" t="s">
        <v>4795</v>
      </c>
      <c r="J117" s="631">
        <v>72</v>
      </c>
      <c r="K117">
        <v>43</v>
      </c>
      <c r="L117" t="s">
        <v>4812</v>
      </c>
      <c r="P117">
        <v>1965</v>
      </c>
      <c r="Q117">
        <v>2</v>
      </c>
      <c r="R117">
        <v>1967</v>
      </c>
    </row>
    <row r="118" spans="1:18" ht="19.899999999999999" customHeight="1">
      <c r="A118" t="str">
        <f t="shared" si="1"/>
        <v>IX24</v>
      </c>
      <c r="B118" t="s">
        <v>4895</v>
      </c>
      <c r="C118" t="s">
        <v>4900</v>
      </c>
      <c r="D118">
        <v>102</v>
      </c>
      <c r="E118" t="s">
        <v>4812</v>
      </c>
      <c r="F118">
        <v>138</v>
      </c>
      <c r="G118" t="s">
        <v>4795</v>
      </c>
      <c r="H118">
        <v>110</v>
      </c>
      <c r="I118" t="s">
        <v>4795</v>
      </c>
      <c r="J118" s="631">
        <v>138</v>
      </c>
      <c r="K118">
        <v>51</v>
      </c>
      <c r="L118" t="s">
        <v>4795</v>
      </c>
      <c r="P118">
        <v>813</v>
      </c>
      <c r="Q118">
        <v>9</v>
      </c>
      <c r="R118">
        <v>822</v>
      </c>
    </row>
    <row r="119" spans="1:18" ht="19.899999999999999" customHeight="1">
      <c r="A119" t="str">
        <f t="shared" si="1"/>
        <v>IX#2MTR</v>
      </c>
      <c r="B119" t="s">
        <v>4895</v>
      </c>
      <c r="C119" t="s">
        <v>4803</v>
      </c>
      <c r="D119">
        <v>398</v>
      </c>
      <c r="E119" t="s">
        <v>4792</v>
      </c>
      <c r="F119">
        <v>350</v>
      </c>
      <c r="G119" t="s">
        <v>4792</v>
      </c>
      <c r="H119">
        <v>435</v>
      </c>
      <c r="I119" t="s">
        <v>4792</v>
      </c>
      <c r="J119" s="631">
        <v>435</v>
      </c>
      <c r="K119" t="s">
        <v>4793</v>
      </c>
      <c r="L119" t="s">
        <v>4793</v>
      </c>
      <c r="P119">
        <v>1756</v>
      </c>
      <c r="Q119">
        <v>3</v>
      </c>
      <c r="R119">
        <v>1759</v>
      </c>
    </row>
    <row r="120" spans="1:18" ht="19.899999999999999" customHeight="1">
      <c r="A120" t="str">
        <f t="shared" si="1"/>
        <v>IX28</v>
      </c>
      <c r="B120" t="s">
        <v>4895</v>
      </c>
      <c r="C120" t="s">
        <v>4901</v>
      </c>
      <c r="D120">
        <v>106</v>
      </c>
      <c r="E120" t="s">
        <v>4810</v>
      </c>
      <c r="F120">
        <v>111</v>
      </c>
      <c r="G120" t="s">
        <v>4810</v>
      </c>
      <c r="H120">
        <v>115</v>
      </c>
      <c r="I120" t="s">
        <v>4810</v>
      </c>
      <c r="J120" s="631">
        <v>115</v>
      </c>
      <c r="K120">
        <v>28</v>
      </c>
      <c r="L120" t="s">
        <v>4792</v>
      </c>
      <c r="P120">
        <v>1131</v>
      </c>
      <c r="Q120">
        <v>4</v>
      </c>
      <c r="R120">
        <v>1135</v>
      </c>
    </row>
    <row r="121" spans="1:18" ht="19.899999999999999" customHeight="1">
      <c r="A121" t="str">
        <f t="shared" si="1"/>
        <v>IX34</v>
      </c>
      <c r="B121" t="s">
        <v>4895</v>
      </c>
      <c r="C121" t="s">
        <v>4902</v>
      </c>
      <c r="D121">
        <v>116</v>
      </c>
      <c r="E121" t="s">
        <v>4798</v>
      </c>
      <c r="F121">
        <v>108</v>
      </c>
      <c r="G121" t="s">
        <v>4798</v>
      </c>
      <c r="H121">
        <v>102</v>
      </c>
      <c r="I121" t="s">
        <v>4798</v>
      </c>
      <c r="J121" s="631">
        <v>116</v>
      </c>
      <c r="K121">
        <v>42</v>
      </c>
      <c r="L121" t="s">
        <v>4821</v>
      </c>
      <c r="P121" t="s">
        <v>85</v>
      </c>
      <c r="Q121" t="s">
        <v>85</v>
      </c>
      <c r="R121">
        <v>0</v>
      </c>
    </row>
    <row r="122" spans="1:18" ht="19.899999999999999" customHeight="1">
      <c r="A122" t="str">
        <f t="shared" si="1"/>
        <v>IX31</v>
      </c>
      <c r="B122" t="s">
        <v>4895</v>
      </c>
      <c r="C122" t="s">
        <v>4903</v>
      </c>
      <c r="D122">
        <v>88</v>
      </c>
      <c r="E122" t="s">
        <v>4792</v>
      </c>
      <c r="F122">
        <v>62</v>
      </c>
      <c r="G122" t="s">
        <v>4795</v>
      </c>
      <c r="H122">
        <v>84</v>
      </c>
      <c r="I122" t="s">
        <v>4792</v>
      </c>
      <c r="J122" s="631">
        <v>88</v>
      </c>
      <c r="K122">
        <v>31</v>
      </c>
      <c r="L122" t="s">
        <v>4792</v>
      </c>
      <c r="P122">
        <v>1862</v>
      </c>
      <c r="Q122">
        <v>1</v>
      </c>
      <c r="R122">
        <v>1863</v>
      </c>
    </row>
    <row r="123" spans="1:18" ht="19.899999999999999" customHeight="1">
      <c r="A123" t="str">
        <f t="shared" si="1"/>
        <v>IX33</v>
      </c>
      <c r="B123" t="s">
        <v>4895</v>
      </c>
      <c r="C123" t="s">
        <v>4904</v>
      </c>
      <c r="D123">
        <v>77</v>
      </c>
      <c r="E123" t="s">
        <v>4792</v>
      </c>
      <c r="F123">
        <v>60</v>
      </c>
      <c r="G123" t="s">
        <v>4802</v>
      </c>
      <c r="H123">
        <v>100</v>
      </c>
      <c r="I123" t="s">
        <v>4792</v>
      </c>
      <c r="J123" s="631">
        <v>100</v>
      </c>
      <c r="K123">
        <v>41</v>
      </c>
      <c r="L123" t="s">
        <v>4798</v>
      </c>
      <c r="P123">
        <v>2278</v>
      </c>
      <c r="Q123">
        <v>7</v>
      </c>
      <c r="R123">
        <v>2285</v>
      </c>
    </row>
    <row r="124" spans="1:18" ht="19.899999999999999" customHeight="1">
      <c r="A124" t="str">
        <f t="shared" si="1"/>
        <v>IX32</v>
      </c>
      <c r="B124" t="s">
        <v>4895</v>
      </c>
      <c r="C124" t="s">
        <v>4905</v>
      </c>
      <c r="D124">
        <v>60</v>
      </c>
      <c r="E124" t="s">
        <v>4792</v>
      </c>
      <c r="F124">
        <v>45</v>
      </c>
      <c r="G124" t="s">
        <v>4809</v>
      </c>
      <c r="H124">
        <v>63</v>
      </c>
      <c r="I124" t="s">
        <v>4802</v>
      </c>
      <c r="J124" s="631">
        <v>63</v>
      </c>
      <c r="K124">
        <v>33</v>
      </c>
      <c r="L124" t="s">
        <v>4802</v>
      </c>
      <c r="P124">
        <v>2746</v>
      </c>
      <c r="Q124">
        <v>6</v>
      </c>
      <c r="R124">
        <v>2752</v>
      </c>
    </row>
    <row r="125" spans="1:18" ht="19.899999999999999" customHeight="1">
      <c r="A125" t="str">
        <f t="shared" si="1"/>
        <v>IX#3MTR</v>
      </c>
      <c r="B125" t="s">
        <v>4895</v>
      </c>
      <c r="C125" t="s">
        <v>4811</v>
      </c>
      <c r="D125">
        <v>480</v>
      </c>
      <c r="E125" t="s">
        <v>4792</v>
      </c>
      <c r="F125">
        <v>510</v>
      </c>
      <c r="G125" t="s">
        <v>4795</v>
      </c>
      <c r="H125">
        <v>506</v>
      </c>
      <c r="I125" t="s">
        <v>4792</v>
      </c>
      <c r="J125" s="631">
        <v>510</v>
      </c>
      <c r="K125" t="s">
        <v>4793</v>
      </c>
      <c r="L125" t="s">
        <v>4793</v>
      </c>
      <c r="P125">
        <v>413</v>
      </c>
      <c r="Q125" t="s">
        <v>85</v>
      </c>
      <c r="R125">
        <v>413</v>
      </c>
    </row>
    <row r="126" spans="1:18" ht="19.899999999999999" customHeight="1">
      <c r="A126" t="str">
        <f t="shared" si="1"/>
        <v>IX22</v>
      </c>
      <c r="B126" t="s">
        <v>4895</v>
      </c>
      <c r="C126" t="s">
        <v>4906</v>
      </c>
      <c r="D126">
        <v>104</v>
      </c>
      <c r="E126" t="s">
        <v>4798</v>
      </c>
      <c r="F126">
        <v>103</v>
      </c>
      <c r="G126" t="s">
        <v>4795</v>
      </c>
      <c r="H126">
        <v>104</v>
      </c>
      <c r="I126" t="s">
        <v>4792</v>
      </c>
      <c r="J126" s="631">
        <v>104</v>
      </c>
      <c r="K126">
        <v>42</v>
      </c>
      <c r="L126" t="s">
        <v>4817</v>
      </c>
      <c r="P126">
        <v>1338</v>
      </c>
      <c r="Q126">
        <v>1</v>
      </c>
      <c r="R126">
        <v>1339</v>
      </c>
    </row>
    <row r="127" spans="1:18" ht="19.899999999999999" customHeight="1">
      <c r="A127" t="str">
        <f t="shared" si="1"/>
        <v>IX20</v>
      </c>
      <c r="B127" t="s">
        <v>4895</v>
      </c>
      <c r="C127" t="s">
        <v>4907</v>
      </c>
      <c r="D127">
        <v>156</v>
      </c>
      <c r="E127" t="s">
        <v>4795</v>
      </c>
      <c r="F127">
        <v>138</v>
      </c>
      <c r="G127" t="s">
        <v>4795</v>
      </c>
      <c r="H127">
        <v>151</v>
      </c>
      <c r="I127" t="s">
        <v>4795</v>
      </c>
      <c r="J127" s="631">
        <v>156</v>
      </c>
      <c r="K127">
        <v>30</v>
      </c>
      <c r="L127" t="s">
        <v>4872</v>
      </c>
      <c r="P127">
        <v>2757</v>
      </c>
      <c r="Q127">
        <v>1</v>
      </c>
      <c r="R127">
        <v>2758</v>
      </c>
    </row>
    <row r="128" spans="1:18" ht="19.899999999999999" customHeight="1">
      <c r="A128" t="str">
        <f t="shared" si="1"/>
        <v>IX21</v>
      </c>
      <c r="B128" t="s">
        <v>4895</v>
      </c>
      <c r="C128" t="s">
        <v>4908</v>
      </c>
      <c r="D128">
        <v>91</v>
      </c>
      <c r="E128" t="s">
        <v>4802</v>
      </c>
      <c r="F128">
        <v>116</v>
      </c>
      <c r="G128" t="s">
        <v>4792</v>
      </c>
      <c r="H128">
        <v>89</v>
      </c>
      <c r="I128" t="s">
        <v>4792</v>
      </c>
      <c r="J128" s="631">
        <v>116</v>
      </c>
      <c r="K128">
        <v>39</v>
      </c>
      <c r="L128" t="s">
        <v>4798</v>
      </c>
      <c r="P128">
        <v>18</v>
      </c>
      <c r="Q128">
        <v>1</v>
      </c>
      <c r="R128">
        <v>19</v>
      </c>
    </row>
    <row r="129" spans="1:18" ht="19.899999999999999" customHeight="1">
      <c r="A129" t="str">
        <f t="shared" si="1"/>
        <v>IX29</v>
      </c>
      <c r="B129" t="s">
        <v>4895</v>
      </c>
      <c r="C129" t="s">
        <v>4909</v>
      </c>
      <c r="D129">
        <v>122</v>
      </c>
      <c r="E129" t="s">
        <v>4798</v>
      </c>
      <c r="F129">
        <v>152</v>
      </c>
      <c r="G129" t="s">
        <v>4795</v>
      </c>
      <c r="H129">
        <v>140</v>
      </c>
      <c r="I129" t="s">
        <v>4800</v>
      </c>
      <c r="J129" s="631">
        <v>152</v>
      </c>
      <c r="K129">
        <v>42</v>
      </c>
      <c r="L129" t="s">
        <v>4795</v>
      </c>
      <c r="P129">
        <v>1600</v>
      </c>
      <c r="Q129">
        <v>0</v>
      </c>
      <c r="R129">
        <v>1600</v>
      </c>
    </row>
    <row r="130" spans="1:18" ht="19.899999999999999" customHeight="1">
      <c r="A130" t="str">
        <f t="shared" si="1"/>
        <v>IX27</v>
      </c>
      <c r="B130" t="s">
        <v>4895</v>
      </c>
      <c r="C130" t="s">
        <v>4910</v>
      </c>
      <c r="D130">
        <v>18</v>
      </c>
      <c r="E130" t="s">
        <v>4802</v>
      </c>
      <c r="F130">
        <v>14</v>
      </c>
      <c r="G130" t="s">
        <v>4792</v>
      </c>
      <c r="H130">
        <v>37</v>
      </c>
      <c r="I130" t="s">
        <v>4792</v>
      </c>
      <c r="J130" s="631">
        <v>37</v>
      </c>
      <c r="K130">
        <v>22</v>
      </c>
      <c r="L130" t="s">
        <v>4805</v>
      </c>
      <c r="P130">
        <v>2985</v>
      </c>
      <c r="Q130">
        <v>6</v>
      </c>
      <c r="R130">
        <v>2991</v>
      </c>
    </row>
    <row r="131" spans="1:18" ht="19.899999999999999" customHeight="1">
      <c r="A131" t="str">
        <f t="shared" ref="A131:A194" si="2">IF(COUNTIF(C131,"*TR*")&gt;0,SUBSTITUTE(RIGHT(B131,3) &amp; C131," ",""),MID(C131,FIND("(",C131)+1,4))</f>
        <v>IG#1DTR(A)</v>
      </c>
      <c r="B131" t="s">
        <v>4911</v>
      </c>
      <c r="C131" t="s">
        <v>4859</v>
      </c>
      <c r="D131">
        <v>604</v>
      </c>
      <c r="E131" t="s">
        <v>4810</v>
      </c>
      <c r="F131">
        <v>600</v>
      </c>
      <c r="G131" t="s">
        <v>4810</v>
      </c>
      <c r="H131">
        <v>586</v>
      </c>
      <c r="I131" t="s">
        <v>4810</v>
      </c>
      <c r="J131" s="631">
        <v>604</v>
      </c>
      <c r="K131" t="s">
        <v>4793</v>
      </c>
      <c r="L131" t="s">
        <v>4793</v>
      </c>
      <c r="P131">
        <v>4253</v>
      </c>
      <c r="Q131" t="s">
        <v>85</v>
      </c>
      <c r="R131">
        <v>4253</v>
      </c>
    </row>
    <row r="132" spans="1:18" ht="19.899999999999999" customHeight="1">
      <c r="A132" t="str">
        <f t="shared" si="2"/>
        <v>IG30</v>
      </c>
      <c r="B132" t="s">
        <v>4911</v>
      </c>
      <c r="C132" t="s">
        <v>4912</v>
      </c>
      <c r="D132">
        <v>39</v>
      </c>
      <c r="E132" t="s">
        <v>4810</v>
      </c>
      <c r="F132">
        <v>23</v>
      </c>
      <c r="G132" t="s">
        <v>4810</v>
      </c>
      <c r="H132">
        <v>34</v>
      </c>
      <c r="I132" t="s">
        <v>4810</v>
      </c>
      <c r="J132" s="631">
        <v>39</v>
      </c>
      <c r="K132">
        <v>22</v>
      </c>
      <c r="L132" t="s">
        <v>4810</v>
      </c>
      <c r="P132">
        <v>1111</v>
      </c>
      <c r="Q132">
        <v>2</v>
      </c>
      <c r="R132">
        <v>1113</v>
      </c>
    </row>
    <row r="133" spans="1:18" ht="19.899999999999999" customHeight="1">
      <c r="A133" t="str">
        <f t="shared" si="2"/>
        <v>IG31</v>
      </c>
      <c r="B133" t="s">
        <v>4911</v>
      </c>
      <c r="C133" t="s">
        <v>4913</v>
      </c>
      <c r="D133">
        <v>190</v>
      </c>
      <c r="E133" t="s">
        <v>4810</v>
      </c>
      <c r="F133">
        <v>202</v>
      </c>
      <c r="G133" t="s">
        <v>4810</v>
      </c>
      <c r="H133">
        <v>192</v>
      </c>
      <c r="I133" t="s">
        <v>4810</v>
      </c>
      <c r="J133" s="631">
        <v>202</v>
      </c>
      <c r="K133">
        <v>12</v>
      </c>
      <c r="L133" t="s">
        <v>4810</v>
      </c>
      <c r="P133">
        <v>216</v>
      </c>
      <c r="Q133">
        <v>1</v>
      </c>
      <c r="R133">
        <v>217</v>
      </c>
    </row>
    <row r="134" spans="1:18" ht="19.899999999999999" customHeight="1">
      <c r="A134" t="str">
        <f t="shared" si="2"/>
        <v>IG32</v>
      </c>
      <c r="B134" t="s">
        <v>4911</v>
      </c>
      <c r="C134" t="s">
        <v>4914</v>
      </c>
      <c r="D134">
        <v>175</v>
      </c>
      <c r="E134" t="s">
        <v>4810</v>
      </c>
      <c r="F134">
        <v>180</v>
      </c>
      <c r="G134" t="s">
        <v>4810</v>
      </c>
      <c r="H134">
        <v>180</v>
      </c>
      <c r="I134" t="s">
        <v>4810</v>
      </c>
      <c r="J134" s="631">
        <v>180</v>
      </c>
      <c r="K134">
        <v>0</v>
      </c>
      <c r="L134" t="s">
        <v>4810</v>
      </c>
      <c r="P134">
        <v>2611</v>
      </c>
      <c r="Q134">
        <v>1</v>
      </c>
      <c r="R134">
        <v>2612</v>
      </c>
    </row>
    <row r="135" spans="1:18" ht="19.899999999999999" customHeight="1">
      <c r="A135" t="str">
        <f t="shared" si="2"/>
        <v>IG33</v>
      </c>
      <c r="B135" t="s">
        <v>4911</v>
      </c>
      <c r="C135" t="s">
        <v>4915</v>
      </c>
      <c r="D135">
        <v>144</v>
      </c>
      <c r="E135" t="s">
        <v>4810</v>
      </c>
      <c r="F135">
        <v>156</v>
      </c>
      <c r="G135" t="s">
        <v>4810</v>
      </c>
      <c r="H135">
        <v>151</v>
      </c>
      <c r="I135" t="s">
        <v>4810</v>
      </c>
      <c r="J135" s="631">
        <v>156</v>
      </c>
      <c r="K135">
        <v>0</v>
      </c>
      <c r="L135" t="s">
        <v>4810</v>
      </c>
      <c r="P135">
        <v>2600</v>
      </c>
      <c r="Q135">
        <v>8</v>
      </c>
      <c r="R135">
        <v>2608</v>
      </c>
    </row>
    <row r="136" spans="1:18" ht="19.899999999999999" customHeight="1">
      <c r="A136" t="str">
        <f t="shared" si="2"/>
        <v>IG34</v>
      </c>
      <c r="B136" t="s">
        <v>4911</v>
      </c>
      <c r="C136" t="s">
        <v>4916</v>
      </c>
      <c r="D136">
        <v>52</v>
      </c>
      <c r="E136" t="s">
        <v>4810</v>
      </c>
      <c r="F136">
        <v>40</v>
      </c>
      <c r="G136" t="s">
        <v>4810</v>
      </c>
      <c r="H136">
        <v>31</v>
      </c>
      <c r="I136" t="s">
        <v>4810</v>
      </c>
      <c r="J136" s="631">
        <v>52</v>
      </c>
      <c r="K136">
        <v>21</v>
      </c>
      <c r="L136" t="s">
        <v>4810</v>
      </c>
      <c r="P136">
        <v>1053</v>
      </c>
      <c r="Q136">
        <v>4</v>
      </c>
      <c r="R136">
        <v>1057</v>
      </c>
    </row>
    <row r="137" spans="1:18" ht="19.899999999999999" customHeight="1">
      <c r="A137" t="str">
        <f t="shared" si="2"/>
        <v>IG#1DTR(B)</v>
      </c>
      <c r="B137" t="s">
        <v>4911</v>
      </c>
      <c r="C137" t="s">
        <v>4889</v>
      </c>
      <c r="D137">
        <v>531</v>
      </c>
      <c r="E137" t="s">
        <v>4810</v>
      </c>
      <c r="F137">
        <v>523</v>
      </c>
      <c r="G137" t="s">
        <v>4810</v>
      </c>
      <c r="H137">
        <v>519</v>
      </c>
      <c r="I137" t="s">
        <v>4810</v>
      </c>
      <c r="J137" s="631">
        <v>531</v>
      </c>
      <c r="K137" t="s">
        <v>4793</v>
      </c>
      <c r="L137" t="s">
        <v>4793</v>
      </c>
      <c r="P137">
        <v>1910</v>
      </c>
      <c r="Q137">
        <v>4</v>
      </c>
      <c r="R137">
        <v>1914</v>
      </c>
    </row>
    <row r="138" spans="1:18" ht="19.899999999999999" customHeight="1">
      <c r="A138" t="str">
        <f t="shared" si="2"/>
        <v>IG35</v>
      </c>
      <c r="B138" t="s">
        <v>4911</v>
      </c>
      <c r="C138" t="s">
        <v>4917</v>
      </c>
      <c r="D138">
        <v>81</v>
      </c>
      <c r="E138" t="s">
        <v>4810</v>
      </c>
      <c r="F138">
        <v>82</v>
      </c>
      <c r="G138" t="s">
        <v>4810</v>
      </c>
      <c r="H138">
        <v>68</v>
      </c>
      <c r="I138" t="s">
        <v>4810</v>
      </c>
      <c r="J138" s="631">
        <v>82</v>
      </c>
      <c r="K138">
        <v>26</v>
      </c>
      <c r="L138" t="s">
        <v>4810</v>
      </c>
      <c r="P138">
        <v>1669</v>
      </c>
      <c r="Q138">
        <v>3</v>
      </c>
      <c r="R138">
        <v>1672</v>
      </c>
    </row>
    <row r="139" spans="1:18" ht="19.899999999999999" customHeight="1">
      <c r="A139" t="str">
        <f t="shared" si="2"/>
        <v>IG36</v>
      </c>
      <c r="B139" t="s">
        <v>4911</v>
      </c>
      <c r="C139" t="s">
        <v>4919</v>
      </c>
      <c r="D139">
        <v>64</v>
      </c>
      <c r="E139" t="s">
        <v>4810</v>
      </c>
      <c r="F139">
        <v>56</v>
      </c>
      <c r="G139" t="s">
        <v>4810</v>
      </c>
      <c r="H139">
        <v>49</v>
      </c>
      <c r="I139" t="s">
        <v>4810</v>
      </c>
      <c r="J139" s="631">
        <v>64</v>
      </c>
      <c r="K139">
        <v>11</v>
      </c>
      <c r="L139" t="s">
        <v>4810</v>
      </c>
      <c r="P139">
        <v>1997</v>
      </c>
      <c r="Q139">
        <v>2</v>
      </c>
      <c r="R139">
        <v>1999</v>
      </c>
    </row>
    <row r="140" spans="1:18" ht="19.899999999999999" customHeight="1">
      <c r="A140" t="str">
        <f t="shared" si="2"/>
        <v>IG37</v>
      </c>
      <c r="B140" t="s">
        <v>4911</v>
      </c>
      <c r="C140" t="s">
        <v>4920</v>
      </c>
      <c r="D140">
        <v>162</v>
      </c>
      <c r="E140" t="s">
        <v>4810</v>
      </c>
      <c r="F140">
        <v>171</v>
      </c>
      <c r="G140" t="s">
        <v>4810</v>
      </c>
      <c r="H140">
        <v>184</v>
      </c>
      <c r="I140" t="s">
        <v>4810</v>
      </c>
      <c r="J140" s="631">
        <v>184</v>
      </c>
      <c r="K140">
        <v>18</v>
      </c>
      <c r="L140" t="s">
        <v>4810</v>
      </c>
      <c r="P140">
        <v>974</v>
      </c>
      <c r="Q140">
        <v>2</v>
      </c>
      <c r="R140">
        <v>976</v>
      </c>
    </row>
    <row r="141" spans="1:18" ht="19.899999999999999" customHeight="1">
      <c r="A141" t="str">
        <f t="shared" si="2"/>
        <v>IG38</v>
      </c>
      <c r="B141" t="s">
        <v>4911</v>
      </c>
      <c r="C141" t="s">
        <v>4921</v>
      </c>
      <c r="D141">
        <v>153</v>
      </c>
      <c r="E141" t="s">
        <v>4810</v>
      </c>
      <c r="F141">
        <v>139</v>
      </c>
      <c r="G141" t="s">
        <v>4810</v>
      </c>
      <c r="H141">
        <v>137</v>
      </c>
      <c r="I141" t="s">
        <v>4810</v>
      </c>
      <c r="J141" s="631">
        <v>153</v>
      </c>
      <c r="K141">
        <v>20</v>
      </c>
      <c r="L141" t="s">
        <v>4810</v>
      </c>
      <c r="P141">
        <v>970</v>
      </c>
      <c r="Q141">
        <v>1</v>
      </c>
      <c r="R141">
        <v>971</v>
      </c>
    </row>
    <row r="142" spans="1:18" ht="19.899999999999999" customHeight="1">
      <c r="A142" t="str">
        <f t="shared" si="2"/>
        <v>IG39</v>
      </c>
      <c r="B142" t="s">
        <v>4911</v>
      </c>
      <c r="C142" t="s">
        <v>4922</v>
      </c>
      <c r="D142">
        <v>75</v>
      </c>
      <c r="E142" t="s">
        <v>4810</v>
      </c>
      <c r="F142">
        <v>84</v>
      </c>
      <c r="G142" t="s">
        <v>4810</v>
      </c>
      <c r="H142">
        <v>77</v>
      </c>
      <c r="I142" t="s">
        <v>4810</v>
      </c>
      <c r="J142" s="631">
        <v>84</v>
      </c>
      <c r="K142">
        <v>5</v>
      </c>
      <c r="L142" t="s">
        <v>4810</v>
      </c>
      <c r="P142">
        <v>907</v>
      </c>
      <c r="Q142">
        <v>3</v>
      </c>
      <c r="R142">
        <v>910</v>
      </c>
    </row>
    <row r="143" spans="1:18" ht="19.899999999999999" customHeight="1">
      <c r="A143" t="str">
        <f t="shared" si="2"/>
        <v>IG#2DTR(A)</v>
      </c>
      <c r="B143" t="s">
        <v>4911</v>
      </c>
      <c r="C143" t="s">
        <v>4870</v>
      </c>
      <c r="D143">
        <v>259</v>
      </c>
      <c r="E143" t="s">
        <v>4810</v>
      </c>
      <c r="F143">
        <v>253</v>
      </c>
      <c r="G143" t="s">
        <v>4810</v>
      </c>
      <c r="H143">
        <v>285</v>
      </c>
      <c r="I143" t="s">
        <v>4810</v>
      </c>
      <c r="J143" s="631">
        <v>285</v>
      </c>
      <c r="K143" t="s">
        <v>4793</v>
      </c>
      <c r="L143" t="s">
        <v>4793</v>
      </c>
      <c r="P143">
        <v>1943</v>
      </c>
      <c r="Q143">
        <v>4</v>
      </c>
      <c r="R143">
        <v>1947</v>
      </c>
    </row>
    <row r="144" spans="1:18" ht="19.899999999999999" customHeight="1">
      <c r="A144" t="str">
        <f t="shared" si="2"/>
        <v>IG40</v>
      </c>
      <c r="B144" t="s">
        <v>4911</v>
      </c>
      <c r="C144" t="s">
        <v>5427</v>
      </c>
      <c r="D144">
        <v>255</v>
      </c>
      <c r="E144" t="s">
        <v>4810</v>
      </c>
      <c r="F144">
        <v>247</v>
      </c>
      <c r="G144" t="s">
        <v>4810</v>
      </c>
      <c r="H144">
        <v>246</v>
      </c>
      <c r="I144" t="s">
        <v>4810</v>
      </c>
      <c r="J144" s="631">
        <v>255</v>
      </c>
      <c r="K144">
        <v>32</v>
      </c>
      <c r="L144" t="s">
        <v>4810</v>
      </c>
      <c r="P144">
        <v>1804</v>
      </c>
      <c r="Q144" t="s">
        <v>85</v>
      </c>
      <c r="R144">
        <v>1804</v>
      </c>
    </row>
    <row r="145" spans="1:18" ht="19.899999999999999" customHeight="1">
      <c r="A145" t="str">
        <f t="shared" si="2"/>
        <v>IG41</v>
      </c>
      <c r="B145" t="s">
        <v>4911</v>
      </c>
      <c r="C145" t="s">
        <v>5428</v>
      </c>
      <c r="D145">
        <v>237</v>
      </c>
      <c r="E145" t="s">
        <v>4810</v>
      </c>
      <c r="F145">
        <v>231</v>
      </c>
      <c r="G145" t="s">
        <v>4810</v>
      </c>
      <c r="H145">
        <v>252</v>
      </c>
      <c r="I145" t="s">
        <v>4810</v>
      </c>
      <c r="J145" s="631">
        <v>252</v>
      </c>
      <c r="K145">
        <v>38</v>
      </c>
      <c r="L145" t="s">
        <v>4810</v>
      </c>
      <c r="P145">
        <v>1391</v>
      </c>
      <c r="Q145">
        <v>1</v>
      </c>
      <c r="R145">
        <v>1392</v>
      </c>
    </row>
    <row r="146" spans="1:18" ht="19.899999999999999" customHeight="1">
      <c r="A146" t="str">
        <f t="shared" si="2"/>
        <v>IG43</v>
      </c>
      <c r="B146" t="s">
        <v>4911</v>
      </c>
      <c r="C146" t="s">
        <v>5429</v>
      </c>
      <c r="D146">
        <v>204</v>
      </c>
      <c r="E146" t="s">
        <v>4810</v>
      </c>
      <c r="F146">
        <v>194</v>
      </c>
      <c r="G146" t="s">
        <v>4810</v>
      </c>
      <c r="H146">
        <v>188</v>
      </c>
      <c r="I146" t="s">
        <v>4810</v>
      </c>
      <c r="J146" s="631">
        <v>204</v>
      </c>
      <c r="K146">
        <v>10</v>
      </c>
      <c r="L146" t="s">
        <v>4810</v>
      </c>
      <c r="P146">
        <v>2326</v>
      </c>
      <c r="Q146">
        <v>1</v>
      </c>
      <c r="R146">
        <v>2327</v>
      </c>
    </row>
    <row r="147" spans="1:18" ht="19.899999999999999" customHeight="1">
      <c r="A147" t="str">
        <f t="shared" si="2"/>
        <v>IG44</v>
      </c>
      <c r="B147" t="s">
        <v>4911</v>
      </c>
      <c r="C147" t="s">
        <v>5430</v>
      </c>
      <c r="D147">
        <v>58</v>
      </c>
      <c r="E147" t="s">
        <v>4810</v>
      </c>
      <c r="F147">
        <v>67</v>
      </c>
      <c r="G147" t="s">
        <v>4810</v>
      </c>
      <c r="H147">
        <v>102</v>
      </c>
      <c r="I147" t="s">
        <v>4810</v>
      </c>
      <c r="J147" s="631">
        <v>102</v>
      </c>
      <c r="K147">
        <v>69</v>
      </c>
      <c r="L147" t="s">
        <v>4810</v>
      </c>
      <c r="P147">
        <v>3670</v>
      </c>
      <c r="Q147">
        <v>3</v>
      </c>
      <c r="R147">
        <v>3673</v>
      </c>
    </row>
    <row r="148" spans="1:18" ht="19.899999999999999" customHeight="1">
      <c r="A148" t="str">
        <f t="shared" si="2"/>
        <v>IG42</v>
      </c>
      <c r="B148" t="s">
        <v>4911</v>
      </c>
      <c r="C148" t="s">
        <v>5431</v>
      </c>
      <c r="D148">
        <v>49</v>
      </c>
      <c r="E148" t="s">
        <v>4810</v>
      </c>
      <c r="F148">
        <v>51</v>
      </c>
      <c r="G148" t="s">
        <v>4810</v>
      </c>
      <c r="H148">
        <v>42</v>
      </c>
      <c r="I148" t="s">
        <v>4810</v>
      </c>
      <c r="J148" s="631">
        <v>51</v>
      </c>
      <c r="K148">
        <v>0</v>
      </c>
      <c r="L148" t="s">
        <v>4810</v>
      </c>
      <c r="P148">
        <v>3252</v>
      </c>
      <c r="Q148">
        <v>3</v>
      </c>
      <c r="R148">
        <v>3255</v>
      </c>
    </row>
    <row r="149" spans="1:18" ht="19.899999999999999" customHeight="1">
      <c r="A149" t="str">
        <f t="shared" si="2"/>
        <v>IG#2DTR(B)</v>
      </c>
      <c r="B149" t="s">
        <v>4911</v>
      </c>
      <c r="C149" t="s">
        <v>4877</v>
      </c>
      <c r="D149">
        <v>504</v>
      </c>
      <c r="E149" t="s">
        <v>4810</v>
      </c>
      <c r="F149">
        <v>495</v>
      </c>
      <c r="G149" t="s">
        <v>4810</v>
      </c>
      <c r="H149">
        <v>522</v>
      </c>
      <c r="I149" t="s">
        <v>4810</v>
      </c>
      <c r="J149" s="631">
        <v>522</v>
      </c>
      <c r="K149" t="s">
        <v>4793</v>
      </c>
      <c r="L149" t="s">
        <v>4793</v>
      </c>
      <c r="P149">
        <v>948</v>
      </c>
      <c r="Q149">
        <v>1</v>
      </c>
      <c r="R149">
        <v>949</v>
      </c>
    </row>
    <row r="150" spans="1:18" ht="19.899999999999999" customHeight="1">
      <c r="A150" t="str">
        <f t="shared" si="2"/>
        <v>IG45</v>
      </c>
      <c r="B150" t="s">
        <v>4911</v>
      </c>
      <c r="C150" t="s">
        <v>5432</v>
      </c>
      <c r="D150">
        <v>240</v>
      </c>
      <c r="E150" t="s">
        <v>4810</v>
      </c>
      <c r="F150">
        <v>224</v>
      </c>
      <c r="G150" t="s">
        <v>4810</v>
      </c>
      <c r="H150">
        <v>230</v>
      </c>
      <c r="I150" t="s">
        <v>4810</v>
      </c>
      <c r="J150" s="631">
        <v>240</v>
      </c>
      <c r="K150">
        <v>22</v>
      </c>
      <c r="L150" t="s">
        <v>4810</v>
      </c>
      <c r="P150">
        <v>1944</v>
      </c>
      <c r="Q150">
        <v>2</v>
      </c>
      <c r="R150">
        <v>1946</v>
      </c>
    </row>
    <row r="151" spans="1:18" ht="19.899999999999999" customHeight="1">
      <c r="A151" t="str">
        <f t="shared" si="2"/>
        <v>IG46</v>
      </c>
      <c r="B151" t="s">
        <v>4911</v>
      </c>
      <c r="C151" t="s">
        <v>5433</v>
      </c>
      <c r="D151">
        <v>30</v>
      </c>
      <c r="E151" t="s">
        <v>4810</v>
      </c>
      <c r="F151">
        <v>23</v>
      </c>
      <c r="G151" t="s">
        <v>4810</v>
      </c>
      <c r="H151">
        <v>43</v>
      </c>
      <c r="I151" t="s">
        <v>4810</v>
      </c>
      <c r="J151" s="631">
        <v>43</v>
      </c>
      <c r="K151">
        <v>19</v>
      </c>
      <c r="L151" t="s">
        <v>4810</v>
      </c>
      <c r="P151">
        <v>505</v>
      </c>
      <c r="Q151" t="s">
        <v>85</v>
      </c>
      <c r="R151">
        <v>505</v>
      </c>
    </row>
    <row r="152" spans="1:18" ht="19.899999999999999" customHeight="1">
      <c r="A152" t="str">
        <f t="shared" si="2"/>
        <v>IG47</v>
      </c>
      <c r="B152" t="s">
        <v>4911</v>
      </c>
      <c r="C152" t="s">
        <v>5434</v>
      </c>
      <c r="D152">
        <v>247</v>
      </c>
      <c r="E152" t="s">
        <v>4810</v>
      </c>
      <c r="F152">
        <v>245</v>
      </c>
      <c r="G152" t="s">
        <v>4810</v>
      </c>
      <c r="H152">
        <v>244</v>
      </c>
      <c r="I152" t="s">
        <v>4810</v>
      </c>
      <c r="J152" s="631">
        <v>247</v>
      </c>
      <c r="K152">
        <v>15</v>
      </c>
      <c r="L152" t="s">
        <v>4810</v>
      </c>
      <c r="P152">
        <v>1382</v>
      </c>
      <c r="Q152" t="s">
        <v>85</v>
      </c>
      <c r="R152">
        <v>1382</v>
      </c>
    </row>
    <row r="153" spans="1:18" ht="19.899999999999999" customHeight="1">
      <c r="A153" t="str">
        <f t="shared" si="2"/>
        <v>IG48</v>
      </c>
      <c r="B153" t="s">
        <v>4911</v>
      </c>
      <c r="C153" t="s">
        <v>5435</v>
      </c>
      <c r="D153">
        <v>107</v>
      </c>
      <c r="E153" t="s">
        <v>4810</v>
      </c>
      <c r="F153">
        <v>117</v>
      </c>
      <c r="G153" t="s">
        <v>4810</v>
      </c>
      <c r="H153">
        <v>116</v>
      </c>
      <c r="I153" t="s">
        <v>4810</v>
      </c>
      <c r="J153" s="631">
        <v>117</v>
      </c>
      <c r="K153">
        <v>18</v>
      </c>
      <c r="L153" t="s">
        <v>4810</v>
      </c>
      <c r="P153">
        <v>237</v>
      </c>
      <c r="Q153">
        <v>1</v>
      </c>
      <c r="R153">
        <v>238</v>
      </c>
    </row>
    <row r="154" spans="1:18" ht="19.899999999999999" customHeight="1">
      <c r="A154" t="str">
        <f t="shared" si="2"/>
        <v>IG49</v>
      </c>
      <c r="B154" t="s">
        <v>4911</v>
      </c>
      <c r="C154" t="s">
        <v>5436</v>
      </c>
      <c r="D154">
        <v>184</v>
      </c>
      <c r="E154" t="s">
        <v>4810</v>
      </c>
      <c r="F154">
        <v>163</v>
      </c>
      <c r="G154" t="s">
        <v>4810</v>
      </c>
      <c r="H154">
        <v>188</v>
      </c>
      <c r="I154" t="s">
        <v>4810</v>
      </c>
      <c r="J154" s="631">
        <v>188</v>
      </c>
      <c r="K154">
        <v>42</v>
      </c>
      <c r="L154" t="s">
        <v>4810</v>
      </c>
      <c r="P154">
        <v>595</v>
      </c>
      <c r="Q154">
        <v>3</v>
      </c>
      <c r="R154">
        <v>598</v>
      </c>
    </row>
    <row r="155" spans="1:18" ht="19.899999999999999" customHeight="1">
      <c r="A155" t="str">
        <f t="shared" si="2"/>
        <v>IZ#1DTR</v>
      </c>
      <c r="B155" t="s">
        <v>4923</v>
      </c>
      <c r="C155" t="s">
        <v>4924</v>
      </c>
      <c r="D155">
        <v>0</v>
      </c>
      <c r="E155" t="s">
        <v>4810</v>
      </c>
      <c r="F155">
        <v>0</v>
      </c>
      <c r="G155" t="s">
        <v>4810</v>
      </c>
      <c r="H155">
        <v>0</v>
      </c>
      <c r="I155" t="s">
        <v>4810</v>
      </c>
      <c r="J155" s="631">
        <v>0</v>
      </c>
      <c r="K155" t="s">
        <v>4793</v>
      </c>
      <c r="L155" t="s">
        <v>4793</v>
      </c>
      <c r="P155">
        <v>208</v>
      </c>
      <c r="Q155" t="s">
        <v>85</v>
      </c>
      <c r="R155">
        <v>208</v>
      </c>
    </row>
    <row r="156" spans="1:18" ht="19.899999999999999" customHeight="1">
      <c r="A156" t="str">
        <f t="shared" si="2"/>
        <v>IZ51</v>
      </c>
      <c r="B156" t="s">
        <v>4923</v>
      </c>
      <c r="C156" t="s">
        <v>4925</v>
      </c>
      <c r="D156">
        <v>198</v>
      </c>
      <c r="E156" t="s">
        <v>4796</v>
      </c>
      <c r="F156">
        <v>197</v>
      </c>
      <c r="G156" t="s">
        <v>4801</v>
      </c>
      <c r="H156">
        <v>198</v>
      </c>
      <c r="I156" t="s">
        <v>4801</v>
      </c>
      <c r="J156" s="631">
        <v>198</v>
      </c>
      <c r="K156">
        <v>0</v>
      </c>
      <c r="L156" t="s">
        <v>4810</v>
      </c>
      <c r="P156">
        <v>3141</v>
      </c>
      <c r="Q156">
        <v>8</v>
      </c>
      <c r="R156">
        <v>3149</v>
      </c>
    </row>
    <row r="157" spans="1:18" ht="19.899999999999999" customHeight="1">
      <c r="A157" t="str">
        <f t="shared" si="2"/>
        <v>IZ52</v>
      </c>
      <c r="B157" t="s">
        <v>4923</v>
      </c>
      <c r="C157" t="s">
        <v>4927</v>
      </c>
      <c r="D157">
        <v>9</v>
      </c>
      <c r="E157" t="s">
        <v>4810</v>
      </c>
      <c r="F157">
        <v>8</v>
      </c>
      <c r="G157" t="s">
        <v>4810</v>
      </c>
      <c r="H157">
        <v>7</v>
      </c>
      <c r="I157" t="s">
        <v>4810</v>
      </c>
      <c r="J157" s="631">
        <v>9</v>
      </c>
      <c r="K157">
        <v>1</v>
      </c>
      <c r="L157" t="s">
        <v>4810</v>
      </c>
      <c r="P157">
        <v>179</v>
      </c>
      <c r="Q157">
        <v>2</v>
      </c>
      <c r="R157">
        <v>181</v>
      </c>
    </row>
    <row r="158" spans="1:18" ht="19.899999999999999" customHeight="1">
      <c r="A158" t="str">
        <f t="shared" si="2"/>
        <v>IZ53</v>
      </c>
      <c r="B158" t="s">
        <v>4923</v>
      </c>
      <c r="C158" t="s">
        <v>4928</v>
      </c>
      <c r="D158">
        <v>20</v>
      </c>
      <c r="E158" t="s">
        <v>4802</v>
      </c>
      <c r="F158">
        <v>18</v>
      </c>
      <c r="G158" t="s">
        <v>4821</v>
      </c>
      <c r="H158">
        <v>19</v>
      </c>
      <c r="I158" t="s">
        <v>4918</v>
      </c>
      <c r="J158" s="631">
        <v>20</v>
      </c>
      <c r="K158">
        <v>0</v>
      </c>
      <c r="L158" t="s">
        <v>4810</v>
      </c>
      <c r="P158">
        <v>1931</v>
      </c>
      <c r="Q158">
        <v>3</v>
      </c>
      <c r="R158">
        <v>1934</v>
      </c>
    </row>
    <row r="159" spans="1:18" ht="19.899999999999999" customHeight="1">
      <c r="A159" t="str">
        <f t="shared" si="2"/>
        <v>IZ54</v>
      </c>
      <c r="B159" t="s">
        <v>4923</v>
      </c>
      <c r="C159" t="s">
        <v>4929</v>
      </c>
      <c r="D159">
        <v>111</v>
      </c>
      <c r="E159" t="s">
        <v>4808</v>
      </c>
      <c r="F159">
        <v>103</v>
      </c>
      <c r="G159" t="s">
        <v>4817</v>
      </c>
      <c r="H159">
        <v>113</v>
      </c>
      <c r="I159" t="s">
        <v>4817</v>
      </c>
      <c r="J159" s="631">
        <v>113</v>
      </c>
      <c r="K159">
        <v>1</v>
      </c>
      <c r="L159" t="s">
        <v>4814</v>
      </c>
      <c r="P159">
        <v>2171</v>
      </c>
      <c r="Q159">
        <v>6</v>
      </c>
      <c r="R159">
        <v>2177</v>
      </c>
    </row>
    <row r="160" spans="1:18" ht="19.899999999999999" customHeight="1">
      <c r="A160" t="str">
        <f t="shared" si="2"/>
        <v>IZ55</v>
      </c>
      <c r="B160" t="s">
        <v>4923</v>
      </c>
      <c r="C160" t="s">
        <v>4930</v>
      </c>
      <c r="D160">
        <v>63</v>
      </c>
      <c r="E160" t="s">
        <v>4808</v>
      </c>
      <c r="F160">
        <v>63</v>
      </c>
      <c r="G160" t="s">
        <v>4808</v>
      </c>
      <c r="H160">
        <v>63</v>
      </c>
      <c r="I160" t="s">
        <v>4808</v>
      </c>
      <c r="J160" s="631">
        <v>63</v>
      </c>
      <c r="K160">
        <v>0</v>
      </c>
      <c r="L160" t="s">
        <v>4810</v>
      </c>
      <c r="P160">
        <v>617</v>
      </c>
      <c r="Q160">
        <v>0</v>
      </c>
      <c r="R160">
        <v>617</v>
      </c>
    </row>
    <row r="161" spans="1:18" ht="19.899999999999999" customHeight="1">
      <c r="A161" t="str">
        <f t="shared" si="2"/>
        <v>IZ56</v>
      </c>
      <c r="B161" t="s">
        <v>4923</v>
      </c>
      <c r="C161" t="s">
        <v>4931</v>
      </c>
      <c r="D161">
        <v>116</v>
      </c>
      <c r="E161" t="s">
        <v>4808</v>
      </c>
      <c r="F161">
        <v>111</v>
      </c>
      <c r="G161" t="s">
        <v>4808</v>
      </c>
      <c r="H161">
        <v>112</v>
      </c>
      <c r="I161" t="s">
        <v>4808</v>
      </c>
      <c r="J161" s="631">
        <v>116</v>
      </c>
      <c r="K161">
        <v>0</v>
      </c>
      <c r="L161" t="s">
        <v>4810</v>
      </c>
      <c r="P161">
        <v>3661</v>
      </c>
      <c r="Q161">
        <v>3</v>
      </c>
      <c r="R161">
        <v>3664</v>
      </c>
    </row>
    <row r="162" spans="1:18" ht="19.899999999999999" customHeight="1">
      <c r="A162" t="str">
        <f t="shared" si="2"/>
        <v>IZ#2DTR</v>
      </c>
      <c r="B162" t="s">
        <v>4923</v>
      </c>
      <c r="C162" t="s">
        <v>4932</v>
      </c>
      <c r="D162">
        <v>806</v>
      </c>
      <c r="E162" t="s">
        <v>4808</v>
      </c>
      <c r="F162">
        <v>804</v>
      </c>
      <c r="G162" t="s">
        <v>4808</v>
      </c>
      <c r="H162">
        <v>812</v>
      </c>
      <c r="I162" t="s">
        <v>4808</v>
      </c>
      <c r="J162" s="631">
        <v>812</v>
      </c>
      <c r="K162" t="s">
        <v>4793</v>
      </c>
      <c r="L162" t="s">
        <v>4793</v>
      </c>
      <c r="P162">
        <v>439</v>
      </c>
      <c r="Q162">
        <v>1</v>
      </c>
      <c r="R162">
        <v>440</v>
      </c>
    </row>
    <row r="163" spans="1:18" ht="19.899999999999999" customHeight="1">
      <c r="A163" t="str">
        <f t="shared" si="2"/>
        <v>IZ61</v>
      </c>
      <c r="B163" t="s">
        <v>4923</v>
      </c>
      <c r="C163" t="s">
        <v>4933</v>
      </c>
      <c r="D163">
        <v>112</v>
      </c>
      <c r="E163" t="s">
        <v>4918</v>
      </c>
      <c r="F163">
        <v>113</v>
      </c>
      <c r="G163" t="s">
        <v>4918</v>
      </c>
      <c r="H163">
        <v>115</v>
      </c>
      <c r="I163" t="s">
        <v>4918</v>
      </c>
      <c r="J163" s="631">
        <v>115</v>
      </c>
      <c r="K163">
        <v>0</v>
      </c>
      <c r="L163" t="s">
        <v>4810</v>
      </c>
      <c r="P163">
        <v>729</v>
      </c>
      <c r="Q163">
        <v>7</v>
      </c>
      <c r="R163">
        <v>736</v>
      </c>
    </row>
    <row r="164" spans="1:18" ht="19.899999999999999" customHeight="1">
      <c r="A164" t="str">
        <f t="shared" si="2"/>
        <v>IZ62</v>
      </c>
      <c r="B164" t="s">
        <v>4923</v>
      </c>
      <c r="C164" t="s">
        <v>4934</v>
      </c>
      <c r="D164">
        <v>65</v>
      </c>
      <c r="E164" t="s">
        <v>4801</v>
      </c>
      <c r="F164">
        <v>66</v>
      </c>
      <c r="G164" t="s">
        <v>4801</v>
      </c>
      <c r="H164">
        <v>37</v>
      </c>
      <c r="I164" t="s">
        <v>4801</v>
      </c>
      <c r="J164" s="631">
        <v>66</v>
      </c>
      <c r="K164">
        <v>0</v>
      </c>
      <c r="L164" t="s">
        <v>4810</v>
      </c>
      <c r="P164">
        <v>593</v>
      </c>
      <c r="Q164">
        <v>3</v>
      </c>
      <c r="R164">
        <v>596</v>
      </c>
    </row>
    <row r="165" spans="1:18" ht="19.899999999999999" customHeight="1">
      <c r="A165" t="str">
        <f t="shared" si="2"/>
        <v>IZ63</v>
      </c>
      <c r="B165" t="s">
        <v>4923</v>
      </c>
      <c r="C165" t="s">
        <v>4935</v>
      </c>
      <c r="D165">
        <v>78</v>
      </c>
      <c r="E165" t="s">
        <v>4799</v>
      </c>
      <c r="F165">
        <v>81</v>
      </c>
      <c r="G165" t="s">
        <v>4799</v>
      </c>
      <c r="H165">
        <v>82</v>
      </c>
      <c r="I165" t="s">
        <v>4799</v>
      </c>
      <c r="J165" s="631">
        <v>82</v>
      </c>
      <c r="K165">
        <v>2</v>
      </c>
      <c r="L165" t="s">
        <v>4796</v>
      </c>
      <c r="P165">
        <v>1381</v>
      </c>
      <c r="Q165">
        <v>2</v>
      </c>
      <c r="R165">
        <v>1383</v>
      </c>
    </row>
    <row r="166" spans="1:18" ht="19.899999999999999" customHeight="1">
      <c r="A166" t="str">
        <f t="shared" si="2"/>
        <v>IZ64</v>
      </c>
      <c r="B166" t="s">
        <v>4923</v>
      </c>
      <c r="C166" t="s">
        <v>4936</v>
      </c>
      <c r="D166">
        <v>8</v>
      </c>
      <c r="E166" t="s">
        <v>4801</v>
      </c>
      <c r="F166">
        <v>9</v>
      </c>
      <c r="G166" t="s">
        <v>4801</v>
      </c>
      <c r="H166">
        <v>9</v>
      </c>
      <c r="I166" t="s">
        <v>4801</v>
      </c>
      <c r="J166" s="631">
        <v>9</v>
      </c>
      <c r="K166">
        <v>2</v>
      </c>
      <c r="L166" t="s">
        <v>4796</v>
      </c>
      <c r="P166">
        <v>2344</v>
      </c>
      <c r="Q166">
        <v>2</v>
      </c>
      <c r="R166">
        <v>2346</v>
      </c>
    </row>
    <row r="167" spans="1:18" ht="19.899999999999999" customHeight="1">
      <c r="A167" t="str">
        <f t="shared" si="2"/>
        <v>IZ65</v>
      </c>
      <c r="B167" t="s">
        <v>4923</v>
      </c>
      <c r="C167" t="s">
        <v>4937</v>
      </c>
      <c r="D167">
        <v>8</v>
      </c>
      <c r="E167" t="s">
        <v>4826</v>
      </c>
      <c r="F167">
        <v>8</v>
      </c>
      <c r="G167" t="s">
        <v>4826</v>
      </c>
      <c r="H167">
        <v>8</v>
      </c>
      <c r="I167" t="s">
        <v>4826</v>
      </c>
      <c r="J167" s="631">
        <v>8</v>
      </c>
      <c r="K167">
        <v>0</v>
      </c>
      <c r="L167" t="s">
        <v>4810</v>
      </c>
      <c r="P167">
        <v>235</v>
      </c>
      <c r="Q167">
        <v>2</v>
      </c>
      <c r="R167">
        <v>237</v>
      </c>
    </row>
    <row r="168" spans="1:18" ht="19.899999999999999" customHeight="1">
      <c r="A168" t="str">
        <f t="shared" si="2"/>
        <v>IZ66</v>
      </c>
      <c r="B168" t="s">
        <v>4923</v>
      </c>
      <c r="C168" t="s">
        <v>4939</v>
      </c>
      <c r="D168">
        <v>67</v>
      </c>
      <c r="E168" t="s">
        <v>4801</v>
      </c>
      <c r="F168">
        <v>67</v>
      </c>
      <c r="G168" t="s">
        <v>4801</v>
      </c>
      <c r="H168">
        <v>68</v>
      </c>
      <c r="I168" t="s">
        <v>4801</v>
      </c>
      <c r="J168" s="631">
        <v>68</v>
      </c>
      <c r="K168">
        <v>3</v>
      </c>
      <c r="L168" t="s">
        <v>4798</v>
      </c>
      <c r="P168">
        <v>1124</v>
      </c>
      <c r="Q168">
        <v>1</v>
      </c>
      <c r="R168">
        <v>1125</v>
      </c>
    </row>
    <row r="169" spans="1:18" ht="19.899999999999999" customHeight="1">
      <c r="A169" t="str">
        <f t="shared" si="2"/>
        <v>IZ#3DTR(A)</v>
      </c>
      <c r="B169" t="s">
        <v>4923</v>
      </c>
      <c r="C169" t="s">
        <v>4940</v>
      </c>
      <c r="D169">
        <v>290</v>
      </c>
      <c r="E169" t="s">
        <v>4801</v>
      </c>
      <c r="F169">
        <v>331</v>
      </c>
      <c r="G169" t="s">
        <v>4792</v>
      </c>
      <c r="H169">
        <v>309</v>
      </c>
      <c r="I169" t="s">
        <v>4802</v>
      </c>
      <c r="J169" s="631">
        <v>331</v>
      </c>
      <c r="K169" t="s">
        <v>4793</v>
      </c>
      <c r="L169" t="s">
        <v>4793</v>
      </c>
      <c r="P169">
        <v>511</v>
      </c>
      <c r="Q169">
        <v>4</v>
      </c>
      <c r="R169">
        <v>515</v>
      </c>
    </row>
    <row r="170" spans="1:18" ht="19.899999999999999" customHeight="1">
      <c r="A170" t="str">
        <f t="shared" si="2"/>
        <v>IZ23</v>
      </c>
      <c r="B170" t="s">
        <v>4923</v>
      </c>
      <c r="C170" t="s">
        <v>4941</v>
      </c>
      <c r="D170">
        <v>31</v>
      </c>
      <c r="E170" t="s">
        <v>4792</v>
      </c>
      <c r="F170">
        <v>59</v>
      </c>
      <c r="G170" t="s">
        <v>4802</v>
      </c>
      <c r="H170">
        <v>50</v>
      </c>
      <c r="I170" t="s">
        <v>4872</v>
      </c>
      <c r="J170" s="631">
        <v>59</v>
      </c>
      <c r="K170">
        <v>21</v>
      </c>
      <c r="L170" t="s">
        <v>4872</v>
      </c>
      <c r="P170">
        <v>3487</v>
      </c>
      <c r="Q170">
        <v>2</v>
      </c>
      <c r="R170">
        <v>3489</v>
      </c>
    </row>
    <row r="171" spans="1:18" ht="19.899999999999999" customHeight="1">
      <c r="A171" t="str">
        <f t="shared" si="2"/>
        <v>IZ22</v>
      </c>
      <c r="B171" t="s">
        <v>4923</v>
      </c>
      <c r="C171" t="s">
        <v>4942</v>
      </c>
      <c r="D171">
        <v>130</v>
      </c>
      <c r="E171" t="s">
        <v>4801</v>
      </c>
      <c r="F171">
        <v>121</v>
      </c>
      <c r="G171" t="s">
        <v>4801</v>
      </c>
      <c r="H171">
        <v>110</v>
      </c>
      <c r="I171" t="s">
        <v>4802</v>
      </c>
      <c r="J171" s="631">
        <v>130</v>
      </c>
      <c r="K171">
        <v>36</v>
      </c>
      <c r="L171" t="s">
        <v>4826</v>
      </c>
      <c r="P171">
        <v>1595</v>
      </c>
      <c r="Q171">
        <v>2</v>
      </c>
      <c r="R171">
        <v>1597</v>
      </c>
    </row>
    <row r="172" spans="1:18" ht="19.899999999999999" customHeight="1">
      <c r="A172" t="str">
        <f t="shared" si="2"/>
        <v>IZ21</v>
      </c>
      <c r="B172" t="s">
        <v>4923</v>
      </c>
      <c r="C172" t="s">
        <v>4943</v>
      </c>
      <c r="D172">
        <v>137</v>
      </c>
      <c r="E172" t="s">
        <v>4805</v>
      </c>
      <c r="F172">
        <v>144</v>
      </c>
      <c r="G172" t="s">
        <v>4805</v>
      </c>
      <c r="H172">
        <v>148</v>
      </c>
      <c r="I172" t="s">
        <v>4802</v>
      </c>
      <c r="J172" s="631">
        <v>148</v>
      </c>
      <c r="K172">
        <v>36</v>
      </c>
      <c r="L172" t="s">
        <v>4810</v>
      </c>
      <c r="P172">
        <v>783</v>
      </c>
      <c r="Q172">
        <v>0</v>
      </c>
      <c r="R172">
        <v>783</v>
      </c>
    </row>
    <row r="173" spans="1:18" ht="19.899999999999999" customHeight="1">
      <c r="A173" t="str">
        <f t="shared" si="2"/>
        <v>IZ#3DTR(B)</v>
      </c>
      <c r="B173" t="s">
        <v>4923</v>
      </c>
      <c r="C173" t="s">
        <v>4944</v>
      </c>
      <c r="D173">
        <v>306</v>
      </c>
      <c r="E173" t="s">
        <v>4805</v>
      </c>
      <c r="F173">
        <v>287</v>
      </c>
      <c r="G173" t="s">
        <v>4801</v>
      </c>
      <c r="H173">
        <v>268</v>
      </c>
      <c r="I173" t="s">
        <v>4792</v>
      </c>
      <c r="J173" s="631">
        <v>306</v>
      </c>
      <c r="K173" t="s">
        <v>4793</v>
      </c>
      <c r="L173" t="s">
        <v>4793</v>
      </c>
      <c r="P173">
        <v>3606</v>
      </c>
      <c r="Q173">
        <v>1</v>
      </c>
      <c r="R173">
        <v>3607</v>
      </c>
    </row>
    <row r="174" spans="1:18" ht="19.899999999999999" customHeight="1">
      <c r="A174" t="str">
        <f t="shared" si="2"/>
        <v>IZ26</v>
      </c>
      <c r="B174" t="s">
        <v>4923</v>
      </c>
      <c r="C174" t="s">
        <v>4945</v>
      </c>
      <c r="D174">
        <v>138</v>
      </c>
      <c r="E174" t="s">
        <v>4792</v>
      </c>
      <c r="F174">
        <v>113</v>
      </c>
      <c r="G174" t="s">
        <v>4792</v>
      </c>
      <c r="H174">
        <v>140</v>
      </c>
      <c r="I174" t="s">
        <v>4792</v>
      </c>
      <c r="J174" s="631">
        <v>140</v>
      </c>
      <c r="K174">
        <v>46</v>
      </c>
      <c r="L174" t="s">
        <v>4807</v>
      </c>
      <c r="P174">
        <v>1295</v>
      </c>
      <c r="Q174">
        <v>3</v>
      </c>
      <c r="R174">
        <v>1298</v>
      </c>
    </row>
    <row r="175" spans="1:18" ht="19.899999999999999" customHeight="1">
      <c r="A175" t="str">
        <f t="shared" si="2"/>
        <v>IZ25</v>
      </c>
      <c r="B175" t="s">
        <v>4923</v>
      </c>
      <c r="C175" t="s">
        <v>4946</v>
      </c>
      <c r="D175">
        <v>77</v>
      </c>
      <c r="E175" t="s">
        <v>4792</v>
      </c>
      <c r="F175">
        <v>66</v>
      </c>
      <c r="G175" t="s">
        <v>4800</v>
      </c>
      <c r="H175">
        <v>54</v>
      </c>
      <c r="I175" t="s">
        <v>4802</v>
      </c>
      <c r="J175" s="631">
        <v>77</v>
      </c>
      <c r="K175">
        <v>22</v>
      </c>
      <c r="L175" t="s">
        <v>4800</v>
      </c>
      <c r="P175">
        <v>1528</v>
      </c>
      <c r="Q175">
        <v>5</v>
      </c>
      <c r="R175">
        <v>1533</v>
      </c>
    </row>
    <row r="176" spans="1:18" ht="19.899999999999999" customHeight="1">
      <c r="A176" t="str">
        <f t="shared" si="2"/>
        <v>IZ24</v>
      </c>
      <c r="B176" t="s">
        <v>4923</v>
      </c>
      <c r="C176" t="s">
        <v>4947</v>
      </c>
      <c r="D176">
        <v>130</v>
      </c>
      <c r="E176" t="s">
        <v>4805</v>
      </c>
      <c r="F176">
        <v>129</v>
      </c>
      <c r="G176" t="s">
        <v>4814</v>
      </c>
      <c r="H176">
        <v>105</v>
      </c>
      <c r="I176" t="s">
        <v>4796</v>
      </c>
      <c r="J176" s="631">
        <v>130</v>
      </c>
      <c r="K176">
        <v>55</v>
      </c>
      <c r="L176" t="s">
        <v>4817</v>
      </c>
      <c r="P176">
        <v>2051</v>
      </c>
      <c r="Q176">
        <v>3</v>
      </c>
      <c r="R176">
        <v>2054</v>
      </c>
    </row>
    <row r="177" spans="1:18" ht="19.899999999999999" customHeight="1">
      <c r="A177" t="str">
        <f t="shared" si="2"/>
        <v>IV#1MTR</v>
      </c>
      <c r="B177" t="s">
        <v>4948</v>
      </c>
      <c r="C177" t="s">
        <v>4791</v>
      </c>
      <c r="D177">
        <v>182</v>
      </c>
      <c r="E177" t="s">
        <v>4801</v>
      </c>
      <c r="F177">
        <v>184</v>
      </c>
      <c r="G177" t="s">
        <v>4801</v>
      </c>
      <c r="H177">
        <v>186</v>
      </c>
      <c r="I177" t="s">
        <v>4801</v>
      </c>
      <c r="J177" s="631">
        <v>186</v>
      </c>
      <c r="K177" t="s">
        <v>4793</v>
      </c>
      <c r="L177" t="s">
        <v>4793</v>
      </c>
      <c r="P177">
        <v>622</v>
      </c>
      <c r="Q177" t="s">
        <v>85</v>
      </c>
      <c r="R177">
        <v>622</v>
      </c>
    </row>
    <row r="178" spans="1:18" ht="19.899999999999999" customHeight="1">
      <c r="A178" t="str">
        <f t="shared" si="2"/>
        <v>IV51</v>
      </c>
      <c r="B178" t="s">
        <v>4948</v>
      </c>
      <c r="C178" t="s">
        <v>4949</v>
      </c>
      <c r="D178">
        <v>10</v>
      </c>
      <c r="E178" t="s">
        <v>4853</v>
      </c>
      <c r="F178">
        <v>9</v>
      </c>
      <c r="G178" t="s">
        <v>4853</v>
      </c>
      <c r="H178">
        <v>10</v>
      </c>
      <c r="I178" t="s">
        <v>4853</v>
      </c>
      <c r="J178" s="631">
        <v>10</v>
      </c>
      <c r="K178">
        <v>0</v>
      </c>
      <c r="L178" t="s">
        <v>4810</v>
      </c>
      <c r="P178">
        <v>629</v>
      </c>
      <c r="Q178" t="s">
        <v>85</v>
      </c>
      <c r="R178">
        <v>629</v>
      </c>
    </row>
    <row r="179" spans="1:18" ht="19.899999999999999" customHeight="1">
      <c r="A179" t="str">
        <f t="shared" si="2"/>
        <v>IV52</v>
      </c>
      <c r="B179" t="s">
        <v>4948</v>
      </c>
      <c r="C179" t="s">
        <v>4950</v>
      </c>
      <c r="D179">
        <v>34</v>
      </c>
      <c r="E179" t="s">
        <v>4805</v>
      </c>
      <c r="F179">
        <v>35</v>
      </c>
      <c r="G179" t="s">
        <v>4805</v>
      </c>
      <c r="H179">
        <v>35</v>
      </c>
      <c r="I179" t="s">
        <v>4805</v>
      </c>
      <c r="J179" s="631">
        <v>35</v>
      </c>
      <c r="K179">
        <v>0</v>
      </c>
      <c r="L179" t="s">
        <v>4810</v>
      </c>
      <c r="P179">
        <v>1715</v>
      </c>
      <c r="Q179">
        <v>1</v>
      </c>
      <c r="R179">
        <v>1716</v>
      </c>
    </row>
    <row r="180" spans="1:18" ht="19.899999999999999" customHeight="1">
      <c r="A180" t="str">
        <f t="shared" si="2"/>
        <v>IV53</v>
      </c>
      <c r="B180" t="s">
        <v>4948</v>
      </c>
      <c r="C180" t="s">
        <v>4951</v>
      </c>
      <c r="D180">
        <v>37</v>
      </c>
      <c r="E180" t="s">
        <v>4918</v>
      </c>
      <c r="F180">
        <v>38</v>
      </c>
      <c r="G180" t="s">
        <v>4918</v>
      </c>
      <c r="H180">
        <v>38</v>
      </c>
      <c r="I180" t="s">
        <v>4918</v>
      </c>
      <c r="J180" s="631">
        <v>38</v>
      </c>
      <c r="K180">
        <v>0</v>
      </c>
      <c r="L180" t="s">
        <v>4810</v>
      </c>
      <c r="P180">
        <v>953</v>
      </c>
      <c r="Q180">
        <v>2</v>
      </c>
      <c r="R180">
        <v>955</v>
      </c>
    </row>
    <row r="181" spans="1:18" ht="19.899999999999999" customHeight="1">
      <c r="A181" t="str">
        <f t="shared" si="2"/>
        <v>IV54</v>
      </c>
      <c r="B181" t="s">
        <v>4948</v>
      </c>
      <c r="C181" t="s">
        <v>4952</v>
      </c>
      <c r="D181">
        <v>21</v>
      </c>
      <c r="E181" t="s">
        <v>4801</v>
      </c>
      <c r="F181">
        <v>21</v>
      </c>
      <c r="G181" t="s">
        <v>4801</v>
      </c>
      <c r="H181">
        <v>20</v>
      </c>
      <c r="I181" t="s">
        <v>4801</v>
      </c>
      <c r="J181" s="631">
        <v>21</v>
      </c>
      <c r="K181">
        <v>0</v>
      </c>
      <c r="L181" t="s">
        <v>4810</v>
      </c>
      <c r="P181">
        <v>369</v>
      </c>
      <c r="Q181" t="s">
        <v>85</v>
      </c>
      <c r="R181">
        <v>369</v>
      </c>
    </row>
    <row r="182" spans="1:18" ht="19.899999999999999" customHeight="1">
      <c r="A182" t="str">
        <f t="shared" si="2"/>
        <v>IV55</v>
      </c>
      <c r="B182" t="s">
        <v>4948</v>
      </c>
      <c r="C182" t="s">
        <v>4953</v>
      </c>
      <c r="D182">
        <v>101</v>
      </c>
      <c r="E182" t="s">
        <v>4792</v>
      </c>
      <c r="F182">
        <v>104</v>
      </c>
      <c r="G182" t="s">
        <v>4792</v>
      </c>
      <c r="H182">
        <v>102</v>
      </c>
      <c r="I182" t="s">
        <v>4792</v>
      </c>
      <c r="J182" s="631">
        <v>104</v>
      </c>
      <c r="K182">
        <v>0</v>
      </c>
      <c r="L182" t="s">
        <v>4810</v>
      </c>
      <c r="P182" t="s">
        <v>85</v>
      </c>
      <c r="Q182" t="s">
        <v>85</v>
      </c>
      <c r="R182">
        <v>0</v>
      </c>
    </row>
    <row r="183" spans="1:18" ht="19.899999999999999" customHeight="1">
      <c r="A183" t="str">
        <f t="shared" si="2"/>
        <v>IV#2MTR</v>
      </c>
      <c r="B183" t="s">
        <v>4948</v>
      </c>
      <c r="C183" t="s">
        <v>4803</v>
      </c>
      <c r="D183">
        <v>0</v>
      </c>
      <c r="E183" t="s">
        <v>4810</v>
      </c>
      <c r="F183">
        <v>0</v>
      </c>
      <c r="G183" t="s">
        <v>4810</v>
      </c>
      <c r="H183">
        <v>0</v>
      </c>
      <c r="I183" t="s">
        <v>4810</v>
      </c>
      <c r="J183" s="631">
        <v>0</v>
      </c>
      <c r="K183" t="s">
        <v>4793</v>
      </c>
      <c r="L183" t="s">
        <v>4793</v>
      </c>
      <c r="P183">
        <v>645</v>
      </c>
      <c r="Q183" t="s">
        <v>85</v>
      </c>
      <c r="R183">
        <v>645</v>
      </c>
    </row>
    <row r="184" spans="1:18" ht="19.899999999999999" customHeight="1">
      <c r="A184" t="str">
        <f t="shared" si="2"/>
        <v>IV32</v>
      </c>
      <c r="B184" t="s">
        <v>4948</v>
      </c>
      <c r="C184" t="s">
        <v>4954</v>
      </c>
      <c r="D184">
        <v>0</v>
      </c>
      <c r="E184" t="s">
        <v>4810</v>
      </c>
      <c r="F184">
        <v>0</v>
      </c>
      <c r="G184" t="s">
        <v>4810</v>
      </c>
      <c r="H184">
        <v>0</v>
      </c>
      <c r="I184" t="s">
        <v>4810</v>
      </c>
      <c r="J184" s="631">
        <v>0</v>
      </c>
      <c r="K184">
        <v>0</v>
      </c>
      <c r="L184" t="s">
        <v>4810</v>
      </c>
      <c r="P184">
        <v>986</v>
      </c>
      <c r="Q184" t="s">
        <v>85</v>
      </c>
      <c r="R184">
        <v>986</v>
      </c>
    </row>
    <row r="185" spans="1:18" ht="19.899999999999999" customHeight="1">
      <c r="A185" t="str">
        <f t="shared" si="2"/>
        <v>IV34</v>
      </c>
      <c r="B185" t="s">
        <v>4948</v>
      </c>
      <c r="C185" t="s">
        <v>4955</v>
      </c>
      <c r="D185">
        <v>0</v>
      </c>
      <c r="E185" t="s">
        <v>4810</v>
      </c>
      <c r="F185">
        <v>0</v>
      </c>
      <c r="G185" t="s">
        <v>4810</v>
      </c>
      <c r="H185">
        <v>0</v>
      </c>
      <c r="I185" t="s">
        <v>4810</v>
      </c>
      <c r="J185" s="631">
        <v>0</v>
      </c>
      <c r="K185">
        <v>0</v>
      </c>
      <c r="L185" t="s">
        <v>4810</v>
      </c>
      <c r="P185">
        <v>1631</v>
      </c>
      <c r="Q185">
        <v>1</v>
      </c>
      <c r="R185">
        <v>1632</v>
      </c>
    </row>
    <row r="186" spans="1:18" ht="19.899999999999999" customHeight="1">
      <c r="A186" t="str">
        <f t="shared" si="2"/>
        <v>IV33</v>
      </c>
      <c r="B186" t="s">
        <v>4948</v>
      </c>
      <c r="C186" t="s">
        <v>4957</v>
      </c>
      <c r="D186">
        <v>0</v>
      </c>
      <c r="E186" t="s">
        <v>4810</v>
      </c>
      <c r="F186">
        <v>0</v>
      </c>
      <c r="G186" t="s">
        <v>4810</v>
      </c>
      <c r="H186">
        <v>0</v>
      </c>
      <c r="I186" t="s">
        <v>4810</v>
      </c>
      <c r="J186" s="631">
        <v>0</v>
      </c>
      <c r="K186">
        <v>0</v>
      </c>
      <c r="L186" t="s">
        <v>4810</v>
      </c>
      <c r="P186">
        <v>391</v>
      </c>
      <c r="Q186" t="s">
        <v>85</v>
      </c>
      <c r="R186">
        <v>391</v>
      </c>
    </row>
    <row r="187" spans="1:18" ht="19.899999999999999" customHeight="1">
      <c r="A187" t="str">
        <f t="shared" si="2"/>
        <v>IV35</v>
      </c>
      <c r="B187" t="s">
        <v>4948</v>
      </c>
      <c r="C187" t="s">
        <v>4956</v>
      </c>
      <c r="D187">
        <v>0</v>
      </c>
      <c r="E187" t="s">
        <v>4810</v>
      </c>
      <c r="F187">
        <v>0</v>
      </c>
      <c r="G187" t="s">
        <v>4810</v>
      </c>
      <c r="H187">
        <v>0</v>
      </c>
      <c r="I187" t="s">
        <v>4810</v>
      </c>
      <c r="J187" s="631">
        <v>0</v>
      </c>
      <c r="K187">
        <v>0</v>
      </c>
      <c r="L187" t="s">
        <v>4810</v>
      </c>
      <c r="P187">
        <v>998</v>
      </c>
      <c r="Q187" t="s">
        <v>85</v>
      </c>
      <c r="R187">
        <v>998</v>
      </c>
    </row>
    <row r="188" spans="1:18" ht="19.899999999999999" customHeight="1">
      <c r="A188" t="str">
        <f t="shared" si="2"/>
        <v>IV31</v>
      </c>
      <c r="B188" t="s">
        <v>4948</v>
      </c>
      <c r="C188" t="s">
        <v>4958</v>
      </c>
      <c r="D188">
        <v>0</v>
      </c>
      <c r="E188" t="s">
        <v>4810</v>
      </c>
      <c r="F188">
        <v>0</v>
      </c>
      <c r="G188" t="s">
        <v>4810</v>
      </c>
      <c r="H188">
        <v>0</v>
      </c>
      <c r="I188" t="s">
        <v>4810</v>
      </c>
      <c r="J188" s="631">
        <v>0</v>
      </c>
      <c r="K188">
        <v>0</v>
      </c>
      <c r="L188" t="s">
        <v>4810</v>
      </c>
      <c r="P188" t="s">
        <v>85</v>
      </c>
      <c r="Q188" t="s">
        <v>85</v>
      </c>
      <c r="R188">
        <v>0</v>
      </c>
    </row>
    <row r="189" spans="1:18" ht="19.899999999999999" customHeight="1">
      <c r="A189" t="str">
        <f t="shared" si="2"/>
        <v>IV#3MTR</v>
      </c>
      <c r="B189" t="s">
        <v>4948</v>
      </c>
      <c r="C189" t="s">
        <v>4811</v>
      </c>
      <c r="D189">
        <v>572</v>
      </c>
      <c r="E189" t="s">
        <v>4812</v>
      </c>
      <c r="F189">
        <v>553</v>
      </c>
      <c r="G189" t="s">
        <v>4792</v>
      </c>
      <c r="H189">
        <v>548</v>
      </c>
      <c r="I189" t="s">
        <v>4792</v>
      </c>
      <c r="J189" s="631">
        <v>572</v>
      </c>
      <c r="K189" t="s">
        <v>4793</v>
      </c>
      <c r="L189" t="s">
        <v>4793</v>
      </c>
      <c r="P189" t="s">
        <v>85</v>
      </c>
      <c r="Q189" t="s">
        <v>85</v>
      </c>
      <c r="R189">
        <v>0</v>
      </c>
    </row>
    <row r="190" spans="1:18" ht="19.899999999999999" customHeight="1">
      <c r="A190" t="str">
        <f t="shared" si="2"/>
        <v>IV24</v>
      </c>
      <c r="B190" t="s">
        <v>4948</v>
      </c>
      <c r="C190" t="s">
        <v>4959</v>
      </c>
      <c r="D190">
        <v>82</v>
      </c>
      <c r="E190" t="s">
        <v>4805</v>
      </c>
      <c r="F190">
        <v>79</v>
      </c>
      <c r="G190" t="s">
        <v>4805</v>
      </c>
      <c r="H190">
        <v>60</v>
      </c>
      <c r="I190" t="s">
        <v>4805</v>
      </c>
      <c r="J190" s="631">
        <v>82</v>
      </c>
      <c r="K190">
        <v>50</v>
      </c>
      <c r="L190" t="s">
        <v>4805</v>
      </c>
      <c r="P190">
        <v>911</v>
      </c>
      <c r="Q190" t="s">
        <v>85</v>
      </c>
      <c r="R190">
        <v>911</v>
      </c>
    </row>
    <row r="191" spans="1:18" ht="19.899999999999999" customHeight="1">
      <c r="A191" t="str">
        <f t="shared" si="2"/>
        <v>IV25</v>
      </c>
      <c r="B191" t="s">
        <v>4948</v>
      </c>
      <c r="C191" t="s">
        <v>4960</v>
      </c>
      <c r="D191">
        <v>160</v>
      </c>
      <c r="E191" t="s">
        <v>4805</v>
      </c>
      <c r="F191">
        <v>153</v>
      </c>
      <c r="G191" t="s">
        <v>4792</v>
      </c>
      <c r="H191">
        <v>167</v>
      </c>
      <c r="I191" t="s">
        <v>4792</v>
      </c>
      <c r="J191" s="631">
        <v>167</v>
      </c>
      <c r="K191">
        <v>37</v>
      </c>
      <c r="L191" t="s">
        <v>4805</v>
      </c>
      <c r="P191">
        <v>2472</v>
      </c>
      <c r="Q191">
        <v>1</v>
      </c>
      <c r="R191">
        <v>2473</v>
      </c>
    </row>
    <row r="192" spans="1:18" ht="19.899999999999999" customHeight="1">
      <c r="A192" t="str">
        <f t="shared" si="2"/>
        <v>IV22</v>
      </c>
      <c r="B192" t="s">
        <v>4948</v>
      </c>
      <c r="C192" t="s">
        <v>4961</v>
      </c>
      <c r="D192">
        <v>204</v>
      </c>
      <c r="E192" t="s">
        <v>4795</v>
      </c>
      <c r="F192">
        <v>196</v>
      </c>
      <c r="G192" t="s">
        <v>4795</v>
      </c>
      <c r="H192">
        <v>199</v>
      </c>
      <c r="I192" t="s">
        <v>4800</v>
      </c>
      <c r="J192" s="631">
        <v>204</v>
      </c>
      <c r="K192">
        <v>44</v>
      </c>
      <c r="L192" t="s">
        <v>4795</v>
      </c>
      <c r="P192">
        <v>824</v>
      </c>
      <c r="Q192" t="s">
        <v>85</v>
      </c>
      <c r="R192">
        <v>824</v>
      </c>
    </row>
    <row r="193" spans="1:18" ht="19.899999999999999" customHeight="1">
      <c r="A193" t="str">
        <f t="shared" si="2"/>
        <v>IV21</v>
      </c>
      <c r="B193" t="s">
        <v>4948</v>
      </c>
      <c r="C193" t="s">
        <v>4962</v>
      </c>
      <c r="D193">
        <v>133</v>
      </c>
      <c r="E193" t="s">
        <v>4809</v>
      </c>
      <c r="F193">
        <v>117</v>
      </c>
      <c r="G193" t="s">
        <v>4805</v>
      </c>
      <c r="H193">
        <v>126</v>
      </c>
      <c r="I193" t="s">
        <v>4809</v>
      </c>
      <c r="J193" s="631">
        <v>133</v>
      </c>
      <c r="K193">
        <v>48</v>
      </c>
      <c r="L193" t="s">
        <v>4817</v>
      </c>
      <c r="P193">
        <v>2184</v>
      </c>
      <c r="Q193" t="s">
        <v>85</v>
      </c>
      <c r="R193">
        <v>2184</v>
      </c>
    </row>
    <row r="194" spans="1:18" ht="19.899999999999999" customHeight="1">
      <c r="A194" t="str">
        <f t="shared" si="2"/>
        <v>IV29</v>
      </c>
      <c r="B194" t="s">
        <v>4948</v>
      </c>
      <c r="C194" t="s">
        <v>4963</v>
      </c>
      <c r="D194">
        <v>84</v>
      </c>
      <c r="E194" t="s">
        <v>4792</v>
      </c>
      <c r="F194">
        <v>69</v>
      </c>
      <c r="G194" t="s">
        <v>4792</v>
      </c>
      <c r="H194">
        <v>45</v>
      </c>
      <c r="I194" t="s">
        <v>4792</v>
      </c>
      <c r="J194" s="631">
        <v>84</v>
      </c>
      <c r="K194">
        <v>43</v>
      </c>
      <c r="L194" t="s">
        <v>4800</v>
      </c>
      <c r="P194">
        <v>707</v>
      </c>
      <c r="Q194" t="s">
        <v>85</v>
      </c>
      <c r="R194">
        <v>707</v>
      </c>
    </row>
    <row r="195" spans="1:18" ht="19.899999999999999" customHeight="1">
      <c r="A195" t="str">
        <f t="shared" ref="A195:A258" si="3">IF(COUNTIF(C195,"*TR*")&gt;0,SUBSTITUTE(RIGHT(B195,3) &amp; C195," ",""),MID(C195,FIND("(",C195)+1,4))</f>
        <v>IJ#1MTR</v>
      </c>
      <c r="B195" t="s">
        <v>4964</v>
      </c>
      <c r="C195" t="s">
        <v>4791</v>
      </c>
      <c r="D195">
        <v>471</v>
      </c>
      <c r="E195" t="s">
        <v>4805</v>
      </c>
      <c r="F195">
        <v>430</v>
      </c>
      <c r="G195" t="s">
        <v>4792</v>
      </c>
      <c r="H195">
        <v>439</v>
      </c>
      <c r="I195" t="s">
        <v>4792</v>
      </c>
      <c r="J195" s="631">
        <v>471</v>
      </c>
      <c r="K195" t="s">
        <v>4793</v>
      </c>
      <c r="L195" t="s">
        <v>4793</v>
      </c>
      <c r="P195">
        <v>222</v>
      </c>
      <c r="Q195">
        <v>2</v>
      </c>
      <c r="R195">
        <v>224</v>
      </c>
    </row>
    <row r="196" spans="1:18" ht="19.899999999999999" customHeight="1">
      <c r="A196" t="str">
        <f t="shared" si="3"/>
        <v>IJ23</v>
      </c>
      <c r="B196" t="s">
        <v>4964</v>
      </c>
      <c r="C196" t="s">
        <v>4965</v>
      </c>
      <c r="D196">
        <v>91</v>
      </c>
      <c r="E196" t="s">
        <v>4800</v>
      </c>
      <c r="F196">
        <v>65</v>
      </c>
      <c r="G196" t="s">
        <v>4792</v>
      </c>
      <c r="H196">
        <v>84</v>
      </c>
      <c r="I196" t="s">
        <v>4792</v>
      </c>
      <c r="J196" s="631">
        <v>91</v>
      </c>
      <c r="K196">
        <v>40</v>
      </c>
      <c r="L196" t="s">
        <v>4800</v>
      </c>
      <c r="P196">
        <v>1705</v>
      </c>
      <c r="Q196">
        <v>2</v>
      </c>
      <c r="R196">
        <v>1707</v>
      </c>
    </row>
    <row r="197" spans="1:18" ht="19.899999999999999" customHeight="1">
      <c r="A197" t="str">
        <f t="shared" si="3"/>
        <v>IJ33</v>
      </c>
      <c r="B197" t="s">
        <v>4964</v>
      </c>
      <c r="C197" t="s">
        <v>4966</v>
      </c>
      <c r="D197">
        <v>63</v>
      </c>
      <c r="E197" t="s">
        <v>4814</v>
      </c>
      <c r="F197">
        <v>71</v>
      </c>
      <c r="G197" t="s">
        <v>4814</v>
      </c>
      <c r="H197">
        <v>54</v>
      </c>
      <c r="I197" t="s">
        <v>4801</v>
      </c>
      <c r="J197" s="631">
        <v>71</v>
      </c>
      <c r="K197">
        <v>30</v>
      </c>
      <c r="L197" t="s">
        <v>4798</v>
      </c>
      <c r="P197">
        <v>3376</v>
      </c>
      <c r="Q197">
        <v>2</v>
      </c>
      <c r="R197">
        <v>3378</v>
      </c>
    </row>
    <row r="198" spans="1:18" ht="19.899999999999999" customHeight="1">
      <c r="A198" t="str">
        <f t="shared" si="3"/>
        <v>IJ30</v>
      </c>
      <c r="B198" t="s">
        <v>4964</v>
      </c>
      <c r="C198" t="s">
        <v>4967</v>
      </c>
      <c r="D198">
        <v>182</v>
      </c>
      <c r="E198" t="s">
        <v>4817</v>
      </c>
      <c r="F198">
        <v>167</v>
      </c>
      <c r="G198" t="s">
        <v>4817</v>
      </c>
      <c r="H198">
        <v>161</v>
      </c>
      <c r="I198" t="s">
        <v>4805</v>
      </c>
      <c r="J198" s="631">
        <v>182</v>
      </c>
      <c r="K198">
        <v>72</v>
      </c>
      <c r="L198" t="s">
        <v>4817</v>
      </c>
      <c r="P198">
        <v>1711</v>
      </c>
      <c r="Q198">
        <v>0</v>
      </c>
      <c r="R198">
        <v>1711</v>
      </c>
    </row>
    <row r="199" spans="1:18" ht="19.899999999999999" customHeight="1">
      <c r="A199" t="str">
        <f t="shared" si="3"/>
        <v>IJ22</v>
      </c>
      <c r="B199" t="s">
        <v>4964</v>
      </c>
      <c r="C199" t="s">
        <v>4968</v>
      </c>
      <c r="D199">
        <v>131</v>
      </c>
      <c r="E199" t="s">
        <v>4805</v>
      </c>
      <c r="F199">
        <v>117</v>
      </c>
      <c r="G199" t="s">
        <v>4792</v>
      </c>
      <c r="H199">
        <v>134</v>
      </c>
      <c r="I199" t="s">
        <v>4801</v>
      </c>
      <c r="J199" s="631">
        <v>134</v>
      </c>
      <c r="K199">
        <v>54</v>
      </c>
      <c r="L199" t="s">
        <v>4801</v>
      </c>
      <c r="P199">
        <v>1013</v>
      </c>
      <c r="Q199">
        <v>2</v>
      </c>
      <c r="R199">
        <v>1015</v>
      </c>
    </row>
    <row r="200" spans="1:18" ht="19.899999999999999" customHeight="1">
      <c r="A200" t="str">
        <f t="shared" si="3"/>
        <v>IJ34</v>
      </c>
      <c r="B200" t="s">
        <v>4964</v>
      </c>
      <c r="C200" t="s">
        <v>4969</v>
      </c>
      <c r="D200">
        <v>50</v>
      </c>
      <c r="E200" t="s">
        <v>4802</v>
      </c>
      <c r="F200">
        <v>51</v>
      </c>
      <c r="G200" t="s">
        <v>4792</v>
      </c>
      <c r="H200">
        <v>30</v>
      </c>
      <c r="I200" t="s">
        <v>4800</v>
      </c>
      <c r="J200" s="631">
        <v>51</v>
      </c>
      <c r="K200">
        <v>25</v>
      </c>
      <c r="L200" t="s">
        <v>4792</v>
      </c>
      <c r="P200">
        <v>656</v>
      </c>
      <c r="Q200">
        <v>2</v>
      </c>
      <c r="R200">
        <v>658</v>
      </c>
    </row>
    <row r="201" spans="1:18" ht="19.899999999999999" customHeight="1">
      <c r="A201" t="str">
        <f t="shared" si="3"/>
        <v>IJ#2MTR</v>
      </c>
      <c r="B201" t="s">
        <v>4964</v>
      </c>
      <c r="C201" t="s">
        <v>4803</v>
      </c>
      <c r="D201">
        <v>582</v>
      </c>
      <c r="E201" t="s">
        <v>4792</v>
      </c>
      <c r="F201">
        <v>623</v>
      </c>
      <c r="G201" t="s">
        <v>4802</v>
      </c>
      <c r="H201">
        <v>563</v>
      </c>
      <c r="I201" t="s">
        <v>4792</v>
      </c>
      <c r="J201" s="631">
        <v>623</v>
      </c>
      <c r="K201" t="s">
        <v>4793</v>
      </c>
      <c r="L201" t="s">
        <v>4793</v>
      </c>
      <c r="P201" t="s">
        <v>85</v>
      </c>
      <c r="Q201" t="s">
        <v>85</v>
      </c>
      <c r="R201">
        <v>0</v>
      </c>
    </row>
    <row r="202" spans="1:18" ht="19.899999999999999" customHeight="1">
      <c r="A202" t="str">
        <f t="shared" si="3"/>
        <v>IJ29</v>
      </c>
      <c r="B202" t="s">
        <v>4964</v>
      </c>
      <c r="C202" t="s">
        <v>4973</v>
      </c>
      <c r="D202">
        <v>44</v>
      </c>
      <c r="E202" t="s">
        <v>4817</v>
      </c>
      <c r="F202">
        <v>37</v>
      </c>
      <c r="G202" t="s">
        <v>4795</v>
      </c>
      <c r="H202">
        <v>27</v>
      </c>
      <c r="I202" t="s">
        <v>4814</v>
      </c>
      <c r="J202" s="631">
        <v>44</v>
      </c>
      <c r="K202">
        <v>32</v>
      </c>
      <c r="L202" t="s">
        <v>4807</v>
      </c>
      <c r="P202">
        <v>1376</v>
      </c>
      <c r="Q202">
        <v>4</v>
      </c>
      <c r="R202">
        <v>1380</v>
      </c>
    </row>
    <row r="203" spans="1:18" ht="19.899999999999999" customHeight="1">
      <c r="A203" t="str">
        <f t="shared" si="3"/>
        <v>IJ26</v>
      </c>
      <c r="B203" t="s">
        <v>4964</v>
      </c>
      <c r="C203" t="s">
        <v>4970</v>
      </c>
      <c r="D203">
        <v>36</v>
      </c>
      <c r="E203" t="s">
        <v>4792</v>
      </c>
      <c r="F203">
        <v>40</v>
      </c>
      <c r="G203" t="s">
        <v>4792</v>
      </c>
      <c r="H203">
        <v>42</v>
      </c>
      <c r="I203" t="s">
        <v>4792</v>
      </c>
      <c r="J203" s="631">
        <v>42</v>
      </c>
      <c r="K203">
        <v>15</v>
      </c>
      <c r="L203" t="s">
        <v>4938</v>
      </c>
      <c r="P203">
        <v>3659</v>
      </c>
      <c r="Q203">
        <v>1</v>
      </c>
      <c r="R203">
        <v>3660</v>
      </c>
    </row>
    <row r="204" spans="1:18" ht="19.899999999999999" customHeight="1">
      <c r="A204" t="str">
        <f t="shared" si="3"/>
        <v>IJ32</v>
      </c>
      <c r="B204" t="s">
        <v>4964</v>
      </c>
      <c r="C204" t="s">
        <v>4974</v>
      </c>
      <c r="D204">
        <v>173</v>
      </c>
      <c r="E204" t="s">
        <v>4792</v>
      </c>
      <c r="F204">
        <v>164</v>
      </c>
      <c r="G204" t="s">
        <v>4802</v>
      </c>
      <c r="H204">
        <v>152</v>
      </c>
      <c r="I204" t="s">
        <v>4792</v>
      </c>
      <c r="J204" s="631">
        <v>173</v>
      </c>
      <c r="K204">
        <v>41</v>
      </c>
      <c r="L204" t="s">
        <v>4798</v>
      </c>
      <c r="P204">
        <v>3004</v>
      </c>
      <c r="Q204">
        <v>4</v>
      </c>
      <c r="R204">
        <v>3008</v>
      </c>
    </row>
    <row r="205" spans="1:18" ht="19.899999999999999" customHeight="1">
      <c r="A205" t="str">
        <f t="shared" si="3"/>
        <v>IJ28</v>
      </c>
      <c r="B205" t="s">
        <v>4964</v>
      </c>
      <c r="C205" t="s">
        <v>4971</v>
      </c>
      <c r="D205">
        <v>109</v>
      </c>
      <c r="E205" t="s">
        <v>4801</v>
      </c>
      <c r="F205">
        <v>137</v>
      </c>
      <c r="G205" t="s">
        <v>4805</v>
      </c>
      <c r="H205">
        <v>123</v>
      </c>
      <c r="I205" t="s">
        <v>4805</v>
      </c>
      <c r="J205" s="631">
        <v>137</v>
      </c>
      <c r="K205">
        <v>33</v>
      </c>
      <c r="L205" t="s">
        <v>4807</v>
      </c>
      <c r="P205">
        <v>4106</v>
      </c>
      <c r="Q205">
        <v>2</v>
      </c>
      <c r="R205">
        <v>4108</v>
      </c>
    </row>
    <row r="206" spans="1:18" ht="19.899999999999999" customHeight="1">
      <c r="A206" t="str">
        <f t="shared" si="3"/>
        <v>IJ20</v>
      </c>
      <c r="B206" t="s">
        <v>4964</v>
      </c>
      <c r="C206" t="s">
        <v>4972</v>
      </c>
      <c r="D206">
        <v>237</v>
      </c>
      <c r="E206" t="s">
        <v>4802</v>
      </c>
      <c r="F206">
        <v>258</v>
      </c>
      <c r="G206" t="s">
        <v>4802</v>
      </c>
      <c r="H206">
        <v>240</v>
      </c>
      <c r="I206" t="s">
        <v>4802</v>
      </c>
      <c r="J206" s="631">
        <v>258</v>
      </c>
      <c r="K206">
        <v>30</v>
      </c>
      <c r="L206" t="s">
        <v>4812</v>
      </c>
      <c r="P206">
        <v>514</v>
      </c>
      <c r="Q206">
        <v>1</v>
      </c>
      <c r="R206">
        <v>515</v>
      </c>
    </row>
    <row r="207" spans="1:18" ht="19.899999999999999" customHeight="1">
      <c r="A207" t="str">
        <f t="shared" si="3"/>
        <v>IJ#3MTR</v>
      </c>
      <c r="B207" t="s">
        <v>4964</v>
      </c>
      <c r="C207" t="s">
        <v>4811</v>
      </c>
      <c r="D207">
        <v>248</v>
      </c>
      <c r="E207" t="s">
        <v>4792</v>
      </c>
      <c r="F207">
        <v>280</v>
      </c>
      <c r="G207" t="s">
        <v>4792</v>
      </c>
      <c r="H207">
        <v>237</v>
      </c>
      <c r="I207" t="s">
        <v>4795</v>
      </c>
      <c r="J207" s="631">
        <v>280</v>
      </c>
      <c r="K207" t="s">
        <v>4793</v>
      </c>
      <c r="L207" t="s">
        <v>4793</v>
      </c>
      <c r="P207">
        <v>3533</v>
      </c>
      <c r="Q207">
        <v>6</v>
      </c>
      <c r="R207">
        <v>3539</v>
      </c>
    </row>
    <row r="208" spans="1:18" ht="19.899999999999999" customHeight="1">
      <c r="A208" t="str">
        <f t="shared" si="3"/>
        <v>IJ31</v>
      </c>
      <c r="B208" t="s">
        <v>4964</v>
      </c>
      <c r="C208" t="s">
        <v>4975</v>
      </c>
      <c r="D208">
        <v>73</v>
      </c>
      <c r="E208" t="s">
        <v>4800</v>
      </c>
      <c r="F208">
        <v>79</v>
      </c>
      <c r="G208" t="s">
        <v>4802</v>
      </c>
      <c r="H208">
        <v>34</v>
      </c>
      <c r="I208" t="s">
        <v>4812</v>
      </c>
      <c r="J208" s="631">
        <v>79</v>
      </c>
      <c r="K208">
        <v>49</v>
      </c>
      <c r="L208" t="s">
        <v>4800</v>
      </c>
      <c r="P208">
        <v>636</v>
      </c>
      <c r="Q208">
        <v>1</v>
      </c>
      <c r="R208">
        <v>637</v>
      </c>
    </row>
    <row r="209" spans="1:18" ht="19.899999999999999" customHeight="1">
      <c r="A209" t="str">
        <f t="shared" si="3"/>
        <v>IJ24</v>
      </c>
      <c r="B209" t="s">
        <v>4964</v>
      </c>
      <c r="C209" t="s">
        <v>4976</v>
      </c>
      <c r="D209">
        <v>84</v>
      </c>
      <c r="E209" t="s">
        <v>4802</v>
      </c>
      <c r="F209">
        <v>81</v>
      </c>
      <c r="G209" t="s">
        <v>4802</v>
      </c>
      <c r="H209">
        <v>99</v>
      </c>
      <c r="I209" t="s">
        <v>4802</v>
      </c>
      <c r="J209" s="631">
        <v>99</v>
      </c>
      <c r="K209">
        <v>39</v>
      </c>
      <c r="L209" t="s">
        <v>4812</v>
      </c>
      <c r="P209">
        <v>1988</v>
      </c>
      <c r="Q209">
        <v>9</v>
      </c>
      <c r="R209">
        <v>1997</v>
      </c>
    </row>
    <row r="210" spans="1:18" ht="19.899999999999999" customHeight="1">
      <c r="A210" t="str">
        <f t="shared" si="3"/>
        <v>IJ25</v>
      </c>
      <c r="B210" t="s">
        <v>4964</v>
      </c>
      <c r="C210" t="s">
        <v>4977</v>
      </c>
      <c r="D210">
        <v>24</v>
      </c>
      <c r="E210" t="s">
        <v>4796</v>
      </c>
      <c r="F210">
        <v>19</v>
      </c>
      <c r="G210" t="s">
        <v>4796</v>
      </c>
      <c r="H210">
        <v>19</v>
      </c>
      <c r="I210" t="s">
        <v>4795</v>
      </c>
      <c r="J210" s="631">
        <v>24</v>
      </c>
      <c r="K210">
        <v>17</v>
      </c>
      <c r="L210" t="s">
        <v>4796</v>
      </c>
      <c r="P210">
        <v>1487</v>
      </c>
      <c r="Q210">
        <v>3</v>
      </c>
      <c r="R210">
        <v>1490</v>
      </c>
    </row>
    <row r="211" spans="1:18" ht="19.899999999999999" customHeight="1">
      <c r="A211" t="str">
        <f t="shared" si="3"/>
        <v>IJ21</v>
      </c>
      <c r="B211" t="s">
        <v>4964</v>
      </c>
      <c r="C211" t="s">
        <v>4978</v>
      </c>
      <c r="D211">
        <v>61</v>
      </c>
      <c r="E211" t="s">
        <v>4795</v>
      </c>
      <c r="F211">
        <v>66</v>
      </c>
      <c r="G211" t="s">
        <v>4792</v>
      </c>
      <c r="H211">
        <v>52</v>
      </c>
      <c r="I211" t="s">
        <v>4802</v>
      </c>
      <c r="J211" s="631">
        <v>66</v>
      </c>
      <c r="K211">
        <v>22</v>
      </c>
      <c r="L211" t="s">
        <v>4801</v>
      </c>
      <c r="P211">
        <v>348</v>
      </c>
      <c r="Q211">
        <v>17</v>
      </c>
      <c r="R211">
        <v>365</v>
      </c>
    </row>
    <row r="212" spans="1:18" ht="19.899999999999999" customHeight="1">
      <c r="A212" t="str">
        <f t="shared" si="3"/>
        <v>IJ27</v>
      </c>
      <c r="B212" t="s">
        <v>4964</v>
      </c>
      <c r="C212" t="s">
        <v>4979</v>
      </c>
      <c r="D212">
        <v>27</v>
      </c>
      <c r="E212" t="s">
        <v>4792</v>
      </c>
      <c r="F212">
        <v>44</v>
      </c>
      <c r="G212" t="s">
        <v>4792</v>
      </c>
      <c r="H212">
        <v>40</v>
      </c>
      <c r="I212" t="s">
        <v>4800</v>
      </c>
      <c r="J212" s="631">
        <v>44</v>
      </c>
      <c r="K212">
        <v>19</v>
      </c>
      <c r="L212" t="s">
        <v>4808</v>
      </c>
      <c r="P212">
        <v>1106</v>
      </c>
      <c r="Q212" t="s">
        <v>85</v>
      </c>
      <c r="R212">
        <v>1106</v>
      </c>
    </row>
    <row r="213" spans="1:18" ht="19.899999999999999" customHeight="1">
      <c r="A213" t="str">
        <f t="shared" si="3"/>
        <v>IR#1MTR</v>
      </c>
      <c r="B213" t="s">
        <v>4980</v>
      </c>
      <c r="C213" t="s">
        <v>4791</v>
      </c>
      <c r="D213">
        <v>417</v>
      </c>
      <c r="E213" t="s">
        <v>4792</v>
      </c>
      <c r="F213">
        <v>386</v>
      </c>
      <c r="G213" t="s">
        <v>4795</v>
      </c>
      <c r="H213">
        <v>433</v>
      </c>
      <c r="I213" t="s">
        <v>4792</v>
      </c>
      <c r="J213" s="631">
        <v>433</v>
      </c>
      <c r="K213" t="s">
        <v>4793</v>
      </c>
      <c r="L213" t="s">
        <v>4793</v>
      </c>
      <c r="P213">
        <v>1839</v>
      </c>
      <c r="Q213">
        <v>4</v>
      </c>
      <c r="R213">
        <v>1843</v>
      </c>
    </row>
    <row r="214" spans="1:18" ht="19.899999999999999" customHeight="1">
      <c r="A214" t="str">
        <f t="shared" si="3"/>
        <v>IR21</v>
      </c>
      <c r="B214" t="s">
        <v>4980</v>
      </c>
      <c r="C214" t="s">
        <v>4981</v>
      </c>
      <c r="D214">
        <v>120</v>
      </c>
      <c r="E214" t="s">
        <v>4792</v>
      </c>
      <c r="F214">
        <v>100</v>
      </c>
      <c r="G214" t="s">
        <v>4792</v>
      </c>
      <c r="H214">
        <v>115</v>
      </c>
      <c r="I214" t="s">
        <v>4795</v>
      </c>
      <c r="J214" s="631">
        <v>120</v>
      </c>
      <c r="K214">
        <v>24</v>
      </c>
      <c r="L214" t="s">
        <v>4795</v>
      </c>
      <c r="P214">
        <v>4841</v>
      </c>
      <c r="Q214">
        <v>3</v>
      </c>
      <c r="R214">
        <v>4844</v>
      </c>
    </row>
    <row r="215" spans="1:18" ht="19.899999999999999" customHeight="1">
      <c r="A215" t="str">
        <f t="shared" si="3"/>
        <v>IR31</v>
      </c>
      <c r="B215" t="s">
        <v>4980</v>
      </c>
      <c r="C215" t="s">
        <v>4982</v>
      </c>
      <c r="D215">
        <v>73</v>
      </c>
      <c r="E215" t="s">
        <v>4792</v>
      </c>
      <c r="F215">
        <v>83</v>
      </c>
      <c r="G215" t="s">
        <v>4802</v>
      </c>
      <c r="H215">
        <v>74</v>
      </c>
      <c r="I215" t="s">
        <v>4792</v>
      </c>
      <c r="J215" s="631">
        <v>83</v>
      </c>
      <c r="K215">
        <v>22</v>
      </c>
      <c r="L215" t="s">
        <v>4810</v>
      </c>
      <c r="P215">
        <v>5066</v>
      </c>
      <c r="Q215">
        <v>2</v>
      </c>
      <c r="R215">
        <v>5068</v>
      </c>
    </row>
    <row r="216" spans="1:18" ht="19.899999999999999" customHeight="1">
      <c r="A216" t="str">
        <f t="shared" si="3"/>
        <v>IR32</v>
      </c>
      <c r="B216" t="s">
        <v>4980</v>
      </c>
      <c r="C216" t="s">
        <v>4983</v>
      </c>
      <c r="D216">
        <v>62</v>
      </c>
      <c r="E216" t="s">
        <v>4792</v>
      </c>
      <c r="F216">
        <v>63</v>
      </c>
      <c r="G216" t="s">
        <v>4808</v>
      </c>
      <c r="H216">
        <v>69</v>
      </c>
      <c r="I216" t="s">
        <v>4795</v>
      </c>
      <c r="J216" s="631">
        <v>69</v>
      </c>
      <c r="K216">
        <v>30</v>
      </c>
      <c r="L216" t="s">
        <v>4808</v>
      </c>
      <c r="P216">
        <v>1237</v>
      </c>
      <c r="Q216" t="s">
        <v>85</v>
      </c>
      <c r="R216">
        <v>1237</v>
      </c>
    </row>
    <row r="217" spans="1:18" ht="19.899999999999999" customHeight="1">
      <c r="A217" t="str">
        <f t="shared" si="3"/>
        <v>IR33</v>
      </c>
      <c r="B217" t="s">
        <v>4980</v>
      </c>
      <c r="C217" t="s">
        <v>4984</v>
      </c>
      <c r="D217">
        <v>101</v>
      </c>
      <c r="E217" t="s">
        <v>4802</v>
      </c>
      <c r="F217">
        <v>98</v>
      </c>
      <c r="G217" t="s">
        <v>4802</v>
      </c>
      <c r="H217">
        <v>133</v>
      </c>
      <c r="I217" t="s">
        <v>4792</v>
      </c>
      <c r="J217" s="631">
        <v>133</v>
      </c>
      <c r="K217">
        <v>46</v>
      </c>
      <c r="L217" t="s">
        <v>4798</v>
      </c>
      <c r="P217" t="s">
        <v>85</v>
      </c>
      <c r="Q217" t="s">
        <v>85</v>
      </c>
      <c r="R217">
        <v>0</v>
      </c>
    </row>
    <row r="218" spans="1:18" ht="19.899999999999999" customHeight="1">
      <c r="A218" t="str">
        <f t="shared" si="3"/>
        <v>IR34</v>
      </c>
      <c r="B218" t="s">
        <v>4980</v>
      </c>
      <c r="C218" t="s">
        <v>4985</v>
      </c>
      <c r="D218">
        <v>77</v>
      </c>
      <c r="E218" t="s">
        <v>4805</v>
      </c>
      <c r="F218">
        <v>60</v>
      </c>
      <c r="G218" t="s">
        <v>4805</v>
      </c>
      <c r="H218">
        <v>65</v>
      </c>
      <c r="I218" t="s">
        <v>4809</v>
      </c>
      <c r="J218" s="631">
        <v>77</v>
      </c>
      <c r="K218">
        <v>36</v>
      </c>
      <c r="L218" t="s">
        <v>4814</v>
      </c>
      <c r="P218">
        <v>1670</v>
      </c>
      <c r="Q218">
        <v>4</v>
      </c>
      <c r="R218">
        <v>1674</v>
      </c>
    </row>
    <row r="219" spans="1:18" ht="19.899999999999999" customHeight="1">
      <c r="A219" t="str">
        <f t="shared" si="3"/>
        <v>IR#2MTR</v>
      </c>
      <c r="B219" t="s">
        <v>4980</v>
      </c>
      <c r="C219" t="s">
        <v>4803</v>
      </c>
      <c r="D219">
        <v>536</v>
      </c>
      <c r="E219" t="s">
        <v>4795</v>
      </c>
      <c r="F219">
        <v>497</v>
      </c>
      <c r="G219" t="s">
        <v>4795</v>
      </c>
      <c r="H219">
        <v>465</v>
      </c>
      <c r="I219" t="s">
        <v>4795</v>
      </c>
      <c r="J219" s="631">
        <v>536</v>
      </c>
      <c r="K219" t="s">
        <v>4793</v>
      </c>
      <c r="L219" t="s">
        <v>4793</v>
      </c>
      <c r="P219">
        <v>2960</v>
      </c>
      <c r="Q219">
        <v>6</v>
      </c>
      <c r="R219">
        <v>2966</v>
      </c>
    </row>
    <row r="220" spans="1:18" ht="19.899999999999999" customHeight="1">
      <c r="A220" t="str">
        <f t="shared" si="3"/>
        <v>IR25</v>
      </c>
      <c r="B220" t="s">
        <v>4980</v>
      </c>
      <c r="C220" t="s">
        <v>4986</v>
      </c>
      <c r="D220">
        <v>111</v>
      </c>
      <c r="E220" t="s">
        <v>4795</v>
      </c>
      <c r="F220">
        <v>91</v>
      </c>
      <c r="G220" t="s">
        <v>4795</v>
      </c>
      <c r="H220">
        <v>68</v>
      </c>
      <c r="I220" t="s">
        <v>4792</v>
      </c>
      <c r="J220" s="631">
        <v>111</v>
      </c>
      <c r="K220">
        <v>44</v>
      </c>
      <c r="L220" t="s">
        <v>4795</v>
      </c>
      <c r="P220">
        <v>661</v>
      </c>
      <c r="Q220">
        <v>3</v>
      </c>
      <c r="R220">
        <v>664</v>
      </c>
    </row>
    <row r="221" spans="1:18" ht="19.899999999999999" customHeight="1">
      <c r="A221" t="str">
        <f t="shared" si="3"/>
        <v>IR26</v>
      </c>
      <c r="B221" t="s">
        <v>4980</v>
      </c>
      <c r="C221" t="s">
        <v>4987</v>
      </c>
      <c r="D221">
        <v>172</v>
      </c>
      <c r="E221" t="s">
        <v>4796</v>
      </c>
      <c r="F221">
        <v>152</v>
      </c>
      <c r="G221" t="s">
        <v>4796</v>
      </c>
      <c r="H221">
        <v>143</v>
      </c>
      <c r="I221" t="s">
        <v>4796</v>
      </c>
      <c r="J221" s="631">
        <v>172</v>
      </c>
      <c r="K221">
        <v>68</v>
      </c>
      <c r="L221" t="s">
        <v>4810</v>
      </c>
      <c r="P221">
        <v>589</v>
      </c>
      <c r="Q221" t="s">
        <v>85</v>
      </c>
      <c r="R221">
        <v>589</v>
      </c>
    </row>
    <row r="222" spans="1:18" ht="19.899999999999999" customHeight="1">
      <c r="A222" t="str">
        <f t="shared" si="3"/>
        <v>IR35</v>
      </c>
      <c r="B222" t="s">
        <v>4980</v>
      </c>
      <c r="C222" t="s">
        <v>4989</v>
      </c>
      <c r="D222">
        <v>91</v>
      </c>
      <c r="E222" t="s">
        <v>4792</v>
      </c>
      <c r="F222">
        <v>74</v>
      </c>
      <c r="G222" t="s">
        <v>4792</v>
      </c>
      <c r="H222">
        <v>99</v>
      </c>
      <c r="I222" t="s">
        <v>4792</v>
      </c>
      <c r="J222" s="631">
        <v>99</v>
      </c>
      <c r="K222">
        <v>39</v>
      </c>
      <c r="L222" t="s">
        <v>4843</v>
      </c>
      <c r="P222">
        <v>1242</v>
      </c>
      <c r="Q222">
        <v>2</v>
      </c>
      <c r="R222">
        <v>1244</v>
      </c>
    </row>
    <row r="223" spans="1:18" ht="19.899999999999999" customHeight="1">
      <c r="A223" t="str">
        <f t="shared" si="3"/>
        <v>IR27</v>
      </c>
      <c r="B223" t="s">
        <v>4980</v>
      </c>
      <c r="C223" t="s">
        <v>4988</v>
      </c>
      <c r="D223">
        <v>57</v>
      </c>
      <c r="E223" t="s">
        <v>4795</v>
      </c>
      <c r="F223">
        <v>50</v>
      </c>
      <c r="G223" t="s">
        <v>4802</v>
      </c>
      <c r="H223">
        <v>55</v>
      </c>
      <c r="I223" t="s">
        <v>4798</v>
      </c>
      <c r="J223" s="631">
        <v>57</v>
      </c>
      <c r="K223">
        <v>20</v>
      </c>
      <c r="L223" t="s">
        <v>4821</v>
      </c>
      <c r="P223">
        <v>2384</v>
      </c>
      <c r="Q223">
        <v>1</v>
      </c>
      <c r="R223">
        <v>2385</v>
      </c>
    </row>
    <row r="224" spans="1:18" ht="19.899999999999999" customHeight="1">
      <c r="A224" t="str">
        <f t="shared" si="3"/>
        <v>IR20</v>
      </c>
      <c r="B224" t="s">
        <v>4980</v>
      </c>
      <c r="C224" t="s">
        <v>4990</v>
      </c>
      <c r="D224">
        <v>128</v>
      </c>
      <c r="E224" t="s">
        <v>4812</v>
      </c>
      <c r="F224">
        <v>159</v>
      </c>
      <c r="G224" t="s">
        <v>4795</v>
      </c>
      <c r="H224">
        <v>144</v>
      </c>
      <c r="I224" t="s">
        <v>4795</v>
      </c>
      <c r="J224" s="631">
        <v>159</v>
      </c>
      <c r="K224">
        <v>48</v>
      </c>
      <c r="L224" t="s">
        <v>4795</v>
      </c>
      <c r="P224">
        <v>2691</v>
      </c>
      <c r="Q224">
        <v>7</v>
      </c>
      <c r="R224">
        <v>2698</v>
      </c>
    </row>
    <row r="225" spans="1:18" ht="19.899999999999999" customHeight="1">
      <c r="A225" t="str">
        <f t="shared" si="3"/>
        <v>IR#3MTR</v>
      </c>
      <c r="B225" t="s">
        <v>4980</v>
      </c>
      <c r="C225" t="s">
        <v>4811</v>
      </c>
      <c r="D225">
        <v>444</v>
      </c>
      <c r="E225" t="s">
        <v>4795</v>
      </c>
      <c r="F225">
        <v>434</v>
      </c>
      <c r="G225" t="s">
        <v>4792</v>
      </c>
      <c r="H225">
        <v>426</v>
      </c>
      <c r="I225" t="s">
        <v>4872</v>
      </c>
      <c r="J225" s="631">
        <v>444</v>
      </c>
      <c r="K225" t="s">
        <v>4793</v>
      </c>
      <c r="L225" t="s">
        <v>4793</v>
      </c>
      <c r="P225">
        <v>333</v>
      </c>
      <c r="Q225">
        <v>4</v>
      </c>
      <c r="R225">
        <v>337</v>
      </c>
    </row>
    <row r="226" spans="1:18" ht="19.899999999999999" customHeight="1">
      <c r="A226" t="str">
        <f t="shared" si="3"/>
        <v>IR37</v>
      </c>
      <c r="B226" t="s">
        <v>4980</v>
      </c>
      <c r="C226" t="s">
        <v>4994</v>
      </c>
      <c r="D226">
        <v>116</v>
      </c>
      <c r="E226" t="s">
        <v>4792</v>
      </c>
      <c r="F226">
        <v>112</v>
      </c>
      <c r="G226" t="s">
        <v>4800</v>
      </c>
      <c r="H226">
        <v>82</v>
      </c>
      <c r="I226" t="s">
        <v>4795</v>
      </c>
      <c r="J226" s="631">
        <v>116</v>
      </c>
      <c r="K226">
        <v>42</v>
      </c>
      <c r="L226" t="s">
        <v>4802</v>
      </c>
      <c r="P226">
        <v>173</v>
      </c>
      <c r="Q226">
        <v>2</v>
      </c>
      <c r="R226">
        <v>175</v>
      </c>
    </row>
    <row r="227" spans="1:18" ht="19.899999999999999" customHeight="1">
      <c r="A227" t="str">
        <f t="shared" si="3"/>
        <v>IR38</v>
      </c>
      <c r="B227" t="s">
        <v>4980</v>
      </c>
      <c r="C227" t="s">
        <v>4991</v>
      </c>
      <c r="D227">
        <v>93</v>
      </c>
      <c r="E227" t="s">
        <v>4795</v>
      </c>
      <c r="F227">
        <v>81</v>
      </c>
      <c r="G227" t="s">
        <v>4792</v>
      </c>
      <c r="H227">
        <v>114</v>
      </c>
      <c r="I227" t="s">
        <v>4800</v>
      </c>
      <c r="J227" s="631">
        <v>114</v>
      </c>
      <c r="K227">
        <v>46</v>
      </c>
      <c r="L227" t="s">
        <v>4800</v>
      </c>
      <c r="P227">
        <v>131</v>
      </c>
      <c r="Q227">
        <v>1</v>
      </c>
      <c r="R227">
        <v>132</v>
      </c>
    </row>
    <row r="228" spans="1:18" ht="19.899999999999999" customHeight="1">
      <c r="A228" t="str">
        <f t="shared" si="3"/>
        <v>IR39</v>
      </c>
      <c r="B228" t="s">
        <v>4980</v>
      </c>
      <c r="C228" t="s">
        <v>4992</v>
      </c>
      <c r="D228">
        <v>118</v>
      </c>
      <c r="E228" t="s">
        <v>4795</v>
      </c>
      <c r="F228">
        <v>153</v>
      </c>
      <c r="G228" t="s">
        <v>4792</v>
      </c>
      <c r="H228">
        <v>138</v>
      </c>
      <c r="I228" t="s">
        <v>4792</v>
      </c>
      <c r="J228" s="631">
        <v>153</v>
      </c>
      <c r="K228">
        <v>43</v>
      </c>
      <c r="L228" t="s">
        <v>4807</v>
      </c>
      <c r="P228">
        <v>2291</v>
      </c>
      <c r="Q228">
        <v>2</v>
      </c>
      <c r="R228">
        <v>2293</v>
      </c>
    </row>
    <row r="229" spans="1:18" ht="19.899999999999999" customHeight="1">
      <c r="A229" t="str">
        <f t="shared" si="3"/>
        <v>IR36</v>
      </c>
      <c r="B229" t="s">
        <v>4980</v>
      </c>
      <c r="C229" t="s">
        <v>4995</v>
      </c>
      <c r="D229">
        <v>169</v>
      </c>
      <c r="E229" t="s">
        <v>4810</v>
      </c>
      <c r="F229">
        <v>164</v>
      </c>
      <c r="G229" t="s">
        <v>4810</v>
      </c>
      <c r="H229">
        <v>159</v>
      </c>
      <c r="I229" t="s">
        <v>4810</v>
      </c>
      <c r="J229" s="631">
        <v>169</v>
      </c>
      <c r="K229">
        <v>37</v>
      </c>
      <c r="L229" t="s">
        <v>4808</v>
      </c>
      <c r="P229">
        <v>1329</v>
      </c>
      <c r="Q229">
        <v>7</v>
      </c>
      <c r="R229">
        <v>1336</v>
      </c>
    </row>
    <row r="230" spans="1:18" ht="19.899999999999999" customHeight="1">
      <c r="A230" t="str">
        <f t="shared" si="3"/>
        <v>IR40</v>
      </c>
      <c r="B230" t="s">
        <v>4980</v>
      </c>
      <c r="C230" t="s">
        <v>4993</v>
      </c>
      <c r="D230">
        <v>23</v>
      </c>
      <c r="E230" t="s">
        <v>4808</v>
      </c>
      <c r="F230">
        <v>30</v>
      </c>
      <c r="G230" t="s">
        <v>4795</v>
      </c>
      <c r="H230">
        <v>31</v>
      </c>
      <c r="I230" t="s">
        <v>4812</v>
      </c>
      <c r="J230" s="631">
        <v>31</v>
      </c>
      <c r="K230">
        <v>15</v>
      </c>
      <c r="L230" t="s">
        <v>4808</v>
      </c>
      <c r="P230">
        <v>2194</v>
      </c>
      <c r="Q230">
        <v>2</v>
      </c>
      <c r="R230">
        <v>2196</v>
      </c>
    </row>
    <row r="231" spans="1:18" ht="19.899999999999999" customHeight="1">
      <c r="A231" t="str">
        <f t="shared" si="3"/>
        <v>IR#4MTR</v>
      </c>
      <c r="B231" t="s">
        <v>4980</v>
      </c>
      <c r="C231" t="s">
        <v>4996</v>
      </c>
      <c r="D231">
        <v>428</v>
      </c>
      <c r="E231" t="s">
        <v>4795</v>
      </c>
      <c r="F231">
        <v>455</v>
      </c>
      <c r="G231" t="s">
        <v>4795</v>
      </c>
      <c r="H231">
        <v>436</v>
      </c>
      <c r="I231" t="s">
        <v>4792</v>
      </c>
      <c r="J231" s="631">
        <v>455</v>
      </c>
      <c r="K231" t="s">
        <v>4793</v>
      </c>
      <c r="L231" t="s">
        <v>4793</v>
      </c>
      <c r="P231" t="s">
        <v>85</v>
      </c>
      <c r="Q231" t="s">
        <v>85</v>
      </c>
      <c r="R231">
        <v>0</v>
      </c>
    </row>
    <row r="232" spans="1:18" ht="19.899999999999999" customHeight="1">
      <c r="A232" t="str">
        <f t="shared" si="3"/>
        <v>IR23</v>
      </c>
      <c r="B232" t="s">
        <v>4980</v>
      </c>
      <c r="C232" t="s">
        <v>4997</v>
      </c>
      <c r="D232">
        <v>70</v>
      </c>
      <c r="E232" t="s">
        <v>4805</v>
      </c>
      <c r="F232">
        <v>85</v>
      </c>
      <c r="G232" t="s">
        <v>4805</v>
      </c>
      <c r="H232">
        <v>60</v>
      </c>
      <c r="I232" t="s">
        <v>4805</v>
      </c>
      <c r="J232" s="631">
        <v>85</v>
      </c>
      <c r="K232">
        <v>34</v>
      </c>
      <c r="L232" t="s">
        <v>4805</v>
      </c>
      <c r="P232">
        <v>360</v>
      </c>
      <c r="Q232">
        <v>1</v>
      </c>
      <c r="R232">
        <v>361</v>
      </c>
    </row>
    <row r="233" spans="1:18" ht="19.899999999999999" customHeight="1">
      <c r="A233" t="str">
        <f t="shared" si="3"/>
        <v>IR28</v>
      </c>
      <c r="B233" t="s">
        <v>4980</v>
      </c>
      <c r="C233" t="s">
        <v>4998</v>
      </c>
      <c r="D233">
        <v>37</v>
      </c>
      <c r="E233" t="s">
        <v>4792</v>
      </c>
      <c r="F233">
        <v>37</v>
      </c>
      <c r="G233" t="s">
        <v>4792</v>
      </c>
      <c r="H233">
        <v>39</v>
      </c>
      <c r="I233" t="s">
        <v>4802</v>
      </c>
      <c r="J233" s="631">
        <v>39</v>
      </c>
      <c r="K233">
        <v>18</v>
      </c>
      <c r="L233" t="s">
        <v>4799</v>
      </c>
      <c r="P233">
        <v>955</v>
      </c>
      <c r="Q233">
        <v>11</v>
      </c>
      <c r="R233">
        <v>966</v>
      </c>
    </row>
    <row r="234" spans="1:18" ht="19.899999999999999" customHeight="1">
      <c r="A234" t="str">
        <f t="shared" si="3"/>
        <v>IR22</v>
      </c>
      <c r="B234" t="s">
        <v>4980</v>
      </c>
      <c r="C234" t="s">
        <v>4999</v>
      </c>
      <c r="D234">
        <v>104</v>
      </c>
      <c r="E234" t="s">
        <v>4795</v>
      </c>
      <c r="F234">
        <v>96</v>
      </c>
      <c r="G234" t="s">
        <v>4792</v>
      </c>
      <c r="H234">
        <v>100</v>
      </c>
      <c r="I234" t="s">
        <v>4800</v>
      </c>
      <c r="J234" s="631">
        <v>104</v>
      </c>
      <c r="K234">
        <v>22</v>
      </c>
      <c r="L234" t="s">
        <v>4799</v>
      </c>
      <c r="P234">
        <v>1864</v>
      </c>
      <c r="Q234">
        <v>4</v>
      </c>
      <c r="R234">
        <v>1868</v>
      </c>
    </row>
    <row r="235" spans="1:18" ht="19.899999999999999" customHeight="1">
      <c r="A235" t="str">
        <f t="shared" si="3"/>
        <v>IR29</v>
      </c>
      <c r="B235" t="s">
        <v>4980</v>
      </c>
      <c r="C235" t="s">
        <v>5000</v>
      </c>
      <c r="D235">
        <v>141</v>
      </c>
      <c r="E235" t="s">
        <v>4795</v>
      </c>
      <c r="F235">
        <v>158</v>
      </c>
      <c r="G235" t="s">
        <v>4795</v>
      </c>
      <c r="H235">
        <v>148</v>
      </c>
      <c r="I235" t="s">
        <v>4795</v>
      </c>
      <c r="J235" s="631">
        <v>158</v>
      </c>
      <c r="K235">
        <v>32</v>
      </c>
      <c r="L235" t="s">
        <v>4796</v>
      </c>
      <c r="P235">
        <v>1713</v>
      </c>
      <c r="Q235">
        <v>3</v>
      </c>
      <c r="R235">
        <v>1716</v>
      </c>
    </row>
    <row r="236" spans="1:18" ht="19.899999999999999" customHeight="1">
      <c r="A236" t="str">
        <f t="shared" si="3"/>
        <v>IR24</v>
      </c>
      <c r="B236" t="s">
        <v>4980</v>
      </c>
      <c r="C236" t="s">
        <v>5001</v>
      </c>
      <c r="D236">
        <v>100</v>
      </c>
      <c r="E236" t="s">
        <v>4792</v>
      </c>
      <c r="F236">
        <v>107</v>
      </c>
      <c r="G236" t="s">
        <v>4805</v>
      </c>
      <c r="H236">
        <v>111</v>
      </c>
      <c r="I236" t="s">
        <v>4805</v>
      </c>
      <c r="J236" s="631">
        <v>111</v>
      </c>
      <c r="K236">
        <v>56</v>
      </c>
      <c r="L236" t="s">
        <v>4796</v>
      </c>
      <c r="P236">
        <v>1131</v>
      </c>
      <c r="Q236" t="s">
        <v>85</v>
      </c>
      <c r="R236">
        <v>1131</v>
      </c>
    </row>
    <row r="237" spans="1:18" ht="19.899999999999999" customHeight="1">
      <c r="A237" t="str">
        <f t="shared" si="3"/>
        <v>IY#1MTR</v>
      </c>
      <c r="B237" t="s">
        <v>5002</v>
      </c>
      <c r="C237" t="s">
        <v>4791</v>
      </c>
      <c r="D237">
        <v>756</v>
      </c>
      <c r="E237" t="s">
        <v>4792</v>
      </c>
      <c r="F237">
        <v>772</v>
      </c>
      <c r="G237" t="s">
        <v>4792</v>
      </c>
      <c r="H237">
        <v>790</v>
      </c>
      <c r="I237" t="s">
        <v>4792</v>
      </c>
      <c r="J237" s="631">
        <v>790</v>
      </c>
      <c r="K237" t="s">
        <v>4793</v>
      </c>
      <c r="L237" t="s">
        <v>4793</v>
      </c>
      <c r="P237">
        <v>3109</v>
      </c>
      <c r="Q237">
        <v>6</v>
      </c>
      <c r="R237">
        <v>3115</v>
      </c>
    </row>
    <row r="238" spans="1:18" ht="19.899999999999999" customHeight="1">
      <c r="A238" t="str">
        <f t="shared" si="3"/>
        <v>IY31</v>
      </c>
      <c r="B238" t="s">
        <v>5002</v>
      </c>
      <c r="C238" t="s">
        <v>5003</v>
      </c>
      <c r="D238">
        <v>212</v>
      </c>
      <c r="E238" t="s">
        <v>4792</v>
      </c>
      <c r="F238">
        <v>202</v>
      </c>
      <c r="G238" t="s">
        <v>4795</v>
      </c>
      <c r="H238">
        <v>232</v>
      </c>
      <c r="I238" t="s">
        <v>4792</v>
      </c>
      <c r="J238" s="631">
        <v>232</v>
      </c>
      <c r="K238">
        <v>40</v>
      </c>
      <c r="L238" t="s">
        <v>4800</v>
      </c>
      <c r="P238">
        <v>1864</v>
      </c>
      <c r="Q238">
        <v>1</v>
      </c>
      <c r="R238">
        <v>1865</v>
      </c>
    </row>
    <row r="239" spans="1:18" ht="19.899999999999999" customHeight="1">
      <c r="A239" t="str">
        <f t="shared" si="3"/>
        <v>IY21</v>
      </c>
      <c r="B239" t="s">
        <v>5002</v>
      </c>
      <c r="C239" t="s">
        <v>5004</v>
      </c>
      <c r="D239">
        <v>271</v>
      </c>
      <c r="E239" t="s">
        <v>4853</v>
      </c>
      <c r="F239">
        <v>277</v>
      </c>
      <c r="G239" t="s">
        <v>4853</v>
      </c>
      <c r="H239">
        <v>275</v>
      </c>
      <c r="I239" t="s">
        <v>4853</v>
      </c>
      <c r="J239" s="631">
        <v>277</v>
      </c>
      <c r="K239">
        <v>0</v>
      </c>
      <c r="L239" t="s">
        <v>4810</v>
      </c>
      <c r="P239">
        <v>108</v>
      </c>
      <c r="Q239">
        <v>1</v>
      </c>
      <c r="R239">
        <v>109</v>
      </c>
    </row>
    <row r="240" spans="1:18" ht="19.899999999999999" customHeight="1">
      <c r="A240" t="str">
        <f t="shared" si="3"/>
        <v>IY32</v>
      </c>
      <c r="B240" t="s">
        <v>5002</v>
      </c>
      <c r="C240" t="s">
        <v>5005</v>
      </c>
      <c r="D240">
        <v>177</v>
      </c>
      <c r="E240" t="s">
        <v>4810</v>
      </c>
      <c r="F240">
        <v>177</v>
      </c>
      <c r="G240" t="s">
        <v>4810</v>
      </c>
      <c r="H240">
        <v>178</v>
      </c>
      <c r="I240" t="s">
        <v>4810</v>
      </c>
      <c r="J240" s="631">
        <v>178</v>
      </c>
      <c r="K240">
        <v>2</v>
      </c>
      <c r="L240" t="s">
        <v>4843</v>
      </c>
      <c r="P240">
        <v>840</v>
      </c>
      <c r="Q240">
        <v>1</v>
      </c>
      <c r="R240">
        <v>841</v>
      </c>
    </row>
    <row r="241" spans="1:18" ht="19.899999999999999" customHeight="1">
      <c r="A241" t="str">
        <f t="shared" si="3"/>
        <v>IY28</v>
      </c>
      <c r="B241" t="s">
        <v>5002</v>
      </c>
      <c r="C241" t="s">
        <v>5006</v>
      </c>
      <c r="D241">
        <v>127</v>
      </c>
      <c r="E241" t="s">
        <v>4801</v>
      </c>
      <c r="F241">
        <v>139</v>
      </c>
      <c r="G241" t="s">
        <v>4805</v>
      </c>
      <c r="H241">
        <v>132</v>
      </c>
      <c r="I241" t="s">
        <v>4808</v>
      </c>
      <c r="J241" s="631">
        <v>139</v>
      </c>
      <c r="K241">
        <v>7</v>
      </c>
      <c r="L241" t="s">
        <v>4817</v>
      </c>
      <c r="P241">
        <v>206</v>
      </c>
      <c r="Q241">
        <v>3</v>
      </c>
      <c r="R241">
        <v>209</v>
      </c>
    </row>
    <row r="242" spans="1:18" ht="19.899999999999999" customHeight="1">
      <c r="A242" t="str">
        <f t="shared" si="3"/>
        <v>IY29</v>
      </c>
      <c r="B242" t="s">
        <v>5002</v>
      </c>
      <c r="C242" t="s">
        <v>5007</v>
      </c>
      <c r="D242">
        <v>92</v>
      </c>
      <c r="E242" t="s">
        <v>4918</v>
      </c>
      <c r="F242">
        <v>98</v>
      </c>
      <c r="G242" t="s">
        <v>4918</v>
      </c>
      <c r="H242">
        <v>93</v>
      </c>
      <c r="I242" t="s">
        <v>4918</v>
      </c>
      <c r="J242" s="631">
        <v>98</v>
      </c>
      <c r="K242">
        <v>0</v>
      </c>
      <c r="L242" t="s">
        <v>4810</v>
      </c>
      <c r="P242">
        <v>2277</v>
      </c>
      <c r="Q242">
        <v>6</v>
      </c>
      <c r="R242">
        <v>2283</v>
      </c>
    </row>
    <row r="243" spans="1:18" ht="19.899999999999999" customHeight="1">
      <c r="A243" t="str">
        <f t="shared" si="3"/>
        <v>IY#2MTR</v>
      </c>
      <c r="B243" t="s">
        <v>5002</v>
      </c>
      <c r="C243" t="s">
        <v>4803</v>
      </c>
      <c r="D243">
        <v>259</v>
      </c>
      <c r="E243" t="s">
        <v>4802</v>
      </c>
      <c r="F243">
        <v>259</v>
      </c>
      <c r="G243" t="s">
        <v>4802</v>
      </c>
      <c r="H243">
        <v>292</v>
      </c>
      <c r="I243" t="s">
        <v>4792</v>
      </c>
      <c r="J243" s="631">
        <v>292</v>
      </c>
      <c r="K243" t="s">
        <v>4793</v>
      </c>
      <c r="L243" t="s">
        <v>4793</v>
      </c>
      <c r="P243">
        <v>690</v>
      </c>
      <c r="Q243">
        <v>2</v>
      </c>
      <c r="R243">
        <v>692</v>
      </c>
    </row>
    <row r="244" spans="1:18" ht="19.899999999999999" customHeight="1">
      <c r="A244" t="str">
        <f t="shared" si="3"/>
        <v>IY33</v>
      </c>
      <c r="B244" t="s">
        <v>5002</v>
      </c>
      <c r="C244" t="s">
        <v>5008</v>
      </c>
      <c r="D244">
        <v>102</v>
      </c>
      <c r="E244" t="s">
        <v>4796</v>
      </c>
      <c r="F244">
        <v>108</v>
      </c>
      <c r="G244" t="s">
        <v>4796</v>
      </c>
      <c r="H244">
        <v>91</v>
      </c>
      <c r="I244" t="s">
        <v>4796</v>
      </c>
      <c r="J244" s="631">
        <v>108</v>
      </c>
      <c r="K244">
        <v>27</v>
      </c>
      <c r="L244" t="s">
        <v>4799</v>
      </c>
      <c r="P244">
        <v>1098</v>
      </c>
      <c r="Q244">
        <v>4</v>
      </c>
      <c r="R244">
        <v>1102</v>
      </c>
    </row>
    <row r="245" spans="1:18" ht="19.899999999999999" customHeight="1">
      <c r="A245" t="str">
        <f t="shared" si="3"/>
        <v>IY20</v>
      </c>
      <c r="B245" t="s">
        <v>5002</v>
      </c>
      <c r="C245" t="s">
        <v>5009</v>
      </c>
      <c r="D245">
        <v>96</v>
      </c>
      <c r="E245" t="s">
        <v>4792</v>
      </c>
      <c r="F245">
        <v>61</v>
      </c>
      <c r="G245" t="s">
        <v>4792</v>
      </c>
      <c r="H245">
        <v>63</v>
      </c>
      <c r="I245" t="s">
        <v>4792</v>
      </c>
      <c r="J245" s="631">
        <v>96</v>
      </c>
      <c r="K245">
        <v>31</v>
      </c>
      <c r="L245" t="s">
        <v>4792</v>
      </c>
      <c r="P245">
        <v>3318</v>
      </c>
      <c r="Q245">
        <v>1</v>
      </c>
      <c r="R245">
        <v>3319</v>
      </c>
    </row>
    <row r="246" spans="1:18" ht="19.899999999999999" customHeight="1">
      <c r="A246" t="str">
        <f t="shared" si="3"/>
        <v>IY34</v>
      </c>
      <c r="B246" t="s">
        <v>5002</v>
      </c>
      <c r="C246" t="s">
        <v>5010</v>
      </c>
      <c r="D246">
        <v>62</v>
      </c>
      <c r="E246" t="s">
        <v>4801</v>
      </c>
      <c r="F246">
        <v>84</v>
      </c>
      <c r="G246" t="s">
        <v>4792</v>
      </c>
      <c r="H246">
        <v>80</v>
      </c>
      <c r="I246" t="s">
        <v>4795</v>
      </c>
      <c r="J246" s="631">
        <v>84</v>
      </c>
      <c r="K246">
        <v>23</v>
      </c>
      <c r="L246" t="s">
        <v>4802</v>
      </c>
      <c r="P246">
        <v>4223</v>
      </c>
      <c r="Q246">
        <v>1</v>
      </c>
      <c r="R246">
        <v>4224</v>
      </c>
    </row>
    <row r="247" spans="1:18" ht="19.899999999999999" customHeight="1">
      <c r="A247" t="str">
        <f t="shared" si="3"/>
        <v>IY35</v>
      </c>
      <c r="B247" t="s">
        <v>5002</v>
      </c>
      <c r="C247" t="s">
        <v>5011</v>
      </c>
      <c r="D247">
        <v>67</v>
      </c>
      <c r="E247" t="s">
        <v>4796</v>
      </c>
      <c r="F247">
        <v>75</v>
      </c>
      <c r="G247" t="s">
        <v>4796</v>
      </c>
      <c r="H247">
        <v>62</v>
      </c>
      <c r="I247" t="s">
        <v>4796</v>
      </c>
      <c r="J247" s="631">
        <v>75</v>
      </c>
      <c r="K247">
        <v>15</v>
      </c>
      <c r="L247" t="s">
        <v>4817</v>
      </c>
      <c r="P247">
        <v>2050</v>
      </c>
      <c r="Q247">
        <v>2</v>
      </c>
      <c r="R247">
        <v>2052</v>
      </c>
    </row>
    <row r="248" spans="1:18" ht="19.899999999999999" customHeight="1">
      <c r="A248" t="str">
        <f t="shared" si="3"/>
        <v>IY24</v>
      </c>
      <c r="B248" t="s">
        <v>5002</v>
      </c>
      <c r="C248" t="s">
        <v>5012</v>
      </c>
      <c r="D248">
        <v>102</v>
      </c>
      <c r="E248" t="s">
        <v>4812</v>
      </c>
      <c r="F248">
        <v>110</v>
      </c>
      <c r="G248" t="s">
        <v>4812</v>
      </c>
      <c r="H248">
        <v>121</v>
      </c>
      <c r="I248" t="s">
        <v>4792</v>
      </c>
      <c r="J248" s="631">
        <v>121</v>
      </c>
      <c r="K248">
        <v>25</v>
      </c>
      <c r="L248" t="s">
        <v>4872</v>
      </c>
      <c r="P248">
        <v>5019</v>
      </c>
      <c r="Q248">
        <v>2</v>
      </c>
      <c r="R248">
        <v>5021</v>
      </c>
    </row>
    <row r="249" spans="1:18" ht="19.899999999999999" customHeight="1">
      <c r="A249" t="str">
        <f t="shared" si="3"/>
        <v>IY#3MTR</v>
      </c>
      <c r="B249" t="s">
        <v>5002</v>
      </c>
      <c r="C249" t="s">
        <v>4811</v>
      </c>
      <c r="D249">
        <v>823</v>
      </c>
      <c r="E249" t="s">
        <v>4926</v>
      </c>
      <c r="F249">
        <v>819</v>
      </c>
      <c r="G249" t="s">
        <v>4810</v>
      </c>
      <c r="H249">
        <v>829</v>
      </c>
      <c r="I249" t="s">
        <v>4926</v>
      </c>
      <c r="J249" s="631">
        <v>829</v>
      </c>
      <c r="K249" t="s">
        <v>4793</v>
      </c>
      <c r="L249" t="s">
        <v>4793</v>
      </c>
      <c r="P249">
        <v>3040</v>
      </c>
      <c r="Q249">
        <v>3</v>
      </c>
      <c r="R249">
        <v>3043</v>
      </c>
    </row>
    <row r="250" spans="1:18" ht="19.899999999999999" customHeight="1">
      <c r="A250" t="str">
        <f t="shared" si="3"/>
        <v>IY27</v>
      </c>
      <c r="B250" t="s">
        <v>5002</v>
      </c>
      <c r="C250" t="s">
        <v>5013</v>
      </c>
      <c r="D250">
        <v>135</v>
      </c>
      <c r="E250" t="s">
        <v>4805</v>
      </c>
      <c r="F250">
        <v>145</v>
      </c>
      <c r="G250" t="s">
        <v>4805</v>
      </c>
      <c r="H250">
        <v>141</v>
      </c>
      <c r="I250" t="s">
        <v>4805</v>
      </c>
      <c r="J250" s="631">
        <v>145</v>
      </c>
      <c r="K250">
        <v>0</v>
      </c>
      <c r="L250" t="s">
        <v>4810</v>
      </c>
      <c r="P250">
        <v>2194</v>
      </c>
      <c r="Q250">
        <v>3</v>
      </c>
      <c r="R250">
        <v>2197</v>
      </c>
    </row>
    <row r="251" spans="1:18" ht="19.899999999999999" customHeight="1">
      <c r="A251" t="str">
        <f t="shared" si="3"/>
        <v>IY26</v>
      </c>
      <c r="B251" t="s">
        <v>5002</v>
      </c>
      <c r="C251" t="s">
        <v>5014</v>
      </c>
      <c r="D251">
        <v>176</v>
      </c>
      <c r="E251" t="s">
        <v>4805</v>
      </c>
      <c r="F251">
        <v>179</v>
      </c>
      <c r="G251" t="s">
        <v>4801</v>
      </c>
      <c r="H251">
        <v>182</v>
      </c>
      <c r="I251" t="s">
        <v>4805</v>
      </c>
      <c r="J251" s="631">
        <v>182</v>
      </c>
      <c r="K251">
        <v>2</v>
      </c>
      <c r="L251" t="s">
        <v>4809</v>
      </c>
      <c r="P251">
        <v>243</v>
      </c>
      <c r="Q251">
        <v>3</v>
      </c>
      <c r="R251">
        <v>246</v>
      </c>
    </row>
    <row r="252" spans="1:18" ht="19.899999999999999" customHeight="1">
      <c r="A252" t="str">
        <f t="shared" si="3"/>
        <v>IY22</v>
      </c>
      <c r="B252" t="s">
        <v>5002</v>
      </c>
      <c r="C252" t="s">
        <v>5015</v>
      </c>
      <c r="D252">
        <v>148</v>
      </c>
      <c r="E252" t="s">
        <v>4805</v>
      </c>
      <c r="F252">
        <v>153</v>
      </c>
      <c r="G252" t="s">
        <v>4805</v>
      </c>
      <c r="H252">
        <v>150</v>
      </c>
      <c r="I252" t="s">
        <v>4810</v>
      </c>
      <c r="J252" s="631">
        <v>153</v>
      </c>
      <c r="K252">
        <v>12</v>
      </c>
      <c r="L252" t="s">
        <v>4801</v>
      </c>
      <c r="P252">
        <v>1668</v>
      </c>
      <c r="Q252">
        <v>1</v>
      </c>
      <c r="R252">
        <v>1669</v>
      </c>
    </row>
    <row r="253" spans="1:18" ht="19.899999999999999" customHeight="1">
      <c r="A253" t="str">
        <f t="shared" si="3"/>
        <v>IY23</v>
      </c>
      <c r="B253" t="s">
        <v>5002</v>
      </c>
      <c r="C253" t="s">
        <v>5016</v>
      </c>
      <c r="D253">
        <v>229</v>
      </c>
      <c r="E253" t="s">
        <v>4853</v>
      </c>
      <c r="F253">
        <v>218</v>
      </c>
      <c r="G253" t="s">
        <v>4938</v>
      </c>
      <c r="H253">
        <v>228</v>
      </c>
      <c r="I253" t="s">
        <v>4918</v>
      </c>
      <c r="J253" s="631">
        <v>229</v>
      </c>
      <c r="K253">
        <v>27</v>
      </c>
      <c r="L253" t="s">
        <v>4812</v>
      </c>
      <c r="P253">
        <v>148</v>
      </c>
      <c r="Q253">
        <v>1</v>
      </c>
      <c r="R253">
        <v>149</v>
      </c>
    </row>
    <row r="254" spans="1:18" ht="19.899999999999999" customHeight="1">
      <c r="A254" t="str">
        <f t="shared" si="3"/>
        <v>IY25</v>
      </c>
      <c r="B254" t="s">
        <v>5002</v>
      </c>
      <c r="C254" t="s">
        <v>5017</v>
      </c>
      <c r="D254">
        <v>188</v>
      </c>
      <c r="E254" t="s">
        <v>4853</v>
      </c>
      <c r="F254">
        <v>199</v>
      </c>
      <c r="G254" t="s">
        <v>4853</v>
      </c>
      <c r="H254">
        <v>199</v>
      </c>
      <c r="I254" t="s">
        <v>4853</v>
      </c>
      <c r="J254" s="631">
        <v>199</v>
      </c>
      <c r="K254">
        <v>8</v>
      </c>
      <c r="L254" t="s">
        <v>4795</v>
      </c>
      <c r="P254" t="s">
        <v>85</v>
      </c>
      <c r="Q254">
        <v>0</v>
      </c>
      <c r="R254">
        <v>0</v>
      </c>
    </row>
    <row r="255" spans="1:18" ht="19.899999999999999" customHeight="1">
      <c r="A255" t="str">
        <f t="shared" si="3"/>
        <v>9P#1DTR(A)</v>
      </c>
      <c r="B255" t="s">
        <v>5437</v>
      </c>
      <c r="C255" t="s">
        <v>4859</v>
      </c>
      <c r="D255">
        <v>253</v>
      </c>
      <c r="E255" t="s">
        <v>4795</v>
      </c>
      <c r="F255">
        <v>219</v>
      </c>
      <c r="G255" t="s">
        <v>4795</v>
      </c>
      <c r="H255">
        <v>256</v>
      </c>
      <c r="I255" t="s">
        <v>4792</v>
      </c>
      <c r="J255" s="631">
        <v>256</v>
      </c>
      <c r="K255" t="s">
        <v>4793</v>
      </c>
      <c r="L255" t="s">
        <v>4793</v>
      </c>
      <c r="P255">
        <v>494</v>
      </c>
      <c r="Q255">
        <v>1</v>
      </c>
      <c r="R255">
        <v>495</v>
      </c>
    </row>
    <row r="256" spans="1:18" ht="19.899999999999999" customHeight="1">
      <c r="A256" t="str">
        <f t="shared" si="3"/>
        <v>9P10</v>
      </c>
      <c r="B256" t="s">
        <v>5437</v>
      </c>
      <c r="C256" t="s">
        <v>5438</v>
      </c>
      <c r="D256">
        <v>118</v>
      </c>
      <c r="E256" t="s">
        <v>4795</v>
      </c>
      <c r="F256">
        <v>93</v>
      </c>
      <c r="G256" t="s">
        <v>4792</v>
      </c>
      <c r="H256">
        <v>106</v>
      </c>
      <c r="I256" t="s">
        <v>4792</v>
      </c>
      <c r="J256" s="631">
        <v>118</v>
      </c>
      <c r="K256">
        <v>37</v>
      </c>
      <c r="L256" t="s">
        <v>4795</v>
      </c>
      <c r="P256">
        <v>2059</v>
      </c>
      <c r="Q256">
        <v>6</v>
      </c>
      <c r="R256">
        <v>2065</v>
      </c>
    </row>
    <row r="257" spans="1:18" ht="19.899999999999999" customHeight="1">
      <c r="A257" t="str">
        <f t="shared" si="3"/>
        <v>9P11</v>
      </c>
      <c r="B257" t="s">
        <v>5437</v>
      </c>
      <c r="C257" t="s">
        <v>5439</v>
      </c>
      <c r="D257">
        <v>99</v>
      </c>
      <c r="E257" t="s">
        <v>4802</v>
      </c>
      <c r="F257">
        <v>82</v>
      </c>
      <c r="G257" t="s">
        <v>4795</v>
      </c>
      <c r="H257">
        <v>108</v>
      </c>
      <c r="I257" t="s">
        <v>4792</v>
      </c>
      <c r="J257" s="631">
        <v>108</v>
      </c>
      <c r="K257">
        <v>28</v>
      </c>
      <c r="L257" t="s">
        <v>4800</v>
      </c>
      <c r="P257">
        <v>2835</v>
      </c>
      <c r="Q257">
        <v>1</v>
      </c>
      <c r="R257">
        <v>2836</v>
      </c>
    </row>
    <row r="258" spans="1:18" ht="19.899999999999999" customHeight="1">
      <c r="A258" t="str">
        <f t="shared" si="3"/>
        <v>9P12</v>
      </c>
      <c r="B258" t="s">
        <v>5437</v>
      </c>
      <c r="C258" t="s">
        <v>5440</v>
      </c>
      <c r="D258">
        <v>30</v>
      </c>
      <c r="E258" t="s">
        <v>4814</v>
      </c>
      <c r="F258">
        <v>38</v>
      </c>
      <c r="G258" t="s">
        <v>4814</v>
      </c>
      <c r="H258">
        <v>39</v>
      </c>
      <c r="I258" t="s">
        <v>4805</v>
      </c>
      <c r="J258" s="631">
        <v>39</v>
      </c>
      <c r="K258">
        <v>15</v>
      </c>
      <c r="L258" t="s">
        <v>4808</v>
      </c>
      <c r="P258">
        <v>1285</v>
      </c>
      <c r="Q258">
        <v>3</v>
      </c>
      <c r="R258">
        <v>1288</v>
      </c>
    </row>
    <row r="259" spans="1:18" ht="19.899999999999999" customHeight="1">
      <c r="A259" t="str">
        <f t="shared" ref="A259:A322" si="4">IF(COUNTIF(C259,"*TR*")&gt;0,SUBSTITUTE(RIGHT(B259,3) &amp; C259," ",""),MID(C259,FIND("(",C259)+1,4))</f>
        <v>9P13</v>
      </c>
      <c r="B259" t="s">
        <v>5437</v>
      </c>
      <c r="C259" t="s">
        <v>5441</v>
      </c>
      <c r="D259">
        <v>45</v>
      </c>
      <c r="E259" t="s">
        <v>4817</v>
      </c>
      <c r="F259">
        <v>44</v>
      </c>
      <c r="G259" t="s">
        <v>4817</v>
      </c>
      <c r="H259">
        <v>45</v>
      </c>
      <c r="I259" t="s">
        <v>4918</v>
      </c>
      <c r="J259" s="631">
        <v>45</v>
      </c>
      <c r="K259">
        <v>7</v>
      </c>
      <c r="L259" t="s">
        <v>4795</v>
      </c>
      <c r="P259">
        <v>1771</v>
      </c>
      <c r="Q259">
        <v>1</v>
      </c>
      <c r="R259">
        <v>1772</v>
      </c>
    </row>
    <row r="260" spans="1:18" ht="19.899999999999999" customHeight="1">
      <c r="A260" t="str">
        <f t="shared" si="4"/>
        <v>9P14</v>
      </c>
      <c r="B260" t="s">
        <v>5437</v>
      </c>
      <c r="C260" t="s">
        <v>5442</v>
      </c>
      <c r="D260">
        <v>5</v>
      </c>
      <c r="E260" t="s">
        <v>4792</v>
      </c>
      <c r="F260">
        <v>3</v>
      </c>
      <c r="G260" t="s">
        <v>4826</v>
      </c>
      <c r="H260">
        <v>6</v>
      </c>
      <c r="I260" t="s">
        <v>4805</v>
      </c>
      <c r="J260" s="631">
        <v>6</v>
      </c>
      <c r="K260">
        <v>4</v>
      </c>
      <c r="L260" t="s">
        <v>4799</v>
      </c>
      <c r="P260">
        <v>2266</v>
      </c>
      <c r="Q260" t="s">
        <v>85</v>
      </c>
      <c r="R260">
        <v>2266</v>
      </c>
    </row>
    <row r="261" spans="1:18" ht="19.899999999999999" customHeight="1">
      <c r="A261" t="str">
        <f t="shared" si="4"/>
        <v>9P#1DTR(B)</v>
      </c>
      <c r="B261" t="s">
        <v>5437</v>
      </c>
      <c r="C261" t="s">
        <v>4889</v>
      </c>
      <c r="D261">
        <v>204</v>
      </c>
      <c r="E261" t="s">
        <v>4808</v>
      </c>
      <c r="F261">
        <v>199</v>
      </c>
      <c r="G261" t="s">
        <v>4805</v>
      </c>
      <c r="H261">
        <v>195</v>
      </c>
      <c r="I261" t="s">
        <v>4808</v>
      </c>
      <c r="J261" s="631">
        <v>204</v>
      </c>
      <c r="K261" t="s">
        <v>4793</v>
      </c>
      <c r="L261" t="s">
        <v>4793</v>
      </c>
      <c r="P261">
        <v>1057</v>
      </c>
      <c r="Q261" t="s">
        <v>85</v>
      </c>
      <c r="R261">
        <v>1057</v>
      </c>
    </row>
    <row r="262" spans="1:18" ht="19.899999999999999" customHeight="1">
      <c r="A262" t="str">
        <f t="shared" si="4"/>
        <v>9P15</v>
      </c>
      <c r="B262" t="s">
        <v>5437</v>
      </c>
      <c r="C262" t="s">
        <v>5443</v>
      </c>
      <c r="D262">
        <v>111</v>
      </c>
      <c r="E262" t="s">
        <v>4810</v>
      </c>
      <c r="F262">
        <v>123</v>
      </c>
      <c r="G262" t="s">
        <v>4810</v>
      </c>
      <c r="H262">
        <v>118</v>
      </c>
      <c r="I262" t="s">
        <v>4810</v>
      </c>
      <c r="J262" s="631">
        <v>123</v>
      </c>
      <c r="K262">
        <v>26</v>
      </c>
      <c r="L262" t="s">
        <v>4795</v>
      </c>
      <c r="P262">
        <v>906</v>
      </c>
      <c r="Q262">
        <v>8</v>
      </c>
      <c r="R262">
        <v>914</v>
      </c>
    </row>
    <row r="263" spans="1:18" ht="19.899999999999999" customHeight="1">
      <c r="A263" t="str">
        <f t="shared" si="4"/>
        <v>9P16</v>
      </c>
      <c r="B263" t="s">
        <v>5437</v>
      </c>
      <c r="C263" t="s">
        <v>5444</v>
      </c>
      <c r="D263">
        <v>105</v>
      </c>
      <c r="E263" t="s">
        <v>4809</v>
      </c>
      <c r="F263">
        <v>109</v>
      </c>
      <c r="G263" t="s">
        <v>4809</v>
      </c>
      <c r="H263">
        <v>95</v>
      </c>
      <c r="I263" t="s">
        <v>4809</v>
      </c>
      <c r="J263" s="631">
        <v>109</v>
      </c>
      <c r="K263">
        <v>26</v>
      </c>
      <c r="L263" t="s">
        <v>4796</v>
      </c>
      <c r="P263">
        <v>1878</v>
      </c>
      <c r="Q263" t="s">
        <v>85</v>
      </c>
      <c r="R263">
        <v>1878</v>
      </c>
    </row>
    <row r="264" spans="1:18" ht="19.899999999999999" customHeight="1">
      <c r="A264" t="str">
        <f t="shared" si="4"/>
        <v>9P17</v>
      </c>
      <c r="B264" t="s">
        <v>5437</v>
      </c>
      <c r="C264" t="s">
        <v>5445</v>
      </c>
      <c r="D264">
        <v>93</v>
      </c>
      <c r="E264" t="s">
        <v>4792</v>
      </c>
      <c r="F264">
        <v>86</v>
      </c>
      <c r="G264" t="s">
        <v>4795</v>
      </c>
      <c r="H264">
        <v>91</v>
      </c>
      <c r="I264" t="s">
        <v>4800</v>
      </c>
      <c r="J264" s="631">
        <v>93</v>
      </c>
      <c r="K264">
        <v>27</v>
      </c>
      <c r="L264" t="s">
        <v>4805</v>
      </c>
      <c r="P264">
        <v>787</v>
      </c>
      <c r="Q264">
        <v>3</v>
      </c>
      <c r="R264">
        <v>790</v>
      </c>
    </row>
    <row r="265" spans="1:18" ht="19.899999999999999" customHeight="1">
      <c r="A265" t="str">
        <f t="shared" si="4"/>
        <v>9P18</v>
      </c>
      <c r="B265" t="s">
        <v>5437</v>
      </c>
      <c r="C265" t="s">
        <v>5446</v>
      </c>
      <c r="D265">
        <v>0</v>
      </c>
      <c r="E265" t="s">
        <v>4810</v>
      </c>
      <c r="F265">
        <v>0</v>
      </c>
      <c r="G265" t="s">
        <v>4810</v>
      </c>
      <c r="H265">
        <v>0</v>
      </c>
      <c r="I265" t="s">
        <v>4810</v>
      </c>
      <c r="J265" s="631">
        <v>0</v>
      </c>
      <c r="K265">
        <v>0</v>
      </c>
      <c r="L265" t="s">
        <v>4810</v>
      </c>
      <c r="P265">
        <v>605</v>
      </c>
      <c r="Q265">
        <v>2</v>
      </c>
      <c r="R265">
        <v>607</v>
      </c>
    </row>
    <row r="266" spans="1:18" ht="19.899999999999999" customHeight="1">
      <c r="A266" t="str">
        <f t="shared" si="4"/>
        <v>9P19</v>
      </c>
      <c r="B266" t="s">
        <v>5437</v>
      </c>
      <c r="C266" t="s">
        <v>5447</v>
      </c>
      <c r="D266">
        <v>34</v>
      </c>
      <c r="E266" t="s">
        <v>4872</v>
      </c>
      <c r="F266">
        <v>12</v>
      </c>
      <c r="G266" t="s">
        <v>4809</v>
      </c>
      <c r="H266">
        <v>30</v>
      </c>
      <c r="I266" t="s">
        <v>4872</v>
      </c>
      <c r="J266" s="631">
        <v>34</v>
      </c>
      <c r="K266">
        <v>34</v>
      </c>
      <c r="L266" t="s">
        <v>4808</v>
      </c>
      <c r="P266">
        <v>186</v>
      </c>
      <c r="Q266">
        <v>1</v>
      </c>
      <c r="R266">
        <v>187</v>
      </c>
    </row>
    <row r="267" spans="1:18" ht="19.899999999999999" customHeight="1">
      <c r="A267" t="str">
        <f t="shared" si="4"/>
        <v>9P#2DTR(A)</v>
      </c>
      <c r="B267" t="s">
        <v>5437</v>
      </c>
      <c r="C267" t="s">
        <v>4870</v>
      </c>
      <c r="D267">
        <v>256</v>
      </c>
      <c r="E267" t="s">
        <v>4808</v>
      </c>
      <c r="F267">
        <v>288</v>
      </c>
      <c r="G267" t="s">
        <v>4802</v>
      </c>
      <c r="H267">
        <v>319</v>
      </c>
      <c r="I267" t="s">
        <v>4802</v>
      </c>
      <c r="J267" s="631">
        <v>319</v>
      </c>
      <c r="K267" t="s">
        <v>4793</v>
      </c>
      <c r="L267" t="s">
        <v>4793</v>
      </c>
      <c r="P267">
        <v>4616</v>
      </c>
      <c r="Q267">
        <v>6</v>
      </c>
      <c r="R267">
        <v>4622</v>
      </c>
    </row>
    <row r="268" spans="1:18" ht="19.899999999999999" customHeight="1">
      <c r="A268" t="str">
        <f t="shared" si="4"/>
        <v>9P20</v>
      </c>
      <c r="B268" t="s">
        <v>5437</v>
      </c>
      <c r="C268" t="s">
        <v>5448</v>
      </c>
      <c r="D268">
        <v>100</v>
      </c>
      <c r="E268" t="s">
        <v>4814</v>
      </c>
      <c r="F268">
        <v>120</v>
      </c>
      <c r="G268" t="s">
        <v>4814</v>
      </c>
      <c r="H268">
        <v>116</v>
      </c>
      <c r="I268" t="s">
        <v>4814</v>
      </c>
      <c r="J268" s="631">
        <v>120</v>
      </c>
      <c r="K268">
        <v>31</v>
      </c>
      <c r="L268" t="s">
        <v>4802</v>
      </c>
      <c r="P268">
        <v>1828</v>
      </c>
      <c r="Q268">
        <v>3</v>
      </c>
      <c r="R268">
        <v>1831</v>
      </c>
    </row>
    <row r="269" spans="1:18" ht="19.899999999999999" customHeight="1">
      <c r="A269" t="str">
        <f t="shared" si="4"/>
        <v>9P21</v>
      </c>
      <c r="B269" t="s">
        <v>5437</v>
      </c>
      <c r="C269" t="s">
        <v>5449</v>
      </c>
      <c r="D269">
        <v>119</v>
      </c>
      <c r="E269" t="s">
        <v>4805</v>
      </c>
      <c r="F269">
        <v>125</v>
      </c>
      <c r="G269" t="s">
        <v>4805</v>
      </c>
      <c r="H269">
        <v>117</v>
      </c>
      <c r="I269" t="s">
        <v>4805</v>
      </c>
      <c r="J269" s="631">
        <v>125</v>
      </c>
      <c r="K269">
        <v>21</v>
      </c>
      <c r="L269" t="s">
        <v>4800</v>
      </c>
      <c r="P269">
        <v>2312</v>
      </c>
      <c r="Q269">
        <v>2</v>
      </c>
      <c r="R269">
        <v>2314</v>
      </c>
    </row>
    <row r="270" spans="1:18" ht="19.899999999999999" customHeight="1">
      <c r="A270" t="str">
        <f t="shared" si="4"/>
        <v>9P22</v>
      </c>
      <c r="B270" t="s">
        <v>5437</v>
      </c>
      <c r="C270" t="s">
        <v>5450</v>
      </c>
      <c r="D270">
        <v>0</v>
      </c>
      <c r="E270" t="s">
        <v>4810</v>
      </c>
      <c r="F270">
        <v>0</v>
      </c>
      <c r="G270" t="s">
        <v>4810</v>
      </c>
      <c r="H270">
        <v>0</v>
      </c>
      <c r="I270" t="s">
        <v>4810</v>
      </c>
      <c r="J270" s="631">
        <v>0</v>
      </c>
      <c r="K270">
        <v>0</v>
      </c>
      <c r="L270" t="s">
        <v>4810</v>
      </c>
      <c r="P270">
        <v>682</v>
      </c>
      <c r="Q270">
        <v>3</v>
      </c>
      <c r="R270">
        <v>685</v>
      </c>
    </row>
    <row r="271" spans="1:18" ht="19.899999999999999" customHeight="1">
      <c r="A271" t="str">
        <f t="shared" si="4"/>
        <v>9P23</v>
      </c>
      <c r="B271" t="s">
        <v>5437</v>
      </c>
      <c r="C271" t="s">
        <v>5451</v>
      </c>
      <c r="D271">
        <v>34</v>
      </c>
      <c r="E271" t="s">
        <v>4792</v>
      </c>
      <c r="F271">
        <v>58</v>
      </c>
      <c r="G271" t="s">
        <v>4798</v>
      </c>
      <c r="H271">
        <v>70</v>
      </c>
      <c r="I271" t="s">
        <v>4798</v>
      </c>
      <c r="J271" s="631">
        <v>70</v>
      </c>
      <c r="K271">
        <v>41</v>
      </c>
      <c r="L271" t="s">
        <v>4798</v>
      </c>
      <c r="P271">
        <v>4380</v>
      </c>
      <c r="Q271" t="s">
        <v>85</v>
      </c>
      <c r="R271">
        <v>4380</v>
      </c>
    </row>
    <row r="272" spans="1:18" ht="19.899999999999999" customHeight="1">
      <c r="A272" t="str">
        <f t="shared" si="4"/>
        <v>9P24</v>
      </c>
      <c r="B272" t="s">
        <v>5437</v>
      </c>
      <c r="C272" t="s">
        <v>5452</v>
      </c>
      <c r="D272">
        <v>47</v>
      </c>
      <c r="E272" t="s">
        <v>4795</v>
      </c>
      <c r="F272">
        <v>20</v>
      </c>
      <c r="G272" t="s">
        <v>4798</v>
      </c>
      <c r="H272">
        <v>63</v>
      </c>
      <c r="I272" t="s">
        <v>4795</v>
      </c>
      <c r="J272" s="631">
        <v>63</v>
      </c>
      <c r="K272">
        <v>57</v>
      </c>
      <c r="L272" t="s">
        <v>4795</v>
      </c>
      <c r="P272" t="s">
        <v>85</v>
      </c>
      <c r="Q272" t="s">
        <v>85</v>
      </c>
      <c r="R272">
        <v>0</v>
      </c>
    </row>
    <row r="273" spans="1:18" ht="19.899999999999999" customHeight="1">
      <c r="A273" t="str">
        <f t="shared" si="4"/>
        <v>9P#2DTR(B)</v>
      </c>
      <c r="B273" t="s">
        <v>5437</v>
      </c>
      <c r="C273" t="s">
        <v>4877</v>
      </c>
      <c r="D273">
        <v>321</v>
      </c>
      <c r="E273" t="s">
        <v>4802</v>
      </c>
      <c r="F273">
        <v>345</v>
      </c>
      <c r="G273" t="s">
        <v>4802</v>
      </c>
      <c r="H273">
        <v>337</v>
      </c>
      <c r="I273" t="s">
        <v>4802</v>
      </c>
      <c r="J273" s="631">
        <v>345</v>
      </c>
      <c r="K273" t="s">
        <v>4793</v>
      </c>
      <c r="L273" t="s">
        <v>4793</v>
      </c>
      <c r="P273">
        <v>1962</v>
      </c>
      <c r="Q273">
        <v>1</v>
      </c>
      <c r="R273">
        <v>1963</v>
      </c>
    </row>
    <row r="274" spans="1:18" ht="19.899999999999999" customHeight="1">
      <c r="A274" t="str">
        <f t="shared" si="4"/>
        <v>9P25</v>
      </c>
      <c r="B274" t="s">
        <v>5437</v>
      </c>
      <c r="C274" t="s">
        <v>5453</v>
      </c>
      <c r="D274">
        <v>131</v>
      </c>
      <c r="E274" t="s">
        <v>4812</v>
      </c>
      <c r="F274">
        <v>147</v>
      </c>
      <c r="G274" t="s">
        <v>4795</v>
      </c>
      <c r="H274">
        <v>117</v>
      </c>
      <c r="I274" t="s">
        <v>4812</v>
      </c>
      <c r="J274" s="631">
        <v>147</v>
      </c>
      <c r="K274">
        <v>51</v>
      </c>
      <c r="L274" t="s">
        <v>4843</v>
      </c>
      <c r="P274" t="s">
        <v>85</v>
      </c>
      <c r="Q274" t="s">
        <v>85</v>
      </c>
      <c r="R274">
        <v>0</v>
      </c>
    </row>
    <row r="275" spans="1:18" ht="19.899999999999999" customHeight="1">
      <c r="A275" t="str">
        <f t="shared" si="4"/>
        <v>9P26</v>
      </c>
      <c r="B275" t="s">
        <v>5437</v>
      </c>
      <c r="C275" t="s">
        <v>5454</v>
      </c>
      <c r="D275">
        <v>124</v>
      </c>
      <c r="E275" t="s">
        <v>4802</v>
      </c>
      <c r="F275">
        <v>127</v>
      </c>
      <c r="G275" t="s">
        <v>4802</v>
      </c>
      <c r="H275">
        <v>132</v>
      </c>
      <c r="I275" t="s">
        <v>4802</v>
      </c>
      <c r="J275" s="631">
        <v>132</v>
      </c>
      <c r="K275">
        <v>33</v>
      </c>
      <c r="L275" t="s">
        <v>4795</v>
      </c>
      <c r="P275">
        <v>136</v>
      </c>
      <c r="Q275">
        <v>3</v>
      </c>
      <c r="R275">
        <v>139</v>
      </c>
    </row>
    <row r="276" spans="1:18" ht="19.899999999999999" customHeight="1">
      <c r="A276" t="str">
        <f t="shared" si="4"/>
        <v>9P27</v>
      </c>
      <c r="B276" t="s">
        <v>5437</v>
      </c>
      <c r="C276" t="s">
        <v>5455</v>
      </c>
      <c r="D276">
        <v>35</v>
      </c>
      <c r="E276" t="s">
        <v>4808</v>
      </c>
      <c r="F276">
        <v>43</v>
      </c>
      <c r="G276" t="s">
        <v>4814</v>
      </c>
      <c r="H276">
        <v>30</v>
      </c>
      <c r="I276" t="s">
        <v>4817</v>
      </c>
      <c r="J276" s="631">
        <v>43</v>
      </c>
      <c r="K276">
        <v>24</v>
      </c>
      <c r="L276" t="s">
        <v>4814</v>
      </c>
      <c r="P276">
        <v>810</v>
      </c>
      <c r="Q276" t="s">
        <v>85</v>
      </c>
      <c r="R276">
        <v>810</v>
      </c>
    </row>
    <row r="277" spans="1:18" ht="19.899999999999999" customHeight="1">
      <c r="A277" t="str">
        <f t="shared" si="4"/>
        <v>9P28</v>
      </c>
      <c r="B277" t="s">
        <v>5437</v>
      </c>
      <c r="C277" t="s">
        <v>5456</v>
      </c>
      <c r="D277">
        <v>16</v>
      </c>
      <c r="E277" t="s">
        <v>4792</v>
      </c>
      <c r="F277">
        <v>32</v>
      </c>
      <c r="G277" t="s">
        <v>4805</v>
      </c>
      <c r="H277">
        <v>29</v>
      </c>
      <c r="I277" t="s">
        <v>4795</v>
      </c>
      <c r="J277" s="631">
        <v>32</v>
      </c>
      <c r="K277">
        <v>27</v>
      </c>
      <c r="L277" t="s">
        <v>4805</v>
      </c>
      <c r="P277">
        <v>1276</v>
      </c>
      <c r="Q277">
        <v>2</v>
      </c>
      <c r="R277">
        <v>1278</v>
      </c>
    </row>
    <row r="278" spans="1:18" ht="19.899999999999999" customHeight="1">
      <c r="A278" t="str">
        <f t="shared" si="4"/>
        <v>9P29</v>
      </c>
      <c r="B278" t="s">
        <v>5437</v>
      </c>
      <c r="C278" t="s">
        <v>5457</v>
      </c>
      <c r="D278">
        <v>60</v>
      </c>
      <c r="E278" t="s">
        <v>4801</v>
      </c>
      <c r="F278">
        <v>39</v>
      </c>
      <c r="G278" t="s">
        <v>4796</v>
      </c>
      <c r="H278">
        <v>59</v>
      </c>
      <c r="I278" t="s">
        <v>4801</v>
      </c>
      <c r="J278" s="631">
        <v>60</v>
      </c>
      <c r="K278">
        <v>39</v>
      </c>
      <c r="L278" t="s">
        <v>4814</v>
      </c>
      <c r="P278">
        <v>4961</v>
      </c>
      <c r="Q278">
        <v>2</v>
      </c>
      <c r="R278">
        <v>4963</v>
      </c>
    </row>
    <row r="279" spans="1:18" ht="19.899999999999999" customHeight="1">
      <c r="A279" t="str">
        <f t="shared" si="4"/>
        <v>IU#1DTR(A)</v>
      </c>
      <c r="B279" t="s">
        <v>5018</v>
      </c>
      <c r="C279" t="s">
        <v>4859</v>
      </c>
      <c r="D279">
        <v>604</v>
      </c>
      <c r="E279" t="s">
        <v>4792</v>
      </c>
      <c r="F279">
        <v>659</v>
      </c>
      <c r="G279" t="s">
        <v>4795</v>
      </c>
      <c r="H279">
        <v>576</v>
      </c>
      <c r="I279" t="s">
        <v>4802</v>
      </c>
      <c r="J279" s="631">
        <v>659</v>
      </c>
      <c r="K279" t="s">
        <v>4793</v>
      </c>
      <c r="L279" t="s">
        <v>4793</v>
      </c>
      <c r="P279">
        <v>2581</v>
      </c>
      <c r="Q279">
        <v>0</v>
      </c>
      <c r="R279">
        <v>2581</v>
      </c>
    </row>
    <row r="280" spans="1:18" ht="19.899999999999999" customHeight="1">
      <c r="A280" t="str">
        <f t="shared" si="4"/>
        <v>IU21</v>
      </c>
      <c r="B280" t="s">
        <v>5018</v>
      </c>
      <c r="C280" t="s">
        <v>5019</v>
      </c>
      <c r="D280">
        <v>88</v>
      </c>
      <c r="E280" t="s">
        <v>4799</v>
      </c>
      <c r="F280">
        <v>96</v>
      </c>
      <c r="G280" t="s">
        <v>4799</v>
      </c>
      <c r="H280">
        <v>91</v>
      </c>
      <c r="I280" t="s">
        <v>4799</v>
      </c>
      <c r="J280" s="631">
        <v>96</v>
      </c>
      <c r="K280">
        <v>31</v>
      </c>
      <c r="L280" t="s">
        <v>4795</v>
      </c>
      <c r="P280">
        <v>1259</v>
      </c>
      <c r="Q280">
        <v>2</v>
      </c>
      <c r="R280">
        <v>1261</v>
      </c>
    </row>
    <row r="281" spans="1:18" ht="19.899999999999999" customHeight="1">
      <c r="A281" t="str">
        <f t="shared" si="4"/>
        <v>IU22</v>
      </c>
      <c r="B281" t="s">
        <v>5018</v>
      </c>
      <c r="C281" t="s">
        <v>5020</v>
      </c>
      <c r="D281">
        <v>94</v>
      </c>
      <c r="E281" t="s">
        <v>4814</v>
      </c>
      <c r="F281">
        <v>109</v>
      </c>
      <c r="G281" t="s">
        <v>4814</v>
      </c>
      <c r="H281">
        <v>96</v>
      </c>
      <c r="I281" t="s">
        <v>4814</v>
      </c>
      <c r="J281" s="631">
        <v>109</v>
      </c>
      <c r="K281">
        <v>23</v>
      </c>
      <c r="L281" t="s">
        <v>4802</v>
      </c>
      <c r="P281">
        <v>213</v>
      </c>
      <c r="Q281" t="s">
        <v>85</v>
      </c>
      <c r="R281">
        <v>213</v>
      </c>
    </row>
    <row r="282" spans="1:18" ht="19.899999999999999" customHeight="1">
      <c r="A282" t="str">
        <f t="shared" si="4"/>
        <v>IU23</v>
      </c>
      <c r="B282" t="s">
        <v>5018</v>
      </c>
      <c r="C282" t="s">
        <v>5021</v>
      </c>
      <c r="D282">
        <v>78</v>
      </c>
      <c r="E282" t="s">
        <v>4792</v>
      </c>
      <c r="F282">
        <v>78</v>
      </c>
      <c r="G282" t="s">
        <v>4792</v>
      </c>
      <c r="H282">
        <v>97</v>
      </c>
      <c r="I282" t="s">
        <v>4792</v>
      </c>
      <c r="J282" s="631">
        <v>97</v>
      </c>
      <c r="K282">
        <v>29</v>
      </c>
      <c r="L282" t="s">
        <v>4802</v>
      </c>
      <c r="P282">
        <v>2977</v>
      </c>
      <c r="Q282">
        <v>5</v>
      </c>
      <c r="R282">
        <v>2982</v>
      </c>
    </row>
    <row r="283" spans="1:18" ht="19.899999999999999" customHeight="1">
      <c r="A283" t="str">
        <f t="shared" si="4"/>
        <v>IU24</v>
      </c>
      <c r="B283" t="s">
        <v>5018</v>
      </c>
      <c r="C283" t="s">
        <v>5022</v>
      </c>
      <c r="D283">
        <v>79</v>
      </c>
      <c r="E283" t="s">
        <v>4802</v>
      </c>
      <c r="F283">
        <v>90</v>
      </c>
      <c r="G283" t="s">
        <v>4795</v>
      </c>
      <c r="H283">
        <v>82</v>
      </c>
      <c r="I283" t="s">
        <v>4795</v>
      </c>
      <c r="J283" s="631">
        <v>90</v>
      </c>
      <c r="K283">
        <v>22</v>
      </c>
      <c r="L283" t="s">
        <v>4805</v>
      </c>
      <c r="P283">
        <v>2839</v>
      </c>
      <c r="Q283">
        <v>2</v>
      </c>
      <c r="R283">
        <v>2841</v>
      </c>
    </row>
    <row r="284" spans="1:18" ht="19.899999999999999" customHeight="1">
      <c r="A284" t="str">
        <f t="shared" si="4"/>
        <v>IU25</v>
      </c>
      <c r="B284" t="s">
        <v>5018</v>
      </c>
      <c r="C284" t="s">
        <v>5023</v>
      </c>
      <c r="D284">
        <v>139</v>
      </c>
      <c r="E284" t="s">
        <v>4795</v>
      </c>
      <c r="F284">
        <v>142</v>
      </c>
      <c r="G284" t="s">
        <v>4792</v>
      </c>
      <c r="H284">
        <v>111</v>
      </c>
      <c r="I284" t="s">
        <v>4792</v>
      </c>
      <c r="J284" s="631">
        <v>142</v>
      </c>
      <c r="K284">
        <v>48</v>
      </c>
      <c r="L284" t="s">
        <v>4795</v>
      </c>
      <c r="P284">
        <v>1643</v>
      </c>
      <c r="Q284">
        <v>7</v>
      </c>
      <c r="R284">
        <v>1650</v>
      </c>
    </row>
    <row r="285" spans="1:18" ht="19.899999999999999" customHeight="1">
      <c r="A285" t="str">
        <f t="shared" si="4"/>
        <v>IU26</v>
      </c>
      <c r="B285" t="s">
        <v>5018</v>
      </c>
      <c r="C285" t="s">
        <v>5024</v>
      </c>
      <c r="D285">
        <v>191</v>
      </c>
      <c r="E285" t="s">
        <v>4792</v>
      </c>
      <c r="F285">
        <v>181</v>
      </c>
      <c r="G285" t="s">
        <v>4795</v>
      </c>
      <c r="H285">
        <v>156</v>
      </c>
      <c r="I285" t="s">
        <v>4800</v>
      </c>
      <c r="J285" s="631">
        <v>191</v>
      </c>
      <c r="K285">
        <v>70</v>
      </c>
      <c r="L285" t="s">
        <v>4795</v>
      </c>
      <c r="P285">
        <v>1624</v>
      </c>
      <c r="Q285">
        <v>1</v>
      </c>
      <c r="R285">
        <v>1625</v>
      </c>
    </row>
    <row r="286" spans="1:18" ht="19.899999999999999" customHeight="1">
      <c r="A286" t="str">
        <f t="shared" si="4"/>
        <v>IU#1DTR(B)</v>
      </c>
      <c r="B286" t="s">
        <v>5018</v>
      </c>
      <c r="C286" t="s">
        <v>4889</v>
      </c>
      <c r="D286">
        <v>441</v>
      </c>
      <c r="E286" t="s">
        <v>4795</v>
      </c>
      <c r="F286">
        <v>397</v>
      </c>
      <c r="G286" t="s">
        <v>4792</v>
      </c>
      <c r="H286">
        <v>413</v>
      </c>
      <c r="I286" t="s">
        <v>4795</v>
      </c>
      <c r="J286" s="631">
        <v>441</v>
      </c>
      <c r="K286" t="s">
        <v>4793</v>
      </c>
      <c r="L286" t="s">
        <v>4793</v>
      </c>
      <c r="P286">
        <v>915</v>
      </c>
      <c r="Q286">
        <v>5</v>
      </c>
      <c r="R286">
        <v>920</v>
      </c>
    </row>
    <row r="287" spans="1:18" ht="19.899999999999999" customHeight="1">
      <c r="A287" t="str">
        <f t="shared" si="4"/>
        <v>IU31</v>
      </c>
      <c r="B287" t="s">
        <v>5018</v>
      </c>
      <c r="C287" t="s">
        <v>5025</v>
      </c>
      <c r="D287">
        <v>104</v>
      </c>
      <c r="E287" t="s">
        <v>4809</v>
      </c>
      <c r="F287">
        <v>86</v>
      </c>
      <c r="G287" t="s">
        <v>4796</v>
      </c>
      <c r="H287">
        <v>97</v>
      </c>
      <c r="I287" t="s">
        <v>4796</v>
      </c>
      <c r="J287" s="631">
        <v>104</v>
      </c>
      <c r="K287">
        <v>44</v>
      </c>
      <c r="L287" t="s">
        <v>4800</v>
      </c>
      <c r="P287">
        <v>110</v>
      </c>
      <c r="Q287">
        <v>1</v>
      </c>
      <c r="R287">
        <v>111</v>
      </c>
    </row>
    <row r="288" spans="1:18" ht="19.899999999999999" customHeight="1">
      <c r="A288" t="str">
        <f t="shared" si="4"/>
        <v>IU32</v>
      </c>
      <c r="B288" t="s">
        <v>5018</v>
      </c>
      <c r="C288" t="s">
        <v>5026</v>
      </c>
      <c r="D288">
        <v>99</v>
      </c>
      <c r="E288" t="s">
        <v>4795</v>
      </c>
      <c r="F288">
        <v>98</v>
      </c>
      <c r="G288" t="s">
        <v>4800</v>
      </c>
      <c r="H288">
        <v>92</v>
      </c>
      <c r="I288" t="s">
        <v>4792</v>
      </c>
      <c r="J288" s="631">
        <v>99</v>
      </c>
      <c r="K288">
        <v>41</v>
      </c>
      <c r="L288" t="s">
        <v>4800</v>
      </c>
      <c r="P288" t="s">
        <v>85</v>
      </c>
      <c r="Q288" t="s">
        <v>85</v>
      </c>
      <c r="R288">
        <v>0</v>
      </c>
    </row>
    <row r="289" spans="1:18" ht="19.899999999999999" customHeight="1">
      <c r="A289" t="str">
        <f t="shared" si="4"/>
        <v>IU33</v>
      </c>
      <c r="B289" t="s">
        <v>5018</v>
      </c>
      <c r="C289" t="s">
        <v>5027</v>
      </c>
      <c r="D289">
        <v>125</v>
      </c>
      <c r="E289" t="s">
        <v>4795</v>
      </c>
      <c r="F289">
        <v>143</v>
      </c>
      <c r="G289" t="s">
        <v>4792</v>
      </c>
      <c r="H289">
        <v>141</v>
      </c>
      <c r="I289" t="s">
        <v>4795</v>
      </c>
      <c r="J289" s="631">
        <v>143</v>
      </c>
      <c r="K289">
        <v>39</v>
      </c>
      <c r="L289" t="s">
        <v>4802</v>
      </c>
      <c r="P289" t="s">
        <v>85</v>
      </c>
      <c r="Q289" t="s">
        <v>85</v>
      </c>
      <c r="R289">
        <v>0</v>
      </c>
    </row>
    <row r="290" spans="1:18" ht="19.899999999999999" customHeight="1">
      <c r="A290" t="str">
        <f t="shared" si="4"/>
        <v>IU34</v>
      </c>
      <c r="B290" t="s">
        <v>5018</v>
      </c>
      <c r="C290" t="s">
        <v>5028</v>
      </c>
      <c r="D290">
        <v>119</v>
      </c>
      <c r="E290" t="s">
        <v>4795</v>
      </c>
      <c r="F290">
        <v>96</v>
      </c>
      <c r="G290" t="s">
        <v>4802</v>
      </c>
      <c r="H290">
        <v>102</v>
      </c>
      <c r="I290" t="s">
        <v>4795</v>
      </c>
      <c r="J290" s="631">
        <v>119</v>
      </c>
      <c r="K290">
        <v>32</v>
      </c>
      <c r="L290" t="s">
        <v>4800</v>
      </c>
      <c r="P290" t="s">
        <v>85</v>
      </c>
      <c r="Q290" t="s">
        <v>85</v>
      </c>
      <c r="R290">
        <v>0</v>
      </c>
    </row>
    <row r="291" spans="1:18" ht="19.899999999999999" customHeight="1">
      <c r="A291" t="str">
        <f t="shared" si="4"/>
        <v>IU#2DTR(A)</v>
      </c>
      <c r="B291" t="s">
        <v>5018</v>
      </c>
      <c r="C291" t="s">
        <v>4870</v>
      </c>
      <c r="D291">
        <v>405</v>
      </c>
      <c r="E291" t="s">
        <v>4800</v>
      </c>
      <c r="F291">
        <v>417</v>
      </c>
      <c r="G291" t="s">
        <v>4800</v>
      </c>
      <c r="H291">
        <v>367</v>
      </c>
      <c r="I291" t="s">
        <v>4792</v>
      </c>
      <c r="J291" s="631">
        <v>417</v>
      </c>
      <c r="K291" t="s">
        <v>4793</v>
      </c>
      <c r="L291" t="s">
        <v>4793</v>
      </c>
      <c r="P291" t="s">
        <v>85</v>
      </c>
      <c r="Q291" t="s">
        <v>85</v>
      </c>
      <c r="R291">
        <v>0</v>
      </c>
    </row>
    <row r="292" spans="1:18" ht="19.899999999999999" customHeight="1">
      <c r="A292" t="str">
        <f t="shared" si="4"/>
        <v>IU27</v>
      </c>
      <c r="B292" t="s">
        <v>5018</v>
      </c>
      <c r="C292" t="s">
        <v>5029</v>
      </c>
      <c r="D292">
        <v>71</v>
      </c>
      <c r="E292" t="s">
        <v>4812</v>
      </c>
      <c r="F292">
        <v>81</v>
      </c>
      <c r="G292" t="s">
        <v>4800</v>
      </c>
      <c r="H292">
        <v>69</v>
      </c>
      <c r="I292" t="s">
        <v>4812</v>
      </c>
      <c r="J292" s="631">
        <v>81</v>
      </c>
      <c r="K292">
        <v>19</v>
      </c>
      <c r="L292" t="s">
        <v>4826</v>
      </c>
      <c r="P292" t="s">
        <v>85</v>
      </c>
      <c r="Q292" t="s">
        <v>85</v>
      </c>
      <c r="R292">
        <v>0</v>
      </c>
    </row>
    <row r="293" spans="1:18" ht="19.899999999999999" customHeight="1">
      <c r="A293" t="str">
        <f t="shared" si="4"/>
        <v>IU28</v>
      </c>
      <c r="B293" t="s">
        <v>5018</v>
      </c>
      <c r="C293" t="s">
        <v>5030</v>
      </c>
      <c r="D293">
        <v>156</v>
      </c>
      <c r="E293" t="s">
        <v>4796</v>
      </c>
      <c r="F293">
        <v>156</v>
      </c>
      <c r="G293" t="s">
        <v>4800</v>
      </c>
      <c r="H293">
        <v>148</v>
      </c>
      <c r="I293" t="s">
        <v>4796</v>
      </c>
      <c r="J293" s="631">
        <v>156</v>
      </c>
      <c r="K293">
        <v>41</v>
      </c>
      <c r="L293" t="s">
        <v>4800</v>
      </c>
      <c r="P293" t="s">
        <v>85</v>
      </c>
      <c r="Q293" t="s">
        <v>85</v>
      </c>
      <c r="R293">
        <v>0</v>
      </c>
    </row>
    <row r="294" spans="1:18" ht="19.899999999999999" customHeight="1">
      <c r="A294" t="str">
        <f t="shared" si="4"/>
        <v>IU29</v>
      </c>
      <c r="B294" t="s">
        <v>5018</v>
      </c>
      <c r="C294" t="s">
        <v>5031</v>
      </c>
      <c r="D294">
        <v>126</v>
      </c>
      <c r="E294" t="s">
        <v>4792</v>
      </c>
      <c r="F294">
        <v>145</v>
      </c>
      <c r="G294" t="s">
        <v>4795</v>
      </c>
      <c r="H294">
        <v>100</v>
      </c>
      <c r="I294" t="s">
        <v>4795</v>
      </c>
      <c r="J294" s="631">
        <v>145</v>
      </c>
      <c r="K294">
        <v>69</v>
      </c>
      <c r="L294" t="s">
        <v>4800</v>
      </c>
      <c r="P294" t="s">
        <v>85</v>
      </c>
      <c r="Q294" t="s">
        <v>85</v>
      </c>
      <c r="R294">
        <v>0</v>
      </c>
    </row>
    <row r="295" spans="1:18" ht="19.899999999999999" customHeight="1">
      <c r="A295" t="str">
        <f t="shared" si="4"/>
        <v>IU30</v>
      </c>
      <c r="B295" t="s">
        <v>5018</v>
      </c>
      <c r="C295" t="s">
        <v>5032</v>
      </c>
      <c r="D295">
        <v>77</v>
      </c>
      <c r="E295" t="s">
        <v>4802</v>
      </c>
      <c r="F295">
        <v>57</v>
      </c>
      <c r="G295" t="s">
        <v>4795</v>
      </c>
      <c r="H295">
        <v>86</v>
      </c>
      <c r="I295" t="s">
        <v>4792</v>
      </c>
      <c r="J295" s="631">
        <v>86</v>
      </c>
      <c r="K295">
        <v>36</v>
      </c>
      <c r="L295" t="s">
        <v>4798</v>
      </c>
      <c r="P295" t="s">
        <v>85</v>
      </c>
      <c r="Q295" t="s">
        <v>85</v>
      </c>
      <c r="R295">
        <v>0</v>
      </c>
    </row>
    <row r="296" spans="1:18" ht="19.899999999999999" customHeight="1">
      <c r="A296" t="str">
        <f t="shared" si="4"/>
        <v>IU#2DTR(B)</v>
      </c>
      <c r="B296" t="s">
        <v>5018</v>
      </c>
      <c r="C296" t="s">
        <v>4877</v>
      </c>
      <c r="D296">
        <v>408</v>
      </c>
      <c r="E296" t="s">
        <v>4805</v>
      </c>
      <c r="F296">
        <v>489</v>
      </c>
      <c r="G296" t="s">
        <v>4795</v>
      </c>
      <c r="H296">
        <v>438</v>
      </c>
      <c r="I296" t="s">
        <v>4805</v>
      </c>
      <c r="J296" s="631">
        <v>489</v>
      </c>
      <c r="K296" t="s">
        <v>4793</v>
      </c>
      <c r="L296" t="s">
        <v>4793</v>
      </c>
      <c r="P296" t="s">
        <v>85</v>
      </c>
      <c r="Q296" t="s">
        <v>85</v>
      </c>
      <c r="R296">
        <v>0</v>
      </c>
    </row>
    <row r="297" spans="1:18" ht="19.899999999999999" customHeight="1">
      <c r="A297" t="str">
        <f t="shared" si="4"/>
        <v>IU35</v>
      </c>
      <c r="B297" t="s">
        <v>5018</v>
      </c>
      <c r="C297" t="s">
        <v>5033</v>
      </c>
      <c r="D297">
        <v>118</v>
      </c>
      <c r="E297" t="s">
        <v>4795</v>
      </c>
      <c r="F297">
        <v>142</v>
      </c>
      <c r="G297" t="s">
        <v>4802</v>
      </c>
      <c r="H297">
        <v>111</v>
      </c>
      <c r="I297" t="s">
        <v>4795</v>
      </c>
      <c r="J297" s="631">
        <v>142</v>
      </c>
      <c r="K297">
        <v>38</v>
      </c>
      <c r="L297" t="s">
        <v>4802</v>
      </c>
      <c r="P297" t="s">
        <v>85</v>
      </c>
      <c r="Q297" t="s">
        <v>85</v>
      </c>
      <c r="R297">
        <v>0</v>
      </c>
    </row>
    <row r="298" spans="1:18" ht="19.899999999999999" customHeight="1">
      <c r="A298" t="str">
        <f t="shared" si="4"/>
        <v>IU36</v>
      </c>
      <c r="B298" t="s">
        <v>5018</v>
      </c>
      <c r="C298" t="s">
        <v>5034</v>
      </c>
      <c r="D298">
        <v>67</v>
      </c>
      <c r="E298" t="s">
        <v>4805</v>
      </c>
      <c r="F298">
        <v>73</v>
      </c>
      <c r="G298" t="s">
        <v>4814</v>
      </c>
      <c r="H298">
        <v>58</v>
      </c>
      <c r="I298" t="s">
        <v>4808</v>
      </c>
      <c r="J298" s="631">
        <v>73</v>
      </c>
      <c r="K298">
        <v>18</v>
      </c>
      <c r="L298" t="s">
        <v>4853</v>
      </c>
      <c r="P298" t="s">
        <v>85</v>
      </c>
      <c r="Q298" t="s">
        <v>85</v>
      </c>
      <c r="R298">
        <v>0</v>
      </c>
    </row>
    <row r="299" spans="1:18" ht="19.899999999999999" customHeight="1">
      <c r="A299" t="str">
        <f t="shared" si="4"/>
        <v>IU37</v>
      </c>
      <c r="B299" t="s">
        <v>5018</v>
      </c>
      <c r="C299" t="s">
        <v>5035</v>
      </c>
      <c r="D299">
        <v>34</v>
      </c>
      <c r="E299" t="s">
        <v>4795</v>
      </c>
      <c r="F299">
        <v>31</v>
      </c>
      <c r="G299" t="s">
        <v>4812</v>
      </c>
      <c r="H299">
        <v>32</v>
      </c>
      <c r="I299" t="s">
        <v>4798</v>
      </c>
      <c r="J299" s="631">
        <v>34</v>
      </c>
      <c r="K299">
        <v>13</v>
      </c>
      <c r="L299" t="s">
        <v>4821</v>
      </c>
      <c r="P299" t="s">
        <v>85</v>
      </c>
      <c r="Q299" t="s">
        <v>85</v>
      </c>
      <c r="R299">
        <v>0</v>
      </c>
    </row>
    <row r="300" spans="1:18" ht="19.899999999999999" customHeight="1">
      <c r="A300" t="str">
        <f t="shared" si="4"/>
        <v>IU38</v>
      </c>
      <c r="B300" t="s">
        <v>5018</v>
      </c>
      <c r="C300" t="s">
        <v>5036</v>
      </c>
      <c r="D300">
        <v>136</v>
      </c>
      <c r="E300" t="s">
        <v>4814</v>
      </c>
      <c r="F300">
        <v>140</v>
      </c>
      <c r="G300" t="s">
        <v>4796</v>
      </c>
      <c r="H300">
        <v>154</v>
      </c>
      <c r="I300" t="s">
        <v>4796</v>
      </c>
      <c r="J300" s="631">
        <v>154</v>
      </c>
      <c r="K300">
        <v>35</v>
      </c>
      <c r="L300" t="s">
        <v>4805</v>
      </c>
      <c r="P300" t="s">
        <v>85</v>
      </c>
      <c r="Q300" t="s">
        <v>85</v>
      </c>
      <c r="R300">
        <v>0</v>
      </c>
    </row>
    <row r="301" spans="1:18" ht="19.899999999999999" customHeight="1">
      <c r="A301" t="str">
        <f t="shared" si="4"/>
        <v>IU39</v>
      </c>
      <c r="B301" t="s">
        <v>5018</v>
      </c>
      <c r="C301" t="s">
        <v>5037</v>
      </c>
      <c r="D301">
        <v>36</v>
      </c>
      <c r="E301" t="s">
        <v>4795</v>
      </c>
      <c r="F301">
        <v>39</v>
      </c>
      <c r="G301" t="s">
        <v>4792</v>
      </c>
      <c r="H301">
        <v>70</v>
      </c>
      <c r="I301" t="s">
        <v>4795</v>
      </c>
      <c r="J301" s="631">
        <v>70</v>
      </c>
      <c r="K301">
        <v>38</v>
      </c>
      <c r="L301" t="s">
        <v>4795</v>
      </c>
      <c r="P301" t="s">
        <v>85</v>
      </c>
      <c r="Q301" t="s">
        <v>85</v>
      </c>
      <c r="R301">
        <v>0</v>
      </c>
    </row>
    <row r="302" spans="1:18" ht="19.899999999999999" customHeight="1">
      <c r="A302" t="str">
        <f t="shared" si="4"/>
        <v>IU40</v>
      </c>
      <c r="B302" t="s">
        <v>5018</v>
      </c>
      <c r="C302" t="s">
        <v>5038</v>
      </c>
      <c r="D302">
        <v>95</v>
      </c>
      <c r="E302" t="s">
        <v>4795</v>
      </c>
      <c r="F302">
        <v>144</v>
      </c>
      <c r="G302" t="s">
        <v>4795</v>
      </c>
      <c r="H302">
        <v>98</v>
      </c>
      <c r="I302" t="s">
        <v>4795</v>
      </c>
      <c r="J302" s="631">
        <v>144</v>
      </c>
      <c r="K302">
        <v>53</v>
      </c>
      <c r="L302" t="s">
        <v>4795</v>
      </c>
      <c r="P302" t="s">
        <v>85</v>
      </c>
      <c r="Q302" t="s">
        <v>85</v>
      </c>
      <c r="R302">
        <v>0</v>
      </c>
    </row>
    <row r="303" spans="1:18" ht="19.899999999999999" customHeight="1">
      <c r="A303" t="str">
        <f t="shared" si="4"/>
        <v>9C#1DTR(A)</v>
      </c>
      <c r="B303" t="s">
        <v>5039</v>
      </c>
      <c r="C303" t="s">
        <v>4859</v>
      </c>
      <c r="D303">
        <v>454</v>
      </c>
      <c r="E303" t="s">
        <v>4795</v>
      </c>
      <c r="F303">
        <v>462</v>
      </c>
      <c r="G303" t="s">
        <v>4792</v>
      </c>
      <c r="H303">
        <v>484</v>
      </c>
      <c r="I303" t="s">
        <v>4795</v>
      </c>
      <c r="J303" s="631">
        <v>484</v>
      </c>
      <c r="K303" t="s">
        <v>4793</v>
      </c>
      <c r="L303" t="s">
        <v>4793</v>
      </c>
      <c r="P303" t="s">
        <v>85</v>
      </c>
      <c r="Q303" t="s">
        <v>85</v>
      </c>
      <c r="R303">
        <v>0</v>
      </c>
    </row>
    <row r="304" spans="1:18" ht="19.899999999999999" customHeight="1">
      <c r="A304" t="str">
        <f t="shared" si="4"/>
        <v>9C20</v>
      </c>
      <c r="B304" t="s">
        <v>5039</v>
      </c>
      <c r="C304" t="s">
        <v>5040</v>
      </c>
      <c r="D304">
        <v>65</v>
      </c>
      <c r="E304" t="s">
        <v>4814</v>
      </c>
      <c r="F304">
        <v>88</v>
      </c>
      <c r="G304" t="s">
        <v>4802</v>
      </c>
      <c r="H304">
        <v>76</v>
      </c>
      <c r="I304" t="s">
        <v>4802</v>
      </c>
      <c r="J304" s="631">
        <v>88</v>
      </c>
      <c r="K304">
        <v>26</v>
      </c>
      <c r="L304" t="s">
        <v>4807</v>
      </c>
      <c r="P304" t="s">
        <v>85</v>
      </c>
      <c r="Q304" t="s">
        <v>85</v>
      </c>
      <c r="R304">
        <v>0</v>
      </c>
    </row>
    <row r="305" spans="1:18" ht="19.899999999999999" customHeight="1">
      <c r="A305" t="str">
        <f t="shared" si="4"/>
        <v>9C21</v>
      </c>
      <c r="B305" t="s">
        <v>5039</v>
      </c>
      <c r="C305" t="s">
        <v>5041</v>
      </c>
      <c r="D305">
        <v>0</v>
      </c>
      <c r="E305" t="s">
        <v>4810</v>
      </c>
      <c r="F305">
        <v>0</v>
      </c>
      <c r="G305" t="s">
        <v>4810</v>
      </c>
      <c r="H305">
        <v>0</v>
      </c>
      <c r="I305" t="s">
        <v>4810</v>
      </c>
      <c r="J305" s="631">
        <v>0</v>
      </c>
      <c r="K305">
        <v>0</v>
      </c>
      <c r="L305" t="s">
        <v>4810</v>
      </c>
      <c r="P305" t="s">
        <v>85</v>
      </c>
      <c r="Q305" t="s">
        <v>85</v>
      </c>
      <c r="R305">
        <v>0</v>
      </c>
    </row>
    <row r="306" spans="1:18" ht="19.899999999999999" customHeight="1">
      <c r="A306" t="str">
        <f t="shared" si="4"/>
        <v>9C22</v>
      </c>
      <c r="B306" t="s">
        <v>5039</v>
      </c>
      <c r="C306" t="s">
        <v>5042</v>
      </c>
      <c r="D306">
        <v>124</v>
      </c>
      <c r="E306" t="s">
        <v>4795</v>
      </c>
      <c r="F306">
        <v>98</v>
      </c>
      <c r="G306" t="s">
        <v>4795</v>
      </c>
      <c r="H306">
        <v>108</v>
      </c>
      <c r="I306" t="s">
        <v>4795</v>
      </c>
      <c r="J306" s="631">
        <v>124</v>
      </c>
      <c r="K306">
        <v>24</v>
      </c>
      <c r="L306" t="s">
        <v>4795</v>
      </c>
      <c r="P306" t="s">
        <v>85</v>
      </c>
      <c r="Q306" t="s">
        <v>85</v>
      </c>
      <c r="R306">
        <v>0</v>
      </c>
    </row>
    <row r="307" spans="1:18" ht="19.899999999999999" customHeight="1">
      <c r="A307" t="str">
        <f t="shared" si="4"/>
        <v>9C23</v>
      </c>
      <c r="B307" t="s">
        <v>5039</v>
      </c>
      <c r="C307" t="s">
        <v>5043</v>
      </c>
      <c r="D307">
        <v>210</v>
      </c>
      <c r="E307" t="s">
        <v>4800</v>
      </c>
      <c r="F307">
        <v>226</v>
      </c>
      <c r="G307" t="s">
        <v>4792</v>
      </c>
      <c r="H307">
        <v>244</v>
      </c>
      <c r="I307" t="s">
        <v>4800</v>
      </c>
      <c r="J307" s="631">
        <v>244</v>
      </c>
      <c r="K307">
        <v>53</v>
      </c>
      <c r="L307" t="s">
        <v>4800</v>
      </c>
      <c r="P307" t="s">
        <v>85</v>
      </c>
      <c r="Q307" t="s">
        <v>85</v>
      </c>
      <c r="R307">
        <v>0</v>
      </c>
    </row>
    <row r="308" spans="1:18" ht="19.899999999999999" customHeight="1">
      <c r="A308" t="str">
        <f t="shared" si="4"/>
        <v>9C24</v>
      </c>
      <c r="B308" t="s">
        <v>5039</v>
      </c>
      <c r="C308" t="s">
        <v>5044</v>
      </c>
      <c r="D308">
        <v>74</v>
      </c>
      <c r="E308" t="s">
        <v>4800</v>
      </c>
      <c r="F308">
        <v>60</v>
      </c>
      <c r="G308" t="s">
        <v>4802</v>
      </c>
      <c r="H308">
        <v>81</v>
      </c>
      <c r="I308" t="s">
        <v>4792</v>
      </c>
      <c r="J308" s="631">
        <v>81</v>
      </c>
      <c r="K308">
        <v>25</v>
      </c>
      <c r="L308" t="s">
        <v>4805</v>
      </c>
      <c r="P308" t="s">
        <v>85</v>
      </c>
      <c r="Q308" t="s">
        <v>85</v>
      </c>
      <c r="R308">
        <v>0</v>
      </c>
    </row>
    <row r="309" spans="1:18" ht="19.899999999999999" customHeight="1">
      <c r="A309" t="str">
        <f t="shared" si="4"/>
        <v>9C#1DTR(B)</v>
      </c>
      <c r="B309" t="s">
        <v>5039</v>
      </c>
      <c r="C309" t="s">
        <v>4889</v>
      </c>
      <c r="D309">
        <v>405</v>
      </c>
      <c r="E309" t="s">
        <v>4805</v>
      </c>
      <c r="F309">
        <v>367</v>
      </c>
      <c r="G309" t="s">
        <v>4814</v>
      </c>
      <c r="H309">
        <v>384</v>
      </c>
      <c r="I309" t="s">
        <v>4805</v>
      </c>
      <c r="J309" s="631">
        <v>405</v>
      </c>
      <c r="K309" t="s">
        <v>4793</v>
      </c>
      <c r="L309" t="s">
        <v>4793</v>
      </c>
      <c r="P309" t="s">
        <v>85</v>
      </c>
      <c r="Q309" t="s">
        <v>85</v>
      </c>
      <c r="R309">
        <v>0</v>
      </c>
    </row>
    <row r="310" spans="1:18" ht="19.899999999999999" customHeight="1">
      <c r="A310" t="str">
        <f t="shared" si="4"/>
        <v>9C25</v>
      </c>
      <c r="B310" t="s">
        <v>5039</v>
      </c>
      <c r="C310" t="s">
        <v>5045</v>
      </c>
      <c r="D310">
        <v>9</v>
      </c>
      <c r="E310" t="s">
        <v>4795</v>
      </c>
      <c r="F310">
        <v>5</v>
      </c>
      <c r="G310" t="s">
        <v>4802</v>
      </c>
      <c r="H310">
        <v>0</v>
      </c>
      <c r="I310" t="s">
        <v>4810</v>
      </c>
      <c r="J310" s="631">
        <v>9</v>
      </c>
      <c r="K310">
        <v>7</v>
      </c>
      <c r="L310" t="s">
        <v>4795</v>
      </c>
      <c r="P310" t="s">
        <v>85</v>
      </c>
      <c r="Q310" t="s">
        <v>85</v>
      </c>
      <c r="R310">
        <v>0</v>
      </c>
    </row>
    <row r="311" spans="1:18" ht="19.899999999999999" customHeight="1">
      <c r="A311" t="str">
        <f t="shared" si="4"/>
        <v>9C26</v>
      </c>
      <c r="B311" t="s">
        <v>5039</v>
      </c>
      <c r="C311" t="s">
        <v>5046</v>
      </c>
      <c r="D311">
        <v>0</v>
      </c>
      <c r="E311" t="s">
        <v>4810</v>
      </c>
      <c r="F311">
        <v>0</v>
      </c>
      <c r="G311" t="s">
        <v>4810</v>
      </c>
      <c r="H311">
        <v>0</v>
      </c>
      <c r="I311" t="s">
        <v>4810</v>
      </c>
      <c r="J311" s="631">
        <v>0</v>
      </c>
      <c r="K311">
        <v>0</v>
      </c>
      <c r="L311" t="s">
        <v>4810</v>
      </c>
      <c r="P311" t="s">
        <v>85</v>
      </c>
      <c r="Q311" t="s">
        <v>85</v>
      </c>
      <c r="R311">
        <v>0</v>
      </c>
    </row>
    <row r="312" spans="1:18" ht="19.899999999999999" customHeight="1">
      <c r="A312" t="str">
        <f t="shared" si="4"/>
        <v>9C27</v>
      </c>
      <c r="B312" t="s">
        <v>5039</v>
      </c>
      <c r="C312" t="s">
        <v>5047</v>
      </c>
      <c r="D312">
        <v>119</v>
      </c>
      <c r="E312" t="s">
        <v>4805</v>
      </c>
      <c r="F312">
        <v>121</v>
      </c>
      <c r="G312" t="s">
        <v>4805</v>
      </c>
      <c r="H312">
        <v>134</v>
      </c>
      <c r="I312" t="s">
        <v>4796</v>
      </c>
      <c r="J312" s="631">
        <v>134</v>
      </c>
      <c r="K312">
        <v>31</v>
      </c>
      <c r="L312" t="s">
        <v>4812</v>
      </c>
      <c r="P312" t="s">
        <v>85</v>
      </c>
      <c r="Q312" t="s">
        <v>85</v>
      </c>
      <c r="R312">
        <v>0</v>
      </c>
    </row>
    <row r="313" spans="1:18" ht="19.899999999999999" customHeight="1">
      <c r="A313" t="str">
        <f t="shared" si="4"/>
        <v>9C28</v>
      </c>
      <c r="B313" t="s">
        <v>5039</v>
      </c>
      <c r="C313" t="s">
        <v>5048</v>
      </c>
      <c r="D313">
        <v>144</v>
      </c>
      <c r="E313" t="s">
        <v>4792</v>
      </c>
      <c r="F313">
        <v>117</v>
      </c>
      <c r="G313" t="s">
        <v>4802</v>
      </c>
      <c r="H313">
        <v>123</v>
      </c>
      <c r="I313" t="s">
        <v>4802</v>
      </c>
      <c r="J313" s="631">
        <v>144</v>
      </c>
      <c r="K313">
        <v>42</v>
      </c>
      <c r="L313" t="s">
        <v>4792</v>
      </c>
      <c r="P313" t="s">
        <v>85</v>
      </c>
      <c r="Q313" t="s">
        <v>85</v>
      </c>
      <c r="R313">
        <v>0</v>
      </c>
    </row>
    <row r="314" spans="1:18" ht="19.899999999999999" customHeight="1">
      <c r="A314" t="str">
        <f t="shared" si="4"/>
        <v>9C29</v>
      </c>
      <c r="B314" t="s">
        <v>5039</v>
      </c>
      <c r="C314" t="s">
        <v>5049</v>
      </c>
      <c r="D314">
        <v>173</v>
      </c>
      <c r="E314" t="s">
        <v>4805</v>
      </c>
      <c r="F314">
        <v>155</v>
      </c>
      <c r="G314" t="s">
        <v>4814</v>
      </c>
      <c r="H314">
        <v>146</v>
      </c>
      <c r="I314" t="s">
        <v>4814</v>
      </c>
      <c r="J314" s="631">
        <v>173</v>
      </c>
      <c r="K314">
        <v>37</v>
      </c>
      <c r="L314" t="s">
        <v>4805</v>
      </c>
      <c r="P314">
        <v>3203</v>
      </c>
      <c r="Q314">
        <v>8</v>
      </c>
      <c r="R314">
        <v>3211</v>
      </c>
    </row>
    <row r="315" spans="1:18" ht="19.899999999999999" customHeight="1">
      <c r="A315" t="str">
        <f t="shared" si="4"/>
        <v>9C#2DTR(A)</v>
      </c>
      <c r="B315" t="s">
        <v>5039</v>
      </c>
      <c r="C315" t="s">
        <v>4870</v>
      </c>
      <c r="D315">
        <v>151</v>
      </c>
      <c r="E315" t="s">
        <v>4872</v>
      </c>
      <c r="F315">
        <v>136</v>
      </c>
      <c r="G315" t="s">
        <v>4872</v>
      </c>
      <c r="H315">
        <v>181</v>
      </c>
      <c r="I315" t="s">
        <v>4872</v>
      </c>
      <c r="J315" s="631">
        <v>181</v>
      </c>
      <c r="K315" t="s">
        <v>4793</v>
      </c>
      <c r="L315" t="s">
        <v>4793</v>
      </c>
      <c r="P315">
        <v>3010</v>
      </c>
      <c r="Q315">
        <v>4</v>
      </c>
      <c r="R315">
        <v>3014</v>
      </c>
    </row>
    <row r="316" spans="1:18" ht="19.899999999999999" customHeight="1">
      <c r="A316" t="str">
        <f t="shared" si="4"/>
        <v>9C30</v>
      </c>
      <c r="B316" t="s">
        <v>5039</v>
      </c>
      <c r="C316" t="s">
        <v>5458</v>
      </c>
      <c r="D316">
        <v>63</v>
      </c>
      <c r="E316" t="s">
        <v>4802</v>
      </c>
      <c r="F316">
        <v>69</v>
      </c>
      <c r="G316" t="s">
        <v>4795</v>
      </c>
      <c r="H316">
        <v>47</v>
      </c>
      <c r="I316" t="s">
        <v>4795</v>
      </c>
      <c r="J316" s="631">
        <v>69</v>
      </c>
      <c r="K316">
        <v>40</v>
      </c>
      <c r="L316" t="s">
        <v>4798</v>
      </c>
      <c r="P316">
        <v>586</v>
      </c>
      <c r="Q316">
        <v>1</v>
      </c>
      <c r="R316">
        <v>587</v>
      </c>
    </row>
    <row r="317" spans="1:18" ht="19.899999999999999" customHeight="1">
      <c r="A317" t="str">
        <f t="shared" si="4"/>
        <v>9C31</v>
      </c>
      <c r="B317" t="s">
        <v>5039</v>
      </c>
      <c r="C317" t="s">
        <v>5459</v>
      </c>
      <c r="D317">
        <v>80</v>
      </c>
      <c r="E317" t="s">
        <v>4802</v>
      </c>
      <c r="F317">
        <v>117</v>
      </c>
      <c r="G317" t="s">
        <v>4795</v>
      </c>
      <c r="H317">
        <v>87</v>
      </c>
      <c r="I317" t="s">
        <v>4795</v>
      </c>
      <c r="J317" s="631">
        <v>117</v>
      </c>
      <c r="K317">
        <v>50</v>
      </c>
      <c r="L317" t="s">
        <v>4795</v>
      </c>
      <c r="P317">
        <v>1430</v>
      </c>
      <c r="Q317">
        <v>1</v>
      </c>
      <c r="R317">
        <v>1431</v>
      </c>
    </row>
    <row r="318" spans="1:18" ht="19.899999999999999" customHeight="1">
      <c r="A318" t="str">
        <f t="shared" si="4"/>
        <v>9C33</v>
      </c>
      <c r="B318" t="s">
        <v>5039</v>
      </c>
      <c r="C318" t="s">
        <v>5460</v>
      </c>
      <c r="D318">
        <v>31</v>
      </c>
      <c r="E318" t="s">
        <v>4798</v>
      </c>
      <c r="F318">
        <v>31</v>
      </c>
      <c r="G318" t="s">
        <v>4799</v>
      </c>
      <c r="H318">
        <v>44</v>
      </c>
      <c r="I318" t="s">
        <v>4798</v>
      </c>
      <c r="J318" s="631">
        <v>44</v>
      </c>
      <c r="K318">
        <v>28</v>
      </c>
      <c r="L318" t="s">
        <v>4799</v>
      </c>
      <c r="P318">
        <v>123</v>
      </c>
      <c r="Q318">
        <v>2</v>
      </c>
      <c r="R318">
        <v>125</v>
      </c>
    </row>
    <row r="319" spans="1:18" ht="19.899999999999999" customHeight="1">
      <c r="A319" t="s">
        <v>10231</v>
      </c>
      <c r="B319" t="s">
        <v>5039</v>
      </c>
      <c r="C319" t="s">
        <v>5461</v>
      </c>
      <c r="D319">
        <v>127</v>
      </c>
      <c r="E319" t="s">
        <v>4872</v>
      </c>
      <c r="F319">
        <v>116</v>
      </c>
      <c r="G319" t="s">
        <v>4810</v>
      </c>
      <c r="H319">
        <v>146</v>
      </c>
      <c r="I319" t="s">
        <v>4872</v>
      </c>
      <c r="J319" s="631">
        <v>146</v>
      </c>
      <c r="K319">
        <v>32</v>
      </c>
      <c r="L319" t="s">
        <v>4800</v>
      </c>
      <c r="P319">
        <v>2153</v>
      </c>
      <c r="Q319" t="s">
        <v>85</v>
      </c>
      <c r="R319">
        <v>2153</v>
      </c>
    </row>
    <row r="320" spans="1:18" ht="19.899999999999999" customHeight="1">
      <c r="A320" t="str">
        <f t="shared" si="4"/>
        <v>9C32</v>
      </c>
      <c r="B320" t="s">
        <v>5039</v>
      </c>
      <c r="C320" t="s">
        <v>5462</v>
      </c>
      <c r="D320">
        <v>120</v>
      </c>
      <c r="E320" t="s">
        <v>4792</v>
      </c>
      <c r="F320">
        <v>133</v>
      </c>
      <c r="G320" t="s">
        <v>4792</v>
      </c>
      <c r="H320">
        <v>92</v>
      </c>
      <c r="I320" t="s">
        <v>4795</v>
      </c>
      <c r="J320" s="631">
        <v>133</v>
      </c>
      <c r="K320">
        <v>58</v>
      </c>
      <c r="L320" t="s">
        <v>4792</v>
      </c>
      <c r="P320">
        <v>981</v>
      </c>
      <c r="Q320">
        <v>6</v>
      </c>
      <c r="R320">
        <v>987</v>
      </c>
    </row>
    <row r="321" spans="1:18" ht="19.899999999999999" customHeight="1">
      <c r="A321" t="str">
        <f t="shared" si="4"/>
        <v>9C#2DTR(B)</v>
      </c>
      <c r="B321" t="s">
        <v>5039</v>
      </c>
      <c r="C321" t="s">
        <v>4877</v>
      </c>
      <c r="D321">
        <v>222</v>
      </c>
      <c r="E321" t="s">
        <v>4795</v>
      </c>
      <c r="F321">
        <v>198</v>
      </c>
      <c r="G321" t="s">
        <v>4795</v>
      </c>
      <c r="H321">
        <v>240</v>
      </c>
      <c r="I321" t="s">
        <v>4795</v>
      </c>
      <c r="J321" s="631">
        <v>240</v>
      </c>
      <c r="K321" t="s">
        <v>4793</v>
      </c>
      <c r="L321" t="s">
        <v>4793</v>
      </c>
      <c r="P321">
        <v>1177</v>
      </c>
      <c r="Q321">
        <v>9</v>
      </c>
      <c r="R321">
        <v>1186</v>
      </c>
    </row>
    <row r="322" spans="1:18" ht="19.899999999999999" customHeight="1">
      <c r="A322" t="str">
        <f t="shared" si="4"/>
        <v>9C35</v>
      </c>
      <c r="B322" t="s">
        <v>5039</v>
      </c>
      <c r="C322" t="s">
        <v>5463</v>
      </c>
      <c r="D322">
        <v>41</v>
      </c>
      <c r="E322" t="s">
        <v>4814</v>
      </c>
      <c r="F322">
        <v>47</v>
      </c>
      <c r="G322" t="s">
        <v>4814</v>
      </c>
      <c r="H322">
        <v>25</v>
      </c>
      <c r="I322" t="s">
        <v>4795</v>
      </c>
      <c r="J322" s="631">
        <v>47</v>
      </c>
      <c r="K322">
        <v>45</v>
      </c>
      <c r="L322" t="s">
        <v>4814</v>
      </c>
      <c r="P322">
        <v>2584</v>
      </c>
      <c r="Q322" t="s">
        <v>85</v>
      </c>
      <c r="R322">
        <v>2584</v>
      </c>
    </row>
    <row r="323" spans="1:18" ht="19.899999999999999" customHeight="1">
      <c r="A323" t="str">
        <f t="shared" ref="A323:A325" si="5">IF(COUNTIF(C323,"*TR*")&gt;0,SUBSTITUTE(RIGHT(B323,3) &amp; C323," ",""),MID(C323,FIND("(",C323)+1,4))</f>
        <v>9C36</v>
      </c>
      <c r="B323" t="s">
        <v>5039</v>
      </c>
      <c r="C323" t="s">
        <v>5464</v>
      </c>
      <c r="D323">
        <v>61</v>
      </c>
      <c r="E323" t="s">
        <v>4795</v>
      </c>
      <c r="F323">
        <v>72</v>
      </c>
      <c r="G323" t="s">
        <v>4800</v>
      </c>
      <c r="H323">
        <v>87</v>
      </c>
      <c r="I323" t="s">
        <v>4800</v>
      </c>
      <c r="J323" s="631">
        <v>87</v>
      </c>
      <c r="K323">
        <v>32</v>
      </c>
      <c r="L323" t="s">
        <v>4792</v>
      </c>
      <c r="P323">
        <v>3753</v>
      </c>
      <c r="Q323" t="s">
        <v>85</v>
      </c>
      <c r="R323">
        <v>3753</v>
      </c>
    </row>
    <row r="324" spans="1:18" ht="19.899999999999999" customHeight="1">
      <c r="A324" t="str">
        <f t="shared" si="5"/>
        <v>9C37</v>
      </c>
      <c r="B324" t="s">
        <v>5039</v>
      </c>
      <c r="C324" t="s">
        <v>5465</v>
      </c>
      <c r="D324">
        <v>97</v>
      </c>
      <c r="E324" t="s">
        <v>4792</v>
      </c>
      <c r="F324">
        <v>71</v>
      </c>
      <c r="G324" t="s">
        <v>4795</v>
      </c>
      <c r="H324">
        <v>88</v>
      </c>
      <c r="I324" t="s">
        <v>4795</v>
      </c>
      <c r="J324" s="631">
        <v>97</v>
      </c>
      <c r="K324">
        <v>39</v>
      </c>
      <c r="L324" t="s">
        <v>4802</v>
      </c>
      <c r="P324">
        <v>1710</v>
      </c>
      <c r="Q324">
        <v>1</v>
      </c>
      <c r="R324">
        <v>1711</v>
      </c>
    </row>
    <row r="325" spans="1:18" ht="19.899999999999999" customHeight="1">
      <c r="A325" t="str">
        <f t="shared" si="5"/>
        <v>9C38</v>
      </c>
      <c r="B325" t="s">
        <v>5039</v>
      </c>
      <c r="C325" t="s">
        <v>5466</v>
      </c>
      <c r="D325">
        <v>23</v>
      </c>
      <c r="E325" t="s">
        <v>4795</v>
      </c>
      <c r="F325">
        <v>41</v>
      </c>
      <c r="G325" t="s">
        <v>4792</v>
      </c>
      <c r="H325">
        <v>29</v>
      </c>
      <c r="I325" t="s">
        <v>4795</v>
      </c>
      <c r="J325" s="631">
        <v>41</v>
      </c>
      <c r="K325">
        <v>22</v>
      </c>
      <c r="L325" t="s">
        <v>4798</v>
      </c>
      <c r="P325">
        <v>5294</v>
      </c>
      <c r="Q325">
        <v>5</v>
      </c>
      <c r="R325">
        <v>5299</v>
      </c>
    </row>
    <row r="326" spans="1:18" hidden="1">
      <c r="A326" t="s">
        <v>1688</v>
      </c>
      <c r="B326" t="s">
        <v>5039</v>
      </c>
      <c r="C326" t="s">
        <v>5467</v>
      </c>
      <c r="D326">
        <v>110</v>
      </c>
      <c r="E326" t="s">
        <v>4795</v>
      </c>
      <c r="F326">
        <v>86</v>
      </c>
      <c r="G326" t="s">
        <v>4795</v>
      </c>
      <c r="H326">
        <v>123</v>
      </c>
      <c r="I326" t="s">
        <v>4795</v>
      </c>
      <c r="J326" s="631">
        <v>123</v>
      </c>
      <c r="K326">
        <v>48</v>
      </c>
      <c r="L326" t="s">
        <v>4798</v>
      </c>
      <c r="P326" t="s">
        <v>85</v>
      </c>
      <c r="Q326" t="s">
        <v>85</v>
      </c>
      <c r="R326">
        <v>0</v>
      </c>
    </row>
    <row r="327" spans="1:18" hidden="1">
      <c r="A327" t="s">
        <v>2081</v>
      </c>
      <c r="B327" t="s">
        <v>5039</v>
      </c>
      <c r="C327" t="s">
        <v>4940</v>
      </c>
      <c r="D327">
        <v>484</v>
      </c>
      <c r="E327" t="s">
        <v>4792</v>
      </c>
      <c r="F327">
        <v>448</v>
      </c>
      <c r="G327" t="s">
        <v>4792</v>
      </c>
      <c r="H327">
        <v>456</v>
      </c>
      <c r="I327" t="s">
        <v>4792</v>
      </c>
      <c r="J327" s="631">
        <v>484</v>
      </c>
      <c r="K327" t="s">
        <v>4793</v>
      </c>
      <c r="L327" t="s">
        <v>4793</v>
      </c>
      <c r="P327" t="s">
        <v>85</v>
      </c>
      <c r="Q327" t="s">
        <v>85</v>
      </c>
      <c r="R327">
        <v>0</v>
      </c>
    </row>
    <row r="328" spans="1:18" hidden="1">
      <c r="A328" t="s">
        <v>2082</v>
      </c>
      <c r="B328" t="s">
        <v>5039</v>
      </c>
      <c r="C328" t="s">
        <v>5050</v>
      </c>
      <c r="D328">
        <v>68</v>
      </c>
      <c r="E328" t="s">
        <v>4805</v>
      </c>
      <c r="F328">
        <v>56</v>
      </c>
      <c r="G328" t="s">
        <v>4802</v>
      </c>
      <c r="H328">
        <v>73</v>
      </c>
      <c r="I328" t="s">
        <v>4800</v>
      </c>
      <c r="J328" s="631">
        <v>73</v>
      </c>
      <c r="K328">
        <v>14</v>
      </c>
      <c r="L328" t="s">
        <v>4795</v>
      </c>
      <c r="P328" t="s">
        <v>85</v>
      </c>
      <c r="Q328" t="s">
        <v>85</v>
      </c>
      <c r="R328">
        <v>0</v>
      </c>
    </row>
    <row r="329" spans="1:18">
      <c r="A329" t="s">
        <v>2083</v>
      </c>
      <c r="B329" t="s">
        <v>5039</v>
      </c>
      <c r="C329" t="s">
        <v>5051</v>
      </c>
      <c r="D329">
        <v>155</v>
      </c>
      <c r="E329" t="s">
        <v>4810</v>
      </c>
      <c r="F329">
        <v>153</v>
      </c>
      <c r="G329" t="s">
        <v>4810</v>
      </c>
      <c r="H329">
        <v>155</v>
      </c>
      <c r="I329" t="s">
        <v>4810</v>
      </c>
      <c r="J329" s="631">
        <v>155</v>
      </c>
      <c r="K329">
        <v>30</v>
      </c>
      <c r="L329" t="s">
        <v>4809</v>
      </c>
      <c r="P329" t="s">
        <v>85</v>
      </c>
      <c r="Q329" t="s">
        <v>85</v>
      </c>
      <c r="R329">
        <v>0</v>
      </c>
    </row>
    <row r="330" spans="1:18" ht="19.899999999999999" customHeight="1">
      <c r="A330" t="str">
        <f t="shared" ref="A330:A393" si="6">IF(COUNTIF(C330,"*TR*")&gt;0,SUBSTITUTE(RIGHT(B330,3) &amp; C330," ",""),MID(C330,FIND("(",C330)+1,4))</f>
        <v>9C42</v>
      </c>
      <c r="B330" t="s">
        <v>5039</v>
      </c>
      <c r="C330" t="s">
        <v>5052</v>
      </c>
      <c r="D330">
        <v>0</v>
      </c>
      <c r="E330" t="s">
        <v>4810</v>
      </c>
      <c r="F330">
        <v>0</v>
      </c>
      <c r="G330" t="s">
        <v>4810</v>
      </c>
      <c r="H330">
        <v>0</v>
      </c>
      <c r="I330" t="s">
        <v>4810</v>
      </c>
      <c r="J330" s="631">
        <v>0</v>
      </c>
      <c r="K330">
        <v>0</v>
      </c>
      <c r="L330" t="s">
        <v>4810</v>
      </c>
      <c r="P330">
        <v>1377</v>
      </c>
      <c r="Q330">
        <v>2</v>
      </c>
      <c r="R330">
        <v>1379</v>
      </c>
    </row>
    <row r="331" spans="1:18" ht="19.899999999999999" customHeight="1">
      <c r="A331" t="str">
        <f t="shared" si="6"/>
        <v>9C43</v>
      </c>
      <c r="B331" t="s">
        <v>5039</v>
      </c>
      <c r="C331" t="s">
        <v>5053</v>
      </c>
      <c r="D331">
        <v>132</v>
      </c>
      <c r="E331" t="s">
        <v>4792</v>
      </c>
      <c r="F331">
        <v>130</v>
      </c>
      <c r="G331" t="s">
        <v>4792</v>
      </c>
      <c r="H331">
        <v>126</v>
      </c>
      <c r="I331" t="s">
        <v>4792</v>
      </c>
      <c r="J331" s="631">
        <v>132</v>
      </c>
      <c r="K331">
        <v>22</v>
      </c>
      <c r="L331" t="s">
        <v>4792</v>
      </c>
      <c r="P331">
        <v>462</v>
      </c>
      <c r="Q331">
        <v>1</v>
      </c>
      <c r="R331">
        <v>463</v>
      </c>
    </row>
    <row r="332" spans="1:18" ht="19.899999999999999" customHeight="1">
      <c r="A332" t="str">
        <f t="shared" si="6"/>
        <v>9C44</v>
      </c>
      <c r="B332" t="s">
        <v>5039</v>
      </c>
      <c r="C332" t="s">
        <v>5054</v>
      </c>
      <c r="D332">
        <v>177</v>
      </c>
      <c r="E332" t="s">
        <v>4795</v>
      </c>
      <c r="F332">
        <v>167</v>
      </c>
      <c r="G332" t="s">
        <v>4812</v>
      </c>
      <c r="H332">
        <v>162</v>
      </c>
      <c r="I332" t="s">
        <v>4792</v>
      </c>
      <c r="J332" s="631">
        <v>177</v>
      </c>
      <c r="K332">
        <v>55</v>
      </c>
      <c r="L332" t="s">
        <v>4795</v>
      </c>
      <c r="P332">
        <v>3204</v>
      </c>
      <c r="Q332" t="s">
        <v>85</v>
      </c>
      <c r="R332">
        <v>3204</v>
      </c>
    </row>
    <row r="333" spans="1:18" ht="19.899999999999999" customHeight="1">
      <c r="A333" t="str">
        <f t="shared" si="6"/>
        <v>9C#3DTR(B)</v>
      </c>
      <c r="B333" t="s">
        <v>5039</v>
      </c>
      <c r="C333" t="s">
        <v>4944</v>
      </c>
      <c r="D333">
        <v>556</v>
      </c>
      <c r="E333" t="s">
        <v>4792</v>
      </c>
      <c r="F333">
        <v>541</v>
      </c>
      <c r="G333" t="s">
        <v>4802</v>
      </c>
      <c r="H333">
        <v>571</v>
      </c>
      <c r="I333" t="s">
        <v>4792</v>
      </c>
      <c r="J333" s="631">
        <v>571</v>
      </c>
      <c r="K333" t="s">
        <v>4793</v>
      </c>
      <c r="L333" t="s">
        <v>4793</v>
      </c>
      <c r="P333">
        <v>2267</v>
      </c>
      <c r="Q333" t="s">
        <v>85</v>
      </c>
      <c r="R333">
        <v>2267</v>
      </c>
    </row>
    <row r="334" spans="1:18" ht="19.899999999999999" customHeight="1">
      <c r="A334" t="str">
        <f t="shared" si="6"/>
        <v>9C45</v>
      </c>
      <c r="B334" t="s">
        <v>5039</v>
      </c>
      <c r="C334" t="s">
        <v>5055</v>
      </c>
      <c r="D334">
        <v>98</v>
      </c>
      <c r="E334" t="s">
        <v>4795</v>
      </c>
      <c r="F334">
        <v>99</v>
      </c>
      <c r="G334" t="s">
        <v>4800</v>
      </c>
      <c r="H334">
        <v>108</v>
      </c>
      <c r="I334" t="s">
        <v>4795</v>
      </c>
      <c r="J334" s="631">
        <v>108</v>
      </c>
      <c r="K334">
        <v>31</v>
      </c>
      <c r="L334" t="s">
        <v>4795</v>
      </c>
      <c r="P334">
        <v>1132</v>
      </c>
      <c r="Q334" t="s">
        <v>85</v>
      </c>
      <c r="R334">
        <v>1132</v>
      </c>
    </row>
    <row r="335" spans="1:18" ht="19.899999999999999" customHeight="1">
      <c r="A335" t="str">
        <f t="shared" si="6"/>
        <v>9C46</v>
      </c>
      <c r="B335" t="s">
        <v>5039</v>
      </c>
      <c r="C335" t="s">
        <v>5056</v>
      </c>
      <c r="D335">
        <v>151</v>
      </c>
      <c r="E335" t="s">
        <v>4814</v>
      </c>
      <c r="F335">
        <v>145</v>
      </c>
      <c r="G335" t="s">
        <v>4814</v>
      </c>
      <c r="H335">
        <v>149</v>
      </c>
      <c r="I335" t="s">
        <v>4814</v>
      </c>
      <c r="J335" s="631">
        <v>151</v>
      </c>
      <c r="K335">
        <v>18</v>
      </c>
      <c r="L335" t="s">
        <v>4798</v>
      </c>
      <c r="P335">
        <v>1127</v>
      </c>
      <c r="Q335">
        <v>5</v>
      </c>
      <c r="R335">
        <v>1132</v>
      </c>
    </row>
    <row r="336" spans="1:18" ht="19.899999999999999" customHeight="1">
      <c r="A336" t="str">
        <f t="shared" si="6"/>
        <v>9C47</v>
      </c>
      <c r="B336" t="s">
        <v>5039</v>
      </c>
      <c r="C336" t="s">
        <v>5057</v>
      </c>
      <c r="D336">
        <v>181</v>
      </c>
      <c r="E336" t="s">
        <v>4792</v>
      </c>
      <c r="F336">
        <v>179</v>
      </c>
      <c r="G336" t="s">
        <v>4802</v>
      </c>
      <c r="H336">
        <v>204</v>
      </c>
      <c r="I336" t="s">
        <v>4800</v>
      </c>
      <c r="J336" s="631">
        <v>204</v>
      </c>
      <c r="K336">
        <v>55</v>
      </c>
      <c r="L336" t="s">
        <v>4800</v>
      </c>
      <c r="P336">
        <v>4834</v>
      </c>
      <c r="Q336">
        <v>1</v>
      </c>
      <c r="R336">
        <v>4835</v>
      </c>
    </row>
    <row r="337" spans="1:18" ht="19.899999999999999" customHeight="1">
      <c r="A337" t="str">
        <f t="shared" si="6"/>
        <v>9C48</v>
      </c>
      <c r="B337" t="s">
        <v>5039</v>
      </c>
      <c r="C337" t="s">
        <v>5058</v>
      </c>
      <c r="D337">
        <v>112</v>
      </c>
      <c r="E337" t="s">
        <v>4814</v>
      </c>
      <c r="F337">
        <v>87</v>
      </c>
      <c r="G337" t="s">
        <v>4801</v>
      </c>
      <c r="H337">
        <v>104</v>
      </c>
      <c r="I337" t="s">
        <v>4801</v>
      </c>
      <c r="J337" s="631">
        <v>112</v>
      </c>
      <c r="K337">
        <v>44</v>
      </c>
      <c r="L337" t="s">
        <v>4814</v>
      </c>
      <c r="P337">
        <v>4629</v>
      </c>
      <c r="Q337">
        <v>4</v>
      </c>
      <c r="R337">
        <v>4633</v>
      </c>
    </row>
    <row r="338" spans="1:18" ht="19.899999999999999" customHeight="1">
      <c r="A338" t="str">
        <f t="shared" si="6"/>
        <v>9C49</v>
      </c>
      <c r="B338" t="s">
        <v>5039</v>
      </c>
      <c r="C338" t="s">
        <v>5059</v>
      </c>
      <c r="D338">
        <v>81</v>
      </c>
      <c r="E338" t="s">
        <v>4802</v>
      </c>
      <c r="F338">
        <v>72</v>
      </c>
      <c r="G338" t="s">
        <v>4795</v>
      </c>
      <c r="H338">
        <v>61</v>
      </c>
      <c r="I338" t="s">
        <v>4792</v>
      </c>
      <c r="J338" s="631">
        <v>81</v>
      </c>
      <c r="K338">
        <v>33</v>
      </c>
      <c r="L338" t="s">
        <v>4872</v>
      </c>
      <c r="P338">
        <v>2420</v>
      </c>
      <c r="Q338">
        <v>1</v>
      </c>
      <c r="R338">
        <v>2421</v>
      </c>
    </row>
    <row r="339" spans="1:18" ht="19.899999999999999" customHeight="1">
      <c r="A339" t="str">
        <f t="shared" si="6"/>
        <v>IL#1MTR</v>
      </c>
      <c r="B339" t="s">
        <v>5060</v>
      </c>
      <c r="C339" t="s">
        <v>4791</v>
      </c>
      <c r="D339">
        <v>671</v>
      </c>
      <c r="E339" t="s">
        <v>4795</v>
      </c>
      <c r="F339">
        <v>660</v>
      </c>
      <c r="G339" t="s">
        <v>4805</v>
      </c>
      <c r="H339">
        <v>627</v>
      </c>
      <c r="I339" t="s">
        <v>4812</v>
      </c>
      <c r="J339" s="631">
        <v>671</v>
      </c>
      <c r="K339" t="s">
        <v>4793</v>
      </c>
      <c r="L339" t="s">
        <v>4793</v>
      </c>
      <c r="P339">
        <v>5383</v>
      </c>
      <c r="Q339">
        <v>2</v>
      </c>
      <c r="R339">
        <v>5385</v>
      </c>
    </row>
    <row r="340" spans="1:18" ht="19.899999999999999" customHeight="1">
      <c r="A340" t="str">
        <f t="shared" si="6"/>
        <v>IL27</v>
      </c>
      <c r="B340" t="s">
        <v>5060</v>
      </c>
      <c r="C340" t="s">
        <v>5061</v>
      </c>
      <c r="D340">
        <v>116</v>
      </c>
      <c r="E340" t="s">
        <v>4795</v>
      </c>
      <c r="F340">
        <v>115</v>
      </c>
      <c r="G340" t="s">
        <v>4802</v>
      </c>
      <c r="H340">
        <v>81</v>
      </c>
      <c r="I340" t="s">
        <v>4814</v>
      </c>
      <c r="J340" s="631">
        <v>116</v>
      </c>
      <c r="K340">
        <v>44</v>
      </c>
      <c r="L340" t="s">
        <v>4795</v>
      </c>
      <c r="P340">
        <v>6139</v>
      </c>
      <c r="Q340">
        <v>6</v>
      </c>
      <c r="R340">
        <v>6145</v>
      </c>
    </row>
    <row r="341" spans="1:18" ht="19.899999999999999" customHeight="1">
      <c r="A341" t="str">
        <f t="shared" si="6"/>
        <v>IL22</v>
      </c>
      <c r="B341" t="s">
        <v>5060</v>
      </c>
      <c r="C341" t="s">
        <v>5062</v>
      </c>
      <c r="D341">
        <v>174</v>
      </c>
      <c r="E341" t="s">
        <v>4792</v>
      </c>
      <c r="F341">
        <v>168</v>
      </c>
      <c r="G341" t="s">
        <v>4805</v>
      </c>
      <c r="H341">
        <v>156</v>
      </c>
      <c r="I341" t="s">
        <v>4812</v>
      </c>
      <c r="J341" s="631">
        <v>174</v>
      </c>
      <c r="K341">
        <v>50</v>
      </c>
      <c r="L341" t="s">
        <v>4808</v>
      </c>
      <c r="P341">
        <v>669</v>
      </c>
      <c r="Q341" t="s">
        <v>85</v>
      </c>
      <c r="R341">
        <v>669</v>
      </c>
    </row>
    <row r="342" spans="1:18" ht="19.899999999999999" customHeight="1">
      <c r="A342" t="str">
        <f t="shared" si="6"/>
        <v>IL21</v>
      </c>
      <c r="B342" t="s">
        <v>5060</v>
      </c>
      <c r="C342" t="s">
        <v>5063</v>
      </c>
      <c r="D342">
        <v>194</v>
      </c>
      <c r="E342" t="s">
        <v>4800</v>
      </c>
      <c r="F342">
        <v>168</v>
      </c>
      <c r="G342" t="s">
        <v>4814</v>
      </c>
      <c r="H342">
        <v>176</v>
      </c>
      <c r="I342" t="s">
        <v>4798</v>
      </c>
      <c r="J342" s="631">
        <v>194</v>
      </c>
      <c r="K342">
        <v>45</v>
      </c>
      <c r="L342" t="s">
        <v>4800</v>
      </c>
      <c r="P342">
        <v>19</v>
      </c>
      <c r="Q342">
        <v>3</v>
      </c>
      <c r="R342">
        <v>22</v>
      </c>
    </row>
    <row r="343" spans="1:18" ht="19.899999999999999" customHeight="1">
      <c r="A343" t="str">
        <f t="shared" si="6"/>
        <v>IL23</v>
      </c>
      <c r="B343" t="s">
        <v>5060</v>
      </c>
      <c r="C343" t="s">
        <v>5064</v>
      </c>
      <c r="D343">
        <v>153</v>
      </c>
      <c r="E343" t="s">
        <v>4801</v>
      </c>
      <c r="F343">
        <v>164</v>
      </c>
      <c r="G343" t="s">
        <v>4805</v>
      </c>
      <c r="H343">
        <v>172</v>
      </c>
      <c r="I343" t="s">
        <v>4801</v>
      </c>
      <c r="J343" s="631">
        <v>172</v>
      </c>
      <c r="K343">
        <v>24</v>
      </c>
      <c r="L343" t="s">
        <v>4792</v>
      </c>
      <c r="P343">
        <v>3462</v>
      </c>
      <c r="Q343">
        <v>2</v>
      </c>
      <c r="R343">
        <v>3464</v>
      </c>
    </row>
    <row r="344" spans="1:18" ht="19.899999999999999" customHeight="1">
      <c r="A344" t="str">
        <f t="shared" si="6"/>
        <v>IL24</v>
      </c>
      <c r="B344" t="s">
        <v>5060</v>
      </c>
      <c r="C344" t="s">
        <v>5065</v>
      </c>
      <c r="D344">
        <v>72</v>
      </c>
      <c r="E344" t="s">
        <v>4817</v>
      </c>
      <c r="F344">
        <v>75</v>
      </c>
      <c r="G344" t="s">
        <v>4799</v>
      </c>
      <c r="H344">
        <v>78</v>
      </c>
      <c r="I344" t="s">
        <v>4798</v>
      </c>
      <c r="J344" s="631">
        <v>78</v>
      </c>
      <c r="K344">
        <v>5</v>
      </c>
      <c r="L344" t="s">
        <v>4792</v>
      </c>
      <c r="P344">
        <v>1440</v>
      </c>
      <c r="Q344">
        <v>14</v>
      </c>
      <c r="R344">
        <v>1454</v>
      </c>
    </row>
    <row r="345" spans="1:18" ht="19.899999999999999" customHeight="1">
      <c r="A345" t="str">
        <f t="shared" si="6"/>
        <v>F16)</v>
      </c>
      <c r="B345" t="s">
        <v>5060</v>
      </c>
      <c r="C345" t="s">
        <v>10149</v>
      </c>
      <c r="D345">
        <v>0</v>
      </c>
      <c r="E345" t="s">
        <v>4810</v>
      </c>
      <c r="F345">
        <v>0</v>
      </c>
      <c r="G345" t="s">
        <v>4810</v>
      </c>
      <c r="H345">
        <v>0</v>
      </c>
      <c r="I345" t="s">
        <v>4810</v>
      </c>
      <c r="J345" s="631">
        <v>0</v>
      </c>
      <c r="K345">
        <v>0</v>
      </c>
      <c r="L345" t="s">
        <v>4810</v>
      </c>
      <c r="P345">
        <v>1476</v>
      </c>
      <c r="Q345">
        <v>1</v>
      </c>
      <c r="R345">
        <v>1477</v>
      </c>
    </row>
    <row r="346" spans="1:18" ht="19.899999999999999" customHeight="1">
      <c r="A346" t="str">
        <f t="shared" si="6"/>
        <v>IL#2MTR</v>
      </c>
      <c r="B346" t="s">
        <v>5060</v>
      </c>
      <c r="C346" t="s">
        <v>4803</v>
      </c>
      <c r="D346">
        <v>577</v>
      </c>
      <c r="E346" t="s">
        <v>4808</v>
      </c>
      <c r="F346">
        <v>569</v>
      </c>
      <c r="G346" t="s">
        <v>4808</v>
      </c>
      <c r="H346">
        <v>523</v>
      </c>
      <c r="I346" t="s">
        <v>4808</v>
      </c>
      <c r="J346" s="631">
        <v>577</v>
      </c>
      <c r="K346" t="s">
        <v>4793</v>
      </c>
      <c r="L346" t="s">
        <v>4793</v>
      </c>
      <c r="P346">
        <v>1825</v>
      </c>
      <c r="Q346">
        <v>3</v>
      </c>
      <c r="R346">
        <v>1828</v>
      </c>
    </row>
    <row r="347" spans="1:18" ht="19.899999999999999" customHeight="1">
      <c r="A347" t="str">
        <f t="shared" si="6"/>
        <v>IL32</v>
      </c>
      <c r="B347" t="s">
        <v>5060</v>
      </c>
      <c r="C347" t="s">
        <v>5066</v>
      </c>
      <c r="D347">
        <v>196</v>
      </c>
      <c r="E347" t="s">
        <v>4805</v>
      </c>
      <c r="F347">
        <v>190</v>
      </c>
      <c r="G347" t="s">
        <v>4812</v>
      </c>
      <c r="H347">
        <v>186</v>
      </c>
      <c r="I347" t="s">
        <v>4808</v>
      </c>
      <c r="J347" s="631">
        <v>196</v>
      </c>
      <c r="K347">
        <v>35</v>
      </c>
      <c r="L347" t="s">
        <v>4792</v>
      </c>
      <c r="P347">
        <v>1315</v>
      </c>
      <c r="Q347" t="s">
        <v>85</v>
      </c>
      <c r="R347">
        <v>1315</v>
      </c>
    </row>
    <row r="348" spans="1:18" ht="19.899999999999999" customHeight="1">
      <c r="A348" t="str">
        <f t="shared" si="6"/>
        <v>IL29</v>
      </c>
      <c r="B348" t="s">
        <v>5060</v>
      </c>
      <c r="C348" t="s">
        <v>5067</v>
      </c>
      <c r="D348">
        <v>75</v>
      </c>
      <c r="E348" t="s">
        <v>4792</v>
      </c>
      <c r="F348">
        <v>64</v>
      </c>
      <c r="G348" t="s">
        <v>4792</v>
      </c>
      <c r="H348">
        <v>33</v>
      </c>
      <c r="I348" t="s">
        <v>4798</v>
      </c>
      <c r="J348" s="631">
        <v>75</v>
      </c>
      <c r="K348">
        <v>63</v>
      </c>
      <c r="L348" t="s">
        <v>4792</v>
      </c>
      <c r="P348">
        <v>3019</v>
      </c>
      <c r="Q348">
        <v>4</v>
      </c>
      <c r="R348">
        <v>3023</v>
      </c>
    </row>
    <row r="349" spans="1:18" ht="19.899999999999999" customHeight="1">
      <c r="A349" t="str">
        <f t="shared" si="6"/>
        <v>IL20</v>
      </c>
      <c r="B349" t="s">
        <v>5060</v>
      </c>
      <c r="C349" t="s">
        <v>5068</v>
      </c>
      <c r="D349">
        <v>113</v>
      </c>
      <c r="E349" t="s">
        <v>4808</v>
      </c>
      <c r="F349">
        <v>113</v>
      </c>
      <c r="G349" t="s">
        <v>4808</v>
      </c>
      <c r="H349">
        <v>115</v>
      </c>
      <c r="I349" t="s">
        <v>4808</v>
      </c>
      <c r="J349" s="631">
        <v>115</v>
      </c>
      <c r="K349">
        <v>0</v>
      </c>
      <c r="L349" t="s">
        <v>4810</v>
      </c>
      <c r="P349">
        <v>367</v>
      </c>
      <c r="Q349">
        <v>7</v>
      </c>
      <c r="R349">
        <v>374</v>
      </c>
    </row>
    <row r="350" spans="1:18" ht="19.899999999999999" customHeight="1">
      <c r="A350" t="str">
        <f t="shared" si="6"/>
        <v>IL25</v>
      </c>
      <c r="B350" t="s">
        <v>5060</v>
      </c>
      <c r="C350" t="s">
        <v>5069</v>
      </c>
      <c r="D350">
        <v>166</v>
      </c>
      <c r="E350" t="s">
        <v>4792</v>
      </c>
      <c r="F350">
        <v>158</v>
      </c>
      <c r="G350" t="s">
        <v>4795</v>
      </c>
      <c r="H350">
        <v>144</v>
      </c>
      <c r="I350" t="s">
        <v>4795</v>
      </c>
      <c r="J350" s="631">
        <v>166</v>
      </c>
      <c r="K350">
        <v>40</v>
      </c>
      <c r="L350" t="s">
        <v>4872</v>
      </c>
      <c r="P350">
        <v>3422</v>
      </c>
      <c r="Q350">
        <v>4</v>
      </c>
      <c r="R350">
        <v>3426</v>
      </c>
    </row>
    <row r="351" spans="1:18" ht="19.899999999999999" customHeight="1">
      <c r="A351" t="str">
        <f t="shared" si="6"/>
        <v>IL26</v>
      </c>
      <c r="B351" t="s">
        <v>5060</v>
      </c>
      <c r="C351" t="s">
        <v>5070</v>
      </c>
      <c r="D351">
        <v>123</v>
      </c>
      <c r="E351" t="s">
        <v>4798</v>
      </c>
      <c r="F351">
        <v>102</v>
      </c>
      <c r="G351" t="s">
        <v>4792</v>
      </c>
      <c r="H351">
        <v>99</v>
      </c>
      <c r="I351" t="s">
        <v>4800</v>
      </c>
      <c r="J351" s="631">
        <v>123</v>
      </c>
      <c r="K351">
        <v>40</v>
      </c>
      <c r="L351" t="s">
        <v>4814</v>
      </c>
      <c r="P351">
        <v>1284</v>
      </c>
      <c r="Q351">
        <v>1</v>
      </c>
      <c r="R351">
        <v>1285</v>
      </c>
    </row>
    <row r="352" spans="1:18" ht="19.899999999999999" customHeight="1">
      <c r="A352" t="str">
        <f t="shared" si="6"/>
        <v>IL#3MTR</v>
      </c>
      <c r="B352" t="s">
        <v>5060</v>
      </c>
      <c r="C352" t="s">
        <v>4811</v>
      </c>
      <c r="D352">
        <v>178</v>
      </c>
      <c r="E352" t="s">
        <v>4792</v>
      </c>
      <c r="F352">
        <v>170</v>
      </c>
      <c r="G352" t="s">
        <v>4792</v>
      </c>
      <c r="H352">
        <v>154</v>
      </c>
      <c r="I352" t="s">
        <v>4802</v>
      </c>
      <c r="J352" s="631">
        <v>178</v>
      </c>
      <c r="K352" t="s">
        <v>4793</v>
      </c>
      <c r="L352" t="s">
        <v>4793</v>
      </c>
      <c r="P352">
        <v>1558</v>
      </c>
      <c r="Q352">
        <v>1</v>
      </c>
      <c r="R352">
        <v>1559</v>
      </c>
    </row>
    <row r="353" spans="1:18" ht="19.899999999999999" customHeight="1">
      <c r="A353" t="str">
        <f t="shared" si="6"/>
        <v>F15)</v>
      </c>
      <c r="B353" t="s">
        <v>5060</v>
      </c>
      <c r="C353" t="s">
        <v>5527</v>
      </c>
      <c r="D353">
        <v>0</v>
      </c>
      <c r="E353" t="s">
        <v>4810</v>
      </c>
      <c r="F353">
        <v>0</v>
      </c>
      <c r="G353" t="s">
        <v>4810</v>
      </c>
      <c r="H353">
        <v>0</v>
      </c>
      <c r="I353" t="s">
        <v>4810</v>
      </c>
      <c r="J353" s="631">
        <v>0</v>
      </c>
      <c r="K353">
        <v>0</v>
      </c>
      <c r="L353" t="s">
        <v>4810</v>
      </c>
      <c r="P353" t="s">
        <v>85</v>
      </c>
      <c r="Q353" t="s">
        <v>85</v>
      </c>
      <c r="R353">
        <v>0</v>
      </c>
    </row>
    <row r="354" spans="1:18" ht="19.899999999999999" customHeight="1">
      <c r="A354" t="str">
        <f t="shared" si="6"/>
        <v>F14)</v>
      </c>
      <c r="B354" t="s">
        <v>5060</v>
      </c>
      <c r="C354" t="s">
        <v>5071</v>
      </c>
      <c r="D354">
        <v>0</v>
      </c>
      <c r="E354" t="s">
        <v>4810</v>
      </c>
      <c r="F354">
        <v>0</v>
      </c>
      <c r="G354" t="s">
        <v>4810</v>
      </c>
      <c r="H354">
        <v>0</v>
      </c>
      <c r="I354" t="s">
        <v>4810</v>
      </c>
      <c r="J354" s="631">
        <v>0</v>
      </c>
      <c r="K354">
        <v>0</v>
      </c>
      <c r="L354" t="s">
        <v>4810</v>
      </c>
      <c r="P354">
        <v>70</v>
      </c>
      <c r="Q354">
        <v>1</v>
      </c>
      <c r="R354">
        <v>71</v>
      </c>
    </row>
    <row r="355" spans="1:18" ht="19.899999999999999" customHeight="1">
      <c r="A355" t="str">
        <f t="shared" si="6"/>
        <v>IL30</v>
      </c>
      <c r="B355" t="s">
        <v>5060</v>
      </c>
      <c r="C355" t="s">
        <v>5072</v>
      </c>
      <c r="D355">
        <v>60</v>
      </c>
      <c r="E355" t="s">
        <v>4792</v>
      </c>
      <c r="F355">
        <v>48</v>
      </c>
      <c r="G355" t="s">
        <v>4795</v>
      </c>
      <c r="H355">
        <v>51</v>
      </c>
      <c r="I355" t="s">
        <v>4795</v>
      </c>
      <c r="J355" s="631">
        <v>60</v>
      </c>
      <c r="K355">
        <v>24</v>
      </c>
      <c r="L355" t="s">
        <v>4792</v>
      </c>
      <c r="P355">
        <v>380</v>
      </c>
      <c r="Q355" t="s">
        <v>85</v>
      </c>
      <c r="R355">
        <v>380</v>
      </c>
    </row>
    <row r="356" spans="1:18" ht="19.899999999999999" customHeight="1">
      <c r="A356" t="str">
        <f t="shared" si="6"/>
        <v>IL28</v>
      </c>
      <c r="B356" t="s">
        <v>5060</v>
      </c>
      <c r="C356" t="s">
        <v>5073</v>
      </c>
      <c r="D356">
        <v>0</v>
      </c>
      <c r="E356" t="s">
        <v>4810</v>
      </c>
      <c r="F356">
        <v>0</v>
      </c>
      <c r="G356" t="s">
        <v>4810</v>
      </c>
      <c r="H356">
        <v>0</v>
      </c>
      <c r="I356" t="s">
        <v>4810</v>
      </c>
      <c r="J356" s="631">
        <v>0</v>
      </c>
      <c r="K356">
        <v>0</v>
      </c>
      <c r="L356" t="s">
        <v>4810</v>
      </c>
      <c r="P356">
        <v>2209</v>
      </c>
      <c r="Q356">
        <v>1</v>
      </c>
      <c r="R356">
        <v>2210</v>
      </c>
    </row>
    <row r="357" spans="1:18" ht="19.899999999999999" customHeight="1">
      <c r="A357" t="str">
        <f t="shared" si="6"/>
        <v>IL31</v>
      </c>
      <c r="B357" t="s">
        <v>5060</v>
      </c>
      <c r="C357" t="s">
        <v>5074</v>
      </c>
      <c r="D357">
        <v>119</v>
      </c>
      <c r="E357" t="s">
        <v>4792</v>
      </c>
      <c r="F357">
        <v>129</v>
      </c>
      <c r="G357" t="s">
        <v>4792</v>
      </c>
      <c r="H357">
        <v>106</v>
      </c>
      <c r="I357" t="s">
        <v>4802</v>
      </c>
      <c r="J357" s="631">
        <v>129</v>
      </c>
      <c r="K357">
        <v>50</v>
      </c>
      <c r="L357" t="s">
        <v>4792</v>
      </c>
      <c r="P357">
        <v>4831</v>
      </c>
      <c r="Q357">
        <v>2</v>
      </c>
      <c r="R357">
        <v>4833</v>
      </c>
    </row>
    <row r="358" spans="1:18" ht="19.899999999999999" customHeight="1">
      <c r="A358" t="str">
        <f t="shared" si="6"/>
        <v>9J#1MTR</v>
      </c>
      <c r="B358" t="s">
        <v>5075</v>
      </c>
      <c r="C358" t="s">
        <v>4791</v>
      </c>
      <c r="D358">
        <v>442</v>
      </c>
      <c r="E358" t="s">
        <v>4805</v>
      </c>
      <c r="F358">
        <v>416</v>
      </c>
      <c r="G358" t="s">
        <v>4801</v>
      </c>
      <c r="H358">
        <v>450</v>
      </c>
      <c r="I358" t="s">
        <v>4805</v>
      </c>
      <c r="J358" s="631">
        <v>450</v>
      </c>
      <c r="K358" t="s">
        <v>4793</v>
      </c>
      <c r="L358" t="s">
        <v>4793</v>
      </c>
      <c r="P358">
        <v>3124</v>
      </c>
      <c r="Q358">
        <v>2</v>
      </c>
      <c r="R358">
        <v>3126</v>
      </c>
    </row>
    <row r="359" spans="1:18" ht="19.899999999999999" customHeight="1">
      <c r="A359" t="str">
        <f t="shared" si="6"/>
        <v>9J11</v>
      </c>
      <c r="B359" t="s">
        <v>5075</v>
      </c>
      <c r="C359" t="s">
        <v>5076</v>
      </c>
      <c r="D359">
        <v>69</v>
      </c>
      <c r="E359" t="s">
        <v>4805</v>
      </c>
      <c r="F359">
        <v>38</v>
      </c>
      <c r="G359" t="s">
        <v>4805</v>
      </c>
      <c r="H359">
        <v>61</v>
      </c>
      <c r="I359" t="s">
        <v>4805</v>
      </c>
      <c r="J359" s="631">
        <v>69</v>
      </c>
      <c r="K359">
        <v>54</v>
      </c>
      <c r="L359" t="s">
        <v>4799</v>
      </c>
      <c r="P359">
        <v>2466</v>
      </c>
      <c r="Q359" t="s">
        <v>85</v>
      </c>
      <c r="R359">
        <v>2466</v>
      </c>
    </row>
    <row r="360" spans="1:18" ht="19.899999999999999" customHeight="1">
      <c r="A360" t="str">
        <f t="shared" si="6"/>
        <v>9J12</v>
      </c>
      <c r="B360" t="s">
        <v>5075</v>
      </c>
      <c r="C360" t="s">
        <v>5077</v>
      </c>
      <c r="D360">
        <v>218</v>
      </c>
      <c r="E360" t="s">
        <v>4805</v>
      </c>
      <c r="F360">
        <v>242</v>
      </c>
      <c r="G360" t="s">
        <v>4805</v>
      </c>
      <c r="H360">
        <v>218</v>
      </c>
      <c r="I360" t="s">
        <v>4808</v>
      </c>
      <c r="J360" s="631">
        <v>242</v>
      </c>
      <c r="K360">
        <v>76</v>
      </c>
      <c r="L360" t="s">
        <v>4801</v>
      </c>
      <c r="P360" t="s">
        <v>85</v>
      </c>
      <c r="Q360" t="s">
        <v>85</v>
      </c>
      <c r="R360">
        <v>0</v>
      </c>
    </row>
    <row r="361" spans="1:18" ht="19.899999999999999" customHeight="1">
      <c r="A361" t="str">
        <f t="shared" si="6"/>
        <v>9J13</v>
      </c>
      <c r="B361" t="s">
        <v>5075</v>
      </c>
      <c r="C361" t="s">
        <v>5078</v>
      </c>
      <c r="D361">
        <v>57</v>
      </c>
      <c r="E361" t="s">
        <v>4808</v>
      </c>
      <c r="F361">
        <v>63</v>
      </c>
      <c r="G361" t="s">
        <v>4792</v>
      </c>
      <c r="H361">
        <v>83</v>
      </c>
      <c r="I361" t="s">
        <v>4795</v>
      </c>
      <c r="J361" s="631">
        <v>83</v>
      </c>
      <c r="K361">
        <v>34</v>
      </c>
      <c r="L361" t="s">
        <v>4795</v>
      </c>
      <c r="P361" t="s">
        <v>85</v>
      </c>
      <c r="Q361">
        <v>1</v>
      </c>
      <c r="R361">
        <v>1</v>
      </c>
    </row>
    <row r="362" spans="1:18" ht="19.899999999999999" customHeight="1">
      <c r="A362" t="str">
        <f t="shared" si="6"/>
        <v>9J14</v>
      </c>
      <c r="B362" t="s">
        <v>5075</v>
      </c>
      <c r="C362" t="s">
        <v>5079</v>
      </c>
      <c r="D362">
        <v>67</v>
      </c>
      <c r="E362" t="s">
        <v>4802</v>
      </c>
      <c r="F362">
        <v>59</v>
      </c>
      <c r="G362" t="s">
        <v>4805</v>
      </c>
      <c r="H362">
        <v>71</v>
      </c>
      <c r="I362" t="s">
        <v>4805</v>
      </c>
      <c r="J362" s="631">
        <v>71</v>
      </c>
      <c r="K362">
        <v>23</v>
      </c>
      <c r="L362" t="s">
        <v>4810</v>
      </c>
      <c r="P362" t="s">
        <v>85</v>
      </c>
      <c r="Q362" t="s">
        <v>85</v>
      </c>
      <c r="R362">
        <v>0</v>
      </c>
    </row>
    <row r="363" spans="1:18" ht="19.899999999999999" customHeight="1">
      <c r="A363" t="str">
        <f t="shared" si="6"/>
        <v>9J15</v>
      </c>
      <c r="B363" t="s">
        <v>5075</v>
      </c>
      <c r="C363" t="s">
        <v>5080</v>
      </c>
      <c r="D363">
        <v>72</v>
      </c>
      <c r="E363" t="s">
        <v>4800</v>
      </c>
      <c r="F363">
        <v>56</v>
      </c>
      <c r="G363" t="s">
        <v>4814</v>
      </c>
      <c r="H363">
        <v>68</v>
      </c>
      <c r="I363" t="s">
        <v>4814</v>
      </c>
      <c r="J363" s="631">
        <v>72</v>
      </c>
      <c r="K363">
        <v>36</v>
      </c>
      <c r="L363" t="s">
        <v>4795</v>
      </c>
      <c r="P363" t="s">
        <v>85</v>
      </c>
      <c r="Q363" t="s">
        <v>85</v>
      </c>
      <c r="R363">
        <v>0</v>
      </c>
    </row>
    <row r="364" spans="1:18" ht="19.899999999999999" customHeight="1">
      <c r="A364" t="str">
        <f t="shared" si="6"/>
        <v>9J#2MTR</v>
      </c>
      <c r="B364" t="s">
        <v>5075</v>
      </c>
      <c r="C364" t="s">
        <v>4803</v>
      </c>
      <c r="D364">
        <v>451</v>
      </c>
      <c r="E364" t="s">
        <v>4792</v>
      </c>
      <c r="F364">
        <v>408</v>
      </c>
      <c r="G364" t="s">
        <v>4805</v>
      </c>
      <c r="H364">
        <v>467</v>
      </c>
      <c r="I364" t="s">
        <v>4792</v>
      </c>
      <c r="J364" s="631">
        <v>467</v>
      </c>
      <c r="K364" t="s">
        <v>4793</v>
      </c>
      <c r="L364" t="s">
        <v>4793</v>
      </c>
      <c r="P364" t="s">
        <v>85</v>
      </c>
      <c r="Q364" t="s">
        <v>85</v>
      </c>
      <c r="R364">
        <v>0</v>
      </c>
    </row>
    <row r="365" spans="1:18" ht="19.899999999999999" customHeight="1">
      <c r="A365" t="str">
        <f t="shared" si="6"/>
        <v>9J21</v>
      </c>
      <c r="B365" t="s">
        <v>5075</v>
      </c>
      <c r="C365" t="s">
        <v>5081</v>
      </c>
      <c r="D365">
        <v>119</v>
      </c>
      <c r="E365" t="s">
        <v>4792</v>
      </c>
      <c r="F365">
        <v>100</v>
      </c>
      <c r="G365" t="s">
        <v>4800</v>
      </c>
      <c r="H365">
        <v>148</v>
      </c>
      <c r="I365" t="s">
        <v>4792</v>
      </c>
      <c r="J365" s="631">
        <v>148</v>
      </c>
      <c r="K365">
        <v>71</v>
      </c>
      <c r="L365" t="s">
        <v>4812</v>
      </c>
      <c r="P365" t="s">
        <v>85</v>
      </c>
      <c r="Q365" t="s">
        <v>85</v>
      </c>
      <c r="R365">
        <v>0</v>
      </c>
    </row>
    <row r="366" spans="1:18" ht="19.899999999999999" customHeight="1">
      <c r="A366" t="str">
        <f t="shared" si="6"/>
        <v>9J24</v>
      </c>
      <c r="B366" t="s">
        <v>5075</v>
      </c>
      <c r="C366" t="s">
        <v>5082</v>
      </c>
      <c r="D366">
        <v>118</v>
      </c>
      <c r="E366" t="s">
        <v>4805</v>
      </c>
      <c r="F366">
        <v>112</v>
      </c>
      <c r="G366" t="s">
        <v>4805</v>
      </c>
      <c r="H366">
        <v>122</v>
      </c>
      <c r="I366" t="s">
        <v>4805</v>
      </c>
      <c r="J366" s="631">
        <v>122</v>
      </c>
      <c r="K366">
        <v>22</v>
      </c>
      <c r="L366" t="s">
        <v>4805</v>
      </c>
      <c r="P366" t="s">
        <v>85</v>
      </c>
      <c r="Q366" t="s">
        <v>85</v>
      </c>
      <c r="R366">
        <v>0</v>
      </c>
    </row>
    <row r="367" spans="1:18" ht="19.899999999999999" customHeight="1">
      <c r="A367" t="str">
        <f t="shared" si="6"/>
        <v>9J25</v>
      </c>
      <c r="B367" t="s">
        <v>5075</v>
      </c>
      <c r="C367" t="s">
        <v>5083</v>
      </c>
      <c r="D367">
        <v>24</v>
      </c>
      <c r="E367" t="s">
        <v>4808</v>
      </c>
      <c r="F367">
        <v>14</v>
      </c>
      <c r="G367" t="s">
        <v>4808</v>
      </c>
      <c r="H367">
        <v>24</v>
      </c>
      <c r="I367" t="s">
        <v>4808</v>
      </c>
      <c r="J367" s="631">
        <v>24</v>
      </c>
      <c r="K367">
        <v>18</v>
      </c>
      <c r="L367" t="s">
        <v>4808</v>
      </c>
      <c r="P367" t="s">
        <v>85</v>
      </c>
      <c r="Q367" t="s">
        <v>85</v>
      </c>
      <c r="R367">
        <v>0</v>
      </c>
    </row>
    <row r="368" spans="1:18" ht="19.899999999999999" customHeight="1">
      <c r="A368" t="str">
        <f t="shared" si="6"/>
        <v>9J22</v>
      </c>
      <c r="B368" t="s">
        <v>5075</v>
      </c>
      <c r="C368" t="s">
        <v>5084</v>
      </c>
      <c r="D368">
        <v>199</v>
      </c>
      <c r="E368" t="s">
        <v>4792</v>
      </c>
      <c r="F368">
        <v>187</v>
      </c>
      <c r="G368" t="s">
        <v>4792</v>
      </c>
      <c r="H368">
        <v>199</v>
      </c>
      <c r="I368" t="s">
        <v>4792</v>
      </c>
      <c r="J368" s="631">
        <v>199</v>
      </c>
      <c r="K368">
        <v>44</v>
      </c>
      <c r="L368" t="s">
        <v>4814</v>
      </c>
      <c r="P368" t="s">
        <v>85</v>
      </c>
      <c r="Q368" t="s">
        <v>85</v>
      </c>
      <c r="R368">
        <v>0</v>
      </c>
    </row>
    <row r="369" spans="1:18" ht="19.899999999999999" customHeight="1">
      <c r="A369" t="str">
        <f t="shared" si="6"/>
        <v>9J23</v>
      </c>
      <c r="B369" t="s">
        <v>5075</v>
      </c>
      <c r="C369" t="s">
        <v>5085</v>
      </c>
      <c r="D369">
        <v>61</v>
      </c>
      <c r="E369" t="s">
        <v>4792</v>
      </c>
      <c r="F369">
        <v>48</v>
      </c>
      <c r="G369" t="s">
        <v>4792</v>
      </c>
      <c r="H369">
        <v>40</v>
      </c>
      <c r="I369" t="s">
        <v>4808</v>
      </c>
      <c r="J369" s="631">
        <v>61</v>
      </c>
      <c r="K369">
        <v>31</v>
      </c>
      <c r="L369" t="s">
        <v>4798</v>
      </c>
      <c r="P369" t="s">
        <v>85</v>
      </c>
      <c r="Q369" t="s">
        <v>85</v>
      </c>
      <c r="R369">
        <v>0</v>
      </c>
    </row>
    <row r="370" spans="1:18" ht="19.899999999999999" customHeight="1">
      <c r="A370" t="str">
        <f t="shared" si="6"/>
        <v>9J#3MTR</v>
      </c>
      <c r="B370" t="s">
        <v>5075</v>
      </c>
      <c r="C370" t="s">
        <v>4811</v>
      </c>
      <c r="D370">
        <v>405</v>
      </c>
      <c r="E370" t="s">
        <v>4809</v>
      </c>
      <c r="F370">
        <v>428</v>
      </c>
      <c r="G370" t="s">
        <v>4814</v>
      </c>
      <c r="H370">
        <v>387</v>
      </c>
      <c r="I370" t="s">
        <v>4809</v>
      </c>
      <c r="J370" s="631">
        <v>428</v>
      </c>
      <c r="K370" t="s">
        <v>4793</v>
      </c>
      <c r="L370" t="s">
        <v>4793</v>
      </c>
      <c r="P370" t="s">
        <v>85</v>
      </c>
      <c r="Q370" t="s">
        <v>85</v>
      </c>
      <c r="R370">
        <v>0</v>
      </c>
    </row>
    <row r="371" spans="1:18" ht="19.899999999999999" customHeight="1">
      <c r="A371" t="str">
        <f t="shared" si="6"/>
        <v>9J31</v>
      </c>
      <c r="B371" t="s">
        <v>5075</v>
      </c>
      <c r="C371" t="s">
        <v>5086</v>
      </c>
      <c r="D371">
        <v>60</v>
      </c>
      <c r="E371" t="s">
        <v>4808</v>
      </c>
      <c r="F371">
        <v>65</v>
      </c>
      <c r="G371" t="s">
        <v>4805</v>
      </c>
      <c r="H371">
        <v>59</v>
      </c>
      <c r="I371" t="s">
        <v>4808</v>
      </c>
      <c r="J371" s="631">
        <v>65</v>
      </c>
      <c r="K371">
        <v>28</v>
      </c>
      <c r="L371" t="s">
        <v>4807</v>
      </c>
      <c r="P371">
        <v>363</v>
      </c>
      <c r="Q371">
        <v>16</v>
      </c>
      <c r="R371">
        <v>379</v>
      </c>
    </row>
    <row r="372" spans="1:18" ht="19.899999999999999" customHeight="1">
      <c r="A372" t="str">
        <f t="shared" si="6"/>
        <v>9J32</v>
      </c>
      <c r="B372" t="s">
        <v>5075</v>
      </c>
      <c r="C372" t="s">
        <v>5087</v>
      </c>
      <c r="D372">
        <v>5</v>
      </c>
      <c r="E372" t="s">
        <v>4798</v>
      </c>
      <c r="F372">
        <v>20</v>
      </c>
      <c r="G372" t="s">
        <v>4805</v>
      </c>
      <c r="H372">
        <v>19</v>
      </c>
      <c r="I372" t="s">
        <v>4805</v>
      </c>
      <c r="J372" s="631">
        <v>20</v>
      </c>
      <c r="K372">
        <v>31</v>
      </c>
      <c r="L372" t="s">
        <v>4812</v>
      </c>
      <c r="P372">
        <v>940</v>
      </c>
      <c r="Q372">
        <v>12</v>
      </c>
      <c r="R372">
        <v>952</v>
      </c>
    </row>
    <row r="373" spans="1:18" ht="19.899999999999999" customHeight="1">
      <c r="A373" t="str">
        <f t="shared" si="6"/>
        <v>9J33</v>
      </c>
      <c r="B373" t="s">
        <v>5075</v>
      </c>
      <c r="C373" t="s">
        <v>5088</v>
      </c>
      <c r="D373">
        <v>88</v>
      </c>
      <c r="E373" t="s">
        <v>4808</v>
      </c>
      <c r="F373">
        <v>110</v>
      </c>
      <c r="G373" t="s">
        <v>4814</v>
      </c>
      <c r="H373">
        <v>83</v>
      </c>
      <c r="I373" t="s">
        <v>4814</v>
      </c>
      <c r="J373" s="631">
        <v>110</v>
      </c>
      <c r="K373">
        <v>57</v>
      </c>
      <c r="L373" t="s">
        <v>4805</v>
      </c>
      <c r="P373">
        <v>4453</v>
      </c>
      <c r="Q373">
        <v>4</v>
      </c>
      <c r="R373">
        <v>4457</v>
      </c>
    </row>
    <row r="374" spans="1:18" ht="19.899999999999999" customHeight="1">
      <c r="A374" t="str">
        <f t="shared" si="6"/>
        <v>9J34</v>
      </c>
      <c r="B374" t="s">
        <v>5075</v>
      </c>
      <c r="C374" t="s">
        <v>5089</v>
      </c>
      <c r="D374">
        <v>113</v>
      </c>
      <c r="E374" t="s">
        <v>4809</v>
      </c>
      <c r="F374">
        <v>106</v>
      </c>
      <c r="G374" t="s">
        <v>4918</v>
      </c>
      <c r="H374">
        <v>123</v>
      </c>
      <c r="I374" t="s">
        <v>4809</v>
      </c>
      <c r="J374" s="631">
        <v>123</v>
      </c>
      <c r="K374">
        <v>35</v>
      </c>
      <c r="L374" t="s">
        <v>4801</v>
      </c>
      <c r="P374">
        <v>2226</v>
      </c>
      <c r="Q374">
        <v>3</v>
      </c>
      <c r="R374">
        <v>2229</v>
      </c>
    </row>
    <row r="375" spans="1:18" ht="19.899999999999999" customHeight="1">
      <c r="A375" t="str">
        <f t="shared" si="6"/>
        <v>9J35</v>
      </c>
      <c r="B375" t="s">
        <v>5075</v>
      </c>
      <c r="C375" t="s">
        <v>5090</v>
      </c>
      <c r="D375">
        <v>171</v>
      </c>
      <c r="E375" t="s">
        <v>4795</v>
      </c>
      <c r="F375">
        <v>172</v>
      </c>
      <c r="G375" t="s">
        <v>4812</v>
      </c>
      <c r="H375">
        <v>146</v>
      </c>
      <c r="I375" t="s">
        <v>4809</v>
      </c>
      <c r="J375" s="631">
        <v>172</v>
      </c>
      <c r="K375">
        <v>45</v>
      </c>
      <c r="L375" t="s">
        <v>4812</v>
      </c>
      <c r="P375">
        <v>5152</v>
      </c>
      <c r="Q375">
        <v>9</v>
      </c>
      <c r="R375">
        <v>5161</v>
      </c>
    </row>
    <row r="376" spans="1:18" ht="19.899999999999999" customHeight="1">
      <c r="A376" t="str">
        <f t="shared" si="6"/>
        <v>9H#2DTR(A)</v>
      </c>
      <c r="B376" t="s">
        <v>5091</v>
      </c>
      <c r="C376" t="s">
        <v>4870</v>
      </c>
      <c r="D376">
        <v>515</v>
      </c>
      <c r="E376" t="s">
        <v>4808</v>
      </c>
      <c r="F376">
        <v>479</v>
      </c>
      <c r="G376" t="s">
        <v>4808</v>
      </c>
      <c r="H376">
        <v>489</v>
      </c>
      <c r="I376" t="s">
        <v>4808</v>
      </c>
      <c r="J376" s="631">
        <v>515</v>
      </c>
      <c r="K376" t="s">
        <v>4793</v>
      </c>
      <c r="L376" t="s">
        <v>4793</v>
      </c>
      <c r="P376">
        <v>346</v>
      </c>
      <c r="Q376">
        <v>20</v>
      </c>
      <c r="R376">
        <v>366</v>
      </c>
    </row>
    <row r="377" spans="1:18" ht="19.899999999999999" customHeight="1">
      <c r="A377" t="str">
        <f t="shared" si="6"/>
        <v>9H20</v>
      </c>
      <c r="B377" t="s">
        <v>5091</v>
      </c>
      <c r="C377" t="s">
        <v>5092</v>
      </c>
      <c r="D377">
        <v>0</v>
      </c>
      <c r="E377" t="s">
        <v>4810</v>
      </c>
      <c r="F377">
        <v>0</v>
      </c>
      <c r="G377" t="s">
        <v>4810</v>
      </c>
      <c r="H377">
        <v>0</v>
      </c>
      <c r="I377" t="s">
        <v>4810</v>
      </c>
      <c r="J377" s="631">
        <v>0</v>
      </c>
      <c r="K377">
        <v>0</v>
      </c>
      <c r="L377" t="s">
        <v>4810</v>
      </c>
      <c r="P377">
        <v>995</v>
      </c>
      <c r="Q377" t="s">
        <v>85</v>
      </c>
      <c r="R377">
        <v>995</v>
      </c>
    </row>
    <row r="378" spans="1:18" ht="19.899999999999999" customHeight="1">
      <c r="A378" t="str">
        <f t="shared" si="6"/>
        <v>9H21</v>
      </c>
      <c r="B378" t="s">
        <v>5091</v>
      </c>
      <c r="C378" t="s">
        <v>5093</v>
      </c>
      <c r="D378">
        <v>85</v>
      </c>
      <c r="E378" t="s">
        <v>4795</v>
      </c>
      <c r="F378">
        <v>83</v>
      </c>
      <c r="G378" t="s">
        <v>4808</v>
      </c>
      <c r="H378">
        <v>79</v>
      </c>
      <c r="I378" t="s">
        <v>4805</v>
      </c>
      <c r="J378" s="631">
        <v>85</v>
      </c>
      <c r="K378">
        <v>22</v>
      </c>
      <c r="L378" t="s">
        <v>4795</v>
      </c>
      <c r="P378">
        <v>2248</v>
      </c>
      <c r="Q378">
        <v>6</v>
      </c>
      <c r="R378">
        <v>2254</v>
      </c>
    </row>
    <row r="379" spans="1:18" ht="19.899999999999999" customHeight="1">
      <c r="A379" t="str">
        <f t="shared" si="6"/>
        <v>9H22</v>
      </c>
      <c r="B379" t="s">
        <v>5091</v>
      </c>
      <c r="C379" t="s">
        <v>5094</v>
      </c>
      <c r="D379">
        <v>98</v>
      </c>
      <c r="E379" t="s">
        <v>4792</v>
      </c>
      <c r="F379">
        <v>79</v>
      </c>
      <c r="G379" t="s">
        <v>4792</v>
      </c>
      <c r="H379">
        <v>88</v>
      </c>
      <c r="I379" t="s">
        <v>4802</v>
      </c>
      <c r="J379" s="631">
        <v>98</v>
      </c>
      <c r="K379">
        <v>49</v>
      </c>
      <c r="L379" t="s">
        <v>4809</v>
      </c>
      <c r="P379">
        <v>910</v>
      </c>
      <c r="Q379">
        <v>20</v>
      </c>
      <c r="R379">
        <v>930</v>
      </c>
    </row>
    <row r="380" spans="1:18" ht="19.899999999999999" customHeight="1">
      <c r="A380" t="str">
        <f t="shared" si="6"/>
        <v>9H23</v>
      </c>
      <c r="B380" t="s">
        <v>5091</v>
      </c>
      <c r="C380" t="s">
        <v>5095</v>
      </c>
      <c r="D380">
        <v>8</v>
      </c>
      <c r="E380" t="s">
        <v>4802</v>
      </c>
      <c r="F380">
        <v>10</v>
      </c>
      <c r="G380" t="s">
        <v>4802</v>
      </c>
      <c r="H380">
        <v>6</v>
      </c>
      <c r="I380" t="s">
        <v>4795</v>
      </c>
      <c r="J380" s="631">
        <v>10</v>
      </c>
      <c r="K380">
        <v>10</v>
      </c>
      <c r="L380" t="s">
        <v>4802</v>
      </c>
      <c r="P380">
        <v>92</v>
      </c>
      <c r="Q380">
        <v>4</v>
      </c>
      <c r="R380">
        <v>96</v>
      </c>
    </row>
    <row r="381" spans="1:18" ht="19.899999999999999" customHeight="1">
      <c r="A381" t="str">
        <f t="shared" si="6"/>
        <v>9H24</v>
      </c>
      <c r="B381" t="s">
        <v>5091</v>
      </c>
      <c r="C381" t="s">
        <v>5096</v>
      </c>
      <c r="D381">
        <v>112</v>
      </c>
      <c r="E381" t="s">
        <v>4926</v>
      </c>
      <c r="F381">
        <v>117</v>
      </c>
      <c r="G381" t="s">
        <v>4926</v>
      </c>
      <c r="H381">
        <v>118</v>
      </c>
      <c r="I381" t="s">
        <v>4926</v>
      </c>
      <c r="J381" s="631">
        <v>118</v>
      </c>
      <c r="K381">
        <v>11</v>
      </c>
      <c r="L381" t="s">
        <v>4809</v>
      </c>
      <c r="P381">
        <v>1930</v>
      </c>
      <c r="Q381">
        <v>4</v>
      </c>
      <c r="R381">
        <v>1934</v>
      </c>
    </row>
    <row r="382" spans="1:18" ht="19.899999999999999" customHeight="1">
      <c r="A382" t="str">
        <f t="shared" si="6"/>
        <v>9H25</v>
      </c>
      <c r="B382" t="s">
        <v>5091</v>
      </c>
      <c r="C382" t="s">
        <v>5097</v>
      </c>
      <c r="D382">
        <v>232</v>
      </c>
      <c r="E382" t="s">
        <v>4800</v>
      </c>
      <c r="F382">
        <v>220</v>
      </c>
      <c r="G382" t="s">
        <v>4853</v>
      </c>
      <c r="H382">
        <v>228</v>
      </c>
      <c r="I382" t="s">
        <v>4853</v>
      </c>
      <c r="J382" s="631">
        <v>232</v>
      </c>
      <c r="K382">
        <v>27</v>
      </c>
      <c r="L382" t="s">
        <v>4808</v>
      </c>
      <c r="P382">
        <v>587</v>
      </c>
      <c r="Q382">
        <v>1</v>
      </c>
      <c r="R382">
        <v>588</v>
      </c>
    </row>
    <row r="383" spans="1:18" ht="19.899999999999999" customHeight="1">
      <c r="A383" t="str">
        <f t="shared" si="6"/>
        <v>9H#2DTR(B)</v>
      </c>
      <c r="B383" t="s">
        <v>5091</v>
      </c>
      <c r="C383" t="s">
        <v>4877</v>
      </c>
      <c r="D383">
        <v>393</v>
      </c>
      <c r="E383" t="s">
        <v>4795</v>
      </c>
      <c r="F383">
        <v>365</v>
      </c>
      <c r="G383" t="s">
        <v>4805</v>
      </c>
      <c r="H383">
        <v>410</v>
      </c>
      <c r="I383" t="s">
        <v>4802</v>
      </c>
      <c r="J383" s="631">
        <v>410</v>
      </c>
      <c r="K383" t="s">
        <v>4793</v>
      </c>
      <c r="L383" t="s">
        <v>4793</v>
      </c>
      <c r="P383">
        <v>1271</v>
      </c>
      <c r="Q383">
        <v>7</v>
      </c>
      <c r="R383">
        <v>1278</v>
      </c>
    </row>
    <row r="384" spans="1:18" ht="19.899999999999999" customHeight="1">
      <c r="A384" t="str">
        <f t="shared" si="6"/>
        <v>9H26</v>
      </c>
      <c r="B384" t="s">
        <v>5091</v>
      </c>
      <c r="C384" t="s">
        <v>5098</v>
      </c>
      <c r="D384">
        <v>94</v>
      </c>
      <c r="E384" t="s">
        <v>4795</v>
      </c>
      <c r="F384">
        <v>82</v>
      </c>
      <c r="G384" t="s">
        <v>4805</v>
      </c>
      <c r="H384">
        <v>103</v>
      </c>
      <c r="I384" t="s">
        <v>4802</v>
      </c>
      <c r="J384" s="631">
        <v>103</v>
      </c>
      <c r="K384">
        <v>33</v>
      </c>
      <c r="L384" t="s">
        <v>4800</v>
      </c>
      <c r="P384">
        <v>3312</v>
      </c>
      <c r="Q384" t="s">
        <v>85</v>
      </c>
      <c r="R384">
        <v>3312</v>
      </c>
    </row>
    <row r="385" spans="1:18" ht="19.899999999999999" customHeight="1">
      <c r="A385" t="str">
        <f t="shared" si="6"/>
        <v>9H27</v>
      </c>
      <c r="B385" t="s">
        <v>5091</v>
      </c>
      <c r="C385" t="s">
        <v>5099</v>
      </c>
      <c r="D385">
        <v>73</v>
      </c>
      <c r="E385" t="s">
        <v>4805</v>
      </c>
      <c r="F385">
        <v>68</v>
      </c>
      <c r="G385" t="s">
        <v>4805</v>
      </c>
      <c r="H385">
        <v>70</v>
      </c>
      <c r="I385" t="s">
        <v>4812</v>
      </c>
      <c r="J385" s="631">
        <v>73</v>
      </c>
      <c r="K385">
        <v>20</v>
      </c>
      <c r="L385" t="s">
        <v>4795</v>
      </c>
      <c r="P385">
        <v>491</v>
      </c>
      <c r="Q385">
        <v>1</v>
      </c>
      <c r="R385">
        <v>492</v>
      </c>
    </row>
    <row r="386" spans="1:18" ht="19.899999999999999" customHeight="1">
      <c r="A386" t="str">
        <f t="shared" si="6"/>
        <v>9H28</v>
      </c>
      <c r="B386" t="s">
        <v>5091</v>
      </c>
      <c r="C386" t="s">
        <v>5100</v>
      </c>
      <c r="D386">
        <v>90</v>
      </c>
      <c r="E386" t="s">
        <v>4814</v>
      </c>
      <c r="F386">
        <v>99</v>
      </c>
      <c r="G386" t="s">
        <v>4796</v>
      </c>
      <c r="H386">
        <v>113</v>
      </c>
      <c r="I386" t="s">
        <v>4805</v>
      </c>
      <c r="J386" s="631">
        <v>113</v>
      </c>
      <c r="K386">
        <v>47</v>
      </c>
      <c r="L386" t="s">
        <v>4805</v>
      </c>
      <c r="P386">
        <v>1650</v>
      </c>
      <c r="Q386">
        <v>1</v>
      </c>
      <c r="R386">
        <v>1651</v>
      </c>
    </row>
    <row r="387" spans="1:18" ht="19.899999999999999" customHeight="1">
      <c r="A387" t="str">
        <f t="shared" si="6"/>
        <v>9H29</v>
      </c>
      <c r="B387" t="s">
        <v>5091</v>
      </c>
      <c r="C387" t="s">
        <v>5101</v>
      </c>
      <c r="D387">
        <v>160</v>
      </c>
      <c r="E387" t="s">
        <v>4795</v>
      </c>
      <c r="F387">
        <v>148</v>
      </c>
      <c r="G387" t="s">
        <v>4802</v>
      </c>
      <c r="H387">
        <v>147</v>
      </c>
      <c r="I387" t="s">
        <v>4802</v>
      </c>
      <c r="J387" s="631">
        <v>160</v>
      </c>
      <c r="K387">
        <v>41</v>
      </c>
      <c r="L387" t="s">
        <v>4812</v>
      </c>
      <c r="P387">
        <v>1895</v>
      </c>
      <c r="Q387">
        <v>4</v>
      </c>
      <c r="R387">
        <v>1899</v>
      </c>
    </row>
    <row r="388" spans="1:18" ht="19.899999999999999" customHeight="1">
      <c r="A388" t="str">
        <f t="shared" si="6"/>
        <v>9H#3DTR(A)</v>
      </c>
      <c r="B388" t="s">
        <v>5091</v>
      </c>
      <c r="C388" t="s">
        <v>4940</v>
      </c>
      <c r="D388">
        <v>472</v>
      </c>
      <c r="E388" t="s">
        <v>4795</v>
      </c>
      <c r="F388">
        <v>435</v>
      </c>
      <c r="G388" t="s">
        <v>4792</v>
      </c>
      <c r="H388">
        <v>499</v>
      </c>
      <c r="I388" t="s">
        <v>4792</v>
      </c>
      <c r="J388" s="631">
        <v>499</v>
      </c>
      <c r="K388" t="s">
        <v>4793</v>
      </c>
      <c r="L388" t="s">
        <v>4793</v>
      </c>
      <c r="P388">
        <v>1585</v>
      </c>
      <c r="Q388">
        <v>3</v>
      </c>
      <c r="R388">
        <v>1588</v>
      </c>
    </row>
    <row r="389" spans="1:18" ht="19.899999999999999" customHeight="1">
      <c r="A389" t="str">
        <f t="shared" si="6"/>
        <v>9H30</v>
      </c>
      <c r="B389" t="s">
        <v>5091</v>
      </c>
      <c r="C389" t="s">
        <v>5102</v>
      </c>
      <c r="D389">
        <v>0</v>
      </c>
      <c r="E389" t="s">
        <v>4810</v>
      </c>
      <c r="F389">
        <v>0</v>
      </c>
      <c r="G389" t="s">
        <v>4810</v>
      </c>
      <c r="H389">
        <v>0</v>
      </c>
      <c r="I389" t="s">
        <v>4810</v>
      </c>
      <c r="J389" s="631">
        <v>0</v>
      </c>
      <c r="K389">
        <v>0</v>
      </c>
      <c r="L389" t="s">
        <v>4810</v>
      </c>
      <c r="P389">
        <v>2470</v>
      </c>
      <c r="Q389">
        <v>3</v>
      </c>
      <c r="R389">
        <v>2473</v>
      </c>
    </row>
    <row r="390" spans="1:18" ht="19.899999999999999" customHeight="1">
      <c r="A390" t="str">
        <f t="shared" si="6"/>
        <v>9H31</v>
      </c>
      <c r="B390" t="s">
        <v>5091</v>
      </c>
      <c r="C390" t="s">
        <v>5103</v>
      </c>
      <c r="D390">
        <v>125</v>
      </c>
      <c r="E390" t="s">
        <v>4795</v>
      </c>
      <c r="F390">
        <v>136</v>
      </c>
      <c r="G390" t="s">
        <v>4795</v>
      </c>
      <c r="H390">
        <v>131</v>
      </c>
      <c r="I390" t="s">
        <v>4795</v>
      </c>
      <c r="J390" s="631">
        <v>136</v>
      </c>
      <c r="K390">
        <v>27</v>
      </c>
      <c r="L390" t="s">
        <v>4814</v>
      </c>
      <c r="P390">
        <v>1933</v>
      </c>
      <c r="Q390">
        <v>5</v>
      </c>
      <c r="R390">
        <v>1938</v>
      </c>
    </row>
    <row r="391" spans="1:18" ht="19.899999999999999" customHeight="1">
      <c r="A391" t="str">
        <f t="shared" si="6"/>
        <v>9H32</v>
      </c>
      <c r="B391" t="s">
        <v>5091</v>
      </c>
      <c r="C391" t="s">
        <v>5104</v>
      </c>
      <c r="D391">
        <v>79</v>
      </c>
      <c r="E391" t="s">
        <v>4810</v>
      </c>
      <c r="F391">
        <v>82</v>
      </c>
      <c r="G391" t="s">
        <v>4810</v>
      </c>
      <c r="H391">
        <v>93</v>
      </c>
      <c r="I391" t="s">
        <v>4810</v>
      </c>
      <c r="J391" s="631">
        <v>93</v>
      </c>
      <c r="K391">
        <v>25</v>
      </c>
      <c r="L391" t="s">
        <v>4872</v>
      </c>
      <c r="P391" t="s">
        <v>85</v>
      </c>
      <c r="Q391" t="s">
        <v>85</v>
      </c>
      <c r="R391">
        <v>0</v>
      </c>
    </row>
    <row r="392" spans="1:18" ht="19.899999999999999" customHeight="1">
      <c r="A392" t="str">
        <f t="shared" si="6"/>
        <v>9H33</v>
      </c>
      <c r="B392" t="s">
        <v>5091</v>
      </c>
      <c r="C392" t="s">
        <v>5105</v>
      </c>
      <c r="D392">
        <v>85</v>
      </c>
      <c r="E392" t="s">
        <v>4792</v>
      </c>
      <c r="F392">
        <v>65</v>
      </c>
      <c r="G392" t="s">
        <v>4800</v>
      </c>
      <c r="H392">
        <v>79</v>
      </c>
      <c r="I392" t="s">
        <v>4853</v>
      </c>
      <c r="J392" s="631">
        <v>85</v>
      </c>
      <c r="K392">
        <v>53</v>
      </c>
      <c r="L392" t="s">
        <v>4853</v>
      </c>
      <c r="P392">
        <v>1609</v>
      </c>
      <c r="Q392" t="s">
        <v>85</v>
      </c>
      <c r="R392">
        <v>1609</v>
      </c>
    </row>
    <row r="393" spans="1:18" ht="19.899999999999999" customHeight="1">
      <c r="A393" t="str">
        <f t="shared" si="6"/>
        <v>9H34</v>
      </c>
      <c r="B393" t="s">
        <v>5091</v>
      </c>
      <c r="C393" t="s">
        <v>5106</v>
      </c>
      <c r="D393">
        <v>69</v>
      </c>
      <c r="E393" t="s">
        <v>4795</v>
      </c>
      <c r="F393">
        <v>76</v>
      </c>
      <c r="G393" t="s">
        <v>4795</v>
      </c>
      <c r="H393">
        <v>81</v>
      </c>
      <c r="I393" t="s">
        <v>4795</v>
      </c>
      <c r="J393" s="631">
        <v>81</v>
      </c>
      <c r="K393">
        <v>19</v>
      </c>
      <c r="L393" t="s">
        <v>4801</v>
      </c>
      <c r="P393">
        <v>868</v>
      </c>
      <c r="Q393">
        <v>2</v>
      </c>
      <c r="R393">
        <v>870</v>
      </c>
    </row>
    <row r="394" spans="1:18" ht="19.899999999999999" customHeight="1">
      <c r="A394" t="str">
        <f t="shared" ref="A394:A457" si="7">IF(COUNTIF(C394,"*TR*")&gt;0,SUBSTITUTE(RIGHT(B394,3) &amp; C394," ",""),MID(C394,FIND("(",C394)+1,4))</f>
        <v>9H35</v>
      </c>
      <c r="B394" t="s">
        <v>5091</v>
      </c>
      <c r="C394" t="s">
        <v>5107</v>
      </c>
      <c r="D394">
        <v>129</v>
      </c>
      <c r="E394" t="s">
        <v>4792</v>
      </c>
      <c r="F394">
        <v>105</v>
      </c>
      <c r="G394" t="s">
        <v>4792</v>
      </c>
      <c r="H394">
        <v>149</v>
      </c>
      <c r="I394" t="s">
        <v>4792</v>
      </c>
      <c r="J394" s="631">
        <v>149</v>
      </c>
      <c r="K394">
        <v>67</v>
      </c>
      <c r="L394" t="s">
        <v>4795</v>
      </c>
      <c r="P394">
        <v>2588</v>
      </c>
      <c r="Q394">
        <v>4</v>
      </c>
      <c r="R394">
        <v>2592</v>
      </c>
    </row>
    <row r="395" spans="1:18" ht="19.899999999999999" customHeight="1">
      <c r="A395" t="str">
        <f t="shared" si="7"/>
        <v>9H#3DTR(B)</v>
      </c>
      <c r="B395" t="s">
        <v>5091</v>
      </c>
      <c r="C395" t="s">
        <v>4944</v>
      </c>
      <c r="D395">
        <v>269</v>
      </c>
      <c r="E395" t="s">
        <v>4808</v>
      </c>
      <c r="F395">
        <v>325</v>
      </c>
      <c r="G395" t="s">
        <v>4805</v>
      </c>
      <c r="H395">
        <v>281</v>
      </c>
      <c r="I395" t="s">
        <v>4808</v>
      </c>
      <c r="J395" s="631">
        <v>325</v>
      </c>
      <c r="K395" t="s">
        <v>4793</v>
      </c>
      <c r="L395" t="s">
        <v>4793</v>
      </c>
      <c r="P395">
        <v>1826</v>
      </c>
      <c r="Q395" t="s">
        <v>85</v>
      </c>
      <c r="R395">
        <v>1826</v>
      </c>
    </row>
    <row r="396" spans="1:18" ht="19.899999999999999" customHeight="1">
      <c r="A396" t="str">
        <f t="shared" si="7"/>
        <v>9H36</v>
      </c>
      <c r="B396" t="s">
        <v>5091</v>
      </c>
      <c r="C396" t="s">
        <v>5108</v>
      </c>
      <c r="D396">
        <v>48</v>
      </c>
      <c r="E396" t="s">
        <v>4802</v>
      </c>
      <c r="F396">
        <v>100</v>
      </c>
      <c r="G396" t="s">
        <v>4792</v>
      </c>
      <c r="H396">
        <v>72</v>
      </c>
      <c r="I396" t="s">
        <v>4802</v>
      </c>
      <c r="J396" s="631">
        <v>100</v>
      </c>
      <c r="K396">
        <v>51</v>
      </c>
      <c r="L396" t="s">
        <v>4795</v>
      </c>
      <c r="P396">
        <v>3910</v>
      </c>
      <c r="Q396">
        <v>2</v>
      </c>
      <c r="R396">
        <v>3912</v>
      </c>
    </row>
    <row r="397" spans="1:18" ht="19.899999999999999" customHeight="1">
      <c r="A397" t="str">
        <f t="shared" si="7"/>
        <v>9H37</v>
      </c>
      <c r="B397" t="s">
        <v>5091</v>
      </c>
      <c r="C397" t="s">
        <v>5109</v>
      </c>
      <c r="D397">
        <v>88</v>
      </c>
      <c r="E397" t="s">
        <v>4801</v>
      </c>
      <c r="F397">
        <v>88</v>
      </c>
      <c r="G397" t="s">
        <v>4801</v>
      </c>
      <c r="H397">
        <v>95</v>
      </c>
      <c r="I397" t="s">
        <v>4801</v>
      </c>
      <c r="J397" s="631">
        <v>95</v>
      </c>
      <c r="K397">
        <v>0</v>
      </c>
      <c r="L397" t="s">
        <v>4810</v>
      </c>
      <c r="P397">
        <v>3829</v>
      </c>
      <c r="Q397">
        <v>2</v>
      </c>
      <c r="R397">
        <v>3831</v>
      </c>
    </row>
    <row r="398" spans="1:18" ht="19.899999999999999" customHeight="1">
      <c r="A398" t="str">
        <f t="shared" si="7"/>
        <v>9H38</v>
      </c>
      <c r="B398" t="s">
        <v>5091</v>
      </c>
      <c r="C398" t="s">
        <v>5110</v>
      </c>
      <c r="D398">
        <v>72</v>
      </c>
      <c r="E398" t="s">
        <v>4805</v>
      </c>
      <c r="F398">
        <v>84</v>
      </c>
      <c r="G398" t="s">
        <v>4805</v>
      </c>
      <c r="H398">
        <v>70</v>
      </c>
      <c r="I398" t="s">
        <v>4805</v>
      </c>
      <c r="J398" s="631">
        <v>84</v>
      </c>
      <c r="K398">
        <v>29</v>
      </c>
      <c r="L398" t="s">
        <v>4792</v>
      </c>
      <c r="P398">
        <v>367</v>
      </c>
      <c r="Q398" t="s">
        <v>85</v>
      </c>
      <c r="R398">
        <v>367</v>
      </c>
    </row>
    <row r="399" spans="1:18" ht="19.899999999999999" customHeight="1">
      <c r="A399" t="str">
        <f t="shared" si="7"/>
        <v>9H39</v>
      </c>
      <c r="B399" t="s">
        <v>5091</v>
      </c>
      <c r="C399" t="s">
        <v>5111</v>
      </c>
      <c r="D399">
        <v>82</v>
      </c>
      <c r="E399" t="s">
        <v>4805</v>
      </c>
      <c r="F399">
        <v>87</v>
      </c>
      <c r="G399" t="s">
        <v>4805</v>
      </c>
      <c r="H399">
        <v>74</v>
      </c>
      <c r="I399" t="s">
        <v>4817</v>
      </c>
      <c r="J399" s="631">
        <v>87</v>
      </c>
      <c r="K399">
        <v>22</v>
      </c>
      <c r="L399" t="s">
        <v>4814</v>
      </c>
      <c r="P399">
        <v>415</v>
      </c>
      <c r="Q399">
        <v>1</v>
      </c>
      <c r="R399">
        <v>416</v>
      </c>
    </row>
    <row r="400" spans="1:18" ht="19.899999999999999" customHeight="1">
      <c r="A400" t="str">
        <f t="shared" si="7"/>
        <v>IS#1MTR</v>
      </c>
      <c r="B400" t="s">
        <v>5112</v>
      </c>
      <c r="C400" t="s">
        <v>4791</v>
      </c>
      <c r="D400">
        <v>371</v>
      </c>
      <c r="E400" t="s">
        <v>4792</v>
      </c>
      <c r="F400">
        <v>374</v>
      </c>
      <c r="G400" t="s">
        <v>4792</v>
      </c>
      <c r="H400">
        <v>341</v>
      </c>
      <c r="I400" t="s">
        <v>4802</v>
      </c>
      <c r="J400" s="631">
        <v>374</v>
      </c>
      <c r="K400" t="s">
        <v>4793</v>
      </c>
      <c r="L400" t="s">
        <v>4793</v>
      </c>
      <c r="P400">
        <v>51</v>
      </c>
      <c r="Q400">
        <v>3</v>
      </c>
      <c r="R400">
        <v>54</v>
      </c>
    </row>
    <row r="401" spans="1:18" ht="19.899999999999999" customHeight="1">
      <c r="A401" t="str">
        <f t="shared" si="7"/>
        <v>IS20</v>
      </c>
      <c r="B401" t="s">
        <v>5112</v>
      </c>
      <c r="C401" t="s">
        <v>5113</v>
      </c>
      <c r="D401">
        <v>124</v>
      </c>
      <c r="E401" t="s">
        <v>4812</v>
      </c>
      <c r="F401">
        <v>108</v>
      </c>
      <c r="G401" t="s">
        <v>4812</v>
      </c>
      <c r="H401">
        <v>96</v>
      </c>
      <c r="I401" t="s">
        <v>4802</v>
      </c>
      <c r="J401" s="631">
        <v>124</v>
      </c>
      <c r="K401">
        <v>51</v>
      </c>
      <c r="L401" t="s">
        <v>4805</v>
      </c>
      <c r="P401">
        <v>2185</v>
      </c>
      <c r="Q401">
        <v>4</v>
      </c>
      <c r="R401">
        <v>2189</v>
      </c>
    </row>
    <row r="402" spans="1:18" ht="19.899999999999999" customHeight="1">
      <c r="A402" t="str">
        <f t="shared" si="7"/>
        <v>IS21</v>
      </c>
      <c r="B402" t="s">
        <v>5112</v>
      </c>
      <c r="C402" t="s">
        <v>5114</v>
      </c>
      <c r="D402">
        <v>75</v>
      </c>
      <c r="E402" t="s">
        <v>4792</v>
      </c>
      <c r="F402">
        <v>96</v>
      </c>
      <c r="G402" t="s">
        <v>4802</v>
      </c>
      <c r="H402">
        <v>85</v>
      </c>
      <c r="I402" t="s">
        <v>4792</v>
      </c>
      <c r="J402" s="631">
        <v>96</v>
      </c>
      <c r="K402">
        <v>32</v>
      </c>
      <c r="L402" t="s">
        <v>4802</v>
      </c>
      <c r="P402">
        <v>1239</v>
      </c>
      <c r="Q402">
        <v>2</v>
      </c>
      <c r="R402">
        <v>1241</v>
      </c>
    </row>
    <row r="403" spans="1:18" ht="19.899999999999999" customHeight="1">
      <c r="A403" t="str">
        <f t="shared" si="7"/>
        <v>IS22</v>
      </c>
      <c r="B403" t="s">
        <v>5112</v>
      </c>
      <c r="C403" t="s">
        <v>5115</v>
      </c>
      <c r="D403">
        <v>113</v>
      </c>
      <c r="E403" t="s">
        <v>4805</v>
      </c>
      <c r="F403">
        <v>114</v>
      </c>
      <c r="G403" t="s">
        <v>4801</v>
      </c>
      <c r="H403">
        <v>107</v>
      </c>
      <c r="I403" t="s">
        <v>4801</v>
      </c>
      <c r="J403" s="631">
        <v>114</v>
      </c>
      <c r="K403">
        <v>36</v>
      </c>
      <c r="L403" t="s">
        <v>4807</v>
      </c>
      <c r="P403">
        <v>1027</v>
      </c>
      <c r="Q403">
        <v>1</v>
      </c>
      <c r="R403">
        <v>1028</v>
      </c>
    </row>
    <row r="404" spans="1:18" ht="19.899999999999999" customHeight="1">
      <c r="A404" t="str">
        <f t="shared" si="7"/>
        <v>IS27</v>
      </c>
      <c r="B404" t="s">
        <v>5112</v>
      </c>
      <c r="C404" t="s">
        <v>5116</v>
      </c>
      <c r="D404">
        <v>44</v>
      </c>
      <c r="E404" t="s">
        <v>4795</v>
      </c>
      <c r="F404">
        <v>57</v>
      </c>
      <c r="G404" t="s">
        <v>4802</v>
      </c>
      <c r="H404">
        <v>47</v>
      </c>
      <c r="I404" t="s">
        <v>4802</v>
      </c>
      <c r="J404" s="631">
        <v>57</v>
      </c>
      <c r="K404">
        <v>26</v>
      </c>
      <c r="L404" t="s">
        <v>4805</v>
      </c>
      <c r="P404" t="s">
        <v>85</v>
      </c>
      <c r="Q404" t="s">
        <v>85</v>
      </c>
      <c r="R404">
        <v>0</v>
      </c>
    </row>
    <row r="405" spans="1:18" ht="19.899999999999999" customHeight="1">
      <c r="A405" t="str">
        <f t="shared" si="7"/>
        <v>IS29</v>
      </c>
      <c r="B405" t="s">
        <v>5112</v>
      </c>
      <c r="C405" t="s">
        <v>5117</v>
      </c>
      <c r="D405">
        <v>36</v>
      </c>
      <c r="E405" t="s">
        <v>4805</v>
      </c>
      <c r="F405">
        <v>34</v>
      </c>
      <c r="G405" t="s">
        <v>4805</v>
      </c>
      <c r="H405">
        <v>28</v>
      </c>
      <c r="I405" t="s">
        <v>4805</v>
      </c>
      <c r="J405" s="631">
        <v>36</v>
      </c>
      <c r="K405">
        <v>19</v>
      </c>
      <c r="L405" t="s">
        <v>4799</v>
      </c>
      <c r="P405">
        <v>3757</v>
      </c>
      <c r="Q405">
        <v>1</v>
      </c>
      <c r="R405">
        <v>3758</v>
      </c>
    </row>
    <row r="406" spans="1:18" ht="19.899999999999999" customHeight="1">
      <c r="A406" t="str">
        <f t="shared" si="7"/>
        <v>IS#2MTR</v>
      </c>
      <c r="B406" t="s">
        <v>5112</v>
      </c>
      <c r="C406" t="s">
        <v>4803</v>
      </c>
      <c r="D406">
        <v>372</v>
      </c>
      <c r="E406" t="s">
        <v>4802</v>
      </c>
      <c r="F406">
        <v>340</v>
      </c>
      <c r="G406" t="s">
        <v>4792</v>
      </c>
      <c r="H406">
        <v>374</v>
      </c>
      <c r="I406" t="s">
        <v>4792</v>
      </c>
      <c r="J406" s="631">
        <v>374</v>
      </c>
      <c r="K406" t="s">
        <v>4793</v>
      </c>
      <c r="L406" t="s">
        <v>4793</v>
      </c>
      <c r="P406">
        <v>760</v>
      </c>
      <c r="Q406">
        <v>2</v>
      </c>
      <c r="R406">
        <v>762</v>
      </c>
    </row>
    <row r="407" spans="1:18" ht="19.899999999999999" customHeight="1">
      <c r="A407" t="str">
        <f t="shared" si="7"/>
        <v>IS26</v>
      </c>
      <c r="B407" t="s">
        <v>5112</v>
      </c>
      <c r="C407" t="s">
        <v>5118</v>
      </c>
      <c r="D407">
        <v>75</v>
      </c>
      <c r="E407" t="s">
        <v>4802</v>
      </c>
      <c r="F407">
        <v>81</v>
      </c>
      <c r="G407" t="s">
        <v>4792</v>
      </c>
      <c r="H407">
        <v>71</v>
      </c>
      <c r="I407" t="s">
        <v>4812</v>
      </c>
      <c r="J407" s="631">
        <v>81</v>
      </c>
      <c r="K407">
        <v>14</v>
      </c>
      <c r="L407" t="s">
        <v>4808</v>
      </c>
      <c r="P407">
        <v>2835</v>
      </c>
      <c r="Q407">
        <v>2</v>
      </c>
      <c r="R407">
        <v>2837</v>
      </c>
    </row>
    <row r="408" spans="1:18" ht="19.899999999999999" customHeight="1">
      <c r="A408" t="str">
        <f t="shared" si="7"/>
        <v>IS25</v>
      </c>
      <c r="B408" t="s">
        <v>5112</v>
      </c>
      <c r="C408" t="s">
        <v>5119</v>
      </c>
      <c r="D408">
        <v>18</v>
      </c>
      <c r="E408" t="s">
        <v>4801</v>
      </c>
      <c r="F408">
        <v>15</v>
      </c>
      <c r="G408" t="s">
        <v>4801</v>
      </c>
      <c r="H408">
        <v>25</v>
      </c>
      <c r="I408" t="s">
        <v>4801</v>
      </c>
      <c r="J408" s="631">
        <v>25</v>
      </c>
      <c r="K408">
        <v>12</v>
      </c>
      <c r="L408" t="s">
        <v>4801</v>
      </c>
      <c r="P408">
        <v>2690</v>
      </c>
      <c r="Q408">
        <v>2</v>
      </c>
      <c r="R408">
        <v>2692</v>
      </c>
    </row>
    <row r="409" spans="1:18" ht="19.899999999999999" customHeight="1">
      <c r="A409" t="str">
        <f t="shared" si="7"/>
        <v>IS23</v>
      </c>
      <c r="B409" t="s">
        <v>5112</v>
      </c>
      <c r="C409" t="s">
        <v>5120</v>
      </c>
      <c r="D409">
        <v>139</v>
      </c>
      <c r="E409" t="s">
        <v>4802</v>
      </c>
      <c r="F409">
        <v>132</v>
      </c>
      <c r="G409" t="s">
        <v>4792</v>
      </c>
      <c r="H409">
        <v>130</v>
      </c>
      <c r="I409" t="s">
        <v>4802</v>
      </c>
      <c r="J409" s="631">
        <v>139</v>
      </c>
      <c r="K409">
        <v>26</v>
      </c>
      <c r="L409" t="s">
        <v>4807</v>
      </c>
      <c r="P409">
        <v>980</v>
      </c>
      <c r="Q409">
        <v>1</v>
      </c>
      <c r="R409">
        <v>981</v>
      </c>
    </row>
    <row r="410" spans="1:18" ht="19.899999999999999" customHeight="1">
      <c r="A410" t="str">
        <f t="shared" si="7"/>
        <v>IS24</v>
      </c>
      <c r="B410" t="s">
        <v>5112</v>
      </c>
      <c r="C410" t="s">
        <v>5121</v>
      </c>
      <c r="D410">
        <v>142</v>
      </c>
      <c r="E410" t="s">
        <v>4802</v>
      </c>
      <c r="F410">
        <v>116</v>
      </c>
      <c r="G410" t="s">
        <v>4802</v>
      </c>
      <c r="H410">
        <v>162</v>
      </c>
      <c r="I410" t="s">
        <v>4792</v>
      </c>
      <c r="J410" s="631">
        <v>162</v>
      </c>
      <c r="K410">
        <v>61</v>
      </c>
      <c r="L410" t="s">
        <v>4792</v>
      </c>
      <c r="P410">
        <v>2097</v>
      </c>
      <c r="Q410">
        <v>3</v>
      </c>
      <c r="R410">
        <v>2100</v>
      </c>
    </row>
    <row r="411" spans="1:18" ht="19.899999999999999" customHeight="1">
      <c r="A411" t="str">
        <f t="shared" si="7"/>
        <v>IS28</v>
      </c>
      <c r="B411" t="s">
        <v>5112</v>
      </c>
      <c r="C411" t="s">
        <v>5122</v>
      </c>
      <c r="D411">
        <v>44</v>
      </c>
      <c r="E411" t="s">
        <v>4796</v>
      </c>
      <c r="F411">
        <v>42</v>
      </c>
      <c r="G411" t="s">
        <v>4796</v>
      </c>
      <c r="H411">
        <v>40</v>
      </c>
      <c r="I411" t="s">
        <v>4796</v>
      </c>
      <c r="J411" s="631">
        <v>44</v>
      </c>
      <c r="K411">
        <v>15</v>
      </c>
      <c r="L411" t="s">
        <v>4805</v>
      </c>
      <c r="P411">
        <v>1793</v>
      </c>
      <c r="Q411">
        <v>2</v>
      </c>
      <c r="R411">
        <v>1795</v>
      </c>
    </row>
    <row r="412" spans="1:18" ht="19.899999999999999" customHeight="1">
      <c r="A412" t="str">
        <f t="shared" si="7"/>
        <v>IS#3MTR</v>
      </c>
      <c r="B412" t="s">
        <v>5112</v>
      </c>
      <c r="C412" t="s">
        <v>4811</v>
      </c>
      <c r="D412">
        <v>0</v>
      </c>
      <c r="E412" t="s">
        <v>4810</v>
      </c>
      <c r="F412">
        <v>0</v>
      </c>
      <c r="G412" t="s">
        <v>4810</v>
      </c>
      <c r="H412">
        <v>0</v>
      </c>
      <c r="I412" t="s">
        <v>4810</v>
      </c>
      <c r="J412" s="631">
        <v>0</v>
      </c>
      <c r="K412" t="s">
        <v>4793</v>
      </c>
      <c r="L412" t="s">
        <v>4793</v>
      </c>
      <c r="P412" t="s">
        <v>85</v>
      </c>
      <c r="Q412" t="s">
        <v>85</v>
      </c>
      <c r="R412">
        <v>0</v>
      </c>
    </row>
    <row r="413" spans="1:18" ht="19.899999999999999" customHeight="1">
      <c r="A413" t="str">
        <f t="shared" si="7"/>
        <v>ISA0</v>
      </c>
      <c r="B413" t="s">
        <v>5112</v>
      </c>
      <c r="C413" t="s">
        <v>10204</v>
      </c>
      <c r="D413">
        <v>0</v>
      </c>
      <c r="E413" t="s">
        <v>4810</v>
      </c>
      <c r="F413">
        <v>0</v>
      </c>
      <c r="G413" t="s">
        <v>4810</v>
      </c>
      <c r="H413">
        <v>0</v>
      </c>
      <c r="I413" t="s">
        <v>4810</v>
      </c>
      <c r="J413" s="631">
        <v>0</v>
      </c>
      <c r="K413">
        <v>0</v>
      </c>
      <c r="L413" t="s">
        <v>4810</v>
      </c>
      <c r="P413">
        <v>692</v>
      </c>
      <c r="Q413">
        <v>4</v>
      </c>
      <c r="R413">
        <v>696</v>
      </c>
    </row>
    <row r="414" spans="1:18" ht="19.899999999999999" customHeight="1">
      <c r="A414" t="str">
        <f t="shared" si="7"/>
        <v>ISA1</v>
      </c>
      <c r="B414" t="s">
        <v>5112</v>
      </c>
      <c r="C414" t="s">
        <v>10205</v>
      </c>
      <c r="D414">
        <v>0</v>
      </c>
      <c r="E414" t="s">
        <v>4810</v>
      </c>
      <c r="F414">
        <v>0</v>
      </c>
      <c r="G414" t="s">
        <v>4810</v>
      </c>
      <c r="H414">
        <v>0</v>
      </c>
      <c r="I414" t="s">
        <v>4810</v>
      </c>
      <c r="J414" s="631">
        <v>0</v>
      </c>
      <c r="K414">
        <v>0</v>
      </c>
      <c r="L414" t="s">
        <v>4810</v>
      </c>
      <c r="P414">
        <v>1408</v>
      </c>
      <c r="Q414">
        <v>3</v>
      </c>
      <c r="R414">
        <v>1411</v>
      </c>
    </row>
    <row r="415" spans="1:18" ht="19.899999999999999" customHeight="1">
      <c r="A415" t="str">
        <f t="shared" si="7"/>
        <v>ISA2</v>
      </c>
      <c r="B415" t="s">
        <v>5112</v>
      </c>
      <c r="C415" t="s">
        <v>10206</v>
      </c>
      <c r="D415">
        <v>0</v>
      </c>
      <c r="E415" t="s">
        <v>4810</v>
      </c>
      <c r="F415">
        <v>0</v>
      </c>
      <c r="G415" t="s">
        <v>4810</v>
      </c>
      <c r="H415">
        <v>0</v>
      </c>
      <c r="I415" t="s">
        <v>4810</v>
      </c>
      <c r="J415" s="631">
        <v>0</v>
      </c>
      <c r="K415">
        <v>0</v>
      </c>
      <c r="L415" t="s">
        <v>4810</v>
      </c>
      <c r="P415">
        <v>2126</v>
      </c>
      <c r="Q415">
        <v>6</v>
      </c>
      <c r="R415">
        <v>2132</v>
      </c>
    </row>
    <row r="416" spans="1:18" ht="19.899999999999999" customHeight="1">
      <c r="A416" t="str">
        <f t="shared" si="7"/>
        <v>ISA3</v>
      </c>
      <c r="B416" t="s">
        <v>5112</v>
      </c>
      <c r="C416" t="s">
        <v>10207</v>
      </c>
      <c r="D416">
        <v>0</v>
      </c>
      <c r="E416" t="s">
        <v>4810</v>
      </c>
      <c r="F416">
        <v>0</v>
      </c>
      <c r="G416" t="s">
        <v>4810</v>
      </c>
      <c r="H416">
        <v>0</v>
      </c>
      <c r="I416" t="s">
        <v>4810</v>
      </c>
      <c r="J416" s="631">
        <v>0</v>
      </c>
      <c r="K416">
        <v>0</v>
      </c>
      <c r="L416" t="s">
        <v>4810</v>
      </c>
      <c r="P416">
        <v>1753</v>
      </c>
      <c r="Q416">
        <v>7</v>
      </c>
      <c r="R416">
        <v>1760</v>
      </c>
    </row>
    <row r="417" spans="1:18" ht="19.899999999999999" customHeight="1">
      <c r="A417" t="str">
        <f t="shared" si="7"/>
        <v>IS30</v>
      </c>
      <c r="B417" t="s">
        <v>5112</v>
      </c>
      <c r="C417" t="s">
        <v>10150</v>
      </c>
      <c r="D417">
        <v>0</v>
      </c>
      <c r="E417" t="s">
        <v>4810</v>
      </c>
      <c r="F417">
        <v>0</v>
      </c>
      <c r="G417" t="s">
        <v>4810</v>
      </c>
      <c r="H417">
        <v>0</v>
      </c>
      <c r="I417" t="s">
        <v>4810</v>
      </c>
      <c r="J417" s="631">
        <v>0</v>
      </c>
      <c r="K417">
        <v>0</v>
      </c>
      <c r="L417" t="s">
        <v>4810</v>
      </c>
      <c r="P417">
        <v>1783</v>
      </c>
      <c r="Q417">
        <v>4</v>
      </c>
      <c r="R417">
        <v>1787</v>
      </c>
    </row>
    <row r="418" spans="1:18" ht="19.899999999999999" customHeight="1">
      <c r="A418" t="str">
        <f t="shared" si="7"/>
        <v>9F#1DTR</v>
      </c>
      <c r="B418" t="s">
        <v>5123</v>
      </c>
      <c r="C418" t="s">
        <v>4924</v>
      </c>
      <c r="D418">
        <v>948</v>
      </c>
      <c r="E418" t="s">
        <v>4853</v>
      </c>
      <c r="F418">
        <v>957</v>
      </c>
      <c r="G418" t="s">
        <v>4853</v>
      </c>
      <c r="H418">
        <v>964</v>
      </c>
      <c r="I418" t="s">
        <v>4853</v>
      </c>
      <c r="J418" s="631">
        <v>964</v>
      </c>
      <c r="K418" t="s">
        <v>4793</v>
      </c>
      <c r="L418" t="s">
        <v>4793</v>
      </c>
      <c r="P418">
        <v>122</v>
      </c>
      <c r="Q418">
        <v>1</v>
      </c>
      <c r="R418">
        <v>123</v>
      </c>
    </row>
    <row r="419" spans="1:18" ht="19.899999999999999" customHeight="1">
      <c r="A419" t="str">
        <f t="shared" si="7"/>
        <v>9F51</v>
      </c>
      <c r="B419" t="s">
        <v>5123</v>
      </c>
      <c r="C419" t="s">
        <v>5124</v>
      </c>
      <c r="D419">
        <v>132</v>
      </c>
      <c r="E419" t="s">
        <v>4926</v>
      </c>
      <c r="F419">
        <v>135</v>
      </c>
      <c r="G419" t="s">
        <v>4843</v>
      </c>
      <c r="H419">
        <v>136</v>
      </c>
      <c r="I419" t="s">
        <v>4843</v>
      </c>
      <c r="J419" s="631">
        <v>136</v>
      </c>
      <c r="K419">
        <v>0</v>
      </c>
      <c r="L419" t="s">
        <v>4810</v>
      </c>
      <c r="P419">
        <v>332</v>
      </c>
      <c r="Q419">
        <v>3</v>
      </c>
      <c r="R419">
        <v>335</v>
      </c>
    </row>
    <row r="420" spans="1:18" ht="19.899999999999999" customHeight="1">
      <c r="A420" t="str">
        <f t="shared" si="7"/>
        <v>9F52</v>
      </c>
      <c r="B420" t="s">
        <v>5123</v>
      </c>
      <c r="C420" t="s">
        <v>5125</v>
      </c>
      <c r="D420">
        <v>127</v>
      </c>
      <c r="E420" t="s">
        <v>4799</v>
      </c>
      <c r="F420">
        <v>122</v>
      </c>
      <c r="G420" t="s">
        <v>4799</v>
      </c>
      <c r="H420">
        <v>127</v>
      </c>
      <c r="I420" t="s">
        <v>4799</v>
      </c>
      <c r="J420" s="631">
        <v>127</v>
      </c>
      <c r="K420">
        <v>0</v>
      </c>
      <c r="L420" t="s">
        <v>4810</v>
      </c>
      <c r="P420">
        <v>1082</v>
      </c>
      <c r="Q420">
        <v>1</v>
      </c>
      <c r="R420">
        <v>1083</v>
      </c>
    </row>
    <row r="421" spans="1:18" ht="19.899999999999999" customHeight="1">
      <c r="A421" t="str">
        <f t="shared" si="7"/>
        <v>9F53</v>
      </c>
      <c r="B421" t="s">
        <v>5123</v>
      </c>
      <c r="C421" t="s">
        <v>5126</v>
      </c>
      <c r="D421">
        <v>52</v>
      </c>
      <c r="E421" t="s">
        <v>4814</v>
      </c>
      <c r="F421">
        <v>51</v>
      </c>
      <c r="G421" t="s">
        <v>4814</v>
      </c>
      <c r="H421">
        <v>52</v>
      </c>
      <c r="I421" t="s">
        <v>4814</v>
      </c>
      <c r="J421" s="631">
        <v>52</v>
      </c>
      <c r="K421">
        <v>0</v>
      </c>
      <c r="L421" t="s">
        <v>4810</v>
      </c>
      <c r="P421">
        <v>748</v>
      </c>
      <c r="Q421">
        <v>4</v>
      </c>
      <c r="R421">
        <v>752</v>
      </c>
    </row>
    <row r="422" spans="1:18" ht="19.899999999999999" customHeight="1">
      <c r="A422" t="str">
        <f t="shared" si="7"/>
        <v>9F54</v>
      </c>
      <c r="B422" t="s">
        <v>5123</v>
      </c>
      <c r="C422" t="s">
        <v>5127</v>
      </c>
      <c r="D422">
        <v>119</v>
      </c>
      <c r="E422" t="s">
        <v>4853</v>
      </c>
      <c r="F422">
        <v>116</v>
      </c>
      <c r="G422" t="s">
        <v>4853</v>
      </c>
      <c r="H422">
        <v>118</v>
      </c>
      <c r="I422" t="s">
        <v>4853</v>
      </c>
      <c r="J422" s="631">
        <v>119</v>
      </c>
      <c r="K422">
        <v>0</v>
      </c>
      <c r="L422" t="s">
        <v>4810</v>
      </c>
      <c r="P422">
        <v>488</v>
      </c>
      <c r="Q422">
        <v>2</v>
      </c>
      <c r="R422">
        <v>490</v>
      </c>
    </row>
    <row r="423" spans="1:18" ht="19.899999999999999" customHeight="1">
      <c r="A423" t="str">
        <f t="shared" si="7"/>
        <v>9F55</v>
      </c>
      <c r="B423" t="s">
        <v>5123</v>
      </c>
      <c r="C423" t="s">
        <v>5128</v>
      </c>
      <c r="D423">
        <v>47</v>
      </c>
      <c r="E423" t="s">
        <v>4826</v>
      </c>
      <c r="F423">
        <v>47</v>
      </c>
      <c r="G423" t="s">
        <v>4826</v>
      </c>
      <c r="H423">
        <v>46</v>
      </c>
      <c r="I423" t="s">
        <v>4826</v>
      </c>
      <c r="J423" s="631">
        <v>47</v>
      </c>
      <c r="K423">
        <v>0</v>
      </c>
      <c r="L423" t="s">
        <v>4810</v>
      </c>
      <c r="P423">
        <v>1337</v>
      </c>
      <c r="Q423">
        <v>4</v>
      </c>
      <c r="R423">
        <v>1341</v>
      </c>
    </row>
    <row r="424" spans="1:18" ht="19.899999999999999" customHeight="1">
      <c r="A424" t="str">
        <f t="shared" si="7"/>
        <v>9F56</v>
      </c>
      <c r="B424" t="s">
        <v>5123</v>
      </c>
      <c r="C424" t="s">
        <v>5129</v>
      </c>
      <c r="D424">
        <v>132</v>
      </c>
      <c r="E424" t="s">
        <v>4810</v>
      </c>
      <c r="F424">
        <v>134</v>
      </c>
      <c r="G424" t="s">
        <v>4810</v>
      </c>
      <c r="H424">
        <v>135</v>
      </c>
      <c r="I424" t="s">
        <v>4810</v>
      </c>
      <c r="J424" s="631">
        <v>135</v>
      </c>
      <c r="K424">
        <v>0</v>
      </c>
      <c r="L424" t="s">
        <v>4810</v>
      </c>
      <c r="P424">
        <v>1620</v>
      </c>
      <c r="Q424">
        <v>3</v>
      </c>
      <c r="R424">
        <v>1623</v>
      </c>
    </row>
    <row r="425" spans="1:18" ht="19.899999999999999" customHeight="1">
      <c r="A425" t="str">
        <f t="shared" si="7"/>
        <v>9F57</v>
      </c>
      <c r="B425" t="s">
        <v>5123</v>
      </c>
      <c r="C425" t="s">
        <v>5130</v>
      </c>
      <c r="D425">
        <v>259</v>
      </c>
      <c r="E425" t="s">
        <v>4918</v>
      </c>
      <c r="F425">
        <v>267</v>
      </c>
      <c r="G425" t="s">
        <v>4918</v>
      </c>
      <c r="H425">
        <v>268</v>
      </c>
      <c r="I425" t="s">
        <v>4918</v>
      </c>
      <c r="J425" s="631">
        <v>268</v>
      </c>
      <c r="K425">
        <v>0</v>
      </c>
      <c r="L425" t="s">
        <v>4810</v>
      </c>
      <c r="P425">
        <v>3232</v>
      </c>
      <c r="Q425">
        <v>2</v>
      </c>
      <c r="R425">
        <v>3234</v>
      </c>
    </row>
    <row r="426" spans="1:18" ht="19.899999999999999" customHeight="1">
      <c r="A426" t="str">
        <f t="shared" si="7"/>
        <v>9F58</v>
      </c>
      <c r="B426" t="s">
        <v>5123</v>
      </c>
      <c r="C426" t="s">
        <v>5131</v>
      </c>
      <c r="D426">
        <v>161</v>
      </c>
      <c r="E426" t="s">
        <v>4843</v>
      </c>
      <c r="F426">
        <v>165</v>
      </c>
      <c r="G426" t="s">
        <v>4843</v>
      </c>
      <c r="H426">
        <v>164</v>
      </c>
      <c r="I426" t="s">
        <v>4843</v>
      </c>
      <c r="J426" s="631">
        <v>165</v>
      </c>
      <c r="K426">
        <v>0</v>
      </c>
      <c r="L426" t="s">
        <v>4810</v>
      </c>
      <c r="P426">
        <v>1184</v>
      </c>
      <c r="Q426">
        <v>1</v>
      </c>
      <c r="R426">
        <v>1185</v>
      </c>
    </row>
    <row r="427" spans="1:18" ht="19.899999999999999" customHeight="1">
      <c r="A427" t="str">
        <f t="shared" si="7"/>
        <v>9F#2DTR(A)</v>
      </c>
      <c r="B427" t="s">
        <v>5123</v>
      </c>
      <c r="C427" t="s">
        <v>4870</v>
      </c>
      <c r="D427">
        <v>157</v>
      </c>
      <c r="E427" t="s">
        <v>4926</v>
      </c>
      <c r="F427">
        <v>150</v>
      </c>
      <c r="G427" t="s">
        <v>4843</v>
      </c>
      <c r="H427">
        <v>148</v>
      </c>
      <c r="I427" t="s">
        <v>4926</v>
      </c>
      <c r="J427" s="631">
        <v>157</v>
      </c>
      <c r="K427" t="s">
        <v>4793</v>
      </c>
      <c r="L427" t="s">
        <v>4793</v>
      </c>
      <c r="P427">
        <v>1210</v>
      </c>
      <c r="Q427">
        <v>2</v>
      </c>
      <c r="R427">
        <v>1212</v>
      </c>
    </row>
    <row r="428" spans="1:18" ht="19.899999999999999" customHeight="1">
      <c r="A428" t="str">
        <f t="shared" si="7"/>
        <v>9F61</v>
      </c>
      <c r="B428" t="s">
        <v>5123</v>
      </c>
      <c r="C428" t="s">
        <v>5132</v>
      </c>
      <c r="D428">
        <v>55</v>
      </c>
      <c r="E428" t="s">
        <v>4817</v>
      </c>
      <c r="F428">
        <v>45</v>
      </c>
      <c r="G428" t="s">
        <v>4817</v>
      </c>
      <c r="H428">
        <v>47</v>
      </c>
      <c r="I428" t="s">
        <v>4817</v>
      </c>
      <c r="J428" s="631">
        <v>55</v>
      </c>
      <c r="K428">
        <v>0</v>
      </c>
      <c r="L428" t="s">
        <v>4810</v>
      </c>
      <c r="P428" t="s">
        <v>85</v>
      </c>
      <c r="Q428" t="s">
        <v>85</v>
      </c>
      <c r="R428">
        <v>0</v>
      </c>
    </row>
    <row r="429" spans="1:18" ht="19.899999999999999" customHeight="1">
      <c r="A429" t="str">
        <f t="shared" si="7"/>
        <v>9F62</v>
      </c>
      <c r="B429" t="s">
        <v>5123</v>
      </c>
      <c r="C429" t="s">
        <v>5133</v>
      </c>
      <c r="D429">
        <v>23</v>
      </c>
      <c r="E429" t="s">
        <v>4798</v>
      </c>
      <c r="F429">
        <v>22</v>
      </c>
      <c r="G429" t="s">
        <v>4798</v>
      </c>
      <c r="H429">
        <v>23</v>
      </c>
      <c r="I429" t="s">
        <v>4798</v>
      </c>
      <c r="J429" s="631">
        <v>23</v>
      </c>
      <c r="K429">
        <v>0</v>
      </c>
      <c r="L429" t="s">
        <v>4810</v>
      </c>
      <c r="P429">
        <v>1300</v>
      </c>
      <c r="Q429">
        <v>6</v>
      </c>
      <c r="R429">
        <v>1306</v>
      </c>
    </row>
    <row r="430" spans="1:18" ht="19.899999999999999" customHeight="1">
      <c r="A430" t="str">
        <f t="shared" si="7"/>
        <v>9F63</v>
      </c>
      <c r="B430" t="s">
        <v>5123</v>
      </c>
      <c r="C430" t="s">
        <v>5134</v>
      </c>
      <c r="D430">
        <v>62</v>
      </c>
      <c r="E430" t="s">
        <v>4808</v>
      </c>
      <c r="F430">
        <v>63</v>
      </c>
      <c r="G430" t="s">
        <v>4808</v>
      </c>
      <c r="H430">
        <v>65</v>
      </c>
      <c r="I430" t="s">
        <v>4808</v>
      </c>
      <c r="J430" s="631">
        <v>65</v>
      </c>
      <c r="K430">
        <v>0</v>
      </c>
      <c r="L430" t="s">
        <v>4810</v>
      </c>
      <c r="P430">
        <v>149</v>
      </c>
      <c r="Q430">
        <v>1</v>
      </c>
      <c r="R430">
        <v>150</v>
      </c>
    </row>
    <row r="431" spans="1:18" ht="19.899999999999999" customHeight="1">
      <c r="A431" t="str">
        <f t="shared" si="7"/>
        <v>9F64</v>
      </c>
      <c r="B431" t="s">
        <v>5123</v>
      </c>
      <c r="C431" t="s">
        <v>5135</v>
      </c>
      <c r="D431">
        <v>38</v>
      </c>
      <c r="E431" t="s">
        <v>4843</v>
      </c>
      <c r="F431">
        <v>41</v>
      </c>
      <c r="G431" t="s">
        <v>4843</v>
      </c>
      <c r="H431">
        <v>39</v>
      </c>
      <c r="I431" t="s">
        <v>4843</v>
      </c>
      <c r="J431" s="631">
        <v>41</v>
      </c>
      <c r="K431">
        <v>0</v>
      </c>
      <c r="L431" t="s">
        <v>4810</v>
      </c>
      <c r="P431">
        <v>926</v>
      </c>
      <c r="Q431">
        <v>4</v>
      </c>
      <c r="R431">
        <v>930</v>
      </c>
    </row>
    <row r="432" spans="1:18" ht="19.899999999999999" customHeight="1">
      <c r="A432" t="str">
        <f t="shared" si="7"/>
        <v>9F#2DTR(B)</v>
      </c>
      <c r="B432" t="s">
        <v>5123</v>
      </c>
      <c r="C432" t="s">
        <v>4877</v>
      </c>
      <c r="D432">
        <v>393</v>
      </c>
      <c r="E432" t="s">
        <v>4814</v>
      </c>
      <c r="F432">
        <v>409</v>
      </c>
      <c r="G432" t="s">
        <v>4814</v>
      </c>
      <c r="H432">
        <v>412</v>
      </c>
      <c r="I432" t="s">
        <v>4814</v>
      </c>
      <c r="J432" s="631">
        <v>412</v>
      </c>
      <c r="K432" t="s">
        <v>4793</v>
      </c>
      <c r="L432" t="s">
        <v>4793</v>
      </c>
      <c r="P432">
        <v>2707</v>
      </c>
      <c r="Q432">
        <v>8</v>
      </c>
      <c r="R432">
        <v>2715</v>
      </c>
    </row>
    <row r="433" spans="1:18" ht="19.899999999999999" customHeight="1">
      <c r="A433" t="str">
        <f t="shared" si="7"/>
        <v>9F65</v>
      </c>
      <c r="B433" t="s">
        <v>5123</v>
      </c>
      <c r="C433" t="s">
        <v>5136</v>
      </c>
      <c r="D433">
        <v>232</v>
      </c>
      <c r="E433" t="s">
        <v>4798</v>
      </c>
      <c r="F433">
        <v>237</v>
      </c>
      <c r="G433" t="s">
        <v>4798</v>
      </c>
      <c r="H433">
        <v>232</v>
      </c>
      <c r="I433" t="s">
        <v>4798</v>
      </c>
      <c r="J433" s="631">
        <v>237</v>
      </c>
      <c r="K433">
        <v>0</v>
      </c>
      <c r="L433" t="s">
        <v>4810</v>
      </c>
      <c r="P433">
        <v>324</v>
      </c>
      <c r="Q433" t="s">
        <v>85</v>
      </c>
      <c r="R433">
        <v>324</v>
      </c>
    </row>
    <row r="434" spans="1:18" ht="19.899999999999999" customHeight="1">
      <c r="A434" t="str">
        <f t="shared" si="7"/>
        <v>9F66</v>
      </c>
      <c r="B434" t="s">
        <v>5123</v>
      </c>
      <c r="C434" t="s">
        <v>5137</v>
      </c>
      <c r="D434">
        <v>46</v>
      </c>
      <c r="E434" t="s">
        <v>4812</v>
      </c>
      <c r="F434">
        <v>48</v>
      </c>
      <c r="G434" t="s">
        <v>4812</v>
      </c>
      <c r="H434">
        <v>54</v>
      </c>
      <c r="I434" t="s">
        <v>4812</v>
      </c>
      <c r="J434" s="631">
        <v>54</v>
      </c>
      <c r="K434">
        <v>0</v>
      </c>
      <c r="L434" t="s">
        <v>4810</v>
      </c>
      <c r="P434" t="s">
        <v>85</v>
      </c>
      <c r="Q434" t="s">
        <v>85</v>
      </c>
      <c r="R434">
        <v>0</v>
      </c>
    </row>
    <row r="435" spans="1:18" ht="19.899999999999999" customHeight="1">
      <c r="A435" t="str">
        <f t="shared" si="7"/>
        <v>9F67</v>
      </c>
      <c r="B435" t="s">
        <v>5123</v>
      </c>
      <c r="C435" t="s">
        <v>5138</v>
      </c>
      <c r="D435">
        <v>88</v>
      </c>
      <c r="E435" t="s">
        <v>4801</v>
      </c>
      <c r="F435">
        <v>90</v>
      </c>
      <c r="G435" t="s">
        <v>4801</v>
      </c>
      <c r="H435">
        <v>87</v>
      </c>
      <c r="I435" t="s">
        <v>4801</v>
      </c>
      <c r="J435" s="631">
        <v>90</v>
      </c>
      <c r="K435">
        <v>0</v>
      </c>
      <c r="L435" t="s">
        <v>4810</v>
      </c>
      <c r="P435">
        <v>655</v>
      </c>
      <c r="Q435">
        <v>3</v>
      </c>
      <c r="R435">
        <v>658</v>
      </c>
    </row>
    <row r="436" spans="1:18" ht="19.899999999999999" customHeight="1">
      <c r="A436" t="str">
        <f t="shared" si="7"/>
        <v>9F68</v>
      </c>
      <c r="B436" t="s">
        <v>5123</v>
      </c>
      <c r="C436" t="s">
        <v>5139</v>
      </c>
      <c r="D436">
        <v>62</v>
      </c>
      <c r="E436" t="s">
        <v>4853</v>
      </c>
      <c r="F436">
        <v>59</v>
      </c>
      <c r="G436" t="s">
        <v>4810</v>
      </c>
      <c r="H436">
        <v>68</v>
      </c>
      <c r="I436" t="s">
        <v>4853</v>
      </c>
      <c r="J436" s="631">
        <v>68</v>
      </c>
      <c r="K436">
        <v>0</v>
      </c>
      <c r="L436" t="s">
        <v>4810</v>
      </c>
      <c r="P436">
        <v>1088</v>
      </c>
      <c r="Q436">
        <v>5</v>
      </c>
      <c r="R436">
        <v>1093</v>
      </c>
    </row>
    <row r="437" spans="1:18" ht="19.899999999999999" customHeight="1">
      <c r="A437" t="str">
        <f t="shared" si="7"/>
        <v>IO#1DTR(A)</v>
      </c>
      <c r="B437" t="s">
        <v>5140</v>
      </c>
      <c r="C437" t="s">
        <v>4859</v>
      </c>
      <c r="D437">
        <v>287</v>
      </c>
      <c r="E437" t="s">
        <v>4808</v>
      </c>
      <c r="F437">
        <v>291</v>
      </c>
      <c r="G437" t="s">
        <v>4808</v>
      </c>
      <c r="H437">
        <v>280</v>
      </c>
      <c r="I437" t="s">
        <v>4808</v>
      </c>
      <c r="J437" s="631">
        <v>291</v>
      </c>
      <c r="K437" t="s">
        <v>4793</v>
      </c>
      <c r="L437" t="s">
        <v>4793</v>
      </c>
      <c r="P437">
        <v>518</v>
      </c>
      <c r="Q437">
        <v>4</v>
      </c>
      <c r="R437">
        <v>522</v>
      </c>
    </row>
    <row r="438" spans="1:18" ht="19.899999999999999" customHeight="1">
      <c r="A438" t="str">
        <f t="shared" si="7"/>
        <v>IO51</v>
      </c>
      <c r="B438" t="s">
        <v>5140</v>
      </c>
      <c r="C438" t="s">
        <v>5141</v>
      </c>
      <c r="D438">
        <v>66</v>
      </c>
      <c r="E438" t="s">
        <v>4805</v>
      </c>
      <c r="F438">
        <v>63</v>
      </c>
      <c r="G438" t="s">
        <v>4801</v>
      </c>
      <c r="H438">
        <v>63</v>
      </c>
      <c r="I438" t="s">
        <v>4805</v>
      </c>
      <c r="J438" s="631">
        <v>66</v>
      </c>
      <c r="K438">
        <v>0</v>
      </c>
      <c r="L438" t="s">
        <v>4807</v>
      </c>
      <c r="P438">
        <v>1269</v>
      </c>
      <c r="Q438">
        <v>4</v>
      </c>
      <c r="R438">
        <v>1273</v>
      </c>
    </row>
    <row r="439" spans="1:18" ht="19.899999999999999" customHeight="1">
      <c r="A439" t="str">
        <f t="shared" si="7"/>
        <v>IO52</v>
      </c>
      <c r="B439" t="s">
        <v>5140</v>
      </c>
      <c r="C439" t="s">
        <v>5142</v>
      </c>
      <c r="D439">
        <v>29</v>
      </c>
      <c r="E439" t="s">
        <v>4807</v>
      </c>
      <c r="F439">
        <v>28</v>
      </c>
      <c r="G439" t="s">
        <v>4817</v>
      </c>
      <c r="H439">
        <v>28</v>
      </c>
      <c r="I439" t="s">
        <v>4817</v>
      </c>
      <c r="J439" s="631">
        <v>29</v>
      </c>
      <c r="K439">
        <v>0</v>
      </c>
      <c r="L439" t="s">
        <v>4810</v>
      </c>
      <c r="P439">
        <v>2177</v>
      </c>
      <c r="Q439">
        <v>2</v>
      </c>
      <c r="R439">
        <v>2179</v>
      </c>
    </row>
    <row r="440" spans="1:18" ht="19.899999999999999" customHeight="1">
      <c r="A440" t="str">
        <f t="shared" si="7"/>
        <v>IO53</v>
      </c>
      <c r="B440" t="s">
        <v>5140</v>
      </c>
      <c r="C440" t="s">
        <v>5143</v>
      </c>
      <c r="D440">
        <v>51</v>
      </c>
      <c r="E440" t="s">
        <v>4798</v>
      </c>
      <c r="F440">
        <v>55</v>
      </c>
      <c r="G440" t="s">
        <v>4798</v>
      </c>
      <c r="H440">
        <v>55</v>
      </c>
      <c r="I440" t="s">
        <v>4798</v>
      </c>
      <c r="J440" s="631">
        <v>55</v>
      </c>
      <c r="K440">
        <v>0</v>
      </c>
      <c r="L440" t="s">
        <v>4810</v>
      </c>
      <c r="P440">
        <v>1866</v>
      </c>
      <c r="Q440">
        <v>2</v>
      </c>
      <c r="R440">
        <v>1868</v>
      </c>
    </row>
    <row r="441" spans="1:18" ht="19.899999999999999" customHeight="1">
      <c r="A441" t="str">
        <f t="shared" si="7"/>
        <v>IO54</v>
      </c>
      <c r="B441" t="s">
        <v>5140</v>
      </c>
      <c r="C441" t="s">
        <v>5144</v>
      </c>
      <c r="D441">
        <v>33</v>
      </c>
      <c r="E441" t="s">
        <v>4802</v>
      </c>
      <c r="F441">
        <v>33</v>
      </c>
      <c r="G441" t="s">
        <v>4802</v>
      </c>
      <c r="H441">
        <v>29</v>
      </c>
      <c r="I441" t="s">
        <v>4801</v>
      </c>
      <c r="J441" s="631">
        <v>33</v>
      </c>
      <c r="K441">
        <v>5</v>
      </c>
      <c r="L441" t="s">
        <v>4801</v>
      </c>
      <c r="P441">
        <v>5246</v>
      </c>
      <c r="Q441">
        <v>4</v>
      </c>
      <c r="R441">
        <v>5250</v>
      </c>
    </row>
    <row r="442" spans="1:18" ht="19.899999999999999" customHeight="1">
      <c r="A442" t="str">
        <f t="shared" si="7"/>
        <v>IO55</v>
      </c>
      <c r="B442" t="s">
        <v>5140</v>
      </c>
      <c r="C442" t="s">
        <v>5145</v>
      </c>
      <c r="D442">
        <v>38</v>
      </c>
      <c r="E442" t="s">
        <v>4938</v>
      </c>
      <c r="F442">
        <v>35</v>
      </c>
      <c r="G442" t="s">
        <v>4938</v>
      </c>
      <c r="H442">
        <v>30</v>
      </c>
      <c r="I442" t="s">
        <v>4938</v>
      </c>
      <c r="J442" s="631">
        <v>38</v>
      </c>
      <c r="K442">
        <v>0</v>
      </c>
      <c r="L442" t="s">
        <v>4810</v>
      </c>
      <c r="P442">
        <v>1408</v>
      </c>
      <c r="Q442">
        <v>4</v>
      </c>
      <c r="R442">
        <v>1412</v>
      </c>
    </row>
    <row r="443" spans="1:18" ht="19.899999999999999" customHeight="1">
      <c r="A443" t="str">
        <f t="shared" si="7"/>
        <v>IO56</v>
      </c>
      <c r="B443" t="s">
        <v>5140</v>
      </c>
      <c r="C443" t="s">
        <v>5146</v>
      </c>
      <c r="D443">
        <v>106</v>
      </c>
      <c r="E443" t="s">
        <v>4808</v>
      </c>
      <c r="F443">
        <v>108</v>
      </c>
      <c r="G443" t="s">
        <v>4808</v>
      </c>
      <c r="H443">
        <v>105</v>
      </c>
      <c r="I443" t="s">
        <v>4808</v>
      </c>
      <c r="J443" s="631">
        <v>108</v>
      </c>
      <c r="K443">
        <v>0</v>
      </c>
      <c r="L443" t="s">
        <v>4810</v>
      </c>
      <c r="P443">
        <v>1777</v>
      </c>
      <c r="Q443">
        <v>6</v>
      </c>
      <c r="R443">
        <v>1783</v>
      </c>
    </row>
    <row r="444" spans="1:18" ht="19.899999999999999" customHeight="1">
      <c r="A444" t="str">
        <f t="shared" si="7"/>
        <v>IO#2DTR</v>
      </c>
      <c r="B444" t="s">
        <v>5140</v>
      </c>
      <c r="C444" t="s">
        <v>4932</v>
      </c>
      <c r="D444">
        <v>357</v>
      </c>
      <c r="E444" t="s">
        <v>4814</v>
      </c>
      <c r="F444">
        <v>357</v>
      </c>
      <c r="G444" t="s">
        <v>4814</v>
      </c>
      <c r="H444">
        <v>361</v>
      </c>
      <c r="I444" t="s">
        <v>4814</v>
      </c>
      <c r="J444" s="631">
        <v>361</v>
      </c>
      <c r="K444" t="s">
        <v>4793</v>
      </c>
      <c r="L444" t="s">
        <v>4793</v>
      </c>
      <c r="P444" t="s">
        <v>85</v>
      </c>
      <c r="Q444" t="s">
        <v>85</v>
      </c>
      <c r="R444">
        <v>0</v>
      </c>
    </row>
    <row r="445" spans="1:18" ht="19.899999999999999" customHeight="1">
      <c r="A445" t="str">
        <f t="shared" si="7"/>
        <v>IO61</v>
      </c>
      <c r="B445" t="s">
        <v>5140</v>
      </c>
      <c r="C445" t="s">
        <v>5147</v>
      </c>
      <c r="D445">
        <v>99</v>
      </c>
      <c r="E445" t="s">
        <v>4809</v>
      </c>
      <c r="F445">
        <v>100</v>
      </c>
      <c r="G445" t="s">
        <v>4809</v>
      </c>
      <c r="H445">
        <v>101</v>
      </c>
      <c r="I445" t="s">
        <v>4809</v>
      </c>
      <c r="J445" s="631">
        <v>101</v>
      </c>
      <c r="K445">
        <v>0</v>
      </c>
      <c r="L445" t="s">
        <v>4810</v>
      </c>
      <c r="P445" t="s">
        <v>85</v>
      </c>
      <c r="Q445">
        <v>1</v>
      </c>
      <c r="R445">
        <v>1</v>
      </c>
    </row>
    <row r="446" spans="1:18" ht="19.899999999999999" customHeight="1">
      <c r="A446" t="str">
        <f t="shared" si="7"/>
        <v>IO64</v>
      </c>
      <c r="B446" t="s">
        <v>5140</v>
      </c>
      <c r="C446" t="s">
        <v>5148</v>
      </c>
      <c r="D446">
        <v>145</v>
      </c>
      <c r="E446" t="s">
        <v>4814</v>
      </c>
      <c r="F446">
        <v>144</v>
      </c>
      <c r="G446" t="s">
        <v>4814</v>
      </c>
      <c r="H446">
        <v>144</v>
      </c>
      <c r="I446" t="s">
        <v>4814</v>
      </c>
      <c r="J446" s="631">
        <v>145</v>
      </c>
      <c r="K446">
        <v>1</v>
      </c>
      <c r="L446" t="s">
        <v>4843</v>
      </c>
      <c r="P446">
        <v>2341</v>
      </c>
      <c r="Q446" t="s">
        <v>85</v>
      </c>
      <c r="R446">
        <v>2341</v>
      </c>
    </row>
    <row r="447" spans="1:18" ht="19.899999999999999" customHeight="1">
      <c r="A447" t="str">
        <f t="shared" si="7"/>
        <v>IO65</v>
      </c>
      <c r="B447" t="s">
        <v>5140</v>
      </c>
      <c r="C447" t="s">
        <v>5149</v>
      </c>
      <c r="D447">
        <v>11</v>
      </c>
      <c r="E447" t="s">
        <v>4796</v>
      </c>
      <c r="F447">
        <v>10</v>
      </c>
      <c r="G447" t="s">
        <v>4802</v>
      </c>
      <c r="H447">
        <v>11</v>
      </c>
      <c r="I447" t="s">
        <v>4796</v>
      </c>
      <c r="J447" s="631">
        <v>11</v>
      </c>
      <c r="K447">
        <v>0</v>
      </c>
      <c r="L447" t="s">
        <v>4810</v>
      </c>
      <c r="P447">
        <v>1104</v>
      </c>
      <c r="Q447">
        <v>3</v>
      </c>
      <c r="R447">
        <v>1107</v>
      </c>
    </row>
    <row r="448" spans="1:18" ht="19.899999999999999" customHeight="1">
      <c r="A448" t="str">
        <f t="shared" si="7"/>
        <v>IO62</v>
      </c>
      <c r="B448" t="s">
        <v>5140</v>
      </c>
      <c r="C448" t="s">
        <v>5150</v>
      </c>
      <c r="D448">
        <v>26</v>
      </c>
      <c r="E448" t="s">
        <v>4926</v>
      </c>
      <c r="F448">
        <v>27</v>
      </c>
      <c r="G448" t="s">
        <v>4926</v>
      </c>
      <c r="H448">
        <v>27</v>
      </c>
      <c r="I448" t="s">
        <v>4926</v>
      </c>
      <c r="J448" s="631">
        <v>27</v>
      </c>
      <c r="K448">
        <v>0</v>
      </c>
      <c r="L448" t="s">
        <v>4810</v>
      </c>
      <c r="P448">
        <v>2319</v>
      </c>
      <c r="Q448">
        <v>6</v>
      </c>
      <c r="R448">
        <v>2325</v>
      </c>
    </row>
    <row r="449" spans="1:18" ht="19.899999999999999" customHeight="1">
      <c r="A449" t="str">
        <f t="shared" si="7"/>
        <v>IO63</v>
      </c>
      <c r="B449" t="s">
        <v>5140</v>
      </c>
      <c r="C449" t="s">
        <v>5151</v>
      </c>
      <c r="D449">
        <v>51</v>
      </c>
      <c r="E449" t="s">
        <v>4808</v>
      </c>
      <c r="F449">
        <v>51</v>
      </c>
      <c r="G449" t="s">
        <v>4808</v>
      </c>
      <c r="H449">
        <v>50</v>
      </c>
      <c r="I449" t="s">
        <v>4814</v>
      </c>
      <c r="J449" s="631">
        <v>51</v>
      </c>
      <c r="K449">
        <v>0</v>
      </c>
      <c r="L449" t="s">
        <v>4810</v>
      </c>
      <c r="P449" t="s">
        <v>85</v>
      </c>
      <c r="Q449" t="s">
        <v>85</v>
      </c>
      <c r="R449">
        <v>0</v>
      </c>
    </row>
    <row r="450" spans="1:18" ht="19.899999999999999" customHeight="1">
      <c r="A450" t="str">
        <f t="shared" si="7"/>
        <v>IO66</v>
      </c>
      <c r="B450" t="s">
        <v>5140</v>
      </c>
      <c r="C450" t="s">
        <v>5152</v>
      </c>
      <c r="D450">
        <v>45</v>
      </c>
      <c r="E450" t="s">
        <v>4807</v>
      </c>
      <c r="F450">
        <v>43</v>
      </c>
      <c r="G450" t="s">
        <v>4807</v>
      </c>
      <c r="H450">
        <v>45</v>
      </c>
      <c r="I450" t="s">
        <v>4807</v>
      </c>
      <c r="J450" s="631">
        <v>45</v>
      </c>
      <c r="K450">
        <v>0</v>
      </c>
      <c r="L450" t="s">
        <v>4810</v>
      </c>
      <c r="P450">
        <v>2</v>
      </c>
      <c r="Q450">
        <v>1</v>
      </c>
      <c r="R450">
        <v>3</v>
      </c>
    </row>
    <row r="451" spans="1:18" ht="19.899999999999999" customHeight="1">
      <c r="A451" t="str">
        <f t="shared" si="7"/>
        <v>IO#3DTR</v>
      </c>
      <c r="B451" t="s">
        <v>5140</v>
      </c>
      <c r="C451" t="s">
        <v>5153</v>
      </c>
      <c r="D451">
        <v>376</v>
      </c>
      <c r="E451" t="s">
        <v>4808</v>
      </c>
      <c r="F451">
        <v>376</v>
      </c>
      <c r="G451" t="s">
        <v>4808</v>
      </c>
      <c r="H451">
        <v>373</v>
      </c>
      <c r="I451" t="s">
        <v>4808</v>
      </c>
      <c r="J451" s="631">
        <v>376</v>
      </c>
      <c r="K451" t="s">
        <v>4793</v>
      </c>
      <c r="L451" t="s">
        <v>4793</v>
      </c>
      <c r="P451" t="s">
        <v>85</v>
      </c>
      <c r="Q451" t="s">
        <v>85</v>
      </c>
      <c r="R451">
        <v>0</v>
      </c>
    </row>
    <row r="452" spans="1:18" ht="19.899999999999999" customHeight="1">
      <c r="A452" t="str">
        <f t="shared" si="7"/>
        <v>IO76</v>
      </c>
      <c r="B452" t="s">
        <v>5140</v>
      </c>
      <c r="C452" t="s">
        <v>5154</v>
      </c>
      <c r="D452">
        <v>122</v>
      </c>
      <c r="E452" t="s">
        <v>4805</v>
      </c>
      <c r="F452">
        <v>121</v>
      </c>
      <c r="G452" t="s">
        <v>4805</v>
      </c>
      <c r="H452">
        <v>124</v>
      </c>
      <c r="I452" t="s">
        <v>4805</v>
      </c>
      <c r="J452" s="631">
        <v>124</v>
      </c>
      <c r="K452">
        <v>2</v>
      </c>
      <c r="L452" t="s">
        <v>4801</v>
      </c>
      <c r="P452" t="s">
        <v>85</v>
      </c>
      <c r="Q452" t="s">
        <v>85</v>
      </c>
      <c r="R452">
        <v>0</v>
      </c>
    </row>
    <row r="453" spans="1:18" ht="19.899999999999999" customHeight="1">
      <c r="A453" t="str">
        <f t="shared" si="7"/>
        <v>IO75</v>
      </c>
      <c r="B453" t="s">
        <v>5140</v>
      </c>
      <c r="C453" t="s">
        <v>5155</v>
      </c>
      <c r="D453">
        <v>57</v>
      </c>
      <c r="E453" t="s">
        <v>4810</v>
      </c>
      <c r="F453">
        <v>55</v>
      </c>
      <c r="G453" t="s">
        <v>4810</v>
      </c>
      <c r="H453">
        <v>56</v>
      </c>
      <c r="I453" t="s">
        <v>4810</v>
      </c>
      <c r="J453" s="631">
        <v>57</v>
      </c>
      <c r="K453">
        <v>3</v>
      </c>
      <c r="L453" t="s">
        <v>4808</v>
      </c>
      <c r="P453" t="s">
        <v>85</v>
      </c>
      <c r="Q453" t="s">
        <v>85</v>
      </c>
      <c r="R453">
        <v>0</v>
      </c>
    </row>
    <row r="454" spans="1:18" ht="19.899999999999999" customHeight="1">
      <c r="A454" t="str">
        <f t="shared" si="7"/>
        <v>IO73</v>
      </c>
      <c r="B454" t="s">
        <v>5140</v>
      </c>
      <c r="C454" t="s">
        <v>5156</v>
      </c>
      <c r="D454">
        <v>27</v>
      </c>
      <c r="E454" t="s">
        <v>4808</v>
      </c>
      <c r="F454">
        <v>30</v>
      </c>
      <c r="G454" t="s">
        <v>4808</v>
      </c>
      <c r="H454">
        <v>27</v>
      </c>
      <c r="I454" t="s">
        <v>4808</v>
      </c>
      <c r="J454" s="631">
        <v>30</v>
      </c>
      <c r="K454">
        <v>2</v>
      </c>
      <c r="L454" t="s">
        <v>4926</v>
      </c>
      <c r="P454">
        <v>49</v>
      </c>
      <c r="Q454">
        <v>4</v>
      </c>
      <c r="R454">
        <v>53</v>
      </c>
    </row>
    <row r="455" spans="1:18" ht="19.899999999999999" customHeight="1">
      <c r="A455" t="str">
        <f t="shared" si="7"/>
        <v>IO74</v>
      </c>
      <c r="B455" t="s">
        <v>5140</v>
      </c>
      <c r="C455" t="s">
        <v>5157</v>
      </c>
      <c r="D455">
        <v>13</v>
      </c>
      <c r="E455" t="s">
        <v>4796</v>
      </c>
      <c r="F455">
        <v>14</v>
      </c>
      <c r="G455" t="s">
        <v>4796</v>
      </c>
      <c r="H455">
        <v>13</v>
      </c>
      <c r="I455" t="s">
        <v>4809</v>
      </c>
      <c r="J455" s="631">
        <v>14</v>
      </c>
      <c r="K455">
        <v>1</v>
      </c>
      <c r="L455" t="s">
        <v>4810</v>
      </c>
      <c r="P455">
        <v>2467</v>
      </c>
      <c r="Q455">
        <v>2</v>
      </c>
      <c r="R455">
        <v>2469</v>
      </c>
    </row>
    <row r="456" spans="1:18" ht="19.899999999999999" customHeight="1">
      <c r="A456" t="str">
        <f t="shared" si="7"/>
        <v>IO72</v>
      </c>
      <c r="B456" t="s">
        <v>5140</v>
      </c>
      <c r="C456" t="s">
        <v>5158</v>
      </c>
      <c r="D456">
        <v>52</v>
      </c>
      <c r="E456" t="s">
        <v>4817</v>
      </c>
      <c r="F456">
        <v>53</v>
      </c>
      <c r="G456" t="s">
        <v>4817</v>
      </c>
      <c r="H456">
        <v>51</v>
      </c>
      <c r="I456" t="s">
        <v>4817</v>
      </c>
      <c r="J456" s="631">
        <v>53</v>
      </c>
      <c r="K456">
        <v>0</v>
      </c>
      <c r="L456" t="s">
        <v>4810</v>
      </c>
      <c r="P456">
        <v>2219</v>
      </c>
      <c r="Q456">
        <v>6</v>
      </c>
      <c r="R456">
        <v>2225</v>
      </c>
    </row>
    <row r="457" spans="1:18" ht="19.899999999999999" customHeight="1">
      <c r="A457" t="str">
        <f t="shared" si="7"/>
        <v>IO71</v>
      </c>
      <c r="B457" t="s">
        <v>5140</v>
      </c>
      <c r="C457" t="s">
        <v>5159</v>
      </c>
      <c r="D457">
        <v>144</v>
      </c>
      <c r="E457" t="s">
        <v>4807</v>
      </c>
      <c r="F457">
        <v>142</v>
      </c>
      <c r="G457" t="s">
        <v>4807</v>
      </c>
      <c r="H457">
        <v>145</v>
      </c>
      <c r="I457" t="s">
        <v>4807</v>
      </c>
      <c r="J457" s="631">
        <v>145</v>
      </c>
      <c r="K457">
        <v>1</v>
      </c>
      <c r="L457" t="s">
        <v>4801</v>
      </c>
      <c r="P457" t="s">
        <v>85</v>
      </c>
      <c r="Q457" t="s">
        <v>85</v>
      </c>
      <c r="R457">
        <v>0</v>
      </c>
    </row>
    <row r="458" spans="1:18" ht="19.899999999999999" customHeight="1">
      <c r="A458" t="str">
        <f t="shared" ref="A458:A521" si="8">IF(COUNTIF(C458,"*TR*")&gt;0,SUBSTITUTE(RIGHT(B458,3) &amp; C458," ",""),MID(C458,FIND("(",C458)+1,4))</f>
        <v>IO#1DTR(B)</v>
      </c>
      <c r="B458" t="s">
        <v>5140</v>
      </c>
      <c r="C458" t="s">
        <v>4889</v>
      </c>
      <c r="D458">
        <v>609</v>
      </c>
      <c r="E458" t="s">
        <v>4802</v>
      </c>
      <c r="F458">
        <v>571</v>
      </c>
      <c r="G458" t="s">
        <v>4802</v>
      </c>
      <c r="H458">
        <v>564</v>
      </c>
      <c r="I458" t="s">
        <v>4802</v>
      </c>
      <c r="J458" s="631">
        <v>609</v>
      </c>
      <c r="K458" t="s">
        <v>4793</v>
      </c>
      <c r="L458" t="s">
        <v>4793</v>
      </c>
      <c r="P458">
        <v>1419</v>
      </c>
      <c r="Q458">
        <v>7</v>
      </c>
      <c r="R458">
        <v>1426</v>
      </c>
    </row>
    <row r="459" spans="1:18" ht="19.899999999999999" customHeight="1">
      <c r="A459" t="str">
        <f t="shared" si="8"/>
        <v>IO26</v>
      </c>
      <c r="B459" t="s">
        <v>5140</v>
      </c>
      <c r="C459" t="s">
        <v>5160</v>
      </c>
      <c r="D459">
        <v>168</v>
      </c>
      <c r="E459" t="s">
        <v>4802</v>
      </c>
      <c r="F459">
        <v>147</v>
      </c>
      <c r="G459" t="s">
        <v>4802</v>
      </c>
      <c r="H459">
        <v>165</v>
      </c>
      <c r="I459" t="s">
        <v>4802</v>
      </c>
      <c r="J459" s="631">
        <v>168</v>
      </c>
      <c r="K459">
        <v>25</v>
      </c>
      <c r="L459" t="s">
        <v>4821</v>
      </c>
      <c r="P459">
        <v>1217</v>
      </c>
      <c r="Q459">
        <v>1</v>
      </c>
      <c r="R459">
        <v>1218</v>
      </c>
    </row>
    <row r="460" spans="1:18" ht="19.899999999999999" customHeight="1">
      <c r="A460" t="str">
        <f t="shared" si="8"/>
        <v>IO25</v>
      </c>
      <c r="B460" t="s">
        <v>5140</v>
      </c>
      <c r="C460" t="s">
        <v>5161</v>
      </c>
      <c r="D460">
        <v>16</v>
      </c>
      <c r="E460" t="s">
        <v>4800</v>
      </c>
      <c r="F460">
        <v>11</v>
      </c>
      <c r="G460" t="s">
        <v>4802</v>
      </c>
      <c r="H460">
        <v>4</v>
      </c>
      <c r="I460" t="s">
        <v>4808</v>
      </c>
      <c r="J460" s="631">
        <v>16</v>
      </c>
      <c r="K460">
        <v>21</v>
      </c>
      <c r="L460" t="s">
        <v>4800</v>
      </c>
      <c r="P460">
        <v>3098</v>
      </c>
      <c r="Q460">
        <v>5</v>
      </c>
      <c r="R460">
        <v>3103</v>
      </c>
    </row>
    <row r="461" spans="1:18" ht="19.899999999999999" customHeight="1">
      <c r="A461" t="str">
        <f t="shared" si="8"/>
        <v>IO24</v>
      </c>
      <c r="B461" t="s">
        <v>5140</v>
      </c>
      <c r="C461" t="s">
        <v>5162</v>
      </c>
      <c r="D461">
        <v>140</v>
      </c>
      <c r="E461" t="s">
        <v>4792</v>
      </c>
      <c r="F461">
        <v>118</v>
      </c>
      <c r="G461" t="s">
        <v>4802</v>
      </c>
      <c r="H461">
        <v>115</v>
      </c>
      <c r="I461" t="s">
        <v>4795</v>
      </c>
      <c r="J461" s="631">
        <v>140</v>
      </c>
      <c r="K461">
        <v>28</v>
      </c>
      <c r="L461" t="s">
        <v>4872</v>
      </c>
      <c r="P461">
        <v>2208</v>
      </c>
      <c r="Q461">
        <v>7</v>
      </c>
      <c r="R461">
        <v>2215</v>
      </c>
    </row>
    <row r="462" spans="1:18" ht="19.899999999999999" customHeight="1">
      <c r="A462" t="str">
        <f t="shared" si="8"/>
        <v>IO23</v>
      </c>
      <c r="B462" t="s">
        <v>5140</v>
      </c>
      <c r="C462" t="s">
        <v>5163</v>
      </c>
      <c r="D462">
        <v>32</v>
      </c>
      <c r="E462" t="s">
        <v>4807</v>
      </c>
      <c r="F462">
        <v>36</v>
      </c>
      <c r="G462" t="s">
        <v>4805</v>
      </c>
      <c r="H462">
        <v>56</v>
      </c>
      <c r="I462" t="s">
        <v>4795</v>
      </c>
      <c r="J462" s="631">
        <v>56</v>
      </c>
      <c r="K462">
        <v>42</v>
      </c>
      <c r="L462" t="s">
        <v>4802</v>
      </c>
      <c r="P462">
        <v>2186</v>
      </c>
      <c r="Q462">
        <v>3</v>
      </c>
      <c r="R462">
        <v>2189</v>
      </c>
    </row>
    <row r="463" spans="1:18" ht="19.899999999999999" customHeight="1">
      <c r="A463" t="str">
        <f t="shared" si="8"/>
        <v>IO22</v>
      </c>
      <c r="B463" t="s">
        <v>5140</v>
      </c>
      <c r="C463" t="s">
        <v>5164</v>
      </c>
      <c r="D463">
        <v>158</v>
      </c>
      <c r="E463" t="s">
        <v>4792</v>
      </c>
      <c r="F463">
        <v>171</v>
      </c>
      <c r="G463" t="s">
        <v>4802</v>
      </c>
      <c r="H463">
        <v>152</v>
      </c>
      <c r="I463" t="s">
        <v>4802</v>
      </c>
      <c r="J463" s="631">
        <v>171</v>
      </c>
      <c r="K463">
        <v>50</v>
      </c>
      <c r="L463" t="s">
        <v>4807</v>
      </c>
      <c r="P463" t="s">
        <v>85</v>
      </c>
      <c r="Q463" t="s">
        <v>85</v>
      </c>
      <c r="R463">
        <v>0</v>
      </c>
    </row>
    <row r="464" spans="1:18" ht="19.899999999999999" customHeight="1">
      <c r="A464" t="str">
        <f t="shared" si="8"/>
        <v>IO21</v>
      </c>
      <c r="B464" t="s">
        <v>5140</v>
      </c>
      <c r="C464" t="s">
        <v>5165</v>
      </c>
      <c r="D464">
        <v>113</v>
      </c>
      <c r="E464" t="s">
        <v>4795</v>
      </c>
      <c r="F464">
        <v>106</v>
      </c>
      <c r="G464" t="s">
        <v>4795</v>
      </c>
      <c r="H464">
        <v>87</v>
      </c>
      <c r="I464" t="s">
        <v>4812</v>
      </c>
      <c r="J464" s="631">
        <v>113</v>
      </c>
      <c r="K464">
        <v>30</v>
      </c>
      <c r="L464" t="s">
        <v>4814</v>
      </c>
      <c r="P464" t="s">
        <v>85</v>
      </c>
      <c r="Q464" t="s">
        <v>85</v>
      </c>
      <c r="R464">
        <v>0</v>
      </c>
    </row>
    <row r="465" spans="1:18" ht="19.899999999999999" customHeight="1">
      <c r="A465" t="str">
        <f t="shared" si="8"/>
        <v>IB#1MTR</v>
      </c>
      <c r="B465" t="s">
        <v>5166</v>
      </c>
      <c r="C465" t="s">
        <v>4791</v>
      </c>
      <c r="D465">
        <v>492</v>
      </c>
      <c r="E465" t="s">
        <v>4792</v>
      </c>
      <c r="F465">
        <v>489</v>
      </c>
      <c r="G465" t="s">
        <v>4795</v>
      </c>
      <c r="H465">
        <v>401</v>
      </c>
      <c r="I465" t="s">
        <v>4802</v>
      </c>
      <c r="J465" s="631">
        <v>492</v>
      </c>
      <c r="K465" t="s">
        <v>4793</v>
      </c>
      <c r="L465" t="s">
        <v>4793</v>
      </c>
      <c r="P465" t="s">
        <v>85</v>
      </c>
      <c r="Q465" t="s">
        <v>85</v>
      </c>
      <c r="R465">
        <v>0</v>
      </c>
    </row>
    <row r="466" spans="1:18" ht="19.899999999999999" customHeight="1">
      <c r="A466" t="str">
        <f t="shared" si="8"/>
        <v>IB20</v>
      </c>
      <c r="B466" t="s">
        <v>5166</v>
      </c>
      <c r="C466" t="s">
        <v>5167</v>
      </c>
      <c r="D466">
        <v>120</v>
      </c>
      <c r="E466" t="s">
        <v>4802</v>
      </c>
      <c r="F466">
        <v>84</v>
      </c>
      <c r="G466" t="s">
        <v>4795</v>
      </c>
      <c r="H466">
        <v>68</v>
      </c>
      <c r="I466" t="s">
        <v>4802</v>
      </c>
      <c r="J466" s="631">
        <v>120</v>
      </c>
      <c r="K466">
        <v>62</v>
      </c>
      <c r="L466" t="s">
        <v>4802</v>
      </c>
      <c r="P466">
        <v>1257</v>
      </c>
      <c r="Q466">
        <v>4</v>
      </c>
      <c r="R466">
        <v>1261</v>
      </c>
    </row>
    <row r="467" spans="1:18" ht="19.899999999999999" customHeight="1">
      <c r="A467" t="str">
        <f t="shared" si="8"/>
        <v>IB22</v>
      </c>
      <c r="B467" t="s">
        <v>5166</v>
      </c>
      <c r="C467" t="s">
        <v>5168</v>
      </c>
      <c r="D467">
        <v>26</v>
      </c>
      <c r="E467" t="s">
        <v>4792</v>
      </c>
      <c r="F467">
        <v>21</v>
      </c>
      <c r="G467" t="s">
        <v>4817</v>
      </c>
      <c r="H467">
        <v>14</v>
      </c>
      <c r="I467" t="s">
        <v>4800</v>
      </c>
      <c r="J467" s="631">
        <v>26</v>
      </c>
      <c r="K467">
        <v>19</v>
      </c>
      <c r="L467" t="s">
        <v>4814</v>
      </c>
      <c r="P467" t="s">
        <v>85</v>
      </c>
      <c r="Q467" t="s">
        <v>85</v>
      </c>
      <c r="R467">
        <v>0</v>
      </c>
    </row>
    <row r="468" spans="1:18" ht="19.899999999999999" customHeight="1">
      <c r="A468" t="str">
        <f t="shared" si="8"/>
        <v>IB30</v>
      </c>
      <c r="B468" t="s">
        <v>5166</v>
      </c>
      <c r="C468" t="s">
        <v>5169</v>
      </c>
      <c r="D468">
        <v>150</v>
      </c>
      <c r="E468" t="s">
        <v>4802</v>
      </c>
      <c r="F468">
        <v>164</v>
      </c>
      <c r="G468" t="s">
        <v>4795</v>
      </c>
      <c r="H468">
        <v>123</v>
      </c>
      <c r="I468" t="s">
        <v>4805</v>
      </c>
      <c r="J468" s="631">
        <v>164</v>
      </c>
      <c r="K468">
        <v>54</v>
      </c>
      <c r="L468" t="s">
        <v>4802</v>
      </c>
      <c r="P468">
        <v>1436</v>
      </c>
      <c r="Q468">
        <v>2</v>
      </c>
      <c r="R468">
        <v>1438</v>
      </c>
    </row>
    <row r="469" spans="1:18" ht="19.899999999999999" customHeight="1">
      <c r="A469" t="str">
        <f t="shared" si="8"/>
        <v>IB31</v>
      </c>
      <c r="B469" t="s">
        <v>5166</v>
      </c>
      <c r="C469" t="s">
        <v>5170</v>
      </c>
      <c r="D469">
        <v>69</v>
      </c>
      <c r="E469" t="s">
        <v>4808</v>
      </c>
      <c r="F469">
        <v>96</v>
      </c>
      <c r="G469" t="s">
        <v>4808</v>
      </c>
      <c r="H469">
        <v>78</v>
      </c>
      <c r="I469" t="s">
        <v>4808</v>
      </c>
      <c r="J469" s="631">
        <v>96</v>
      </c>
      <c r="K469">
        <v>35</v>
      </c>
      <c r="L469" t="s">
        <v>4801</v>
      </c>
      <c r="P469">
        <v>604</v>
      </c>
      <c r="Q469">
        <v>0</v>
      </c>
      <c r="R469">
        <v>604</v>
      </c>
    </row>
    <row r="470" spans="1:18" ht="19.899999999999999" customHeight="1">
      <c r="A470" t="str">
        <f t="shared" si="8"/>
        <v>IB21</v>
      </c>
      <c r="B470" t="s">
        <v>5166</v>
      </c>
      <c r="C470" t="s">
        <v>5171</v>
      </c>
      <c r="D470">
        <v>150</v>
      </c>
      <c r="E470" t="s">
        <v>4800</v>
      </c>
      <c r="F470">
        <v>141</v>
      </c>
      <c r="G470" t="s">
        <v>4805</v>
      </c>
      <c r="H470">
        <v>136</v>
      </c>
      <c r="I470" t="s">
        <v>4792</v>
      </c>
      <c r="J470" s="631">
        <v>150</v>
      </c>
      <c r="K470">
        <v>43</v>
      </c>
      <c r="L470" t="s">
        <v>4800</v>
      </c>
      <c r="P470">
        <v>1656</v>
      </c>
      <c r="Q470">
        <v>1</v>
      </c>
      <c r="R470">
        <v>1657</v>
      </c>
    </row>
    <row r="471" spans="1:18" ht="19.899999999999999" customHeight="1">
      <c r="A471" t="str">
        <f t="shared" si="8"/>
        <v>IB#2MTR</v>
      </c>
      <c r="B471" t="s">
        <v>5166</v>
      </c>
      <c r="C471" t="s">
        <v>4803</v>
      </c>
      <c r="D471">
        <v>535</v>
      </c>
      <c r="E471" t="s">
        <v>4795</v>
      </c>
      <c r="F471">
        <v>537</v>
      </c>
      <c r="G471" t="s">
        <v>4802</v>
      </c>
      <c r="H471">
        <v>516</v>
      </c>
      <c r="I471" t="s">
        <v>4796</v>
      </c>
      <c r="J471" s="631">
        <v>537</v>
      </c>
      <c r="K471" t="s">
        <v>4793</v>
      </c>
      <c r="L471" t="s">
        <v>4793</v>
      </c>
      <c r="P471">
        <v>2573</v>
      </c>
      <c r="Q471">
        <v>1</v>
      </c>
      <c r="R471">
        <v>2574</v>
      </c>
    </row>
    <row r="472" spans="1:18" ht="19.899999999999999" customHeight="1">
      <c r="A472" t="str">
        <f t="shared" si="8"/>
        <v>IB28</v>
      </c>
      <c r="B472" t="s">
        <v>5166</v>
      </c>
      <c r="C472" t="s">
        <v>5172</v>
      </c>
      <c r="D472">
        <v>109</v>
      </c>
      <c r="E472" t="s">
        <v>4805</v>
      </c>
      <c r="F472">
        <v>116</v>
      </c>
      <c r="G472" t="s">
        <v>4814</v>
      </c>
      <c r="H472">
        <v>112</v>
      </c>
      <c r="I472" t="s">
        <v>4814</v>
      </c>
      <c r="J472" s="631">
        <v>116</v>
      </c>
      <c r="K472">
        <v>21</v>
      </c>
      <c r="L472" t="s">
        <v>4801</v>
      </c>
      <c r="P472">
        <v>1531</v>
      </c>
      <c r="Q472">
        <v>1</v>
      </c>
      <c r="R472">
        <v>1532</v>
      </c>
    </row>
    <row r="473" spans="1:18" ht="19.899999999999999" customHeight="1">
      <c r="A473" t="str">
        <f t="shared" si="8"/>
        <v>IB25</v>
      </c>
      <c r="B473" t="s">
        <v>5166</v>
      </c>
      <c r="C473" t="s">
        <v>5173</v>
      </c>
      <c r="D473">
        <v>224</v>
      </c>
      <c r="E473" t="s">
        <v>4795</v>
      </c>
      <c r="F473">
        <v>212</v>
      </c>
      <c r="G473" t="s">
        <v>4795</v>
      </c>
      <c r="H473">
        <v>184</v>
      </c>
      <c r="I473" t="s">
        <v>4800</v>
      </c>
      <c r="J473" s="631">
        <v>224</v>
      </c>
      <c r="K473">
        <v>50</v>
      </c>
      <c r="L473" t="s">
        <v>4814</v>
      </c>
      <c r="P473">
        <v>1444</v>
      </c>
      <c r="Q473">
        <v>2</v>
      </c>
      <c r="R473">
        <v>1446</v>
      </c>
    </row>
    <row r="474" spans="1:18" ht="19.899999999999999" customHeight="1">
      <c r="A474" t="str">
        <f t="shared" si="8"/>
        <v>IB33</v>
      </c>
      <c r="B474" t="s">
        <v>5166</v>
      </c>
      <c r="C474" t="s">
        <v>5174</v>
      </c>
      <c r="D474">
        <v>130</v>
      </c>
      <c r="E474" t="s">
        <v>4801</v>
      </c>
      <c r="F474">
        <v>132</v>
      </c>
      <c r="G474" t="s">
        <v>4796</v>
      </c>
      <c r="H474">
        <v>130</v>
      </c>
      <c r="I474" t="s">
        <v>4796</v>
      </c>
      <c r="J474" s="631">
        <v>132</v>
      </c>
      <c r="K474">
        <v>42</v>
      </c>
      <c r="L474" t="s">
        <v>4926</v>
      </c>
      <c r="P474">
        <v>596</v>
      </c>
      <c r="Q474">
        <v>1</v>
      </c>
      <c r="R474">
        <v>597</v>
      </c>
    </row>
    <row r="475" spans="1:18" ht="19.899999999999999" customHeight="1">
      <c r="A475" t="str">
        <f t="shared" si="8"/>
        <v>IB27</v>
      </c>
      <c r="B475" t="s">
        <v>5166</v>
      </c>
      <c r="C475" t="s">
        <v>5175</v>
      </c>
      <c r="D475">
        <v>74</v>
      </c>
      <c r="E475" t="s">
        <v>4792</v>
      </c>
      <c r="F475">
        <v>83</v>
      </c>
      <c r="G475" t="s">
        <v>4798</v>
      </c>
      <c r="H475">
        <v>83</v>
      </c>
      <c r="I475" t="s">
        <v>4792</v>
      </c>
      <c r="J475" s="631">
        <v>83</v>
      </c>
      <c r="K475">
        <v>19</v>
      </c>
      <c r="L475" t="s">
        <v>4817</v>
      </c>
      <c r="P475">
        <v>2772</v>
      </c>
      <c r="Q475">
        <v>7</v>
      </c>
      <c r="R475">
        <v>2779</v>
      </c>
    </row>
    <row r="476" spans="1:18" ht="19.899999999999999" customHeight="1">
      <c r="A476" t="str">
        <f t="shared" si="8"/>
        <v>IB24</v>
      </c>
      <c r="B476" t="s">
        <v>5166</v>
      </c>
      <c r="C476" t="s">
        <v>5176</v>
      </c>
      <c r="D476">
        <v>75</v>
      </c>
      <c r="E476" t="s">
        <v>4795</v>
      </c>
      <c r="F476">
        <v>70</v>
      </c>
      <c r="G476" t="s">
        <v>4802</v>
      </c>
      <c r="H476">
        <v>47</v>
      </c>
      <c r="I476" t="s">
        <v>4795</v>
      </c>
      <c r="J476" s="631">
        <v>75</v>
      </c>
      <c r="K476">
        <v>34</v>
      </c>
      <c r="L476" t="s">
        <v>4802</v>
      </c>
      <c r="P476">
        <v>2355</v>
      </c>
      <c r="Q476">
        <v>2</v>
      </c>
      <c r="R476">
        <v>2357</v>
      </c>
    </row>
    <row r="477" spans="1:18" ht="19.899999999999999" customHeight="1">
      <c r="A477" t="str">
        <f t="shared" si="8"/>
        <v>IB#3MTR</v>
      </c>
      <c r="B477" t="s">
        <v>5166</v>
      </c>
      <c r="C477" t="s">
        <v>4811</v>
      </c>
      <c r="D477">
        <v>277</v>
      </c>
      <c r="E477" t="s">
        <v>4792</v>
      </c>
      <c r="F477">
        <v>301</v>
      </c>
      <c r="G477" t="s">
        <v>4795</v>
      </c>
      <c r="H477">
        <v>291</v>
      </c>
      <c r="I477" t="s">
        <v>4792</v>
      </c>
      <c r="J477" s="631">
        <v>301</v>
      </c>
      <c r="K477" t="s">
        <v>4793</v>
      </c>
      <c r="L477" t="s">
        <v>4793</v>
      </c>
      <c r="P477" t="s">
        <v>85</v>
      </c>
      <c r="Q477" t="s">
        <v>85</v>
      </c>
      <c r="R477">
        <v>0</v>
      </c>
    </row>
    <row r="478" spans="1:18" ht="19.899999999999999" customHeight="1">
      <c r="A478" t="str">
        <f t="shared" si="8"/>
        <v>IB34</v>
      </c>
      <c r="B478" t="s">
        <v>5166</v>
      </c>
      <c r="C478" t="s">
        <v>5177</v>
      </c>
      <c r="D478">
        <v>10</v>
      </c>
      <c r="E478" t="s">
        <v>4918</v>
      </c>
      <c r="F478">
        <v>11</v>
      </c>
      <c r="G478" t="s">
        <v>4798</v>
      </c>
      <c r="H478">
        <v>11</v>
      </c>
      <c r="I478" t="s">
        <v>4853</v>
      </c>
      <c r="J478" s="631">
        <v>11</v>
      </c>
      <c r="K478">
        <v>5</v>
      </c>
      <c r="L478" t="s">
        <v>4796</v>
      </c>
      <c r="P478">
        <v>81</v>
      </c>
      <c r="Q478">
        <v>1</v>
      </c>
      <c r="R478">
        <v>82</v>
      </c>
    </row>
    <row r="479" spans="1:18" ht="19.899999999999999" customHeight="1">
      <c r="A479" t="str">
        <f t="shared" si="8"/>
        <v>IB29</v>
      </c>
      <c r="B479" t="s">
        <v>5166</v>
      </c>
      <c r="C479" t="s">
        <v>5178</v>
      </c>
      <c r="D479">
        <v>105</v>
      </c>
      <c r="E479" t="s">
        <v>4795</v>
      </c>
      <c r="F479">
        <v>129</v>
      </c>
      <c r="G479" t="s">
        <v>4795</v>
      </c>
      <c r="H479">
        <v>115</v>
      </c>
      <c r="I479" t="s">
        <v>4792</v>
      </c>
      <c r="J479" s="631">
        <v>129</v>
      </c>
      <c r="K479">
        <v>36</v>
      </c>
      <c r="L479" t="s">
        <v>4872</v>
      </c>
      <c r="P479">
        <v>3671</v>
      </c>
      <c r="Q479">
        <v>5</v>
      </c>
      <c r="R479">
        <v>3676</v>
      </c>
    </row>
    <row r="480" spans="1:18" ht="19.899999999999999" customHeight="1">
      <c r="A480" t="str">
        <f t="shared" si="8"/>
        <v>IB32</v>
      </c>
      <c r="B480" t="s">
        <v>5166</v>
      </c>
      <c r="C480" t="s">
        <v>5179</v>
      </c>
      <c r="D480">
        <v>44</v>
      </c>
      <c r="E480" t="s">
        <v>4800</v>
      </c>
      <c r="F480">
        <v>68</v>
      </c>
      <c r="G480" t="s">
        <v>4802</v>
      </c>
      <c r="H480">
        <v>51</v>
      </c>
      <c r="I480" t="s">
        <v>4792</v>
      </c>
      <c r="J480" s="631">
        <v>68</v>
      </c>
      <c r="K480">
        <v>40</v>
      </c>
      <c r="L480" t="s">
        <v>4802</v>
      </c>
      <c r="P480">
        <v>180</v>
      </c>
      <c r="Q480">
        <v>1</v>
      </c>
      <c r="R480">
        <v>181</v>
      </c>
    </row>
    <row r="481" spans="1:18" ht="19.899999999999999" customHeight="1">
      <c r="A481" t="str">
        <f t="shared" si="8"/>
        <v>IB26</v>
      </c>
      <c r="B481" t="s">
        <v>5166</v>
      </c>
      <c r="C481" t="s">
        <v>5180</v>
      </c>
      <c r="D481">
        <v>93</v>
      </c>
      <c r="E481" t="s">
        <v>4792</v>
      </c>
      <c r="F481">
        <v>90</v>
      </c>
      <c r="G481" t="s">
        <v>4800</v>
      </c>
      <c r="H481">
        <v>86</v>
      </c>
      <c r="I481" t="s">
        <v>4792</v>
      </c>
      <c r="J481" s="631">
        <v>93</v>
      </c>
      <c r="K481">
        <v>28</v>
      </c>
      <c r="L481" t="s">
        <v>4800</v>
      </c>
      <c r="P481">
        <v>39</v>
      </c>
      <c r="Q481">
        <v>2</v>
      </c>
      <c r="R481">
        <v>41</v>
      </c>
    </row>
    <row r="482" spans="1:18" ht="19.899999999999999" customHeight="1">
      <c r="A482" t="str">
        <f t="shared" si="8"/>
        <v>IB23</v>
      </c>
      <c r="B482" t="s">
        <v>5166</v>
      </c>
      <c r="C482" t="s">
        <v>5181</v>
      </c>
      <c r="D482">
        <v>39</v>
      </c>
      <c r="E482" t="s">
        <v>4795</v>
      </c>
      <c r="F482">
        <v>17</v>
      </c>
      <c r="G482" t="s">
        <v>4798</v>
      </c>
      <c r="H482">
        <v>37</v>
      </c>
      <c r="I482" t="s">
        <v>4795</v>
      </c>
      <c r="J482" s="631">
        <v>39</v>
      </c>
      <c r="K482">
        <v>23</v>
      </c>
      <c r="L482" t="s">
        <v>4800</v>
      </c>
      <c r="P482">
        <v>557</v>
      </c>
      <c r="Q482" t="s">
        <v>85</v>
      </c>
      <c r="R482">
        <v>557</v>
      </c>
    </row>
    <row r="483" spans="1:18" ht="19.899999999999999" customHeight="1">
      <c r="A483" t="str">
        <f t="shared" si="8"/>
        <v>IT#1MTR</v>
      </c>
      <c r="B483" t="s">
        <v>5182</v>
      </c>
      <c r="C483" t="s">
        <v>4791</v>
      </c>
      <c r="D483">
        <v>657</v>
      </c>
      <c r="E483" t="s">
        <v>4805</v>
      </c>
      <c r="F483">
        <v>649</v>
      </c>
      <c r="G483" t="s">
        <v>4801</v>
      </c>
      <c r="H483">
        <v>664</v>
      </c>
      <c r="I483" t="s">
        <v>4808</v>
      </c>
      <c r="J483" s="631">
        <v>664</v>
      </c>
      <c r="K483" t="s">
        <v>4793</v>
      </c>
      <c r="L483" t="s">
        <v>4793</v>
      </c>
      <c r="P483">
        <v>795</v>
      </c>
      <c r="Q483">
        <v>8</v>
      </c>
      <c r="R483">
        <v>803</v>
      </c>
    </row>
    <row r="484" spans="1:18" ht="19.899999999999999" customHeight="1">
      <c r="A484" t="str">
        <f t="shared" si="8"/>
        <v>IT29</v>
      </c>
      <c r="B484" t="s">
        <v>5182</v>
      </c>
      <c r="C484" t="s">
        <v>5183</v>
      </c>
      <c r="D484">
        <v>39</v>
      </c>
      <c r="E484" t="s">
        <v>4796</v>
      </c>
      <c r="F484">
        <v>47</v>
      </c>
      <c r="G484" t="s">
        <v>4802</v>
      </c>
      <c r="H484">
        <v>18</v>
      </c>
      <c r="I484" t="s">
        <v>4802</v>
      </c>
      <c r="J484" s="631">
        <v>47</v>
      </c>
      <c r="K484">
        <v>41</v>
      </c>
      <c r="L484" t="s">
        <v>4801</v>
      </c>
      <c r="P484">
        <v>1007</v>
      </c>
      <c r="Q484" t="s">
        <v>85</v>
      </c>
      <c r="R484">
        <v>1007</v>
      </c>
    </row>
    <row r="485" spans="1:18" ht="19.899999999999999" customHeight="1">
      <c r="A485" t="str">
        <f t="shared" si="8"/>
        <v>IT22</v>
      </c>
      <c r="B485" t="s">
        <v>5182</v>
      </c>
      <c r="C485" t="s">
        <v>5184</v>
      </c>
      <c r="D485">
        <v>138</v>
      </c>
      <c r="E485" t="s">
        <v>4805</v>
      </c>
      <c r="F485">
        <v>136</v>
      </c>
      <c r="G485" t="s">
        <v>4801</v>
      </c>
      <c r="H485">
        <v>146</v>
      </c>
      <c r="I485" t="s">
        <v>4809</v>
      </c>
      <c r="J485" s="631">
        <v>146</v>
      </c>
      <c r="K485">
        <v>30</v>
      </c>
      <c r="L485" t="s">
        <v>4812</v>
      </c>
      <c r="P485">
        <v>2336</v>
      </c>
      <c r="Q485">
        <v>3</v>
      </c>
      <c r="R485">
        <v>2339</v>
      </c>
    </row>
    <row r="486" spans="1:18" ht="19.899999999999999" customHeight="1">
      <c r="A486" t="str">
        <f t="shared" si="8"/>
        <v>IT34</v>
      </c>
      <c r="B486" t="s">
        <v>5182</v>
      </c>
      <c r="C486" t="s">
        <v>5185</v>
      </c>
      <c r="D486">
        <v>300</v>
      </c>
      <c r="E486" t="s">
        <v>4814</v>
      </c>
      <c r="F486">
        <v>279</v>
      </c>
      <c r="G486" t="s">
        <v>4814</v>
      </c>
      <c r="H486">
        <v>305</v>
      </c>
      <c r="I486" t="s">
        <v>4814</v>
      </c>
      <c r="J486" s="631">
        <v>305</v>
      </c>
      <c r="K486">
        <v>62</v>
      </c>
      <c r="L486" t="s">
        <v>4808</v>
      </c>
      <c r="P486">
        <v>344</v>
      </c>
      <c r="Q486">
        <v>1</v>
      </c>
      <c r="R486">
        <v>345</v>
      </c>
    </row>
    <row r="487" spans="1:18" ht="19.899999999999999" customHeight="1">
      <c r="A487" t="str">
        <f t="shared" si="8"/>
        <v>IT23</v>
      </c>
      <c r="B487" t="s">
        <v>5182</v>
      </c>
      <c r="C487" t="s">
        <v>5186</v>
      </c>
      <c r="D487">
        <v>125</v>
      </c>
      <c r="E487" t="s">
        <v>4805</v>
      </c>
      <c r="F487">
        <v>137</v>
      </c>
      <c r="G487" t="s">
        <v>4814</v>
      </c>
      <c r="H487">
        <v>122</v>
      </c>
      <c r="I487" t="s">
        <v>4808</v>
      </c>
      <c r="J487" s="631">
        <v>137</v>
      </c>
      <c r="K487">
        <v>38</v>
      </c>
      <c r="L487" t="s">
        <v>4812</v>
      </c>
      <c r="P487">
        <v>263</v>
      </c>
      <c r="Q487">
        <v>3</v>
      </c>
      <c r="R487">
        <v>266</v>
      </c>
    </row>
    <row r="488" spans="1:18" ht="19.899999999999999" customHeight="1">
      <c r="A488" t="str">
        <f t="shared" si="8"/>
        <v>IT25</v>
      </c>
      <c r="B488" t="s">
        <v>5182</v>
      </c>
      <c r="C488" t="s">
        <v>5187</v>
      </c>
      <c r="D488">
        <v>106</v>
      </c>
      <c r="E488" t="s">
        <v>4801</v>
      </c>
      <c r="F488">
        <v>111</v>
      </c>
      <c r="G488" t="s">
        <v>4796</v>
      </c>
      <c r="H488">
        <v>98</v>
      </c>
      <c r="I488" t="s">
        <v>4801</v>
      </c>
      <c r="J488" s="631">
        <v>111</v>
      </c>
      <c r="K488">
        <v>20</v>
      </c>
      <c r="L488" t="s">
        <v>4821</v>
      </c>
      <c r="P488">
        <v>2029</v>
      </c>
      <c r="Q488">
        <v>2</v>
      </c>
      <c r="R488">
        <v>2031</v>
      </c>
    </row>
    <row r="489" spans="1:18" ht="19.899999999999999" customHeight="1">
      <c r="A489" t="str">
        <f t="shared" si="8"/>
        <v>IT#2MTR</v>
      </c>
      <c r="B489" t="s">
        <v>5182</v>
      </c>
      <c r="C489" t="s">
        <v>4803</v>
      </c>
      <c r="D489">
        <v>482</v>
      </c>
      <c r="E489" t="s">
        <v>4809</v>
      </c>
      <c r="F489">
        <v>433</v>
      </c>
      <c r="G489" t="s">
        <v>4808</v>
      </c>
      <c r="H489">
        <v>474</v>
      </c>
      <c r="I489" t="s">
        <v>4809</v>
      </c>
      <c r="J489" s="631">
        <v>482</v>
      </c>
      <c r="K489" t="s">
        <v>4793</v>
      </c>
      <c r="L489" t="s">
        <v>4793</v>
      </c>
      <c r="P489">
        <v>377</v>
      </c>
      <c r="Q489">
        <v>7</v>
      </c>
      <c r="R489">
        <v>384</v>
      </c>
    </row>
    <row r="490" spans="1:18" ht="19.899999999999999" customHeight="1">
      <c r="A490" t="str">
        <f t="shared" si="8"/>
        <v>IT24</v>
      </c>
      <c r="B490" t="s">
        <v>5182</v>
      </c>
      <c r="C490" t="s">
        <v>5188</v>
      </c>
      <c r="D490">
        <v>56</v>
      </c>
      <c r="E490" t="s">
        <v>4826</v>
      </c>
      <c r="F490">
        <v>56</v>
      </c>
      <c r="G490" t="s">
        <v>4795</v>
      </c>
      <c r="H490">
        <v>81</v>
      </c>
      <c r="I490" t="s">
        <v>4795</v>
      </c>
      <c r="J490" s="631">
        <v>81</v>
      </c>
      <c r="K490">
        <v>38</v>
      </c>
      <c r="L490" t="s">
        <v>4843</v>
      </c>
      <c r="P490">
        <v>3074</v>
      </c>
      <c r="Q490">
        <v>4</v>
      </c>
      <c r="R490">
        <v>3078</v>
      </c>
    </row>
    <row r="491" spans="1:18" ht="19.899999999999999" customHeight="1">
      <c r="A491" t="str">
        <f t="shared" si="8"/>
        <v>IT20</v>
      </c>
      <c r="B491" t="s">
        <v>5182</v>
      </c>
      <c r="C491" t="s">
        <v>5189</v>
      </c>
      <c r="D491">
        <v>130</v>
      </c>
      <c r="E491" t="s">
        <v>4809</v>
      </c>
      <c r="F491">
        <v>103</v>
      </c>
      <c r="G491" t="s">
        <v>4809</v>
      </c>
      <c r="H491">
        <v>123</v>
      </c>
      <c r="I491" t="s">
        <v>4809</v>
      </c>
      <c r="J491" s="631">
        <v>130</v>
      </c>
      <c r="K491">
        <v>52</v>
      </c>
      <c r="L491" t="s">
        <v>4817</v>
      </c>
      <c r="P491">
        <v>1051</v>
      </c>
      <c r="Q491">
        <v>2</v>
      </c>
      <c r="R491">
        <v>1053</v>
      </c>
    </row>
    <row r="492" spans="1:18" ht="19.899999999999999" customHeight="1">
      <c r="A492" t="str">
        <f t="shared" si="8"/>
        <v>IT32</v>
      </c>
      <c r="B492" t="s">
        <v>5182</v>
      </c>
      <c r="C492" t="s">
        <v>5190</v>
      </c>
      <c r="D492">
        <v>117</v>
      </c>
      <c r="E492" t="s">
        <v>4805</v>
      </c>
      <c r="F492">
        <v>98</v>
      </c>
      <c r="G492" t="s">
        <v>4805</v>
      </c>
      <c r="H492">
        <v>92</v>
      </c>
      <c r="I492" t="s">
        <v>4801</v>
      </c>
      <c r="J492" s="631">
        <v>117</v>
      </c>
      <c r="K492">
        <v>66</v>
      </c>
      <c r="L492" t="s">
        <v>4918</v>
      </c>
      <c r="P492" t="s">
        <v>85</v>
      </c>
      <c r="Q492" t="s">
        <v>85</v>
      </c>
      <c r="R492">
        <v>0</v>
      </c>
    </row>
    <row r="493" spans="1:18" ht="19.899999999999999" customHeight="1">
      <c r="A493" t="str">
        <f t="shared" si="8"/>
        <v>IT33</v>
      </c>
      <c r="B493" t="s">
        <v>5182</v>
      </c>
      <c r="C493" t="s">
        <v>5191</v>
      </c>
      <c r="D493">
        <v>99</v>
      </c>
      <c r="E493" t="s">
        <v>4808</v>
      </c>
      <c r="F493">
        <v>113</v>
      </c>
      <c r="G493" t="s">
        <v>4814</v>
      </c>
      <c r="H493">
        <v>128</v>
      </c>
      <c r="I493" t="s">
        <v>4808</v>
      </c>
      <c r="J493" s="631">
        <v>128</v>
      </c>
      <c r="K493">
        <v>50</v>
      </c>
      <c r="L493" t="s">
        <v>4807</v>
      </c>
      <c r="P493">
        <v>2346</v>
      </c>
      <c r="Q493">
        <v>1</v>
      </c>
      <c r="R493">
        <v>2347</v>
      </c>
    </row>
    <row r="494" spans="1:18" ht="19.899999999999999" customHeight="1">
      <c r="A494" t="str">
        <f t="shared" si="8"/>
        <v>IT27</v>
      </c>
      <c r="B494" t="s">
        <v>5182</v>
      </c>
      <c r="C494" t="s">
        <v>5192</v>
      </c>
      <c r="D494">
        <v>96</v>
      </c>
      <c r="E494" t="s">
        <v>4809</v>
      </c>
      <c r="F494">
        <v>78</v>
      </c>
      <c r="G494" t="s">
        <v>4812</v>
      </c>
      <c r="H494">
        <v>84</v>
      </c>
      <c r="I494" t="s">
        <v>4809</v>
      </c>
      <c r="J494" s="631">
        <v>96</v>
      </c>
      <c r="K494">
        <v>39</v>
      </c>
      <c r="L494" t="s">
        <v>4809</v>
      </c>
      <c r="P494">
        <v>2611</v>
      </c>
      <c r="Q494">
        <v>1</v>
      </c>
      <c r="R494">
        <v>2612</v>
      </c>
    </row>
    <row r="495" spans="1:18" ht="19.899999999999999" customHeight="1">
      <c r="A495" t="str">
        <f t="shared" si="8"/>
        <v>IT#3MTR</v>
      </c>
      <c r="B495" t="s">
        <v>5182</v>
      </c>
      <c r="C495" t="s">
        <v>4811</v>
      </c>
      <c r="D495">
        <v>516</v>
      </c>
      <c r="E495" t="s">
        <v>4805</v>
      </c>
      <c r="F495">
        <v>502</v>
      </c>
      <c r="G495" t="s">
        <v>4796</v>
      </c>
      <c r="H495">
        <v>537</v>
      </c>
      <c r="I495" t="s">
        <v>4796</v>
      </c>
      <c r="J495" s="631">
        <v>537</v>
      </c>
      <c r="K495" t="s">
        <v>4793</v>
      </c>
      <c r="L495" t="s">
        <v>4793</v>
      </c>
      <c r="P495">
        <v>498</v>
      </c>
      <c r="Q495">
        <v>1</v>
      </c>
      <c r="R495">
        <v>499</v>
      </c>
    </row>
    <row r="496" spans="1:18" ht="19.899999999999999" customHeight="1">
      <c r="A496" t="str">
        <f t="shared" si="8"/>
        <v>IT21</v>
      </c>
      <c r="B496" t="s">
        <v>5182</v>
      </c>
      <c r="C496" t="s">
        <v>5193</v>
      </c>
      <c r="D496">
        <v>126</v>
      </c>
      <c r="E496" t="s">
        <v>4792</v>
      </c>
      <c r="F496">
        <v>122</v>
      </c>
      <c r="G496" t="s">
        <v>4805</v>
      </c>
      <c r="H496">
        <v>134</v>
      </c>
      <c r="I496" t="s">
        <v>4812</v>
      </c>
      <c r="J496" s="631">
        <v>134</v>
      </c>
      <c r="K496">
        <v>42</v>
      </c>
      <c r="L496" t="s">
        <v>4792</v>
      </c>
      <c r="P496">
        <v>2575</v>
      </c>
      <c r="Q496" t="s">
        <v>85</v>
      </c>
      <c r="R496">
        <v>2575</v>
      </c>
    </row>
    <row r="497" spans="1:18" ht="19.899999999999999" customHeight="1">
      <c r="A497" t="str">
        <f t="shared" si="8"/>
        <v>IT30</v>
      </c>
      <c r="B497" t="s">
        <v>5182</v>
      </c>
      <c r="C497" t="s">
        <v>5194</v>
      </c>
      <c r="D497">
        <v>175</v>
      </c>
      <c r="E497" t="s">
        <v>4805</v>
      </c>
      <c r="F497">
        <v>155</v>
      </c>
      <c r="G497" t="s">
        <v>4805</v>
      </c>
      <c r="H497">
        <v>147</v>
      </c>
      <c r="I497" t="s">
        <v>4805</v>
      </c>
      <c r="J497" s="631">
        <v>175</v>
      </c>
      <c r="K497">
        <v>49</v>
      </c>
      <c r="L497" t="s">
        <v>4805</v>
      </c>
      <c r="P497">
        <v>120</v>
      </c>
      <c r="Q497">
        <v>1</v>
      </c>
      <c r="R497">
        <v>121</v>
      </c>
    </row>
    <row r="498" spans="1:18" ht="19.899999999999999" customHeight="1">
      <c r="A498" t="str">
        <f t="shared" si="8"/>
        <v>IT26</v>
      </c>
      <c r="B498" t="s">
        <v>5182</v>
      </c>
      <c r="C498" t="s">
        <v>5195</v>
      </c>
      <c r="D498">
        <v>26</v>
      </c>
      <c r="E498" t="s">
        <v>4805</v>
      </c>
      <c r="F498">
        <v>23</v>
      </c>
      <c r="G498" t="s">
        <v>4805</v>
      </c>
      <c r="H498">
        <v>35</v>
      </c>
      <c r="I498" t="s">
        <v>4802</v>
      </c>
      <c r="J498" s="631">
        <v>35</v>
      </c>
      <c r="K498">
        <v>15</v>
      </c>
      <c r="L498" t="s">
        <v>4802</v>
      </c>
      <c r="P498">
        <v>3062</v>
      </c>
      <c r="Q498">
        <v>4</v>
      </c>
      <c r="R498">
        <v>3066</v>
      </c>
    </row>
    <row r="499" spans="1:18" ht="19.899999999999999" customHeight="1">
      <c r="A499" t="str">
        <f t="shared" si="8"/>
        <v>IT31</v>
      </c>
      <c r="B499" t="s">
        <v>5182</v>
      </c>
      <c r="C499" t="s">
        <v>5196</v>
      </c>
      <c r="D499">
        <v>60</v>
      </c>
      <c r="E499" t="s">
        <v>4796</v>
      </c>
      <c r="F499">
        <v>51</v>
      </c>
      <c r="G499" t="s">
        <v>4801</v>
      </c>
      <c r="H499">
        <v>69</v>
      </c>
      <c r="I499" t="s">
        <v>4796</v>
      </c>
      <c r="J499" s="631">
        <v>69</v>
      </c>
      <c r="K499">
        <v>27</v>
      </c>
      <c r="L499" t="s">
        <v>4796</v>
      </c>
      <c r="P499">
        <v>40</v>
      </c>
      <c r="Q499">
        <v>14</v>
      </c>
      <c r="R499">
        <v>54</v>
      </c>
    </row>
    <row r="500" spans="1:18" ht="19.899999999999999" customHeight="1">
      <c r="A500" t="str">
        <f t="shared" si="8"/>
        <v>IT28</v>
      </c>
      <c r="B500" t="s">
        <v>5182</v>
      </c>
      <c r="C500" t="s">
        <v>5197</v>
      </c>
      <c r="D500">
        <v>149</v>
      </c>
      <c r="E500" t="s">
        <v>4796</v>
      </c>
      <c r="F500">
        <v>183</v>
      </c>
      <c r="G500" t="s">
        <v>4809</v>
      </c>
      <c r="H500">
        <v>176</v>
      </c>
      <c r="I500" t="s">
        <v>4809</v>
      </c>
      <c r="J500" s="631">
        <v>183</v>
      </c>
      <c r="K500">
        <v>42</v>
      </c>
      <c r="L500" t="s">
        <v>4801</v>
      </c>
      <c r="P500">
        <v>5</v>
      </c>
      <c r="Q500">
        <v>5</v>
      </c>
      <c r="R500">
        <v>10</v>
      </c>
    </row>
    <row r="501" spans="1:18" ht="19.899999999999999" customHeight="1">
      <c r="A501" t="str">
        <f t="shared" si="8"/>
        <v>IF#1MTR</v>
      </c>
      <c r="B501" t="s">
        <v>5198</v>
      </c>
      <c r="C501" t="s">
        <v>4791</v>
      </c>
      <c r="D501">
        <v>222</v>
      </c>
      <c r="E501" t="s">
        <v>4792</v>
      </c>
      <c r="F501">
        <v>214</v>
      </c>
      <c r="G501" t="s">
        <v>4853</v>
      </c>
      <c r="H501">
        <v>221</v>
      </c>
      <c r="I501" t="s">
        <v>4792</v>
      </c>
      <c r="J501" s="631">
        <v>222</v>
      </c>
      <c r="K501" t="s">
        <v>4793</v>
      </c>
      <c r="L501" t="s">
        <v>4793</v>
      </c>
      <c r="P501">
        <v>30</v>
      </c>
      <c r="Q501">
        <v>4</v>
      </c>
      <c r="R501">
        <v>34</v>
      </c>
    </row>
    <row r="502" spans="1:18" ht="19.899999999999999" customHeight="1">
      <c r="A502" t="str">
        <f t="shared" si="8"/>
        <v>IF21</v>
      </c>
      <c r="B502" t="s">
        <v>5198</v>
      </c>
      <c r="C502" t="s">
        <v>5199</v>
      </c>
      <c r="D502">
        <v>32</v>
      </c>
      <c r="E502" t="s">
        <v>4796</v>
      </c>
      <c r="F502">
        <v>45</v>
      </c>
      <c r="G502" t="s">
        <v>4796</v>
      </c>
      <c r="H502">
        <v>27</v>
      </c>
      <c r="I502" t="s">
        <v>4800</v>
      </c>
      <c r="J502" s="631">
        <v>45</v>
      </c>
      <c r="K502">
        <v>29</v>
      </c>
      <c r="L502" t="s">
        <v>4800</v>
      </c>
      <c r="P502">
        <v>64</v>
      </c>
      <c r="Q502">
        <v>5</v>
      </c>
      <c r="R502">
        <v>69</v>
      </c>
    </row>
    <row r="503" spans="1:18" ht="19.899999999999999" customHeight="1">
      <c r="A503" t="str">
        <f t="shared" si="8"/>
        <v>IF25</v>
      </c>
      <c r="B503" t="s">
        <v>5198</v>
      </c>
      <c r="C503" t="s">
        <v>5200</v>
      </c>
      <c r="D503">
        <v>83</v>
      </c>
      <c r="E503" t="s">
        <v>4853</v>
      </c>
      <c r="F503">
        <v>84</v>
      </c>
      <c r="G503" t="s">
        <v>4853</v>
      </c>
      <c r="H503">
        <v>81</v>
      </c>
      <c r="I503" t="s">
        <v>4853</v>
      </c>
      <c r="J503" s="631">
        <v>84</v>
      </c>
      <c r="K503">
        <v>22</v>
      </c>
      <c r="L503" t="s">
        <v>4807</v>
      </c>
      <c r="P503">
        <v>15</v>
      </c>
      <c r="Q503">
        <v>6</v>
      </c>
      <c r="R503">
        <v>21</v>
      </c>
    </row>
    <row r="504" spans="1:18" ht="19.899999999999999" customHeight="1">
      <c r="A504" t="str">
        <f t="shared" si="8"/>
        <v>IF30</v>
      </c>
      <c r="B504" t="s">
        <v>5198</v>
      </c>
      <c r="C504" t="s">
        <v>5201</v>
      </c>
      <c r="D504">
        <v>114</v>
      </c>
      <c r="E504" t="s">
        <v>4792</v>
      </c>
      <c r="F504">
        <v>131</v>
      </c>
      <c r="G504" t="s">
        <v>4792</v>
      </c>
      <c r="H504">
        <v>128</v>
      </c>
      <c r="I504" t="s">
        <v>4812</v>
      </c>
      <c r="J504" s="631">
        <v>131</v>
      </c>
      <c r="K504">
        <v>30</v>
      </c>
      <c r="L504" t="s">
        <v>4812</v>
      </c>
      <c r="P504">
        <v>5</v>
      </c>
      <c r="Q504">
        <v>17</v>
      </c>
      <c r="R504">
        <v>22</v>
      </c>
    </row>
    <row r="505" spans="1:18" ht="19.899999999999999" customHeight="1">
      <c r="A505" t="str">
        <f t="shared" si="8"/>
        <v>IF33</v>
      </c>
      <c r="B505" t="s">
        <v>5198</v>
      </c>
      <c r="C505" t="s">
        <v>5202</v>
      </c>
      <c r="D505">
        <v>0</v>
      </c>
      <c r="E505" t="s">
        <v>4810</v>
      </c>
      <c r="F505">
        <v>2</v>
      </c>
      <c r="G505" t="s">
        <v>4810</v>
      </c>
      <c r="H505">
        <v>3</v>
      </c>
      <c r="I505" t="s">
        <v>4809</v>
      </c>
      <c r="J505" s="631">
        <v>3</v>
      </c>
      <c r="K505">
        <v>0</v>
      </c>
      <c r="L505" t="s">
        <v>4810</v>
      </c>
      <c r="P505">
        <v>3</v>
      </c>
      <c r="Q505">
        <v>1</v>
      </c>
      <c r="R505">
        <v>4</v>
      </c>
    </row>
    <row r="506" spans="1:18" ht="19.899999999999999" customHeight="1">
      <c r="A506" t="str">
        <f t="shared" si="8"/>
        <v>IF34</v>
      </c>
      <c r="B506" t="s">
        <v>5198</v>
      </c>
      <c r="C506" t="s">
        <v>5203</v>
      </c>
      <c r="D506">
        <v>28</v>
      </c>
      <c r="E506" t="s">
        <v>4801</v>
      </c>
      <c r="F506">
        <v>29</v>
      </c>
      <c r="G506" t="s">
        <v>4801</v>
      </c>
      <c r="H506">
        <v>30</v>
      </c>
      <c r="I506" t="s">
        <v>4801</v>
      </c>
      <c r="J506" s="631">
        <v>30</v>
      </c>
      <c r="K506">
        <v>4</v>
      </c>
      <c r="L506" t="s">
        <v>4792</v>
      </c>
      <c r="P506">
        <v>0</v>
      </c>
      <c r="Q506">
        <v>1</v>
      </c>
      <c r="R506">
        <v>1</v>
      </c>
    </row>
    <row r="507" spans="1:18" ht="19.899999999999999" customHeight="1">
      <c r="A507" t="str">
        <f t="shared" si="8"/>
        <v>IF#2MTR</v>
      </c>
      <c r="B507" t="s">
        <v>5198</v>
      </c>
      <c r="C507" t="s">
        <v>4803</v>
      </c>
      <c r="D507">
        <v>311</v>
      </c>
      <c r="E507" t="s">
        <v>4792</v>
      </c>
      <c r="F507">
        <v>288</v>
      </c>
      <c r="G507" t="s">
        <v>4802</v>
      </c>
      <c r="H507">
        <v>316</v>
      </c>
      <c r="I507" t="s">
        <v>4792</v>
      </c>
      <c r="J507" s="631">
        <v>316</v>
      </c>
      <c r="K507" t="s">
        <v>4793</v>
      </c>
      <c r="L507" t="s">
        <v>4793</v>
      </c>
      <c r="P507">
        <v>22</v>
      </c>
      <c r="Q507">
        <v>15</v>
      </c>
      <c r="R507">
        <v>37</v>
      </c>
    </row>
    <row r="508" spans="1:18" ht="19.899999999999999" customHeight="1">
      <c r="A508" t="str">
        <f t="shared" si="8"/>
        <v>IF31</v>
      </c>
      <c r="B508" t="s">
        <v>5198</v>
      </c>
      <c r="C508" t="s">
        <v>5204</v>
      </c>
      <c r="D508">
        <v>54</v>
      </c>
      <c r="E508" t="s">
        <v>4814</v>
      </c>
      <c r="F508">
        <v>54</v>
      </c>
      <c r="G508" t="s">
        <v>4792</v>
      </c>
      <c r="H508">
        <v>59</v>
      </c>
      <c r="I508" t="s">
        <v>4809</v>
      </c>
      <c r="J508" s="631">
        <v>59</v>
      </c>
      <c r="K508">
        <v>13</v>
      </c>
      <c r="L508" t="s">
        <v>4814</v>
      </c>
      <c r="P508">
        <v>119</v>
      </c>
      <c r="Q508">
        <v>13</v>
      </c>
      <c r="R508">
        <v>132</v>
      </c>
    </row>
    <row r="509" spans="1:18" ht="19.899999999999999" customHeight="1">
      <c r="A509" t="str">
        <f t="shared" si="8"/>
        <v>IF22</v>
      </c>
      <c r="B509" t="s">
        <v>5198</v>
      </c>
      <c r="C509" t="s">
        <v>5205</v>
      </c>
      <c r="D509">
        <v>26</v>
      </c>
      <c r="E509" t="s">
        <v>4812</v>
      </c>
      <c r="F509">
        <v>26</v>
      </c>
      <c r="G509" t="s">
        <v>4812</v>
      </c>
      <c r="H509">
        <v>26</v>
      </c>
      <c r="I509" t="s">
        <v>4812</v>
      </c>
      <c r="J509" s="631">
        <v>26</v>
      </c>
      <c r="K509">
        <v>0</v>
      </c>
      <c r="L509" t="s">
        <v>4810</v>
      </c>
      <c r="P509">
        <v>8</v>
      </c>
      <c r="Q509">
        <v>3</v>
      </c>
      <c r="R509">
        <v>11</v>
      </c>
    </row>
    <row r="510" spans="1:18" ht="19.899999999999999" customHeight="1">
      <c r="A510" t="str">
        <f t="shared" si="8"/>
        <v>IF23</v>
      </c>
      <c r="B510" t="s">
        <v>5198</v>
      </c>
      <c r="C510" t="s">
        <v>5206</v>
      </c>
      <c r="D510">
        <v>60</v>
      </c>
      <c r="E510" t="s">
        <v>4792</v>
      </c>
      <c r="F510">
        <v>71</v>
      </c>
      <c r="G510" t="s">
        <v>4792</v>
      </c>
      <c r="H510">
        <v>94</v>
      </c>
      <c r="I510" t="s">
        <v>4802</v>
      </c>
      <c r="J510" s="631">
        <v>94</v>
      </c>
      <c r="K510">
        <v>43</v>
      </c>
      <c r="L510" t="s">
        <v>4802</v>
      </c>
      <c r="P510">
        <v>1</v>
      </c>
      <c r="Q510">
        <v>7</v>
      </c>
      <c r="R510">
        <v>8</v>
      </c>
    </row>
    <row r="511" spans="1:18" ht="19.899999999999999" customHeight="1">
      <c r="A511" t="str">
        <f t="shared" si="8"/>
        <v>IF24</v>
      </c>
      <c r="B511" t="s">
        <v>5198</v>
      </c>
      <c r="C511" t="s">
        <v>5207</v>
      </c>
      <c r="D511">
        <v>138</v>
      </c>
      <c r="E511" t="s">
        <v>4801</v>
      </c>
      <c r="F511">
        <v>138</v>
      </c>
      <c r="G511" t="s">
        <v>4801</v>
      </c>
      <c r="H511">
        <v>131</v>
      </c>
      <c r="I511" t="s">
        <v>4805</v>
      </c>
      <c r="J511" s="631">
        <v>138</v>
      </c>
      <c r="K511">
        <v>15</v>
      </c>
      <c r="L511" t="s">
        <v>4807</v>
      </c>
      <c r="P511">
        <v>40</v>
      </c>
      <c r="Q511">
        <v>13</v>
      </c>
      <c r="R511">
        <v>53</v>
      </c>
    </row>
    <row r="512" spans="1:18" ht="19.899999999999999" customHeight="1">
      <c r="A512" t="str">
        <f t="shared" si="8"/>
        <v>IF26</v>
      </c>
      <c r="B512" t="s">
        <v>5198</v>
      </c>
      <c r="C512" t="s">
        <v>5208</v>
      </c>
      <c r="D512">
        <v>62</v>
      </c>
      <c r="E512" t="s">
        <v>4795</v>
      </c>
      <c r="F512">
        <v>38</v>
      </c>
      <c r="G512" t="s">
        <v>4795</v>
      </c>
      <c r="H512">
        <v>46</v>
      </c>
      <c r="I512" t="s">
        <v>4872</v>
      </c>
      <c r="J512" s="631">
        <v>62</v>
      </c>
      <c r="K512">
        <v>33</v>
      </c>
      <c r="L512" t="s">
        <v>4802</v>
      </c>
      <c r="P512">
        <v>0</v>
      </c>
      <c r="Q512">
        <v>1</v>
      </c>
      <c r="R512">
        <v>1</v>
      </c>
    </row>
    <row r="513" spans="1:18" ht="19.899999999999999" customHeight="1">
      <c r="A513" t="str">
        <f t="shared" si="8"/>
        <v>IF#3MTR</v>
      </c>
      <c r="B513" t="s">
        <v>5198</v>
      </c>
      <c r="C513" t="s">
        <v>4811</v>
      </c>
      <c r="D513">
        <v>393</v>
      </c>
      <c r="E513" t="s">
        <v>4795</v>
      </c>
      <c r="F513">
        <v>391</v>
      </c>
      <c r="G513" t="s">
        <v>4795</v>
      </c>
      <c r="H513">
        <v>412</v>
      </c>
      <c r="I513" t="s">
        <v>4795</v>
      </c>
      <c r="J513" s="631">
        <v>412</v>
      </c>
      <c r="K513" t="s">
        <v>4793</v>
      </c>
      <c r="L513" t="s">
        <v>4793</v>
      </c>
      <c r="P513">
        <v>53</v>
      </c>
      <c r="Q513">
        <v>7</v>
      </c>
      <c r="R513">
        <v>60</v>
      </c>
    </row>
    <row r="514" spans="1:18" ht="19.899999999999999" customHeight="1">
      <c r="A514" t="str">
        <f t="shared" si="8"/>
        <v>IF35</v>
      </c>
      <c r="B514" t="s">
        <v>5198</v>
      </c>
      <c r="C514" t="s">
        <v>5209</v>
      </c>
      <c r="D514">
        <v>14</v>
      </c>
      <c r="E514" t="s">
        <v>4795</v>
      </c>
      <c r="F514">
        <v>17</v>
      </c>
      <c r="G514" t="s">
        <v>4812</v>
      </c>
      <c r="H514">
        <v>11</v>
      </c>
      <c r="I514" t="s">
        <v>4795</v>
      </c>
      <c r="J514" s="631">
        <v>17</v>
      </c>
      <c r="K514">
        <v>10</v>
      </c>
      <c r="L514" t="s">
        <v>4792</v>
      </c>
      <c r="P514" t="s">
        <v>85</v>
      </c>
      <c r="Q514">
        <v>1</v>
      </c>
      <c r="R514">
        <v>1</v>
      </c>
    </row>
    <row r="515" spans="1:18" ht="19.899999999999999" customHeight="1">
      <c r="A515" t="str">
        <f t="shared" si="8"/>
        <v>IF38</v>
      </c>
      <c r="B515" t="s">
        <v>5198</v>
      </c>
      <c r="C515" t="s">
        <v>5210</v>
      </c>
      <c r="D515">
        <v>101</v>
      </c>
      <c r="E515" t="s">
        <v>4826</v>
      </c>
      <c r="F515">
        <v>101</v>
      </c>
      <c r="G515" t="s">
        <v>4918</v>
      </c>
      <c r="H515">
        <v>103</v>
      </c>
      <c r="I515" t="s">
        <v>4826</v>
      </c>
      <c r="J515" s="631">
        <v>103</v>
      </c>
      <c r="K515">
        <v>21</v>
      </c>
      <c r="L515" t="s">
        <v>4798</v>
      </c>
      <c r="P515">
        <v>13</v>
      </c>
      <c r="Q515">
        <v>10</v>
      </c>
      <c r="R515">
        <v>23</v>
      </c>
    </row>
    <row r="516" spans="1:18" ht="19.899999999999999" customHeight="1">
      <c r="A516" t="str">
        <f t="shared" si="8"/>
        <v>IF36</v>
      </c>
      <c r="B516" t="s">
        <v>5198</v>
      </c>
      <c r="C516" t="s">
        <v>5212</v>
      </c>
      <c r="D516">
        <v>122</v>
      </c>
      <c r="E516" t="s">
        <v>4800</v>
      </c>
      <c r="F516">
        <v>75</v>
      </c>
      <c r="G516" t="s">
        <v>4792</v>
      </c>
      <c r="H516">
        <v>81</v>
      </c>
      <c r="I516" t="s">
        <v>4812</v>
      </c>
      <c r="J516" s="631">
        <v>122</v>
      </c>
      <c r="K516">
        <v>54</v>
      </c>
      <c r="L516" t="s">
        <v>4800</v>
      </c>
      <c r="P516">
        <v>9</v>
      </c>
      <c r="Q516">
        <v>9</v>
      </c>
      <c r="R516">
        <v>18</v>
      </c>
    </row>
    <row r="517" spans="1:18" ht="19.899999999999999" customHeight="1">
      <c r="A517" t="str">
        <f t="shared" si="8"/>
        <v>IF37</v>
      </c>
      <c r="B517" t="s">
        <v>5198</v>
      </c>
      <c r="C517" t="s">
        <v>5213</v>
      </c>
      <c r="D517">
        <v>141</v>
      </c>
      <c r="E517" t="s">
        <v>4792</v>
      </c>
      <c r="F517">
        <v>147</v>
      </c>
      <c r="G517" t="s">
        <v>4802</v>
      </c>
      <c r="H517">
        <v>175</v>
      </c>
      <c r="I517" t="s">
        <v>4795</v>
      </c>
      <c r="J517" s="631">
        <v>175</v>
      </c>
      <c r="K517">
        <v>34</v>
      </c>
      <c r="L517" t="s">
        <v>4795</v>
      </c>
      <c r="P517">
        <v>1033</v>
      </c>
      <c r="Q517">
        <v>4</v>
      </c>
      <c r="R517">
        <v>1037</v>
      </c>
    </row>
    <row r="518" spans="1:18" ht="19.899999999999999" customHeight="1">
      <c r="A518" t="str">
        <f t="shared" si="8"/>
        <v>IF39</v>
      </c>
      <c r="B518" t="s">
        <v>5198</v>
      </c>
      <c r="C518" t="s">
        <v>5211</v>
      </c>
      <c r="D518">
        <v>36</v>
      </c>
      <c r="E518" t="s">
        <v>4802</v>
      </c>
      <c r="F518">
        <v>65</v>
      </c>
      <c r="G518" t="s">
        <v>4792</v>
      </c>
      <c r="H518">
        <v>63</v>
      </c>
      <c r="I518" t="s">
        <v>4795</v>
      </c>
      <c r="J518" s="631">
        <v>65</v>
      </c>
      <c r="K518">
        <v>33</v>
      </c>
      <c r="L518" t="s">
        <v>4792</v>
      </c>
      <c r="P518">
        <v>2066</v>
      </c>
      <c r="Q518">
        <v>3</v>
      </c>
      <c r="R518">
        <v>2069</v>
      </c>
    </row>
    <row r="519" spans="1:18" ht="19.899999999999999" customHeight="1">
      <c r="A519" t="str">
        <f t="shared" si="8"/>
        <v>IF#4MTR</v>
      </c>
      <c r="B519" t="s">
        <v>5198</v>
      </c>
      <c r="C519" t="s">
        <v>4996</v>
      </c>
      <c r="D519">
        <v>490</v>
      </c>
      <c r="E519" t="s">
        <v>4792</v>
      </c>
      <c r="F519">
        <v>416</v>
      </c>
      <c r="G519" t="s">
        <v>4792</v>
      </c>
      <c r="H519">
        <v>458</v>
      </c>
      <c r="I519" t="s">
        <v>4792</v>
      </c>
      <c r="J519" s="631">
        <v>490</v>
      </c>
      <c r="K519" t="s">
        <v>4793</v>
      </c>
      <c r="L519" t="s">
        <v>4793</v>
      </c>
      <c r="P519">
        <v>258</v>
      </c>
      <c r="Q519">
        <v>5</v>
      </c>
      <c r="R519">
        <v>263</v>
      </c>
    </row>
    <row r="520" spans="1:18" ht="19.899999999999999" customHeight="1">
      <c r="A520" t="str">
        <f t="shared" si="8"/>
        <v>IF27</v>
      </c>
      <c r="B520" t="s">
        <v>5198</v>
      </c>
      <c r="C520" t="s">
        <v>5214</v>
      </c>
      <c r="D520">
        <v>30</v>
      </c>
      <c r="E520" t="s">
        <v>4805</v>
      </c>
      <c r="F520">
        <v>28</v>
      </c>
      <c r="G520" t="s">
        <v>4795</v>
      </c>
      <c r="H520">
        <v>27</v>
      </c>
      <c r="I520" t="s">
        <v>4792</v>
      </c>
      <c r="J520" s="631">
        <v>30</v>
      </c>
      <c r="K520">
        <v>16</v>
      </c>
      <c r="L520" t="s">
        <v>4918</v>
      </c>
      <c r="P520" t="s">
        <v>85</v>
      </c>
      <c r="Q520">
        <v>1</v>
      </c>
      <c r="R520">
        <v>1</v>
      </c>
    </row>
    <row r="521" spans="1:18" ht="19.899999999999999" customHeight="1">
      <c r="A521" t="str">
        <f t="shared" si="8"/>
        <v>IF20</v>
      </c>
      <c r="B521" t="s">
        <v>5198</v>
      </c>
      <c r="C521" t="s">
        <v>5215</v>
      </c>
      <c r="D521">
        <v>219</v>
      </c>
      <c r="E521" t="s">
        <v>4792</v>
      </c>
      <c r="F521">
        <v>193</v>
      </c>
      <c r="G521" t="s">
        <v>4792</v>
      </c>
      <c r="H521">
        <v>213</v>
      </c>
      <c r="I521" t="s">
        <v>4792</v>
      </c>
      <c r="J521" s="631">
        <v>219</v>
      </c>
      <c r="K521">
        <v>42</v>
      </c>
      <c r="L521" t="s">
        <v>4800</v>
      </c>
      <c r="P521">
        <v>2</v>
      </c>
      <c r="Q521">
        <v>3</v>
      </c>
      <c r="R521">
        <v>5</v>
      </c>
    </row>
    <row r="522" spans="1:18" ht="19.899999999999999" customHeight="1">
      <c r="A522" t="str">
        <f t="shared" ref="A522:A585" si="9">IF(COUNTIF(C522,"*TR*")&gt;0,SUBSTITUTE(RIGHT(B522,3) &amp; C522," ",""),MID(C522,FIND("(",C522)+1,4))</f>
        <v>IF28</v>
      </c>
      <c r="B522" t="s">
        <v>5198</v>
      </c>
      <c r="C522" t="s">
        <v>5216</v>
      </c>
      <c r="D522">
        <v>108</v>
      </c>
      <c r="E522" t="s">
        <v>4792</v>
      </c>
      <c r="F522">
        <v>92</v>
      </c>
      <c r="G522" t="s">
        <v>4795</v>
      </c>
      <c r="H522">
        <v>97</v>
      </c>
      <c r="I522" t="s">
        <v>4809</v>
      </c>
      <c r="J522" s="631">
        <v>108</v>
      </c>
      <c r="K522">
        <v>31</v>
      </c>
      <c r="L522" t="s">
        <v>4801</v>
      </c>
      <c r="P522">
        <v>6</v>
      </c>
      <c r="Q522">
        <v>4</v>
      </c>
      <c r="R522">
        <v>10</v>
      </c>
    </row>
    <row r="523" spans="1:18" ht="19.899999999999999" customHeight="1">
      <c r="A523" t="str">
        <f t="shared" si="9"/>
        <v>IF32</v>
      </c>
      <c r="B523" t="s">
        <v>5198</v>
      </c>
      <c r="C523" t="s">
        <v>5217</v>
      </c>
      <c r="D523">
        <v>56</v>
      </c>
      <c r="E523" t="s">
        <v>4792</v>
      </c>
      <c r="F523">
        <v>26</v>
      </c>
      <c r="G523" t="s">
        <v>4795</v>
      </c>
      <c r="H523">
        <v>37</v>
      </c>
      <c r="I523" t="s">
        <v>4792</v>
      </c>
      <c r="J523" s="631">
        <v>56</v>
      </c>
      <c r="K523">
        <v>27</v>
      </c>
      <c r="L523" t="s">
        <v>4792</v>
      </c>
      <c r="P523">
        <v>278</v>
      </c>
      <c r="Q523">
        <v>6</v>
      </c>
      <c r="R523">
        <v>284</v>
      </c>
    </row>
    <row r="524" spans="1:18" ht="19.899999999999999" customHeight="1">
      <c r="A524" t="str">
        <f t="shared" si="9"/>
        <v>IF29</v>
      </c>
      <c r="B524" t="s">
        <v>5198</v>
      </c>
      <c r="C524" t="s">
        <v>5218</v>
      </c>
      <c r="D524">
        <v>84</v>
      </c>
      <c r="E524" t="s">
        <v>4792</v>
      </c>
      <c r="F524">
        <v>86</v>
      </c>
      <c r="G524" t="s">
        <v>4792</v>
      </c>
      <c r="H524">
        <v>89</v>
      </c>
      <c r="I524" t="s">
        <v>4792</v>
      </c>
      <c r="J524" s="631">
        <v>89</v>
      </c>
      <c r="K524">
        <v>20</v>
      </c>
      <c r="L524" t="s">
        <v>4814</v>
      </c>
      <c r="P524">
        <v>1720</v>
      </c>
      <c r="Q524">
        <v>5</v>
      </c>
      <c r="R524">
        <v>1725</v>
      </c>
    </row>
    <row r="525" spans="1:18" ht="19.899999999999999" customHeight="1">
      <c r="A525" t="str">
        <f t="shared" si="9"/>
        <v>ID#1MTR</v>
      </c>
      <c r="B525" t="s">
        <v>5219</v>
      </c>
      <c r="C525" t="s">
        <v>4791</v>
      </c>
      <c r="D525">
        <v>538</v>
      </c>
      <c r="E525" t="s">
        <v>4795</v>
      </c>
      <c r="F525">
        <v>437</v>
      </c>
      <c r="G525" t="s">
        <v>4792</v>
      </c>
      <c r="H525">
        <v>491</v>
      </c>
      <c r="I525" t="s">
        <v>4792</v>
      </c>
      <c r="J525" s="631">
        <v>538</v>
      </c>
      <c r="K525" t="s">
        <v>4793</v>
      </c>
      <c r="L525" t="s">
        <v>4793</v>
      </c>
      <c r="P525">
        <v>653</v>
      </c>
      <c r="Q525">
        <v>2</v>
      </c>
      <c r="R525">
        <v>655</v>
      </c>
    </row>
    <row r="526" spans="1:18" ht="19.899999999999999" customHeight="1">
      <c r="A526" t="str">
        <f t="shared" si="9"/>
        <v>ID20</v>
      </c>
      <c r="B526" t="s">
        <v>5219</v>
      </c>
      <c r="C526" t="s">
        <v>5220</v>
      </c>
      <c r="D526">
        <v>120</v>
      </c>
      <c r="E526" t="s">
        <v>4809</v>
      </c>
      <c r="F526">
        <v>138</v>
      </c>
      <c r="G526" t="s">
        <v>4809</v>
      </c>
      <c r="H526">
        <v>155</v>
      </c>
      <c r="I526" t="s">
        <v>4792</v>
      </c>
      <c r="J526" s="631">
        <v>155</v>
      </c>
      <c r="K526">
        <v>49</v>
      </c>
      <c r="L526" t="s">
        <v>4802</v>
      </c>
      <c r="P526">
        <v>2883</v>
      </c>
      <c r="Q526">
        <v>1</v>
      </c>
      <c r="R526">
        <v>2884</v>
      </c>
    </row>
    <row r="527" spans="1:18" ht="19.899999999999999" customHeight="1">
      <c r="A527" t="str">
        <f t="shared" si="9"/>
        <v>ID23</v>
      </c>
      <c r="B527" t="s">
        <v>5219</v>
      </c>
      <c r="C527" t="s">
        <v>5221</v>
      </c>
      <c r="D527">
        <v>70</v>
      </c>
      <c r="E527" t="s">
        <v>4800</v>
      </c>
      <c r="F527">
        <v>77</v>
      </c>
      <c r="G527" t="s">
        <v>4817</v>
      </c>
      <c r="H527">
        <v>72</v>
      </c>
      <c r="I527" t="s">
        <v>4817</v>
      </c>
      <c r="J527" s="631">
        <v>77</v>
      </c>
      <c r="K527">
        <v>45</v>
      </c>
      <c r="L527" t="s">
        <v>4800</v>
      </c>
      <c r="P527">
        <v>20</v>
      </c>
      <c r="Q527">
        <v>12</v>
      </c>
      <c r="R527">
        <v>32</v>
      </c>
    </row>
    <row r="528" spans="1:18" ht="19.899999999999999" customHeight="1">
      <c r="A528" t="str">
        <f t="shared" si="9"/>
        <v>ID28</v>
      </c>
      <c r="B528" t="s">
        <v>5219</v>
      </c>
      <c r="C528" t="s">
        <v>5222</v>
      </c>
      <c r="D528">
        <v>104</v>
      </c>
      <c r="E528" t="s">
        <v>4795</v>
      </c>
      <c r="F528">
        <v>75</v>
      </c>
      <c r="G528" t="s">
        <v>4792</v>
      </c>
      <c r="H528">
        <v>89</v>
      </c>
      <c r="I528" t="s">
        <v>4792</v>
      </c>
      <c r="J528" s="631">
        <v>104</v>
      </c>
      <c r="K528">
        <v>33</v>
      </c>
      <c r="L528" t="s">
        <v>4795</v>
      </c>
      <c r="P528">
        <v>2153</v>
      </c>
      <c r="Q528">
        <v>3</v>
      </c>
      <c r="R528">
        <v>2156</v>
      </c>
    </row>
    <row r="529" spans="1:18" ht="19.899999999999999" customHeight="1">
      <c r="A529" t="str">
        <f t="shared" si="9"/>
        <v>ID26</v>
      </c>
      <c r="B529" t="s">
        <v>5219</v>
      </c>
      <c r="C529" t="s">
        <v>5223</v>
      </c>
      <c r="D529">
        <v>123</v>
      </c>
      <c r="E529" t="s">
        <v>4801</v>
      </c>
      <c r="F529">
        <v>103</v>
      </c>
      <c r="G529" t="s">
        <v>4801</v>
      </c>
      <c r="H529">
        <v>97</v>
      </c>
      <c r="I529" t="s">
        <v>4807</v>
      </c>
      <c r="J529" s="631">
        <v>123</v>
      </c>
      <c r="K529">
        <v>43</v>
      </c>
      <c r="L529" t="s">
        <v>4795</v>
      </c>
      <c r="P529">
        <v>118</v>
      </c>
      <c r="Q529">
        <v>4</v>
      </c>
      <c r="R529">
        <v>122</v>
      </c>
    </row>
    <row r="530" spans="1:18" ht="19.899999999999999" customHeight="1">
      <c r="A530" t="str">
        <f t="shared" si="9"/>
        <v>ID31</v>
      </c>
      <c r="B530" t="s">
        <v>5219</v>
      </c>
      <c r="C530" t="s">
        <v>5224</v>
      </c>
      <c r="D530">
        <v>143</v>
      </c>
      <c r="E530" t="s">
        <v>4800</v>
      </c>
      <c r="F530">
        <v>130</v>
      </c>
      <c r="G530" t="s">
        <v>4792</v>
      </c>
      <c r="H530">
        <v>135</v>
      </c>
      <c r="I530" t="s">
        <v>4795</v>
      </c>
      <c r="J530" s="631">
        <v>143</v>
      </c>
      <c r="K530">
        <v>44</v>
      </c>
      <c r="L530" t="s">
        <v>4795</v>
      </c>
      <c r="P530">
        <v>3042</v>
      </c>
      <c r="Q530">
        <v>5</v>
      </c>
      <c r="R530">
        <v>3047</v>
      </c>
    </row>
    <row r="531" spans="1:18" ht="19.899999999999999" customHeight="1">
      <c r="A531" t="str">
        <f t="shared" si="9"/>
        <v>ID#2MTR</v>
      </c>
      <c r="B531" t="s">
        <v>5219</v>
      </c>
      <c r="C531" t="s">
        <v>4803</v>
      </c>
      <c r="D531">
        <v>563</v>
      </c>
      <c r="E531" t="s">
        <v>4795</v>
      </c>
      <c r="F531">
        <v>550</v>
      </c>
      <c r="G531" t="s">
        <v>4795</v>
      </c>
      <c r="H531">
        <v>553</v>
      </c>
      <c r="I531" t="s">
        <v>4795</v>
      </c>
      <c r="J531" s="631">
        <v>563</v>
      </c>
      <c r="K531" t="s">
        <v>4793</v>
      </c>
      <c r="L531" t="s">
        <v>4793</v>
      </c>
      <c r="P531">
        <v>1259</v>
      </c>
      <c r="Q531">
        <v>7</v>
      </c>
      <c r="R531">
        <v>1266</v>
      </c>
    </row>
    <row r="532" spans="1:18" ht="19.899999999999999" customHeight="1">
      <c r="A532" t="str">
        <f t="shared" si="9"/>
        <v>ID30</v>
      </c>
      <c r="B532" t="s">
        <v>5219</v>
      </c>
      <c r="C532" t="s">
        <v>5225</v>
      </c>
      <c r="D532">
        <v>76</v>
      </c>
      <c r="E532" t="s">
        <v>4802</v>
      </c>
      <c r="F532">
        <v>72</v>
      </c>
      <c r="G532" t="s">
        <v>4792</v>
      </c>
      <c r="H532">
        <v>90</v>
      </c>
      <c r="I532" t="s">
        <v>4802</v>
      </c>
      <c r="J532" s="631">
        <v>90</v>
      </c>
      <c r="K532">
        <v>31</v>
      </c>
      <c r="L532" t="s">
        <v>4802</v>
      </c>
      <c r="P532" t="s">
        <v>85</v>
      </c>
      <c r="Q532" t="s">
        <v>85</v>
      </c>
      <c r="R532">
        <v>0</v>
      </c>
    </row>
    <row r="533" spans="1:18" ht="19.899999999999999" customHeight="1">
      <c r="A533" t="str">
        <f t="shared" si="9"/>
        <v>ID24</v>
      </c>
      <c r="B533" t="s">
        <v>5219</v>
      </c>
      <c r="C533" t="s">
        <v>5226</v>
      </c>
      <c r="D533">
        <v>94</v>
      </c>
      <c r="E533" t="s">
        <v>4814</v>
      </c>
      <c r="F533">
        <v>88</v>
      </c>
      <c r="G533" t="s">
        <v>4808</v>
      </c>
      <c r="H533">
        <v>87</v>
      </c>
      <c r="I533" t="s">
        <v>4810</v>
      </c>
      <c r="J533" s="631">
        <v>94</v>
      </c>
      <c r="K533">
        <v>20</v>
      </c>
      <c r="L533" t="s">
        <v>4812</v>
      </c>
      <c r="P533">
        <v>1335</v>
      </c>
      <c r="Q533">
        <v>9</v>
      </c>
      <c r="R533">
        <v>1344</v>
      </c>
    </row>
    <row r="534" spans="1:18" ht="19.899999999999999" customHeight="1">
      <c r="A534" t="str">
        <f t="shared" si="9"/>
        <v>ID21</v>
      </c>
      <c r="B534" t="s">
        <v>5219</v>
      </c>
      <c r="C534" t="s">
        <v>5227</v>
      </c>
      <c r="D534">
        <v>171</v>
      </c>
      <c r="E534" t="s">
        <v>4812</v>
      </c>
      <c r="F534">
        <v>191</v>
      </c>
      <c r="G534" t="s">
        <v>4812</v>
      </c>
      <c r="H534">
        <v>177</v>
      </c>
      <c r="I534" t="s">
        <v>4805</v>
      </c>
      <c r="J534" s="631">
        <v>191</v>
      </c>
      <c r="K534">
        <v>25</v>
      </c>
      <c r="L534" t="s">
        <v>4801</v>
      </c>
      <c r="P534">
        <v>499</v>
      </c>
      <c r="Q534">
        <v>2</v>
      </c>
      <c r="R534">
        <v>501</v>
      </c>
    </row>
    <row r="535" spans="1:18" ht="19.899999999999999" customHeight="1">
      <c r="A535" t="str">
        <f t="shared" si="9"/>
        <v>ID29</v>
      </c>
      <c r="B535" t="s">
        <v>5219</v>
      </c>
      <c r="C535" t="s">
        <v>5228</v>
      </c>
      <c r="D535">
        <v>137</v>
      </c>
      <c r="E535" t="s">
        <v>4795</v>
      </c>
      <c r="F535">
        <v>138</v>
      </c>
      <c r="G535" t="s">
        <v>4795</v>
      </c>
      <c r="H535">
        <v>157</v>
      </c>
      <c r="I535" t="s">
        <v>4792</v>
      </c>
      <c r="J535" s="631">
        <v>157</v>
      </c>
      <c r="K535">
        <v>55</v>
      </c>
      <c r="L535" t="s">
        <v>4814</v>
      </c>
      <c r="P535">
        <v>2141</v>
      </c>
      <c r="Q535">
        <v>2</v>
      </c>
      <c r="R535">
        <v>2143</v>
      </c>
    </row>
    <row r="536" spans="1:18" ht="19.899999999999999" customHeight="1">
      <c r="A536" t="str">
        <f t="shared" si="9"/>
        <v>ID25</v>
      </c>
      <c r="B536" t="s">
        <v>5219</v>
      </c>
      <c r="C536" t="s">
        <v>5229</v>
      </c>
      <c r="D536">
        <v>119</v>
      </c>
      <c r="E536" t="s">
        <v>4802</v>
      </c>
      <c r="F536">
        <v>117</v>
      </c>
      <c r="G536" t="s">
        <v>4792</v>
      </c>
      <c r="H536">
        <v>79</v>
      </c>
      <c r="I536" t="s">
        <v>4795</v>
      </c>
      <c r="J536" s="631">
        <v>119</v>
      </c>
      <c r="K536">
        <v>50</v>
      </c>
      <c r="L536" t="s">
        <v>4802</v>
      </c>
      <c r="P536">
        <v>1151</v>
      </c>
      <c r="Q536">
        <v>3</v>
      </c>
      <c r="R536">
        <v>1154</v>
      </c>
    </row>
    <row r="537" spans="1:18" ht="19.899999999999999" customHeight="1">
      <c r="A537" t="str">
        <f t="shared" si="9"/>
        <v>ID#3MTR</v>
      </c>
      <c r="B537" t="s">
        <v>5219</v>
      </c>
      <c r="C537" t="s">
        <v>4811</v>
      </c>
      <c r="D537">
        <v>231</v>
      </c>
      <c r="E537" t="s">
        <v>4801</v>
      </c>
      <c r="F537">
        <v>263</v>
      </c>
      <c r="G537" t="s">
        <v>4801</v>
      </c>
      <c r="H537">
        <v>243</v>
      </c>
      <c r="I537" t="s">
        <v>4801</v>
      </c>
      <c r="J537" s="631">
        <v>263</v>
      </c>
      <c r="K537" t="s">
        <v>4793</v>
      </c>
      <c r="L537" t="s">
        <v>4793</v>
      </c>
      <c r="P537">
        <v>1898</v>
      </c>
      <c r="Q537">
        <v>2</v>
      </c>
      <c r="R537">
        <v>1900</v>
      </c>
    </row>
    <row r="538" spans="1:18" ht="19.899999999999999" customHeight="1">
      <c r="A538" t="str">
        <f t="shared" si="9"/>
        <v>F15)</v>
      </c>
      <c r="B538" t="s">
        <v>5219</v>
      </c>
      <c r="C538" t="s">
        <v>5527</v>
      </c>
      <c r="D538">
        <v>0</v>
      </c>
      <c r="E538" t="s">
        <v>4810</v>
      </c>
      <c r="F538">
        <v>0</v>
      </c>
      <c r="G538" t="s">
        <v>4810</v>
      </c>
      <c r="H538">
        <v>0</v>
      </c>
      <c r="I538" t="s">
        <v>4810</v>
      </c>
      <c r="J538" s="631">
        <v>0</v>
      </c>
      <c r="K538">
        <v>0</v>
      </c>
      <c r="L538" t="s">
        <v>4810</v>
      </c>
      <c r="P538">
        <v>1436</v>
      </c>
      <c r="Q538">
        <v>2</v>
      </c>
      <c r="R538">
        <v>1438</v>
      </c>
    </row>
    <row r="539" spans="1:18" ht="19.899999999999999" customHeight="1">
      <c r="A539" t="str">
        <f t="shared" si="9"/>
        <v>ID27</v>
      </c>
      <c r="B539" t="s">
        <v>5219</v>
      </c>
      <c r="C539" t="s">
        <v>5230</v>
      </c>
      <c r="D539">
        <v>216</v>
      </c>
      <c r="E539" t="s">
        <v>4801</v>
      </c>
      <c r="F539">
        <v>235</v>
      </c>
      <c r="G539" t="s">
        <v>4801</v>
      </c>
      <c r="H539">
        <v>235</v>
      </c>
      <c r="I539" t="s">
        <v>4801</v>
      </c>
      <c r="J539" s="631">
        <v>235</v>
      </c>
      <c r="K539">
        <v>34</v>
      </c>
      <c r="L539" t="s">
        <v>4809</v>
      </c>
      <c r="P539">
        <v>850</v>
      </c>
      <c r="Q539" t="s">
        <v>85</v>
      </c>
      <c r="R539">
        <v>850</v>
      </c>
    </row>
    <row r="540" spans="1:18" ht="19.899999999999999" customHeight="1">
      <c r="A540" t="str">
        <f t="shared" si="9"/>
        <v>F14)</v>
      </c>
      <c r="B540" t="s">
        <v>5219</v>
      </c>
      <c r="C540" t="s">
        <v>5071</v>
      </c>
      <c r="D540">
        <v>0</v>
      </c>
      <c r="E540" t="s">
        <v>4810</v>
      </c>
      <c r="F540">
        <v>0</v>
      </c>
      <c r="G540" t="s">
        <v>4810</v>
      </c>
      <c r="H540">
        <v>0</v>
      </c>
      <c r="I540" t="s">
        <v>4810</v>
      </c>
      <c r="J540" s="631">
        <v>0</v>
      </c>
      <c r="K540">
        <v>0</v>
      </c>
      <c r="L540" t="s">
        <v>4810</v>
      </c>
      <c r="P540">
        <v>2010</v>
      </c>
      <c r="Q540">
        <v>2</v>
      </c>
      <c r="R540">
        <v>2012</v>
      </c>
    </row>
    <row r="541" spans="1:18" ht="19.899999999999999" customHeight="1">
      <c r="A541" t="str">
        <f t="shared" si="9"/>
        <v>ID32</v>
      </c>
      <c r="B541" t="s">
        <v>5219</v>
      </c>
      <c r="C541" t="s">
        <v>5231</v>
      </c>
      <c r="D541">
        <v>0</v>
      </c>
      <c r="E541" t="s">
        <v>4810</v>
      </c>
      <c r="F541">
        <v>0</v>
      </c>
      <c r="G541" t="s">
        <v>4810</v>
      </c>
      <c r="H541">
        <v>0</v>
      </c>
      <c r="I541" t="s">
        <v>4810</v>
      </c>
      <c r="J541" s="631">
        <v>0</v>
      </c>
      <c r="K541">
        <v>0</v>
      </c>
      <c r="L541" t="s">
        <v>4810</v>
      </c>
      <c r="P541">
        <v>4</v>
      </c>
      <c r="Q541" t="s">
        <v>85</v>
      </c>
      <c r="R541">
        <v>4</v>
      </c>
    </row>
    <row r="542" spans="1:18" ht="19.899999999999999" customHeight="1">
      <c r="A542" t="str">
        <f t="shared" si="9"/>
        <v>ID22</v>
      </c>
      <c r="B542" t="s">
        <v>5219</v>
      </c>
      <c r="C542" t="s">
        <v>5232</v>
      </c>
      <c r="D542">
        <v>16</v>
      </c>
      <c r="E542" t="s">
        <v>4792</v>
      </c>
      <c r="F542">
        <v>38</v>
      </c>
      <c r="G542" t="s">
        <v>4792</v>
      </c>
      <c r="H542">
        <v>12</v>
      </c>
      <c r="I542" t="s">
        <v>4814</v>
      </c>
      <c r="J542" s="631">
        <v>38</v>
      </c>
      <c r="K542">
        <v>30</v>
      </c>
      <c r="L542" t="s">
        <v>4798</v>
      </c>
      <c r="P542">
        <v>1157</v>
      </c>
      <c r="Q542">
        <v>5</v>
      </c>
      <c r="R542">
        <v>1162</v>
      </c>
    </row>
    <row r="543" spans="1:18" ht="19.899999999999999" customHeight="1">
      <c r="A543" t="str">
        <f t="shared" si="9"/>
        <v>IK#1DTR(A)</v>
      </c>
      <c r="B543" t="s">
        <v>5233</v>
      </c>
      <c r="C543" t="s">
        <v>4859</v>
      </c>
      <c r="D543">
        <v>464</v>
      </c>
      <c r="E543" t="s">
        <v>4808</v>
      </c>
      <c r="F543">
        <v>448</v>
      </c>
      <c r="G543" t="s">
        <v>4808</v>
      </c>
      <c r="H543">
        <v>427</v>
      </c>
      <c r="I543" t="s">
        <v>4808</v>
      </c>
      <c r="J543" s="631">
        <v>464</v>
      </c>
      <c r="K543" t="s">
        <v>4793</v>
      </c>
      <c r="L543" t="s">
        <v>4793</v>
      </c>
      <c r="P543">
        <v>1060</v>
      </c>
      <c r="Q543">
        <v>3</v>
      </c>
      <c r="R543">
        <v>1063</v>
      </c>
    </row>
    <row r="544" spans="1:18" ht="19.899999999999999" customHeight="1">
      <c r="A544" t="str">
        <f t="shared" si="9"/>
        <v>IK30</v>
      </c>
      <c r="B544" t="s">
        <v>5233</v>
      </c>
      <c r="C544" t="s">
        <v>5234</v>
      </c>
      <c r="D544">
        <v>160</v>
      </c>
      <c r="E544" t="s">
        <v>4808</v>
      </c>
      <c r="F544">
        <v>153</v>
      </c>
      <c r="G544" t="s">
        <v>4814</v>
      </c>
      <c r="H544">
        <v>156</v>
      </c>
      <c r="I544" t="s">
        <v>4814</v>
      </c>
      <c r="J544" s="631">
        <v>160</v>
      </c>
      <c r="K544">
        <v>19</v>
      </c>
      <c r="L544" t="s">
        <v>4807</v>
      </c>
      <c r="P544">
        <v>2398</v>
      </c>
      <c r="Q544" t="s">
        <v>85</v>
      </c>
      <c r="R544">
        <v>2398</v>
      </c>
    </row>
    <row r="545" spans="1:18" ht="19.899999999999999" customHeight="1">
      <c r="A545" t="str">
        <f t="shared" si="9"/>
        <v>IK31</v>
      </c>
      <c r="B545" t="s">
        <v>5233</v>
      </c>
      <c r="C545" t="s">
        <v>5235</v>
      </c>
      <c r="D545">
        <v>128</v>
      </c>
      <c r="E545" t="s">
        <v>4808</v>
      </c>
      <c r="F545">
        <v>133</v>
      </c>
      <c r="G545" t="s">
        <v>4808</v>
      </c>
      <c r="H545">
        <v>143</v>
      </c>
      <c r="I545" t="s">
        <v>4808</v>
      </c>
      <c r="J545" s="631">
        <v>143</v>
      </c>
      <c r="K545">
        <v>7</v>
      </c>
      <c r="L545" t="s">
        <v>4792</v>
      </c>
      <c r="P545">
        <v>996</v>
      </c>
      <c r="Q545">
        <v>1</v>
      </c>
      <c r="R545">
        <v>997</v>
      </c>
    </row>
    <row r="546" spans="1:18" ht="19.899999999999999" customHeight="1">
      <c r="A546" t="str">
        <f t="shared" si="9"/>
        <v>IK32</v>
      </c>
      <c r="B546" t="s">
        <v>5233</v>
      </c>
      <c r="C546" t="s">
        <v>5236</v>
      </c>
      <c r="D546">
        <v>41</v>
      </c>
      <c r="E546" t="s">
        <v>4792</v>
      </c>
      <c r="F546">
        <v>41</v>
      </c>
      <c r="G546" t="s">
        <v>4795</v>
      </c>
      <c r="H546">
        <v>22</v>
      </c>
      <c r="I546" t="s">
        <v>4800</v>
      </c>
      <c r="J546" s="631">
        <v>41</v>
      </c>
      <c r="K546">
        <v>27</v>
      </c>
      <c r="L546" t="s">
        <v>4798</v>
      </c>
      <c r="P546">
        <v>2201</v>
      </c>
      <c r="Q546" t="s">
        <v>85</v>
      </c>
      <c r="R546">
        <v>2201</v>
      </c>
    </row>
    <row r="547" spans="1:18" ht="19.899999999999999" customHeight="1">
      <c r="A547" t="str">
        <f t="shared" si="9"/>
        <v>IK33</v>
      </c>
      <c r="B547" t="s">
        <v>5233</v>
      </c>
      <c r="C547" t="s">
        <v>5237</v>
      </c>
      <c r="D547">
        <v>166</v>
      </c>
      <c r="E547" t="s">
        <v>4792</v>
      </c>
      <c r="F547">
        <v>159</v>
      </c>
      <c r="G547" t="s">
        <v>4795</v>
      </c>
      <c r="H547">
        <v>153</v>
      </c>
      <c r="I547" t="s">
        <v>4792</v>
      </c>
      <c r="J547" s="631">
        <v>166</v>
      </c>
      <c r="K547">
        <v>35</v>
      </c>
      <c r="L547" t="s">
        <v>4809</v>
      </c>
      <c r="P547">
        <v>1432</v>
      </c>
      <c r="Q547">
        <v>3</v>
      </c>
      <c r="R547">
        <v>1435</v>
      </c>
    </row>
    <row r="548" spans="1:18" ht="19.899999999999999" customHeight="1">
      <c r="A548" t="str">
        <f t="shared" si="9"/>
        <v>IK34</v>
      </c>
      <c r="B548" t="s">
        <v>5233</v>
      </c>
      <c r="C548" t="s">
        <v>5238</v>
      </c>
      <c r="D548">
        <v>12</v>
      </c>
      <c r="E548" t="s">
        <v>4802</v>
      </c>
      <c r="F548">
        <v>6</v>
      </c>
      <c r="G548" t="s">
        <v>4800</v>
      </c>
      <c r="H548">
        <v>15</v>
      </c>
      <c r="I548" t="s">
        <v>4800</v>
      </c>
      <c r="J548" s="631">
        <v>15</v>
      </c>
      <c r="K548">
        <v>9</v>
      </c>
      <c r="L548" t="s">
        <v>4802</v>
      </c>
      <c r="P548">
        <v>2916</v>
      </c>
      <c r="Q548">
        <v>3</v>
      </c>
      <c r="R548">
        <v>2919</v>
      </c>
    </row>
    <row r="549" spans="1:18" ht="19.899999999999999" customHeight="1">
      <c r="A549" t="str">
        <f t="shared" si="9"/>
        <v>IK35</v>
      </c>
      <c r="B549" t="s">
        <v>5233</v>
      </c>
      <c r="C549" t="s">
        <v>5239</v>
      </c>
      <c r="D549">
        <v>0</v>
      </c>
      <c r="E549" t="s">
        <v>4810</v>
      </c>
      <c r="F549">
        <v>0</v>
      </c>
      <c r="G549" t="s">
        <v>4810</v>
      </c>
      <c r="H549">
        <v>0</v>
      </c>
      <c r="I549" t="s">
        <v>4810</v>
      </c>
      <c r="J549" s="631">
        <v>0</v>
      </c>
      <c r="K549">
        <v>0</v>
      </c>
      <c r="L549" t="s">
        <v>4810</v>
      </c>
      <c r="P549">
        <v>2783</v>
      </c>
      <c r="Q549">
        <v>1</v>
      </c>
      <c r="R549">
        <v>2784</v>
      </c>
    </row>
    <row r="550" spans="1:18" ht="19.899999999999999" customHeight="1">
      <c r="A550" t="str">
        <f t="shared" si="9"/>
        <v>IK#1DTR(B)</v>
      </c>
      <c r="B550" t="s">
        <v>5233</v>
      </c>
      <c r="C550" t="s">
        <v>4889</v>
      </c>
      <c r="D550">
        <v>296</v>
      </c>
      <c r="E550" t="s">
        <v>4792</v>
      </c>
      <c r="F550">
        <v>265</v>
      </c>
      <c r="G550" t="s">
        <v>4792</v>
      </c>
      <c r="H550">
        <v>297</v>
      </c>
      <c r="I550" t="s">
        <v>4795</v>
      </c>
      <c r="J550" s="631">
        <v>297</v>
      </c>
      <c r="K550" t="s">
        <v>4793</v>
      </c>
      <c r="L550" t="s">
        <v>4793</v>
      </c>
      <c r="P550">
        <v>2339</v>
      </c>
      <c r="Q550">
        <v>2</v>
      </c>
      <c r="R550">
        <v>2341</v>
      </c>
    </row>
    <row r="551" spans="1:18" ht="19.899999999999999" customHeight="1">
      <c r="A551" t="str">
        <f t="shared" si="9"/>
        <v>IK49</v>
      </c>
      <c r="B551" t="s">
        <v>5233</v>
      </c>
      <c r="C551" t="s">
        <v>5240</v>
      </c>
      <c r="D551">
        <v>106</v>
      </c>
      <c r="E551" t="s">
        <v>4792</v>
      </c>
      <c r="F551">
        <v>101</v>
      </c>
      <c r="G551" t="s">
        <v>4814</v>
      </c>
      <c r="H551">
        <v>95</v>
      </c>
      <c r="I551" t="s">
        <v>4795</v>
      </c>
      <c r="J551" s="631">
        <v>106</v>
      </c>
      <c r="K551">
        <v>44</v>
      </c>
      <c r="L551" t="s">
        <v>4805</v>
      </c>
      <c r="P551">
        <v>1989</v>
      </c>
      <c r="Q551">
        <v>1</v>
      </c>
      <c r="R551">
        <v>1990</v>
      </c>
    </row>
    <row r="552" spans="1:18" ht="19.899999999999999" customHeight="1">
      <c r="A552" t="str">
        <f t="shared" si="9"/>
        <v>IK48</v>
      </c>
      <c r="B552" t="s">
        <v>5233</v>
      </c>
      <c r="C552" t="s">
        <v>5241</v>
      </c>
      <c r="D552">
        <v>108</v>
      </c>
      <c r="E552" t="s">
        <v>4814</v>
      </c>
      <c r="F552">
        <v>102</v>
      </c>
      <c r="G552" t="s">
        <v>4814</v>
      </c>
      <c r="H552">
        <v>115</v>
      </c>
      <c r="I552" t="s">
        <v>4805</v>
      </c>
      <c r="J552" s="631">
        <v>115</v>
      </c>
      <c r="K552">
        <v>40</v>
      </c>
      <c r="L552" t="s">
        <v>4800</v>
      </c>
      <c r="P552">
        <v>2265</v>
      </c>
      <c r="Q552">
        <v>3</v>
      </c>
      <c r="R552">
        <v>2268</v>
      </c>
    </row>
    <row r="553" spans="1:18" ht="19.899999999999999" customHeight="1">
      <c r="A553" t="str">
        <f t="shared" si="9"/>
        <v>IK47</v>
      </c>
      <c r="B553" t="s">
        <v>5233</v>
      </c>
      <c r="C553" t="s">
        <v>5242</v>
      </c>
      <c r="D553">
        <v>85</v>
      </c>
      <c r="E553" t="s">
        <v>4792</v>
      </c>
      <c r="F553">
        <v>79</v>
      </c>
      <c r="G553" t="s">
        <v>4812</v>
      </c>
      <c r="H553">
        <v>85</v>
      </c>
      <c r="I553" t="s">
        <v>4795</v>
      </c>
      <c r="J553" s="631">
        <v>85</v>
      </c>
      <c r="K553">
        <v>23</v>
      </c>
      <c r="L553" t="s">
        <v>4795</v>
      </c>
      <c r="P553">
        <v>3878</v>
      </c>
      <c r="Q553">
        <v>1</v>
      </c>
      <c r="R553">
        <v>3879</v>
      </c>
    </row>
    <row r="554" spans="1:18" ht="19.899999999999999" customHeight="1">
      <c r="A554" t="str">
        <f t="shared" si="9"/>
        <v>IK46</v>
      </c>
      <c r="B554" t="s">
        <v>5233</v>
      </c>
      <c r="C554" t="s">
        <v>5243</v>
      </c>
      <c r="D554">
        <v>12</v>
      </c>
      <c r="E554" t="s">
        <v>4843</v>
      </c>
      <c r="F554">
        <v>11</v>
      </c>
      <c r="G554" t="s">
        <v>4826</v>
      </c>
      <c r="H554">
        <v>12</v>
      </c>
      <c r="I554" t="s">
        <v>4926</v>
      </c>
      <c r="J554" s="631">
        <v>12</v>
      </c>
      <c r="K554">
        <v>0</v>
      </c>
      <c r="L554" t="s">
        <v>4810</v>
      </c>
      <c r="P554">
        <v>2506</v>
      </c>
      <c r="Q554">
        <v>3</v>
      </c>
      <c r="R554">
        <v>2509</v>
      </c>
    </row>
    <row r="555" spans="1:18" ht="19.899999999999999" customHeight="1">
      <c r="A555" t="str">
        <f t="shared" si="9"/>
        <v>IK#2DTR(A)</v>
      </c>
      <c r="B555" t="s">
        <v>5233</v>
      </c>
      <c r="C555" t="s">
        <v>4870</v>
      </c>
      <c r="D555">
        <v>446</v>
      </c>
      <c r="E555" t="s">
        <v>4814</v>
      </c>
      <c r="F555">
        <v>435</v>
      </c>
      <c r="G555" t="s">
        <v>4805</v>
      </c>
      <c r="H555">
        <v>453</v>
      </c>
      <c r="I555" t="s">
        <v>4814</v>
      </c>
      <c r="J555" s="631">
        <v>453</v>
      </c>
      <c r="K555" t="s">
        <v>4793</v>
      </c>
      <c r="L555" t="s">
        <v>4793</v>
      </c>
      <c r="P555">
        <v>2069</v>
      </c>
      <c r="Q555">
        <v>1</v>
      </c>
      <c r="R555">
        <v>2070</v>
      </c>
    </row>
    <row r="556" spans="1:18" ht="19.899999999999999" customHeight="1">
      <c r="A556" t="str">
        <f t="shared" si="9"/>
        <v>IK36</v>
      </c>
      <c r="B556" t="s">
        <v>5233</v>
      </c>
      <c r="C556" t="s">
        <v>5244</v>
      </c>
      <c r="D556">
        <v>113</v>
      </c>
      <c r="E556" t="s">
        <v>4802</v>
      </c>
      <c r="F556">
        <v>105</v>
      </c>
      <c r="G556" t="s">
        <v>4814</v>
      </c>
      <c r="H556">
        <v>98</v>
      </c>
      <c r="I556" t="s">
        <v>4802</v>
      </c>
      <c r="J556" s="631">
        <v>113</v>
      </c>
      <c r="K556">
        <v>35</v>
      </c>
      <c r="L556" t="s">
        <v>4796</v>
      </c>
      <c r="P556">
        <v>918</v>
      </c>
      <c r="Q556">
        <v>1</v>
      </c>
      <c r="R556">
        <v>919</v>
      </c>
    </row>
    <row r="557" spans="1:18" ht="19.899999999999999" customHeight="1">
      <c r="A557" t="str">
        <f t="shared" si="9"/>
        <v>IK37</v>
      </c>
      <c r="B557" t="s">
        <v>5233</v>
      </c>
      <c r="C557" t="s">
        <v>5245</v>
      </c>
      <c r="D557">
        <v>120</v>
      </c>
      <c r="E557" t="s">
        <v>4805</v>
      </c>
      <c r="F557">
        <v>109</v>
      </c>
      <c r="G557" t="s">
        <v>4805</v>
      </c>
      <c r="H557">
        <v>98</v>
      </c>
      <c r="I557" t="s">
        <v>4805</v>
      </c>
      <c r="J557" s="631">
        <v>120</v>
      </c>
      <c r="K557">
        <v>35</v>
      </c>
      <c r="L557" t="s">
        <v>4796</v>
      </c>
      <c r="P557">
        <v>3948</v>
      </c>
      <c r="Q557">
        <v>6</v>
      </c>
      <c r="R557">
        <v>3954</v>
      </c>
    </row>
    <row r="558" spans="1:18" ht="19.899999999999999" customHeight="1">
      <c r="A558" t="str">
        <f t="shared" si="9"/>
        <v>IK38</v>
      </c>
      <c r="B558" t="s">
        <v>5233</v>
      </c>
      <c r="C558" t="s">
        <v>5246</v>
      </c>
      <c r="D558">
        <v>167</v>
      </c>
      <c r="E558" t="s">
        <v>4805</v>
      </c>
      <c r="F558">
        <v>163</v>
      </c>
      <c r="G558" t="s">
        <v>4805</v>
      </c>
      <c r="H558">
        <v>171</v>
      </c>
      <c r="I558" t="s">
        <v>4805</v>
      </c>
      <c r="J558" s="631">
        <v>171</v>
      </c>
      <c r="K558">
        <v>28</v>
      </c>
      <c r="L558" t="s">
        <v>4802</v>
      </c>
      <c r="P558" t="s">
        <v>85</v>
      </c>
      <c r="Q558" t="s">
        <v>85</v>
      </c>
      <c r="R558">
        <v>0</v>
      </c>
    </row>
    <row r="559" spans="1:18" ht="19.899999999999999" customHeight="1">
      <c r="A559" t="str">
        <f t="shared" si="9"/>
        <v>IK39</v>
      </c>
      <c r="B559" t="s">
        <v>5233</v>
      </c>
      <c r="C559" t="s">
        <v>5247</v>
      </c>
      <c r="D559">
        <v>90</v>
      </c>
      <c r="E559" t="s">
        <v>4800</v>
      </c>
      <c r="F559">
        <v>79</v>
      </c>
      <c r="G559" t="s">
        <v>4805</v>
      </c>
      <c r="H559">
        <v>81</v>
      </c>
      <c r="I559" t="s">
        <v>4814</v>
      </c>
      <c r="J559" s="631">
        <v>90</v>
      </c>
      <c r="K559">
        <v>33</v>
      </c>
      <c r="L559" t="s">
        <v>4843</v>
      </c>
      <c r="P559">
        <v>2236</v>
      </c>
      <c r="Q559">
        <v>2</v>
      </c>
      <c r="R559">
        <v>2238</v>
      </c>
    </row>
    <row r="560" spans="1:18" ht="19.899999999999999" customHeight="1">
      <c r="A560" t="str">
        <f t="shared" si="9"/>
        <v>IK#2DTR(B)</v>
      </c>
      <c r="B560" t="s">
        <v>5233</v>
      </c>
      <c r="C560" t="s">
        <v>4877</v>
      </c>
      <c r="D560">
        <v>497</v>
      </c>
      <c r="E560" t="s">
        <v>4812</v>
      </c>
      <c r="F560">
        <v>528</v>
      </c>
      <c r="G560" t="s">
        <v>4800</v>
      </c>
      <c r="H560">
        <v>494</v>
      </c>
      <c r="I560" t="s">
        <v>4795</v>
      </c>
      <c r="J560" s="631">
        <v>528</v>
      </c>
      <c r="K560" t="s">
        <v>4793</v>
      </c>
      <c r="L560" t="s">
        <v>4793</v>
      </c>
      <c r="P560">
        <v>1498</v>
      </c>
      <c r="Q560">
        <v>4</v>
      </c>
      <c r="R560">
        <v>1502</v>
      </c>
    </row>
    <row r="561" spans="1:18" ht="19.899999999999999" customHeight="1">
      <c r="A561" t="str">
        <f t="shared" si="9"/>
        <v>IK45</v>
      </c>
      <c r="B561" t="s">
        <v>5233</v>
      </c>
      <c r="C561" t="s">
        <v>5248</v>
      </c>
      <c r="D561">
        <v>0</v>
      </c>
      <c r="E561" t="s">
        <v>4810</v>
      </c>
      <c r="F561">
        <v>0</v>
      </c>
      <c r="G561" t="s">
        <v>4810</v>
      </c>
      <c r="H561">
        <v>0</v>
      </c>
      <c r="I561" t="s">
        <v>4810</v>
      </c>
      <c r="J561" s="631">
        <v>0</v>
      </c>
      <c r="K561">
        <v>0</v>
      </c>
      <c r="L561" t="s">
        <v>4810</v>
      </c>
      <c r="P561">
        <v>4727</v>
      </c>
      <c r="Q561">
        <v>3</v>
      </c>
      <c r="R561">
        <v>4730</v>
      </c>
    </row>
    <row r="562" spans="1:18" ht="19.899999999999999" customHeight="1">
      <c r="A562" t="str">
        <f t="shared" si="9"/>
        <v>IK44</v>
      </c>
      <c r="B562" t="s">
        <v>5233</v>
      </c>
      <c r="C562" t="s">
        <v>5249</v>
      </c>
      <c r="D562">
        <v>107</v>
      </c>
      <c r="E562" t="s">
        <v>4792</v>
      </c>
      <c r="F562">
        <v>121</v>
      </c>
      <c r="G562" t="s">
        <v>4792</v>
      </c>
      <c r="H562">
        <v>119</v>
      </c>
      <c r="I562" t="s">
        <v>4802</v>
      </c>
      <c r="J562" s="631">
        <v>121</v>
      </c>
      <c r="K562">
        <v>23</v>
      </c>
      <c r="L562" t="s">
        <v>4798</v>
      </c>
      <c r="P562">
        <v>651</v>
      </c>
      <c r="Q562">
        <v>3</v>
      </c>
      <c r="R562">
        <v>654</v>
      </c>
    </row>
    <row r="563" spans="1:18" ht="19.899999999999999" customHeight="1">
      <c r="A563" t="str">
        <f t="shared" si="9"/>
        <v>IK43</v>
      </c>
      <c r="B563" t="s">
        <v>5233</v>
      </c>
      <c r="C563" t="s">
        <v>5250</v>
      </c>
      <c r="D563">
        <v>68</v>
      </c>
      <c r="E563" t="s">
        <v>4808</v>
      </c>
      <c r="F563">
        <v>80</v>
      </c>
      <c r="G563" t="s">
        <v>4795</v>
      </c>
      <c r="H563">
        <v>89</v>
      </c>
      <c r="I563" t="s">
        <v>4808</v>
      </c>
      <c r="J563" s="631">
        <v>89</v>
      </c>
      <c r="K563">
        <v>38</v>
      </c>
      <c r="L563" t="s">
        <v>4800</v>
      </c>
      <c r="P563">
        <v>1862</v>
      </c>
      <c r="Q563">
        <v>4</v>
      </c>
      <c r="R563">
        <v>1866</v>
      </c>
    </row>
    <row r="564" spans="1:18" ht="19.899999999999999" customHeight="1">
      <c r="A564" t="str">
        <f t="shared" si="9"/>
        <v>IK42</v>
      </c>
      <c r="B564" t="s">
        <v>5233</v>
      </c>
      <c r="C564" t="s">
        <v>5251</v>
      </c>
      <c r="D564">
        <v>191</v>
      </c>
      <c r="E564" t="s">
        <v>4792</v>
      </c>
      <c r="F564">
        <v>195</v>
      </c>
      <c r="G564" t="s">
        <v>4795</v>
      </c>
      <c r="H564">
        <v>172</v>
      </c>
      <c r="I564" t="s">
        <v>4792</v>
      </c>
      <c r="J564" s="631">
        <v>195</v>
      </c>
      <c r="K564">
        <v>45</v>
      </c>
      <c r="L564" t="s">
        <v>4814</v>
      </c>
      <c r="P564">
        <v>1607</v>
      </c>
      <c r="Q564">
        <v>8</v>
      </c>
      <c r="R564">
        <v>1615</v>
      </c>
    </row>
    <row r="565" spans="1:18" ht="19.899999999999999" customHeight="1">
      <c r="A565" t="str">
        <f t="shared" si="9"/>
        <v>IK41</v>
      </c>
      <c r="B565" t="s">
        <v>5233</v>
      </c>
      <c r="C565" t="s">
        <v>5252</v>
      </c>
      <c r="D565">
        <v>63</v>
      </c>
      <c r="E565" t="s">
        <v>4792</v>
      </c>
      <c r="F565">
        <v>52</v>
      </c>
      <c r="G565" t="s">
        <v>4800</v>
      </c>
      <c r="H565">
        <v>73</v>
      </c>
      <c r="I565" t="s">
        <v>4812</v>
      </c>
      <c r="J565" s="631">
        <v>73</v>
      </c>
      <c r="K565">
        <v>31</v>
      </c>
      <c r="L565" t="s">
        <v>4812</v>
      </c>
      <c r="P565">
        <v>6036</v>
      </c>
      <c r="Q565">
        <v>3</v>
      </c>
      <c r="R565">
        <v>6039</v>
      </c>
    </row>
    <row r="566" spans="1:18" ht="19.899999999999999" customHeight="1">
      <c r="A566" t="str">
        <f t="shared" si="9"/>
        <v>IK40</v>
      </c>
      <c r="B566" t="s">
        <v>5233</v>
      </c>
      <c r="C566" t="s">
        <v>5253</v>
      </c>
      <c r="D566">
        <v>90</v>
      </c>
      <c r="E566" t="s">
        <v>4812</v>
      </c>
      <c r="F566">
        <v>89</v>
      </c>
      <c r="G566" t="s">
        <v>4800</v>
      </c>
      <c r="H566">
        <v>74</v>
      </c>
      <c r="I566" t="s">
        <v>4795</v>
      </c>
      <c r="J566" s="631">
        <v>90</v>
      </c>
      <c r="K566">
        <v>47</v>
      </c>
      <c r="L566" t="s">
        <v>4812</v>
      </c>
      <c r="P566">
        <v>2642</v>
      </c>
      <c r="Q566">
        <v>0</v>
      </c>
      <c r="R566">
        <v>2642</v>
      </c>
    </row>
    <row r="567" spans="1:18" ht="19.899999999999999" customHeight="1">
      <c r="A567" t="str">
        <f t="shared" si="9"/>
        <v>9N#1DTR(A)</v>
      </c>
      <c r="B567" t="s">
        <v>5254</v>
      </c>
      <c r="C567" t="s">
        <v>4859</v>
      </c>
      <c r="D567">
        <v>219</v>
      </c>
      <c r="E567" t="s">
        <v>4800</v>
      </c>
      <c r="F567">
        <v>214</v>
      </c>
      <c r="G567" t="s">
        <v>4792</v>
      </c>
      <c r="H567">
        <v>193</v>
      </c>
      <c r="I567" t="s">
        <v>4800</v>
      </c>
      <c r="J567" s="631">
        <v>219</v>
      </c>
      <c r="K567" t="s">
        <v>4793</v>
      </c>
      <c r="L567" t="s">
        <v>4793</v>
      </c>
      <c r="P567">
        <v>5055</v>
      </c>
      <c r="Q567">
        <v>3</v>
      </c>
      <c r="R567">
        <v>5058</v>
      </c>
    </row>
    <row r="568" spans="1:18" ht="19.899999999999999" customHeight="1">
      <c r="A568" t="str">
        <f t="shared" si="9"/>
        <v>9N20</v>
      </c>
      <c r="B568" t="s">
        <v>5254</v>
      </c>
      <c r="C568" t="s">
        <v>5255</v>
      </c>
      <c r="D568">
        <v>3</v>
      </c>
      <c r="E568" t="s">
        <v>4810</v>
      </c>
      <c r="F568">
        <v>3</v>
      </c>
      <c r="G568" t="s">
        <v>4810</v>
      </c>
      <c r="H568">
        <v>3</v>
      </c>
      <c r="I568" t="s">
        <v>4810</v>
      </c>
      <c r="J568" s="631">
        <v>3</v>
      </c>
      <c r="K568">
        <v>0</v>
      </c>
      <c r="L568" t="s">
        <v>4810</v>
      </c>
      <c r="P568">
        <v>660</v>
      </c>
      <c r="Q568" t="s">
        <v>85</v>
      </c>
      <c r="R568">
        <v>660</v>
      </c>
    </row>
    <row r="569" spans="1:18" ht="19.899999999999999" customHeight="1">
      <c r="A569" t="str">
        <f t="shared" si="9"/>
        <v>9N21</v>
      </c>
      <c r="B569" t="s">
        <v>5254</v>
      </c>
      <c r="C569" t="s">
        <v>5256</v>
      </c>
      <c r="D569">
        <v>3</v>
      </c>
      <c r="E569" t="s">
        <v>4810</v>
      </c>
      <c r="F569">
        <v>3</v>
      </c>
      <c r="G569" t="s">
        <v>4810</v>
      </c>
      <c r="H569">
        <v>3</v>
      </c>
      <c r="I569" t="s">
        <v>4810</v>
      </c>
      <c r="J569" s="631">
        <v>3</v>
      </c>
      <c r="K569">
        <v>0</v>
      </c>
      <c r="L569" t="s">
        <v>4810</v>
      </c>
      <c r="P569">
        <v>2318</v>
      </c>
      <c r="Q569" t="s">
        <v>85</v>
      </c>
      <c r="R569">
        <v>2318</v>
      </c>
    </row>
    <row r="570" spans="1:18" ht="19.899999999999999" customHeight="1">
      <c r="A570" t="str">
        <f t="shared" si="9"/>
        <v>9N22</v>
      </c>
      <c r="B570" t="s">
        <v>5254</v>
      </c>
      <c r="C570" t="s">
        <v>5257</v>
      </c>
      <c r="D570">
        <v>89</v>
      </c>
      <c r="E570" t="s">
        <v>4809</v>
      </c>
      <c r="F570">
        <v>101</v>
      </c>
      <c r="G570" t="s">
        <v>4792</v>
      </c>
      <c r="H570">
        <v>94</v>
      </c>
      <c r="I570" t="s">
        <v>4792</v>
      </c>
      <c r="J570" s="631">
        <v>101</v>
      </c>
      <c r="K570">
        <v>24</v>
      </c>
      <c r="L570" t="s">
        <v>4792</v>
      </c>
      <c r="P570">
        <v>3029</v>
      </c>
      <c r="Q570">
        <v>1</v>
      </c>
      <c r="R570">
        <v>3030</v>
      </c>
    </row>
    <row r="571" spans="1:18" ht="19.899999999999999" customHeight="1">
      <c r="A571" t="str">
        <f t="shared" si="9"/>
        <v>9N23</v>
      </c>
      <c r="B571" t="s">
        <v>5254</v>
      </c>
      <c r="C571" t="s">
        <v>5258</v>
      </c>
      <c r="D571">
        <v>3</v>
      </c>
      <c r="E571" t="s">
        <v>4843</v>
      </c>
      <c r="F571">
        <v>3</v>
      </c>
      <c r="G571" t="s">
        <v>4810</v>
      </c>
      <c r="H571">
        <v>3</v>
      </c>
      <c r="I571" t="s">
        <v>4810</v>
      </c>
      <c r="J571" s="631">
        <v>3</v>
      </c>
      <c r="K571">
        <v>0</v>
      </c>
      <c r="L571" t="s">
        <v>4810</v>
      </c>
      <c r="P571">
        <v>3298</v>
      </c>
      <c r="Q571">
        <v>2</v>
      </c>
      <c r="R571">
        <v>3300</v>
      </c>
    </row>
    <row r="572" spans="1:18" ht="19.899999999999999" customHeight="1">
      <c r="A572" t="str">
        <f t="shared" si="9"/>
        <v>9N24</v>
      </c>
      <c r="B572" t="s">
        <v>5254</v>
      </c>
      <c r="C572" t="s">
        <v>5259</v>
      </c>
      <c r="D572">
        <v>142</v>
      </c>
      <c r="E572" t="s">
        <v>4800</v>
      </c>
      <c r="F572">
        <v>119</v>
      </c>
      <c r="G572" t="s">
        <v>4809</v>
      </c>
      <c r="H572">
        <v>111</v>
      </c>
      <c r="I572" t="s">
        <v>4800</v>
      </c>
      <c r="J572" s="631">
        <v>142</v>
      </c>
      <c r="K572">
        <v>43</v>
      </c>
      <c r="L572" t="s">
        <v>4792</v>
      </c>
      <c r="P572">
        <v>2823</v>
      </c>
      <c r="Q572" t="s">
        <v>85</v>
      </c>
      <c r="R572">
        <v>2823</v>
      </c>
    </row>
    <row r="573" spans="1:18" ht="19.899999999999999" customHeight="1">
      <c r="A573" t="str">
        <f t="shared" si="9"/>
        <v>9N#1DTR(B)</v>
      </c>
      <c r="B573" t="s">
        <v>5254</v>
      </c>
      <c r="C573" t="s">
        <v>4889</v>
      </c>
      <c r="D573">
        <v>199</v>
      </c>
      <c r="E573" t="s">
        <v>4812</v>
      </c>
      <c r="F573">
        <v>175</v>
      </c>
      <c r="G573" t="s">
        <v>4812</v>
      </c>
      <c r="H573">
        <v>193</v>
      </c>
      <c r="I573" t="s">
        <v>4792</v>
      </c>
      <c r="J573" s="631">
        <v>199</v>
      </c>
      <c r="K573" t="s">
        <v>4793</v>
      </c>
      <c r="L573" t="s">
        <v>4793</v>
      </c>
      <c r="P573">
        <v>2223</v>
      </c>
      <c r="Q573">
        <v>3</v>
      </c>
      <c r="R573">
        <v>2226</v>
      </c>
    </row>
    <row r="574" spans="1:18" ht="19.899999999999999" customHeight="1">
      <c r="A574" t="str">
        <f t="shared" si="9"/>
        <v>9N25</v>
      </c>
      <c r="B574" t="s">
        <v>5254</v>
      </c>
      <c r="C574" t="s">
        <v>5260</v>
      </c>
      <c r="D574">
        <v>0</v>
      </c>
      <c r="E574" t="s">
        <v>4810</v>
      </c>
      <c r="F574">
        <v>0</v>
      </c>
      <c r="G574" t="s">
        <v>4810</v>
      </c>
      <c r="H574">
        <v>0</v>
      </c>
      <c r="I574" t="s">
        <v>4810</v>
      </c>
      <c r="J574" s="631">
        <v>0</v>
      </c>
      <c r="K574">
        <v>0</v>
      </c>
      <c r="L574" t="s">
        <v>4810</v>
      </c>
      <c r="P574">
        <v>53</v>
      </c>
      <c r="Q574">
        <v>1</v>
      </c>
      <c r="R574">
        <v>54</v>
      </c>
    </row>
    <row r="575" spans="1:18" ht="19.899999999999999" customHeight="1">
      <c r="A575" t="str">
        <f t="shared" si="9"/>
        <v>9N26</v>
      </c>
      <c r="B575" t="s">
        <v>5254</v>
      </c>
      <c r="C575" t="s">
        <v>5261</v>
      </c>
      <c r="D575">
        <v>57</v>
      </c>
      <c r="E575" t="s">
        <v>4792</v>
      </c>
      <c r="F575">
        <v>37</v>
      </c>
      <c r="G575" t="s">
        <v>4812</v>
      </c>
      <c r="H575">
        <v>48</v>
      </c>
      <c r="I575" t="s">
        <v>4810</v>
      </c>
      <c r="J575" s="631">
        <v>57</v>
      </c>
      <c r="K575">
        <v>33</v>
      </c>
      <c r="L575" t="s">
        <v>4796</v>
      </c>
      <c r="P575">
        <v>2028</v>
      </c>
      <c r="Q575" t="s">
        <v>85</v>
      </c>
      <c r="R575">
        <v>2028</v>
      </c>
    </row>
    <row r="576" spans="1:18" ht="19.899999999999999" customHeight="1">
      <c r="A576" t="str">
        <f t="shared" si="9"/>
        <v>9N27</v>
      </c>
      <c r="B576" t="s">
        <v>5254</v>
      </c>
      <c r="C576" t="s">
        <v>5262</v>
      </c>
      <c r="D576">
        <v>37</v>
      </c>
      <c r="E576" t="s">
        <v>4812</v>
      </c>
      <c r="F576">
        <v>31</v>
      </c>
      <c r="G576" t="s">
        <v>4814</v>
      </c>
      <c r="H576">
        <v>31</v>
      </c>
      <c r="I576" t="s">
        <v>4792</v>
      </c>
      <c r="J576" s="631">
        <v>37</v>
      </c>
      <c r="K576">
        <v>28</v>
      </c>
      <c r="L576" t="s">
        <v>4817</v>
      </c>
      <c r="P576">
        <v>1677</v>
      </c>
      <c r="Q576" t="s">
        <v>85</v>
      </c>
      <c r="R576">
        <v>1677</v>
      </c>
    </row>
    <row r="577" spans="1:18" ht="19.899999999999999" customHeight="1">
      <c r="A577" t="str">
        <f t="shared" si="9"/>
        <v>9N28</v>
      </c>
      <c r="B577" t="s">
        <v>5254</v>
      </c>
      <c r="C577" t="s">
        <v>5263</v>
      </c>
      <c r="D577">
        <v>2</v>
      </c>
      <c r="E577" t="s">
        <v>4810</v>
      </c>
      <c r="F577">
        <v>3</v>
      </c>
      <c r="G577" t="s">
        <v>4808</v>
      </c>
      <c r="H577">
        <v>3</v>
      </c>
      <c r="I577" t="s">
        <v>4810</v>
      </c>
      <c r="J577" s="631">
        <v>3</v>
      </c>
      <c r="K577">
        <v>0</v>
      </c>
      <c r="L577" t="s">
        <v>4810</v>
      </c>
      <c r="P577">
        <v>267</v>
      </c>
      <c r="Q577" t="s">
        <v>85</v>
      </c>
      <c r="R577">
        <v>267</v>
      </c>
    </row>
    <row r="578" spans="1:18" ht="19.899999999999999" customHeight="1">
      <c r="A578" t="str">
        <f t="shared" si="9"/>
        <v>9N29</v>
      </c>
      <c r="B578" t="s">
        <v>5254</v>
      </c>
      <c r="C578" t="s">
        <v>5264</v>
      </c>
      <c r="D578">
        <v>112</v>
      </c>
      <c r="E578" t="s">
        <v>4802</v>
      </c>
      <c r="F578">
        <v>115</v>
      </c>
      <c r="G578" t="s">
        <v>4800</v>
      </c>
      <c r="H578">
        <v>122</v>
      </c>
      <c r="I578" t="s">
        <v>4802</v>
      </c>
      <c r="J578" s="631">
        <v>122</v>
      </c>
      <c r="K578">
        <v>30</v>
      </c>
      <c r="L578" t="s">
        <v>4809</v>
      </c>
      <c r="P578">
        <v>338</v>
      </c>
      <c r="Q578">
        <v>2</v>
      </c>
      <c r="R578">
        <v>340</v>
      </c>
    </row>
    <row r="579" spans="1:18" ht="19.899999999999999" customHeight="1">
      <c r="A579" t="str">
        <f t="shared" si="9"/>
        <v>IH#1MTR</v>
      </c>
      <c r="B579" t="s">
        <v>5265</v>
      </c>
      <c r="C579" t="s">
        <v>4791</v>
      </c>
      <c r="D579">
        <v>484</v>
      </c>
      <c r="E579" t="s">
        <v>4805</v>
      </c>
      <c r="F579">
        <v>534</v>
      </c>
      <c r="G579" t="s">
        <v>4805</v>
      </c>
      <c r="H579">
        <v>515</v>
      </c>
      <c r="I579" t="s">
        <v>4805</v>
      </c>
      <c r="J579" s="631">
        <v>534</v>
      </c>
      <c r="K579" t="s">
        <v>4793</v>
      </c>
      <c r="L579" t="s">
        <v>4793</v>
      </c>
      <c r="P579">
        <v>997</v>
      </c>
      <c r="Q579">
        <v>5</v>
      </c>
      <c r="R579">
        <v>1002</v>
      </c>
    </row>
    <row r="580" spans="1:18" ht="19.899999999999999" customHeight="1">
      <c r="A580" t="str">
        <f t="shared" si="9"/>
        <v>IH27</v>
      </c>
      <c r="B580" t="s">
        <v>5265</v>
      </c>
      <c r="C580" t="s">
        <v>5266</v>
      </c>
      <c r="D580">
        <v>112</v>
      </c>
      <c r="E580" t="s">
        <v>4805</v>
      </c>
      <c r="F580">
        <v>120</v>
      </c>
      <c r="G580" t="s">
        <v>4805</v>
      </c>
      <c r="H580">
        <v>122</v>
      </c>
      <c r="I580" t="s">
        <v>4805</v>
      </c>
      <c r="J580" s="631">
        <v>122</v>
      </c>
      <c r="K580">
        <v>35</v>
      </c>
      <c r="L580" t="s">
        <v>4872</v>
      </c>
      <c r="P580">
        <v>2161</v>
      </c>
      <c r="Q580">
        <v>5</v>
      </c>
      <c r="R580">
        <v>2166</v>
      </c>
    </row>
    <row r="581" spans="1:18" ht="19.899999999999999" customHeight="1">
      <c r="A581" t="str">
        <f t="shared" si="9"/>
        <v>IH21</v>
      </c>
      <c r="B581" t="s">
        <v>5265</v>
      </c>
      <c r="C581" t="s">
        <v>5267</v>
      </c>
      <c r="D581">
        <v>80</v>
      </c>
      <c r="E581" t="s">
        <v>4814</v>
      </c>
      <c r="F581">
        <v>97</v>
      </c>
      <c r="G581" t="s">
        <v>4805</v>
      </c>
      <c r="H581">
        <v>91</v>
      </c>
      <c r="I581" t="s">
        <v>4814</v>
      </c>
      <c r="J581" s="631">
        <v>97</v>
      </c>
      <c r="K581">
        <v>37</v>
      </c>
      <c r="L581" t="s">
        <v>4810</v>
      </c>
      <c r="P581">
        <v>1802</v>
      </c>
      <c r="Q581">
        <v>2</v>
      </c>
      <c r="R581">
        <v>1804</v>
      </c>
    </row>
    <row r="582" spans="1:18" ht="19.899999999999999" customHeight="1">
      <c r="A582" t="str">
        <f t="shared" si="9"/>
        <v>IH25</v>
      </c>
      <c r="B582" t="s">
        <v>5265</v>
      </c>
      <c r="C582" t="s">
        <v>5268</v>
      </c>
      <c r="D582">
        <v>59</v>
      </c>
      <c r="E582" t="s">
        <v>4795</v>
      </c>
      <c r="F582">
        <v>78</v>
      </c>
      <c r="G582" t="s">
        <v>4800</v>
      </c>
      <c r="H582">
        <v>71</v>
      </c>
      <c r="I582" t="s">
        <v>4792</v>
      </c>
      <c r="J582" s="631">
        <v>78</v>
      </c>
      <c r="K582">
        <v>43</v>
      </c>
      <c r="L582" t="s">
        <v>4796</v>
      </c>
      <c r="P582">
        <v>1630</v>
      </c>
      <c r="Q582">
        <v>1</v>
      </c>
      <c r="R582">
        <v>1631</v>
      </c>
    </row>
    <row r="583" spans="1:18" ht="19.899999999999999" customHeight="1">
      <c r="A583" t="str">
        <f t="shared" si="9"/>
        <v>IH24</v>
      </c>
      <c r="B583" t="s">
        <v>5265</v>
      </c>
      <c r="C583" t="s">
        <v>5269</v>
      </c>
      <c r="D583">
        <v>115</v>
      </c>
      <c r="E583" t="s">
        <v>4805</v>
      </c>
      <c r="F583">
        <v>117</v>
      </c>
      <c r="G583" t="s">
        <v>4805</v>
      </c>
      <c r="H583">
        <v>112</v>
      </c>
      <c r="I583" t="s">
        <v>4805</v>
      </c>
      <c r="J583" s="631">
        <v>117</v>
      </c>
      <c r="K583">
        <v>21</v>
      </c>
      <c r="L583" t="s">
        <v>4798</v>
      </c>
      <c r="P583">
        <v>761</v>
      </c>
      <c r="Q583">
        <v>3</v>
      </c>
      <c r="R583">
        <v>764</v>
      </c>
    </row>
    <row r="584" spans="1:18" ht="19.899999999999999" customHeight="1">
      <c r="A584" t="str">
        <f t="shared" si="9"/>
        <v>IH28</v>
      </c>
      <c r="B584" t="s">
        <v>5265</v>
      </c>
      <c r="C584" t="s">
        <v>5270</v>
      </c>
      <c r="D584">
        <v>132</v>
      </c>
      <c r="E584" t="s">
        <v>4812</v>
      </c>
      <c r="F584">
        <v>145</v>
      </c>
      <c r="G584" t="s">
        <v>4812</v>
      </c>
      <c r="H584">
        <v>125</v>
      </c>
      <c r="I584" t="s">
        <v>4805</v>
      </c>
      <c r="J584" s="631">
        <v>145</v>
      </c>
      <c r="K584">
        <v>54</v>
      </c>
      <c r="L584" t="s">
        <v>4918</v>
      </c>
      <c r="P584">
        <v>992</v>
      </c>
      <c r="Q584">
        <v>1</v>
      </c>
      <c r="R584">
        <v>993</v>
      </c>
    </row>
    <row r="585" spans="1:18" ht="19.899999999999999" customHeight="1">
      <c r="A585" t="str">
        <f t="shared" si="9"/>
        <v>IH#2MTR</v>
      </c>
      <c r="B585" t="s">
        <v>5265</v>
      </c>
      <c r="C585" t="s">
        <v>4803</v>
      </c>
      <c r="D585">
        <v>444</v>
      </c>
      <c r="E585" t="s">
        <v>4800</v>
      </c>
      <c r="F585">
        <v>412</v>
      </c>
      <c r="G585" t="s">
        <v>4800</v>
      </c>
      <c r="H585">
        <v>363</v>
      </c>
      <c r="I585" t="s">
        <v>4800</v>
      </c>
      <c r="J585" s="631">
        <v>444</v>
      </c>
      <c r="K585" t="s">
        <v>4793</v>
      </c>
      <c r="L585" t="s">
        <v>4793</v>
      </c>
      <c r="P585">
        <v>393</v>
      </c>
      <c r="Q585">
        <v>0</v>
      </c>
      <c r="R585">
        <v>393</v>
      </c>
    </row>
    <row r="586" spans="1:18" ht="19.899999999999999" customHeight="1">
      <c r="A586" t="str">
        <f t="shared" ref="A586:A649" si="10">IF(COUNTIF(C586,"*TR*")&gt;0,SUBSTITUTE(RIGHT(B586,3) &amp; C586," ",""),MID(C586,FIND("(",C586)+1,4))</f>
        <v>IH33</v>
      </c>
      <c r="B586" t="s">
        <v>5265</v>
      </c>
      <c r="C586" t="s">
        <v>5271</v>
      </c>
      <c r="D586">
        <v>94</v>
      </c>
      <c r="E586" t="s">
        <v>4800</v>
      </c>
      <c r="F586">
        <v>113</v>
      </c>
      <c r="G586" t="s">
        <v>4800</v>
      </c>
      <c r="H586">
        <v>81</v>
      </c>
      <c r="I586" t="s">
        <v>4798</v>
      </c>
      <c r="J586" s="631">
        <v>113</v>
      </c>
      <c r="K586">
        <v>54</v>
      </c>
      <c r="L586" t="s">
        <v>4799</v>
      </c>
      <c r="P586">
        <v>644</v>
      </c>
      <c r="Q586">
        <v>1</v>
      </c>
      <c r="R586">
        <v>645</v>
      </c>
    </row>
    <row r="587" spans="1:18" ht="19.899999999999999" customHeight="1">
      <c r="A587" t="str">
        <f t="shared" si="10"/>
        <v>IH32</v>
      </c>
      <c r="B587" t="s">
        <v>5265</v>
      </c>
      <c r="C587" t="s">
        <v>5272</v>
      </c>
      <c r="D587">
        <v>46</v>
      </c>
      <c r="E587" t="s">
        <v>4792</v>
      </c>
      <c r="F587">
        <v>47</v>
      </c>
      <c r="G587" t="s">
        <v>4792</v>
      </c>
      <c r="H587">
        <v>49</v>
      </c>
      <c r="I587" t="s">
        <v>4795</v>
      </c>
      <c r="J587" s="631">
        <v>49</v>
      </c>
      <c r="K587">
        <v>12</v>
      </c>
      <c r="L587" t="s">
        <v>4817</v>
      </c>
      <c r="P587">
        <v>153</v>
      </c>
      <c r="Q587">
        <v>1</v>
      </c>
      <c r="R587">
        <v>154</v>
      </c>
    </row>
    <row r="588" spans="1:18" ht="19.899999999999999" customHeight="1">
      <c r="A588" t="str">
        <f t="shared" si="10"/>
        <v>IH34</v>
      </c>
      <c r="B588" t="s">
        <v>5265</v>
      </c>
      <c r="C588" t="s">
        <v>5273</v>
      </c>
      <c r="D588">
        <v>87</v>
      </c>
      <c r="E588" t="s">
        <v>4800</v>
      </c>
      <c r="F588">
        <v>50</v>
      </c>
      <c r="G588" t="s">
        <v>4795</v>
      </c>
      <c r="H588">
        <v>59</v>
      </c>
      <c r="I588" t="s">
        <v>4792</v>
      </c>
      <c r="J588" s="631">
        <v>87</v>
      </c>
      <c r="K588">
        <v>40</v>
      </c>
      <c r="L588" t="s">
        <v>4800</v>
      </c>
      <c r="P588">
        <v>639</v>
      </c>
      <c r="Q588" t="s">
        <v>85</v>
      </c>
      <c r="R588">
        <v>639</v>
      </c>
    </row>
    <row r="589" spans="1:18" ht="19.899999999999999" customHeight="1">
      <c r="A589" t="str">
        <f t="shared" si="10"/>
        <v>IH31</v>
      </c>
      <c r="B589" t="s">
        <v>5265</v>
      </c>
      <c r="C589" t="s">
        <v>5274</v>
      </c>
      <c r="D589">
        <v>71</v>
      </c>
      <c r="E589" t="s">
        <v>4795</v>
      </c>
      <c r="F589">
        <v>69</v>
      </c>
      <c r="G589" t="s">
        <v>4792</v>
      </c>
      <c r="H589">
        <v>36</v>
      </c>
      <c r="I589" t="s">
        <v>4795</v>
      </c>
      <c r="J589" s="631">
        <v>71</v>
      </c>
      <c r="K589">
        <v>52</v>
      </c>
      <c r="L589" t="s">
        <v>4792</v>
      </c>
      <c r="P589">
        <v>1810</v>
      </c>
      <c r="Q589">
        <v>4</v>
      </c>
      <c r="R589">
        <v>1814</v>
      </c>
    </row>
    <row r="590" spans="1:18" ht="19.899999999999999" customHeight="1">
      <c r="A590" t="str">
        <f t="shared" si="10"/>
        <v>IH35</v>
      </c>
      <c r="B590" t="s">
        <v>5265</v>
      </c>
      <c r="C590" t="s">
        <v>5275</v>
      </c>
      <c r="D590">
        <v>150</v>
      </c>
      <c r="E590" t="s">
        <v>4795</v>
      </c>
      <c r="F590">
        <v>143</v>
      </c>
      <c r="G590" t="s">
        <v>4800</v>
      </c>
      <c r="H590">
        <v>147</v>
      </c>
      <c r="I590" t="s">
        <v>4800</v>
      </c>
      <c r="J590" s="631">
        <v>150</v>
      </c>
      <c r="K590">
        <v>43</v>
      </c>
      <c r="L590" t="s">
        <v>4795</v>
      </c>
      <c r="P590">
        <v>292</v>
      </c>
      <c r="Q590">
        <v>1</v>
      </c>
      <c r="R590">
        <v>293</v>
      </c>
    </row>
    <row r="591" spans="1:18" ht="19.899999999999999" customHeight="1">
      <c r="A591" t="str">
        <f t="shared" si="10"/>
        <v>IH#3MTR</v>
      </c>
      <c r="B591" t="s">
        <v>5265</v>
      </c>
      <c r="C591" t="s">
        <v>4811</v>
      </c>
      <c r="D591">
        <v>535</v>
      </c>
      <c r="E591" t="s">
        <v>4795</v>
      </c>
      <c r="F591">
        <v>546</v>
      </c>
      <c r="G591" t="s">
        <v>4795</v>
      </c>
      <c r="H591">
        <v>564</v>
      </c>
      <c r="I591" t="s">
        <v>4795</v>
      </c>
      <c r="J591" s="631">
        <v>564</v>
      </c>
      <c r="K591" t="s">
        <v>4793</v>
      </c>
      <c r="L591" t="s">
        <v>4793</v>
      </c>
      <c r="P591">
        <v>1204</v>
      </c>
      <c r="Q591">
        <v>5</v>
      </c>
      <c r="R591">
        <v>1209</v>
      </c>
    </row>
    <row r="592" spans="1:18" ht="19.899999999999999" customHeight="1">
      <c r="A592" t="str">
        <f t="shared" si="10"/>
        <v>IH29</v>
      </c>
      <c r="B592" t="s">
        <v>5265</v>
      </c>
      <c r="C592" t="s">
        <v>5276</v>
      </c>
      <c r="D592">
        <v>87</v>
      </c>
      <c r="E592" t="s">
        <v>4798</v>
      </c>
      <c r="F592">
        <v>112</v>
      </c>
      <c r="G592" t="s">
        <v>4792</v>
      </c>
      <c r="H592">
        <v>91</v>
      </c>
      <c r="I592" t="s">
        <v>4808</v>
      </c>
      <c r="J592" s="631">
        <v>112</v>
      </c>
      <c r="K592">
        <v>41</v>
      </c>
      <c r="L592" t="s">
        <v>4792</v>
      </c>
      <c r="P592">
        <v>1252</v>
      </c>
      <c r="Q592">
        <v>2</v>
      </c>
      <c r="R592">
        <v>1254</v>
      </c>
    </row>
    <row r="593" spans="1:18" ht="19.899999999999999" customHeight="1">
      <c r="A593" t="str">
        <f t="shared" si="10"/>
        <v>IH23</v>
      </c>
      <c r="B593" t="s">
        <v>5265</v>
      </c>
      <c r="C593" t="s">
        <v>5277</v>
      </c>
      <c r="D593">
        <v>102</v>
      </c>
      <c r="E593" t="s">
        <v>4795</v>
      </c>
      <c r="F593">
        <v>126</v>
      </c>
      <c r="G593" t="s">
        <v>4802</v>
      </c>
      <c r="H593">
        <v>138</v>
      </c>
      <c r="I593" t="s">
        <v>4795</v>
      </c>
      <c r="J593" s="631">
        <v>138</v>
      </c>
      <c r="K593">
        <v>62</v>
      </c>
      <c r="L593" t="s">
        <v>4812</v>
      </c>
      <c r="P593">
        <v>681</v>
      </c>
      <c r="Q593">
        <v>4</v>
      </c>
      <c r="R593">
        <v>685</v>
      </c>
    </row>
    <row r="594" spans="1:18" ht="19.899999999999999" customHeight="1">
      <c r="A594" t="str">
        <f t="shared" si="10"/>
        <v>IH22</v>
      </c>
      <c r="B594" t="s">
        <v>5265</v>
      </c>
      <c r="C594" t="s">
        <v>5278</v>
      </c>
      <c r="D594">
        <v>141</v>
      </c>
      <c r="E594" t="s">
        <v>4795</v>
      </c>
      <c r="F594">
        <v>135</v>
      </c>
      <c r="G594" t="s">
        <v>4795</v>
      </c>
      <c r="H594">
        <v>143</v>
      </c>
      <c r="I594" t="s">
        <v>4795</v>
      </c>
      <c r="J594" s="631">
        <v>143</v>
      </c>
      <c r="K594">
        <v>30</v>
      </c>
      <c r="L594" t="s">
        <v>4809</v>
      </c>
      <c r="P594" t="s">
        <v>85</v>
      </c>
      <c r="Q594" t="s">
        <v>85</v>
      </c>
      <c r="R594">
        <v>0</v>
      </c>
    </row>
    <row r="595" spans="1:18" ht="19.899999999999999" customHeight="1">
      <c r="A595" t="str">
        <f t="shared" si="10"/>
        <v>IH26</v>
      </c>
      <c r="B595" t="s">
        <v>5265</v>
      </c>
      <c r="C595" t="s">
        <v>5279</v>
      </c>
      <c r="D595">
        <v>115</v>
      </c>
      <c r="E595" t="s">
        <v>4812</v>
      </c>
      <c r="F595">
        <v>96</v>
      </c>
      <c r="G595" t="s">
        <v>4796</v>
      </c>
      <c r="H595">
        <v>100</v>
      </c>
      <c r="I595" t="s">
        <v>4812</v>
      </c>
      <c r="J595" s="631">
        <v>115</v>
      </c>
      <c r="K595">
        <v>39</v>
      </c>
      <c r="L595" t="s">
        <v>4801</v>
      </c>
      <c r="P595">
        <v>1092</v>
      </c>
      <c r="Q595">
        <v>7</v>
      </c>
      <c r="R595">
        <v>1099</v>
      </c>
    </row>
    <row r="596" spans="1:18" ht="19.899999999999999" customHeight="1">
      <c r="A596" t="str">
        <f t="shared" si="10"/>
        <v>IH20</v>
      </c>
      <c r="B596" t="s">
        <v>5265</v>
      </c>
      <c r="C596" t="s">
        <v>5280</v>
      </c>
      <c r="D596">
        <v>129</v>
      </c>
      <c r="E596" t="s">
        <v>4796</v>
      </c>
      <c r="F596">
        <v>144</v>
      </c>
      <c r="G596" t="s">
        <v>4796</v>
      </c>
      <c r="H596">
        <v>140</v>
      </c>
      <c r="I596" t="s">
        <v>4796</v>
      </c>
      <c r="J596" s="631">
        <v>144</v>
      </c>
      <c r="K596">
        <v>36</v>
      </c>
      <c r="L596" t="s">
        <v>4808</v>
      </c>
      <c r="P596">
        <v>226</v>
      </c>
      <c r="Q596">
        <v>4</v>
      </c>
      <c r="R596">
        <v>230</v>
      </c>
    </row>
    <row r="597" spans="1:18" ht="19.899999999999999" customHeight="1">
      <c r="A597" t="str">
        <f t="shared" si="10"/>
        <v>IQ#1MTR</v>
      </c>
      <c r="B597" t="s">
        <v>5281</v>
      </c>
      <c r="C597" t="s">
        <v>4791</v>
      </c>
      <c r="D597">
        <v>487</v>
      </c>
      <c r="E597" t="s">
        <v>4809</v>
      </c>
      <c r="F597">
        <v>474</v>
      </c>
      <c r="G597" t="s">
        <v>4809</v>
      </c>
      <c r="H597">
        <v>465</v>
      </c>
      <c r="I597" t="s">
        <v>4809</v>
      </c>
      <c r="J597" s="631">
        <v>487</v>
      </c>
      <c r="K597" t="s">
        <v>4793</v>
      </c>
      <c r="L597" t="s">
        <v>4793</v>
      </c>
      <c r="P597">
        <v>1938</v>
      </c>
      <c r="Q597">
        <v>5</v>
      </c>
      <c r="R597">
        <v>1943</v>
      </c>
    </row>
    <row r="598" spans="1:18" ht="19.899999999999999" customHeight="1">
      <c r="A598" t="str">
        <f t="shared" si="10"/>
        <v>IQ21</v>
      </c>
      <c r="B598" t="s">
        <v>5281</v>
      </c>
      <c r="C598" t="s">
        <v>5282</v>
      </c>
      <c r="D598">
        <v>114</v>
      </c>
      <c r="E598" t="s">
        <v>4812</v>
      </c>
      <c r="F598">
        <v>132</v>
      </c>
      <c r="G598" t="s">
        <v>4792</v>
      </c>
      <c r="H598">
        <v>117</v>
      </c>
      <c r="I598" t="s">
        <v>4792</v>
      </c>
      <c r="J598" s="631">
        <v>132</v>
      </c>
      <c r="K598">
        <v>27</v>
      </c>
      <c r="L598" t="s">
        <v>4792</v>
      </c>
      <c r="P598">
        <v>1181</v>
      </c>
      <c r="Q598">
        <v>2</v>
      </c>
      <c r="R598">
        <v>1183</v>
      </c>
    </row>
    <row r="599" spans="1:18" ht="19.899999999999999" customHeight="1">
      <c r="A599" t="str">
        <f t="shared" si="10"/>
        <v>IQ22</v>
      </c>
      <c r="B599" t="s">
        <v>5281</v>
      </c>
      <c r="C599" t="s">
        <v>5283</v>
      </c>
      <c r="D599">
        <v>146</v>
      </c>
      <c r="E599" t="s">
        <v>4796</v>
      </c>
      <c r="F599">
        <v>155</v>
      </c>
      <c r="G599" t="s">
        <v>4796</v>
      </c>
      <c r="H599">
        <v>154</v>
      </c>
      <c r="I599" t="s">
        <v>4796</v>
      </c>
      <c r="J599" s="631">
        <v>155</v>
      </c>
      <c r="K599">
        <v>16</v>
      </c>
      <c r="L599" t="s">
        <v>4792</v>
      </c>
      <c r="P599">
        <v>3654</v>
      </c>
      <c r="Q599">
        <v>0</v>
      </c>
      <c r="R599">
        <v>3654</v>
      </c>
    </row>
    <row r="600" spans="1:18" ht="19.899999999999999" customHeight="1">
      <c r="A600" t="str">
        <f t="shared" si="10"/>
        <v>IQ23</v>
      </c>
      <c r="B600" t="s">
        <v>5281</v>
      </c>
      <c r="C600" t="s">
        <v>5284</v>
      </c>
      <c r="D600">
        <v>93</v>
      </c>
      <c r="E600" t="s">
        <v>4795</v>
      </c>
      <c r="F600">
        <v>55</v>
      </c>
      <c r="G600" t="s">
        <v>4800</v>
      </c>
      <c r="H600">
        <v>75</v>
      </c>
      <c r="I600" t="s">
        <v>4795</v>
      </c>
      <c r="J600" s="631">
        <v>93</v>
      </c>
      <c r="K600">
        <v>51</v>
      </c>
      <c r="L600" t="s">
        <v>4812</v>
      </c>
      <c r="P600">
        <v>3807</v>
      </c>
      <c r="Q600">
        <v>1</v>
      </c>
      <c r="R600">
        <v>3808</v>
      </c>
    </row>
    <row r="601" spans="1:18" ht="19.899999999999999" customHeight="1">
      <c r="A601" t="str">
        <f t="shared" si="10"/>
        <v>IQ24</v>
      </c>
      <c r="B601" t="s">
        <v>5281</v>
      </c>
      <c r="C601" t="s">
        <v>5285</v>
      </c>
      <c r="D601">
        <v>143</v>
      </c>
      <c r="E601" t="s">
        <v>4801</v>
      </c>
      <c r="F601">
        <v>143</v>
      </c>
      <c r="G601" t="s">
        <v>4801</v>
      </c>
      <c r="H601">
        <v>134</v>
      </c>
      <c r="I601" t="s">
        <v>4796</v>
      </c>
      <c r="J601" s="631">
        <v>143</v>
      </c>
      <c r="K601">
        <v>36</v>
      </c>
      <c r="L601" t="s">
        <v>4799</v>
      </c>
      <c r="P601">
        <v>1727</v>
      </c>
      <c r="Q601">
        <v>2</v>
      </c>
      <c r="R601">
        <v>1729</v>
      </c>
    </row>
    <row r="602" spans="1:18" ht="19.899999999999999" customHeight="1">
      <c r="A602" t="str">
        <f t="shared" si="10"/>
        <v>IQ25</v>
      </c>
      <c r="B602" t="s">
        <v>5281</v>
      </c>
      <c r="C602" t="s">
        <v>5286</v>
      </c>
      <c r="D602">
        <v>68</v>
      </c>
      <c r="E602" t="s">
        <v>4798</v>
      </c>
      <c r="F602">
        <v>66</v>
      </c>
      <c r="G602" t="s">
        <v>4795</v>
      </c>
      <c r="H602">
        <v>45</v>
      </c>
      <c r="I602" t="s">
        <v>4802</v>
      </c>
      <c r="J602" s="631">
        <v>68</v>
      </c>
      <c r="K602">
        <v>26</v>
      </c>
      <c r="L602" t="s">
        <v>4792</v>
      </c>
      <c r="P602">
        <v>3115</v>
      </c>
      <c r="Q602">
        <v>6</v>
      </c>
      <c r="R602">
        <v>3121</v>
      </c>
    </row>
    <row r="603" spans="1:18" ht="19.899999999999999" customHeight="1">
      <c r="A603" t="str">
        <f t="shared" si="10"/>
        <v>IQ#2MTR</v>
      </c>
      <c r="B603" t="s">
        <v>5281</v>
      </c>
      <c r="C603" t="s">
        <v>4803</v>
      </c>
      <c r="D603">
        <v>332</v>
      </c>
      <c r="E603" t="s">
        <v>4792</v>
      </c>
      <c r="F603">
        <v>286</v>
      </c>
      <c r="G603" t="s">
        <v>4817</v>
      </c>
      <c r="H603">
        <v>329</v>
      </c>
      <c r="I603" t="s">
        <v>4795</v>
      </c>
      <c r="J603" s="631">
        <v>332</v>
      </c>
      <c r="K603" t="s">
        <v>4793</v>
      </c>
      <c r="L603" t="s">
        <v>4793</v>
      </c>
      <c r="P603">
        <v>2862</v>
      </c>
      <c r="Q603">
        <v>2</v>
      </c>
      <c r="R603">
        <v>2864</v>
      </c>
    </row>
    <row r="604" spans="1:18" ht="19.899999999999999" customHeight="1">
      <c r="A604" t="str">
        <f t="shared" si="10"/>
        <v>IQ26</v>
      </c>
      <c r="B604" t="s">
        <v>5281</v>
      </c>
      <c r="C604" t="s">
        <v>5287</v>
      </c>
      <c r="D604">
        <v>117</v>
      </c>
      <c r="E604" t="s">
        <v>4817</v>
      </c>
      <c r="F604">
        <v>88</v>
      </c>
      <c r="G604" t="s">
        <v>4795</v>
      </c>
      <c r="H604">
        <v>105</v>
      </c>
      <c r="I604" t="s">
        <v>4817</v>
      </c>
      <c r="J604" s="631">
        <v>117</v>
      </c>
      <c r="K604">
        <v>30</v>
      </c>
      <c r="L604" t="s">
        <v>4802</v>
      </c>
      <c r="P604">
        <v>1633</v>
      </c>
      <c r="Q604">
        <v>2</v>
      </c>
      <c r="R604">
        <v>1635</v>
      </c>
    </row>
    <row r="605" spans="1:18" ht="19.899999999999999" customHeight="1">
      <c r="A605" t="str">
        <f t="shared" si="10"/>
        <v>IQ29</v>
      </c>
      <c r="B605" t="s">
        <v>5281</v>
      </c>
      <c r="C605" t="s">
        <v>5288</v>
      </c>
      <c r="D605">
        <v>9</v>
      </c>
      <c r="E605" t="s">
        <v>4826</v>
      </c>
      <c r="F605">
        <v>10</v>
      </c>
      <c r="G605" t="s">
        <v>4817</v>
      </c>
      <c r="H605">
        <v>10</v>
      </c>
      <c r="I605" t="s">
        <v>4872</v>
      </c>
      <c r="J605" s="631">
        <v>10</v>
      </c>
      <c r="K605">
        <v>3</v>
      </c>
      <c r="L605" t="s">
        <v>4853</v>
      </c>
      <c r="P605">
        <v>1262</v>
      </c>
      <c r="Q605">
        <v>6</v>
      </c>
      <c r="R605">
        <v>1268</v>
      </c>
    </row>
    <row r="606" spans="1:18" ht="19.899999999999999" customHeight="1">
      <c r="A606" t="str">
        <f t="shared" si="10"/>
        <v>IQ30</v>
      </c>
      <c r="B606" t="s">
        <v>5281</v>
      </c>
      <c r="C606" t="s">
        <v>5289</v>
      </c>
      <c r="D606">
        <v>103</v>
      </c>
      <c r="E606" t="s">
        <v>4792</v>
      </c>
      <c r="F606">
        <v>68</v>
      </c>
      <c r="G606" t="s">
        <v>4817</v>
      </c>
      <c r="H606">
        <v>84</v>
      </c>
      <c r="I606" t="s">
        <v>4817</v>
      </c>
      <c r="J606" s="631">
        <v>103</v>
      </c>
      <c r="K606">
        <v>47</v>
      </c>
      <c r="L606" t="s">
        <v>4792</v>
      </c>
      <c r="P606">
        <v>3157</v>
      </c>
      <c r="Q606">
        <v>2</v>
      </c>
      <c r="R606">
        <v>3159</v>
      </c>
    </row>
    <row r="607" spans="1:18" ht="19.899999999999999" customHeight="1">
      <c r="A607" t="str">
        <f t="shared" si="10"/>
        <v>IQ27</v>
      </c>
      <c r="B607" t="s">
        <v>5281</v>
      </c>
      <c r="C607" t="s">
        <v>5290</v>
      </c>
      <c r="D607">
        <v>54</v>
      </c>
      <c r="E607" t="s">
        <v>4802</v>
      </c>
      <c r="F607">
        <v>28</v>
      </c>
      <c r="G607" t="s">
        <v>4795</v>
      </c>
      <c r="H607">
        <v>57</v>
      </c>
      <c r="I607" t="s">
        <v>4800</v>
      </c>
      <c r="J607" s="631">
        <v>57</v>
      </c>
      <c r="K607">
        <v>47</v>
      </c>
      <c r="L607" t="s">
        <v>4812</v>
      </c>
      <c r="P607">
        <v>3413</v>
      </c>
      <c r="Q607">
        <v>3</v>
      </c>
      <c r="R607">
        <v>3416</v>
      </c>
    </row>
    <row r="608" spans="1:18" ht="19.899999999999999" customHeight="1">
      <c r="A608" t="str">
        <f t="shared" si="10"/>
        <v>IQ28</v>
      </c>
      <c r="B608" t="s">
        <v>5281</v>
      </c>
      <c r="C608" t="s">
        <v>5291</v>
      </c>
      <c r="D608">
        <v>69</v>
      </c>
      <c r="E608" t="s">
        <v>4792</v>
      </c>
      <c r="F608">
        <v>98</v>
      </c>
      <c r="G608" t="s">
        <v>4802</v>
      </c>
      <c r="H608">
        <v>115</v>
      </c>
      <c r="I608" t="s">
        <v>4795</v>
      </c>
      <c r="J608" s="631">
        <v>115</v>
      </c>
      <c r="K608">
        <v>56</v>
      </c>
      <c r="L608" t="s">
        <v>4800</v>
      </c>
      <c r="P608">
        <v>2525</v>
      </c>
      <c r="Q608">
        <v>2</v>
      </c>
      <c r="R608">
        <v>2527</v>
      </c>
    </row>
    <row r="609" spans="1:18" ht="19.899999999999999" customHeight="1">
      <c r="A609" t="str">
        <f t="shared" si="10"/>
        <v>IQ#3MTR</v>
      </c>
      <c r="B609" t="s">
        <v>5281</v>
      </c>
      <c r="C609" t="s">
        <v>4811</v>
      </c>
      <c r="D609">
        <v>258</v>
      </c>
      <c r="E609" t="s">
        <v>4800</v>
      </c>
      <c r="F609">
        <v>277</v>
      </c>
      <c r="G609" t="s">
        <v>4800</v>
      </c>
      <c r="H609">
        <v>305</v>
      </c>
      <c r="I609" t="s">
        <v>4792</v>
      </c>
      <c r="J609" s="631">
        <v>305</v>
      </c>
      <c r="K609" t="s">
        <v>4793</v>
      </c>
      <c r="L609" t="s">
        <v>4793</v>
      </c>
      <c r="P609">
        <v>4514</v>
      </c>
      <c r="Q609">
        <v>1</v>
      </c>
      <c r="R609">
        <v>4515</v>
      </c>
    </row>
    <row r="610" spans="1:18" ht="19.899999999999999" customHeight="1">
      <c r="A610" t="str">
        <f t="shared" si="10"/>
        <v>IQ31</v>
      </c>
      <c r="B610" t="s">
        <v>5281</v>
      </c>
      <c r="C610" t="s">
        <v>5292</v>
      </c>
      <c r="D610">
        <v>51</v>
      </c>
      <c r="E610" t="s">
        <v>4795</v>
      </c>
      <c r="F610">
        <v>56</v>
      </c>
      <c r="G610" t="s">
        <v>4792</v>
      </c>
      <c r="H610">
        <v>54</v>
      </c>
      <c r="I610" t="s">
        <v>4795</v>
      </c>
      <c r="J610" s="631">
        <v>56</v>
      </c>
      <c r="K610">
        <v>25</v>
      </c>
      <c r="L610" t="s">
        <v>4807</v>
      </c>
      <c r="P610">
        <v>1010</v>
      </c>
      <c r="Q610">
        <v>4</v>
      </c>
      <c r="R610">
        <v>1014</v>
      </c>
    </row>
    <row r="611" spans="1:18" ht="19.899999999999999" customHeight="1">
      <c r="A611" t="str">
        <f t="shared" si="10"/>
        <v>IQ32</v>
      </c>
      <c r="B611" t="s">
        <v>5281</v>
      </c>
      <c r="C611" t="s">
        <v>5293</v>
      </c>
      <c r="D611">
        <v>51</v>
      </c>
      <c r="E611" t="s">
        <v>4800</v>
      </c>
      <c r="F611">
        <v>66</v>
      </c>
      <c r="G611" t="s">
        <v>4802</v>
      </c>
      <c r="H611">
        <v>117</v>
      </c>
      <c r="I611" t="s">
        <v>4796</v>
      </c>
      <c r="J611" s="631">
        <v>117</v>
      </c>
      <c r="K611">
        <v>71</v>
      </c>
      <c r="L611" t="s">
        <v>4809</v>
      </c>
      <c r="P611">
        <v>3678</v>
      </c>
      <c r="Q611">
        <v>1</v>
      </c>
      <c r="R611">
        <v>3679</v>
      </c>
    </row>
    <row r="612" spans="1:18" ht="19.899999999999999" customHeight="1">
      <c r="A612" t="str">
        <f t="shared" si="10"/>
        <v>IQ33</v>
      </c>
      <c r="B612" t="s">
        <v>5281</v>
      </c>
      <c r="C612" t="s">
        <v>5294</v>
      </c>
      <c r="D612">
        <v>40</v>
      </c>
      <c r="E612" t="s">
        <v>4798</v>
      </c>
      <c r="F612">
        <v>56</v>
      </c>
      <c r="G612" t="s">
        <v>4807</v>
      </c>
      <c r="H612">
        <v>42</v>
      </c>
      <c r="I612" t="s">
        <v>4796</v>
      </c>
      <c r="J612" s="631">
        <v>56</v>
      </c>
      <c r="K612">
        <v>26</v>
      </c>
      <c r="L612" t="s">
        <v>4805</v>
      </c>
      <c r="P612">
        <v>218</v>
      </c>
      <c r="Q612">
        <v>6</v>
      </c>
      <c r="R612">
        <v>224</v>
      </c>
    </row>
    <row r="613" spans="1:18" ht="19.899999999999999" customHeight="1">
      <c r="A613" t="str">
        <f t="shared" si="10"/>
        <v>IQ34</v>
      </c>
      <c r="B613" t="s">
        <v>5281</v>
      </c>
      <c r="C613" t="s">
        <v>5295</v>
      </c>
      <c r="D613">
        <v>57</v>
      </c>
      <c r="E613" t="s">
        <v>4798</v>
      </c>
      <c r="F613">
        <v>64</v>
      </c>
      <c r="G613" t="s">
        <v>4792</v>
      </c>
      <c r="H613">
        <v>54</v>
      </c>
      <c r="I613" t="s">
        <v>4798</v>
      </c>
      <c r="J613" s="631">
        <v>64</v>
      </c>
      <c r="K613">
        <v>24</v>
      </c>
      <c r="L613" t="s">
        <v>4800</v>
      </c>
      <c r="P613">
        <v>1472</v>
      </c>
      <c r="Q613">
        <v>1</v>
      </c>
      <c r="R613">
        <v>1473</v>
      </c>
    </row>
    <row r="614" spans="1:18" ht="19.899999999999999" customHeight="1">
      <c r="A614" t="str">
        <f t="shared" si="10"/>
        <v>IQ35</v>
      </c>
      <c r="B614" t="s">
        <v>5281</v>
      </c>
      <c r="C614" t="s">
        <v>5296</v>
      </c>
      <c r="D614">
        <v>72</v>
      </c>
      <c r="E614" t="s">
        <v>4792</v>
      </c>
      <c r="F614">
        <v>55</v>
      </c>
      <c r="G614" t="s">
        <v>4792</v>
      </c>
      <c r="H614">
        <v>59</v>
      </c>
      <c r="I614" t="s">
        <v>4792</v>
      </c>
      <c r="J614" s="631">
        <v>72</v>
      </c>
      <c r="K614">
        <v>31</v>
      </c>
      <c r="L614" t="s">
        <v>4821</v>
      </c>
      <c r="P614">
        <v>1722</v>
      </c>
      <c r="Q614">
        <v>3</v>
      </c>
      <c r="R614">
        <v>1725</v>
      </c>
    </row>
    <row r="615" spans="1:18" ht="19.899999999999999" customHeight="1">
      <c r="A615" t="str">
        <f t="shared" si="10"/>
        <v>9M#2DTR(A)</v>
      </c>
      <c r="B615" t="s">
        <v>5297</v>
      </c>
      <c r="C615" t="s">
        <v>4870</v>
      </c>
      <c r="D615">
        <v>336</v>
      </c>
      <c r="E615" t="s">
        <v>4792</v>
      </c>
      <c r="F615">
        <v>243</v>
      </c>
      <c r="G615" t="s">
        <v>4792</v>
      </c>
      <c r="H615">
        <v>264</v>
      </c>
      <c r="I615" t="s">
        <v>4792</v>
      </c>
      <c r="J615" s="631">
        <v>336</v>
      </c>
      <c r="K615" t="s">
        <v>4793</v>
      </c>
      <c r="L615" t="s">
        <v>4793</v>
      </c>
      <c r="P615" t="s">
        <v>85</v>
      </c>
      <c r="Q615" t="s">
        <v>85</v>
      </c>
      <c r="R615">
        <v>0</v>
      </c>
    </row>
    <row r="616" spans="1:18" ht="19.899999999999999" customHeight="1">
      <c r="A616" t="str">
        <f t="shared" si="10"/>
        <v>9M20</v>
      </c>
      <c r="B616" t="s">
        <v>5297</v>
      </c>
      <c r="C616" t="s">
        <v>5298</v>
      </c>
      <c r="D616">
        <v>129</v>
      </c>
      <c r="E616" t="s">
        <v>4812</v>
      </c>
      <c r="F616">
        <v>104</v>
      </c>
      <c r="G616" t="s">
        <v>4814</v>
      </c>
      <c r="H616">
        <v>94</v>
      </c>
      <c r="I616" t="s">
        <v>4805</v>
      </c>
      <c r="J616" s="631">
        <v>129</v>
      </c>
      <c r="K616">
        <v>39</v>
      </c>
      <c r="L616" t="s">
        <v>4805</v>
      </c>
      <c r="P616" t="s">
        <v>85</v>
      </c>
      <c r="Q616" t="s">
        <v>85</v>
      </c>
      <c r="R616">
        <v>0</v>
      </c>
    </row>
    <row r="617" spans="1:18" ht="19.899999999999999" customHeight="1">
      <c r="A617" t="str">
        <f t="shared" si="10"/>
        <v>9M21</v>
      </c>
      <c r="B617" t="s">
        <v>5297</v>
      </c>
      <c r="C617" t="s">
        <v>5299</v>
      </c>
      <c r="D617">
        <v>66</v>
      </c>
      <c r="E617" t="s">
        <v>4795</v>
      </c>
      <c r="F617">
        <v>47</v>
      </c>
      <c r="G617" t="s">
        <v>4795</v>
      </c>
      <c r="H617">
        <v>55</v>
      </c>
      <c r="I617" t="s">
        <v>4795</v>
      </c>
      <c r="J617" s="631">
        <v>66</v>
      </c>
      <c r="K617">
        <v>25</v>
      </c>
      <c r="L617" t="s">
        <v>4812</v>
      </c>
      <c r="P617" t="s">
        <v>85</v>
      </c>
      <c r="Q617" t="s">
        <v>85</v>
      </c>
      <c r="R617">
        <v>0</v>
      </c>
    </row>
    <row r="618" spans="1:18" ht="19.899999999999999" customHeight="1">
      <c r="A618" t="str">
        <f t="shared" si="10"/>
        <v>9M22</v>
      </c>
      <c r="B618" t="s">
        <v>5297</v>
      </c>
      <c r="C618" t="s">
        <v>5300</v>
      </c>
      <c r="D618">
        <v>67</v>
      </c>
      <c r="E618" t="s">
        <v>4802</v>
      </c>
      <c r="F618">
        <v>44</v>
      </c>
      <c r="G618" t="s">
        <v>4805</v>
      </c>
      <c r="H618">
        <v>46</v>
      </c>
      <c r="I618" t="s">
        <v>4805</v>
      </c>
      <c r="J618" s="631">
        <v>67</v>
      </c>
      <c r="K618">
        <v>42</v>
      </c>
      <c r="L618" t="s">
        <v>4802</v>
      </c>
      <c r="P618" t="s">
        <v>85</v>
      </c>
      <c r="Q618" t="s">
        <v>85</v>
      </c>
      <c r="R618">
        <v>0</v>
      </c>
    </row>
    <row r="619" spans="1:18" ht="19.899999999999999" customHeight="1">
      <c r="A619" t="str">
        <f t="shared" si="10"/>
        <v>9M23</v>
      </c>
      <c r="B619" t="s">
        <v>5297</v>
      </c>
      <c r="C619" t="s">
        <v>5301</v>
      </c>
      <c r="D619">
        <v>22</v>
      </c>
      <c r="E619" t="s">
        <v>4795</v>
      </c>
      <c r="F619">
        <v>25</v>
      </c>
      <c r="G619" t="s">
        <v>4800</v>
      </c>
      <c r="H619">
        <v>21</v>
      </c>
      <c r="I619" t="s">
        <v>4792</v>
      </c>
      <c r="J619" s="631">
        <v>25</v>
      </c>
      <c r="K619">
        <v>12</v>
      </c>
      <c r="L619" t="s">
        <v>4799</v>
      </c>
      <c r="P619" t="s">
        <v>85</v>
      </c>
      <c r="Q619" t="s">
        <v>85</v>
      </c>
      <c r="R619">
        <v>0</v>
      </c>
    </row>
    <row r="620" spans="1:18" ht="19.899999999999999" customHeight="1">
      <c r="A620" t="str">
        <f t="shared" si="10"/>
        <v>9M24</v>
      </c>
      <c r="B620" t="s">
        <v>5297</v>
      </c>
      <c r="C620" t="s">
        <v>5302</v>
      </c>
      <c r="D620">
        <v>50</v>
      </c>
      <c r="E620" t="s">
        <v>4792</v>
      </c>
      <c r="F620">
        <v>47</v>
      </c>
      <c r="G620" t="s">
        <v>4792</v>
      </c>
      <c r="H620">
        <v>54</v>
      </c>
      <c r="I620" t="s">
        <v>4792</v>
      </c>
      <c r="J620" s="631">
        <v>54</v>
      </c>
      <c r="K620">
        <v>17</v>
      </c>
      <c r="L620" t="s">
        <v>4802</v>
      </c>
      <c r="P620" t="s">
        <v>85</v>
      </c>
      <c r="Q620" t="s">
        <v>85</v>
      </c>
      <c r="R620">
        <v>0</v>
      </c>
    </row>
    <row r="621" spans="1:18" ht="19.899999999999999" customHeight="1">
      <c r="A621" t="str">
        <f t="shared" si="10"/>
        <v>9M#2DTR(B)</v>
      </c>
      <c r="B621" t="s">
        <v>5297</v>
      </c>
      <c r="C621" t="s">
        <v>4877</v>
      </c>
      <c r="D621">
        <v>538</v>
      </c>
      <c r="E621" t="s">
        <v>4792</v>
      </c>
      <c r="F621">
        <v>501</v>
      </c>
      <c r="G621" t="s">
        <v>4792</v>
      </c>
      <c r="H621">
        <v>564</v>
      </c>
      <c r="I621" t="s">
        <v>4792</v>
      </c>
      <c r="J621" s="631">
        <v>564</v>
      </c>
      <c r="K621" t="s">
        <v>4793</v>
      </c>
      <c r="L621" t="s">
        <v>4793</v>
      </c>
      <c r="P621" t="s">
        <v>85</v>
      </c>
      <c r="Q621" t="s">
        <v>85</v>
      </c>
      <c r="R621">
        <v>0</v>
      </c>
    </row>
    <row r="622" spans="1:18" ht="19.899999999999999" customHeight="1">
      <c r="A622" t="str">
        <f t="shared" si="10"/>
        <v>9M25</v>
      </c>
      <c r="B622" t="s">
        <v>5297</v>
      </c>
      <c r="C622" t="s">
        <v>5303</v>
      </c>
      <c r="D622">
        <v>137</v>
      </c>
      <c r="E622" t="s">
        <v>4805</v>
      </c>
      <c r="F622">
        <v>122</v>
      </c>
      <c r="G622" t="s">
        <v>4805</v>
      </c>
      <c r="H622">
        <v>105</v>
      </c>
      <c r="I622" t="s">
        <v>4805</v>
      </c>
      <c r="J622" s="631">
        <v>137</v>
      </c>
      <c r="K622">
        <v>56</v>
      </c>
      <c r="L622" t="s">
        <v>4812</v>
      </c>
      <c r="P622" t="s">
        <v>85</v>
      </c>
      <c r="Q622" t="s">
        <v>85</v>
      </c>
      <c r="R622">
        <v>0</v>
      </c>
    </row>
    <row r="623" spans="1:18" ht="19.899999999999999" customHeight="1">
      <c r="A623" t="str">
        <f t="shared" si="10"/>
        <v>9M26</v>
      </c>
      <c r="B623" t="s">
        <v>5297</v>
      </c>
      <c r="C623" t="s">
        <v>5304</v>
      </c>
      <c r="D623">
        <v>146</v>
      </c>
      <c r="E623" t="s">
        <v>4795</v>
      </c>
      <c r="F623">
        <v>120</v>
      </c>
      <c r="G623" t="s">
        <v>4792</v>
      </c>
      <c r="H623">
        <v>140</v>
      </c>
      <c r="I623" t="s">
        <v>4792</v>
      </c>
      <c r="J623" s="631">
        <v>146</v>
      </c>
      <c r="K623">
        <v>32</v>
      </c>
      <c r="L623" t="s">
        <v>4798</v>
      </c>
      <c r="P623" t="s">
        <v>85</v>
      </c>
      <c r="Q623" t="s">
        <v>85</v>
      </c>
      <c r="R623">
        <v>0</v>
      </c>
    </row>
    <row r="624" spans="1:18" ht="19.899999999999999" customHeight="1">
      <c r="A624" t="str">
        <f t="shared" si="10"/>
        <v>9M27</v>
      </c>
      <c r="B624" t="s">
        <v>5297</v>
      </c>
      <c r="C624" t="s">
        <v>5305</v>
      </c>
      <c r="D624">
        <v>156</v>
      </c>
      <c r="E624" t="s">
        <v>4792</v>
      </c>
      <c r="F624">
        <v>147</v>
      </c>
      <c r="G624" t="s">
        <v>4805</v>
      </c>
      <c r="H624">
        <v>174</v>
      </c>
      <c r="I624" t="s">
        <v>4792</v>
      </c>
      <c r="J624" s="631">
        <v>174</v>
      </c>
      <c r="K624">
        <v>38</v>
      </c>
      <c r="L624" t="s">
        <v>4792</v>
      </c>
      <c r="P624" t="s">
        <v>85</v>
      </c>
      <c r="Q624" t="s">
        <v>85</v>
      </c>
      <c r="R624">
        <v>0</v>
      </c>
    </row>
    <row r="625" spans="1:18" ht="19.899999999999999" customHeight="1">
      <c r="A625" t="str">
        <f t="shared" si="10"/>
        <v>9M28</v>
      </c>
      <c r="B625" t="s">
        <v>5297</v>
      </c>
      <c r="C625" t="s">
        <v>5306</v>
      </c>
      <c r="D625">
        <v>130</v>
      </c>
      <c r="E625" t="s">
        <v>4800</v>
      </c>
      <c r="F625">
        <v>134</v>
      </c>
      <c r="G625" t="s">
        <v>4795</v>
      </c>
      <c r="H625">
        <v>156</v>
      </c>
      <c r="I625" t="s">
        <v>4795</v>
      </c>
      <c r="J625" s="631">
        <v>156</v>
      </c>
      <c r="K625">
        <v>68</v>
      </c>
      <c r="L625" t="s">
        <v>4800</v>
      </c>
      <c r="P625" t="s">
        <v>85</v>
      </c>
      <c r="Q625" t="s">
        <v>85</v>
      </c>
      <c r="R625">
        <v>0</v>
      </c>
    </row>
    <row r="626" spans="1:18" ht="19.899999999999999" customHeight="1">
      <c r="A626" t="str">
        <f t="shared" si="10"/>
        <v>9M29</v>
      </c>
      <c r="B626" t="s">
        <v>5297</v>
      </c>
      <c r="C626" t="s">
        <v>5307</v>
      </c>
      <c r="D626">
        <v>30</v>
      </c>
      <c r="E626" t="s">
        <v>4809</v>
      </c>
      <c r="F626">
        <v>36</v>
      </c>
      <c r="G626" t="s">
        <v>4801</v>
      </c>
      <c r="H626">
        <v>29</v>
      </c>
      <c r="I626" t="s">
        <v>4809</v>
      </c>
      <c r="J626" s="631">
        <v>36</v>
      </c>
      <c r="K626">
        <v>17</v>
      </c>
      <c r="L626" t="s">
        <v>4792</v>
      </c>
      <c r="P626">
        <v>2147</v>
      </c>
      <c r="Q626">
        <v>1</v>
      </c>
      <c r="R626">
        <v>2148</v>
      </c>
    </row>
    <row r="627" spans="1:18" ht="19.899999999999999" customHeight="1">
      <c r="A627" t="str">
        <f t="shared" si="10"/>
        <v>9M#3DTR(A)</v>
      </c>
      <c r="B627" t="s">
        <v>5297</v>
      </c>
      <c r="C627" t="s">
        <v>4940</v>
      </c>
      <c r="D627">
        <v>465</v>
      </c>
      <c r="E627" t="s">
        <v>4808</v>
      </c>
      <c r="F627">
        <v>474</v>
      </c>
      <c r="G627" t="s">
        <v>4814</v>
      </c>
      <c r="H627">
        <v>457</v>
      </c>
      <c r="I627" t="s">
        <v>4814</v>
      </c>
      <c r="J627" s="631">
        <v>474</v>
      </c>
      <c r="K627" t="s">
        <v>4793</v>
      </c>
      <c r="L627" t="s">
        <v>4793</v>
      </c>
      <c r="P627">
        <v>1905</v>
      </c>
      <c r="Q627">
        <v>5</v>
      </c>
      <c r="R627">
        <v>1910</v>
      </c>
    </row>
    <row r="628" spans="1:18" ht="19.899999999999999" customHeight="1">
      <c r="A628" t="str">
        <f t="shared" si="10"/>
        <v>9M30</v>
      </c>
      <c r="B628" t="s">
        <v>5297</v>
      </c>
      <c r="C628" t="s">
        <v>5308</v>
      </c>
      <c r="D628">
        <v>207</v>
      </c>
      <c r="E628" t="s">
        <v>4795</v>
      </c>
      <c r="F628">
        <v>215</v>
      </c>
      <c r="G628" t="s">
        <v>4795</v>
      </c>
      <c r="H628">
        <v>185</v>
      </c>
      <c r="I628" t="s">
        <v>4795</v>
      </c>
      <c r="J628" s="631">
        <v>215</v>
      </c>
      <c r="K628">
        <v>57</v>
      </c>
      <c r="L628" t="s">
        <v>4826</v>
      </c>
      <c r="P628">
        <v>1936</v>
      </c>
      <c r="Q628">
        <v>6</v>
      </c>
      <c r="R628">
        <v>1942</v>
      </c>
    </row>
    <row r="629" spans="1:18" ht="19.899999999999999" customHeight="1">
      <c r="A629" t="str">
        <f t="shared" si="10"/>
        <v>9M31</v>
      </c>
      <c r="B629" t="s">
        <v>5297</v>
      </c>
      <c r="C629" t="s">
        <v>5309</v>
      </c>
      <c r="D629">
        <v>12</v>
      </c>
      <c r="E629" t="s">
        <v>4807</v>
      </c>
      <c r="F629">
        <v>31</v>
      </c>
      <c r="G629" t="s">
        <v>4792</v>
      </c>
      <c r="H629">
        <v>31</v>
      </c>
      <c r="I629" t="s">
        <v>4792</v>
      </c>
      <c r="J629" s="631">
        <v>31</v>
      </c>
      <c r="K629">
        <v>21</v>
      </c>
      <c r="L629" t="s">
        <v>4792</v>
      </c>
      <c r="P629">
        <v>1691</v>
      </c>
      <c r="Q629">
        <v>11</v>
      </c>
      <c r="R629">
        <v>1702</v>
      </c>
    </row>
    <row r="630" spans="1:18" ht="19.899999999999999" customHeight="1">
      <c r="A630" t="str">
        <f t="shared" si="10"/>
        <v>9M32</v>
      </c>
      <c r="B630" t="s">
        <v>5297</v>
      </c>
      <c r="C630" t="s">
        <v>5310</v>
      </c>
      <c r="D630">
        <v>158</v>
      </c>
      <c r="E630" t="s">
        <v>4809</v>
      </c>
      <c r="F630">
        <v>159</v>
      </c>
      <c r="G630" t="s">
        <v>4814</v>
      </c>
      <c r="H630">
        <v>173</v>
      </c>
      <c r="I630" t="s">
        <v>4792</v>
      </c>
      <c r="J630" s="631">
        <v>173</v>
      </c>
      <c r="K630">
        <v>31</v>
      </c>
      <c r="L630" t="s">
        <v>4795</v>
      </c>
      <c r="P630">
        <v>1080</v>
      </c>
      <c r="Q630">
        <v>0</v>
      </c>
      <c r="R630">
        <v>1080</v>
      </c>
    </row>
    <row r="631" spans="1:18" ht="19.899999999999999" customHeight="1">
      <c r="A631" t="str">
        <f t="shared" si="10"/>
        <v>9M33</v>
      </c>
      <c r="B631" t="s">
        <v>5297</v>
      </c>
      <c r="C631" t="s">
        <v>5311</v>
      </c>
      <c r="D631">
        <v>22</v>
      </c>
      <c r="E631" t="s">
        <v>4843</v>
      </c>
      <c r="F631">
        <v>21</v>
      </c>
      <c r="G631" t="s">
        <v>4843</v>
      </c>
      <c r="H631">
        <v>22</v>
      </c>
      <c r="I631" t="s">
        <v>4926</v>
      </c>
      <c r="J631" s="631">
        <v>22</v>
      </c>
      <c r="K631">
        <v>2</v>
      </c>
      <c r="L631" t="s">
        <v>4810</v>
      </c>
      <c r="P631">
        <v>3</v>
      </c>
      <c r="Q631">
        <v>1</v>
      </c>
      <c r="R631">
        <v>4</v>
      </c>
    </row>
    <row r="632" spans="1:18" ht="19.899999999999999" customHeight="1">
      <c r="A632" t="str">
        <f t="shared" si="10"/>
        <v>9M34</v>
      </c>
      <c r="B632" t="s">
        <v>5297</v>
      </c>
      <c r="C632" t="s">
        <v>5312</v>
      </c>
      <c r="D632">
        <v>102</v>
      </c>
      <c r="E632" t="s">
        <v>4801</v>
      </c>
      <c r="F632">
        <v>100</v>
      </c>
      <c r="G632" t="s">
        <v>4801</v>
      </c>
      <c r="H632">
        <v>98</v>
      </c>
      <c r="I632" t="s">
        <v>4801</v>
      </c>
      <c r="J632" s="631">
        <v>102</v>
      </c>
      <c r="K632">
        <v>16</v>
      </c>
      <c r="L632" t="s">
        <v>4810</v>
      </c>
      <c r="P632">
        <v>3</v>
      </c>
      <c r="Q632">
        <v>4</v>
      </c>
      <c r="R632">
        <v>7</v>
      </c>
    </row>
    <row r="633" spans="1:18" ht="19.899999999999999" customHeight="1">
      <c r="A633" t="str">
        <f t="shared" si="10"/>
        <v>9M#3DTR(B)</v>
      </c>
      <c r="B633" t="s">
        <v>5297</v>
      </c>
      <c r="C633" t="s">
        <v>4944</v>
      </c>
      <c r="D633">
        <v>534</v>
      </c>
      <c r="E633" t="s">
        <v>4792</v>
      </c>
      <c r="F633">
        <v>487</v>
      </c>
      <c r="G633" t="s">
        <v>4795</v>
      </c>
      <c r="H633">
        <v>523</v>
      </c>
      <c r="I633" t="s">
        <v>4792</v>
      </c>
      <c r="J633" s="631">
        <v>534</v>
      </c>
      <c r="K633" t="s">
        <v>4793</v>
      </c>
      <c r="L633" t="s">
        <v>4793</v>
      </c>
      <c r="P633">
        <v>0</v>
      </c>
      <c r="Q633">
        <v>1</v>
      </c>
      <c r="R633">
        <v>1</v>
      </c>
    </row>
    <row r="634" spans="1:18" ht="19.899999999999999" customHeight="1">
      <c r="A634" t="str">
        <f t="shared" si="10"/>
        <v>9M35</v>
      </c>
      <c r="B634" t="s">
        <v>5297</v>
      </c>
      <c r="C634" t="s">
        <v>5313</v>
      </c>
      <c r="D634">
        <v>55</v>
      </c>
      <c r="E634" t="s">
        <v>4800</v>
      </c>
      <c r="F634">
        <v>33</v>
      </c>
      <c r="G634" t="s">
        <v>4926</v>
      </c>
      <c r="H634">
        <v>36</v>
      </c>
      <c r="I634" t="s">
        <v>4853</v>
      </c>
      <c r="J634" s="631">
        <v>55</v>
      </c>
      <c r="K634">
        <v>38</v>
      </c>
      <c r="L634" t="s">
        <v>4800</v>
      </c>
      <c r="P634">
        <v>3</v>
      </c>
      <c r="Q634">
        <v>3</v>
      </c>
      <c r="R634">
        <v>6</v>
      </c>
    </row>
    <row r="635" spans="1:18" ht="19.899999999999999" customHeight="1">
      <c r="A635" t="str">
        <f t="shared" si="10"/>
        <v>9M36</v>
      </c>
      <c r="B635" t="s">
        <v>5297</v>
      </c>
      <c r="C635" t="s">
        <v>5314</v>
      </c>
      <c r="D635">
        <v>97</v>
      </c>
      <c r="E635" t="s">
        <v>4808</v>
      </c>
      <c r="F635">
        <v>91</v>
      </c>
      <c r="G635" t="s">
        <v>4802</v>
      </c>
      <c r="H635">
        <v>76</v>
      </c>
      <c r="I635" t="s">
        <v>4808</v>
      </c>
      <c r="J635" s="631">
        <v>97</v>
      </c>
      <c r="K635">
        <v>57</v>
      </c>
      <c r="L635" t="s">
        <v>4938</v>
      </c>
      <c r="P635">
        <v>8</v>
      </c>
      <c r="Q635">
        <v>12</v>
      </c>
      <c r="R635">
        <v>20</v>
      </c>
    </row>
    <row r="636" spans="1:18" ht="19.899999999999999" customHeight="1">
      <c r="A636" t="str">
        <f t="shared" si="10"/>
        <v>9M37</v>
      </c>
      <c r="B636" t="s">
        <v>5297</v>
      </c>
      <c r="C636" t="s">
        <v>5315</v>
      </c>
      <c r="D636">
        <v>154</v>
      </c>
      <c r="E636" t="s">
        <v>4795</v>
      </c>
      <c r="F636">
        <v>140</v>
      </c>
      <c r="G636" t="s">
        <v>4795</v>
      </c>
      <c r="H636">
        <v>141</v>
      </c>
      <c r="I636" t="s">
        <v>4792</v>
      </c>
      <c r="J636" s="631">
        <v>154</v>
      </c>
      <c r="K636">
        <v>42</v>
      </c>
      <c r="L636" t="s">
        <v>4802</v>
      </c>
      <c r="P636">
        <v>3188</v>
      </c>
      <c r="Q636">
        <v>1</v>
      </c>
      <c r="R636">
        <v>3189</v>
      </c>
    </row>
    <row r="637" spans="1:18" ht="19.899999999999999" customHeight="1">
      <c r="A637" t="str">
        <f t="shared" si="10"/>
        <v>9M38</v>
      </c>
      <c r="B637" t="s">
        <v>5297</v>
      </c>
      <c r="C637" t="s">
        <v>5316</v>
      </c>
      <c r="D637">
        <v>213</v>
      </c>
      <c r="E637" t="s">
        <v>4792</v>
      </c>
      <c r="F637">
        <v>217</v>
      </c>
      <c r="G637" t="s">
        <v>4795</v>
      </c>
      <c r="H637">
        <v>248</v>
      </c>
      <c r="I637" t="s">
        <v>4792</v>
      </c>
      <c r="J637" s="631">
        <v>248</v>
      </c>
      <c r="K637">
        <v>60</v>
      </c>
      <c r="L637" t="s">
        <v>4792</v>
      </c>
      <c r="P637">
        <v>860</v>
      </c>
      <c r="Q637">
        <v>3</v>
      </c>
      <c r="R637">
        <v>863</v>
      </c>
    </row>
    <row r="638" spans="1:18" ht="19.899999999999999" customHeight="1">
      <c r="A638" t="str">
        <f t="shared" si="10"/>
        <v>9M39</v>
      </c>
      <c r="B638" t="s">
        <v>5297</v>
      </c>
      <c r="C638" t="s">
        <v>5317</v>
      </c>
      <c r="D638">
        <v>38</v>
      </c>
      <c r="E638" t="s">
        <v>4795</v>
      </c>
      <c r="F638">
        <v>24</v>
      </c>
      <c r="G638" t="s">
        <v>4792</v>
      </c>
      <c r="H638">
        <v>48</v>
      </c>
      <c r="I638" t="s">
        <v>4809</v>
      </c>
      <c r="J638" s="631">
        <v>48</v>
      </c>
      <c r="K638">
        <v>41</v>
      </c>
      <c r="L638" t="s">
        <v>4809</v>
      </c>
      <c r="P638">
        <v>2134</v>
      </c>
      <c r="Q638">
        <v>1</v>
      </c>
      <c r="R638">
        <v>2135</v>
      </c>
    </row>
    <row r="639" spans="1:18" ht="19.899999999999999" customHeight="1">
      <c r="A639" t="str">
        <f t="shared" si="10"/>
        <v>II#1MTR</v>
      </c>
      <c r="B639" t="s">
        <v>5318</v>
      </c>
      <c r="C639" t="s">
        <v>4791</v>
      </c>
      <c r="D639">
        <v>287</v>
      </c>
      <c r="E639" t="s">
        <v>4795</v>
      </c>
      <c r="F639">
        <v>272</v>
      </c>
      <c r="G639" t="s">
        <v>4792</v>
      </c>
      <c r="H639">
        <v>250</v>
      </c>
      <c r="I639" t="s">
        <v>4792</v>
      </c>
      <c r="J639" s="631">
        <v>287</v>
      </c>
      <c r="K639" t="s">
        <v>4793</v>
      </c>
      <c r="L639" t="s">
        <v>4793</v>
      </c>
      <c r="P639">
        <v>252</v>
      </c>
      <c r="Q639" t="s">
        <v>85</v>
      </c>
      <c r="R639">
        <v>252</v>
      </c>
    </row>
    <row r="640" spans="1:18" ht="19.899999999999999" customHeight="1">
      <c r="A640" t="str">
        <f t="shared" si="10"/>
        <v>II22</v>
      </c>
      <c r="B640" t="s">
        <v>5318</v>
      </c>
      <c r="C640" t="s">
        <v>5319</v>
      </c>
      <c r="D640">
        <v>24</v>
      </c>
      <c r="E640" t="s">
        <v>4795</v>
      </c>
      <c r="F640">
        <v>24</v>
      </c>
      <c r="G640" t="s">
        <v>4795</v>
      </c>
      <c r="H640">
        <v>24</v>
      </c>
      <c r="I640" t="s">
        <v>4792</v>
      </c>
      <c r="J640" s="631">
        <v>24</v>
      </c>
      <c r="K640">
        <v>9</v>
      </c>
      <c r="L640" t="s">
        <v>4805</v>
      </c>
      <c r="P640">
        <v>661</v>
      </c>
      <c r="Q640">
        <v>4</v>
      </c>
      <c r="R640">
        <v>665</v>
      </c>
    </row>
    <row r="641" spans="1:18" ht="19.899999999999999" customHeight="1">
      <c r="A641" t="str">
        <f t="shared" si="10"/>
        <v>II25</v>
      </c>
      <c r="B641" t="s">
        <v>5318</v>
      </c>
      <c r="C641" t="s">
        <v>5320</v>
      </c>
      <c r="D641">
        <v>45</v>
      </c>
      <c r="E641" t="s">
        <v>4792</v>
      </c>
      <c r="F641">
        <v>68</v>
      </c>
      <c r="G641" t="s">
        <v>4800</v>
      </c>
      <c r="H641">
        <v>39</v>
      </c>
      <c r="I641" t="s">
        <v>4802</v>
      </c>
      <c r="J641" s="631">
        <v>68</v>
      </c>
      <c r="K641">
        <v>36</v>
      </c>
      <c r="L641" t="s">
        <v>4800</v>
      </c>
      <c r="P641">
        <v>221</v>
      </c>
      <c r="Q641">
        <v>1</v>
      </c>
      <c r="R641">
        <v>222</v>
      </c>
    </row>
    <row r="642" spans="1:18" ht="19.899999999999999" customHeight="1">
      <c r="A642" t="str">
        <f t="shared" si="10"/>
        <v>II20</v>
      </c>
      <c r="B642" t="s">
        <v>5318</v>
      </c>
      <c r="C642" t="s">
        <v>5321</v>
      </c>
      <c r="D642">
        <v>130</v>
      </c>
      <c r="E642" t="s">
        <v>4795</v>
      </c>
      <c r="F642">
        <v>138</v>
      </c>
      <c r="G642" t="s">
        <v>4800</v>
      </c>
      <c r="H642">
        <v>128</v>
      </c>
      <c r="I642" t="s">
        <v>4795</v>
      </c>
      <c r="J642" s="631">
        <v>138</v>
      </c>
      <c r="K642">
        <v>36</v>
      </c>
      <c r="L642" t="s">
        <v>4792</v>
      </c>
      <c r="P642">
        <v>408</v>
      </c>
      <c r="Q642" t="s">
        <v>85</v>
      </c>
      <c r="R642">
        <v>408</v>
      </c>
    </row>
    <row r="643" spans="1:18" ht="19.899999999999999" customHeight="1">
      <c r="A643" t="str">
        <f t="shared" si="10"/>
        <v>II26</v>
      </c>
      <c r="B643" t="s">
        <v>5318</v>
      </c>
      <c r="C643" t="s">
        <v>5322</v>
      </c>
      <c r="D643">
        <v>72</v>
      </c>
      <c r="E643" t="s">
        <v>4795</v>
      </c>
      <c r="F643">
        <v>40</v>
      </c>
      <c r="G643" t="s">
        <v>4798</v>
      </c>
      <c r="H643">
        <v>38</v>
      </c>
      <c r="I643" t="s">
        <v>4798</v>
      </c>
      <c r="J643" s="631">
        <v>72</v>
      </c>
      <c r="K643">
        <v>37</v>
      </c>
      <c r="L643" t="s">
        <v>4795</v>
      </c>
      <c r="P643">
        <v>4210</v>
      </c>
      <c r="Q643">
        <v>5</v>
      </c>
      <c r="R643">
        <v>4215</v>
      </c>
    </row>
    <row r="644" spans="1:18" ht="19.899999999999999" customHeight="1">
      <c r="A644" t="str">
        <f t="shared" si="10"/>
        <v>II27</v>
      </c>
      <c r="B644" t="s">
        <v>5318</v>
      </c>
      <c r="C644" t="s">
        <v>5323</v>
      </c>
      <c r="D644">
        <v>19</v>
      </c>
      <c r="E644" t="s">
        <v>4805</v>
      </c>
      <c r="F644">
        <v>15</v>
      </c>
      <c r="G644" t="s">
        <v>4801</v>
      </c>
      <c r="H644">
        <v>29</v>
      </c>
      <c r="I644" t="s">
        <v>4795</v>
      </c>
      <c r="J644" s="631">
        <v>29</v>
      </c>
      <c r="K644">
        <v>22</v>
      </c>
      <c r="L644" t="s">
        <v>4805</v>
      </c>
      <c r="P644">
        <v>5918</v>
      </c>
      <c r="Q644">
        <v>13</v>
      </c>
      <c r="R644">
        <v>5931</v>
      </c>
    </row>
    <row r="645" spans="1:18" ht="19.899999999999999" customHeight="1">
      <c r="A645" t="str">
        <f t="shared" si="10"/>
        <v>II#2MTR</v>
      </c>
      <c r="B645" t="s">
        <v>5318</v>
      </c>
      <c r="C645" t="s">
        <v>4803</v>
      </c>
      <c r="D645">
        <v>598</v>
      </c>
      <c r="E645" t="s">
        <v>4792</v>
      </c>
      <c r="F645">
        <v>615</v>
      </c>
      <c r="G645" t="s">
        <v>4800</v>
      </c>
      <c r="H645">
        <v>577</v>
      </c>
      <c r="I645" t="s">
        <v>4792</v>
      </c>
      <c r="J645" s="631">
        <v>615</v>
      </c>
      <c r="K645" t="s">
        <v>4793</v>
      </c>
      <c r="L645" t="s">
        <v>4793</v>
      </c>
      <c r="P645">
        <v>346</v>
      </c>
      <c r="Q645">
        <v>3</v>
      </c>
      <c r="R645">
        <v>349</v>
      </c>
    </row>
    <row r="646" spans="1:18" ht="19.899999999999999" customHeight="1">
      <c r="A646" t="str">
        <f t="shared" si="10"/>
        <v>II32</v>
      </c>
      <c r="B646" t="s">
        <v>5318</v>
      </c>
      <c r="C646" t="s">
        <v>5324</v>
      </c>
      <c r="D646">
        <v>84</v>
      </c>
      <c r="E646" t="s">
        <v>4817</v>
      </c>
      <c r="F646">
        <v>118</v>
      </c>
      <c r="G646" t="s">
        <v>4817</v>
      </c>
      <c r="H646">
        <v>110</v>
      </c>
      <c r="I646" t="s">
        <v>4792</v>
      </c>
      <c r="J646" s="631">
        <v>118</v>
      </c>
      <c r="K646">
        <v>49</v>
      </c>
      <c r="L646" t="s">
        <v>4800</v>
      </c>
      <c r="P646">
        <v>1837</v>
      </c>
      <c r="Q646">
        <v>1</v>
      </c>
      <c r="R646">
        <v>1838</v>
      </c>
    </row>
    <row r="647" spans="1:18" ht="19.899999999999999" customHeight="1">
      <c r="A647" t="str">
        <f t="shared" si="10"/>
        <v>II31</v>
      </c>
      <c r="B647" t="s">
        <v>5318</v>
      </c>
      <c r="C647" t="s">
        <v>5325</v>
      </c>
      <c r="D647">
        <v>153</v>
      </c>
      <c r="E647" t="s">
        <v>4792</v>
      </c>
      <c r="F647">
        <v>129</v>
      </c>
      <c r="G647" t="s">
        <v>4800</v>
      </c>
      <c r="H647">
        <v>151</v>
      </c>
      <c r="I647" t="s">
        <v>4802</v>
      </c>
      <c r="J647" s="631">
        <v>153</v>
      </c>
      <c r="K647">
        <v>41</v>
      </c>
      <c r="L647" t="s">
        <v>4795</v>
      </c>
      <c r="P647">
        <v>6812</v>
      </c>
      <c r="Q647">
        <v>10</v>
      </c>
      <c r="R647">
        <v>6822</v>
      </c>
    </row>
    <row r="648" spans="1:18" ht="19.899999999999999" customHeight="1">
      <c r="A648" t="str">
        <f t="shared" si="10"/>
        <v>II34</v>
      </c>
      <c r="B648" t="s">
        <v>5318</v>
      </c>
      <c r="C648" t="s">
        <v>5326</v>
      </c>
      <c r="D648">
        <v>96</v>
      </c>
      <c r="E648" t="s">
        <v>4802</v>
      </c>
      <c r="F648">
        <v>85</v>
      </c>
      <c r="G648" t="s">
        <v>4817</v>
      </c>
      <c r="H648">
        <v>102</v>
      </c>
      <c r="I648" t="s">
        <v>4792</v>
      </c>
      <c r="J648" s="631">
        <v>102</v>
      </c>
      <c r="K648">
        <v>27</v>
      </c>
      <c r="L648" t="s">
        <v>4792</v>
      </c>
      <c r="P648">
        <v>6502</v>
      </c>
      <c r="Q648">
        <v>3</v>
      </c>
      <c r="R648">
        <v>6505</v>
      </c>
    </row>
    <row r="649" spans="1:18" ht="19.899999999999999" customHeight="1">
      <c r="A649" t="str">
        <f t="shared" si="10"/>
        <v>II30</v>
      </c>
      <c r="B649" t="s">
        <v>5318</v>
      </c>
      <c r="C649" t="s">
        <v>5327</v>
      </c>
      <c r="D649">
        <v>151</v>
      </c>
      <c r="E649" t="s">
        <v>4792</v>
      </c>
      <c r="F649">
        <v>159</v>
      </c>
      <c r="G649" t="s">
        <v>4800</v>
      </c>
      <c r="H649">
        <v>109</v>
      </c>
      <c r="I649" t="s">
        <v>4796</v>
      </c>
      <c r="J649" s="631">
        <v>159</v>
      </c>
      <c r="K649">
        <v>68</v>
      </c>
      <c r="L649" t="s">
        <v>4792</v>
      </c>
      <c r="P649">
        <v>1</v>
      </c>
      <c r="Q649">
        <v>2</v>
      </c>
      <c r="R649">
        <v>3</v>
      </c>
    </row>
    <row r="650" spans="1:18" ht="19.899999999999999" customHeight="1">
      <c r="A650" t="str">
        <f t="shared" ref="A650:A693" si="11">IF(COUNTIF(C650,"*TR*")&gt;0,SUBSTITUTE(RIGHT(B650,3) &amp; C650," ",""),MID(C650,FIND("(",C650)+1,4))</f>
        <v>II28</v>
      </c>
      <c r="B650" t="s">
        <v>5318</v>
      </c>
      <c r="C650" t="s">
        <v>5328</v>
      </c>
      <c r="D650">
        <v>135</v>
      </c>
      <c r="E650" t="s">
        <v>4798</v>
      </c>
      <c r="F650">
        <v>141</v>
      </c>
      <c r="G650" t="s">
        <v>4800</v>
      </c>
      <c r="H650">
        <v>118</v>
      </c>
      <c r="I650" t="s">
        <v>4798</v>
      </c>
      <c r="J650" s="631">
        <v>141</v>
      </c>
      <c r="K650">
        <v>45</v>
      </c>
      <c r="L650" t="s">
        <v>4800</v>
      </c>
      <c r="P650">
        <v>4749</v>
      </c>
      <c r="Q650">
        <v>5</v>
      </c>
      <c r="R650">
        <v>4754</v>
      </c>
    </row>
    <row r="651" spans="1:18" ht="19.899999999999999" customHeight="1">
      <c r="A651" t="str">
        <f t="shared" si="11"/>
        <v>II#3MTR</v>
      </c>
      <c r="B651" t="s">
        <v>5318</v>
      </c>
      <c r="C651" t="s">
        <v>4811</v>
      </c>
      <c r="D651">
        <v>248</v>
      </c>
      <c r="E651" t="s">
        <v>4795</v>
      </c>
      <c r="F651">
        <v>268</v>
      </c>
      <c r="G651" t="s">
        <v>4795</v>
      </c>
      <c r="H651">
        <v>309</v>
      </c>
      <c r="I651" t="s">
        <v>4792</v>
      </c>
      <c r="J651" s="631">
        <v>309</v>
      </c>
      <c r="K651" t="s">
        <v>4793</v>
      </c>
      <c r="L651" t="s">
        <v>4793</v>
      </c>
      <c r="P651" t="s">
        <v>85</v>
      </c>
      <c r="Q651" t="s">
        <v>85</v>
      </c>
      <c r="R651">
        <v>0</v>
      </c>
    </row>
    <row r="652" spans="1:18" ht="19.899999999999999" customHeight="1">
      <c r="A652" t="str">
        <f t="shared" si="11"/>
        <v>II24</v>
      </c>
      <c r="B652" t="s">
        <v>5318</v>
      </c>
      <c r="C652" t="s">
        <v>5329</v>
      </c>
      <c r="D652">
        <v>93</v>
      </c>
      <c r="E652" t="s">
        <v>4795</v>
      </c>
      <c r="F652">
        <v>96</v>
      </c>
      <c r="G652" t="s">
        <v>4792</v>
      </c>
      <c r="H652">
        <v>102</v>
      </c>
      <c r="I652" t="s">
        <v>4800</v>
      </c>
      <c r="J652" s="631">
        <v>102</v>
      </c>
      <c r="K652">
        <v>24</v>
      </c>
      <c r="L652" t="s">
        <v>4800</v>
      </c>
      <c r="P652">
        <v>3492</v>
      </c>
      <c r="Q652">
        <v>3</v>
      </c>
      <c r="R652">
        <v>3495</v>
      </c>
    </row>
    <row r="653" spans="1:18" ht="19.899999999999999" customHeight="1">
      <c r="A653" t="str">
        <f t="shared" si="11"/>
        <v>II33</v>
      </c>
      <c r="B653" t="s">
        <v>5318</v>
      </c>
      <c r="C653" t="s">
        <v>5330</v>
      </c>
      <c r="D653">
        <v>98</v>
      </c>
      <c r="E653" t="s">
        <v>4792</v>
      </c>
      <c r="F653">
        <v>124</v>
      </c>
      <c r="G653" t="s">
        <v>4792</v>
      </c>
      <c r="H653">
        <v>151</v>
      </c>
      <c r="I653" t="s">
        <v>4792</v>
      </c>
      <c r="J653" s="631">
        <v>151</v>
      </c>
      <c r="K653">
        <v>61</v>
      </c>
      <c r="L653" t="s">
        <v>4792</v>
      </c>
      <c r="P653">
        <v>5391</v>
      </c>
      <c r="Q653">
        <v>5</v>
      </c>
      <c r="R653">
        <v>5396</v>
      </c>
    </row>
    <row r="654" spans="1:18" ht="19.899999999999999" customHeight="1">
      <c r="A654" t="str">
        <f t="shared" si="11"/>
        <v>II21</v>
      </c>
      <c r="B654" t="s">
        <v>5318</v>
      </c>
      <c r="C654" t="s">
        <v>5331</v>
      </c>
      <c r="D654">
        <v>15</v>
      </c>
      <c r="E654" t="s">
        <v>4795</v>
      </c>
      <c r="F654">
        <v>17</v>
      </c>
      <c r="G654" t="s">
        <v>4795</v>
      </c>
      <c r="H654">
        <v>27</v>
      </c>
      <c r="I654" t="s">
        <v>4802</v>
      </c>
      <c r="J654" s="631">
        <v>27</v>
      </c>
      <c r="K654">
        <v>21</v>
      </c>
      <c r="L654" t="s">
        <v>4814</v>
      </c>
      <c r="P654">
        <v>4383</v>
      </c>
      <c r="Q654" t="s">
        <v>85</v>
      </c>
      <c r="R654">
        <v>4383</v>
      </c>
    </row>
    <row r="655" spans="1:18" ht="19.899999999999999" customHeight="1">
      <c r="A655" t="str">
        <f t="shared" si="11"/>
        <v>II29</v>
      </c>
      <c r="B655" t="s">
        <v>5318</v>
      </c>
      <c r="C655" t="s">
        <v>5332</v>
      </c>
      <c r="D655">
        <v>45</v>
      </c>
      <c r="E655" t="s">
        <v>4802</v>
      </c>
      <c r="F655">
        <v>32</v>
      </c>
      <c r="G655" t="s">
        <v>4802</v>
      </c>
      <c r="H655">
        <v>19</v>
      </c>
      <c r="I655" t="s">
        <v>4812</v>
      </c>
      <c r="J655" s="631">
        <v>45</v>
      </c>
      <c r="K655">
        <v>31</v>
      </c>
      <c r="L655" t="s">
        <v>4795</v>
      </c>
      <c r="P655">
        <v>5846</v>
      </c>
      <c r="Q655">
        <v>4</v>
      </c>
      <c r="R655">
        <v>5850</v>
      </c>
    </row>
    <row r="656" spans="1:18" ht="19.899999999999999" customHeight="1">
      <c r="A656" t="str">
        <f t="shared" si="11"/>
        <v>II23</v>
      </c>
      <c r="B656" t="s">
        <v>5318</v>
      </c>
      <c r="C656" t="s">
        <v>5333</v>
      </c>
      <c r="D656">
        <v>11</v>
      </c>
      <c r="E656" t="s">
        <v>4805</v>
      </c>
      <c r="F656">
        <v>18</v>
      </c>
      <c r="G656" t="s">
        <v>4805</v>
      </c>
      <c r="H656">
        <v>18</v>
      </c>
      <c r="I656" t="s">
        <v>4792</v>
      </c>
      <c r="J656" s="631">
        <v>18</v>
      </c>
      <c r="K656">
        <v>18</v>
      </c>
      <c r="L656" t="s">
        <v>4810</v>
      </c>
      <c r="P656">
        <v>2274</v>
      </c>
      <c r="Q656">
        <v>3</v>
      </c>
      <c r="R656">
        <v>2277</v>
      </c>
    </row>
    <row r="657" spans="1:18" ht="19.899999999999999" customHeight="1">
      <c r="A657" t="str">
        <f t="shared" si="11"/>
        <v>IA#1DTR(A)</v>
      </c>
      <c r="B657" t="s">
        <v>5334</v>
      </c>
      <c r="C657" t="s">
        <v>4859</v>
      </c>
      <c r="D657">
        <v>375</v>
      </c>
      <c r="E657" t="s">
        <v>4795</v>
      </c>
      <c r="F657">
        <v>431</v>
      </c>
      <c r="G657" t="s">
        <v>4792</v>
      </c>
      <c r="H657">
        <v>427</v>
      </c>
      <c r="I657" t="s">
        <v>4792</v>
      </c>
      <c r="J657" s="631">
        <v>431</v>
      </c>
      <c r="K657" t="s">
        <v>4793</v>
      </c>
      <c r="L657" t="s">
        <v>4793</v>
      </c>
      <c r="P657">
        <v>1571</v>
      </c>
      <c r="Q657">
        <v>4</v>
      </c>
      <c r="R657">
        <v>1575</v>
      </c>
    </row>
    <row r="658" spans="1:18" ht="19.899999999999999" customHeight="1">
      <c r="A658" t="str">
        <f t="shared" si="11"/>
        <v>IA28</v>
      </c>
      <c r="B658" t="s">
        <v>5334</v>
      </c>
      <c r="C658" t="s">
        <v>5335</v>
      </c>
      <c r="D658">
        <v>92</v>
      </c>
      <c r="E658" t="s">
        <v>4805</v>
      </c>
      <c r="F658">
        <v>107</v>
      </c>
      <c r="G658" t="s">
        <v>4802</v>
      </c>
      <c r="H658">
        <v>95</v>
      </c>
      <c r="I658" t="s">
        <v>4802</v>
      </c>
      <c r="J658" s="631">
        <v>107</v>
      </c>
      <c r="K658">
        <v>18</v>
      </c>
      <c r="L658" t="s">
        <v>4802</v>
      </c>
      <c r="P658">
        <v>2554</v>
      </c>
      <c r="Q658">
        <v>4</v>
      </c>
      <c r="R658">
        <v>2558</v>
      </c>
    </row>
    <row r="659" spans="1:18" ht="19.899999999999999" customHeight="1">
      <c r="A659" t="str">
        <f t="shared" si="11"/>
        <v>IA37</v>
      </c>
      <c r="B659" t="s">
        <v>5334</v>
      </c>
      <c r="C659" t="s">
        <v>5336</v>
      </c>
      <c r="D659">
        <v>79</v>
      </c>
      <c r="E659" t="s">
        <v>4795</v>
      </c>
      <c r="F659">
        <v>82</v>
      </c>
      <c r="G659" t="s">
        <v>4805</v>
      </c>
      <c r="H659">
        <v>85</v>
      </c>
      <c r="I659" t="s">
        <v>4792</v>
      </c>
      <c r="J659" s="631">
        <v>85</v>
      </c>
      <c r="K659">
        <v>39</v>
      </c>
      <c r="L659" t="s">
        <v>4810</v>
      </c>
      <c r="P659">
        <v>254</v>
      </c>
      <c r="Q659" t="s">
        <v>85</v>
      </c>
      <c r="R659">
        <v>254</v>
      </c>
    </row>
    <row r="660" spans="1:18" ht="19.899999999999999" customHeight="1">
      <c r="A660" t="str">
        <f t="shared" si="11"/>
        <v>IA30</v>
      </c>
      <c r="B660" t="s">
        <v>5334</v>
      </c>
      <c r="C660" t="s">
        <v>5337</v>
      </c>
      <c r="D660">
        <v>102</v>
      </c>
      <c r="E660" t="s">
        <v>4795</v>
      </c>
      <c r="F660">
        <v>126</v>
      </c>
      <c r="G660" t="s">
        <v>4792</v>
      </c>
      <c r="H660">
        <v>107</v>
      </c>
      <c r="I660" t="s">
        <v>4792</v>
      </c>
      <c r="J660" s="631">
        <v>126</v>
      </c>
      <c r="K660">
        <v>24</v>
      </c>
      <c r="L660" t="s">
        <v>4872</v>
      </c>
      <c r="P660">
        <v>800</v>
      </c>
      <c r="Q660">
        <v>10</v>
      </c>
      <c r="R660">
        <v>810</v>
      </c>
    </row>
    <row r="661" spans="1:18" ht="19.899999999999999" customHeight="1">
      <c r="A661" t="str">
        <f t="shared" si="11"/>
        <v>IA32</v>
      </c>
      <c r="B661" t="s">
        <v>5334</v>
      </c>
      <c r="C661" t="s">
        <v>5338</v>
      </c>
      <c r="D661">
        <v>2</v>
      </c>
      <c r="E661" t="s">
        <v>4810</v>
      </c>
      <c r="F661">
        <v>2</v>
      </c>
      <c r="G661" t="s">
        <v>4810</v>
      </c>
      <c r="H661">
        <v>2</v>
      </c>
      <c r="I661" t="s">
        <v>4810</v>
      </c>
      <c r="J661" s="631">
        <v>2</v>
      </c>
      <c r="K661">
        <v>0</v>
      </c>
      <c r="L661" t="s">
        <v>4810</v>
      </c>
      <c r="P661">
        <v>6720</v>
      </c>
      <c r="Q661">
        <v>2</v>
      </c>
      <c r="R661">
        <v>6722</v>
      </c>
    </row>
    <row r="662" spans="1:18" ht="19.899999999999999" customHeight="1">
      <c r="A662" t="str">
        <f t="shared" si="11"/>
        <v>IA35</v>
      </c>
      <c r="B662" t="s">
        <v>5334</v>
      </c>
      <c r="C662" t="s">
        <v>5339</v>
      </c>
      <c r="D662">
        <v>117</v>
      </c>
      <c r="E662" t="s">
        <v>4805</v>
      </c>
      <c r="F662">
        <v>146</v>
      </c>
      <c r="G662" t="s">
        <v>4812</v>
      </c>
      <c r="H662">
        <v>147</v>
      </c>
      <c r="I662" t="s">
        <v>4800</v>
      </c>
      <c r="J662" s="631">
        <v>147</v>
      </c>
      <c r="K662">
        <v>51</v>
      </c>
      <c r="L662" t="s">
        <v>4808</v>
      </c>
      <c r="P662">
        <v>1288</v>
      </c>
      <c r="Q662">
        <v>2</v>
      </c>
      <c r="R662">
        <v>1290</v>
      </c>
    </row>
    <row r="663" spans="1:18" ht="19.899999999999999" customHeight="1">
      <c r="A663" t="str">
        <f t="shared" si="11"/>
        <v>IA#1DTR(B)</v>
      </c>
      <c r="B663" t="s">
        <v>5334</v>
      </c>
      <c r="C663" t="s">
        <v>4889</v>
      </c>
      <c r="D663">
        <v>274</v>
      </c>
      <c r="E663" t="s">
        <v>4792</v>
      </c>
      <c r="F663">
        <v>303</v>
      </c>
      <c r="G663" t="s">
        <v>4807</v>
      </c>
      <c r="H663">
        <v>324</v>
      </c>
      <c r="I663" t="s">
        <v>4795</v>
      </c>
      <c r="J663" s="631">
        <v>324</v>
      </c>
      <c r="K663" t="s">
        <v>4793</v>
      </c>
      <c r="L663" t="s">
        <v>4793</v>
      </c>
      <c r="P663">
        <v>1429</v>
      </c>
      <c r="Q663" t="s">
        <v>85</v>
      </c>
      <c r="R663">
        <v>1429</v>
      </c>
    </row>
    <row r="664" spans="1:18" ht="19.899999999999999" customHeight="1">
      <c r="A664" t="str">
        <f t="shared" si="11"/>
        <v>IA39</v>
      </c>
      <c r="B664" t="s">
        <v>5334</v>
      </c>
      <c r="C664" t="s">
        <v>5340</v>
      </c>
      <c r="D664">
        <v>24</v>
      </c>
      <c r="E664" t="s">
        <v>4817</v>
      </c>
      <c r="F664">
        <v>36</v>
      </c>
      <c r="G664" t="s">
        <v>4805</v>
      </c>
      <c r="H664">
        <v>40</v>
      </c>
      <c r="I664" t="s">
        <v>4800</v>
      </c>
      <c r="J664" s="631">
        <v>40</v>
      </c>
      <c r="K664">
        <v>23</v>
      </c>
      <c r="L664" t="s">
        <v>4795</v>
      </c>
      <c r="P664">
        <v>1196</v>
      </c>
      <c r="Q664">
        <v>7</v>
      </c>
      <c r="R664">
        <v>1203</v>
      </c>
    </row>
    <row r="665" spans="1:18" ht="19.899999999999999" customHeight="1">
      <c r="A665" t="str">
        <f t="shared" si="11"/>
        <v>IA24</v>
      </c>
      <c r="B665" t="s">
        <v>5334</v>
      </c>
      <c r="C665" t="s">
        <v>5341</v>
      </c>
      <c r="D665">
        <v>157</v>
      </c>
      <c r="E665" t="s">
        <v>4792</v>
      </c>
      <c r="F665">
        <v>139</v>
      </c>
      <c r="G665" t="s">
        <v>4802</v>
      </c>
      <c r="H665">
        <v>161</v>
      </c>
      <c r="I665" t="s">
        <v>4795</v>
      </c>
      <c r="J665" s="631">
        <v>161</v>
      </c>
      <c r="K665">
        <v>39</v>
      </c>
      <c r="L665" t="s">
        <v>4800</v>
      </c>
      <c r="P665">
        <v>2857</v>
      </c>
      <c r="Q665">
        <v>2</v>
      </c>
      <c r="R665">
        <v>2859</v>
      </c>
    </row>
    <row r="666" spans="1:18" ht="19.899999999999999" customHeight="1">
      <c r="A666" t="str">
        <f t="shared" si="11"/>
        <v>IA29</v>
      </c>
      <c r="B666" t="s">
        <v>5334</v>
      </c>
      <c r="C666" t="s">
        <v>5342</v>
      </c>
      <c r="D666">
        <v>77</v>
      </c>
      <c r="E666" t="s">
        <v>4801</v>
      </c>
      <c r="F666">
        <v>86</v>
      </c>
      <c r="G666" t="s">
        <v>4801</v>
      </c>
      <c r="H666">
        <v>84</v>
      </c>
      <c r="I666" t="s">
        <v>4801</v>
      </c>
      <c r="J666" s="631">
        <v>86</v>
      </c>
      <c r="K666">
        <v>15</v>
      </c>
      <c r="L666" t="s">
        <v>4802</v>
      </c>
      <c r="P666">
        <v>3765</v>
      </c>
      <c r="Q666">
        <v>3</v>
      </c>
      <c r="R666">
        <v>3768</v>
      </c>
    </row>
    <row r="667" spans="1:18" ht="19.899999999999999" customHeight="1">
      <c r="A667" t="str">
        <f t="shared" si="11"/>
        <v>IA33</v>
      </c>
      <c r="B667" t="s">
        <v>5334</v>
      </c>
      <c r="C667" t="s">
        <v>5343</v>
      </c>
      <c r="D667">
        <v>40</v>
      </c>
      <c r="E667" t="s">
        <v>4805</v>
      </c>
      <c r="F667">
        <v>32</v>
      </c>
      <c r="G667" t="s">
        <v>4805</v>
      </c>
      <c r="H667">
        <v>40</v>
      </c>
      <c r="I667" t="s">
        <v>4805</v>
      </c>
      <c r="J667" s="631">
        <v>40</v>
      </c>
      <c r="K667">
        <v>36</v>
      </c>
      <c r="L667" t="s">
        <v>4812</v>
      </c>
      <c r="P667" t="s">
        <v>85</v>
      </c>
      <c r="Q667" t="s">
        <v>85</v>
      </c>
      <c r="R667">
        <v>0</v>
      </c>
    </row>
    <row r="668" spans="1:18" ht="19.899999999999999" customHeight="1">
      <c r="A668" t="str">
        <f t="shared" si="11"/>
        <v>IA36</v>
      </c>
      <c r="B668" t="s">
        <v>5334</v>
      </c>
      <c r="C668" t="s">
        <v>5344</v>
      </c>
      <c r="D668">
        <v>50</v>
      </c>
      <c r="E668" t="s">
        <v>4812</v>
      </c>
      <c r="F668">
        <v>69</v>
      </c>
      <c r="G668" t="s">
        <v>4802</v>
      </c>
      <c r="H668">
        <v>77</v>
      </c>
      <c r="I668" t="s">
        <v>4795</v>
      </c>
      <c r="J668" s="631">
        <v>77</v>
      </c>
      <c r="K668">
        <v>54</v>
      </c>
      <c r="L668" t="s">
        <v>4817</v>
      </c>
      <c r="P668">
        <v>1526</v>
      </c>
      <c r="Q668">
        <v>1</v>
      </c>
      <c r="R668">
        <v>1527</v>
      </c>
    </row>
    <row r="669" spans="1:18" ht="19.899999999999999" customHeight="1">
      <c r="A669" t="str">
        <f t="shared" si="11"/>
        <v>IA#2DTR(A)</v>
      </c>
      <c r="B669" t="s">
        <v>5334</v>
      </c>
      <c r="C669" t="s">
        <v>4870</v>
      </c>
      <c r="D669">
        <v>638</v>
      </c>
      <c r="E669" t="s">
        <v>4792</v>
      </c>
      <c r="F669">
        <v>612</v>
      </c>
      <c r="G669" t="s">
        <v>4795</v>
      </c>
      <c r="H669">
        <v>586</v>
      </c>
      <c r="I669" t="s">
        <v>4792</v>
      </c>
      <c r="J669" s="631">
        <v>638</v>
      </c>
      <c r="K669" t="s">
        <v>4793</v>
      </c>
      <c r="L669" t="s">
        <v>4793</v>
      </c>
      <c r="P669">
        <v>6</v>
      </c>
      <c r="Q669">
        <v>6</v>
      </c>
      <c r="R669">
        <v>12</v>
      </c>
    </row>
    <row r="670" spans="1:18" ht="19.899999999999999" customHeight="1">
      <c r="A670" t="str">
        <f t="shared" si="11"/>
        <v>IA23</v>
      </c>
      <c r="B670" t="s">
        <v>5334</v>
      </c>
      <c r="C670" t="s">
        <v>5468</v>
      </c>
      <c r="D670">
        <v>123</v>
      </c>
      <c r="E670" t="s">
        <v>4795</v>
      </c>
      <c r="F670">
        <v>99</v>
      </c>
      <c r="G670" t="s">
        <v>4795</v>
      </c>
      <c r="H670">
        <v>125</v>
      </c>
      <c r="I670" t="s">
        <v>4792</v>
      </c>
      <c r="J670" s="631">
        <v>125</v>
      </c>
      <c r="K670">
        <v>46</v>
      </c>
      <c r="L670" t="s">
        <v>4802</v>
      </c>
      <c r="P670">
        <v>7</v>
      </c>
      <c r="Q670">
        <v>4</v>
      </c>
      <c r="R670">
        <v>11</v>
      </c>
    </row>
    <row r="671" spans="1:18" ht="19.899999999999999" customHeight="1">
      <c r="A671" t="str">
        <f t="shared" si="11"/>
        <v>IA26</v>
      </c>
      <c r="B671" t="s">
        <v>5334</v>
      </c>
      <c r="C671" t="s">
        <v>5469</v>
      </c>
      <c r="D671">
        <v>221</v>
      </c>
      <c r="E671" t="s">
        <v>4792</v>
      </c>
      <c r="F671">
        <v>198</v>
      </c>
      <c r="G671" t="s">
        <v>4795</v>
      </c>
      <c r="H671">
        <v>183</v>
      </c>
      <c r="I671" t="s">
        <v>4795</v>
      </c>
      <c r="J671" s="631">
        <v>221</v>
      </c>
      <c r="K671">
        <v>76</v>
      </c>
      <c r="L671" t="s">
        <v>4792</v>
      </c>
      <c r="P671">
        <v>12</v>
      </c>
      <c r="Q671">
        <v>9</v>
      </c>
      <c r="R671">
        <v>21</v>
      </c>
    </row>
    <row r="672" spans="1:18" ht="19.899999999999999" customHeight="1">
      <c r="A672" t="str">
        <f t="shared" si="11"/>
        <v>IA27</v>
      </c>
      <c r="B672" t="s">
        <v>5334</v>
      </c>
      <c r="C672" t="s">
        <v>5470</v>
      </c>
      <c r="D672">
        <v>153</v>
      </c>
      <c r="E672" t="s">
        <v>4792</v>
      </c>
      <c r="F672">
        <v>143</v>
      </c>
      <c r="G672" t="s">
        <v>4795</v>
      </c>
      <c r="H672">
        <v>126</v>
      </c>
      <c r="I672" t="s">
        <v>4792</v>
      </c>
      <c r="J672" s="631">
        <v>153</v>
      </c>
      <c r="K672">
        <v>72</v>
      </c>
      <c r="L672" t="s">
        <v>4795</v>
      </c>
      <c r="P672">
        <v>1247</v>
      </c>
      <c r="Q672">
        <v>5</v>
      </c>
      <c r="R672">
        <v>1252</v>
      </c>
    </row>
    <row r="673" spans="1:18" ht="19.899999999999999" customHeight="1">
      <c r="A673" t="str">
        <f t="shared" si="11"/>
        <v>IA34</v>
      </c>
      <c r="B673" t="s">
        <v>5334</v>
      </c>
      <c r="C673" t="s">
        <v>5471</v>
      </c>
      <c r="D673">
        <v>106</v>
      </c>
      <c r="E673" t="s">
        <v>4795</v>
      </c>
      <c r="F673">
        <v>123</v>
      </c>
      <c r="G673" t="s">
        <v>4795</v>
      </c>
      <c r="H673">
        <v>116</v>
      </c>
      <c r="I673" t="s">
        <v>4795</v>
      </c>
      <c r="J673" s="631">
        <v>123</v>
      </c>
      <c r="K673">
        <v>24</v>
      </c>
      <c r="L673" t="s">
        <v>4801</v>
      </c>
      <c r="P673">
        <v>13</v>
      </c>
      <c r="Q673">
        <v>11</v>
      </c>
      <c r="R673">
        <v>24</v>
      </c>
    </row>
    <row r="674" spans="1:18" ht="19.899999999999999" customHeight="1">
      <c r="A674" t="str">
        <f t="shared" si="11"/>
        <v>IA22</v>
      </c>
      <c r="B674" t="s">
        <v>5334</v>
      </c>
      <c r="C674" t="s">
        <v>5472</v>
      </c>
      <c r="D674">
        <v>38</v>
      </c>
      <c r="E674" t="s">
        <v>4808</v>
      </c>
      <c r="F674">
        <v>51</v>
      </c>
      <c r="G674" t="s">
        <v>4802</v>
      </c>
      <c r="H674">
        <v>47</v>
      </c>
      <c r="I674" t="s">
        <v>4814</v>
      </c>
      <c r="J674" s="631">
        <v>51</v>
      </c>
      <c r="K674">
        <v>22</v>
      </c>
      <c r="L674" t="s">
        <v>4802</v>
      </c>
      <c r="P674">
        <v>7</v>
      </c>
      <c r="Q674">
        <v>9</v>
      </c>
      <c r="R674">
        <v>16</v>
      </c>
    </row>
    <row r="675" spans="1:18" ht="19.899999999999999" customHeight="1">
      <c r="A675" t="str">
        <f t="shared" si="11"/>
        <v>IA#2DTR(B)</v>
      </c>
      <c r="B675" t="s">
        <v>5334</v>
      </c>
      <c r="C675" t="s">
        <v>4877</v>
      </c>
      <c r="D675">
        <v>551</v>
      </c>
      <c r="E675" t="s">
        <v>4795</v>
      </c>
      <c r="F675">
        <v>530</v>
      </c>
      <c r="G675" t="s">
        <v>4795</v>
      </c>
      <c r="H675">
        <v>525</v>
      </c>
      <c r="I675" t="s">
        <v>4795</v>
      </c>
      <c r="J675" s="631">
        <v>551</v>
      </c>
      <c r="K675" t="s">
        <v>4793</v>
      </c>
      <c r="L675" t="s">
        <v>4793</v>
      </c>
      <c r="P675">
        <v>1</v>
      </c>
      <c r="Q675">
        <v>1</v>
      </c>
      <c r="R675">
        <v>2</v>
      </c>
    </row>
    <row r="676" spans="1:18" ht="19.899999999999999" customHeight="1">
      <c r="A676" t="str">
        <f t="shared" si="11"/>
        <v>IA38</v>
      </c>
      <c r="B676" t="s">
        <v>5334</v>
      </c>
      <c r="C676" t="s">
        <v>5473</v>
      </c>
      <c r="D676">
        <v>66</v>
      </c>
      <c r="E676" t="s">
        <v>4800</v>
      </c>
      <c r="F676">
        <v>57</v>
      </c>
      <c r="G676" t="s">
        <v>4798</v>
      </c>
      <c r="H676">
        <v>63</v>
      </c>
      <c r="I676" t="s">
        <v>4795</v>
      </c>
      <c r="J676" s="631">
        <v>66</v>
      </c>
      <c r="K676">
        <v>27</v>
      </c>
      <c r="L676" t="s">
        <v>4800</v>
      </c>
      <c r="P676">
        <v>20</v>
      </c>
      <c r="Q676">
        <v>13</v>
      </c>
      <c r="R676">
        <v>33</v>
      </c>
    </row>
    <row r="677" spans="1:18" ht="19.899999999999999" customHeight="1">
      <c r="A677" t="str">
        <f t="shared" si="11"/>
        <v>IA31</v>
      </c>
      <c r="B677" t="s">
        <v>5334</v>
      </c>
      <c r="C677" t="s">
        <v>5474</v>
      </c>
      <c r="D677">
        <v>179</v>
      </c>
      <c r="E677" t="s">
        <v>4796</v>
      </c>
      <c r="F677">
        <v>191</v>
      </c>
      <c r="G677" t="s">
        <v>4809</v>
      </c>
      <c r="H677">
        <v>181</v>
      </c>
      <c r="I677" t="s">
        <v>4809</v>
      </c>
      <c r="J677" s="631">
        <v>191</v>
      </c>
      <c r="K677">
        <v>19</v>
      </c>
      <c r="L677" t="s">
        <v>4796</v>
      </c>
      <c r="P677">
        <v>2</v>
      </c>
      <c r="Q677">
        <v>7</v>
      </c>
      <c r="R677">
        <v>9</v>
      </c>
    </row>
    <row r="678" spans="1:18" ht="19.899999999999999" customHeight="1">
      <c r="A678" t="str">
        <f t="shared" si="11"/>
        <v>IA21</v>
      </c>
      <c r="B678" t="s">
        <v>5334</v>
      </c>
      <c r="C678" t="s">
        <v>5475</v>
      </c>
      <c r="D678">
        <v>136</v>
      </c>
      <c r="E678" t="s">
        <v>4809</v>
      </c>
      <c r="F678">
        <v>131</v>
      </c>
      <c r="G678" t="s">
        <v>4792</v>
      </c>
      <c r="H678">
        <v>152</v>
      </c>
      <c r="I678" t="s">
        <v>4792</v>
      </c>
      <c r="J678" s="631">
        <v>152</v>
      </c>
      <c r="K678">
        <v>25</v>
      </c>
      <c r="L678" t="s">
        <v>4800</v>
      </c>
      <c r="P678" t="s">
        <v>85</v>
      </c>
      <c r="Q678" t="s">
        <v>85</v>
      </c>
      <c r="R678">
        <v>0</v>
      </c>
    </row>
    <row r="679" spans="1:18" ht="19.899999999999999" customHeight="1">
      <c r="A679" t="str">
        <f t="shared" si="11"/>
        <v>IA25</v>
      </c>
      <c r="B679" t="s">
        <v>5334</v>
      </c>
      <c r="C679" t="s">
        <v>5476</v>
      </c>
      <c r="D679">
        <v>101</v>
      </c>
      <c r="E679" t="s">
        <v>4812</v>
      </c>
      <c r="F679">
        <v>108</v>
      </c>
      <c r="G679" t="s">
        <v>4802</v>
      </c>
      <c r="H679">
        <v>91</v>
      </c>
      <c r="I679" t="s">
        <v>4802</v>
      </c>
      <c r="J679" s="631">
        <v>108</v>
      </c>
      <c r="K679">
        <v>55</v>
      </c>
      <c r="L679" t="s">
        <v>4801</v>
      </c>
      <c r="P679">
        <v>886</v>
      </c>
      <c r="Q679">
        <v>1</v>
      </c>
      <c r="R679">
        <v>887</v>
      </c>
    </row>
    <row r="680" spans="1:18" ht="19.899999999999999" customHeight="1">
      <c r="A680" t="str">
        <f t="shared" si="11"/>
        <v>IA20</v>
      </c>
      <c r="B680" t="s">
        <v>5334</v>
      </c>
      <c r="C680" t="s">
        <v>5477</v>
      </c>
      <c r="D680">
        <v>97</v>
      </c>
      <c r="E680" t="s">
        <v>4800</v>
      </c>
      <c r="F680">
        <v>89</v>
      </c>
      <c r="G680" t="s">
        <v>4795</v>
      </c>
      <c r="H680">
        <v>78</v>
      </c>
      <c r="I680" t="s">
        <v>4795</v>
      </c>
      <c r="J680" s="631">
        <v>97</v>
      </c>
      <c r="K680">
        <v>27</v>
      </c>
      <c r="L680" t="s">
        <v>4809</v>
      </c>
      <c r="P680">
        <v>27</v>
      </c>
      <c r="Q680">
        <v>10</v>
      </c>
      <c r="R680">
        <v>37</v>
      </c>
    </row>
    <row r="681" spans="1:18" ht="19.899999999999999" customHeight="1">
      <c r="A681" t="str">
        <f t="shared" si="11"/>
        <v>IA#3DTR(A)</v>
      </c>
      <c r="B681" t="s">
        <v>5334</v>
      </c>
      <c r="C681" t="s">
        <v>4940</v>
      </c>
      <c r="D681">
        <v>566</v>
      </c>
      <c r="E681" t="s">
        <v>4796</v>
      </c>
      <c r="F681">
        <v>511</v>
      </c>
      <c r="G681" t="s">
        <v>4802</v>
      </c>
      <c r="H681">
        <v>542</v>
      </c>
      <c r="I681" t="s">
        <v>4805</v>
      </c>
      <c r="J681" s="631">
        <v>566</v>
      </c>
      <c r="K681" t="s">
        <v>4793</v>
      </c>
      <c r="L681" t="s">
        <v>4793</v>
      </c>
      <c r="P681">
        <v>339</v>
      </c>
      <c r="Q681" t="s">
        <v>85</v>
      </c>
      <c r="R681">
        <v>339</v>
      </c>
    </row>
    <row r="682" spans="1:18" ht="19.899999999999999" customHeight="1">
      <c r="A682" t="str">
        <f t="shared" si="11"/>
        <v>IA40</v>
      </c>
      <c r="B682" t="s">
        <v>5334</v>
      </c>
      <c r="C682" t="s">
        <v>5345</v>
      </c>
      <c r="D682">
        <v>184</v>
      </c>
      <c r="E682" t="s">
        <v>4805</v>
      </c>
      <c r="F682">
        <v>156</v>
      </c>
      <c r="G682" t="s">
        <v>4808</v>
      </c>
      <c r="H682">
        <v>180</v>
      </c>
      <c r="I682" t="s">
        <v>4801</v>
      </c>
      <c r="J682" s="631">
        <v>184</v>
      </c>
      <c r="K682">
        <v>61</v>
      </c>
      <c r="L682" t="s">
        <v>4805</v>
      </c>
      <c r="P682">
        <v>2584</v>
      </c>
      <c r="Q682" t="s">
        <v>85</v>
      </c>
      <c r="R682">
        <v>2584</v>
      </c>
    </row>
    <row r="683" spans="1:18" ht="19.899999999999999" customHeight="1">
      <c r="A683" t="str">
        <f t="shared" si="11"/>
        <v>IA41</v>
      </c>
      <c r="B683" t="s">
        <v>5334</v>
      </c>
      <c r="C683" t="s">
        <v>5346</v>
      </c>
      <c r="D683">
        <v>108</v>
      </c>
      <c r="E683" t="s">
        <v>4795</v>
      </c>
      <c r="F683">
        <v>105</v>
      </c>
      <c r="G683" t="s">
        <v>4802</v>
      </c>
      <c r="H683">
        <v>81</v>
      </c>
      <c r="I683" t="s">
        <v>4795</v>
      </c>
      <c r="J683" s="631">
        <v>108</v>
      </c>
      <c r="K683">
        <v>49</v>
      </c>
      <c r="L683" t="s">
        <v>4796</v>
      </c>
      <c r="P683">
        <v>745</v>
      </c>
      <c r="Q683">
        <v>1</v>
      </c>
      <c r="R683">
        <v>746</v>
      </c>
    </row>
    <row r="684" spans="1:18" ht="19.899999999999999" customHeight="1">
      <c r="A684" t="str">
        <f t="shared" si="11"/>
        <v>IA42</v>
      </c>
      <c r="B684" t="s">
        <v>5334</v>
      </c>
      <c r="C684" t="s">
        <v>5347</v>
      </c>
      <c r="D684">
        <v>107</v>
      </c>
      <c r="E684" t="s">
        <v>4792</v>
      </c>
      <c r="F684">
        <v>98</v>
      </c>
      <c r="G684" t="s">
        <v>4792</v>
      </c>
      <c r="H684">
        <v>114</v>
      </c>
      <c r="I684" t="s">
        <v>4792</v>
      </c>
      <c r="J684" s="631">
        <v>114</v>
      </c>
      <c r="K684">
        <v>14</v>
      </c>
      <c r="L684" t="s">
        <v>4795</v>
      </c>
      <c r="P684">
        <v>4383</v>
      </c>
      <c r="Q684">
        <v>8</v>
      </c>
      <c r="R684">
        <v>4391</v>
      </c>
    </row>
    <row r="685" spans="1:18" ht="19.899999999999999" customHeight="1">
      <c r="A685" t="str">
        <f t="shared" si="11"/>
        <v>IA43</v>
      </c>
      <c r="B685" t="s">
        <v>5334</v>
      </c>
      <c r="C685" t="s">
        <v>5348</v>
      </c>
      <c r="D685">
        <v>49</v>
      </c>
      <c r="E685" t="s">
        <v>4814</v>
      </c>
      <c r="F685">
        <v>34</v>
      </c>
      <c r="G685" t="s">
        <v>4792</v>
      </c>
      <c r="H685">
        <v>56</v>
      </c>
      <c r="I685" t="s">
        <v>4792</v>
      </c>
      <c r="J685" s="631">
        <v>56</v>
      </c>
      <c r="K685">
        <v>43</v>
      </c>
      <c r="L685" t="s">
        <v>4807</v>
      </c>
      <c r="P685">
        <v>1486</v>
      </c>
      <c r="Q685">
        <v>6</v>
      </c>
      <c r="R685">
        <v>1492</v>
      </c>
    </row>
    <row r="686" spans="1:18" ht="19.899999999999999" customHeight="1">
      <c r="A686" t="str">
        <f t="shared" si="11"/>
        <v>IA44</v>
      </c>
      <c r="B686" t="s">
        <v>5334</v>
      </c>
      <c r="C686" t="s">
        <v>5349</v>
      </c>
      <c r="D686">
        <v>164</v>
      </c>
      <c r="E686" t="s">
        <v>4796</v>
      </c>
      <c r="F686">
        <v>163</v>
      </c>
      <c r="G686" t="s">
        <v>4796</v>
      </c>
      <c r="H686">
        <v>168</v>
      </c>
      <c r="I686" t="s">
        <v>4796</v>
      </c>
      <c r="J686" s="631">
        <v>168</v>
      </c>
      <c r="K686">
        <v>9</v>
      </c>
      <c r="L686" t="s">
        <v>4795</v>
      </c>
      <c r="P686">
        <v>119</v>
      </c>
      <c r="Q686">
        <v>2</v>
      </c>
      <c r="R686">
        <v>121</v>
      </c>
    </row>
    <row r="687" spans="1:18" ht="19.899999999999999" customHeight="1">
      <c r="A687" t="str">
        <f t="shared" si="11"/>
        <v>IA#3DTR(B)</v>
      </c>
      <c r="B687" t="s">
        <v>5334</v>
      </c>
      <c r="C687" t="s">
        <v>4944</v>
      </c>
      <c r="D687">
        <v>571</v>
      </c>
      <c r="E687" t="s">
        <v>4795</v>
      </c>
      <c r="F687">
        <v>507</v>
      </c>
      <c r="G687" t="s">
        <v>4792</v>
      </c>
      <c r="H687">
        <v>440</v>
      </c>
      <c r="I687" t="s">
        <v>4800</v>
      </c>
      <c r="J687" s="631">
        <v>571</v>
      </c>
      <c r="K687" t="s">
        <v>4793</v>
      </c>
      <c r="L687" t="s">
        <v>4793</v>
      </c>
      <c r="P687">
        <v>1560</v>
      </c>
      <c r="Q687">
        <v>2</v>
      </c>
      <c r="R687">
        <v>1562</v>
      </c>
    </row>
    <row r="688" spans="1:18" ht="19.899999999999999" customHeight="1">
      <c r="A688" t="str">
        <f t="shared" si="11"/>
        <v>IA45</v>
      </c>
      <c r="B688" t="s">
        <v>5334</v>
      </c>
      <c r="C688" t="s">
        <v>5350</v>
      </c>
      <c r="D688">
        <v>182</v>
      </c>
      <c r="E688" t="s">
        <v>4795</v>
      </c>
      <c r="F688">
        <v>154</v>
      </c>
      <c r="G688" t="s">
        <v>4800</v>
      </c>
      <c r="H688">
        <v>133</v>
      </c>
      <c r="I688" t="s">
        <v>4795</v>
      </c>
      <c r="J688" s="631">
        <v>182</v>
      </c>
      <c r="K688">
        <v>54</v>
      </c>
      <c r="L688" t="s">
        <v>4795</v>
      </c>
      <c r="P688">
        <v>1007</v>
      </c>
      <c r="Q688">
        <v>4</v>
      </c>
      <c r="R688">
        <v>1011</v>
      </c>
    </row>
    <row r="689" spans="1:18" ht="19.899999999999999" customHeight="1">
      <c r="A689" t="str">
        <f t="shared" si="11"/>
        <v>IA46</v>
      </c>
      <c r="B689" t="s">
        <v>5334</v>
      </c>
      <c r="C689" t="s">
        <v>5351</v>
      </c>
      <c r="D689">
        <v>90</v>
      </c>
      <c r="E689" t="s">
        <v>4795</v>
      </c>
      <c r="F689">
        <v>93</v>
      </c>
      <c r="G689" t="s">
        <v>4805</v>
      </c>
      <c r="H689">
        <v>91</v>
      </c>
      <c r="I689" t="s">
        <v>4808</v>
      </c>
      <c r="J689" s="631">
        <v>93</v>
      </c>
      <c r="K689">
        <v>39</v>
      </c>
      <c r="L689" t="s">
        <v>4807</v>
      </c>
      <c r="P689">
        <v>2481</v>
      </c>
      <c r="Q689">
        <v>10</v>
      </c>
      <c r="R689">
        <v>2491</v>
      </c>
    </row>
    <row r="690" spans="1:18" ht="19.899999999999999" customHeight="1">
      <c r="A690" t="str">
        <f t="shared" si="11"/>
        <v>IA47</v>
      </c>
      <c r="B690" t="s">
        <v>5334</v>
      </c>
      <c r="C690" t="s">
        <v>5352</v>
      </c>
      <c r="D690">
        <v>99</v>
      </c>
      <c r="E690" t="s">
        <v>4792</v>
      </c>
      <c r="F690">
        <v>100</v>
      </c>
      <c r="G690" t="s">
        <v>4792</v>
      </c>
      <c r="H690">
        <v>70</v>
      </c>
      <c r="I690" t="s">
        <v>4792</v>
      </c>
      <c r="J690" s="631">
        <v>100</v>
      </c>
      <c r="K690">
        <v>39</v>
      </c>
      <c r="L690" t="s">
        <v>4795</v>
      </c>
      <c r="P690">
        <v>1</v>
      </c>
      <c r="Q690">
        <v>6</v>
      </c>
      <c r="R690">
        <v>7</v>
      </c>
    </row>
    <row r="691" spans="1:18" ht="19.899999999999999" customHeight="1">
      <c r="A691" t="str">
        <f t="shared" si="11"/>
        <v>IA48</v>
      </c>
      <c r="B691" t="s">
        <v>5334</v>
      </c>
      <c r="C691" t="s">
        <v>5353</v>
      </c>
      <c r="D691">
        <v>72</v>
      </c>
      <c r="E691" t="s">
        <v>4795</v>
      </c>
      <c r="F691">
        <v>81</v>
      </c>
      <c r="G691" t="s">
        <v>4792</v>
      </c>
      <c r="H691">
        <v>54</v>
      </c>
      <c r="I691" t="s">
        <v>4792</v>
      </c>
      <c r="J691" s="631">
        <v>81</v>
      </c>
      <c r="K691">
        <v>36</v>
      </c>
      <c r="L691" t="s">
        <v>4802</v>
      </c>
      <c r="P691">
        <v>12</v>
      </c>
      <c r="Q691">
        <v>5</v>
      </c>
      <c r="R691">
        <v>17</v>
      </c>
    </row>
    <row r="692" spans="1:18" ht="19.899999999999999" customHeight="1">
      <c r="A692" t="str">
        <f t="shared" si="11"/>
        <v>IA49</v>
      </c>
      <c r="B692" t="s">
        <v>5334</v>
      </c>
      <c r="C692" t="s">
        <v>5354</v>
      </c>
      <c r="D692">
        <v>139</v>
      </c>
      <c r="E692" t="s">
        <v>4798</v>
      </c>
      <c r="F692">
        <v>102</v>
      </c>
      <c r="G692" t="s">
        <v>4795</v>
      </c>
      <c r="H692">
        <v>111</v>
      </c>
      <c r="I692" t="s">
        <v>4800</v>
      </c>
      <c r="J692" s="631">
        <v>139</v>
      </c>
      <c r="K692">
        <v>50</v>
      </c>
      <c r="L692" t="s">
        <v>4798</v>
      </c>
      <c r="P692">
        <v>4</v>
      </c>
      <c r="Q692">
        <v>6</v>
      </c>
      <c r="R692">
        <v>10</v>
      </c>
    </row>
    <row r="693" spans="1:18" ht="19.899999999999999" customHeight="1">
      <c r="A693" t="str">
        <f t="shared" si="11"/>
        <v>9A#2DTR</v>
      </c>
      <c r="B693" t="s">
        <v>5355</v>
      </c>
      <c r="C693" t="s">
        <v>4932</v>
      </c>
      <c r="D693">
        <v>882</v>
      </c>
      <c r="E693" t="s">
        <v>4821</v>
      </c>
      <c r="F693">
        <v>878</v>
      </c>
      <c r="G693" t="s">
        <v>4821</v>
      </c>
      <c r="H693">
        <v>877</v>
      </c>
      <c r="I693" t="s">
        <v>4821</v>
      </c>
      <c r="J693" s="631">
        <v>882</v>
      </c>
      <c r="K693" t="s">
        <v>4793</v>
      </c>
      <c r="L693" t="s">
        <v>4793</v>
      </c>
      <c r="P693">
        <v>15</v>
      </c>
      <c r="Q693">
        <v>16</v>
      </c>
      <c r="R693">
        <v>31</v>
      </c>
    </row>
    <row r="694" spans="1:18" hidden="1">
      <c r="A694" t="s">
        <v>2049</v>
      </c>
      <c r="B694" t="s">
        <v>5355</v>
      </c>
      <c r="C694" t="s">
        <v>5356</v>
      </c>
      <c r="D694">
        <v>0</v>
      </c>
      <c r="E694" t="s">
        <v>4853</v>
      </c>
      <c r="F694">
        <v>0</v>
      </c>
      <c r="G694" t="s">
        <v>4810</v>
      </c>
      <c r="H694">
        <v>0</v>
      </c>
      <c r="I694" t="s">
        <v>4853</v>
      </c>
      <c r="J694" s="631">
        <v>0</v>
      </c>
      <c r="K694">
        <v>0</v>
      </c>
      <c r="L694" t="s">
        <v>4853</v>
      </c>
      <c r="P694" t="s">
        <v>85</v>
      </c>
      <c r="Q694" t="s">
        <v>85</v>
      </c>
      <c r="R694">
        <v>0</v>
      </c>
    </row>
    <row r="695" spans="1:18" ht="19.899999999999999" customHeight="1">
      <c r="A695" t="str">
        <f t="shared" ref="A695:A758" si="12">IF(COUNTIF(C695,"*TR*")&gt;0,SUBSTITUTE(RIGHT(B695,3) &amp; C695," ",""),MID(C695,FIND("(",C695)+1,4))</f>
        <v>9A71</v>
      </c>
      <c r="B695" t="s">
        <v>5355</v>
      </c>
      <c r="C695" t="s">
        <v>5357</v>
      </c>
      <c r="D695">
        <v>201</v>
      </c>
      <c r="E695" t="s">
        <v>4821</v>
      </c>
      <c r="F695">
        <v>200</v>
      </c>
      <c r="G695" t="s">
        <v>4821</v>
      </c>
      <c r="H695">
        <v>201</v>
      </c>
      <c r="I695" t="s">
        <v>4821</v>
      </c>
      <c r="J695" s="631">
        <v>201</v>
      </c>
      <c r="K695">
        <v>0</v>
      </c>
      <c r="L695" t="s">
        <v>4810</v>
      </c>
      <c r="P695">
        <v>2</v>
      </c>
      <c r="Q695">
        <v>5</v>
      </c>
      <c r="R695">
        <v>7</v>
      </c>
    </row>
    <row r="696" spans="1:18" ht="19.899999999999999" customHeight="1">
      <c r="A696" t="str">
        <f t="shared" si="12"/>
        <v>9A72</v>
      </c>
      <c r="B696" t="s">
        <v>5355</v>
      </c>
      <c r="C696" t="s">
        <v>5358</v>
      </c>
      <c r="D696">
        <v>150</v>
      </c>
      <c r="E696" t="s">
        <v>4821</v>
      </c>
      <c r="F696">
        <v>149</v>
      </c>
      <c r="G696" t="s">
        <v>4821</v>
      </c>
      <c r="H696">
        <v>149</v>
      </c>
      <c r="I696" t="s">
        <v>4821</v>
      </c>
      <c r="J696" s="631">
        <v>150</v>
      </c>
      <c r="K696">
        <v>0</v>
      </c>
      <c r="L696" t="s">
        <v>4810</v>
      </c>
      <c r="P696">
        <v>7</v>
      </c>
      <c r="Q696">
        <v>6</v>
      </c>
      <c r="R696">
        <v>13</v>
      </c>
    </row>
    <row r="697" spans="1:18" ht="19.899999999999999" customHeight="1">
      <c r="A697" t="str">
        <f t="shared" si="12"/>
        <v>9A73</v>
      </c>
      <c r="B697" t="s">
        <v>5355</v>
      </c>
      <c r="C697" t="s">
        <v>5359</v>
      </c>
      <c r="D697">
        <v>192</v>
      </c>
      <c r="E697" t="s">
        <v>4821</v>
      </c>
      <c r="F697">
        <v>190</v>
      </c>
      <c r="G697" t="s">
        <v>4821</v>
      </c>
      <c r="H697">
        <v>190</v>
      </c>
      <c r="I697" t="s">
        <v>4821</v>
      </c>
      <c r="J697" s="631">
        <v>192</v>
      </c>
      <c r="K697">
        <v>0</v>
      </c>
      <c r="L697" t="s">
        <v>4810</v>
      </c>
      <c r="P697">
        <v>1</v>
      </c>
      <c r="Q697">
        <v>6</v>
      </c>
      <c r="R697">
        <v>7</v>
      </c>
    </row>
    <row r="698" spans="1:18" ht="19.899999999999999" customHeight="1">
      <c r="A698" t="str">
        <f t="shared" si="12"/>
        <v>9A74</v>
      </c>
      <c r="B698" t="s">
        <v>5355</v>
      </c>
      <c r="C698" t="s">
        <v>5360</v>
      </c>
      <c r="D698">
        <v>121</v>
      </c>
      <c r="E698" t="s">
        <v>4810</v>
      </c>
      <c r="F698">
        <v>121</v>
      </c>
      <c r="G698" t="s">
        <v>4810</v>
      </c>
      <c r="H698">
        <v>120</v>
      </c>
      <c r="I698" t="s">
        <v>4810</v>
      </c>
      <c r="J698" s="631">
        <v>121</v>
      </c>
      <c r="K698">
        <v>1</v>
      </c>
      <c r="L698" t="s">
        <v>4810</v>
      </c>
      <c r="P698">
        <v>15</v>
      </c>
      <c r="Q698">
        <v>5</v>
      </c>
      <c r="R698">
        <v>20</v>
      </c>
    </row>
    <row r="699" spans="1:18" ht="19.899999999999999" customHeight="1">
      <c r="A699" t="str">
        <f t="shared" si="12"/>
        <v>9A75</v>
      </c>
      <c r="B699" t="s">
        <v>5355</v>
      </c>
      <c r="C699" t="s">
        <v>5361</v>
      </c>
      <c r="D699">
        <v>151</v>
      </c>
      <c r="E699" t="s">
        <v>4821</v>
      </c>
      <c r="F699">
        <v>151</v>
      </c>
      <c r="G699" t="s">
        <v>4821</v>
      </c>
      <c r="H699">
        <v>150</v>
      </c>
      <c r="I699" t="s">
        <v>4821</v>
      </c>
      <c r="J699" s="631">
        <v>151</v>
      </c>
      <c r="K699">
        <v>1</v>
      </c>
      <c r="L699" t="s">
        <v>4810</v>
      </c>
      <c r="P699">
        <v>6</v>
      </c>
      <c r="Q699">
        <v>2</v>
      </c>
      <c r="R699">
        <v>8</v>
      </c>
    </row>
    <row r="700" spans="1:18" ht="19.899999999999999" customHeight="1">
      <c r="A700" t="str">
        <f t="shared" si="12"/>
        <v>9A76</v>
      </c>
      <c r="B700" t="s">
        <v>5355</v>
      </c>
      <c r="C700" t="s">
        <v>5362</v>
      </c>
      <c r="D700">
        <v>151</v>
      </c>
      <c r="E700" t="s">
        <v>4821</v>
      </c>
      <c r="F700">
        <v>150</v>
      </c>
      <c r="G700" t="s">
        <v>4821</v>
      </c>
      <c r="H700">
        <v>150</v>
      </c>
      <c r="I700" t="s">
        <v>4821</v>
      </c>
      <c r="J700" s="631">
        <v>151</v>
      </c>
      <c r="K700">
        <v>1</v>
      </c>
      <c r="L700" t="s">
        <v>4810</v>
      </c>
      <c r="P700">
        <v>0</v>
      </c>
      <c r="Q700">
        <v>2</v>
      </c>
      <c r="R700">
        <v>2</v>
      </c>
    </row>
    <row r="701" spans="1:18" ht="19.899999999999999" customHeight="1">
      <c r="A701" t="str">
        <f t="shared" si="12"/>
        <v>9A77</v>
      </c>
      <c r="B701" t="s">
        <v>5355</v>
      </c>
      <c r="C701" t="s">
        <v>5363</v>
      </c>
      <c r="D701">
        <v>1</v>
      </c>
      <c r="E701" t="s">
        <v>4843</v>
      </c>
      <c r="F701">
        <v>1</v>
      </c>
      <c r="G701" t="s">
        <v>4817</v>
      </c>
      <c r="H701">
        <v>1</v>
      </c>
      <c r="I701" t="s">
        <v>4843</v>
      </c>
      <c r="J701" s="631">
        <v>1</v>
      </c>
      <c r="K701">
        <v>1</v>
      </c>
      <c r="L701" t="s">
        <v>4810</v>
      </c>
      <c r="P701">
        <v>2</v>
      </c>
      <c r="Q701">
        <v>9</v>
      </c>
      <c r="R701">
        <v>11</v>
      </c>
    </row>
    <row r="702" spans="1:18" ht="19.899999999999999" customHeight="1">
      <c r="A702" t="str">
        <f t="shared" si="12"/>
        <v>9A#3DTR(A)</v>
      </c>
      <c r="B702" t="s">
        <v>5355</v>
      </c>
      <c r="C702" t="s">
        <v>4940</v>
      </c>
      <c r="D702">
        <v>143</v>
      </c>
      <c r="E702" t="s">
        <v>4808</v>
      </c>
      <c r="F702">
        <v>146</v>
      </c>
      <c r="G702" t="s">
        <v>4808</v>
      </c>
      <c r="H702">
        <v>144</v>
      </c>
      <c r="I702" t="s">
        <v>4808</v>
      </c>
      <c r="J702" s="655">
        <v>146</v>
      </c>
      <c r="K702" t="s">
        <v>4793</v>
      </c>
      <c r="L702" t="s">
        <v>4793</v>
      </c>
      <c r="P702">
        <v>2</v>
      </c>
      <c r="Q702" t="s">
        <v>85</v>
      </c>
      <c r="R702">
        <v>2</v>
      </c>
    </row>
    <row r="703" spans="1:18" ht="19.899999999999999" customHeight="1">
      <c r="A703" t="str">
        <f t="shared" si="12"/>
        <v>9A61</v>
      </c>
      <c r="B703" t="s">
        <v>5355</v>
      </c>
      <c r="C703" t="s">
        <v>5364</v>
      </c>
      <c r="D703">
        <v>30</v>
      </c>
      <c r="E703" t="s">
        <v>4800</v>
      </c>
      <c r="F703">
        <v>30</v>
      </c>
      <c r="G703" t="s">
        <v>4800</v>
      </c>
      <c r="H703">
        <v>31</v>
      </c>
      <c r="I703" t="s">
        <v>4800</v>
      </c>
      <c r="J703" s="631">
        <v>31</v>
      </c>
      <c r="K703">
        <v>0</v>
      </c>
      <c r="L703" t="s">
        <v>4810</v>
      </c>
    </row>
    <row r="704" spans="1:18" ht="19.899999999999999" customHeight="1">
      <c r="A704" t="str">
        <f t="shared" si="12"/>
        <v>9A62</v>
      </c>
      <c r="B704" t="s">
        <v>5355</v>
      </c>
      <c r="C704" t="s">
        <v>5365</v>
      </c>
      <c r="D704">
        <v>12</v>
      </c>
      <c r="E704" t="s">
        <v>4802</v>
      </c>
      <c r="F704">
        <v>10</v>
      </c>
      <c r="G704" t="s">
        <v>4853</v>
      </c>
      <c r="H704">
        <v>10</v>
      </c>
      <c r="I704" t="s">
        <v>4796</v>
      </c>
      <c r="J704" s="631">
        <v>12</v>
      </c>
      <c r="K704">
        <v>0</v>
      </c>
      <c r="L704" t="s">
        <v>4810</v>
      </c>
    </row>
    <row r="705" spans="1:12" ht="19.899999999999999" customHeight="1">
      <c r="A705" t="str">
        <f t="shared" si="12"/>
        <v>9A63</v>
      </c>
      <c r="B705" t="s">
        <v>5355</v>
      </c>
      <c r="C705" t="s">
        <v>5366</v>
      </c>
      <c r="D705">
        <v>16</v>
      </c>
      <c r="E705" t="s">
        <v>4808</v>
      </c>
      <c r="F705">
        <v>16</v>
      </c>
      <c r="G705" t="s">
        <v>4808</v>
      </c>
      <c r="H705">
        <v>17</v>
      </c>
      <c r="I705" t="s">
        <v>4808</v>
      </c>
      <c r="J705" s="631">
        <v>17</v>
      </c>
      <c r="K705">
        <v>0</v>
      </c>
      <c r="L705" t="s">
        <v>4810</v>
      </c>
    </row>
    <row r="706" spans="1:12" ht="19.899999999999999" customHeight="1">
      <c r="A706" t="str">
        <f t="shared" si="12"/>
        <v>9A#3DTR(B)</v>
      </c>
      <c r="B706" t="s">
        <v>5355</v>
      </c>
      <c r="C706" t="s">
        <v>4944</v>
      </c>
      <c r="D706" t="s">
        <v>4793</v>
      </c>
      <c r="E706" t="s">
        <v>4793</v>
      </c>
      <c r="F706" t="s">
        <v>4793</v>
      </c>
      <c r="G706" t="s">
        <v>4793</v>
      </c>
      <c r="H706" t="s">
        <v>4793</v>
      </c>
      <c r="I706" t="s">
        <v>4793</v>
      </c>
      <c r="J706" s="631" t="s">
        <v>4793</v>
      </c>
      <c r="K706" t="s">
        <v>4793</v>
      </c>
      <c r="L706" t="s">
        <v>4793</v>
      </c>
    </row>
    <row r="707" spans="1:12" ht="19.899999999999999" customHeight="1">
      <c r="A707" t="str">
        <f t="shared" si="12"/>
        <v>9A64</v>
      </c>
      <c r="B707" t="s">
        <v>5355</v>
      </c>
      <c r="C707" t="s">
        <v>5367</v>
      </c>
      <c r="D707">
        <v>52</v>
      </c>
      <c r="E707" t="s">
        <v>4801</v>
      </c>
      <c r="F707">
        <v>54</v>
      </c>
      <c r="G707" t="s">
        <v>4801</v>
      </c>
      <c r="H707">
        <v>51</v>
      </c>
      <c r="I707" t="s">
        <v>4801</v>
      </c>
      <c r="J707" s="631">
        <v>54</v>
      </c>
      <c r="K707">
        <v>3</v>
      </c>
      <c r="L707" t="s">
        <v>4926</v>
      </c>
    </row>
    <row r="708" spans="1:12" ht="19.899999999999999" customHeight="1">
      <c r="A708" t="str">
        <f t="shared" si="12"/>
        <v>9A65</v>
      </c>
      <c r="B708" t="s">
        <v>5355</v>
      </c>
      <c r="C708" t="s">
        <v>5368</v>
      </c>
      <c r="D708">
        <v>46</v>
      </c>
      <c r="E708" t="s">
        <v>4802</v>
      </c>
      <c r="F708">
        <v>47</v>
      </c>
      <c r="G708" t="s">
        <v>4938</v>
      </c>
      <c r="H708">
        <v>46</v>
      </c>
      <c r="I708" t="s">
        <v>4802</v>
      </c>
      <c r="J708" s="631">
        <v>47</v>
      </c>
      <c r="K708">
        <v>0</v>
      </c>
      <c r="L708" t="s">
        <v>4810</v>
      </c>
    </row>
    <row r="709" spans="1:12" ht="19.899999999999999" customHeight="1">
      <c r="A709" t="str">
        <f t="shared" si="12"/>
        <v>9A66</v>
      </c>
      <c r="B709" t="s">
        <v>5355</v>
      </c>
      <c r="C709" t="s">
        <v>5369</v>
      </c>
      <c r="D709">
        <v>1</v>
      </c>
      <c r="E709" t="s">
        <v>4807</v>
      </c>
      <c r="F709">
        <v>1</v>
      </c>
      <c r="G709" t="s">
        <v>4810</v>
      </c>
      <c r="H709">
        <v>1</v>
      </c>
      <c r="I709" t="s">
        <v>4810</v>
      </c>
      <c r="J709" s="631">
        <v>1</v>
      </c>
      <c r="K709">
        <v>0</v>
      </c>
      <c r="L709" t="s">
        <v>4810</v>
      </c>
    </row>
    <row r="710" spans="1:12" ht="19.899999999999999" customHeight="1">
      <c r="A710" t="str">
        <f t="shared" si="12"/>
        <v>9A#4DTR(A)</v>
      </c>
      <c r="B710" t="s">
        <v>5355</v>
      </c>
      <c r="C710" t="s">
        <v>5370</v>
      </c>
      <c r="D710">
        <v>80</v>
      </c>
      <c r="E710" t="s">
        <v>4805</v>
      </c>
      <c r="F710">
        <v>81</v>
      </c>
      <c r="G710" t="s">
        <v>4805</v>
      </c>
      <c r="H710">
        <v>79</v>
      </c>
      <c r="I710" t="s">
        <v>4805</v>
      </c>
      <c r="J710" s="631">
        <v>81</v>
      </c>
      <c r="K710" t="s">
        <v>4793</v>
      </c>
      <c r="L710" t="s">
        <v>4793</v>
      </c>
    </row>
    <row r="711" spans="1:12" ht="19.899999999999999" customHeight="1">
      <c r="A711" t="str">
        <f t="shared" si="12"/>
        <v>9A51</v>
      </c>
      <c r="B711" t="s">
        <v>5355</v>
      </c>
      <c r="C711" t="s">
        <v>5371</v>
      </c>
      <c r="D711">
        <v>42</v>
      </c>
      <c r="E711" t="s">
        <v>4805</v>
      </c>
      <c r="F711">
        <v>43</v>
      </c>
      <c r="G711" t="s">
        <v>4805</v>
      </c>
      <c r="H711">
        <v>43</v>
      </c>
      <c r="I711" t="s">
        <v>4805</v>
      </c>
      <c r="J711" s="631">
        <v>43</v>
      </c>
      <c r="K711">
        <v>0</v>
      </c>
      <c r="L711" t="s">
        <v>4810</v>
      </c>
    </row>
    <row r="712" spans="1:12" ht="19.899999999999999" customHeight="1">
      <c r="A712" t="str">
        <f t="shared" si="12"/>
        <v>9A52</v>
      </c>
      <c r="B712" t="s">
        <v>5355</v>
      </c>
      <c r="C712" t="s">
        <v>5372</v>
      </c>
      <c r="D712">
        <v>21</v>
      </c>
      <c r="E712" t="s">
        <v>4799</v>
      </c>
      <c r="F712">
        <v>22</v>
      </c>
      <c r="G712" t="s">
        <v>4799</v>
      </c>
      <c r="H712">
        <v>21</v>
      </c>
      <c r="I712" t="s">
        <v>4799</v>
      </c>
      <c r="J712" s="631">
        <v>22</v>
      </c>
      <c r="K712">
        <v>0</v>
      </c>
      <c r="L712" t="s">
        <v>4810</v>
      </c>
    </row>
    <row r="713" spans="1:12" ht="19.899999999999999" customHeight="1">
      <c r="A713" t="str">
        <f t="shared" si="12"/>
        <v>9A53</v>
      </c>
      <c r="B713" t="s">
        <v>5355</v>
      </c>
      <c r="C713" t="s">
        <v>5373</v>
      </c>
      <c r="D713">
        <v>25</v>
      </c>
      <c r="E713" t="s">
        <v>4808</v>
      </c>
      <c r="F713">
        <v>25</v>
      </c>
      <c r="G713" t="s">
        <v>4808</v>
      </c>
      <c r="H713">
        <v>24</v>
      </c>
      <c r="I713" t="s">
        <v>4808</v>
      </c>
      <c r="J713" s="631">
        <v>25</v>
      </c>
      <c r="K713">
        <v>0</v>
      </c>
      <c r="L713" t="s">
        <v>4810</v>
      </c>
    </row>
    <row r="714" spans="1:12" ht="19.899999999999999" customHeight="1">
      <c r="A714" t="str">
        <f t="shared" si="12"/>
        <v>9A54</v>
      </c>
      <c r="B714" t="s">
        <v>5355</v>
      </c>
      <c r="C714" t="s">
        <v>5374</v>
      </c>
      <c r="D714">
        <v>0</v>
      </c>
      <c r="E714" t="s">
        <v>4810</v>
      </c>
      <c r="F714">
        <v>0</v>
      </c>
      <c r="G714" t="s">
        <v>4810</v>
      </c>
      <c r="H714">
        <v>0</v>
      </c>
      <c r="I714" t="s">
        <v>4810</v>
      </c>
      <c r="J714" s="631">
        <v>0</v>
      </c>
      <c r="K714">
        <v>0</v>
      </c>
      <c r="L714" t="s">
        <v>4810</v>
      </c>
    </row>
    <row r="715" spans="1:12" ht="19.899999999999999" customHeight="1">
      <c r="A715" t="str">
        <f t="shared" si="12"/>
        <v>9A55</v>
      </c>
      <c r="B715" t="s">
        <v>5355</v>
      </c>
      <c r="C715" t="s">
        <v>5375</v>
      </c>
      <c r="D715">
        <v>0</v>
      </c>
      <c r="E715" t="s">
        <v>4810</v>
      </c>
      <c r="F715">
        <v>0</v>
      </c>
      <c r="G715" t="s">
        <v>4810</v>
      </c>
      <c r="H715">
        <v>0</v>
      </c>
      <c r="I715" t="s">
        <v>4810</v>
      </c>
      <c r="J715" s="631">
        <v>0</v>
      </c>
      <c r="K715">
        <v>0</v>
      </c>
      <c r="L715" t="s">
        <v>4810</v>
      </c>
    </row>
    <row r="716" spans="1:12" ht="19.899999999999999" customHeight="1">
      <c r="A716" t="str">
        <f t="shared" si="12"/>
        <v>9A56</v>
      </c>
      <c r="B716" t="s">
        <v>5355</v>
      </c>
      <c r="C716" t="s">
        <v>5376</v>
      </c>
      <c r="D716">
        <v>0</v>
      </c>
      <c r="E716" t="s">
        <v>4810</v>
      </c>
      <c r="F716">
        <v>0</v>
      </c>
      <c r="G716" t="s">
        <v>4810</v>
      </c>
      <c r="H716">
        <v>0</v>
      </c>
      <c r="I716" t="s">
        <v>4810</v>
      </c>
      <c r="J716" s="631">
        <v>0</v>
      </c>
      <c r="K716">
        <v>0</v>
      </c>
      <c r="L716" t="s">
        <v>4810</v>
      </c>
    </row>
    <row r="717" spans="1:12" ht="19.899999999999999" customHeight="1">
      <c r="A717" t="str">
        <f t="shared" si="12"/>
        <v>9A#4DTR(B)</v>
      </c>
      <c r="B717" t="s">
        <v>5355</v>
      </c>
      <c r="C717" t="s">
        <v>5377</v>
      </c>
      <c r="D717">
        <v>149</v>
      </c>
      <c r="E717" t="s">
        <v>4853</v>
      </c>
      <c r="F717">
        <v>153</v>
      </c>
      <c r="G717" t="s">
        <v>4853</v>
      </c>
      <c r="H717">
        <v>150</v>
      </c>
      <c r="I717" t="s">
        <v>4853</v>
      </c>
      <c r="J717" s="631">
        <v>153</v>
      </c>
      <c r="K717" t="s">
        <v>4793</v>
      </c>
      <c r="L717" t="s">
        <v>4793</v>
      </c>
    </row>
    <row r="718" spans="1:12" ht="19.899999999999999" customHeight="1">
      <c r="A718" t="str">
        <f t="shared" si="12"/>
        <v>9AE0</v>
      </c>
      <c r="B718" t="s">
        <v>5355</v>
      </c>
      <c r="C718" t="s">
        <v>5513</v>
      </c>
      <c r="D718">
        <v>58</v>
      </c>
      <c r="E718" t="s">
        <v>4796</v>
      </c>
      <c r="F718">
        <v>58</v>
      </c>
      <c r="G718" t="s">
        <v>4796</v>
      </c>
      <c r="H718">
        <v>58</v>
      </c>
      <c r="I718" t="s">
        <v>4796</v>
      </c>
      <c r="J718" s="631">
        <v>58</v>
      </c>
      <c r="K718">
        <v>0</v>
      </c>
      <c r="L718" t="s">
        <v>4810</v>
      </c>
    </row>
    <row r="719" spans="1:12" ht="19.899999999999999" customHeight="1">
      <c r="A719" t="str">
        <f t="shared" si="12"/>
        <v>9A68</v>
      </c>
      <c r="B719" t="s">
        <v>5355</v>
      </c>
      <c r="C719" t="s">
        <v>5378</v>
      </c>
      <c r="D719">
        <v>0</v>
      </c>
      <c r="E719" t="s">
        <v>4810</v>
      </c>
      <c r="F719">
        <v>0</v>
      </c>
      <c r="G719" t="s">
        <v>4810</v>
      </c>
      <c r="H719">
        <v>0</v>
      </c>
      <c r="I719" t="s">
        <v>4810</v>
      </c>
      <c r="J719" s="631">
        <v>0</v>
      </c>
      <c r="K719">
        <v>0</v>
      </c>
      <c r="L719" t="s">
        <v>4810</v>
      </c>
    </row>
    <row r="720" spans="1:12" ht="19.899999999999999" customHeight="1">
      <c r="A720" t="str">
        <f t="shared" si="12"/>
        <v>9A67</v>
      </c>
      <c r="B720" t="s">
        <v>5355</v>
      </c>
      <c r="C720" t="s">
        <v>5379</v>
      </c>
      <c r="D720">
        <v>0</v>
      </c>
      <c r="E720" t="s">
        <v>4810</v>
      </c>
      <c r="F720">
        <v>0</v>
      </c>
      <c r="G720" t="s">
        <v>4810</v>
      </c>
      <c r="H720">
        <v>0</v>
      </c>
      <c r="I720" t="s">
        <v>4810</v>
      </c>
      <c r="J720" s="631">
        <v>0</v>
      </c>
      <c r="K720">
        <v>0</v>
      </c>
      <c r="L720" t="s">
        <v>4810</v>
      </c>
    </row>
    <row r="721" spans="1:12" ht="19.899999999999999" customHeight="1">
      <c r="A721" t="str">
        <f t="shared" si="12"/>
        <v>9A59</v>
      </c>
      <c r="B721" t="s">
        <v>5355</v>
      </c>
      <c r="C721" t="s">
        <v>5380</v>
      </c>
      <c r="D721">
        <v>46</v>
      </c>
      <c r="E721" t="s">
        <v>4853</v>
      </c>
      <c r="F721">
        <v>46</v>
      </c>
      <c r="G721" t="s">
        <v>4853</v>
      </c>
      <c r="H721">
        <v>48</v>
      </c>
      <c r="I721" t="s">
        <v>4853</v>
      </c>
      <c r="J721" s="631">
        <v>48</v>
      </c>
      <c r="K721">
        <v>0</v>
      </c>
      <c r="L721" t="s">
        <v>4810</v>
      </c>
    </row>
    <row r="722" spans="1:12" ht="19.899999999999999" customHeight="1">
      <c r="A722" t="str">
        <f t="shared" si="12"/>
        <v>9A58</v>
      </c>
      <c r="B722" t="s">
        <v>5355</v>
      </c>
      <c r="C722" t="s">
        <v>5381</v>
      </c>
      <c r="D722">
        <v>6</v>
      </c>
      <c r="E722" t="s">
        <v>4918</v>
      </c>
      <c r="F722">
        <v>6</v>
      </c>
      <c r="G722" t="s">
        <v>4810</v>
      </c>
      <c r="H722">
        <v>5</v>
      </c>
      <c r="I722" t="s">
        <v>4810</v>
      </c>
      <c r="J722" s="631">
        <v>6</v>
      </c>
      <c r="K722">
        <v>0</v>
      </c>
      <c r="L722" t="s">
        <v>4810</v>
      </c>
    </row>
    <row r="723" spans="1:12" ht="19.899999999999999" customHeight="1">
      <c r="A723" t="str">
        <f t="shared" si="12"/>
        <v>9A57</v>
      </c>
      <c r="B723" t="s">
        <v>5355</v>
      </c>
      <c r="C723" t="s">
        <v>5382</v>
      </c>
      <c r="D723">
        <v>107</v>
      </c>
      <c r="E723" t="s">
        <v>4817</v>
      </c>
      <c r="F723">
        <v>110</v>
      </c>
      <c r="G723" t="s">
        <v>4817</v>
      </c>
      <c r="H723">
        <v>106</v>
      </c>
      <c r="I723" t="s">
        <v>4817</v>
      </c>
      <c r="J723" s="631">
        <v>110</v>
      </c>
      <c r="K723">
        <v>0</v>
      </c>
      <c r="L723" t="s">
        <v>4810</v>
      </c>
    </row>
    <row r="724" spans="1:12" ht="19.899999999999999" customHeight="1">
      <c r="A724" t="str">
        <f t="shared" si="12"/>
        <v>9G#3DTR(A)</v>
      </c>
      <c r="B724" t="s">
        <v>5383</v>
      </c>
      <c r="C724" t="s">
        <v>4940</v>
      </c>
      <c r="D724">
        <v>360</v>
      </c>
      <c r="E724" t="s">
        <v>4810</v>
      </c>
      <c r="F724">
        <v>360</v>
      </c>
      <c r="G724" t="s">
        <v>4810</v>
      </c>
      <c r="H724">
        <v>360</v>
      </c>
      <c r="I724" t="s">
        <v>4810</v>
      </c>
      <c r="J724" s="631">
        <v>360</v>
      </c>
      <c r="K724" t="s">
        <v>4793</v>
      </c>
      <c r="L724" t="s">
        <v>4793</v>
      </c>
    </row>
    <row r="725" spans="1:12" ht="19.899999999999999" customHeight="1">
      <c r="A725" t="str">
        <f t="shared" si="12"/>
        <v>9GE0</v>
      </c>
      <c r="B725" t="s">
        <v>5383</v>
      </c>
      <c r="C725" t="s">
        <v>5514</v>
      </c>
      <c r="D725">
        <v>169</v>
      </c>
      <c r="E725" t="s">
        <v>4810</v>
      </c>
      <c r="F725">
        <v>171</v>
      </c>
      <c r="G725" t="s">
        <v>4810</v>
      </c>
      <c r="H725">
        <v>171</v>
      </c>
      <c r="I725" t="s">
        <v>4810</v>
      </c>
      <c r="J725" s="631">
        <v>171</v>
      </c>
      <c r="K725">
        <v>0</v>
      </c>
      <c r="L725" t="s">
        <v>4810</v>
      </c>
    </row>
    <row r="726" spans="1:12" ht="19.899999999999999" customHeight="1">
      <c r="A726" t="str">
        <f t="shared" si="12"/>
        <v>9GE1</v>
      </c>
      <c r="B726" t="s">
        <v>5383</v>
      </c>
      <c r="C726" t="s">
        <v>5516</v>
      </c>
      <c r="D726">
        <v>191</v>
      </c>
      <c r="E726" t="s">
        <v>4810</v>
      </c>
      <c r="F726">
        <v>191</v>
      </c>
      <c r="G726" t="s">
        <v>4810</v>
      </c>
      <c r="H726">
        <v>192</v>
      </c>
      <c r="I726" t="s">
        <v>4810</v>
      </c>
      <c r="J726" s="631">
        <v>192</v>
      </c>
      <c r="K726">
        <v>0</v>
      </c>
      <c r="L726" t="s">
        <v>4810</v>
      </c>
    </row>
    <row r="727" spans="1:12" ht="19.899999999999999" customHeight="1">
      <c r="A727" t="str">
        <f t="shared" si="12"/>
        <v>9GE2</v>
      </c>
      <c r="B727" t="s">
        <v>5383</v>
      </c>
      <c r="C727" t="s">
        <v>5518</v>
      </c>
      <c r="D727">
        <v>0</v>
      </c>
      <c r="E727" t="s">
        <v>4810</v>
      </c>
      <c r="F727">
        <v>0</v>
      </c>
      <c r="G727" t="s">
        <v>4810</v>
      </c>
      <c r="H727">
        <v>0</v>
      </c>
      <c r="I727" t="s">
        <v>4810</v>
      </c>
      <c r="J727" s="631">
        <v>0</v>
      </c>
      <c r="K727">
        <v>0</v>
      </c>
      <c r="L727" t="s">
        <v>4810</v>
      </c>
    </row>
    <row r="728" spans="1:12" ht="19.899999999999999" customHeight="1">
      <c r="A728" t="str">
        <f t="shared" si="12"/>
        <v>9GE3</v>
      </c>
      <c r="B728" t="s">
        <v>5383</v>
      </c>
      <c r="C728" t="s">
        <v>5521</v>
      </c>
      <c r="D728">
        <v>0</v>
      </c>
      <c r="E728" t="s">
        <v>4810</v>
      </c>
      <c r="F728">
        <v>0</v>
      </c>
      <c r="G728" t="s">
        <v>4810</v>
      </c>
      <c r="H728">
        <v>0</v>
      </c>
      <c r="I728" t="s">
        <v>4810</v>
      </c>
      <c r="J728" s="631">
        <v>0</v>
      </c>
      <c r="K728">
        <v>0</v>
      </c>
      <c r="L728" t="s">
        <v>4810</v>
      </c>
    </row>
    <row r="729" spans="1:12" ht="19.899999999999999" customHeight="1">
      <c r="A729" t="str">
        <f t="shared" si="12"/>
        <v>9G#3DTR(B)</v>
      </c>
      <c r="B729" t="s">
        <v>5383</v>
      </c>
      <c r="C729" t="s">
        <v>4944</v>
      </c>
      <c r="D729">
        <v>378</v>
      </c>
      <c r="E729" t="s">
        <v>4810</v>
      </c>
      <c r="F729">
        <v>378</v>
      </c>
      <c r="G729" t="s">
        <v>4810</v>
      </c>
      <c r="H729">
        <v>378</v>
      </c>
      <c r="I729" t="s">
        <v>4810</v>
      </c>
      <c r="J729" s="631">
        <v>378</v>
      </c>
      <c r="K729" t="s">
        <v>4793</v>
      </c>
      <c r="L729" t="s">
        <v>4793</v>
      </c>
    </row>
    <row r="730" spans="1:12" ht="19.899999999999999" customHeight="1">
      <c r="A730" t="str">
        <f t="shared" si="12"/>
        <v>9GE4</v>
      </c>
      <c r="B730" t="s">
        <v>5383</v>
      </c>
      <c r="C730" t="s">
        <v>5515</v>
      </c>
      <c r="D730">
        <v>188</v>
      </c>
      <c r="E730" t="s">
        <v>4810</v>
      </c>
      <c r="F730">
        <v>189</v>
      </c>
      <c r="G730" t="s">
        <v>4810</v>
      </c>
      <c r="H730">
        <v>189</v>
      </c>
      <c r="I730" t="s">
        <v>4810</v>
      </c>
      <c r="J730" s="631">
        <v>189</v>
      </c>
      <c r="K730">
        <v>0</v>
      </c>
      <c r="L730" t="s">
        <v>4810</v>
      </c>
    </row>
    <row r="731" spans="1:12" ht="19.899999999999999" customHeight="1">
      <c r="A731" t="str">
        <f t="shared" si="12"/>
        <v>9GE5</v>
      </c>
      <c r="B731" t="s">
        <v>5383</v>
      </c>
      <c r="C731" t="s">
        <v>5517</v>
      </c>
      <c r="D731">
        <v>194</v>
      </c>
      <c r="E731" t="s">
        <v>4810</v>
      </c>
      <c r="F731">
        <v>194</v>
      </c>
      <c r="G731" t="s">
        <v>4810</v>
      </c>
      <c r="H731">
        <v>194</v>
      </c>
      <c r="I731" t="s">
        <v>4810</v>
      </c>
      <c r="J731" s="631">
        <v>194</v>
      </c>
      <c r="K731">
        <v>0</v>
      </c>
      <c r="L731" t="s">
        <v>4810</v>
      </c>
    </row>
    <row r="732" spans="1:12" ht="19.899999999999999" customHeight="1">
      <c r="A732" t="str">
        <f t="shared" si="12"/>
        <v>9GE6</v>
      </c>
      <c r="B732" t="s">
        <v>5383</v>
      </c>
      <c r="C732" t="s">
        <v>5519</v>
      </c>
      <c r="D732">
        <v>0</v>
      </c>
      <c r="E732" t="s">
        <v>4810</v>
      </c>
      <c r="F732">
        <v>0</v>
      </c>
      <c r="G732" t="s">
        <v>4810</v>
      </c>
      <c r="H732">
        <v>0</v>
      </c>
      <c r="I732" t="s">
        <v>4810</v>
      </c>
      <c r="J732" s="631">
        <v>0</v>
      </c>
      <c r="K732">
        <v>0</v>
      </c>
      <c r="L732" t="s">
        <v>4810</v>
      </c>
    </row>
    <row r="733" spans="1:12" ht="19.899999999999999" customHeight="1">
      <c r="A733" t="str">
        <f t="shared" si="12"/>
        <v>9GE7</v>
      </c>
      <c r="B733" t="s">
        <v>5383</v>
      </c>
      <c r="C733" t="s">
        <v>5520</v>
      </c>
      <c r="D733">
        <v>0</v>
      </c>
      <c r="E733" t="s">
        <v>4810</v>
      </c>
      <c r="F733">
        <v>0</v>
      </c>
      <c r="G733" t="s">
        <v>4810</v>
      </c>
      <c r="H733">
        <v>0</v>
      </c>
      <c r="I733" t="s">
        <v>4810</v>
      </c>
      <c r="J733" s="631">
        <v>0</v>
      </c>
      <c r="K733">
        <v>0</v>
      </c>
      <c r="L733" t="s">
        <v>4810</v>
      </c>
    </row>
    <row r="734" spans="1:12" ht="19.899999999999999" customHeight="1">
      <c r="A734" t="str">
        <f t="shared" si="12"/>
        <v>9G#1DTR(A)</v>
      </c>
      <c r="B734" t="s">
        <v>5383</v>
      </c>
      <c r="C734" t="s">
        <v>4859</v>
      </c>
      <c r="D734">
        <v>309</v>
      </c>
      <c r="E734" t="s">
        <v>4802</v>
      </c>
      <c r="F734">
        <v>310</v>
      </c>
      <c r="G734" t="s">
        <v>4802</v>
      </c>
      <c r="H734">
        <v>372</v>
      </c>
      <c r="I734" t="s">
        <v>4802</v>
      </c>
      <c r="J734" s="631">
        <v>372</v>
      </c>
      <c r="K734" t="s">
        <v>4793</v>
      </c>
      <c r="L734" t="s">
        <v>4793</v>
      </c>
    </row>
    <row r="735" spans="1:12" ht="19.899999999999999" customHeight="1">
      <c r="A735" t="str">
        <f t="shared" si="12"/>
        <v>9G20</v>
      </c>
      <c r="B735" t="s">
        <v>5383</v>
      </c>
      <c r="C735" t="s">
        <v>5384</v>
      </c>
      <c r="D735">
        <v>64</v>
      </c>
      <c r="E735" t="s">
        <v>4809</v>
      </c>
      <c r="F735">
        <v>34</v>
      </c>
      <c r="G735" t="s">
        <v>4809</v>
      </c>
      <c r="H735">
        <v>73</v>
      </c>
      <c r="I735" t="s">
        <v>4809</v>
      </c>
      <c r="J735" s="631">
        <v>73</v>
      </c>
      <c r="K735">
        <v>63</v>
      </c>
      <c r="L735" t="s">
        <v>4809</v>
      </c>
    </row>
    <row r="736" spans="1:12" ht="19.899999999999999" customHeight="1">
      <c r="A736" t="str">
        <f t="shared" si="12"/>
        <v>9G21</v>
      </c>
      <c r="B736" t="s">
        <v>5383</v>
      </c>
      <c r="C736" t="s">
        <v>5385</v>
      </c>
      <c r="D736">
        <v>91</v>
      </c>
      <c r="E736" t="s">
        <v>4802</v>
      </c>
      <c r="F736">
        <v>91</v>
      </c>
      <c r="G736" t="s">
        <v>4802</v>
      </c>
      <c r="H736">
        <v>99</v>
      </c>
      <c r="I736" t="s">
        <v>4802</v>
      </c>
      <c r="J736" s="631">
        <v>99</v>
      </c>
      <c r="K736">
        <v>16</v>
      </c>
      <c r="L736" t="s">
        <v>4799</v>
      </c>
    </row>
    <row r="737" spans="1:12" ht="19.899999999999999" customHeight="1">
      <c r="A737" t="str">
        <f t="shared" si="12"/>
        <v>9G22</v>
      </c>
      <c r="B737" t="s">
        <v>5383</v>
      </c>
      <c r="C737" t="s">
        <v>5386</v>
      </c>
      <c r="D737">
        <v>51</v>
      </c>
      <c r="E737" t="s">
        <v>4795</v>
      </c>
      <c r="F737">
        <v>54</v>
      </c>
      <c r="G737" t="s">
        <v>4802</v>
      </c>
      <c r="H737">
        <v>76</v>
      </c>
      <c r="I737" t="s">
        <v>4802</v>
      </c>
      <c r="J737" s="631">
        <v>76</v>
      </c>
      <c r="K737">
        <v>26</v>
      </c>
      <c r="L737" t="s">
        <v>4802</v>
      </c>
    </row>
    <row r="738" spans="1:12" ht="19.899999999999999" customHeight="1">
      <c r="A738" t="str">
        <f t="shared" si="12"/>
        <v>9G23</v>
      </c>
      <c r="B738" t="s">
        <v>5383</v>
      </c>
      <c r="C738" t="s">
        <v>5387</v>
      </c>
      <c r="D738">
        <v>117</v>
      </c>
      <c r="E738" t="s">
        <v>4792</v>
      </c>
      <c r="F738">
        <v>121</v>
      </c>
      <c r="G738" t="s">
        <v>4792</v>
      </c>
      <c r="H738">
        <v>114</v>
      </c>
      <c r="I738" t="s">
        <v>4792</v>
      </c>
      <c r="J738" s="631">
        <v>121</v>
      </c>
      <c r="K738">
        <v>23</v>
      </c>
      <c r="L738" t="s">
        <v>4814</v>
      </c>
    </row>
    <row r="739" spans="1:12" ht="19.899999999999999" customHeight="1">
      <c r="A739" t="str">
        <f t="shared" si="12"/>
        <v>9G24</v>
      </c>
      <c r="B739" t="s">
        <v>5383</v>
      </c>
      <c r="C739" t="s">
        <v>5388</v>
      </c>
      <c r="D739">
        <v>36</v>
      </c>
      <c r="E739" t="s">
        <v>4800</v>
      </c>
      <c r="F739">
        <v>23</v>
      </c>
      <c r="G739" t="s">
        <v>4802</v>
      </c>
      <c r="H739">
        <v>45</v>
      </c>
      <c r="I739" t="s">
        <v>4812</v>
      </c>
      <c r="J739" s="631">
        <v>45</v>
      </c>
      <c r="K739">
        <v>37</v>
      </c>
      <c r="L739" t="s">
        <v>4812</v>
      </c>
    </row>
    <row r="740" spans="1:12" ht="19.899999999999999" customHeight="1">
      <c r="A740" t="str">
        <f t="shared" si="12"/>
        <v>9G#1DTR(B)</v>
      </c>
      <c r="B740" t="s">
        <v>5383</v>
      </c>
      <c r="C740" t="s">
        <v>4889</v>
      </c>
      <c r="D740">
        <v>289</v>
      </c>
      <c r="E740" t="s">
        <v>4810</v>
      </c>
      <c r="F740">
        <v>306</v>
      </c>
      <c r="G740" t="s">
        <v>4810</v>
      </c>
      <c r="H740">
        <v>303</v>
      </c>
      <c r="I740" t="s">
        <v>4810</v>
      </c>
      <c r="J740" s="631">
        <v>306</v>
      </c>
      <c r="K740" t="s">
        <v>4793</v>
      </c>
      <c r="L740" t="s">
        <v>4793</v>
      </c>
    </row>
    <row r="741" spans="1:12" ht="19.899999999999999" customHeight="1">
      <c r="A741" t="str">
        <f t="shared" si="12"/>
        <v>9G25</v>
      </c>
      <c r="B741" t="s">
        <v>5383</v>
      </c>
      <c r="C741" t="s">
        <v>5389</v>
      </c>
      <c r="D741">
        <v>30</v>
      </c>
      <c r="E741" t="s">
        <v>4796</v>
      </c>
      <c r="F741">
        <v>20</v>
      </c>
      <c r="G741" t="s">
        <v>4796</v>
      </c>
      <c r="H741">
        <v>19</v>
      </c>
      <c r="I741" t="s">
        <v>4796</v>
      </c>
      <c r="J741" s="631">
        <v>30</v>
      </c>
      <c r="K741">
        <v>26</v>
      </c>
      <c r="L741" t="s">
        <v>4814</v>
      </c>
    </row>
    <row r="742" spans="1:12" ht="19.899999999999999" customHeight="1">
      <c r="A742" t="str">
        <f t="shared" si="12"/>
        <v>9G26</v>
      </c>
      <c r="B742" t="s">
        <v>5383</v>
      </c>
      <c r="C742" t="s">
        <v>5390</v>
      </c>
      <c r="D742">
        <v>52</v>
      </c>
      <c r="E742" t="s">
        <v>4812</v>
      </c>
      <c r="F742">
        <v>34</v>
      </c>
      <c r="G742" t="s">
        <v>4808</v>
      </c>
      <c r="H742">
        <v>30</v>
      </c>
      <c r="I742" t="s">
        <v>4792</v>
      </c>
      <c r="J742" s="631">
        <v>52</v>
      </c>
      <c r="K742">
        <v>45</v>
      </c>
      <c r="L742" t="s">
        <v>4812</v>
      </c>
    </row>
    <row r="743" spans="1:12" ht="19.899999999999999" customHeight="1">
      <c r="A743" t="str">
        <f t="shared" si="12"/>
        <v>9G27</v>
      </c>
      <c r="B743" t="s">
        <v>5383</v>
      </c>
      <c r="C743" t="s">
        <v>5391</v>
      </c>
      <c r="D743">
        <v>3</v>
      </c>
      <c r="E743" t="s">
        <v>4796</v>
      </c>
      <c r="F743">
        <v>0</v>
      </c>
      <c r="G743" t="s">
        <v>4810</v>
      </c>
      <c r="H743">
        <v>3</v>
      </c>
      <c r="I743" t="s">
        <v>4796</v>
      </c>
      <c r="J743" s="631">
        <v>3</v>
      </c>
      <c r="K743">
        <v>6</v>
      </c>
      <c r="L743" t="s">
        <v>4796</v>
      </c>
    </row>
    <row r="744" spans="1:12" ht="19.899999999999999" customHeight="1">
      <c r="A744" t="str">
        <f t="shared" si="12"/>
        <v>9G28</v>
      </c>
      <c r="B744" t="s">
        <v>5383</v>
      </c>
      <c r="C744" t="s">
        <v>5392</v>
      </c>
      <c r="D744">
        <v>74</v>
      </c>
      <c r="E744" t="s">
        <v>4792</v>
      </c>
      <c r="F744">
        <v>59</v>
      </c>
      <c r="G744" t="s">
        <v>4802</v>
      </c>
      <c r="H744">
        <v>68</v>
      </c>
      <c r="I744" t="s">
        <v>4792</v>
      </c>
      <c r="J744" s="631">
        <v>74</v>
      </c>
      <c r="K744">
        <v>21</v>
      </c>
      <c r="L744" t="s">
        <v>4808</v>
      </c>
    </row>
    <row r="745" spans="1:12" ht="19.899999999999999" customHeight="1">
      <c r="A745" t="str">
        <f t="shared" si="12"/>
        <v>9G29</v>
      </c>
      <c r="B745" t="s">
        <v>5383</v>
      </c>
      <c r="C745" t="s">
        <v>5393</v>
      </c>
      <c r="D745">
        <v>9</v>
      </c>
      <c r="E745" t="s">
        <v>4810</v>
      </c>
      <c r="F745">
        <v>10</v>
      </c>
      <c r="G745" t="s">
        <v>4810</v>
      </c>
      <c r="H745">
        <v>11</v>
      </c>
      <c r="I745" t="s">
        <v>4796</v>
      </c>
      <c r="J745" s="631">
        <v>11</v>
      </c>
      <c r="K745">
        <v>14</v>
      </c>
      <c r="L745" t="s">
        <v>4810</v>
      </c>
    </row>
    <row r="746" spans="1:12" ht="19.899999999999999" customHeight="1">
      <c r="A746" t="str">
        <f t="shared" si="12"/>
        <v>9GE8</v>
      </c>
      <c r="B746" t="s">
        <v>5383</v>
      </c>
      <c r="C746" t="s">
        <v>5522</v>
      </c>
      <c r="D746">
        <v>391</v>
      </c>
      <c r="E746" t="s">
        <v>4853</v>
      </c>
      <c r="F746">
        <v>392</v>
      </c>
      <c r="G746" t="s">
        <v>4853</v>
      </c>
      <c r="H746">
        <v>390</v>
      </c>
      <c r="I746" t="s">
        <v>4853</v>
      </c>
      <c r="J746" s="631">
        <v>392</v>
      </c>
      <c r="K746">
        <v>0</v>
      </c>
      <c r="L746" t="s">
        <v>4810</v>
      </c>
    </row>
    <row r="747" spans="1:12" ht="19.899999999999999" customHeight="1">
      <c r="A747" t="str">
        <f t="shared" si="12"/>
        <v>9G#2DTR(A)</v>
      </c>
      <c r="B747" t="s">
        <v>5383</v>
      </c>
      <c r="C747" t="s">
        <v>4870</v>
      </c>
      <c r="D747">
        <v>370</v>
      </c>
      <c r="E747" t="s">
        <v>4805</v>
      </c>
      <c r="F747">
        <v>333</v>
      </c>
      <c r="G747" t="s">
        <v>4805</v>
      </c>
      <c r="H747">
        <v>354</v>
      </c>
      <c r="I747" t="s">
        <v>4805</v>
      </c>
      <c r="J747" s="631">
        <v>370</v>
      </c>
      <c r="K747" t="s">
        <v>4793</v>
      </c>
      <c r="L747" t="s">
        <v>4793</v>
      </c>
    </row>
    <row r="748" spans="1:12" ht="19.899999999999999" customHeight="1">
      <c r="A748" t="str">
        <f t="shared" si="12"/>
        <v>9G30</v>
      </c>
      <c r="B748" t="s">
        <v>5383</v>
      </c>
      <c r="C748" t="s">
        <v>5394</v>
      </c>
      <c r="D748">
        <v>97</v>
      </c>
      <c r="E748" t="s">
        <v>4801</v>
      </c>
      <c r="F748">
        <v>80</v>
      </c>
      <c r="G748" t="s">
        <v>4808</v>
      </c>
      <c r="H748">
        <v>77</v>
      </c>
      <c r="I748" t="s">
        <v>4795</v>
      </c>
      <c r="J748" s="631">
        <v>97</v>
      </c>
      <c r="K748">
        <v>44</v>
      </c>
      <c r="L748" t="s">
        <v>4801</v>
      </c>
    </row>
    <row r="749" spans="1:12" ht="19.899999999999999" customHeight="1">
      <c r="A749" t="str">
        <f t="shared" si="12"/>
        <v>9G31</v>
      </c>
      <c r="B749" t="s">
        <v>5383</v>
      </c>
      <c r="C749" t="s">
        <v>5395</v>
      </c>
      <c r="D749">
        <v>42</v>
      </c>
      <c r="E749" t="s">
        <v>4792</v>
      </c>
      <c r="F749">
        <v>25</v>
      </c>
      <c r="G749" t="s">
        <v>4792</v>
      </c>
      <c r="H749">
        <v>25</v>
      </c>
      <c r="I749" t="s">
        <v>4805</v>
      </c>
      <c r="J749" s="631">
        <v>42</v>
      </c>
      <c r="K749">
        <v>29</v>
      </c>
      <c r="L749" t="s">
        <v>4812</v>
      </c>
    </row>
    <row r="750" spans="1:12" ht="19.899999999999999" customHeight="1">
      <c r="A750" t="str">
        <f t="shared" si="12"/>
        <v>9G32</v>
      </c>
      <c r="B750" t="s">
        <v>5383</v>
      </c>
      <c r="C750" t="s">
        <v>5396</v>
      </c>
      <c r="D750">
        <v>54</v>
      </c>
      <c r="E750" t="s">
        <v>4808</v>
      </c>
      <c r="F750">
        <v>63</v>
      </c>
      <c r="G750" t="s">
        <v>4801</v>
      </c>
      <c r="H750">
        <v>69</v>
      </c>
      <c r="I750" t="s">
        <v>4808</v>
      </c>
      <c r="J750" s="631">
        <v>69</v>
      </c>
      <c r="K750">
        <v>22</v>
      </c>
      <c r="L750" t="s">
        <v>4814</v>
      </c>
    </row>
    <row r="751" spans="1:12" ht="19.899999999999999" customHeight="1">
      <c r="A751" t="str">
        <f t="shared" si="12"/>
        <v>9G33</v>
      </c>
      <c r="B751" t="s">
        <v>5383</v>
      </c>
      <c r="C751" t="s">
        <v>5397</v>
      </c>
      <c r="D751">
        <v>97</v>
      </c>
      <c r="E751" t="s">
        <v>4805</v>
      </c>
      <c r="F751">
        <v>96</v>
      </c>
      <c r="G751" t="s">
        <v>4805</v>
      </c>
      <c r="H751">
        <v>99</v>
      </c>
      <c r="I751" t="s">
        <v>4805</v>
      </c>
      <c r="J751" s="631">
        <v>99</v>
      </c>
      <c r="K751">
        <v>9</v>
      </c>
      <c r="L751" t="s">
        <v>4802</v>
      </c>
    </row>
    <row r="752" spans="1:12" ht="19.899999999999999" customHeight="1">
      <c r="A752" t="str">
        <f t="shared" si="12"/>
        <v>9G34</v>
      </c>
      <c r="B752" t="s">
        <v>5383</v>
      </c>
      <c r="C752" t="s">
        <v>5398</v>
      </c>
      <c r="D752">
        <v>137</v>
      </c>
      <c r="E752" t="s">
        <v>4802</v>
      </c>
      <c r="F752">
        <v>122</v>
      </c>
      <c r="G752" t="s">
        <v>4814</v>
      </c>
      <c r="H752">
        <v>120</v>
      </c>
      <c r="I752" t="s">
        <v>4814</v>
      </c>
      <c r="J752" s="631">
        <v>137</v>
      </c>
      <c r="K752">
        <v>54</v>
      </c>
      <c r="L752" t="s">
        <v>4798</v>
      </c>
    </row>
    <row r="753" spans="1:12" ht="19.899999999999999" customHeight="1">
      <c r="A753" t="str">
        <f t="shared" si="12"/>
        <v>9G#2DTR(B)</v>
      </c>
      <c r="B753" t="s">
        <v>5383</v>
      </c>
      <c r="C753" t="s">
        <v>4877</v>
      </c>
      <c r="D753">
        <v>592</v>
      </c>
      <c r="E753" t="s">
        <v>4805</v>
      </c>
      <c r="F753">
        <v>574</v>
      </c>
      <c r="G753" t="s">
        <v>4805</v>
      </c>
      <c r="H753">
        <v>627</v>
      </c>
      <c r="I753" t="s">
        <v>4805</v>
      </c>
      <c r="J753" s="631">
        <v>627</v>
      </c>
      <c r="K753" t="s">
        <v>4793</v>
      </c>
      <c r="L753" t="s">
        <v>4793</v>
      </c>
    </row>
    <row r="754" spans="1:12" ht="19.899999999999999" customHeight="1">
      <c r="A754" t="str">
        <f t="shared" si="12"/>
        <v>9G35</v>
      </c>
      <c r="B754" t="s">
        <v>5383</v>
      </c>
      <c r="C754" t="s">
        <v>5399</v>
      </c>
      <c r="D754">
        <v>167</v>
      </c>
      <c r="E754" t="s">
        <v>4814</v>
      </c>
      <c r="F754">
        <v>179</v>
      </c>
      <c r="G754" t="s">
        <v>4814</v>
      </c>
      <c r="H754">
        <v>160</v>
      </c>
      <c r="I754" t="s">
        <v>4814</v>
      </c>
      <c r="J754" s="631">
        <v>179</v>
      </c>
      <c r="K754">
        <v>26</v>
      </c>
      <c r="L754" t="s">
        <v>4801</v>
      </c>
    </row>
    <row r="755" spans="1:12" ht="19.899999999999999" customHeight="1">
      <c r="A755" t="str">
        <f t="shared" si="12"/>
        <v>9G36</v>
      </c>
      <c r="B755" t="s">
        <v>5383</v>
      </c>
      <c r="C755" t="s">
        <v>5400</v>
      </c>
      <c r="D755">
        <v>13</v>
      </c>
      <c r="E755" t="s">
        <v>4802</v>
      </c>
      <c r="F755">
        <v>36</v>
      </c>
      <c r="G755" t="s">
        <v>4826</v>
      </c>
      <c r="H755">
        <v>38</v>
      </c>
      <c r="I755" t="s">
        <v>4800</v>
      </c>
      <c r="J755" s="631">
        <v>38</v>
      </c>
      <c r="K755">
        <v>44</v>
      </c>
      <c r="L755" t="s">
        <v>4809</v>
      </c>
    </row>
    <row r="756" spans="1:12" ht="19.899999999999999" customHeight="1">
      <c r="A756" t="str">
        <f t="shared" si="12"/>
        <v>9G37</v>
      </c>
      <c r="B756" t="s">
        <v>5383</v>
      </c>
      <c r="C756" t="s">
        <v>5401</v>
      </c>
      <c r="D756">
        <v>171</v>
      </c>
      <c r="E756" t="s">
        <v>4802</v>
      </c>
      <c r="F756">
        <v>160</v>
      </c>
      <c r="G756" t="s">
        <v>4802</v>
      </c>
      <c r="H756">
        <v>171</v>
      </c>
      <c r="I756" t="s">
        <v>4802</v>
      </c>
      <c r="J756" s="631">
        <v>171</v>
      </c>
      <c r="K756">
        <v>56</v>
      </c>
      <c r="L756" t="s">
        <v>4809</v>
      </c>
    </row>
    <row r="757" spans="1:12" ht="19.899999999999999" customHeight="1">
      <c r="A757" t="str">
        <f t="shared" si="12"/>
        <v>9G38</v>
      </c>
      <c r="B757" t="s">
        <v>5383</v>
      </c>
      <c r="C757" t="s">
        <v>5402</v>
      </c>
      <c r="D757">
        <v>154</v>
      </c>
      <c r="E757" t="s">
        <v>4792</v>
      </c>
      <c r="F757">
        <v>132</v>
      </c>
      <c r="G757" t="s">
        <v>4795</v>
      </c>
      <c r="H757">
        <v>175</v>
      </c>
      <c r="I757" t="s">
        <v>4792</v>
      </c>
      <c r="J757" s="631">
        <v>175</v>
      </c>
      <c r="K757">
        <v>59</v>
      </c>
      <c r="L757" t="s">
        <v>4792</v>
      </c>
    </row>
    <row r="758" spans="1:12" ht="19.899999999999999" customHeight="1">
      <c r="A758" t="str">
        <f t="shared" si="12"/>
        <v>9G39</v>
      </c>
      <c r="B758" t="s">
        <v>5383</v>
      </c>
      <c r="C758" t="s">
        <v>5403</v>
      </c>
      <c r="D758">
        <v>172</v>
      </c>
      <c r="E758" t="s">
        <v>4814</v>
      </c>
      <c r="F758">
        <v>167</v>
      </c>
      <c r="G758" t="s">
        <v>4808</v>
      </c>
      <c r="H758">
        <v>184</v>
      </c>
      <c r="I758" t="s">
        <v>4808</v>
      </c>
      <c r="J758" s="631">
        <v>184</v>
      </c>
      <c r="K758">
        <v>42</v>
      </c>
      <c r="L758" t="s">
        <v>4796</v>
      </c>
    </row>
    <row r="759" spans="1:12" ht="19.899999999999999" customHeight="1">
      <c r="A759" t="str">
        <f t="shared" ref="A759:A819" si="13">IF(COUNTIF(C759,"*TR*")&gt;0,SUBSTITUTE(RIGHT(B759,3) &amp; C759," ",""),MID(C759,FIND("(",C759)+1,4))</f>
        <v>9GE9</v>
      </c>
      <c r="B759" t="s">
        <v>5383</v>
      </c>
      <c r="C759" t="s">
        <v>5523</v>
      </c>
      <c r="D759">
        <v>338</v>
      </c>
      <c r="E759" t="s">
        <v>4853</v>
      </c>
      <c r="F759">
        <v>338</v>
      </c>
      <c r="G759" t="s">
        <v>4853</v>
      </c>
      <c r="H759">
        <v>338</v>
      </c>
      <c r="I759" t="s">
        <v>4853</v>
      </c>
      <c r="J759" s="631">
        <v>338</v>
      </c>
      <c r="K759">
        <v>0</v>
      </c>
      <c r="L759" t="s">
        <v>4810</v>
      </c>
    </row>
    <row r="760" spans="1:12" ht="19.899999999999999" customHeight="1">
      <c r="A760" t="str">
        <f t="shared" si="13"/>
        <v>IP#1MTR</v>
      </c>
      <c r="B760" t="s">
        <v>5404</v>
      </c>
      <c r="C760" t="s">
        <v>4791</v>
      </c>
      <c r="D760">
        <v>529</v>
      </c>
      <c r="E760" t="s">
        <v>4796</v>
      </c>
      <c r="F760">
        <v>516</v>
      </c>
      <c r="G760" t="s">
        <v>4805</v>
      </c>
      <c r="H760">
        <v>533</v>
      </c>
      <c r="I760" t="s">
        <v>4796</v>
      </c>
      <c r="J760" s="631">
        <v>533</v>
      </c>
      <c r="K760" t="s">
        <v>4793</v>
      </c>
      <c r="L760" t="s">
        <v>4793</v>
      </c>
    </row>
    <row r="761" spans="1:12" ht="19.899999999999999" customHeight="1">
      <c r="A761" t="str">
        <f t="shared" si="13"/>
        <v>IP29</v>
      </c>
      <c r="B761" t="s">
        <v>5404</v>
      </c>
      <c r="C761" t="s">
        <v>5405</v>
      </c>
      <c r="D761">
        <v>216</v>
      </c>
      <c r="E761" t="s">
        <v>4796</v>
      </c>
      <c r="F761">
        <v>196</v>
      </c>
      <c r="G761" t="s">
        <v>4796</v>
      </c>
      <c r="H761">
        <v>203</v>
      </c>
      <c r="I761" t="s">
        <v>4796</v>
      </c>
      <c r="J761" s="631">
        <v>216</v>
      </c>
      <c r="K761">
        <v>59</v>
      </c>
      <c r="L761" t="s">
        <v>4795</v>
      </c>
    </row>
    <row r="762" spans="1:12" ht="19.899999999999999" customHeight="1">
      <c r="A762" t="str">
        <f t="shared" si="13"/>
        <v>IP24</v>
      </c>
      <c r="B762" t="s">
        <v>5404</v>
      </c>
      <c r="C762" t="s">
        <v>5406</v>
      </c>
      <c r="D762">
        <v>42</v>
      </c>
      <c r="E762" t="s">
        <v>4853</v>
      </c>
      <c r="F762">
        <v>41</v>
      </c>
      <c r="G762" t="s">
        <v>4810</v>
      </c>
      <c r="H762">
        <v>40</v>
      </c>
      <c r="I762" t="s">
        <v>4853</v>
      </c>
      <c r="J762" s="631">
        <v>42</v>
      </c>
      <c r="K762">
        <v>7</v>
      </c>
      <c r="L762" t="s">
        <v>4792</v>
      </c>
    </row>
    <row r="763" spans="1:12" ht="19.899999999999999" customHeight="1">
      <c r="A763" t="str">
        <f t="shared" si="13"/>
        <v>IP22</v>
      </c>
      <c r="B763" t="s">
        <v>5404</v>
      </c>
      <c r="C763" t="s">
        <v>5407</v>
      </c>
      <c r="D763">
        <v>78</v>
      </c>
      <c r="E763" t="s">
        <v>4801</v>
      </c>
      <c r="F763">
        <v>66</v>
      </c>
      <c r="G763" t="s">
        <v>4801</v>
      </c>
      <c r="H763">
        <v>61</v>
      </c>
      <c r="I763" t="s">
        <v>4801</v>
      </c>
      <c r="J763" s="631">
        <v>78</v>
      </c>
      <c r="K763">
        <v>31</v>
      </c>
      <c r="L763" t="s">
        <v>4808</v>
      </c>
    </row>
    <row r="764" spans="1:12" ht="19.899999999999999" customHeight="1">
      <c r="A764" t="str">
        <f t="shared" si="13"/>
        <v>IP21</v>
      </c>
      <c r="B764" t="s">
        <v>5404</v>
      </c>
      <c r="C764" t="s">
        <v>5408</v>
      </c>
      <c r="D764">
        <v>161</v>
      </c>
      <c r="E764" t="s">
        <v>4926</v>
      </c>
      <c r="F764">
        <v>197</v>
      </c>
      <c r="G764" t="s">
        <v>4792</v>
      </c>
      <c r="H764">
        <v>193</v>
      </c>
      <c r="I764" t="s">
        <v>4796</v>
      </c>
      <c r="J764" s="631">
        <v>197</v>
      </c>
      <c r="K764">
        <v>47</v>
      </c>
      <c r="L764" t="s">
        <v>4808</v>
      </c>
    </row>
    <row r="765" spans="1:12" ht="19.899999999999999" customHeight="1">
      <c r="A765" t="str">
        <f t="shared" si="13"/>
        <v>IP20</v>
      </c>
      <c r="B765" t="s">
        <v>5404</v>
      </c>
      <c r="C765" t="s">
        <v>5409</v>
      </c>
      <c r="D765">
        <v>87</v>
      </c>
      <c r="E765" t="s">
        <v>4792</v>
      </c>
      <c r="F765">
        <v>93</v>
      </c>
      <c r="G765" t="s">
        <v>4792</v>
      </c>
      <c r="H765">
        <v>96</v>
      </c>
      <c r="I765" t="s">
        <v>4812</v>
      </c>
      <c r="J765" s="631">
        <v>96</v>
      </c>
      <c r="K765">
        <v>31</v>
      </c>
      <c r="L765" t="s">
        <v>4809</v>
      </c>
    </row>
    <row r="766" spans="1:12" ht="19.899999999999999" customHeight="1">
      <c r="A766" t="str">
        <f t="shared" si="13"/>
        <v>IP#2MTR</v>
      </c>
      <c r="B766" t="s">
        <v>5404</v>
      </c>
      <c r="C766" t="s">
        <v>4803</v>
      </c>
      <c r="D766">
        <v>642</v>
      </c>
      <c r="E766" t="s">
        <v>4810</v>
      </c>
      <c r="F766">
        <v>659</v>
      </c>
      <c r="G766" t="s">
        <v>4853</v>
      </c>
      <c r="H766">
        <v>659</v>
      </c>
      <c r="I766" t="s">
        <v>4853</v>
      </c>
      <c r="J766" s="631">
        <v>659</v>
      </c>
      <c r="K766" t="s">
        <v>4793</v>
      </c>
      <c r="L766" t="s">
        <v>4793</v>
      </c>
    </row>
    <row r="767" spans="1:12" ht="19.899999999999999" customHeight="1">
      <c r="A767" t="str">
        <f t="shared" si="13"/>
        <v>IP31</v>
      </c>
      <c r="B767" t="s">
        <v>5404</v>
      </c>
      <c r="C767" t="s">
        <v>5410</v>
      </c>
      <c r="D767">
        <v>219</v>
      </c>
      <c r="E767" t="s">
        <v>4814</v>
      </c>
      <c r="F767">
        <v>234</v>
      </c>
      <c r="G767" t="s">
        <v>4814</v>
      </c>
      <c r="H767">
        <v>242</v>
      </c>
      <c r="I767" t="s">
        <v>4796</v>
      </c>
      <c r="J767" s="631">
        <v>242</v>
      </c>
      <c r="K767">
        <v>42</v>
      </c>
      <c r="L767" t="s">
        <v>4796</v>
      </c>
    </row>
    <row r="768" spans="1:12" ht="19.899999999999999" customHeight="1">
      <c r="A768" t="str">
        <f t="shared" si="13"/>
        <v>IP30</v>
      </c>
      <c r="B768" t="s">
        <v>5404</v>
      </c>
      <c r="C768" t="s">
        <v>5411</v>
      </c>
      <c r="D768">
        <v>93</v>
      </c>
      <c r="E768" t="s">
        <v>4809</v>
      </c>
      <c r="F768">
        <v>93</v>
      </c>
      <c r="G768" t="s">
        <v>4809</v>
      </c>
      <c r="H768">
        <v>95</v>
      </c>
      <c r="I768" t="s">
        <v>4809</v>
      </c>
      <c r="J768" s="631">
        <v>95</v>
      </c>
      <c r="K768">
        <v>0</v>
      </c>
      <c r="L768" t="s">
        <v>4810</v>
      </c>
    </row>
    <row r="769" spans="1:12" ht="19.899999999999999" customHeight="1">
      <c r="A769" t="str">
        <f t="shared" si="13"/>
        <v>IP25</v>
      </c>
      <c r="B769" t="s">
        <v>5404</v>
      </c>
      <c r="C769" t="s">
        <v>5412</v>
      </c>
      <c r="D769">
        <v>115</v>
      </c>
      <c r="E769" t="s">
        <v>4853</v>
      </c>
      <c r="F769">
        <v>116</v>
      </c>
      <c r="G769" t="s">
        <v>4853</v>
      </c>
      <c r="H769">
        <v>119</v>
      </c>
      <c r="I769" t="s">
        <v>4853</v>
      </c>
      <c r="J769" s="631">
        <v>119</v>
      </c>
      <c r="K769">
        <v>0</v>
      </c>
      <c r="L769" t="s">
        <v>4810</v>
      </c>
    </row>
    <row r="770" spans="1:12" ht="19.899999999999999" customHeight="1">
      <c r="A770" t="str">
        <f t="shared" si="13"/>
        <v>IP28</v>
      </c>
      <c r="B770" t="s">
        <v>5404</v>
      </c>
      <c r="C770" t="s">
        <v>5414</v>
      </c>
      <c r="D770">
        <v>48</v>
      </c>
      <c r="E770" t="s">
        <v>4808</v>
      </c>
      <c r="F770">
        <v>58</v>
      </c>
      <c r="G770" t="s">
        <v>4808</v>
      </c>
      <c r="H770">
        <v>36</v>
      </c>
      <c r="I770" t="s">
        <v>4814</v>
      </c>
      <c r="J770" s="631">
        <v>58</v>
      </c>
      <c r="K770">
        <v>33</v>
      </c>
      <c r="L770" t="s">
        <v>4817</v>
      </c>
    </row>
    <row r="771" spans="1:12" ht="19.899999999999999" customHeight="1">
      <c r="A771" t="str">
        <f t="shared" si="13"/>
        <v>IP32</v>
      </c>
      <c r="B771" t="s">
        <v>5404</v>
      </c>
      <c r="C771" t="s">
        <v>5480</v>
      </c>
      <c r="D771">
        <v>264</v>
      </c>
      <c r="E771" t="s">
        <v>4926</v>
      </c>
      <c r="F771">
        <v>278</v>
      </c>
      <c r="G771" t="s">
        <v>4938</v>
      </c>
      <c r="H771">
        <v>270</v>
      </c>
      <c r="I771" t="s">
        <v>4926</v>
      </c>
      <c r="J771" s="631">
        <v>278</v>
      </c>
      <c r="K771">
        <v>14</v>
      </c>
      <c r="L771" t="s">
        <v>4805</v>
      </c>
    </row>
    <row r="772" spans="1:12" ht="19.899999999999999" customHeight="1">
      <c r="A772" t="str">
        <f t="shared" si="13"/>
        <v>IP#3MTR</v>
      </c>
      <c r="B772" t="s">
        <v>5404</v>
      </c>
      <c r="C772" t="s">
        <v>4811</v>
      </c>
      <c r="D772">
        <v>0</v>
      </c>
      <c r="E772" t="s">
        <v>4810</v>
      </c>
      <c r="F772">
        <v>0</v>
      </c>
      <c r="G772" t="s">
        <v>4810</v>
      </c>
      <c r="H772">
        <v>0</v>
      </c>
      <c r="I772" t="s">
        <v>4810</v>
      </c>
      <c r="J772" s="631">
        <v>0</v>
      </c>
      <c r="K772" t="s">
        <v>4793</v>
      </c>
      <c r="L772" t="s">
        <v>4793</v>
      </c>
    </row>
    <row r="773" spans="1:12" ht="19.899999999999999" customHeight="1">
      <c r="A773" t="str">
        <f t="shared" si="13"/>
        <v>IP23</v>
      </c>
      <c r="B773" t="s">
        <v>5404</v>
      </c>
      <c r="C773" t="s">
        <v>5478</v>
      </c>
      <c r="D773">
        <v>0</v>
      </c>
      <c r="E773" t="s">
        <v>4810</v>
      </c>
      <c r="F773">
        <v>0</v>
      </c>
      <c r="G773" t="s">
        <v>4810</v>
      </c>
      <c r="H773">
        <v>0</v>
      </c>
      <c r="I773" t="s">
        <v>4810</v>
      </c>
      <c r="J773" s="631">
        <v>0</v>
      </c>
      <c r="K773">
        <v>0</v>
      </c>
      <c r="L773" t="s">
        <v>4810</v>
      </c>
    </row>
    <row r="774" spans="1:12" ht="19.899999999999999" customHeight="1">
      <c r="A774" t="str">
        <f t="shared" si="13"/>
        <v>IP26</v>
      </c>
      <c r="B774" t="s">
        <v>5404</v>
      </c>
      <c r="C774" t="s">
        <v>5479</v>
      </c>
      <c r="D774">
        <v>0</v>
      </c>
      <c r="E774" t="s">
        <v>4810</v>
      </c>
      <c r="F774">
        <v>0</v>
      </c>
      <c r="G774" t="s">
        <v>4810</v>
      </c>
      <c r="H774">
        <v>0</v>
      </c>
      <c r="I774" t="s">
        <v>4810</v>
      </c>
      <c r="J774" s="631">
        <v>0</v>
      </c>
      <c r="K774">
        <v>0</v>
      </c>
      <c r="L774" t="s">
        <v>4810</v>
      </c>
    </row>
    <row r="775" spans="1:12" ht="19.899999999999999" customHeight="1">
      <c r="A775" t="str">
        <f t="shared" si="13"/>
        <v>IP27</v>
      </c>
      <c r="B775" t="s">
        <v>5404</v>
      </c>
      <c r="C775" t="s">
        <v>5413</v>
      </c>
      <c r="D775">
        <v>0</v>
      </c>
      <c r="E775" t="s">
        <v>4810</v>
      </c>
      <c r="F775">
        <v>0</v>
      </c>
      <c r="G775" t="s">
        <v>4810</v>
      </c>
      <c r="H775">
        <v>0</v>
      </c>
      <c r="I775" t="s">
        <v>4810</v>
      </c>
      <c r="J775" s="631">
        <v>0</v>
      </c>
      <c r="K775">
        <v>0</v>
      </c>
      <c r="L775" t="s">
        <v>4810</v>
      </c>
    </row>
    <row r="776" spans="1:12" ht="19.899999999999999" customHeight="1">
      <c r="A776" t="str">
        <f t="shared" si="13"/>
        <v>IP33</v>
      </c>
      <c r="B776" t="s">
        <v>5404</v>
      </c>
      <c r="C776" t="s">
        <v>5481</v>
      </c>
      <c r="D776">
        <v>0</v>
      </c>
      <c r="E776" t="s">
        <v>4810</v>
      </c>
      <c r="F776">
        <v>0</v>
      </c>
      <c r="G776" t="s">
        <v>4810</v>
      </c>
      <c r="H776">
        <v>0</v>
      </c>
      <c r="I776" t="s">
        <v>4810</v>
      </c>
      <c r="J776" s="631">
        <v>0</v>
      </c>
      <c r="K776">
        <v>0</v>
      </c>
      <c r="L776" t="s">
        <v>4810</v>
      </c>
    </row>
    <row r="777" spans="1:12" ht="19.899999999999999" customHeight="1">
      <c r="A777" t="str">
        <f t="shared" si="13"/>
        <v>IP34</v>
      </c>
      <c r="B777" t="s">
        <v>5404</v>
      </c>
      <c r="C777" t="s">
        <v>5482</v>
      </c>
      <c r="D777">
        <v>0</v>
      </c>
      <c r="E777" t="s">
        <v>4810</v>
      </c>
      <c r="F777">
        <v>0</v>
      </c>
      <c r="G777" t="s">
        <v>4810</v>
      </c>
      <c r="H777">
        <v>0</v>
      </c>
      <c r="I777" t="s">
        <v>4810</v>
      </c>
      <c r="J777" s="631">
        <v>0</v>
      </c>
      <c r="K777">
        <v>0</v>
      </c>
      <c r="L777" t="s">
        <v>4810</v>
      </c>
    </row>
    <row r="778" spans="1:12" ht="19.899999999999999" customHeight="1">
      <c r="A778" t="str">
        <f t="shared" si="13"/>
        <v>9I#1DTR(A)</v>
      </c>
      <c r="B778" t="s">
        <v>5483</v>
      </c>
      <c r="C778" t="s">
        <v>4859</v>
      </c>
      <c r="D778">
        <v>515</v>
      </c>
      <c r="E778" t="s">
        <v>4805</v>
      </c>
      <c r="F778">
        <v>490</v>
      </c>
      <c r="G778" t="s">
        <v>4805</v>
      </c>
      <c r="H778">
        <v>535</v>
      </c>
      <c r="I778" t="s">
        <v>4805</v>
      </c>
      <c r="J778" s="631">
        <v>535</v>
      </c>
      <c r="K778" t="s">
        <v>4793</v>
      </c>
      <c r="L778" t="s">
        <v>4793</v>
      </c>
    </row>
    <row r="779" spans="1:12" ht="19.899999999999999" customHeight="1">
      <c r="A779" t="str">
        <f t="shared" si="13"/>
        <v>9I20</v>
      </c>
      <c r="B779" t="s">
        <v>5483</v>
      </c>
      <c r="C779" t="s">
        <v>5484</v>
      </c>
      <c r="D779">
        <v>120</v>
      </c>
      <c r="E779" t="s">
        <v>4795</v>
      </c>
      <c r="F779">
        <v>137</v>
      </c>
      <c r="G779" t="s">
        <v>4802</v>
      </c>
      <c r="H779">
        <v>122</v>
      </c>
      <c r="I779" t="s">
        <v>4795</v>
      </c>
      <c r="J779" s="631">
        <v>137</v>
      </c>
      <c r="K779">
        <v>28</v>
      </c>
      <c r="L779" t="s">
        <v>4802</v>
      </c>
    </row>
    <row r="780" spans="1:12" ht="19.899999999999999" customHeight="1">
      <c r="A780" t="str">
        <f t="shared" si="13"/>
        <v>9I21</v>
      </c>
      <c r="B780" t="s">
        <v>5483</v>
      </c>
      <c r="C780" t="s">
        <v>5485</v>
      </c>
      <c r="D780">
        <v>147</v>
      </c>
      <c r="E780" t="s">
        <v>4805</v>
      </c>
      <c r="F780">
        <v>126</v>
      </c>
      <c r="G780" t="s">
        <v>4805</v>
      </c>
      <c r="H780">
        <v>162</v>
      </c>
      <c r="I780" t="s">
        <v>4805</v>
      </c>
      <c r="J780" s="631">
        <v>162</v>
      </c>
      <c r="K780">
        <v>55</v>
      </c>
      <c r="L780" t="s">
        <v>4799</v>
      </c>
    </row>
    <row r="781" spans="1:12" ht="19.899999999999999" customHeight="1">
      <c r="A781" t="str">
        <f t="shared" si="13"/>
        <v>9I22</v>
      </c>
      <c r="B781" t="s">
        <v>5483</v>
      </c>
      <c r="C781" t="s">
        <v>5486</v>
      </c>
      <c r="D781">
        <v>0</v>
      </c>
      <c r="E781" t="s">
        <v>4810</v>
      </c>
      <c r="F781">
        <v>0</v>
      </c>
      <c r="G781" t="s">
        <v>4810</v>
      </c>
      <c r="H781">
        <v>0</v>
      </c>
      <c r="I781" t="s">
        <v>4810</v>
      </c>
      <c r="J781" s="631">
        <v>0</v>
      </c>
      <c r="K781">
        <v>3</v>
      </c>
      <c r="L781" t="s">
        <v>4810</v>
      </c>
    </row>
    <row r="782" spans="1:12" ht="19.899999999999999" customHeight="1">
      <c r="A782" t="str">
        <f t="shared" si="13"/>
        <v>9I23</v>
      </c>
      <c r="B782" t="s">
        <v>5483</v>
      </c>
      <c r="C782" t="s">
        <v>5487</v>
      </c>
      <c r="D782">
        <v>148</v>
      </c>
      <c r="E782" t="s">
        <v>4805</v>
      </c>
      <c r="F782">
        <v>135</v>
      </c>
      <c r="G782" t="s">
        <v>4805</v>
      </c>
      <c r="H782">
        <v>149</v>
      </c>
      <c r="I782" t="s">
        <v>4805</v>
      </c>
      <c r="J782" s="631">
        <v>149</v>
      </c>
      <c r="K782">
        <v>45</v>
      </c>
      <c r="L782" t="s">
        <v>4799</v>
      </c>
    </row>
    <row r="783" spans="1:12" ht="19.899999999999999" customHeight="1">
      <c r="A783" t="str">
        <f t="shared" si="13"/>
        <v>9I24</v>
      </c>
      <c r="B783" t="s">
        <v>5483</v>
      </c>
      <c r="C783" t="s">
        <v>5488</v>
      </c>
      <c r="D783">
        <v>47</v>
      </c>
      <c r="E783" t="s">
        <v>4792</v>
      </c>
      <c r="F783">
        <v>49</v>
      </c>
      <c r="G783" t="s">
        <v>4809</v>
      </c>
      <c r="H783">
        <v>41</v>
      </c>
      <c r="I783" t="s">
        <v>4809</v>
      </c>
      <c r="J783" s="631">
        <v>49</v>
      </c>
      <c r="K783">
        <v>22</v>
      </c>
      <c r="L783" t="s">
        <v>4805</v>
      </c>
    </row>
    <row r="784" spans="1:12" ht="19.899999999999999" customHeight="1">
      <c r="A784" t="str">
        <f t="shared" si="13"/>
        <v>9I25</v>
      </c>
      <c r="B784" t="s">
        <v>5483</v>
      </c>
      <c r="C784" t="s">
        <v>5489</v>
      </c>
      <c r="D784">
        <v>122</v>
      </c>
      <c r="E784" t="s">
        <v>4792</v>
      </c>
      <c r="F784">
        <v>90</v>
      </c>
      <c r="G784" t="s">
        <v>4795</v>
      </c>
      <c r="H784">
        <v>112</v>
      </c>
      <c r="I784" t="s">
        <v>4802</v>
      </c>
      <c r="J784" s="631">
        <v>122</v>
      </c>
      <c r="K784">
        <v>54</v>
      </c>
      <c r="L784" t="s">
        <v>4802</v>
      </c>
    </row>
    <row r="785" spans="1:12" ht="19.899999999999999" customHeight="1">
      <c r="A785" t="str">
        <f t="shared" si="13"/>
        <v>9I#1DTR(B)</v>
      </c>
      <c r="B785" t="s">
        <v>5483</v>
      </c>
      <c r="C785" t="s">
        <v>4889</v>
      </c>
      <c r="D785">
        <v>349</v>
      </c>
      <c r="E785" t="s">
        <v>4805</v>
      </c>
      <c r="F785">
        <v>360</v>
      </c>
      <c r="G785" t="s">
        <v>4809</v>
      </c>
      <c r="H785">
        <v>393</v>
      </c>
      <c r="I785" t="s">
        <v>4805</v>
      </c>
      <c r="J785" s="631">
        <v>393</v>
      </c>
      <c r="K785" t="s">
        <v>4793</v>
      </c>
      <c r="L785" t="s">
        <v>4793</v>
      </c>
    </row>
    <row r="786" spans="1:12" ht="19.899999999999999" customHeight="1">
      <c r="A786" t="str">
        <f t="shared" si="13"/>
        <v>9I39</v>
      </c>
      <c r="B786" t="s">
        <v>5483</v>
      </c>
      <c r="C786" t="s">
        <v>5490</v>
      </c>
      <c r="D786">
        <v>80</v>
      </c>
      <c r="E786" t="s">
        <v>4796</v>
      </c>
      <c r="F786">
        <v>79</v>
      </c>
      <c r="G786" t="s">
        <v>4796</v>
      </c>
      <c r="H786">
        <v>82</v>
      </c>
      <c r="I786" t="s">
        <v>4809</v>
      </c>
      <c r="J786" s="631">
        <v>82</v>
      </c>
      <c r="K786">
        <v>23</v>
      </c>
      <c r="L786" t="s">
        <v>4826</v>
      </c>
    </row>
    <row r="787" spans="1:12" ht="19.899999999999999" customHeight="1">
      <c r="A787" t="str">
        <f t="shared" si="13"/>
        <v>9I38</v>
      </c>
      <c r="B787" t="s">
        <v>5483</v>
      </c>
      <c r="C787" t="s">
        <v>5491</v>
      </c>
      <c r="D787">
        <v>77</v>
      </c>
      <c r="E787" t="s">
        <v>4802</v>
      </c>
      <c r="F787">
        <v>58</v>
      </c>
      <c r="G787" t="s">
        <v>4805</v>
      </c>
      <c r="H787">
        <v>74</v>
      </c>
      <c r="I787" t="s">
        <v>4805</v>
      </c>
      <c r="J787" s="631">
        <v>77</v>
      </c>
      <c r="K787">
        <v>47</v>
      </c>
      <c r="L787" t="s">
        <v>4792</v>
      </c>
    </row>
    <row r="788" spans="1:12" ht="19.899999999999999" customHeight="1">
      <c r="A788" t="str">
        <f t="shared" si="13"/>
        <v>9I37</v>
      </c>
      <c r="B788" t="s">
        <v>5483</v>
      </c>
      <c r="C788" t="s">
        <v>5492</v>
      </c>
      <c r="D788">
        <v>102</v>
      </c>
      <c r="E788" t="s">
        <v>4805</v>
      </c>
      <c r="F788">
        <v>115</v>
      </c>
      <c r="G788" t="s">
        <v>4805</v>
      </c>
      <c r="H788">
        <v>132</v>
      </c>
      <c r="I788" t="s">
        <v>4805</v>
      </c>
      <c r="J788" s="631">
        <v>132</v>
      </c>
      <c r="K788">
        <v>51</v>
      </c>
      <c r="L788" t="s">
        <v>4872</v>
      </c>
    </row>
    <row r="789" spans="1:12" ht="19.899999999999999" customHeight="1">
      <c r="A789" t="str">
        <f t="shared" si="13"/>
        <v>9I36</v>
      </c>
      <c r="B789" t="s">
        <v>5483</v>
      </c>
      <c r="C789" t="s">
        <v>5493</v>
      </c>
      <c r="D789">
        <v>115</v>
      </c>
      <c r="E789" t="s">
        <v>4792</v>
      </c>
      <c r="F789">
        <v>125</v>
      </c>
      <c r="G789" t="s">
        <v>4792</v>
      </c>
      <c r="H789">
        <v>140</v>
      </c>
      <c r="I789" t="s">
        <v>4792</v>
      </c>
      <c r="J789" s="631">
        <v>140</v>
      </c>
      <c r="K789">
        <v>38</v>
      </c>
      <c r="L789" t="s">
        <v>4800</v>
      </c>
    </row>
    <row r="790" spans="1:12" ht="19.899999999999999" customHeight="1">
      <c r="A790" t="str">
        <f t="shared" si="13"/>
        <v>9I#2DTR(A)</v>
      </c>
      <c r="B790" t="s">
        <v>5483</v>
      </c>
      <c r="C790" t="s">
        <v>4870</v>
      </c>
      <c r="D790">
        <v>441</v>
      </c>
      <c r="E790" t="s">
        <v>4795</v>
      </c>
      <c r="F790">
        <v>395</v>
      </c>
      <c r="G790" t="s">
        <v>4792</v>
      </c>
      <c r="H790">
        <v>386</v>
      </c>
      <c r="I790" t="s">
        <v>4812</v>
      </c>
      <c r="J790" s="631">
        <v>441</v>
      </c>
      <c r="K790" t="s">
        <v>4793</v>
      </c>
      <c r="L790" t="s">
        <v>4793</v>
      </c>
    </row>
    <row r="791" spans="1:12" ht="19.899999999999999" customHeight="1">
      <c r="A791" t="str">
        <f t="shared" si="13"/>
        <v>9I26</v>
      </c>
      <c r="B791" t="s">
        <v>5483</v>
      </c>
      <c r="C791" t="s">
        <v>5494</v>
      </c>
      <c r="D791">
        <v>12</v>
      </c>
      <c r="E791" t="s">
        <v>4807</v>
      </c>
      <c r="F791">
        <v>10</v>
      </c>
      <c r="G791" t="s">
        <v>4807</v>
      </c>
      <c r="H791">
        <v>13</v>
      </c>
      <c r="I791" t="s">
        <v>4796</v>
      </c>
      <c r="J791" s="631">
        <v>13</v>
      </c>
      <c r="K791">
        <v>10</v>
      </c>
      <c r="L791" t="s">
        <v>4814</v>
      </c>
    </row>
    <row r="792" spans="1:12" ht="19.899999999999999" customHeight="1">
      <c r="A792" t="str">
        <f t="shared" si="13"/>
        <v>9I27</v>
      </c>
      <c r="B792" t="s">
        <v>5483</v>
      </c>
      <c r="C792" t="s">
        <v>5495</v>
      </c>
      <c r="D792">
        <v>69</v>
      </c>
      <c r="E792" t="s">
        <v>4792</v>
      </c>
      <c r="F792">
        <v>72</v>
      </c>
      <c r="G792" t="s">
        <v>4814</v>
      </c>
      <c r="H792">
        <v>63</v>
      </c>
      <c r="I792" t="s">
        <v>4814</v>
      </c>
      <c r="J792" s="631">
        <v>72</v>
      </c>
      <c r="K792">
        <v>33</v>
      </c>
      <c r="L792" t="s">
        <v>4792</v>
      </c>
    </row>
    <row r="793" spans="1:12" ht="19.899999999999999" customHeight="1">
      <c r="A793" t="str">
        <f t="shared" si="13"/>
        <v>9I28</v>
      </c>
      <c r="B793" t="s">
        <v>5483</v>
      </c>
      <c r="C793" t="s">
        <v>5496</v>
      </c>
      <c r="D793">
        <v>187</v>
      </c>
      <c r="E793" t="s">
        <v>4805</v>
      </c>
      <c r="F793">
        <v>164</v>
      </c>
      <c r="G793" t="s">
        <v>4805</v>
      </c>
      <c r="H793">
        <v>183</v>
      </c>
      <c r="I793" t="s">
        <v>4805</v>
      </c>
      <c r="J793" s="631">
        <v>187</v>
      </c>
      <c r="K793">
        <v>47</v>
      </c>
      <c r="L793" t="s">
        <v>4800</v>
      </c>
    </row>
    <row r="794" spans="1:12" ht="19.899999999999999" customHeight="1">
      <c r="A794" t="str">
        <f t="shared" si="13"/>
        <v>9I29</v>
      </c>
      <c r="B794" t="s">
        <v>5483</v>
      </c>
      <c r="C794" t="s">
        <v>5497</v>
      </c>
      <c r="D794">
        <v>198</v>
      </c>
      <c r="E794" t="s">
        <v>4795</v>
      </c>
      <c r="F794">
        <v>169</v>
      </c>
      <c r="G794" t="s">
        <v>4792</v>
      </c>
      <c r="H794">
        <v>154</v>
      </c>
      <c r="I794" t="s">
        <v>4800</v>
      </c>
      <c r="J794" s="631">
        <v>198</v>
      </c>
      <c r="K794">
        <v>51</v>
      </c>
      <c r="L794" t="s">
        <v>4795</v>
      </c>
    </row>
    <row r="795" spans="1:12" ht="19.899999999999999" customHeight="1">
      <c r="A795" t="str">
        <f t="shared" si="13"/>
        <v>9I#2DTR(B)</v>
      </c>
      <c r="B795" t="s">
        <v>5483</v>
      </c>
      <c r="C795" t="s">
        <v>4877</v>
      </c>
      <c r="D795">
        <v>438</v>
      </c>
      <c r="E795" t="s">
        <v>4805</v>
      </c>
      <c r="F795">
        <v>449</v>
      </c>
      <c r="G795" t="s">
        <v>4805</v>
      </c>
      <c r="H795">
        <v>461</v>
      </c>
      <c r="I795" t="s">
        <v>4805</v>
      </c>
      <c r="J795" s="631">
        <v>461</v>
      </c>
      <c r="K795" t="s">
        <v>4793</v>
      </c>
      <c r="L795" t="s">
        <v>4793</v>
      </c>
    </row>
    <row r="796" spans="1:12" ht="19.899999999999999" customHeight="1">
      <c r="A796" t="str">
        <f t="shared" si="13"/>
        <v>9I35</v>
      </c>
      <c r="B796" t="s">
        <v>5483</v>
      </c>
      <c r="C796" t="s">
        <v>5498</v>
      </c>
      <c r="D796">
        <v>123</v>
      </c>
      <c r="E796" t="s">
        <v>4801</v>
      </c>
      <c r="F796">
        <v>129</v>
      </c>
      <c r="G796" t="s">
        <v>4801</v>
      </c>
      <c r="H796">
        <v>123</v>
      </c>
      <c r="I796" t="s">
        <v>4801</v>
      </c>
      <c r="J796" s="631">
        <v>129</v>
      </c>
      <c r="K796">
        <v>43</v>
      </c>
      <c r="L796" t="s">
        <v>4853</v>
      </c>
    </row>
    <row r="797" spans="1:12" ht="19.899999999999999" customHeight="1">
      <c r="A797" t="str">
        <f t="shared" si="13"/>
        <v>9I34</v>
      </c>
      <c r="B797" t="s">
        <v>5483</v>
      </c>
      <c r="C797" t="s">
        <v>5499</v>
      </c>
      <c r="D797">
        <v>75</v>
      </c>
      <c r="E797" t="s">
        <v>4814</v>
      </c>
      <c r="F797">
        <v>80</v>
      </c>
      <c r="G797" t="s">
        <v>4805</v>
      </c>
      <c r="H797">
        <v>74</v>
      </c>
      <c r="I797" t="s">
        <v>4808</v>
      </c>
      <c r="J797" s="631">
        <v>80</v>
      </c>
      <c r="K797">
        <v>32</v>
      </c>
      <c r="L797" t="s">
        <v>4826</v>
      </c>
    </row>
    <row r="798" spans="1:12" ht="19.899999999999999" customHeight="1">
      <c r="A798" t="str">
        <f t="shared" si="13"/>
        <v>9I33</v>
      </c>
      <c r="B798" t="s">
        <v>5483</v>
      </c>
      <c r="C798" t="s">
        <v>5500</v>
      </c>
      <c r="D798">
        <v>133</v>
      </c>
      <c r="E798" t="s">
        <v>4792</v>
      </c>
      <c r="F798">
        <v>102</v>
      </c>
      <c r="G798" t="s">
        <v>4792</v>
      </c>
      <c r="H798">
        <v>116</v>
      </c>
      <c r="I798" t="s">
        <v>4795</v>
      </c>
      <c r="J798" s="631">
        <v>133</v>
      </c>
      <c r="K798">
        <v>36</v>
      </c>
      <c r="L798" t="s">
        <v>4808</v>
      </c>
    </row>
    <row r="799" spans="1:12" ht="19.899999999999999" customHeight="1">
      <c r="A799" t="str">
        <f t="shared" si="13"/>
        <v>9I32</v>
      </c>
      <c r="B799" t="s">
        <v>5483</v>
      </c>
      <c r="C799" t="s">
        <v>5501</v>
      </c>
      <c r="D799">
        <v>80</v>
      </c>
      <c r="E799" t="s">
        <v>4805</v>
      </c>
      <c r="F799">
        <v>114</v>
      </c>
      <c r="G799" t="s">
        <v>4792</v>
      </c>
      <c r="H799">
        <v>90</v>
      </c>
      <c r="I799" t="s">
        <v>4805</v>
      </c>
      <c r="J799" s="631">
        <v>114</v>
      </c>
      <c r="K799">
        <v>47</v>
      </c>
      <c r="L799" t="s">
        <v>4795</v>
      </c>
    </row>
    <row r="800" spans="1:12" ht="19.899999999999999" customHeight="1">
      <c r="A800" t="str">
        <f t="shared" si="13"/>
        <v>9I31</v>
      </c>
      <c r="B800" t="s">
        <v>5483</v>
      </c>
      <c r="C800" t="s">
        <v>5502</v>
      </c>
      <c r="D800">
        <v>45</v>
      </c>
      <c r="E800" t="s">
        <v>4796</v>
      </c>
      <c r="F800">
        <v>39</v>
      </c>
      <c r="G800" t="s">
        <v>4796</v>
      </c>
      <c r="H800">
        <v>50</v>
      </c>
      <c r="I800" t="s">
        <v>4796</v>
      </c>
      <c r="J800" s="631">
        <v>50</v>
      </c>
      <c r="K800">
        <v>15</v>
      </c>
      <c r="L800" t="s">
        <v>4801</v>
      </c>
    </row>
    <row r="801" spans="1:12" ht="19.899999999999999" customHeight="1">
      <c r="A801" t="str">
        <f t="shared" si="13"/>
        <v>9I30</v>
      </c>
      <c r="B801" t="s">
        <v>5483</v>
      </c>
      <c r="C801" t="s">
        <v>5503</v>
      </c>
      <c r="D801">
        <v>73</v>
      </c>
      <c r="E801" t="s">
        <v>4800</v>
      </c>
      <c r="F801">
        <v>81</v>
      </c>
      <c r="G801" t="s">
        <v>4872</v>
      </c>
      <c r="H801">
        <v>89</v>
      </c>
      <c r="I801" t="s">
        <v>4800</v>
      </c>
      <c r="J801" s="631">
        <v>89</v>
      </c>
      <c r="K801">
        <v>30</v>
      </c>
      <c r="L801" t="s">
        <v>4809</v>
      </c>
    </row>
    <row r="802" spans="1:12" ht="19.899999999999999" customHeight="1">
      <c r="A802" t="str">
        <f t="shared" si="13"/>
        <v>9B#1DTR</v>
      </c>
      <c r="B802" t="s">
        <v>5504</v>
      </c>
      <c r="C802" t="s">
        <v>4924</v>
      </c>
      <c r="D802">
        <v>759</v>
      </c>
      <c r="E802" t="s">
        <v>4809</v>
      </c>
      <c r="F802">
        <v>760</v>
      </c>
      <c r="G802" t="s">
        <v>4809</v>
      </c>
      <c r="H802">
        <v>765</v>
      </c>
      <c r="I802" t="s">
        <v>4809</v>
      </c>
      <c r="J802" s="631">
        <v>765</v>
      </c>
      <c r="K802" t="s">
        <v>4793</v>
      </c>
      <c r="L802" t="s">
        <v>4793</v>
      </c>
    </row>
    <row r="803" spans="1:12" ht="19.899999999999999" customHeight="1">
      <c r="A803" t="str">
        <f t="shared" si="13"/>
        <v>9B51</v>
      </c>
      <c r="B803" t="s">
        <v>5504</v>
      </c>
      <c r="C803" t="s">
        <v>5505</v>
      </c>
      <c r="D803">
        <v>0</v>
      </c>
      <c r="E803" t="s">
        <v>4810</v>
      </c>
      <c r="F803">
        <v>0</v>
      </c>
      <c r="G803" t="s">
        <v>4810</v>
      </c>
      <c r="H803">
        <v>0</v>
      </c>
      <c r="I803" t="s">
        <v>4810</v>
      </c>
      <c r="J803" s="631">
        <v>0</v>
      </c>
      <c r="K803">
        <v>0</v>
      </c>
      <c r="L803" t="s">
        <v>4810</v>
      </c>
    </row>
    <row r="804" spans="1:12" ht="19.899999999999999" customHeight="1">
      <c r="A804" t="str">
        <f t="shared" si="13"/>
        <v>9B52</v>
      </c>
      <c r="B804" t="s">
        <v>5504</v>
      </c>
      <c r="C804" t="s">
        <v>5506</v>
      </c>
      <c r="D804">
        <v>198</v>
      </c>
      <c r="E804" t="s">
        <v>4809</v>
      </c>
      <c r="F804">
        <v>200</v>
      </c>
      <c r="G804" t="s">
        <v>4809</v>
      </c>
      <c r="H804">
        <v>199</v>
      </c>
      <c r="I804" t="s">
        <v>4809</v>
      </c>
      <c r="J804" s="631">
        <v>200</v>
      </c>
      <c r="K804">
        <v>0</v>
      </c>
      <c r="L804" t="s">
        <v>4810</v>
      </c>
    </row>
    <row r="805" spans="1:12" ht="19.899999999999999" customHeight="1">
      <c r="A805" t="str">
        <f t="shared" si="13"/>
        <v>9B53</v>
      </c>
      <c r="B805" t="s">
        <v>5504</v>
      </c>
      <c r="C805" t="s">
        <v>5507</v>
      </c>
      <c r="D805">
        <v>194</v>
      </c>
      <c r="E805" t="s">
        <v>4938</v>
      </c>
      <c r="F805">
        <v>196</v>
      </c>
      <c r="G805" t="s">
        <v>4938</v>
      </c>
      <c r="H805">
        <v>196</v>
      </c>
      <c r="I805" t="s">
        <v>4938</v>
      </c>
      <c r="J805" s="631">
        <v>196</v>
      </c>
      <c r="K805">
        <v>0</v>
      </c>
      <c r="L805" t="s">
        <v>4810</v>
      </c>
    </row>
    <row r="806" spans="1:12" ht="19.899999999999999" customHeight="1">
      <c r="A806" t="str">
        <f t="shared" si="13"/>
        <v>9B54</v>
      </c>
      <c r="B806" t="s">
        <v>5504</v>
      </c>
      <c r="C806" t="s">
        <v>5508</v>
      </c>
      <c r="D806">
        <v>233</v>
      </c>
      <c r="E806" t="s">
        <v>4809</v>
      </c>
      <c r="F806">
        <v>233</v>
      </c>
      <c r="G806" t="s">
        <v>4809</v>
      </c>
      <c r="H806">
        <v>237</v>
      </c>
      <c r="I806" t="s">
        <v>4809</v>
      </c>
      <c r="J806" s="631">
        <v>237</v>
      </c>
      <c r="K806">
        <v>0</v>
      </c>
      <c r="L806" t="s">
        <v>4810</v>
      </c>
    </row>
    <row r="807" spans="1:12" ht="19.899999999999999" customHeight="1">
      <c r="A807" t="str">
        <f t="shared" si="13"/>
        <v>9B55</v>
      </c>
      <c r="B807" t="s">
        <v>5504</v>
      </c>
      <c r="C807" t="s">
        <v>5509</v>
      </c>
      <c r="D807">
        <v>106</v>
      </c>
      <c r="E807" t="s">
        <v>4809</v>
      </c>
      <c r="F807">
        <v>105</v>
      </c>
      <c r="G807" t="s">
        <v>4809</v>
      </c>
      <c r="H807">
        <v>105</v>
      </c>
      <c r="I807" t="s">
        <v>4809</v>
      </c>
      <c r="J807" s="631">
        <v>106</v>
      </c>
      <c r="K807">
        <v>0</v>
      </c>
      <c r="L807" t="s">
        <v>4810</v>
      </c>
    </row>
    <row r="808" spans="1:12" ht="19.899999999999999" customHeight="1">
      <c r="A808" t="str">
        <f t="shared" si="13"/>
        <v>9B56</v>
      </c>
      <c r="B808" t="s">
        <v>5504</v>
      </c>
      <c r="C808" t="s">
        <v>5510</v>
      </c>
      <c r="D808">
        <v>0</v>
      </c>
      <c r="E808" t="s">
        <v>4810</v>
      </c>
      <c r="F808">
        <v>0</v>
      </c>
      <c r="G808" t="s">
        <v>4810</v>
      </c>
      <c r="H808">
        <v>0</v>
      </c>
      <c r="I808" t="s">
        <v>4810</v>
      </c>
      <c r="J808" s="631">
        <v>0</v>
      </c>
      <c r="K808">
        <v>0</v>
      </c>
      <c r="L808" t="s">
        <v>4810</v>
      </c>
    </row>
    <row r="809" spans="1:12" ht="19.899999999999999" customHeight="1">
      <c r="A809" t="str">
        <f t="shared" si="13"/>
        <v>9B57</v>
      </c>
      <c r="B809" t="s">
        <v>5504</v>
      </c>
      <c r="C809" t="s">
        <v>5511</v>
      </c>
      <c r="D809">
        <v>87</v>
      </c>
      <c r="E809" t="s">
        <v>4807</v>
      </c>
      <c r="F809">
        <v>87</v>
      </c>
      <c r="G809" t="s">
        <v>4808</v>
      </c>
      <c r="H809">
        <v>88</v>
      </c>
      <c r="I809" t="s">
        <v>4808</v>
      </c>
      <c r="J809" s="631">
        <v>88</v>
      </c>
      <c r="K809">
        <v>0</v>
      </c>
      <c r="L809" t="s">
        <v>4810</v>
      </c>
    </row>
    <row r="810" spans="1:12" ht="19.899999999999999" customHeight="1">
      <c r="A810" t="str">
        <f t="shared" si="13"/>
        <v>9B58</v>
      </c>
      <c r="B810" t="s">
        <v>5504</v>
      </c>
      <c r="C810" t="s">
        <v>5512</v>
      </c>
      <c r="D810">
        <v>0</v>
      </c>
      <c r="E810" t="s">
        <v>4810</v>
      </c>
      <c r="F810">
        <v>0</v>
      </c>
      <c r="G810" t="s">
        <v>4810</v>
      </c>
      <c r="H810">
        <v>0</v>
      </c>
      <c r="I810" t="s">
        <v>4810</v>
      </c>
      <c r="J810" s="631">
        <v>0</v>
      </c>
      <c r="K810">
        <v>0</v>
      </c>
      <c r="L810" t="s">
        <v>4810</v>
      </c>
    </row>
    <row r="811" spans="1:12" ht="19.899999999999999" customHeight="1">
      <c r="A811" t="str">
        <f t="shared" si="13"/>
        <v>9B#2DTR(A)</v>
      </c>
      <c r="B811" t="s">
        <v>5504</v>
      </c>
      <c r="C811" t="s">
        <v>4870</v>
      </c>
      <c r="D811">
        <v>345</v>
      </c>
      <c r="E811" t="s">
        <v>4808</v>
      </c>
      <c r="F811">
        <v>349</v>
      </c>
      <c r="G811" t="s">
        <v>4814</v>
      </c>
      <c r="H811">
        <v>351</v>
      </c>
      <c r="I811" t="s">
        <v>4814</v>
      </c>
      <c r="J811" s="631">
        <v>351</v>
      </c>
      <c r="K811" t="s">
        <v>4793</v>
      </c>
      <c r="L811" t="s">
        <v>4793</v>
      </c>
    </row>
    <row r="812" spans="1:12" ht="19.899999999999999" customHeight="1">
      <c r="A812" t="str">
        <f t="shared" si="13"/>
        <v>9B61</v>
      </c>
      <c r="B812" t="s">
        <v>5504</v>
      </c>
      <c r="C812" t="s">
        <v>5528</v>
      </c>
      <c r="D812">
        <v>0</v>
      </c>
      <c r="E812" t="s">
        <v>4810</v>
      </c>
      <c r="F812">
        <v>0</v>
      </c>
      <c r="G812" t="s">
        <v>4810</v>
      </c>
      <c r="H812">
        <v>0</v>
      </c>
      <c r="I812" t="s">
        <v>4810</v>
      </c>
      <c r="J812" s="631">
        <v>0</v>
      </c>
      <c r="K812">
        <v>0</v>
      </c>
      <c r="L812" t="s">
        <v>4810</v>
      </c>
    </row>
    <row r="813" spans="1:12" ht="19.899999999999999" customHeight="1">
      <c r="A813" t="str">
        <f t="shared" si="13"/>
        <v>9B62</v>
      </c>
      <c r="B813" t="s">
        <v>5504</v>
      </c>
      <c r="C813" t="s">
        <v>5529</v>
      </c>
      <c r="D813">
        <v>137</v>
      </c>
      <c r="E813" t="s">
        <v>4821</v>
      </c>
      <c r="F813">
        <v>139</v>
      </c>
      <c r="G813" t="s">
        <v>4821</v>
      </c>
      <c r="H813">
        <v>140</v>
      </c>
      <c r="I813" t="s">
        <v>4821</v>
      </c>
      <c r="J813" s="631">
        <v>140</v>
      </c>
      <c r="K813">
        <v>0</v>
      </c>
      <c r="L813" t="s">
        <v>4810</v>
      </c>
    </row>
    <row r="814" spans="1:12" ht="19.899999999999999" customHeight="1">
      <c r="A814" t="str">
        <f t="shared" si="13"/>
        <v>9B63</v>
      </c>
      <c r="B814" t="s">
        <v>5504</v>
      </c>
      <c r="C814" t="s">
        <v>5530</v>
      </c>
      <c r="D814">
        <v>138</v>
      </c>
      <c r="E814" t="s">
        <v>4808</v>
      </c>
      <c r="F814">
        <v>141</v>
      </c>
      <c r="G814" t="s">
        <v>4808</v>
      </c>
      <c r="H814">
        <v>141</v>
      </c>
      <c r="I814" t="s">
        <v>4808</v>
      </c>
      <c r="J814" s="631">
        <v>141</v>
      </c>
      <c r="K814">
        <v>0</v>
      </c>
      <c r="L814" t="s">
        <v>4810</v>
      </c>
    </row>
    <row r="815" spans="1:12" ht="19.899999999999999" customHeight="1">
      <c r="A815" t="str">
        <f t="shared" si="13"/>
        <v>9B64</v>
      </c>
      <c r="B815" t="s">
        <v>5504</v>
      </c>
      <c r="C815" t="s">
        <v>5531</v>
      </c>
      <c r="D815">
        <v>190</v>
      </c>
      <c r="E815" t="s">
        <v>4821</v>
      </c>
      <c r="F815">
        <v>198</v>
      </c>
      <c r="G815" t="s">
        <v>4821</v>
      </c>
      <c r="H815">
        <v>198</v>
      </c>
      <c r="I815" t="s">
        <v>4821</v>
      </c>
      <c r="J815" s="631">
        <v>198</v>
      </c>
      <c r="K815">
        <v>0</v>
      </c>
      <c r="L815" t="s">
        <v>4810</v>
      </c>
    </row>
    <row r="816" spans="1:12" ht="19.899999999999999" customHeight="1">
      <c r="A816" t="str">
        <f t="shared" si="13"/>
        <v>9B#2DTR(B)</v>
      </c>
      <c r="B816" t="s">
        <v>5504</v>
      </c>
      <c r="C816" t="s">
        <v>4877</v>
      </c>
      <c r="D816">
        <v>99</v>
      </c>
      <c r="E816" t="s">
        <v>4918</v>
      </c>
      <c r="F816">
        <v>100</v>
      </c>
      <c r="G816" t="s">
        <v>4800</v>
      </c>
      <c r="H816">
        <v>97</v>
      </c>
      <c r="I816" t="s">
        <v>4800</v>
      </c>
      <c r="J816" s="631">
        <v>100</v>
      </c>
      <c r="K816" t="s">
        <v>4793</v>
      </c>
      <c r="L816" t="s">
        <v>4793</v>
      </c>
    </row>
    <row r="817" spans="1:12" ht="19.899999999999999" customHeight="1">
      <c r="A817" t="str">
        <f t="shared" si="13"/>
        <v>9B65</v>
      </c>
      <c r="B817" t="s">
        <v>5504</v>
      </c>
      <c r="C817" t="s">
        <v>5532</v>
      </c>
      <c r="D817">
        <v>101</v>
      </c>
      <c r="E817" t="s">
        <v>4918</v>
      </c>
      <c r="F817">
        <v>100</v>
      </c>
      <c r="G817" t="s">
        <v>4918</v>
      </c>
      <c r="H817">
        <v>98</v>
      </c>
      <c r="I817" t="s">
        <v>4918</v>
      </c>
      <c r="J817" s="631">
        <v>101</v>
      </c>
      <c r="K817">
        <v>0</v>
      </c>
      <c r="L817" t="s">
        <v>4810</v>
      </c>
    </row>
    <row r="818" spans="1:12" ht="19.899999999999999" customHeight="1">
      <c r="A818" t="str">
        <f t="shared" si="13"/>
        <v>9B66</v>
      </c>
      <c r="B818" t="s">
        <v>5504</v>
      </c>
      <c r="C818" t="s">
        <v>5533</v>
      </c>
      <c r="D818">
        <v>0</v>
      </c>
      <c r="E818" t="s">
        <v>4810</v>
      </c>
      <c r="F818">
        <v>0</v>
      </c>
      <c r="G818" t="s">
        <v>4810</v>
      </c>
      <c r="H818">
        <v>0</v>
      </c>
      <c r="I818" t="s">
        <v>4810</v>
      </c>
      <c r="J818" s="631">
        <v>0</v>
      </c>
      <c r="K818">
        <v>0</v>
      </c>
      <c r="L818" t="s">
        <v>4810</v>
      </c>
    </row>
    <row r="819" spans="1:12" ht="19.899999999999999" customHeight="1">
      <c r="A819" t="str">
        <f t="shared" si="13"/>
        <v>9B67</v>
      </c>
      <c r="B819" t="s">
        <v>5504</v>
      </c>
      <c r="C819" t="s">
        <v>5534</v>
      </c>
      <c r="D819">
        <v>0</v>
      </c>
      <c r="E819" t="s">
        <v>4810</v>
      </c>
      <c r="F819">
        <v>0</v>
      </c>
      <c r="G819" t="s">
        <v>4810</v>
      </c>
      <c r="H819">
        <v>0</v>
      </c>
      <c r="I819" t="s">
        <v>4810</v>
      </c>
      <c r="J819" s="631">
        <v>0</v>
      </c>
      <c r="K819">
        <v>0</v>
      </c>
      <c r="L819" t="s">
        <v>4810</v>
      </c>
    </row>
    <row r="820" spans="1:12">
      <c r="B820" t="s">
        <v>5504</v>
      </c>
      <c r="C820" t="s">
        <v>5535</v>
      </c>
      <c r="D820">
        <v>0</v>
      </c>
      <c r="E820" t="s">
        <v>4810</v>
      </c>
      <c r="F820">
        <v>0</v>
      </c>
      <c r="G820" t="s">
        <v>4810</v>
      </c>
      <c r="H820">
        <v>0</v>
      </c>
      <c r="I820" t="s">
        <v>4810</v>
      </c>
      <c r="J820" s="631">
        <v>0</v>
      </c>
      <c r="K820">
        <v>0</v>
      </c>
      <c r="L820" t="s">
        <v>4810</v>
      </c>
    </row>
    <row r="821" spans="1:12">
      <c r="B821" t="s">
        <v>4793</v>
      </c>
      <c r="C821" t="s">
        <v>4793</v>
      </c>
      <c r="D821" t="s">
        <v>4793</v>
      </c>
      <c r="E821" t="s">
        <v>4793</v>
      </c>
      <c r="F821" t="s">
        <v>4793</v>
      </c>
      <c r="G821" t="s">
        <v>4793</v>
      </c>
      <c r="H821" t="s">
        <v>4793</v>
      </c>
      <c r="I821" t="s">
        <v>4793</v>
      </c>
      <c r="J821" s="631" t="s">
        <v>4793</v>
      </c>
      <c r="K821" t="s">
        <v>4793</v>
      </c>
      <c r="L821" t="s">
        <v>4793</v>
      </c>
    </row>
    <row r="822" spans="1:12">
      <c r="B822" t="s">
        <v>4793</v>
      </c>
      <c r="C822" t="s">
        <v>4793</v>
      </c>
      <c r="D822" t="s">
        <v>4793</v>
      </c>
      <c r="E822" t="s">
        <v>4793</v>
      </c>
      <c r="F822" t="s">
        <v>4793</v>
      </c>
      <c r="G822" t="s">
        <v>4793</v>
      </c>
      <c r="H822" t="s">
        <v>4793</v>
      </c>
      <c r="I822" t="s">
        <v>4793</v>
      </c>
      <c r="J822" s="631" t="s">
        <v>4793</v>
      </c>
      <c r="K822" t="s">
        <v>4793</v>
      </c>
      <c r="L822" t="s">
        <v>4793</v>
      </c>
    </row>
    <row r="823" spans="1:12">
      <c r="B823" t="s">
        <v>4793</v>
      </c>
      <c r="C823" t="s">
        <v>4793</v>
      </c>
      <c r="D823" t="s">
        <v>4793</v>
      </c>
      <c r="E823" t="s">
        <v>4793</v>
      </c>
      <c r="F823" t="s">
        <v>4793</v>
      </c>
      <c r="G823" t="s">
        <v>4793</v>
      </c>
      <c r="H823" t="s">
        <v>4793</v>
      </c>
      <c r="I823" t="s">
        <v>4793</v>
      </c>
      <c r="J823" s="631" t="s">
        <v>4793</v>
      </c>
      <c r="K823" t="s">
        <v>4793</v>
      </c>
      <c r="L823" t="s">
        <v>4793</v>
      </c>
    </row>
    <row r="824" spans="1:12">
      <c r="B824" t="s">
        <v>4793</v>
      </c>
      <c r="C824" t="s">
        <v>4793</v>
      </c>
      <c r="D824" t="s">
        <v>4793</v>
      </c>
      <c r="E824" t="s">
        <v>4793</v>
      </c>
      <c r="F824" t="s">
        <v>4793</v>
      </c>
      <c r="G824" t="s">
        <v>4793</v>
      </c>
      <c r="H824" t="s">
        <v>4793</v>
      </c>
      <c r="I824" t="s">
        <v>4793</v>
      </c>
      <c r="J824" s="631" t="s">
        <v>4793</v>
      </c>
      <c r="K824" t="s">
        <v>4793</v>
      </c>
      <c r="L824" t="s">
        <v>4793</v>
      </c>
    </row>
    <row r="825" spans="1:12">
      <c r="B825" t="s">
        <v>4793</v>
      </c>
      <c r="C825" t="s">
        <v>4793</v>
      </c>
      <c r="D825" t="s">
        <v>4793</v>
      </c>
      <c r="E825" t="s">
        <v>4793</v>
      </c>
      <c r="F825" t="s">
        <v>4793</v>
      </c>
      <c r="G825" t="s">
        <v>4793</v>
      </c>
      <c r="H825" t="s">
        <v>4793</v>
      </c>
      <c r="I825" t="s">
        <v>4793</v>
      </c>
      <c r="J825" s="631" t="s">
        <v>4793</v>
      </c>
      <c r="K825" t="s">
        <v>4793</v>
      </c>
      <c r="L825" t="s">
        <v>4793</v>
      </c>
    </row>
    <row r="826" spans="1:12">
      <c r="B826" t="s">
        <v>4793</v>
      </c>
      <c r="C826" t="s">
        <v>4793</v>
      </c>
      <c r="D826" t="s">
        <v>4793</v>
      </c>
      <c r="E826" t="s">
        <v>4793</v>
      </c>
      <c r="F826" t="s">
        <v>4793</v>
      </c>
      <c r="G826" t="s">
        <v>4793</v>
      </c>
      <c r="H826" t="s">
        <v>4793</v>
      </c>
      <c r="I826" t="s">
        <v>4793</v>
      </c>
      <c r="J826" s="631" t="s">
        <v>4793</v>
      </c>
      <c r="K826" t="s">
        <v>4793</v>
      </c>
      <c r="L826" t="s">
        <v>4793</v>
      </c>
    </row>
    <row r="827" spans="1:12">
      <c r="B827" t="s">
        <v>4793</v>
      </c>
      <c r="C827" t="s">
        <v>4793</v>
      </c>
      <c r="D827" t="s">
        <v>4793</v>
      </c>
      <c r="E827" t="s">
        <v>4793</v>
      </c>
      <c r="F827" t="s">
        <v>4793</v>
      </c>
      <c r="G827" t="s">
        <v>4793</v>
      </c>
      <c r="H827" t="s">
        <v>4793</v>
      </c>
      <c r="I827" t="s">
        <v>4793</v>
      </c>
      <c r="J827" s="631" t="s">
        <v>4793</v>
      </c>
      <c r="K827" t="s">
        <v>4793</v>
      </c>
      <c r="L827" t="s">
        <v>4793</v>
      </c>
    </row>
  </sheetData>
  <autoFilter ref="P1:R702" xr:uid="{00000000-0009-0000-0000-000006000000}">
    <filterColumn colId="2">
      <filters>
        <filter val="1"/>
        <filter val="10"/>
        <filter val="1002"/>
        <filter val="1007"/>
        <filter val="1011"/>
        <filter val="1014"/>
        <filter val="1015"/>
        <filter val="1028"/>
        <filter val="1037"/>
        <filter val="1053"/>
        <filter val="1057"/>
        <filter val="1063"/>
        <filter val="1072"/>
        <filter val="1080"/>
        <filter val="1083"/>
        <filter val="109"/>
        <filter val="1093"/>
        <filter val="1099"/>
        <filter val="11"/>
        <filter val="1102"/>
        <filter val="1106"/>
        <filter val="1107"/>
        <filter val="1109"/>
        <filter val="111"/>
        <filter val="1113"/>
        <filter val="1125"/>
        <filter val="1131"/>
        <filter val="1132"/>
        <filter val="1135"/>
        <filter val="1154"/>
        <filter val="1157"/>
        <filter val="1162"/>
        <filter val="1183"/>
        <filter val="1185"/>
        <filter val="1186"/>
        <filter val="12"/>
        <filter val="1203"/>
        <filter val="1209"/>
        <filter val="121"/>
        <filter val="1212"/>
        <filter val="1218"/>
        <filter val="122"/>
        <filter val="123"/>
        <filter val="1237"/>
        <filter val="1241"/>
        <filter val="1244"/>
        <filter val="125"/>
        <filter val="1252"/>
        <filter val="1254"/>
        <filter val="1261"/>
        <filter val="1266"/>
        <filter val="1268"/>
        <filter val="1270"/>
        <filter val="1273"/>
        <filter val="1278"/>
        <filter val="1285"/>
        <filter val="1288"/>
        <filter val="1290"/>
        <filter val="1298"/>
        <filter val="13"/>
        <filter val="1306"/>
        <filter val="1315"/>
        <filter val="132"/>
        <filter val="1336"/>
        <filter val="1339"/>
        <filter val="1341"/>
        <filter val="1344"/>
        <filter val="1354"/>
        <filter val="1379"/>
        <filter val="1380"/>
        <filter val="1382"/>
        <filter val="1383"/>
        <filter val="139"/>
        <filter val="1392"/>
        <filter val="14"/>
        <filter val="140"/>
        <filter val="1401"/>
        <filter val="1411"/>
        <filter val="1412"/>
        <filter val="1426"/>
        <filter val="1429"/>
        <filter val="1431"/>
        <filter val="1435"/>
        <filter val="1438"/>
        <filter val="1446"/>
        <filter val="1454"/>
        <filter val="146"/>
        <filter val="1473"/>
        <filter val="1477"/>
        <filter val="149"/>
        <filter val="1490"/>
        <filter val="1492"/>
        <filter val="1499"/>
        <filter val="150"/>
        <filter val="1502"/>
        <filter val="1527"/>
        <filter val="1532"/>
        <filter val="1533"/>
        <filter val="1536"/>
        <filter val="154"/>
        <filter val="1559"/>
        <filter val="1562"/>
        <filter val="1575"/>
        <filter val="1588"/>
        <filter val="1597"/>
        <filter val="16"/>
        <filter val="1600"/>
        <filter val="1609"/>
        <filter val="1615"/>
        <filter val="1623"/>
        <filter val="1625"/>
        <filter val="1631"/>
        <filter val="1632"/>
        <filter val="1635"/>
        <filter val="1650"/>
        <filter val="1651"/>
        <filter val="1657"/>
        <filter val="1669"/>
        <filter val="1672"/>
        <filter val="1674"/>
        <filter val="1677"/>
        <filter val="17"/>
        <filter val="1702"/>
        <filter val="1707"/>
        <filter val="1711"/>
        <filter val="1716"/>
        <filter val="1725"/>
        <filter val="1729"/>
        <filter val="175"/>
        <filter val="1759"/>
        <filter val="1760"/>
        <filter val="1772"/>
        <filter val="1783"/>
        <filter val="1787"/>
        <filter val="1795"/>
        <filter val="18"/>
        <filter val="1804"/>
        <filter val="181"/>
        <filter val="1814"/>
        <filter val="1826"/>
        <filter val="1828"/>
        <filter val="1831"/>
        <filter val="1838"/>
        <filter val="1843"/>
        <filter val="1851"/>
        <filter val="1863"/>
        <filter val="1865"/>
        <filter val="1866"/>
        <filter val="1868"/>
        <filter val="187"/>
        <filter val="1878"/>
        <filter val="1899"/>
        <filter val="19"/>
        <filter val="1900"/>
        <filter val="1910"/>
        <filter val="1914"/>
        <filter val="1934"/>
        <filter val="1938"/>
        <filter val="1942"/>
        <filter val="1943"/>
        <filter val="1946"/>
        <filter val="1947"/>
        <filter val="1957"/>
        <filter val="1963"/>
        <filter val="1967"/>
        <filter val="1975"/>
        <filter val="1980"/>
        <filter val="1990"/>
        <filter val="1997"/>
        <filter val="1999"/>
        <filter val="2"/>
        <filter val="20"/>
        <filter val="2012"/>
        <filter val="2028"/>
        <filter val="2031"/>
        <filter val="2052"/>
        <filter val="2054"/>
        <filter val="2065"/>
        <filter val="2069"/>
        <filter val="2070"/>
        <filter val="208"/>
        <filter val="209"/>
        <filter val="21"/>
        <filter val="2100"/>
        <filter val="213"/>
        <filter val="2132"/>
        <filter val="2135"/>
        <filter val="2143"/>
        <filter val="2148"/>
        <filter val="2153"/>
        <filter val="2156"/>
        <filter val="2166"/>
        <filter val="217"/>
        <filter val="2177"/>
        <filter val="2179"/>
        <filter val="2184"/>
        <filter val="2188"/>
        <filter val="2189"/>
        <filter val="2196"/>
        <filter val="2197"/>
        <filter val="22"/>
        <filter val="2201"/>
        <filter val="2210"/>
        <filter val="2215"/>
        <filter val="222"/>
        <filter val="2225"/>
        <filter val="2226"/>
        <filter val="2229"/>
        <filter val="2238"/>
        <filter val="224"/>
        <filter val="2254"/>
        <filter val="2266"/>
        <filter val="2267"/>
        <filter val="2268"/>
        <filter val="2277"/>
        <filter val="2283"/>
        <filter val="2285"/>
        <filter val="2293"/>
        <filter val="23"/>
        <filter val="230"/>
        <filter val="2314"/>
        <filter val="2318"/>
        <filter val="2325"/>
        <filter val="2327"/>
        <filter val="2339"/>
        <filter val="2341"/>
        <filter val="2346"/>
        <filter val="2347"/>
        <filter val="2348"/>
        <filter val="2357"/>
        <filter val="2368"/>
        <filter val="237"/>
        <filter val="238"/>
        <filter val="2385"/>
        <filter val="2398"/>
        <filter val="24"/>
        <filter val="2421"/>
        <filter val="2423"/>
        <filter val="2453"/>
        <filter val="246"/>
        <filter val="2466"/>
        <filter val="2469"/>
        <filter val="2473"/>
        <filter val="2491"/>
        <filter val="2509"/>
        <filter val="252"/>
        <filter val="2527"/>
        <filter val="2530"/>
        <filter val="254"/>
        <filter val="2558"/>
        <filter val="2574"/>
        <filter val="2575"/>
        <filter val="2581"/>
        <filter val="2584"/>
        <filter val="2592"/>
        <filter val="2608"/>
        <filter val="2612"/>
        <filter val="263"/>
        <filter val="2642"/>
        <filter val="266"/>
        <filter val="267"/>
        <filter val="2692"/>
        <filter val="2698"/>
        <filter val="2715"/>
        <filter val="2724"/>
        <filter val="2752"/>
        <filter val="2758"/>
        <filter val="2779"/>
        <filter val="2781"/>
        <filter val="2784"/>
        <filter val="2823"/>
        <filter val="2829"/>
        <filter val="2831"/>
        <filter val="2836"/>
        <filter val="2837"/>
        <filter val="284"/>
        <filter val="2841"/>
        <filter val="2859"/>
        <filter val="2864"/>
        <filter val="2884"/>
        <filter val="2919"/>
        <filter val="293"/>
        <filter val="2938"/>
        <filter val="294"/>
        <filter val="2966"/>
        <filter val="2982"/>
        <filter val="2991"/>
        <filter val="3"/>
        <filter val="3008"/>
        <filter val="3014"/>
        <filter val="3023"/>
        <filter val="3030"/>
        <filter val="3043"/>
        <filter val="3046"/>
        <filter val="3047"/>
        <filter val="3066"/>
        <filter val="3078"/>
        <filter val="31"/>
        <filter val="3103"/>
        <filter val="3109"/>
        <filter val="3115"/>
        <filter val="3121"/>
        <filter val="3126"/>
        <filter val="3149"/>
        <filter val="3159"/>
        <filter val="3189"/>
        <filter val="32"/>
        <filter val="320"/>
        <filter val="3204"/>
        <filter val="3211"/>
        <filter val="3234"/>
        <filter val="324"/>
        <filter val="3255"/>
        <filter val="33"/>
        <filter val="3300"/>
        <filter val="3312"/>
        <filter val="3319"/>
        <filter val="335"/>
        <filter val="337"/>
        <filter val="3378"/>
        <filter val="338"/>
        <filter val="339"/>
        <filter val="34"/>
        <filter val="340"/>
        <filter val="3416"/>
        <filter val="3421"/>
        <filter val="3426"/>
        <filter val="345"/>
        <filter val="3464"/>
        <filter val="3489"/>
        <filter val="349"/>
        <filter val="3495"/>
        <filter val="352"/>
        <filter val="3539"/>
        <filter val="3570"/>
        <filter val="36"/>
        <filter val="3607"/>
        <filter val="361"/>
        <filter val="365"/>
        <filter val="3654"/>
        <filter val="366"/>
        <filter val="3660"/>
        <filter val="3664"/>
        <filter val="367"/>
        <filter val="3673"/>
        <filter val="3676"/>
        <filter val="3679"/>
        <filter val="369"/>
        <filter val="37"/>
        <filter val="3719"/>
        <filter val="374"/>
        <filter val="3752"/>
        <filter val="3753"/>
        <filter val="3758"/>
        <filter val="3768"/>
        <filter val="379"/>
        <filter val="380"/>
        <filter val="3806"/>
        <filter val="3808"/>
        <filter val="382"/>
        <filter val="3831"/>
        <filter val="384"/>
        <filter val="3879"/>
        <filter val="39"/>
        <filter val="391"/>
        <filter val="3912"/>
        <filter val="393"/>
        <filter val="3954"/>
        <filter val="4"/>
        <filter val="408"/>
        <filter val="41"/>
        <filter val="4108"/>
        <filter val="413"/>
        <filter val="4148"/>
        <filter val="416"/>
        <filter val="42"/>
        <filter val="4215"/>
        <filter val="4224"/>
        <filter val="4253"/>
        <filter val="4263"/>
        <filter val="4380"/>
        <filter val="4383"/>
        <filter val="4391"/>
        <filter val="44"/>
        <filter val="440"/>
        <filter val="4457"/>
        <filter val="4515"/>
        <filter val="4622"/>
        <filter val="463"/>
        <filter val="4633"/>
        <filter val="466"/>
        <filter val="4730"/>
        <filter val="4754"/>
        <filter val="48"/>
        <filter val="4833"/>
        <filter val="4835"/>
        <filter val="4844"/>
        <filter val="4852"/>
        <filter val="490"/>
        <filter val="492"/>
        <filter val="495"/>
        <filter val="4963"/>
        <filter val="499"/>
        <filter val="5"/>
        <filter val="501"/>
        <filter val="5021"/>
        <filter val="503"/>
        <filter val="505"/>
        <filter val="5058"/>
        <filter val="5068"/>
        <filter val="51"/>
        <filter val="515"/>
        <filter val="5161"/>
        <filter val="522"/>
        <filter val="5250"/>
        <filter val="5299"/>
        <filter val="53"/>
        <filter val="5385"/>
        <filter val="5396"/>
        <filter val="54"/>
        <filter val="557"/>
        <filter val="5729"/>
        <filter val="58"/>
        <filter val="5850"/>
        <filter val="587"/>
        <filter val="588"/>
        <filter val="589"/>
        <filter val="5931"/>
        <filter val="596"/>
        <filter val="597"/>
        <filter val="598"/>
        <filter val="6"/>
        <filter val="60"/>
        <filter val="6039"/>
        <filter val="604"/>
        <filter val="607"/>
        <filter val="6145"/>
        <filter val="617"/>
        <filter val="622"/>
        <filter val="629"/>
        <filter val="637"/>
        <filter val="639"/>
        <filter val="64"/>
        <filter val="640"/>
        <filter val="645"/>
        <filter val="6505"/>
        <filter val="654"/>
        <filter val="655"/>
        <filter val="658"/>
        <filter val="660"/>
        <filter val="664"/>
        <filter val="665"/>
        <filter val="669"/>
        <filter val="6722"/>
        <filter val="6822"/>
        <filter val="685"/>
        <filter val="69"/>
        <filter val="692"/>
        <filter val="696"/>
        <filter val="699"/>
        <filter val="7"/>
        <filter val="707"/>
        <filter val="71"/>
        <filter val="736"/>
        <filter val="746"/>
        <filter val="752"/>
        <filter val="762"/>
        <filter val="764"/>
        <filter val="783"/>
        <filter val="790"/>
        <filter val="8"/>
        <filter val="80"/>
        <filter val="803"/>
        <filter val="810"/>
        <filter val="82"/>
        <filter val="822"/>
        <filter val="824"/>
        <filter val="836"/>
        <filter val="837"/>
        <filter val="841"/>
        <filter val="850"/>
        <filter val="863"/>
        <filter val="865"/>
        <filter val="870"/>
        <filter val="878"/>
        <filter val="887"/>
        <filter val="9"/>
        <filter val="909"/>
        <filter val="910"/>
        <filter val="911"/>
        <filter val="914"/>
        <filter val="919"/>
        <filter val="920"/>
        <filter val="930"/>
        <filter val="949"/>
        <filter val="950"/>
        <filter val="952"/>
        <filter val="955"/>
        <filter val="96"/>
        <filter val="966"/>
        <filter val="971"/>
        <filter val="976"/>
        <filter val="981"/>
        <filter val="986"/>
        <filter val="987"/>
        <filter val="993"/>
        <filter val="995"/>
        <filter val="997"/>
        <filter val="998"/>
      </filters>
    </filterColumn>
  </autoFilter>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6">
    <tabColor indexed="52"/>
    <pageSetUpPr fitToPage="1"/>
  </sheetPr>
  <dimension ref="A1:X39"/>
  <sheetViews>
    <sheetView view="pageBreakPreview" zoomScale="80" zoomScaleNormal="70" zoomScaleSheetLayoutView="80" workbookViewId="0">
      <pane ySplit="4" topLeftCell="A5" activePane="bottomLeft" state="frozen"/>
      <selection activeCell="F11" sqref="F11"/>
      <selection pane="bottomLeft"/>
    </sheetView>
  </sheetViews>
  <sheetFormatPr defaultColWidth="8.875" defaultRowHeight="15"/>
  <cols>
    <col min="1" max="1" width="13.125" style="6" customWidth="1"/>
    <col min="2" max="2" width="10.375" style="6" customWidth="1"/>
    <col min="3" max="3" width="9.125" style="116" customWidth="1"/>
    <col min="4" max="4" width="10.125" style="6" customWidth="1"/>
    <col min="5" max="5" width="14.375" style="6" bestFit="1" customWidth="1"/>
    <col min="6" max="6" width="8.25" style="116" customWidth="1"/>
    <col min="7" max="7" width="9.75" style="6" customWidth="1"/>
    <col min="8" max="8" width="9.75" style="117" customWidth="1"/>
    <col min="9" max="9" width="9.75" style="116" customWidth="1"/>
    <col min="10" max="10" width="10.625" style="116" bestFit="1" customWidth="1"/>
    <col min="11" max="11" width="10.625" style="117" bestFit="1" customWidth="1"/>
    <col min="12" max="12" width="50.25" style="108" customWidth="1"/>
    <col min="13" max="13" width="30.625" style="6" customWidth="1"/>
    <col min="14" max="14" width="4.375" style="6" customWidth="1"/>
    <col min="15" max="15" width="3.25" style="6" customWidth="1"/>
    <col min="16" max="256" width="8.875" style="6"/>
    <col min="257" max="257" width="13.125" style="6" customWidth="1"/>
    <col min="258" max="258" width="10.375" style="6" customWidth="1"/>
    <col min="259" max="259" width="9.125" style="6" customWidth="1"/>
    <col min="260" max="260" width="10.125" style="6" customWidth="1"/>
    <col min="261" max="261" width="14.375" style="6" bestFit="1" customWidth="1"/>
    <col min="262" max="262" width="8.25" style="6" customWidth="1"/>
    <col min="263" max="265" width="9.75" style="6" customWidth="1"/>
    <col min="266" max="267" width="10.625" style="6" bestFit="1" customWidth="1"/>
    <col min="268" max="268" width="50.25" style="6" customWidth="1"/>
    <col min="269" max="269" width="30.625" style="6" customWidth="1"/>
    <col min="270" max="270" width="4.375" style="6" customWidth="1"/>
    <col min="271" max="271" width="3.25" style="6" customWidth="1"/>
    <col min="272" max="512" width="8.875" style="6"/>
    <col min="513" max="513" width="13.125" style="6" customWidth="1"/>
    <col min="514" max="514" width="10.375" style="6" customWidth="1"/>
    <col min="515" max="515" width="9.125" style="6" customWidth="1"/>
    <col min="516" max="516" width="10.125" style="6" customWidth="1"/>
    <col min="517" max="517" width="14.375" style="6" bestFit="1" customWidth="1"/>
    <col min="518" max="518" width="8.25" style="6" customWidth="1"/>
    <col min="519" max="521" width="9.75" style="6" customWidth="1"/>
    <col min="522" max="523" width="10.625" style="6" bestFit="1" customWidth="1"/>
    <col min="524" max="524" width="50.25" style="6" customWidth="1"/>
    <col min="525" max="525" width="30.625" style="6" customWidth="1"/>
    <col min="526" max="526" width="4.375" style="6" customWidth="1"/>
    <col min="527" max="527" width="3.25" style="6" customWidth="1"/>
    <col min="528" max="768" width="8.875" style="6"/>
    <col min="769" max="769" width="13.125" style="6" customWidth="1"/>
    <col min="770" max="770" width="10.375" style="6" customWidth="1"/>
    <col min="771" max="771" width="9.125" style="6" customWidth="1"/>
    <col min="772" max="772" width="10.125" style="6" customWidth="1"/>
    <col min="773" max="773" width="14.375" style="6" bestFit="1" customWidth="1"/>
    <col min="774" max="774" width="8.25" style="6" customWidth="1"/>
    <col min="775" max="777" width="9.75" style="6" customWidth="1"/>
    <col min="778" max="779" width="10.625" style="6" bestFit="1" customWidth="1"/>
    <col min="780" max="780" width="50.25" style="6" customWidth="1"/>
    <col min="781" max="781" width="30.625" style="6" customWidth="1"/>
    <col min="782" max="782" width="4.375" style="6" customWidth="1"/>
    <col min="783" max="783" width="3.25" style="6" customWidth="1"/>
    <col min="784" max="1024" width="8.875" style="6"/>
    <col min="1025" max="1025" width="13.125" style="6" customWidth="1"/>
    <col min="1026" max="1026" width="10.375" style="6" customWidth="1"/>
    <col min="1027" max="1027" width="9.125" style="6" customWidth="1"/>
    <col min="1028" max="1028" width="10.125" style="6" customWidth="1"/>
    <col min="1029" max="1029" width="14.375" style="6" bestFit="1" customWidth="1"/>
    <col min="1030" max="1030" width="8.25" style="6" customWidth="1"/>
    <col min="1031" max="1033" width="9.75" style="6" customWidth="1"/>
    <col min="1034" max="1035" width="10.625" style="6" bestFit="1" customWidth="1"/>
    <col min="1036" max="1036" width="50.25" style="6" customWidth="1"/>
    <col min="1037" max="1037" width="30.625" style="6" customWidth="1"/>
    <col min="1038" max="1038" width="4.375" style="6" customWidth="1"/>
    <col min="1039" max="1039" width="3.25" style="6" customWidth="1"/>
    <col min="1040" max="1280" width="8.875" style="6"/>
    <col min="1281" max="1281" width="13.125" style="6" customWidth="1"/>
    <col min="1282" max="1282" width="10.375" style="6" customWidth="1"/>
    <col min="1283" max="1283" width="9.125" style="6" customWidth="1"/>
    <col min="1284" max="1284" width="10.125" style="6" customWidth="1"/>
    <col min="1285" max="1285" width="14.375" style="6" bestFit="1" customWidth="1"/>
    <col min="1286" max="1286" width="8.25" style="6" customWidth="1"/>
    <col min="1287" max="1289" width="9.75" style="6" customWidth="1"/>
    <col min="1290" max="1291" width="10.625" style="6" bestFit="1" customWidth="1"/>
    <col min="1292" max="1292" width="50.25" style="6" customWidth="1"/>
    <col min="1293" max="1293" width="30.625" style="6" customWidth="1"/>
    <col min="1294" max="1294" width="4.375" style="6" customWidth="1"/>
    <col min="1295" max="1295" width="3.25" style="6" customWidth="1"/>
    <col min="1296" max="1536" width="8.875" style="6"/>
    <col min="1537" max="1537" width="13.125" style="6" customWidth="1"/>
    <col min="1538" max="1538" width="10.375" style="6" customWidth="1"/>
    <col min="1539" max="1539" width="9.125" style="6" customWidth="1"/>
    <col min="1540" max="1540" width="10.125" style="6" customWidth="1"/>
    <col min="1541" max="1541" width="14.375" style="6" bestFit="1" customWidth="1"/>
    <col min="1542" max="1542" width="8.25" style="6" customWidth="1"/>
    <col min="1543" max="1545" width="9.75" style="6" customWidth="1"/>
    <col min="1546" max="1547" width="10.625" style="6" bestFit="1" customWidth="1"/>
    <col min="1548" max="1548" width="50.25" style="6" customWidth="1"/>
    <col min="1549" max="1549" width="30.625" style="6" customWidth="1"/>
    <col min="1550" max="1550" width="4.375" style="6" customWidth="1"/>
    <col min="1551" max="1551" width="3.25" style="6" customWidth="1"/>
    <col min="1552" max="1792" width="8.875" style="6"/>
    <col min="1793" max="1793" width="13.125" style="6" customWidth="1"/>
    <col min="1794" max="1794" width="10.375" style="6" customWidth="1"/>
    <col min="1795" max="1795" width="9.125" style="6" customWidth="1"/>
    <col min="1796" max="1796" width="10.125" style="6" customWidth="1"/>
    <col min="1797" max="1797" width="14.375" style="6" bestFit="1" customWidth="1"/>
    <col min="1798" max="1798" width="8.25" style="6" customWidth="1"/>
    <col min="1799" max="1801" width="9.75" style="6" customWidth="1"/>
    <col min="1802" max="1803" width="10.625" style="6" bestFit="1" customWidth="1"/>
    <col min="1804" max="1804" width="50.25" style="6" customWidth="1"/>
    <col min="1805" max="1805" width="30.625" style="6" customWidth="1"/>
    <col min="1806" max="1806" width="4.375" style="6" customWidth="1"/>
    <col min="1807" max="1807" width="3.25" style="6" customWidth="1"/>
    <col min="1808" max="2048" width="8.875" style="6"/>
    <col min="2049" max="2049" width="13.125" style="6" customWidth="1"/>
    <col min="2050" max="2050" width="10.375" style="6" customWidth="1"/>
    <col min="2051" max="2051" width="9.125" style="6" customWidth="1"/>
    <col min="2052" max="2052" width="10.125" style="6" customWidth="1"/>
    <col min="2053" max="2053" width="14.375" style="6" bestFit="1" customWidth="1"/>
    <col min="2054" max="2054" width="8.25" style="6" customWidth="1"/>
    <col min="2055" max="2057" width="9.75" style="6" customWidth="1"/>
    <col min="2058" max="2059" width="10.625" style="6" bestFit="1" customWidth="1"/>
    <col min="2060" max="2060" width="50.25" style="6" customWidth="1"/>
    <col min="2061" max="2061" width="30.625" style="6" customWidth="1"/>
    <col min="2062" max="2062" width="4.375" style="6" customWidth="1"/>
    <col min="2063" max="2063" width="3.25" style="6" customWidth="1"/>
    <col min="2064" max="2304" width="8.875" style="6"/>
    <col min="2305" max="2305" width="13.125" style="6" customWidth="1"/>
    <col min="2306" max="2306" width="10.375" style="6" customWidth="1"/>
    <col min="2307" max="2307" width="9.125" style="6" customWidth="1"/>
    <col min="2308" max="2308" width="10.125" style="6" customWidth="1"/>
    <col min="2309" max="2309" width="14.375" style="6" bestFit="1" customWidth="1"/>
    <col min="2310" max="2310" width="8.25" style="6" customWidth="1"/>
    <col min="2311" max="2313" width="9.75" style="6" customWidth="1"/>
    <col min="2314" max="2315" width="10.625" style="6" bestFit="1" customWidth="1"/>
    <col min="2316" max="2316" width="50.25" style="6" customWidth="1"/>
    <col min="2317" max="2317" width="30.625" style="6" customWidth="1"/>
    <col min="2318" max="2318" width="4.375" style="6" customWidth="1"/>
    <col min="2319" max="2319" width="3.25" style="6" customWidth="1"/>
    <col min="2320" max="2560" width="8.875" style="6"/>
    <col min="2561" max="2561" width="13.125" style="6" customWidth="1"/>
    <col min="2562" max="2562" width="10.375" style="6" customWidth="1"/>
    <col min="2563" max="2563" width="9.125" style="6" customWidth="1"/>
    <col min="2564" max="2564" width="10.125" style="6" customWidth="1"/>
    <col min="2565" max="2565" width="14.375" style="6" bestFit="1" customWidth="1"/>
    <col min="2566" max="2566" width="8.25" style="6" customWidth="1"/>
    <col min="2567" max="2569" width="9.75" style="6" customWidth="1"/>
    <col min="2570" max="2571" width="10.625" style="6" bestFit="1" customWidth="1"/>
    <col min="2572" max="2572" width="50.25" style="6" customWidth="1"/>
    <col min="2573" max="2573" width="30.625" style="6" customWidth="1"/>
    <col min="2574" max="2574" width="4.375" style="6" customWidth="1"/>
    <col min="2575" max="2575" width="3.25" style="6" customWidth="1"/>
    <col min="2576" max="2816" width="8.875" style="6"/>
    <col min="2817" max="2817" width="13.125" style="6" customWidth="1"/>
    <col min="2818" max="2818" width="10.375" style="6" customWidth="1"/>
    <col min="2819" max="2819" width="9.125" style="6" customWidth="1"/>
    <col min="2820" max="2820" width="10.125" style="6" customWidth="1"/>
    <col min="2821" max="2821" width="14.375" style="6" bestFit="1" customWidth="1"/>
    <col min="2822" max="2822" width="8.25" style="6" customWidth="1"/>
    <col min="2823" max="2825" width="9.75" style="6" customWidth="1"/>
    <col min="2826" max="2827" width="10.625" style="6" bestFit="1" customWidth="1"/>
    <col min="2828" max="2828" width="50.25" style="6" customWidth="1"/>
    <col min="2829" max="2829" width="30.625" style="6" customWidth="1"/>
    <col min="2830" max="2830" width="4.375" style="6" customWidth="1"/>
    <col min="2831" max="2831" width="3.25" style="6" customWidth="1"/>
    <col min="2832" max="3072" width="8.875" style="6"/>
    <col min="3073" max="3073" width="13.125" style="6" customWidth="1"/>
    <col min="3074" max="3074" width="10.375" style="6" customWidth="1"/>
    <col min="3075" max="3075" width="9.125" style="6" customWidth="1"/>
    <col min="3076" max="3076" width="10.125" style="6" customWidth="1"/>
    <col min="3077" max="3077" width="14.375" style="6" bestFit="1" customWidth="1"/>
    <col min="3078" max="3078" width="8.25" style="6" customWidth="1"/>
    <col min="3079" max="3081" width="9.75" style="6" customWidth="1"/>
    <col min="3082" max="3083" width="10.625" style="6" bestFit="1" customWidth="1"/>
    <col min="3084" max="3084" width="50.25" style="6" customWidth="1"/>
    <col min="3085" max="3085" width="30.625" style="6" customWidth="1"/>
    <col min="3086" max="3086" width="4.375" style="6" customWidth="1"/>
    <col min="3087" max="3087" width="3.25" style="6" customWidth="1"/>
    <col min="3088" max="3328" width="8.875" style="6"/>
    <col min="3329" max="3329" width="13.125" style="6" customWidth="1"/>
    <col min="3330" max="3330" width="10.375" style="6" customWidth="1"/>
    <col min="3331" max="3331" width="9.125" style="6" customWidth="1"/>
    <col min="3332" max="3332" width="10.125" style="6" customWidth="1"/>
    <col min="3333" max="3333" width="14.375" style="6" bestFit="1" customWidth="1"/>
    <col min="3334" max="3334" width="8.25" style="6" customWidth="1"/>
    <col min="3335" max="3337" width="9.75" style="6" customWidth="1"/>
    <col min="3338" max="3339" width="10.625" style="6" bestFit="1" customWidth="1"/>
    <col min="3340" max="3340" width="50.25" style="6" customWidth="1"/>
    <col min="3341" max="3341" width="30.625" style="6" customWidth="1"/>
    <col min="3342" max="3342" width="4.375" style="6" customWidth="1"/>
    <col min="3343" max="3343" width="3.25" style="6" customWidth="1"/>
    <col min="3344" max="3584" width="8.875" style="6"/>
    <col min="3585" max="3585" width="13.125" style="6" customWidth="1"/>
    <col min="3586" max="3586" width="10.375" style="6" customWidth="1"/>
    <col min="3587" max="3587" width="9.125" style="6" customWidth="1"/>
    <col min="3588" max="3588" width="10.125" style="6" customWidth="1"/>
    <col min="3589" max="3589" width="14.375" style="6" bestFit="1" customWidth="1"/>
    <col min="3590" max="3590" width="8.25" style="6" customWidth="1"/>
    <col min="3591" max="3593" width="9.75" style="6" customWidth="1"/>
    <col min="3594" max="3595" width="10.625" style="6" bestFit="1" customWidth="1"/>
    <col min="3596" max="3596" width="50.25" style="6" customWidth="1"/>
    <col min="3597" max="3597" width="30.625" style="6" customWidth="1"/>
    <col min="3598" max="3598" width="4.375" style="6" customWidth="1"/>
    <col min="3599" max="3599" width="3.25" style="6" customWidth="1"/>
    <col min="3600" max="3840" width="8.875" style="6"/>
    <col min="3841" max="3841" width="13.125" style="6" customWidth="1"/>
    <col min="3842" max="3842" width="10.375" style="6" customWidth="1"/>
    <col min="3843" max="3843" width="9.125" style="6" customWidth="1"/>
    <col min="3844" max="3844" width="10.125" style="6" customWidth="1"/>
    <col min="3845" max="3845" width="14.375" style="6" bestFit="1" customWidth="1"/>
    <col min="3846" max="3846" width="8.25" style="6" customWidth="1"/>
    <col min="3847" max="3849" width="9.75" style="6" customWidth="1"/>
    <col min="3850" max="3851" width="10.625" style="6" bestFit="1" customWidth="1"/>
    <col min="3852" max="3852" width="50.25" style="6" customWidth="1"/>
    <col min="3853" max="3853" width="30.625" style="6" customWidth="1"/>
    <col min="3854" max="3854" width="4.375" style="6" customWidth="1"/>
    <col min="3855" max="3855" width="3.25" style="6" customWidth="1"/>
    <col min="3856" max="4096" width="8.875" style="6"/>
    <col min="4097" max="4097" width="13.125" style="6" customWidth="1"/>
    <col min="4098" max="4098" width="10.375" style="6" customWidth="1"/>
    <col min="4099" max="4099" width="9.125" style="6" customWidth="1"/>
    <col min="4100" max="4100" width="10.125" style="6" customWidth="1"/>
    <col min="4101" max="4101" width="14.375" style="6" bestFit="1" customWidth="1"/>
    <col min="4102" max="4102" width="8.25" style="6" customWidth="1"/>
    <col min="4103" max="4105" width="9.75" style="6" customWidth="1"/>
    <col min="4106" max="4107" width="10.625" style="6" bestFit="1" customWidth="1"/>
    <col min="4108" max="4108" width="50.25" style="6" customWidth="1"/>
    <col min="4109" max="4109" width="30.625" style="6" customWidth="1"/>
    <col min="4110" max="4110" width="4.375" style="6" customWidth="1"/>
    <col min="4111" max="4111" width="3.25" style="6" customWidth="1"/>
    <col min="4112" max="4352" width="8.875" style="6"/>
    <col min="4353" max="4353" width="13.125" style="6" customWidth="1"/>
    <col min="4354" max="4354" width="10.375" style="6" customWidth="1"/>
    <col min="4355" max="4355" width="9.125" style="6" customWidth="1"/>
    <col min="4356" max="4356" width="10.125" style="6" customWidth="1"/>
    <col min="4357" max="4357" width="14.375" style="6" bestFit="1" customWidth="1"/>
    <col min="4358" max="4358" width="8.25" style="6" customWidth="1"/>
    <col min="4359" max="4361" width="9.75" style="6" customWidth="1"/>
    <col min="4362" max="4363" width="10.625" style="6" bestFit="1" customWidth="1"/>
    <col min="4364" max="4364" width="50.25" style="6" customWidth="1"/>
    <col min="4365" max="4365" width="30.625" style="6" customWidth="1"/>
    <col min="4366" max="4366" width="4.375" style="6" customWidth="1"/>
    <col min="4367" max="4367" width="3.25" style="6" customWidth="1"/>
    <col min="4368" max="4608" width="8.875" style="6"/>
    <col min="4609" max="4609" width="13.125" style="6" customWidth="1"/>
    <col min="4610" max="4610" width="10.375" style="6" customWidth="1"/>
    <col min="4611" max="4611" width="9.125" style="6" customWidth="1"/>
    <col min="4612" max="4612" width="10.125" style="6" customWidth="1"/>
    <col min="4613" max="4613" width="14.375" style="6" bestFit="1" customWidth="1"/>
    <col min="4614" max="4614" width="8.25" style="6" customWidth="1"/>
    <col min="4615" max="4617" width="9.75" style="6" customWidth="1"/>
    <col min="4618" max="4619" width="10.625" style="6" bestFit="1" customWidth="1"/>
    <col min="4620" max="4620" width="50.25" style="6" customWidth="1"/>
    <col min="4621" max="4621" width="30.625" style="6" customWidth="1"/>
    <col min="4622" max="4622" width="4.375" style="6" customWidth="1"/>
    <col min="4623" max="4623" width="3.25" style="6" customWidth="1"/>
    <col min="4624" max="4864" width="8.875" style="6"/>
    <col min="4865" max="4865" width="13.125" style="6" customWidth="1"/>
    <col min="4866" max="4866" width="10.375" style="6" customWidth="1"/>
    <col min="4867" max="4867" width="9.125" style="6" customWidth="1"/>
    <col min="4868" max="4868" width="10.125" style="6" customWidth="1"/>
    <col min="4869" max="4869" width="14.375" style="6" bestFit="1" customWidth="1"/>
    <col min="4870" max="4870" width="8.25" style="6" customWidth="1"/>
    <col min="4871" max="4873" width="9.75" style="6" customWidth="1"/>
    <col min="4874" max="4875" width="10.625" style="6" bestFit="1" customWidth="1"/>
    <col min="4876" max="4876" width="50.25" style="6" customWidth="1"/>
    <col min="4877" max="4877" width="30.625" style="6" customWidth="1"/>
    <col min="4878" max="4878" width="4.375" style="6" customWidth="1"/>
    <col min="4879" max="4879" width="3.25" style="6" customWidth="1"/>
    <col min="4880" max="5120" width="8.875" style="6"/>
    <col min="5121" max="5121" width="13.125" style="6" customWidth="1"/>
    <col min="5122" max="5122" width="10.375" style="6" customWidth="1"/>
    <col min="5123" max="5123" width="9.125" style="6" customWidth="1"/>
    <col min="5124" max="5124" width="10.125" style="6" customWidth="1"/>
    <col min="5125" max="5125" width="14.375" style="6" bestFit="1" customWidth="1"/>
    <col min="5126" max="5126" width="8.25" style="6" customWidth="1"/>
    <col min="5127" max="5129" width="9.75" style="6" customWidth="1"/>
    <col min="5130" max="5131" width="10.625" style="6" bestFit="1" customWidth="1"/>
    <col min="5132" max="5132" width="50.25" style="6" customWidth="1"/>
    <col min="5133" max="5133" width="30.625" style="6" customWidth="1"/>
    <col min="5134" max="5134" width="4.375" style="6" customWidth="1"/>
    <col min="5135" max="5135" width="3.25" style="6" customWidth="1"/>
    <col min="5136" max="5376" width="8.875" style="6"/>
    <col min="5377" max="5377" width="13.125" style="6" customWidth="1"/>
    <col min="5378" max="5378" width="10.375" style="6" customWidth="1"/>
    <col min="5379" max="5379" width="9.125" style="6" customWidth="1"/>
    <col min="5380" max="5380" width="10.125" style="6" customWidth="1"/>
    <col min="5381" max="5381" width="14.375" style="6" bestFit="1" customWidth="1"/>
    <col min="5382" max="5382" width="8.25" style="6" customWidth="1"/>
    <col min="5383" max="5385" width="9.75" style="6" customWidth="1"/>
    <col min="5386" max="5387" width="10.625" style="6" bestFit="1" customWidth="1"/>
    <col min="5388" max="5388" width="50.25" style="6" customWidth="1"/>
    <col min="5389" max="5389" width="30.625" style="6" customWidth="1"/>
    <col min="5390" max="5390" width="4.375" style="6" customWidth="1"/>
    <col min="5391" max="5391" width="3.25" style="6" customWidth="1"/>
    <col min="5392" max="5632" width="8.875" style="6"/>
    <col min="5633" max="5633" width="13.125" style="6" customWidth="1"/>
    <col min="5634" max="5634" width="10.375" style="6" customWidth="1"/>
    <col min="5635" max="5635" width="9.125" style="6" customWidth="1"/>
    <col min="5636" max="5636" width="10.125" style="6" customWidth="1"/>
    <col min="5637" max="5637" width="14.375" style="6" bestFit="1" customWidth="1"/>
    <col min="5638" max="5638" width="8.25" style="6" customWidth="1"/>
    <col min="5639" max="5641" width="9.75" style="6" customWidth="1"/>
    <col min="5642" max="5643" width="10.625" style="6" bestFit="1" customWidth="1"/>
    <col min="5644" max="5644" width="50.25" style="6" customWidth="1"/>
    <col min="5645" max="5645" width="30.625" style="6" customWidth="1"/>
    <col min="5646" max="5646" width="4.375" style="6" customWidth="1"/>
    <col min="5647" max="5647" width="3.25" style="6" customWidth="1"/>
    <col min="5648" max="5888" width="8.875" style="6"/>
    <col min="5889" max="5889" width="13.125" style="6" customWidth="1"/>
    <col min="5890" max="5890" width="10.375" style="6" customWidth="1"/>
    <col min="5891" max="5891" width="9.125" style="6" customWidth="1"/>
    <col min="5892" max="5892" width="10.125" style="6" customWidth="1"/>
    <col min="5893" max="5893" width="14.375" style="6" bestFit="1" customWidth="1"/>
    <col min="5894" max="5894" width="8.25" style="6" customWidth="1"/>
    <col min="5895" max="5897" width="9.75" style="6" customWidth="1"/>
    <col min="5898" max="5899" width="10.625" style="6" bestFit="1" customWidth="1"/>
    <col min="5900" max="5900" width="50.25" style="6" customWidth="1"/>
    <col min="5901" max="5901" width="30.625" style="6" customWidth="1"/>
    <col min="5902" max="5902" width="4.375" style="6" customWidth="1"/>
    <col min="5903" max="5903" width="3.25" style="6" customWidth="1"/>
    <col min="5904" max="6144" width="8.875" style="6"/>
    <col min="6145" max="6145" width="13.125" style="6" customWidth="1"/>
    <col min="6146" max="6146" width="10.375" style="6" customWidth="1"/>
    <col min="6147" max="6147" width="9.125" style="6" customWidth="1"/>
    <col min="6148" max="6148" width="10.125" style="6" customWidth="1"/>
    <col min="6149" max="6149" width="14.375" style="6" bestFit="1" customWidth="1"/>
    <col min="6150" max="6150" width="8.25" style="6" customWidth="1"/>
    <col min="6151" max="6153" width="9.75" style="6" customWidth="1"/>
    <col min="6154" max="6155" width="10.625" style="6" bestFit="1" customWidth="1"/>
    <col min="6156" max="6156" width="50.25" style="6" customWidth="1"/>
    <col min="6157" max="6157" width="30.625" style="6" customWidth="1"/>
    <col min="6158" max="6158" width="4.375" style="6" customWidth="1"/>
    <col min="6159" max="6159" width="3.25" style="6" customWidth="1"/>
    <col min="6160" max="6400" width="8.875" style="6"/>
    <col min="6401" max="6401" width="13.125" style="6" customWidth="1"/>
    <col min="6402" max="6402" width="10.375" style="6" customWidth="1"/>
    <col min="6403" max="6403" width="9.125" style="6" customWidth="1"/>
    <col min="6404" max="6404" width="10.125" style="6" customWidth="1"/>
    <col min="6405" max="6405" width="14.375" style="6" bestFit="1" customWidth="1"/>
    <col min="6406" max="6406" width="8.25" style="6" customWidth="1"/>
    <col min="6407" max="6409" width="9.75" style="6" customWidth="1"/>
    <col min="6410" max="6411" width="10.625" style="6" bestFit="1" customWidth="1"/>
    <col min="6412" max="6412" width="50.25" style="6" customWidth="1"/>
    <col min="6413" max="6413" width="30.625" style="6" customWidth="1"/>
    <col min="6414" max="6414" width="4.375" style="6" customWidth="1"/>
    <col min="6415" max="6415" width="3.25" style="6" customWidth="1"/>
    <col min="6416" max="6656" width="8.875" style="6"/>
    <col min="6657" max="6657" width="13.125" style="6" customWidth="1"/>
    <col min="6658" max="6658" width="10.375" style="6" customWidth="1"/>
    <col min="6659" max="6659" width="9.125" style="6" customWidth="1"/>
    <col min="6660" max="6660" width="10.125" style="6" customWidth="1"/>
    <col min="6661" max="6661" width="14.375" style="6" bestFit="1" customWidth="1"/>
    <col min="6662" max="6662" width="8.25" style="6" customWidth="1"/>
    <col min="6663" max="6665" width="9.75" style="6" customWidth="1"/>
    <col min="6666" max="6667" width="10.625" style="6" bestFit="1" customWidth="1"/>
    <col min="6668" max="6668" width="50.25" style="6" customWidth="1"/>
    <col min="6669" max="6669" width="30.625" style="6" customWidth="1"/>
    <col min="6670" max="6670" width="4.375" style="6" customWidth="1"/>
    <col min="6671" max="6671" width="3.25" style="6" customWidth="1"/>
    <col min="6672" max="6912" width="8.875" style="6"/>
    <col min="6913" max="6913" width="13.125" style="6" customWidth="1"/>
    <col min="6914" max="6914" width="10.375" style="6" customWidth="1"/>
    <col min="6915" max="6915" width="9.125" style="6" customWidth="1"/>
    <col min="6916" max="6916" width="10.125" style="6" customWidth="1"/>
    <col min="6917" max="6917" width="14.375" style="6" bestFit="1" customWidth="1"/>
    <col min="6918" max="6918" width="8.25" style="6" customWidth="1"/>
    <col min="6919" max="6921" width="9.75" style="6" customWidth="1"/>
    <col min="6922" max="6923" width="10.625" style="6" bestFit="1" customWidth="1"/>
    <col min="6924" max="6924" width="50.25" style="6" customWidth="1"/>
    <col min="6925" max="6925" width="30.625" style="6" customWidth="1"/>
    <col min="6926" max="6926" width="4.375" style="6" customWidth="1"/>
    <col min="6927" max="6927" width="3.25" style="6" customWidth="1"/>
    <col min="6928" max="7168" width="8.875" style="6"/>
    <col min="7169" max="7169" width="13.125" style="6" customWidth="1"/>
    <col min="7170" max="7170" width="10.375" style="6" customWidth="1"/>
    <col min="7171" max="7171" width="9.125" style="6" customWidth="1"/>
    <col min="7172" max="7172" width="10.125" style="6" customWidth="1"/>
    <col min="7173" max="7173" width="14.375" style="6" bestFit="1" customWidth="1"/>
    <col min="7174" max="7174" width="8.25" style="6" customWidth="1"/>
    <col min="7175" max="7177" width="9.75" style="6" customWidth="1"/>
    <col min="7178" max="7179" width="10.625" style="6" bestFit="1" customWidth="1"/>
    <col min="7180" max="7180" width="50.25" style="6" customWidth="1"/>
    <col min="7181" max="7181" width="30.625" style="6" customWidth="1"/>
    <col min="7182" max="7182" width="4.375" style="6" customWidth="1"/>
    <col min="7183" max="7183" width="3.25" style="6" customWidth="1"/>
    <col min="7184" max="7424" width="8.875" style="6"/>
    <col min="7425" max="7425" width="13.125" style="6" customWidth="1"/>
    <col min="7426" max="7426" width="10.375" style="6" customWidth="1"/>
    <col min="7427" max="7427" width="9.125" style="6" customWidth="1"/>
    <col min="7428" max="7428" width="10.125" style="6" customWidth="1"/>
    <col min="7429" max="7429" width="14.375" style="6" bestFit="1" customWidth="1"/>
    <col min="7430" max="7430" width="8.25" style="6" customWidth="1"/>
    <col min="7431" max="7433" width="9.75" style="6" customWidth="1"/>
    <col min="7434" max="7435" width="10.625" style="6" bestFit="1" customWidth="1"/>
    <col min="7436" max="7436" width="50.25" style="6" customWidth="1"/>
    <col min="7437" max="7437" width="30.625" style="6" customWidth="1"/>
    <col min="7438" max="7438" width="4.375" style="6" customWidth="1"/>
    <col min="7439" max="7439" width="3.25" style="6" customWidth="1"/>
    <col min="7440" max="7680" width="8.875" style="6"/>
    <col min="7681" max="7681" width="13.125" style="6" customWidth="1"/>
    <col min="7682" max="7682" width="10.375" style="6" customWidth="1"/>
    <col min="7683" max="7683" width="9.125" style="6" customWidth="1"/>
    <col min="7684" max="7684" width="10.125" style="6" customWidth="1"/>
    <col min="7685" max="7685" width="14.375" style="6" bestFit="1" customWidth="1"/>
    <col min="7686" max="7686" width="8.25" style="6" customWidth="1"/>
    <col min="7687" max="7689" width="9.75" style="6" customWidth="1"/>
    <col min="7690" max="7691" width="10.625" style="6" bestFit="1" customWidth="1"/>
    <col min="7692" max="7692" width="50.25" style="6" customWidth="1"/>
    <col min="7693" max="7693" width="30.625" style="6" customWidth="1"/>
    <col min="7694" max="7694" width="4.375" style="6" customWidth="1"/>
    <col min="7695" max="7695" width="3.25" style="6" customWidth="1"/>
    <col min="7696" max="7936" width="8.875" style="6"/>
    <col min="7937" max="7937" width="13.125" style="6" customWidth="1"/>
    <col min="7938" max="7938" width="10.375" style="6" customWidth="1"/>
    <col min="7939" max="7939" width="9.125" style="6" customWidth="1"/>
    <col min="7940" max="7940" width="10.125" style="6" customWidth="1"/>
    <col min="7941" max="7941" width="14.375" style="6" bestFit="1" customWidth="1"/>
    <col min="7942" max="7942" width="8.25" style="6" customWidth="1"/>
    <col min="7943" max="7945" width="9.75" style="6" customWidth="1"/>
    <col min="7946" max="7947" width="10.625" style="6" bestFit="1" customWidth="1"/>
    <col min="7948" max="7948" width="50.25" style="6" customWidth="1"/>
    <col min="7949" max="7949" width="30.625" style="6" customWidth="1"/>
    <col min="7950" max="7950" width="4.375" style="6" customWidth="1"/>
    <col min="7951" max="7951" width="3.25" style="6" customWidth="1"/>
    <col min="7952" max="8192" width="8.875" style="6"/>
    <col min="8193" max="8193" width="13.125" style="6" customWidth="1"/>
    <col min="8194" max="8194" width="10.375" style="6" customWidth="1"/>
    <col min="8195" max="8195" width="9.125" style="6" customWidth="1"/>
    <col min="8196" max="8196" width="10.125" style="6" customWidth="1"/>
    <col min="8197" max="8197" width="14.375" style="6" bestFit="1" customWidth="1"/>
    <col min="8198" max="8198" width="8.25" style="6" customWidth="1"/>
    <col min="8199" max="8201" width="9.75" style="6" customWidth="1"/>
    <col min="8202" max="8203" width="10.625" style="6" bestFit="1" customWidth="1"/>
    <col min="8204" max="8204" width="50.25" style="6" customWidth="1"/>
    <col min="8205" max="8205" width="30.625" style="6" customWidth="1"/>
    <col min="8206" max="8206" width="4.375" style="6" customWidth="1"/>
    <col min="8207" max="8207" width="3.25" style="6" customWidth="1"/>
    <col min="8208" max="8448" width="8.875" style="6"/>
    <col min="8449" max="8449" width="13.125" style="6" customWidth="1"/>
    <col min="8450" max="8450" width="10.375" style="6" customWidth="1"/>
    <col min="8451" max="8451" width="9.125" style="6" customWidth="1"/>
    <col min="8452" max="8452" width="10.125" style="6" customWidth="1"/>
    <col min="8453" max="8453" width="14.375" style="6" bestFit="1" customWidth="1"/>
    <col min="8454" max="8454" width="8.25" style="6" customWidth="1"/>
    <col min="8455" max="8457" width="9.75" style="6" customWidth="1"/>
    <col min="8458" max="8459" width="10.625" style="6" bestFit="1" customWidth="1"/>
    <col min="8460" max="8460" width="50.25" style="6" customWidth="1"/>
    <col min="8461" max="8461" width="30.625" style="6" customWidth="1"/>
    <col min="8462" max="8462" width="4.375" style="6" customWidth="1"/>
    <col min="8463" max="8463" width="3.25" style="6" customWidth="1"/>
    <col min="8464" max="8704" width="8.875" style="6"/>
    <col min="8705" max="8705" width="13.125" style="6" customWidth="1"/>
    <col min="8706" max="8706" width="10.375" style="6" customWidth="1"/>
    <col min="8707" max="8707" width="9.125" style="6" customWidth="1"/>
    <col min="8708" max="8708" width="10.125" style="6" customWidth="1"/>
    <col min="8709" max="8709" width="14.375" style="6" bestFit="1" customWidth="1"/>
    <col min="8710" max="8710" width="8.25" style="6" customWidth="1"/>
    <col min="8711" max="8713" width="9.75" style="6" customWidth="1"/>
    <col min="8714" max="8715" width="10.625" style="6" bestFit="1" customWidth="1"/>
    <col min="8716" max="8716" width="50.25" style="6" customWidth="1"/>
    <col min="8717" max="8717" width="30.625" style="6" customWidth="1"/>
    <col min="8718" max="8718" width="4.375" style="6" customWidth="1"/>
    <col min="8719" max="8719" width="3.25" style="6" customWidth="1"/>
    <col min="8720" max="8960" width="8.875" style="6"/>
    <col min="8961" max="8961" width="13.125" style="6" customWidth="1"/>
    <col min="8962" max="8962" width="10.375" style="6" customWidth="1"/>
    <col min="8963" max="8963" width="9.125" style="6" customWidth="1"/>
    <col min="8964" max="8964" width="10.125" style="6" customWidth="1"/>
    <col min="8965" max="8965" width="14.375" style="6" bestFit="1" customWidth="1"/>
    <col min="8966" max="8966" width="8.25" style="6" customWidth="1"/>
    <col min="8967" max="8969" width="9.75" style="6" customWidth="1"/>
    <col min="8970" max="8971" width="10.625" style="6" bestFit="1" customWidth="1"/>
    <col min="8972" max="8972" width="50.25" style="6" customWidth="1"/>
    <col min="8973" max="8973" width="30.625" style="6" customWidth="1"/>
    <col min="8974" max="8974" width="4.375" style="6" customWidth="1"/>
    <col min="8975" max="8975" width="3.25" style="6" customWidth="1"/>
    <col min="8976" max="9216" width="8.875" style="6"/>
    <col min="9217" max="9217" width="13.125" style="6" customWidth="1"/>
    <col min="9218" max="9218" width="10.375" style="6" customWidth="1"/>
    <col min="9219" max="9219" width="9.125" style="6" customWidth="1"/>
    <col min="9220" max="9220" width="10.125" style="6" customWidth="1"/>
    <col min="9221" max="9221" width="14.375" style="6" bestFit="1" customWidth="1"/>
    <col min="9222" max="9222" width="8.25" style="6" customWidth="1"/>
    <col min="9223" max="9225" width="9.75" style="6" customWidth="1"/>
    <col min="9226" max="9227" width="10.625" style="6" bestFit="1" customWidth="1"/>
    <col min="9228" max="9228" width="50.25" style="6" customWidth="1"/>
    <col min="9229" max="9229" width="30.625" style="6" customWidth="1"/>
    <col min="9230" max="9230" width="4.375" style="6" customWidth="1"/>
    <col min="9231" max="9231" width="3.25" style="6" customWidth="1"/>
    <col min="9232" max="9472" width="8.875" style="6"/>
    <col min="9473" max="9473" width="13.125" style="6" customWidth="1"/>
    <col min="9474" max="9474" width="10.375" style="6" customWidth="1"/>
    <col min="9475" max="9475" width="9.125" style="6" customWidth="1"/>
    <col min="9476" max="9476" width="10.125" style="6" customWidth="1"/>
    <col min="9477" max="9477" width="14.375" style="6" bestFit="1" customWidth="1"/>
    <col min="9478" max="9478" width="8.25" style="6" customWidth="1"/>
    <col min="9479" max="9481" width="9.75" style="6" customWidth="1"/>
    <col min="9482" max="9483" width="10.625" style="6" bestFit="1" customWidth="1"/>
    <col min="9484" max="9484" width="50.25" style="6" customWidth="1"/>
    <col min="9485" max="9485" width="30.625" style="6" customWidth="1"/>
    <col min="9486" max="9486" width="4.375" style="6" customWidth="1"/>
    <col min="9487" max="9487" width="3.25" style="6" customWidth="1"/>
    <col min="9488" max="9728" width="8.875" style="6"/>
    <col min="9729" max="9729" width="13.125" style="6" customWidth="1"/>
    <col min="9730" max="9730" width="10.375" style="6" customWidth="1"/>
    <col min="9731" max="9731" width="9.125" style="6" customWidth="1"/>
    <col min="9732" max="9732" width="10.125" style="6" customWidth="1"/>
    <col min="9733" max="9733" width="14.375" style="6" bestFit="1" customWidth="1"/>
    <col min="9734" max="9734" width="8.25" style="6" customWidth="1"/>
    <col min="9735" max="9737" width="9.75" style="6" customWidth="1"/>
    <col min="9738" max="9739" width="10.625" style="6" bestFit="1" customWidth="1"/>
    <col min="9740" max="9740" width="50.25" style="6" customWidth="1"/>
    <col min="9741" max="9741" width="30.625" style="6" customWidth="1"/>
    <col min="9742" max="9742" width="4.375" style="6" customWidth="1"/>
    <col min="9743" max="9743" width="3.25" style="6" customWidth="1"/>
    <col min="9744" max="9984" width="8.875" style="6"/>
    <col min="9985" max="9985" width="13.125" style="6" customWidth="1"/>
    <col min="9986" max="9986" width="10.375" style="6" customWidth="1"/>
    <col min="9987" max="9987" width="9.125" style="6" customWidth="1"/>
    <col min="9988" max="9988" width="10.125" style="6" customWidth="1"/>
    <col min="9989" max="9989" width="14.375" style="6" bestFit="1" customWidth="1"/>
    <col min="9990" max="9990" width="8.25" style="6" customWidth="1"/>
    <col min="9991" max="9993" width="9.75" style="6" customWidth="1"/>
    <col min="9994" max="9995" width="10.625" style="6" bestFit="1" customWidth="1"/>
    <col min="9996" max="9996" width="50.25" style="6" customWidth="1"/>
    <col min="9997" max="9997" width="30.625" style="6" customWidth="1"/>
    <col min="9998" max="9998" width="4.375" style="6" customWidth="1"/>
    <col min="9999" max="9999" width="3.25" style="6" customWidth="1"/>
    <col min="10000" max="10240" width="8.875" style="6"/>
    <col min="10241" max="10241" width="13.125" style="6" customWidth="1"/>
    <col min="10242" max="10242" width="10.375" style="6" customWidth="1"/>
    <col min="10243" max="10243" width="9.125" style="6" customWidth="1"/>
    <col min="10244" max="10244" width="10.125" style="6" customWidth="1"/>
    <col min="10245" max="10245" width="14.375" style="6" bestFit="1" customWidth="1"/>
    <col min="10246" max="10246" width="8.25" style="6" customWidth="1"/>
    <col min="10247" max="10249" width="9.75" style="6" customWidth="1"/>
    <col min="10250" max="10251" width="10.625" style="6" bestFit="1" customWidth="1"/>
    <col min="10252" max="10252" width="50.25" style="6" customWidth="1"/>
    <col min="10253" max="10253" width="30.625" style="6" customWidth="1"/>
    <col min="10254" max="10254" width="4.375" style="6" customWidth="1"/>
    <col min="10255" max="10255" width="3.25" style="6" customWidth="1"/>
    <col min="10256" max="10496" width="8.875" style="6"/>
    <col min="10497" max="10497" width="13.125" style="6" customWidth="1"/>
    <col min="10498" max="10498" width="10.375" style="6" customWidth="1"/>
    <col min="10499" max="10499" width="9.125" style="6" customWidth="1"/>
    <col min="10500" max="10500" width="10.125" style="6" customWidth="1"/>
    <col min="10501" max="10501" width="14.375" style="6" bestFit="1" customWidth="1"/>
    <col min="10502" max="10502" width="8.25" style="6" customWidth="1"/>
    <col min="10503" max="10505" width="9.75" style="6" customWidth="1"/>
    <col min="10506" max="10507" width="10.625" style="6" bestFit="1" customWidth="1"/>
    <col min="10508" max="10508" width="50.25" style="6" customWidth="1"/>
    <col min="10509" max="10509" width="30.625" style="6" customWidth="1"/>
    <col min="10510" max="10510" width="4.375" style="6" customWidth="1"/>
    <col min="10511" max="10511" width="3.25" style="6" customWidth="1"/>
    <col min="10512" max="10752" width="8.875" style="6"/>
    <col min="10753" max="10753" width="13.125" style="6" customWidth="1"/>
    <col min="10754" max="10754" width="10.375" style="6" customWidth="1"/>
    <col min="10755" max="10755" width="9.125" style="6" customWidth="1"/>
    <col min="10756" max="10756" width="10.125" style="6" customWidth="1"/>
    <col min="10757" max="10757" width="14.375" style="6" bestFit="1" customWidth="1"/>
    <col min="10758" max="10758" width="8.25" style="6" customWidth="1"/>
    <col min="10759" max="10761" width="9.75" style="6" customWidth="1"/>
    <col min="10762" max="10763" width="10.625" style="6" bestFit="1" customWidth="1"/>
    <col min="10764" max="10764" width="50.25" style="6" customWidth="1"/>
    <col min="10765" max="10765" width="30.625" style="6" customWidth="1"/>
    <col min="10766" max="10766" width="4.375" style="6" customWidth="1"/>
    <col min="10767" max="10767" width="3.25" style="6" customWidth="1"/>
    <col min="10768" max="11008" width="8.875" style="6"/>
    <col min="11009" max="11009" width="13.125" style="6" customWidth="1"/>
    <col min="11010" max="11010" width="10.375" style="6" customWidth="1"/>
    <col min="11011" max="11011" width="9.125" style="6" customWidth="1"/>
    <col min="11012" max="11012" width="10.125" style="6" customWidth="1"/>
    <col min="11013" max="11013" width="14.375" style="6" bestFit="1" customWidth="1"/>
    <col min="11014" max="11014" width="8.25" style="6" customWidth="1"/>
    <col min="11015" max="11017" width="9.75" style="6" customWidth="1"/>
    <col min="11018" max="11019" width="10.625" style="6" bestFit="1" customWidth="1"/>
    <col min="11020" max="11020" width="50.25" style="6" customWidth="1"/>
    <col min="11021" max="11021" width="30.625" style="6" customWidth="1"/>
    <col min="11022" max="11022" width="4.375" style="6" customWidth="1"/>
    <col min="11023" max="11023" width="3.25" style="6" customWidth="1"/>
    <col min="11024" max="11264" width="8.875" style="6"/>
    <col min="11265" max="11265" width="13.125" style="6" customWidth="1"/>
    <col min="11266" max="11266" width="10.375" style="6" customWidth="1"/>
    <col min="11267" max="11267" width="9.125" style="6" customWidth="1"/>
    <col min="11268" max="11268" width="10.125" style="6" customWidth="1"/>
    <col min="11269" max="11269" width="14.375" style="6" bestFit="1" customWidth="1"/>
    <col min="11270" max="11270" width="8.25" style="6" customWidth="1"/>
    <col min="11271" max="11273" width="9.75" style="6" customWidth="1"/>
    <col min="11274" max="11275" width="10.625" style="6" bestFit="1" customWidth="1"/>
    <col min="11276" max="11276" width="50.25" style="6" customWidth="1"/>
    <col min="11277" max="11277" width="30.625" style="6" customWidth="1"/>
    <col min="11278" max="11278" width="4.375" style="6" customWidth="1"/>
    <col min="11279" max="11279" width="3.25" style="6" customWidth="1"/>
    <col min="11280" max="11520" width="8.875" style="6"/>
    <col min="11521" max="11521" width="13.125" style="6" customWidth="1"/>
    <col min="11522" max="11522" width="10.375" style="6" customWidth="1"/>
    <col min="11523" max="11523" width="9.125" style="6" customWidth="1"/>
    <col min="11524" max="11524" width="10.125" style="6" customWidth="1"/>
    <col min="11525" max="11525" width="14.375" style="6" bestFit="1" customWidth="1"/>
    <col min="11526" max="11526" width="8.25" style="6" customWidth="1"/>
    <col min="11527" max="11529" width="9.75" style="6" customWidth="1"/>
    <col min="11530" max="11531" width="10.625" style="6" bestFit="1" customWidth="1"/>
    <col min="11532" max="11532" width="50.25" style="6" customWidth="1"/>
    <col min="11533" max="11533" width="30.625" style="6" customWidth="1"/>
    <col min="11534" max="11534" width="4.375" style="6" customWidth="1"/>
    <col min="11535" max="11535" width="3.25" style="6" customWidth="1"/>
    <col min="11536" max="11776" width="8.875" style="6"/>
    <col min="11777" max="11777" width="13.125" style="6" customWidth="1"/>
    <col min="11778" max="11778" width="10.375" style="6" customWidth="1"/>
    <col min="11779" max="11779" width="9.125" style="6" customWidth="1"/>
    <col min="11780" max="11780" width="10.125" style="6" customWidth="1"/>
    <col min="11781" max="11781" width="14.375" style="6" bestFit="1" customWidth="1"/>
    <col min="11782" max="11782" width="8.25" style="6" customWidth="1"/>
    <col min="11783" max="11785" width="9.75" style="6" customWidth="1"/>
    <col min="11786" max="11787" width="10.625" style="6" bestFit="1" customWidth="1"/>
    <col min="11788" max="11788" width="50.25" style="6" customWidth="1"/>
    <col min="11789" max="11789" width="30.625" style="6" customWidth="1"/>
    <col min="11790" max="11790" width="4.375" style="6" customWidth="1"/>
    <col min="11791" max="11791" width="3.25" style="6" customWidth="1"/>
    <col min="11792" max="12032" width="8.875" style="6"/>
    <col min="12033" max="12033" width="13.125" style="6" customWidth="1"/>
    <col min="12034" max="12034" width="10.375" style="6" customWidth="1"/>
    <col min="12035" max="12035" width="9.125" style="6" customWidth="1"/>
    <col min="12036" max="12036" width="10.125" style="6" customWidth="1"/>
    <col min="12037" max="12037" width="14.375" style="6" bestFit="1" customWidth="1"/>
    <col min="12038" max="12038" width="8.25" style="6" customWidth="1"/>
    <col min="12039" max="12041" width="9.75" style="6" customWidth="1"/>
    <col min="12042" max="12043" width="10.625" style="6" bestFit="1" customWidth="1"/>
    <col min="12044" max="12044" width="50.25" style="6" customWidth="1"/>
    <col min="12045" max="12045" width="30.625" style="6" customWidth="1"/>
    <col min="12046" max="12046" width="4.375" style="6" customWidth="1"/>
    <col min="12047" max="12047" width="3.25" style="6" customWidth="1"/>
    <col min="12048" max="12288" width="8.875" style="6"/>
    <col min="12289" max="12289" width="13.125" style="6" customWidth="1"/>
    <col min="12290" max="12290" width="10.375" style="6" customWidth="1"/>
    <col min="12291" max="12291" width="9.125" style="6" customWidth="1"/>
    <col min="12292" max="12292" width="10.125" style="6" customWidth="1"/>
    <col min="12293" max="12293" width="14.375" style="6" bestFit="1" customWidth="1"/>
    <col min="12294" max="12294" width="8.25" style="6" customWidth="1"/>
    <col min="12295" max="12297" width="9.75" style="6" customWidth="1"/>
    <col min="12298" max="12299" width="10.625" style="6" bestFit="1" customWidth="1"/>
    <col min="12300" max="12300" width="50.25" style="6" customWidth="1"/>
    <col min="12301" max="12301" width="30.625" style="6" customWidth="1"/>
    <col min="12302" max="12302" width="4.375" style="6" customWidth="1"/>
    <col min="12303" max="12303" width="3.25" style="6" customWidth="1"/>
    <col min="12304" max="12544" width="8.875" style="6"/>
    <col min="12545" max="12545" width="13.125" style="6" customWidth="1"/>
    <col min="12546" max="12546" width="10.375" style="6" customWidth="1"/>
    <col min="12547" max="12547" width="9.125" style="6" customWidth="1"/>
    <col min="12548" max="12548" width="10.125" style="6" customWidth="1"/>
    <col min="12549" max="12549" width="14.375" style="6" bestFit="1" customWidth="1"/>
    <col min="12550" max="12550" width="8.25" style="6" customWidth="1"/>
    <col min="12551" max="12553" width="9.75" style="6" customWidth="1"/>
    <col min="12554" max="12555" width="10.625" style="6" bestFit="1" customWidth="1"/>
    <col min="12556" max="12556" width="50.25" style="6" customWidth="1"/>
    <col min="12557" max="12557" width="30.625" style="6" customWidth="1"/>
    <col min="12558" max="12558" width="4.375" style="6" customWidth="1"/>
    <col min="12559" max="12559" width="3.25" style="6" customWidth="1"/>
    <col min="12560" max="12800" width="8.875" style="6"/>
    <col min="12801" max="12801" width="13.125" style="6" customWidth="1"/>
    <col min="12802" max="12802" width="10.375" style="6" customWidth="1"/>
    <col min="12803" max="12803" width="9.125" style="6" customWidth="1"/>
    <col min="12804" max="12804" width="10.125" style="6" customWidth="1"/>
    <col min="12805" max="12805" width="14.375" style="6" bestFit="1" customWidth="1"/>
    <col min="12806" max="12806" width="8.25" style="6" customWidth="1"/>
    <col min="12807" max="12809" width="9.75" style="6" customWidth="1"/>
    <col min="12810" max="12811" width="10.625" style="6" bestFit="1" customWidth="1"/>
    <col min="12812" max="12812" width="50.25" style="6" customWidth="1"/>
    <col min="12813" max="12813" width="30.625" style="6" customWidth="1"/>
    <col min="12814" max="12814" width="4.375" style="6" customWidth="1"/>
    <col min="12815" max="12815" width="3.25" style="6" customWidth="1"/>
    <col min="12816" max="13056" width="8.875" style="6"/>
    <col min="13057" max="13057" width="13.125" style="6" customWidth="1"/>
    <col min="13058" max="13058" width="10.375" style="6" customWidth="1"/>
    <col min="13059" max="13059" width="9.125" style="6" customWidth="1"/>
    <col min="13060" max="13060" width="10.125" style="6" customWidth="1"/>
    <col min="13061" max="13061" width="14.375" style="6" bestFit="1" customWidth="1"/>
    <col min="13062" max="13062" width="8.25" style="6" customWidth="1"/>
    <col min="13063" max="13065" width="9.75" style="6" customWidth="1"/>
    <col min="13066" max="13067" width="10.625" style="6" bestFit="1" customWidth="1"/>
    <col min="13068" max="13068" width="50.25" style="6" customWidth="1"/>
    <col min="13069" max="13069" width="30.625" style="6" customWidth="1"/>
    <col min="13070" max="13070" width="4.375" style="6" customWidth="1"/>
    <col min="13071" max="13071" width="3.25" style="6" customWidth="1"/>
    <col min="13072" max="13312" width="8.875" style="6"/>
    <col min="13313" max="13313" width="13.125" style="6" customWidth="1"/>
    <col min="13314" max="13314" width="10.375" style="6" customWidth="1"/>
    <col min="13315" max="13315" width="9.125" style="6" customWidth="1"/>
    <col min="13316" max="13316" width="10.125" style="6" customWidth="1"/>
    <col min="13317" max="13317" width="14.375" style="6" bestFit="1" customWidth="1"/>
    <col min="13318" max="13318" width="8.25" style="6" customWidth="1"/>
    <col min="13319" max="13321" width="9.75" style="6" customWidth="1"/>
    <col min="13322" max="13323" width="10.625" style="6" bestFit="1" customWidth="1"/>
    <col min="13324" max="13324" width="50.25" style="6" customWidth="1"/>
    <col min="13325" max="13325" width="30.625" style="6" customWidth="1"/>
    <col min="13326" max="13326" width="4.375" style="6" customWidth="1"/>
    <col min="13327" max="13327" width="3.25" style="6" customWidth="1"/>
    <col min="13328" max="13568" width="8.875" style="6"/>
    <col min="13569" max="13569" width="13.125" style="6" customWidth="1"/>
    <col min="13570" max="13570" width="10.375" style="6" customWidth="1"/>
    <col min="13571" max="13571" width="9.125" style="6" customWidth="1"/>
    <col min="13572" max="13572" width="10.125" style="6" customWidth="1"/>
    <col min="13573" max="13573" width="14.375" style="6" bestFit="1" customWidth="1"/>
    <col min="13574" max="13574" width="8.25" style="6" customWidth="1"/>
    <col min="13575" max="13577" width="9.75" style="6" customWidth="1"/>
    <col min="13578" max="13579" width="10.625" style="6" bestFit="1" customWidth="1"/>
    <col min="13580" max="13580" width="50.25" style="6" customWidth="1"/>
    <col min="13581" max="13581" width="30.625" style="6" customWidth="1"/>
    <col min="13582" max="13582" width="4.375" style="6" customWidth="1"/>
    <col min="13583" max="13583" width="3.25" style="6" customWidth="1"/>
    <col min="13584" max="13824" width="8.875" style="6"/>
    <col min="13825" max="13825" width="13.125" style="6" customWidth="1"/>
    <col min="13826" max="13826" width="10.375" style="6" customWidth="1"/>
    <col min="13827" max="13827" width="9.125" style="6" customWidth="1"/>
    <col min="13828" max="13828" width="10.125" style="6" customWidth="1"/>
    <col min="13829" max="13829" width="14.375" style="6" bestFit="1" customWidth="1"/>
    <col min="13830" max="13830" width="8.25" style="6" customWidth="1"/>
    <col min="13831" max="13833" width="9.75" style="6" customWidth="1"/>
    <col min="13834" max="13835" width="10.625" style="6" bestFit="1" customWidth="1"/>
    <col min="13836" max="13836" width="50.25" style="6" customWidth="1"/>
    <col min="13837" max="13837" width="30.625" style="6" customWidth="1"/>
    <col min="13838" max="13838" width="4.375" style="6" customWidth="1"/>
    <col min="13839" max="13839" width="3.25" style="6" customWidth="1"/>
    <col min="13840" max="14080" width="8.875" style="6"/>
    <col min="14081" max="14081" width="13.125" style="6" customWidth="1"/>
    <col min="14082" max="14082" width="10.375" style="6" customWidth="1"/>
    <col min="14083" max="14083" width="9.125" style="6" customWidth="1"/>
    <col min="14084" max="14084" width="10.125" style="6" customWidth="1"/>
    <col min="14085" max="14085" width="14.375" style="6" bestFit="1" customWidth="1"/>
    <col min="14086" max="14086" width="8.25" style="6" customWidth="1"/>
    <col min="14087" max="14089" width="9.75" style="6" customWidth="1"/>
    <col min="14090" max="14091" width="10.625" style="6" bestFit="1" customWidth="1"/>
    <col min="14092" max="14092" width="50.25" style="6" customWidth="1"/>
    <col min="14093" max="14093" width="30.625" style="6" customWidth="1"/>
    <col min="14094" max="14094" width="4.375" style="6" customWidth="1"/>
    <col min="14095" max="14095" width="3.25" style="6" customWidth="1"/>
    <col min="14096" max="14336" width="8.875" style="6"/>
    <col min="14337" max="14337" width="13.125" style="6" customWidth="1"/>
    <col min="14338" max="14338" width="10.375" style="6" customWidth="1"/>
    <col min="14339" max="14339" width="9.125" style="6" customWidth="1"/>
    <col min="14340" max="14340" width="10.125" style="6" customWidth="1"/>
    <col min="14341" max="14341" width="14.375" style="6" bestFit="1" customWidth="1"/>
    <col min="14342" max="14342" width="8.25" style="6" customWidth="1"/>
    <col min="14343" max="14345" width="9.75" style="6" customWidth="1"/>
    <col min="14346" max="14347" width="10.625" style="6" bestFit="1" customWidth="1"/>
    <col min="14348" max="14348" width="50.25" style="6" customWidth="1"/>
    <col min="14349" max="14349" width="30.625" style="6" customWidth="1"/>
    <col min="14350" max="14350" width="4.375" style="6" customWidth="1"/>
    <col min="14351" max="14351" width="3.25" style="6" customWidth="1"/>
    <col min="14352" max="14592" width="8.875" style="6"/>
    <col min="14593" max="14593" width="13.125" style="6" customWidth="1"/>
    <col min="14594" max="14594" width="10.375" style="6" customWidth="1"/>
    <col min="14595" max="14595" width="9.125" style="6" customWidth="1"/>
    <col min="14596" max="14596" width="10.125" style="6" customWidth="1"/>
    <col min="14597" max="14597" width="14.375" style="6" bestFit="1" customWidth="1"/>
    <col min="14598" max="14598" width="8.25" style="6" customWidth="1"/>
    <col min="14599" max="14601" width="9.75" style="6" customWidth="1"/>
    <col min="14602" max="14603" width="10.625" style="6" bestFit="1" customWidth="1"/>
    <col min="14604" max="14604" width="50.25" style="6" customWidth="1"/>
    <col min="14605" max="14605" width="30.625" style="6" customWidth="1"/>
    <col min="14606" max="14606" width="4.375" style="6" customWidth="1"/>
    <col min="14607" max="14607" width="3.25" style="6" customWidth="1"/>
    <col min="14608" max="14848" width="8.875" style="6"/>
    <col min="14849" max="14849" width="13.125" style="6" customWidth="1"/>
    <col min="14850" max="14850" width="10.375" style="6" customWidth="1"/>
    <col min="14851" max="14851" width="9.125" style="6" customWidth="1"/>
    <col min="14852" max="14852" width="10.125" style="6" customWidth="1"/>
    <col min="14853" max="14853" width="14.375" style="6" bestFit="1" customWidth="1"/>
    <col min="14854" max="14854" width="8.25" style="6" customWidth="1"/>
    <col min="14855" max="14857" width="9.75" style="6" customWidth="1"/>
    <col min="14858" max="14859" width="10.625" style="6" bestFit="1" customWidth="1"/>
    <col min="14860" max="14860" width="50.25" style="6" customWidth="1"/>
    <col min="14861" max="14861" width="30.625" style="6" customWidth="1"/>
    <col min="14862" max="14862" width="4.375" style="6" customWidth="1"/>
    <col min="14863" max="14863" width="3.25" style="6" customWidth="1"/>
    <col min="14864" max="15104" width="8.875" style="6"/>
    <col min="15105" max="15105" width="13.125" style="6" customWidth="1"/>
    <col min="15106" max="15106" width="10.375" style="6" customWidth="1"/>
    <col min="15107" max="15107" width="9.125" style="6" customWidth="1"/>
    <col min="15108" max="15108" width="10.125" style="6" customWidth="1"/>
    <col min="15109" max="15109" width="14.375" style="6" bestFit="1" customWidth="1"/>
    <col min="15110" max="15110" width="8.25" style="6" customWidth="1"/>
    <col min="15111" max="15113" width="9.75" style="6" customWidth="1"/>
    <col min="15114" max="15115" width="10.625" style="6" bestFit="1" customWidth="1"/>
    <col min="15116" max="15116" width="50.25" style="6" customWidth="1"/>
    <col min="15117" max="15117" width="30.625" style="6" customWidth="1"/>
    <col min="15118" max="15118" width="4.375" style="6" customWidth="1"/>
    <col min="15119" max="15119" width="3.25" style="6" customWidth="1"/>
    <col min="15120" max="15360" width="8.875" style="6"/>
    <col min="15361" max="15361" width="13.125" style="6" customWidth="1"/>
    <col min="15362" max="15362" width="10.375" style="6" customWidth="1"/>
    <col min="15363" max="15363" width="9.125" style="6" customWidth="1"/>
    <col min="15364" max="15364" width="10.125" style="6" customWidth="1"/>
    <col min="15365" max="15365" width="14.375" style="6" bestFit="1" customWidth="1"/>
    <col min="15366" max="15366" width="8.25" style="6" customWidth="1"/>
    <col min="15367" max="15369" width="9.75" style="6" customWidth="1"/>
    <col min="15370" max="15371" width="10.625" style="6" bestFit="1" customWidth="1"/>
    <col min="15372" max="15372" width="50.25" style="6" customWidth="1"/>
    <col min="15373" max="15373" width="30.625" style="6" customWidth="1"/>
    <col min="15374" max="15374" width="4.375" style="6" customWidth="1"/>
    <col min="15375" max="15375" width="3.25" style="6" customWidth="1"/>
    <col min="15376" max="15616" width="8.875" style="6"/>
    <col min="15617" max="15617" width="13.125" style="6" customWidth="1"/>
    <col min="15618" max="15618" width="10.375" style="6" customWidth="1"/>
    <col min="15619" max="15619" width="9.125" style="6" customWidth="1"/>
    <col min="15620" max="15620" width="10.125" style="6" customWidth="1"/>
    <col min="15621" max="15621" width="14.375" style="6" bestFit="1" customWidth="1"/>
    <col min="15622" max="15622" width="8.25" style="6" customWidth="1"/>
    <col min="15623" max="15625" width="9.75" style="6" customWidth="1"/>
    <col min="15626" max="15627" width="10.625" style="6" bestFit="1" customWidth="1"/>
    <col min="15628" max="15628" width="50.25" style="6" customWidth="1"/>
    <col min="15629" max="15629" width="30.625" style="6" customWidth="1"/>
    <col min="15630" max="15630" width="4.375" style="6" customWidth="1"/>
    <col min="15631" max="15631" width="3.25" style="6" customWidth="1"/>
    <col min="15632" max="15872" width="8.875" style="6"/>
    <col min="15873" max="15873" width="13.125" style="6" customWidth="1"/>
    <col min="15874" max="15874" width="10.375" style="6" customWidth="1"/>
    <col min="15875" max="15875" width="9.125" style="6" customWidth="1"/>
    <col min="15876" max="15876" width="10.125" style="6" customWidth="1"/>
    <col min="15877" max="15877" width="14.375" style="6" bestFit="1" customWidth="1"/>
    <col min="15878" max="15878" width="8.25" style="6" customWidth="1"/>
    <col min="15879" max="15881" width="9.75" style="6" customWidth="1"/>
    <col min="15882" max="15883" width="10.625" style="6" bestFit="1" customWidth="1"/>
    <col min="15884" max="15884" width="50.25" style="6" customWidth="1"/>
    <col min="15885" max="15885" width="30.625" style="6" customWidth="1"/>
    <col min="15886" max="15886" width="4.375" style="6" customWidth="1"/>
    <col min="15887" max="15887" width="3.25" style="6" customWidth="1"/>
    <col min="15888" max="16128" width="8.875" style="6"/>
    <col min="16129" max="16129" width="13.125" style="6" customWidth="1"/>
    <col min="16130" max="16130" width="10.375" style="6" customWidth="1"/>
    <col min="16131" max="16131" width="9.125" style="6" customWidth="1"/>
    <col min="16132" max="16132" width="10.125" style="6" customWidth="1"/>
    <col min="16133" max="16133" width="14.375" style="6" bestFit="1" customWidth="1"/>
    <col min="16134" max="16134" width="8.25" style="6" customWidth="1"/>
    <col min="16135" max="16137" width="9.75" style="6" customWidth="1"/>
    <col min="16138" max="16139" width="10.625" style="6" bestFit="1" customWidth="1"/>
    <col min="16140" max="16140" width="50.25" style="6" customWidth="1"/>
    <col min="16141" max="16141" width="30.625" style="6" customWidth="1"/>
    <col min="16142" max="16142" width="4.375" style="6" customWidth="1"/>
    <col min="16143" max="16143" width="3.25" style="6" customWidth="1"/>
    <col min="16144" max="16384" width="8.875" style="6"/>
  </cols>
  <sheetData>
    <row r="1" spans="1:24" ht="27.75">
      <c r="A1" s="3"/>
      <c r="B1" s="4"/>
      <c r="C1" s="5" t="s">
        <v>97</v>
      </c>
      <c r="E1" s="7" t="s">
        <v>98</v>
      </c>
      <c r="F1" s="5" t="s">
        <v>99</v>
      </c>
      <c r="G1" s="4"/>
      <c r="H1" s="4"/>
      <c r="I1" s="4"/>
      <c r="J1" s="4"/>
      <c r="K1" s="4"/>
      <c r="L1" s="4"/>
      <c r="M1" s="4"/>
      <c r="N1" s="4"/>
      <c r="O1" s="4"/>
    </row>
    <row r="2" spans="1:24" ht="27.75">
      <c r="A2" s="884" t="s">
        <v>100</v>
      </c>
      <c r="B2" s="884"/>
      <c r="C2" s="884"/>
      <c r="D2" s="884"/>
      <c r="E2" s="884"/>
      <c r="F2" s="884"/>
      <c r="G2" s="884"/>
      <c r="H2" s="884"/>
      <c r="I2" s="884"/>
      <c r="J2" s="884"/>
      <c r="K2" s="884"/>
      <c r="L2" s="884"/>
      <c r="M2" s="884"/>
      <c r="N2" s="884"/>
      <c r="O2" s="884"/>
    </row>
    <row r="3" spans="1:24" ht="16.149999999999999" customHeight="1">
      <c r="A3" s="885" t="s">
        <v>101</v>
      </c>
      <c r="B3" s="887" t="s">
        <v>102</v>
      </c>
      <c r="C3" s="8"/>
      <c r="D3" s="887" t="s">
        <v>103</v>
      </c>
      <c r="E3" s="889"/>
      <c r="F3" s="890" t="s">
        <v>104</v>
      </c>
      <c r="G3" s="891"/>
      <c r="H3" s="891"/>
      <c r="I3" s="890" t="s">
        <v>105</v>
      </c>
      <c r="J3" s="891"/>
      <c r="K3" s="891"/>
      <c r="L3" s="892" t="s">
        <v>106</v>
      </c>
      <c r="M3" s="887" t="s">
        <v>107</v>
      </c>
      <c r="N3" s="894" t="s">
        <v>108</v>
      </c>
      <c r="O3" s="887" t="s">
        <v>109</v>
      </c>
    </row>
    <row r="4" spans="1:24" ht="66.75" customHeight="1" thickBot="1">
      <c r="A4" s="886"/>
      <c r="B4" s="888"/>
      <c r="C4" s="9" t="s">
        <v>110</v>
      </c>
      <c r="D4" s="10" t="s">
        <v>111</v>
      </c>
      <c r="E4" s="11" t="s">
        <v>112</v>
      </c>
      <c r="F4" s="12" t="s">
        <v>113</v>
      </c>
      <c r="G4" s="13" t="s">
        <v>114</v>
      </c>
      <c r="H4" s="14" t="s">
        <v>115</v>
      </c>
      <c r="I4" s="12" t="s">
        <v>116</v>
      </c>
      <c r="J4" s="12" t="s">
        <v>117</v>
      </c>
      <c r="K4" s="14" t="s">
        <v>115</v>
      </c>
      <c r="L4" s="893"/>
      <c r="M4" s="888"/>
      <c r="N4" s="895"/>
      <c r="O4" s="888"/>
      <c r="P4" s="15" t="s">
        <v>118</v>
      </c>
      <c r="Q4" s="15" t="s">
        <v>119</v>
      </c>
      <c r="R4" s="15" t="s">
        <v>120</v>
      </c>
      <c r="S4" s="15" t="s">
        <v>121</v>
      </c>
      <c r="T4" s="15"/>
      <c r="U4" s="16"/>
      <c r="V4" s="17" t="s">
        <v>122</v>
      </c>
      <c r="W4" s="16"/>
      <c r="X4" s="17" t="s">
        <v>123</v>
      </c>
    </row>
    <row r="5" spans="1:24" ht="41.25" customHeight="1">
      <c r="A5" s="18"/>
      <c r="B5" s="19" t="s">
        <v>124</v>
      </c>
      <c r="C5" s="20" t="e">
        <f>IF(B5="","",VLOOKUP(B5,#REF!,5,FALSE))</f>
        <v>#REF!</v>
      </c>
      <c r="D5" s="21" t="s">
        <v>125</v>
      </c>
      <c r="E5" s="22" t="e">
        <f>IF(D5="","",VLOOKUP(D5,#REF!,7,FALSE))</f>
        <v>#REF!</v>
      </c>
      <c r="F5" s="23" t="e">
        <f t="array" aca="1" ref="F5" ca="1">IF(P5=0,VLOOKUP(D5,#REF!,5,FALSE),INDIRECT(Q5))</f>
        <v>#REF!</v>
      </c>
      <c r="G5" s="24" t="e">
        <f t="array" aca="1" ref="G5" ca="1">IF(R5=0,VLOOKUP(E5,#REF!,5,FALSE),INDIRECT(S5))</f>
        <v>#REF!</v>
      </c>
      <c r="H5" s="25" t="e">
        <f ca="1">G5/VLOOKUP(E5,#REF!,2,FALSE)</f>
        <v>#REF!</v>
      </c>
      <c r="I5" s="20" t="e">
        <f t="shared" ref="I5:I14" ca="1" si="0">C5+F5</f>
        <v>#REF!</v>
      </c>
      <c r="J5" s="26" t="e">
        <f t="shared" ref="J5:J14" ca="1" si="1">G5+C5</f>
        <v>#REF!</v>
      </c>
      <c r="K5" s="27" t="e">
        <f ca="1">J5/VLOOKUP(E5,#REF!,2,FALSE)</f>
        <v>#REF!</v>
      </c>
      <c r="L5" s="28" t="s">
        <v>126</v>
      </c>
      <c r="M5" s="29"/>
      <c r="N5" s="29">
        <v>1</v>
      </c>
      <c r="O5" s="30" t="s">
        <v>127</v>
      </c>
      <c r="P5" s="31">
        <f>VLOOKUP(N5,排序!C$1:I$65536,7,0)</f>
        <v>0</v>
      </c>
      <c r="Q5" s="16" t="str">
        <f>IFERROR("I"&amp;(MATCH(D5&amp;"-"&amp;(P5-1),$V$5:$V$105,0))+4,"")</f>
        <v/>
      </c>
      <c r="R5" s="31">
        <f>VLOOKUP(N5,排序!C$1:Q$65536,14,0)</f>
        <v>0</v>
      </c>
      <c r="S5" s="16" t="str">
        <f>IFERROR("J"&amp;(MATCH(E5&amp;"-"&amp;(R5-1),$X$5:$X$105,0))+4,"")</f>
        <v/>
      </c>
      <c r="T5" s="16"/>
      <c r="U5" s="16" t="str">
        <f t="shared" ref="U5:U17" si="2">D5</f>
        <v>IJ29</v>
      </c>
      <c r="V5" s="16" t="str">
        <f t="shared" ref="V5:V12" si="3">D5&amp;"-"&amp;(P5)</f>
        <v>IJ29-0</v>
      </c>
      <c r="W5" s="16" t="e">
        <f t="shared" ref="W5:W19" si="4">E5</f>
        <v>#REF!</v>
      </c>
      <c r="X5" s="16" t="e">
        <f t="shared" ref="X5:X19" si="5">E5&amp;"-"&amp;(R5)</f>
        <v>#REF!</v>
      </c>
    </row>
    <row r="6" spans="1:24" ht="39.75" customHeight="1">
      <c r="A6" s="32" t="e">
        <f>IF(B5="","",VLOOKUP(B5,#REF!,7,FALSE))</f>
        <v>#REF!</v>
      </c>
      <c r="B6" s="33" t="s">
        <v>128</v>
      </c>
      <c r="C6" s="34" t="e">
        <f>IF(B6="","",VLOOKUP(B6,#REF!,5,FALSE))</f>
        <v>#REF!</v>
      </c>
      <c r="D6" s="33" t="s">
        <v>129</v>
      </c>
      <c r="E6" s="35" t="e">
        <f>IF(D6="","",VLOOKUP(D6,#REF!,7,FALSE))</f>
        <v>#REF!</v>
      </c>
      <c r="F6" s="36" t="e">
        <f t="array" aca="1" ref="F6" ca="1">IF(P6=0,VLOOKUP(D6,#REF!,5,FALSE),INDIRECT(Q6))</f>
        <v>#REF!</v>
      </c>
      <c r="G6" s="37" t="e">
        <f t="array" aca="1" ref="G6" ca="1">IF(R6=0,VLOOKUP(E6,#REF!,5,FALSE),INDIRECT(S6))</f>
        <v>#REF!</v>
      </c>
      <c r="H6" s="38" t="e">
        <f ca="1">G6/VLOOKUP(E6,#REF!,2,FALSE)</f>
        <v>#REF!</v>
      </c>
      <c r="I6" s="34" t="e">
        <f t="shared" ca="1" si="0"/>
        <v>#REF!</v>
      </c>
      <c r="J6" s="39" t="e">
        <f t="shared" ca="1" si="1"/>
        <v>#REF!</v>
      </c>
      <c r="K6" s="40" t="e">
        <f ca="1">J6/VLOOKUP(E6,#REF!,2,FALSE)</f>
        <v>#REF!</v>
      </c>
      <c r="L6" s="41" t="s">
        <v>130</v>
      </c>
      <c r="M6" s="42"/>
      <c r="N6" s="43">
        <v>2</v>
      </c>
      <c r="O6" s="44" t="s">
        <v>127</v>
      </c>
      <c r="P6" s="31">
        <f>VLOOKUP(N6,排序!C$1:I$65536,7,0)</f>
        <v>0</v>
      </c>
      <c r="Q6" s="16" t="str">
        <f t="shared" ref="Q6:Q24" si="6">IFERROR("I"&amp;(MATCH(D6&amp;"-"&amp;(P6-1),$V$5:$V$31,0))+4,"")</f>
        <v/>
      </c>
      <c r="R6" s="31">
        <f>VLOOKUP(N6,排序!C$1:Q$65536,14,0)</f>
        <v>1</v>
      </c>
      <c r="S6" s="16" t="str">
        <f t="shared" ref="S6:S28" si="7">IFERROR("J"&amp;(MATCH(E6&amp;"-"&amp;(R6-1),$X$5:$X$31,0))+4,"")</f>
        <v/>
      </c>
      <c r="T6" s="16"/>
      <c r="U6" s="16" t="str">
        <f t="shared" si="2"/>
        <v>IA30</v>
      </c>
      <c r="V6" s="16" t="str">
        <f t="shared" si="3"/>
        <v>IA30-0</v>
      </c>
      <c r="W6" s="16" t="e">
        <f t="shared" si="4"/>
        <v>#REF!</v>
      </c>
      <c r="X6" s="16" t="e">
        <f t="shared" si="5"/>
        <v>#REF!</v>
      </c>
    </row>
    <row r="7" spans="1:24" ht="39" customHeight="1">
      <c r="A7" s="45"/>
      <c r="B7" s="33" t="s">
        <v>131</v>
      </c>
      <c r="C7" s="34" t="e">
        <f>IF(B7="","",VLOOKUP(B7,#REF!,5,FALSE))</f>
        <v>#REF!</v>
      </c>
      <c r="D7" s="33" t="s">
        <v>132</v>
      </c>
      <c r="E7" s="35" t="e">
        <f>IF(D7="","",VLOOKUP(D7,#REF!,7,FALSE))</f>
        <v>#REF!</v>
      </c>
      <c r="F7" s="36" t="e">
        <f t="array" aca="1" ref="F7" ca="1">IF(P7=0,VLOOKUP(D7,#REF!,5,FALSE),INDIRECT(Q7))</f>
        <v>#REF!</v>
      </c>
      <c r="G7" s="37" t="e">
        <f t="array" aca="1" ref="G7" ca="1">IF(R7=0,VLOOKUP(E7,#REF!,5,FALSE),INDIRECT(S7))</f>
        <v>#REF!</v>
      </c>
      <c r="H7" s="38" t="e">
        <f ca="1">G7/VLOOKUP(E7,#REF!,2,FALSE)</f>
        <v>#REF!</v>
      </c>
      <c r="I7" s="34" t="e">
        <f t="shared" ca="1" si="0"/>
        <v>#REF!</v>
      </c>
      <c r="J7" s="39" t="e">
        <f t="shared" ca="1" si="1"/>
        <v>#REF!</v>
      </c>
      <c r="K7" s="40" t="e">
        <f ca="1">J7/VLOOKUP(E7,#REF!,2,FALSE)</f>
        <v>#REF!</v>
      </c>
      <c r="L7" s="46" t="s">
        <v>133</v>
      </c>
      <c r="M7" s="47"/>
      <c r="N7" s="48">
        <v>3</v>
      </c>
      <c r="O7" s="49" t="s">
        <v>127</v>
      </c>
      <c r="P7" s="31">
        <f>VLOOKUP(N7,排序!C$1:I$65536,7,0)</f>
        <v>0</v>
      </c>
      <c r="Q7" s="16" t="str">
        <f t="shared" si="6"/>
        <v/>
      </c>
      <c r="R7" s="31">
        <f>VLOOKUP(N7,排序!C$1:Q$65536,14,0)</f>
        <v>2</v>
      </c>
      <c r="S7" s="16" t="str">
        <f t="shared" si="7"/>
        <v/>
      </c>
      <c r="T7" s="16"/>
      <c r="U7" s="16" t="str">
        <f t="shared" si="2"/>
        <v>9K26</v>
      </c>
      <c r="V7" s="16" t="str">
        <f t="shared" si="3"/>
        <v>9K26-0</v>
      </c>
      <c r="W7" s="16" t="e">
        <f t="shared" si="4"/>
        <v>#REF!</v>
      </c>
      <c r="X7" s="16" t="e">
        <f t="shared" si="5"/>
        <v>#REF!</v>
      </c>
    </row>
    <row r="8" spans="1:24" ht="39" customHeight="1">
      <c r="A8" s="45"/>
      <c r="B8" s="33" t="s">
        <v>134</v>
      </c>
      <c r="C8" s="34" t="e">
        <f>IF(B8="","",VLOOKUP(B8,#REF!,5,FALSE))*5380/(5380+6913.6)</f>
        <v>#REF!</v>
      </c>
      <c r="D8" s="33" t="s">
        <v>135</v>
      </c>
      <c r="E8" s="35" t="e">
        <f>IF(D8="","",VLOOKUP(D8,#REF!,7,FALSE))</f>
        <v>#REF!</v>
      </c>
      <c r="F8" s="36" t="e">
        <f t="array" aca="1" ref="F8" ca="1">IF(P8=0,VLOOKUP(D8,#REF!,5,FALSE),INDIRECT(Q8))</f>
        <v>#REF!</v>
      </c>
      <c r="G8" s="37" t="e">
        <f t="array" aca="1" ref="G8" ca="1">IF(R8=0,VLOOKUP(E8,#REF!,5,FALSE),INDIRECT(S8))</f>
        <v>#REF!</v>
      </c>
      <c r="H8" s="38" t="e">
        <f ca="1">G8/VLOOKUP(E8,#REF!,2,FALSE)</f>
        <v>#REF!</v>
      </c>
      <c r="I8" s="34" t="e">
        <f t="shared" ca="1" si="0"/>
        <v>#REF!</v>
      </c>
      <c r="J8" s="39" t="e">
        <f t="shared" ca="1" si="1"/>
        <v>#REF!</v>
      </c>
      <c r="K8" s="40" t="e">
        <f ca="1">J8/VLOOKUP(E8,#REF!,2,FALSE)</f>
        <v>#REF!</v>
      </c>
      <c r="L8" s="46" t="s">
        <v>136</v>
      </c>
      <c r="M8" s="50" t="s">
        <v>137</v>
      </c>
      <c r="N8" s="48">
        <v>4</v>
      </c>
      <c r="O8" s="49" t="s">
        <v>127</v>
      </c>
      <c r="P8" s="31">
        <f>VLOOKUP(N8,排序!C$1:I$65536,7,0)</f>
        <v>0</v>
      </c>
      <c r="Q8" s="16" t="str">
        <f t="shared" si="6"/>
        <v/>
      </c>
      <c r="R8" s="31">
        <f>VLOOKUP(N8,排序!C$1:Q$65536,14,0)</f>
        <v>3</v>
      </c>
      <c r="S8" s="16" t="str">
        <f t="shared" si="7"/>
        <v/>
      </c>
      <c r="T8" s="16"/>
      <c r="U8" s="16" t="str">
        <f t="shared" si="2"/>
        <v>IH20</v>
      </c>
      <c r="V8" s="16" t="str">
        <f t="shared" si="3"/>
        <v>IH20-0</v>
      </c>
      <c r="W8" s="16" t="e">
        <f t="shared" si="4"/>
        <v>#REF!</v>
      </c>
      <c r="X8" s="16" t="e">
        <f t="shared" si="5"/>
        <v>#REF!</v>
      </c>
    </row>
    <row r="9" spans="1:24" ht="36.75" customHeight="1">
      <c r="A9" s="45"/>
      <c r="B9" s="33" t="s">
        <v>138</v>
      </c>
      <c r="C9" s="34" t="e">
        <f>IF(B9="","",VLOOKUP(B9,#REF!,5,FALSE))*9359/(5600+9359)</f>
        <v>#REF!</v>
      </c>
      <c r="D9" s="33" t="s">
        <v>134</v>
      </c>
      <c r="E9" s="35" t="e">
        <f>IF(D9="","",VLOOKUP(D9,#REF!,7,FALSE))</f>
        <v>#REF!</v>
      </c>
      <c r="F9" s="36" t="e">
        <f ca="1">IF(P9=0,VLOOKUP(D9,#REF!,5,FALSE),INDIRECT(Q9))-C8</f>
        <v>#REF!</v>
      </c>
      <c r="G9" s="37" t="e">
        <f ca="1">IF(R9=0,VLOOKUP(E9,#REF!,5,FALSE),INDIRECT(S9))-C8</f>
        <v>#REF!</v>
      </c>
      <c r="H9" s="38" t="e">
        <f ca="1">G9/VLOOKUP(E9,#REF!,2,FALSE)</f>
        <v>#REF!</v>
      </c>
      <c r="I9" s="34" t="e">
        <f t="shared" ca="1" si="0"/>
        <v>#REF!</v>
      </c>
      <c r="J9" s="39" t="e">
        <f t="shared" ca="1" si="1"/>
        <v>#REF!</v>
      </c>
      <c r="K9" s="40" t="e">
        <f ca="1">J9/VLOOKUP(E9,#REF!,2,FALSE)</f>
        <v>#REF!</v>
      </c>
      <c r="L9" s="51" t="s">
        <v>139</v>
      </c>
      <c r="M9" s="50" t="s">
        <v>140</v>
      </c>
      <c r="N9" s="48">
        <v>5</v>
      </c>
      <c r="O9" s="49" t="s">
        <v>127</v>
      </c>
      <c r="P9" s="31">
        <f>VLOOKUP(N9,排序!C$1:I$65536,7,0)</f>
        <v>0</v>
      </c>
      <c r="Q9" s="16" t="str">
        <f t="shared" si="6"/>
        <v/>
      </c>
      <c r="R9" s="31">
        <f>VLOOKUP(N9,排序!C$1:Q$65536,14,0)</f>
        <v>4</v>
      </c>
      <c r="S9" s="16" t="str">
        <f t="shared" si="7"/>
        <v/>
      </c>
      <c r="T9" s="16"/>
      <c r="U9" s="16" t="str">
        <f t="shared" si="2"/>
        <v>IH27</v>
      </c>
      <c r="V9" s="16" t="str">
        <f t="shared" si="3"/>
        <v>IH27-0</v>
      </c>
      <c r="W9" s="16" t="e">
        <f t="shared" si="4"/>
        <v>#REF!</v>
      </c>
      <c r="X9" s="16" t="e">
        <f t="shared" si="5"/>
        <v>#REF!</v>
      </c>
    </row>
    <row r="10" spans="1:24" ht="35.450000000000003" customHeight="1">
      <c r="A10" s="45" t="e">
        <f>IF(A6="","",VLOOKUP(A6,#REF!,5,FALSE)&amp;"MW")</f>
        <v>#REF!</v>
      </c>
      <c r="B10" s="33" t="s">
        <v>141</v>
      </c>
      <c r="C10" s="34" t="e">
        <f>IF(B10="","",VLOOKUP(B10,#REF!,5,FALSE))*2794.4/(2794.4+10166)</f>
        <v>#REF!</v>
      </c>
      <c r="D10" s="52" t="s">
        <v>142</v>
      </c>
      <c r="E10" s="35" t="e">
        <f>IF(D10="","",VLOOKUP(D10,#REF!,7,FALSE))</f>
        <v>#REF!</v>
      </c>
      <c r="F10" s="36" t="e">
        <f t="array" aca="1" ref="F10" ca="1">IF(P10=0,VLOOKUP(D10,#REF!,5,FALSE),INDIRECT(Q10))</f>
        <v>#REF!</v>
      </c>
      <c r="G10" s="37" t="e">
        <f t="array" aca="1" ref="G10" ca="1">IF(R10=0,VLOOKUP(E10,#REF!,5,FALSE),INDIRECT(S10))</f>
        <v>#REF!</v>
      </c>
      <c r="H10" s="38" t="e">
        <f ca="1">G10/VLOOKUP(E10,#REF!,2,FALSE)</f>
        <v>#REF!</v>
      </c>
      <c r="I10" s="34" t="e">
        <f t="shared" ca="1" si="0"/>
        <v>#REF!</v>
      </c>
      <c r="J10" s="39" t="e">
        <f t="shared" ca="1" si="1"/>
        <v>#REF!</v>
      </c>
      <c r="K10" s="40" t="e">
        <f ca="1">J10/VLOOKUP(E10,#REF!,2,FALSE)</f>
        <v>#REF!</v>
      </c>
      <c r="L10" s="51" t="s">
        <v>143</v>
      </c>
      <c r="M10" s="43"/>
      <c r="N10" s="48">
        <v>6</v>
      </c>
      <c r="O10" s="52" t="s">
        <v>127</v>
      </c>
      <c r="P10" s="31">
        <f>VLOOKUP(N10,排序!C$1:I$65536,7,0)</f>
        <v>0</v>
      </c>
      <c r="Q10" s="16" t="str">
        <f t="shared" si="6"/>
        <v/>
      </c>
      <c r="R10" s="31">
        <f>VLOOKUP(N10,排序!C$1:Q$65536,14,0)</f>
        <v>4</v>
      </c>
      <c r="S10" s="16" t="str">
        <f t="shared" si="7"/>
        <v/>
      </c>
      <c r="T10" s="16"/>
      <c r="U10" s="16" t="str">
        <f t="shared" si="2"/>
        <v>IT20</v>
      </c>
      <c r="V10" s="16" t="str">
        <f t="shared" si="3"/>
        <v>IT20-0</v>
      </c>
      <c r="W10" s="16" t="e">
        <f t="shared" si="4"/>
        <v>#REF!</v>
      </c>
      <c r="X10" s="16" t="e">
        <f t="shared" si="5"/>
        <v>#REF!</v>
      </c>
    </row>
    <row r="11" spans="1:24" ht="36" customHeight="1">
      <c r="A11" s="45" t="e">
        <f>IF(B5="","",VLOOKUP(B5,#REF!,9,FALSE)&amp;"kV")</f>
        <v>#REF!</v>
      </c>
      <c r="B11" s="33"/>
      <c r="C11" s="34" t="e">
        <f>IF(B10="","",VLOOKUP(B10,#REF!,5,FALSE))-C10</f>
        <v>#REF!</v>
      </c>
      <c r="D11" s="52" t="s">
        <v>144</v>
      </c>
      <c r="E11" s="35" t="e">
        <f>IF(D11="","",VLOOKUP(D11,#REF!,7,FALSE))</f>
        <v>#REF!</v>
      </c>
      <c r="F11" s="36" t="e">
        <f t="array" aca="1" ref="F11" ca="1">IF(P11=0,VLOOKUP(D11,#REF!,5,FALSE),INDIRECT(Q11))-C9</f>
        <v>#REF!</v>
      </c>
      <c r="G11" s="37" t="e">
        <f t="array" aca="1" ref="G11" ca="1">IF(R11=0,VLOOKUP(E11,#REF!,5,FALSE),INDIRECT(S11))-C9</f>
        <v>#REF!</v>
      </c>
      <c r="H11" s="38" t="e">
        <f ca="1">G11/VLOOKUP(E11,#REF!,2,FALSE)</f>
        <v>#REF!</v>
      </c>
      <c r="I11" s="34" t="e">
        <f t="shared" ca="1" si="0"/>
        <v>#REF!</v>
      </c>
      <c r="J11" s="39" t="e">
        <f t="shared" ca="1" si="1"/>
        <v>#REF!</v>
      </c>
      <c r="K11" s="40" t="e">
        <f ca="1">J11/VLOOKUP(E11,#REF!,2,FALSE)</f>
        <v>#REF!</v>
      </c>
      <c r="L11" s="46" t="s">
        <v>145</v>
      </c>
      <c r="M11" s="43"/>
      <c r="N11" s="48">
        <v>7</v>
      </c>
      <c r="O11" s="52" t="s">
        <v>127</v>
      </c>
      <c r="P11" s="31">
        <f>VLOOKUP(N11,排序!C$1:I$65536,7,0)</f>
        <v>0</v>
      </c>
      <c r="Q11" s="16" t="str">
        <f t="shared" si="6"/>
        <v/>
      </c>
      <c r="R11" s="31">
        <f>VLOOKUP(N11,排序!C$1:Q$65536,14,0)</f>
        <v>4</v>
      </c>
      <c r="S11" s="16" t="str">
        <f t="shared" si="7"/>
        <v/>
      </c>
      <c r="T11" s="16"/>
      <c r="U11" s="16" t="str">
        <f t="shared" si="2"/>
        <v>9K23</v>
      </c>
      <c r="V11" s="16" t="str">
        <f t="shared" si="3"/>
        <v>9K23-0</v>
      </c>
      <c r="W11" s="16" t="e">
        <f t="shared" si="4"/>
        <v>#REF!</v>
      </c>
      <c r="X11" s="16" t="e">
        <f t="shared" si="5"/>
        <v>#REF!</v>
      </c>
    </row>
    <row r="12" spans="1:24" ht="36" customHeight="1">
      <c r="A12" s="45"/>
      <c r="B12" s="33" t="s">
        <v>146</v>
      </c>
      <c r="C12" s="34" t="e">
        <f>IF(B12="","",VLOOKUP(B12,#REF!,5,FALSE))*3999.8/(3999.8+4840)</f>
        <v>#REF!</v>
      </c>
      <c r="D12" s="52" t="s">
        <v>147</v>
      </c>
      <c r="E12" s="35" t="e">
        <f>IF(D12="","",VLOOKUP(D12,#REF!,7,FALSE))</f>
        <v>#REF!</v>
      </c>
      <c r="F12" s="36" t="e">
        <f ca="1">IF(P12=0,VLOOKUP(D12,#REF!,5,FALSE),INDIRECT(Q12))</f>
        <v>#REF!</v>
      </c>
      <c r="G12" s="37" t="e">
        <f t="array" aca="1" ref="G12" ca="1">IF(R12=0,VLOOKUP(E12,#REF!,5,FALSE),INDIRECT(S12))</f>
        <v>#REF!</v>
      </c>
      <c r="H12" s="38" t="e">
        <f ca="1">G12/VLOOKUP(E12,#REF!,2,FALSE)</f>
        <v>#REF!</v>
      </c>
      <c r="I12" s="34" t="e">
        <f t="shared" ca="1" si="0"/>
        <v>#REF!</v>
      </c>
      <c r="J12" s="39" t="e">
        <f t="shared" ca="1" si="1"/>
        <v>#REF!</v>
      </c>
      <c r="K12" s="40" t="e">
        <f ca="1">J12/VLOOKUP(E12,#REF!,2,FALSE)</f>
        <v>#REF!</v>
      </c>
      <c r="L12" s="46" t="s">
        <v>148</v>
      </c>
      <c r="M12" s="50" t="s">
        <v>149</v>
      </c>
      <c r="N12" s="48">
        <v>8</v>
      </c>
      <c r="O12" s="52" t="s">
        <v>127</v>
      </c>
      <c r="P12" s="31">
        <f>VLOOKUP(N12,排序!C$1:I$65536,7,0)</f>
        <v>0</v>
      </c>
      <c r="Q12" s="16" t="str">
        <f t="shared" si="6"/>
        <v/>
      </c>
      <c r="R12" s="31">
        <f>VLOOKUP(N12,排序!C$1:Q$65536,14,0)</f>
        <v>4</v>
      </c>
      <c r="S12" s="16" t="str">
        <f t="shared" si="7"/>
        <v/>
      </c>
      <c r="T12" s="16"/>
      <c r="U12" s="16" t="str">
        <f t="shared" si="2"/>
        <v>9K22</v>
      </c>
      <c r="V12" s="16" t="str">
        <f t="shared" si="3"/>
        <v>9K22-0</v>
      </c>
      <c r="W12" s="16" t="e">
        <f t="shared" si="4"/>
        <v>#REF!</v>
      </c>
      <c r="X12" s="16" t="e">
        <f t="shared" si="5"/>
        <v>#REF!</v>
      </c>
    </row>
    <row r="13" spans="1:24" ht="34.15" customHeight="1">
      <c r="A13" s="45"/>
      <c r="B13" s="33" t="s">
        <v>150</v>
      </c>
      <c r="C13" s="34" t="e">
        <f>IF(B13="","",VLOOKUP(B13,#REF!,5,FALSE))*4248/(3390+4248)</f>
        <v>#REF!</v>
      </c>
      <c r="D13" s="33" t="s">
        <v>151</v>
      </c>
      <c r="E13" s="35" t="e">
        <f>IF(D13="","",VLOOKUP(D13,#REF!,7,FALSE))</f>
        <v>#REF!</v>
      </c>
      <c r="F13" s="36" t="e">
        <f t="array" aca="1" ref="F13" ca="1">IF(P13=0,VLOOKUP(D13,#REF!,5,FALSE),INDIRECT(Q13))-C12</f>
        <v>#REF!</v>
      </c>
      <c r="G13" s="37" t="e">
        <f t="array" aca="1" ref="G13" ca="1">IF(R13=0,VLOOKUP(E13,#REF!,5,FALSE),INDIRECT(S13))-C12</f>
        <v>#REF!</v>
      </c>
      <c r="H13" s="38" t="e">
        <f ca="1">G13/VLOOKUP(E13,#REF!,2,FALSE)</f>
        <v>#REF!</v>
      </c>
      <c r="I13" s="34" t="e">
        <f t="shared" ca="1" si="0"/>
        <v>#REF!</v>
      </c>
      <c r="J13" s="39" t="e">
        <f t="shared" ca="1" si="1"/>
        <v>#REF!</v>
      </c>
      <c r="K13" s="40" t="e">
        <f ca="1">J13/VLOOKUP(E13,#REF!,2,FALSE)</f>
        <v>#REF!</v>
      </c>
      <c r="L13" s="51" t="s">
        <v>152</v>
      </c>
      <c r="M13" s="43"/>
      <c r="N13" s="52">
        <v>9</v>
      </c>
      <c r="O13" s="52" t="s">
        <v>127</v>
      </c>
      <c r="P13" s="31">
        <f>VLOOKUP(N13,排序!C$1:I$65536,7,0)</f>
        <v>0</v>
      </c>
      <c r="Q13" s="16" t="str">
        <f t="shared" si="6"/>
        <v/>
      </c>
      <c r="R13" s="31">
        <f>VLOOKUP(N13,排序!C$1:Q$65536,14,0)</f>
        <v>4</v>
      </c>
      <c r="S13" s="16" t="str">
        <f t="shared" si="7"/>
        <v/>
      </c>
      <c r="T13" s="16"/>
      <c r="U13" s="16" t="str">
        <f t="shared" si="2"/>
        <v>IH24</v>
      </c>
      <c r="V13" s="16" t="str">
        <f t="shared" ref="V13:V28" si="8">D13&amp;"-"&amp;(P13)</f>
        <v>IH24-0</v>
      </c>
      <c r="W13" s="16" t="e">
        <f t="shared" si="4"/>
        <v>#REF!</v>
      </c>
      <c r="X13" s="16" t="e">
        <f t="shared" si="5"/>
        <v>#REF!</v>
      </c>
    </row>
    <row r="14" spans="1:24" ht="38.450000000000003" customHeight="1">
      <c r="A14" s="53"/>
      <c r="B14" s="33"/>
      <c r="C14" s="54" t="e">
        <f>IF(B13="","",VLOOKUP(B13,#REF!,5,FALSE))-C13</f>
        <v>#REF!</v>
      </c>
      <c r="D14" s="33" t="s">
        <v>153</v>
      </c>
      <c r="E14" s="35" t="e">
        <f>IF(D14="","",VLOOKUP(D14,#REF!,7,FALSE))</f>
        <v>#REF!</v>
      </c>
      <c r="F14" s="36" t="e">
        <f t="array" aca="1" ref="F14" ca="1">IF(P14=0,VLOOKUP(D14,#REF!,5,FALSE),INDIRECT(Q14))</f>
        <v>#REF!</v>
      </c>
      <c r="G14" s="37" t="e">
        <f ca="1">IF(R14=0,VLOOKUP(E14,#REF!,5,FALSE),INDIRECT(S14))</f>
        <v>#REF!</v>
      </c>
      <c r="H14" s="38" t="e">
        <f ca="1">G14/VLOOKUP(E14,#REF!,2,FALSE)</f>
        <v>#REF!</v>
      </c>
      <c r="I14" s="34" t="e">
        <f t="shared" ca="1" si="0"/>
        <v>#REF!</v>
      </c>
      <c r="J14" s="39" t="e">
        <f t="shared" ca="1" si="1"/>
        <v>#REF!</v>
      </c>
      <c r="K14" s="40" t="e">
        <f ca="1">J14/VLOOKUP(E14,#REF!,2,FALSE)</f>
        <v>#REF!</v>
      </c>
      <c r="L14" s="46" t="s">
        <v>154</v>
      </c>
      <c r="M14" s="42"/>
      <c r="N14" s="43">
        <v>10</v>
      </c>
      <c r="O14" s="55" t="s">
        <v>127</v>
      </c>
      <c r="P14" s="31">
        <f>VLOOKUP(N14,排序!C$1:I$65536,7,0)</f>
        <v>0</v>
      </c>
      <c r="Q14" s="16" t="str">
        <f t="shared" si="6"/>
        <v/>
      </c>
      <c r="R14" s="31">
        <f>VLOOKUP(N14,排序!C$1:Q$65536,14,0)</f>
        <v>4</v>
      </c>
      <c r="S14" s="16" t="str">
        <f t="shared" si="7"/>
        <v/>
      </c>
      <c r="T14" s="16"/>
      <c r="U14" s="16" t="str">
        <f t="shared" si="2"/>
        <v>9K24</v>
      </c>
      <c r="V14" s="16" t="str">
        <f t="shared" si="8"/>
        <v>9K24-0</v>
      </c>
      <c r="W14" s="16" t="e">
        <f t="shared" si="4"/>
        <v>#REF!</v>
      </c>
      <c r="X14" s="16" t="e">
        <f t="shared" si="5"/>
        <v>#REF!</v>
      </c>
    </row>
    <row r="15" spans="1:24" ht="32.450000000000003" customHeight="1" thickBot="1">
      <c r="A15" s="56"/>
      <c r="B15" s="57"/>
      <c r="C15" s="58"/>
      <c r="D15" s="59"/>
      <c r="E15" s="59"/>
      <c r="F15" s="60"/>
      <c r="G15" s="61"/>
      <c r="H15" s="62"/>
      <c r="I15" s="58"/>
      <c r="J15" s="63"/>
      <c r="K15" s="64"/>
      <c r="L15" s="65"/>
      <c r="M15" s="66"/>
      <c r="N15" s="66"/>
      <c r="O15" s="67"/>
      <c r="P15" s="31" t="e">
        <f>VLOOKUP(N15,排序!C$1:I$65536,7,0)</f>
        <v>#N/A</v>
      </c>
      <c r="Q15" s="16" t="str">
        <f t="shared" si="6"/>
        <v/>
      </c>
      <c r="R15" s="31" t="e">
        <f>VLOOKUP(N15,排序!C$1:Q$65536,14,0)</f>
        <v>#N/A</v>
      </c>
      <c r="S15" s="16" t="str">
        <f t="shared" si="7"/>
        <v/>
      </c>
      <c r="T15" s="16"/>
      <c r="U15" s="16">
        <f t="shared" si="2"/>
        <v>0</v>
      </c>
      <c r="V15" s="16" t="e">
        <f t="shared" si="8"/>
        <v>#N/A</v>
      </c>
      <c r="W15" s="16">
        <f t="shared" si="4"/>
        <v>0</v>
      </c>
      <c r="X15" s="16" t="e">
        <f t="shared" si="5"/>
        <v>#N/A</v>
      </c>
    </row>
    <row r="16" spans="1:24" ht="42.75" customHeight="1">
      <c r="A16" s="68"/>
      <c r="B16" s="69" t="s">
        <v>155</v>
      </c>
      <c r="C16" s="20" t="e">
        <f>IF(B16="","",VLOOKUP(B16,#REF!,5,FALSE))</f>
        <v>#REF!</v>
      </c>
      <c r="D16" s="21" t="s">
        <v>156</v>
      </c>
      <c r="E16" s="22" t="e">
        <f>IF(D16="","",VLOOKUP(D16,#REF!,7,FALSE))</f>
        <v>#REF!</v>
      </c>
      <c r="F16" s="23" t="e">
        <f t="array" aca="1" ref="F16" ca="1">IF(P16=0,VLOOKUP(D16,#REF!,5,FALSE),INDIRECT(Q16))</f>
        <v>#REF!</v>
      </c>
      <c r="G16" s="24" t="e">
        <f t="array" aca="1" ref="G16" ca="1">IF(R16=0,VLOOKUP(E16,#REF!,5,FALSE),INDIRECT(S16))</f>
        <v>#REF!</v>
      </c>
      <c r="H16" s="25" t="e">
        <f ca="1">G16/VLOOKUP(E16,#REF!,2,FALSE)</f>
        <v>#REF!</v>
      </c>
      <c r="I16" s="20" t="e">
        <f t="shared" ref="I16:I24" ca="1" si="9">C16+F16</f>
        <v>#REF!</v>
      </c>
      <c r="J16" s="26" t="e">
        <f t="shared" ref="J16:J24" ca="1" si="10">G16+C16</f>
        <v>#REF!</v>
      </c>
      <c r="K16" s="27" t="e">
        <f ca="1">J16/VLOOKUP(E16,#REF!,2,FALSE)</f>
        <v>#REF!</v>
      </c>
      <c r="L16" s="70" t="s">
        <v>157</v>
      </c>
      <c r="M16" s="71"/>
      <c r="N16" s="72">
        <v>11</v>
      </c>
      <c r="O16" s="73" t="s">
        <v>127</v>
      </c>
      <c r="P16" s="31">
        <f>VLOOKUP(N16,排序!C$1:I$65536,7,0)</f>
        <v>0</v>
      </c>
      <c r="Q16" s="16" t="str">
        <f t="shared" si="6"/>
        <v/>
      </c>
      <c r="R16" s="31">
        <f>VLOOKUP(N16,排序!C$1:Q$65536,14,0)</f>
        <v>4</v>
      </c>
      <c r="S16" s="16" t="str">
        <f t="shared" si="7"/>
        <v/>
      </c>
      <c r="T16" s="16"/>
      <c r="U16" s="16" t="str">
        <f t="shared" si="2"/>
        <v>IA25</v>
      </c>
      <c r="V16" s="16" t="str">
        <f t="shared" si="8"/>
        <v>IA25-0</v>
      </c>
      <c r="W16" s="16" t="e">
        <f t="shared" si="4"/>
        <v>#REF!</v>
      </c>
      <c r="X16" s="16" t="e">
        <f t="shared" si="5"/>
        <v>#REF!</v>
      </c>
    </row>
    <row r="17" spans="1:24" ht="37.9" customHeight="1">
      <c r="A17" s="32" t="e">
        <f>IF(B16="","",VLOOKUP(B16,#REF!,7,FALSE))</f>
        <v>#REF!</v>
      </c>
      <c r="B17" s="69" t="s">
        <v>158</v>
      </c>
      <c r="C17" s="34" t="e">
        <f>IF(B17="","",VLOOKUP(B17,#REF!,5,FALSE))*1760/(1760+12195.6)</f>
        <v>#REF!</v>
      </c>
      <c r="D17" s="33" t="s">
        <v>159</v>
      </c>
      <c r="E17" s="35" t="e">
        <f>IF(D17="","",VLOOKUP(D17,#REF!,7,FALSE))</f>
        <v>#REF!</v>
      </c>
      <c r="F17" s="36" t="e">
        <f t="array" aca="1" ref="F17" ca="1">IF(P17=0,VLOOKUP(D17,#REF!,5,FALSE),INDIRECT(Q17))</f>
        <v>#REF!</v>
      </c>
      <c r="G17" s="37" t="e">
        <f t="array" aca="1" ref="G17" ca="1">IF(R17=0,VLOOKUP(E17,#REF!,5,FALSE),INDIRECT(S17))</f>
        <v>#REF!</v>
      </c>
      <c r="H17" s="38" t="e">
        <f ca="1">G17/VLOOKUP(E17,#REF!,2,FALSE)</f>
        <v>#REF!</v>
      </c>
      <c r="I17" s="34" t="e">
        <f t="shared" ca="1" si="9"/>
        <v>#REF!</v>
      </c>
      <c r="J17" s="39" t="e">
        <f t="shared" ca="1" si="10"/>
        <v>#REF!</v>
      </c>
      <c r="K17" s="40" t="e">
        <f ca="1">J17/VLOOKUP(E17,#REF!,2,FALSE)</f>
        <v>#REF!</v>
      </c>
      <c r="L17" s="70" t="s">
        <v>160</v>
      </c>
      <c r="M17" s="72"/>
      <c r="N17" s="72">
        <v>12</v>
      </c>
      <c r="O17" s="73" t="s">
        <v>127</v>
      </c>
      <c r="P17" s="31">
        <f>VLOOKUP(N17,排序!C$1:I$65536,7,0)</f>
        <v>0</v>
      </c>
      <c r="Q17" s="16" t="str">
        <f t="shared" si="6"/>
        <v/>
      </c>
      <c r="R17" s="31">
        <f>VLOOKUP(N17,排序!C$1:Q$65536,14,0)</f>
        <v>4</v>
      </c>
      <c r="S17" s="16" t="str">
        <f t="shared" si="7"/>
        <v/>
      </c>
      <c r="T17" s="16"/>
      <c r="U17" s="16" t="str">
        <f t="shared" si="2"/>
        <v>IJ23</v>
      </c>
      <c r="V17" s="16" t="str">
        <f t="shared" si="8"/>
        <v>IJ23-0</v>
      </c>
      <c r="W17" s="16" t="e">
        <f t="shared" si="4"/>
        <v>#REF!</v>
      </c>
      <c r="X17" s="16" t="e">
        <f t="shared" si="5"/>
        <v>#REF!</v>
      </c>
    </row>
    <row r="18" spans="1:24" ht="35.450000000000003" customHeight="1">
      <c r="A18" s="53"/>
      <c r="B18" s="69"/>
      <c r="C18" s="34" t="e">
        <f>IF(B17="","",VLOOKUP(B17,#REF!,5,FALSE))-C17</f>
        <v>#REF!</v>
      </c>
      <c r="D18" s="33" t="s">
        <v>161</v>
      </c>
      <c r="E18" s="35" t="e">
        <f>IF(D18="","",VLOOKUP(D18,#REF!,7,FALSE))</f>
        <v>#REF!</v>
      </c>
      <c r="F18" s="36" t="e">
        <f t="array" aca="1" ref="F18" ca="1">IF(P18=0,VLOOKUP(D18,#REF!,5,FALSE),INDIRECT(Q18))</f>
        <v>#REF!</v>
      </c>
      <c r="G18" s="37" t="e">
        <f t="array" aca="1" ref="G18" ca="1">IF(R18=0,VLOOKUP(E18,#REF!,5,FALSE),INDIRECT(S18))</f>
        <v>#REF!</v>
      </c>
      <c r="H18" s="38" t="e">
        <f ca="1">G18/VLOOKUP(E18,#REF!,2,FALSE)</f>
        <v>#REF!</v>
      </c>
      <c r="I18" s="34" t="e">
        <f t="shared" ca="1" si="9"/>
        <v>#REF!</v>
      </c>
      <c r="J18" s="39" t="e">
        <f t="shared" ca="1" si="10"/>
        <v>#REF!</v>
      </c>
      <c r="K18" s="40" t="e">
        <f ca="1">J18/VLOOKUP(E18,#REF!,2,FALSE)</f>
        <v>#REF!</v>
      </c>
      <c r="L18" s="70" t="s">
        <v>162</v>
      </c>
      <c r="M18" s="72"/>
      <c r="N18" s="72">
        <v>13</v>
      </c>
      <c r="O18" s="73" t="s">
        <v>127</v>
      </c>
      <c r="P18" s="31">
        <f>VLOOKUP(N18,排序!C$1:I$65536,7,0)</f>
        <v>0</v>
      </c>
      <c r="Q18" s="16" t="str">
        <f t="shared" si="6"/>
        <v/>
      </c>
      <c r="R18" s="31">
        <f>VLOOKUP(N18,排序!C$1:Q$65536,14,0)</f>
        <v>4</v>
      </c>
      <c r="S18" s="16" t="str">
        <f t="shared" si="7"/>
        <v/>
      </c>
      <c r="T18" s="16"/>
      <c r="U18" s="16" t="str">
        <f t="shared" ref="U18:U28" si="11">D18</f>
        <v>9K30</v>
      </c>
      <c r="V18" s="16" t="str">
        <f t="shared" si="8"/>
        <v>9K30-0</v>
      </c>
      <c r="W18" s="16" t="e">
        <f t="shared" si="4"/>
        <v>#REF!</v>
      </c>
      <c r="X18" s="16" t="e">
        <f t="shared" si="5"/>
        <v>#REF!</v>
      </c>
    </row>
    <row r="19" spans="1:24" ht="35.450000000000003" customHeight="1">
      <c r="A19" s="53"/>
      <c r="B19" s="69" t="s">
        <v>163</v>
      </c>
      <c r="C19" s="34" t="e">
        <f>IF(B19="","",VLOOKUP(B19,#REF!,5,FALSE))</f>
        <v>#REF!</v>
      </c>
      <c r="D19" s="33" t="s">
        <v>164</v>
      </c>
      <c r="E19" s="35" t="e">
        <f>IF(D19="","",VLOOKUP(D19,#REF!,7,FALSE))</f>
        <v>#REF!</v>
      </c>
      <c r="F19" s="36" t="e">
        <f t="array" aca="1" ref="F19" ca="1">IF(P19=0,VLOOKUP(D19,#REF!,5,FALSE),INDIRECT(Q19))</f>
        <v>#REF!</v>
      </c>
      <c r="G19" s="37" t="e">
        <f t="array" aca="1" ref="G19" ca="1">IF(R19=0,VLOOKUP(E19,#REF!,5,FALSE),INDIRECT(S19))</f>
        <v>#REF!</v>
      </c>
      <c r="H19" s="38" t="e">
        <f ca="1">G19/VLOOKUP(E19,#REF!,2,FALSE)</f>
        <v>#REF!</v>
      </c>
      <c r="I19" s="34" t="e">
        <f t="shared" ca="1" si="9"/>
        <v>#REF!</v>
      </c>
      <c r="J19" s="39" t="e">
        <f t="shared" ca="1" si="10"/>
        <v>#REF!</v>
      </c>
      <c r="K19" s="40" t="e">
        <f ca="1">J19/VLOOKUP(E19,#REF!,2,FALSE)</f>
        <v>#REF!</v>
      </c>
      <c r="L19" s="70" t="s">
        <v>165</v>
      </c>
      <c r="M19" s="72" t="s">
        <v>166</v>
      </c>
      <c r="N19" s="72">
        <v>14</v>
      </c>
      <c r="O19" s="73" t="s">
        <v>167</v>
      </c>
      <c r="P19" s="31">
        <f>VLOOKUP(N19,排序!C$1:I$65536,7,0)</f>
        <v>0</v>
      </c>
      <c r="Q19" s="16" t="str">
        <f t="shared" si="6"/>
        <v/>
      </c>
      <c r="R19" s="31">
        <f>VLOOKUP(N19,排序!C$1:Q$65536,14,0)</f>
        <v>4</v>
      </c>
      <c r="S19" s="16" t="str">
        <f t="shared" si="7"/>
        <v/>
      </c>
      <c r="T19" s="16"/>
      <c r="U19" s="16" t="str">
        <f t="shared" si="11"/>
        <v>IA33</v>
      </c>
      <c r="V19" s="16" t="str">
        <f t="shared" si="8"/>
        <v>IA33-0</v>
      </c>
      <c r="W19" s="16" t="e">
        <f t="shared" si="4"/>
        <v>#REF!</v>
      </c>
      <c r="X19" s="16" t="e">
        <f t="shared" si="5"/>
        <v>#REF!</v>
      </c>
    </row>
    <row r="20" spans="1:24" ht="34.15" customHeight="1">
      <c r="A20" s="45"/>
      <c r="B20" s="69" t="s">
        <v>168</v>
      </c>
      <c r="C20" s="34" t="e">
        <f>IF(B20="","",VLOOKUP(B20,#REF!,5,FALSE))</f>
        <v>#REF!</v>
      </c>
      <c r="D20" s="33" t="s">
        <v>169</v>
      </c>
      <c r="E20" s="35" t="e">
        <f>IF(D20="","",VLOOKUP(D20,#REF!,7,FALSE))</f>
        <v>#REF!</v>
      </c>
      <c r="F20" s="36" t="e">
        <f t="array" aca="1" ref="F20" ca="1">IF(P20=0,VLOOKUP(D20,#REF!,5,FALSE),INDIRECT(Q20))</f>
        <v>#REF!</v>
      </c>
      <c r="G20" s="37" t="e">
        <f ca="1">IF(R20=0,VLOOKUP(E20,#REF!,5,FALSE),INDIRECT(S20))-C19</f>
        <v>#REF!</v>
      </c>
      <c r="H20" s="38" t="e">
        <f ca="1">G20/VLOOKUP(E20,#REF!,2,FALSE)</f>
        <v>#REF!</v>
      </c>
      <c r="I20" s="34" t="e">
        <f t="shared" ca="1" si="9"/>
        <v>#REF!</v>
      </c>
      <c r="J20" s="39" t="e">
        <f t="shared" ca="1" si="10"/>
        <v>#REF!</v>
      </c>
      <c r="K20" s="40" t="e">
        <f ca="1">J20/VLOOKUP(E20,#REF!,2,FALSE)</f>
        <v>#REF!</v>
      </c>
      <c r="L20" s="70" t="s">
        <v>170</v>
      </c>
      <c r="M20" s="74"/>
      <c r="N20" s="72">
        <v>15</v>
      </c>
      <c r="O20" s="73" t="s">
        <v>167</v>
      </c>
      <c r="P20" s="31">
        <f>VLOOKUP(N20,排序!C$1:I$65536,7,0)</f>
        <v>1</v>
      </c>
      <c r="Q20" s="16" t="str">
        <f t="shared" si="6"/>
        <v>I7</v>
      </c>
      <c r="R20" s="31">
        <f>VLOOKUP(N20,排序!C$1:Q$65536,14,0)</f>
        <v>4</v>
      </c>
      <c r="S20" s="16" t="str">
        <f t="shared" si="7"/>
        <v/>
      </c>
      <c r="T20" s="16"/>
      <c r="U20" s="16" t="str">
        <f t="shared" si="11"/>
        <v>9K26</v>
      </c>
      <c r="V20" s="16" t="str">
        <f t="shared" si="8"/>
        <v>9K26-1</v>
      </c>
      <c r="W20" s="16" t="e">
        <f t="shared" ref="W20:W28" si="12">E20</f>
        <v>#REF!</v>
      </c>
      <c r="X20" s="16" t="e">
        <f t="shared" ref="X20:X28" si="13">E20&amp;"-"&amp;(R20)</f>
        <v>#REF!</v>
      </c>
    </row>
    <row r="21" spans="1:24" ht="37.9" customHeight="1">
      <c r="A21" s="45" t="e">
        <f>IF(A17="","",VLOOKUP(A17,#REF!,5,FALSE)&amp;"MW")</f>
        <v>#REF!</v>
      </c>
      <c r="B21" s="69" t="s">
        <v>171</v>
      </c>
      <c r="C21" s="34" t="e">
        <f>IF(B21="","",VLOOKUP(B21,#REF!,5,FALSE))</f>
        <v>#REF!</v>
      </c>
      <c r="D21" s="33" t="s">
        <v>172</v>
      </c>
      <c r="E21" s="35" t="e">
        <f>IF(D21="","",VLOOKUP(D21,#REF!,7,FALSE))</f>
        <v>#REF!</v>
      </c>
      <c r="F21" s="36" t="e">
        <f t="array" aca="1" ref="F21" ca="1">IF(P21=0,VLOOKUP(D21,#REF!,5,FALSE),INDIRECT(Q21))</f>
        <v>#REF!</v>
      </c>
      <c r="G21" s="37" t="e">
        <f t="array" aca="1" ref="G21" ca="1">IF(R21=0,VLOOKUP(E21,#REF!,5,FALSE),INDIRECT(S21))</f>
        <v>#REF!</v>
      </c>
      <c r="H21" s="38" t="e">
        <f ca="1">G21/VLOOKUP(E21,#REF!,2,FALSE)</f>
        <v>#REF!</v>
      </c>
      <c r="I21" s="34" t="e">
        <f t="shared" ca="1" si="9"/>
        <v>#REF!</v>
      </c>
      <c r="J21" s="39" t="e">
        <f t="shared" ca="1" si="10"/>
        <v>#REF!</v>
      </c>
      <c r="K21" s="40" t="e">
        <f ca="1">J21/VLOOKUP(E21,#REF!,2,FALSE)</f>
        <v>#REF!</v>
      </c>
      <c r="L21" s="70" t="s">
        <v>173</v>
      </c>
      <c r="M21" s="75"/>
      <c r="N21" s="72">
        <v>16</v>
      </c>
      <c r="O21" s="73" t="s">
        <v>167</v>
      </c>
      <c r="P21" s="31">
        <f>VLOOKUP(N21,排序!C$1:I$65536,7,0)</f>
        <v>0</v>
      </c>
      <c r="Q21" s="16" t="str">
        <f t="shared" si="6"/>
        <v/>
      </c>
      <c r="R21" s="31">
        <f>VLOOKUP(N21,排序!C$1:Q$65536,14,0)</f>
        <v>4</v>
      </c>
      <c r="S21" s="16" t="str">
        <f t="shared" si="7"/>
        <v/>
      </c>
      <c r="T21" s="16"/>
      <c r="U21" s="16" t="str">
        <f t="shared" si="11"/>
        <v>IA20</v>
      </c>
      <c r="V21" s="16" t="str">
        <f t="shared" si="8"/>
        <v>IA20-0</v>
      </c>
      <c r="W21" s="16" t="e">
        <f t="shared" si="12"/>
        <v>#REF!</v>
      </c>
      <c r="X21" s="16" t="e">
        <f t="shared" si="13"/>
        <v>#REF!</v>
      </c>
    </row>
    <row r="22" spans="1:24" ht="38.450000000000003" customHeight="1">
      <c r="A22" s="45" t="e">
        <f>IF(B16="","",VLOOKUP(B16,#REF!,9,FALSE)&amp;"kV")</f>
        <v>#REF!</v>
      </c>
      <c r="B22" s="69" t="s">
        <v>174</v>
      </c>
      <c r="C22" s="34" t="e">
        <f>IF(B22="","",VLOOKUP(B22,#REF!,5,FALSE))*6220/(6220+14695.8)</f>
        <v>#REF!</v>
      </c>
      <c r="D22" s="33" t="s">
        <v>175</v>
      </c>
      <c r="E22" s="35" t="e">
        <f>IF(D22="","",VLOOKUP(D22,#REF!,7,FALSE))</f>
        <v>#REF!</v>
      </c>
      <c r="F22" s="36" t="e">
        <f t="array" aca="1" ref="F22" ca="1">IF(P22=0,VLOOKUP(D22,#REF!,5,FALSE),INDIRECT(Q22))</f>
        <v>#REF!</v>
      </c>
      <c r="G22" s="37" t="e">
        <f t="array" aca="1" ref="G22" ca="1">IF(R22=0,VLOOKUP(E22,#REF!,5,FALSE),INDIRECT(S22))</f>
        <v>#REF!</v>
      </c>
      <c r="H22" s="38" t="e">
        <f ca="1">G22/VLOOKUP(E22,#REF!,2,FALSE)</f>
        <v>#REF!</v>
      </c>
      <c r="I22" s="34" t="e">
        <f t="shared" ca="1" si="9"/>
        <v>#REF!</v>
      </c>
      <c r="J22" s="39" t="e">
        <f t="shared" ca="1" si="10"/>
        <v>#REF!</v>
      </c>
      <c r="K22" s="40" t="e">
        <f ca="1">J22/VLOOKUP(E22,#REF!,2,FALSE)</f>
        <v>#REF!</v>
      </c>
      <c r="L22" s="70" t="s">
        <v>176</v>
      </c>
      <c r="M22" s="76"/>
      <c r="N22" s="72">
        <v>17</v>
      </c>
      <c r="O22" s="73" t="s">
        <v>167</v>
      </c>
      <c r="P22" s="31">
        <f>VLOOKUP(N22,排序!C$1:I$65536,7,0)</f>
        <v>0</v>
      </c>
      <c r="Q22" s="16" t="str">
        <f t="shared" si="6"/>
        <v/>
      </c>
      <c r="R22" s="31">
        <f>VLOOKUP(N22,排序!C$1:Q$65536,14,0)</f>
        <v>4</v>
      </c>
      <c r="S22" s="16" t="str">
        <f t="shared" si="7"/>
        <v/>
      </c>
      <c r="T22" s="16"/>
      <c r="U22" s="16" t="str">
        <f t="shared" si="11"/>
        <v>IA35</v>
      </c>
      <c r="V22" s="16" t="str">
        <f t="shared" si="8"/>
        <v>IA35-0</v>
      </c>
      <c r="W22" s="16" t="e">
        <f t="shared" si="12"/>
        <v>#REF!</v>
      </c>
      <c r="X22" s="16" t="e">
        <f t="shared" si="13"/>
        <v>#REF!</v>
      </c>
    </row>
    <row r="23" spans="1:24" ht="34.15" customHeight="1">
      <c r="A23" s="45"/>
      <c r="B23" s="69"/>
      <c r="C23" s="54" t="e">
        <f>IF(B22="","",VLOOKUP(B22,#REF!,5,FALSE))*9680/(6220+14695.8)</f>
        <v>#REF!</v>
      </c>
      <c r="D23" s="33" t="s">
        <v>177</v>
      </c>
      <c r="E23" s="35" t="e">
        <f>IF(D23="","",VLOOKUP(D23,#REF!,7,FALSE))</f>
        <v>#REF!</v>
      </c>
      <c r="F23" s="36" t="e">
        <f t="array" aca="1" ref="F23" ca="1">IF(P23=0,VLOOKUP(D23,#REF!,5,FALSE),INDIRECT(Q23))</f>
        <v>#REF!</v>
      </c>
      <c r="G23" s="37" t="e">
        <f t="array" aca="1" ref="G23" ca="1">IF(R23=0,VLOOKUP(E23,#REF!,5,FALSE),INDIRECT(S23))</f>
        <v>#REF!</v>
      </c>
      <c r="H23" s="38" t="e">
        <f ca="1">G23/VLOOKUP(E23,#REF!,2,FALSE)</f>
        <v>#REF!</v>
      </c>
      <c r="I23" s="34" t="e">
        <f t="shared" ca="1" si="9"/>
        <v>#REF!</v>
      </c>
      <c r="J23" s="39" t="e">
        <f t="shared" ca="1" si="10"/>
        <v>#REF!</v>
      </c>
      <c r="K23" s="40" t="e">
        <f ca="1">J23/VLOOKUP(E23,#REF!,2,FALSE)</f>
        <v>#REF!</v>
      </c>
      <c r="L23" s="70" t="s">
        <v>178</v>
      </c>
      <c r="M23" s="76"/>
      <c r="N23" s="72">
        <v>18</v>
      </c>
      <c r="O23" s="73" t="s">
        <v>167</v>
      </c>
      <c r="P23" s="31">
        <f>VLOOKUP(N23,排序!C$1:I$65536,7,0)</f>
        <v>0</v>
      </c>
      <c r="Q23" s="16" t="str">
        <f t="shared" si="6"/>
        <v/>
      </c>
      <c r="R23" s="31">
        <f>VLOOKUP(N23,排序!C$1:Q$65536,14,0)</f>
        <v>4</v>
      </c>
      <c r="S23" s="16" t="str">
        <f t="shared" si="7"/>
        <v/>
      </c>
      <c r="T23" s="16"/>
      <c r="U23" s="16" t="str">
        <f t="shared" si="11"/>
        <v>IZ24</v>
      </c>
      <c r="V23" s="16" t="str">
        <f t="shared" si="8"/>
        <v>IZ24-0</v>
      </c>
      <c r="W23" s="16" t="e">
        <f t="shared" si="12"/>
        <v>#REF!</v>
      </c>
      <c r="X23" s="16" t="e">
        <f t="shared" si="13"/>
        <v>#REF!</v>
      </c>
    </row>
    <row r="24" spans="1:24" ht="36.6" customHeight="1" thickBot="1">
      <c r="A24" s="53"/>
      <c r="B24" s="35"/>
      <c r="C24" s="36" t="e">
        <f>IF(B22="","",VLOOKUP(B22,#REF!,5,FALSE))-C23-C22</f>
        <v>#REF!</v>
      </c>
      <c r="D24" s="33" t="s">
        <v>179</v>
      </c>
      <c r="E24" s="35" t="e">
        <f>IF(D24="","",VLOOKUP(D24,#REF!,7,FALSE))</f>
        <v>#REF!</v>
      </c>
      <c r="F24" s="36" t="e">
        <f t="array" aca="1" ref="F24" ca="1">IF(P24=0,VLOOKUP(D24,#REF!,5,FALSE),INDIRECT(Q24))</f>
        <v>#REF!</v>
      </c>
      <c r="G24" s="37" t="e">
        <f t="array" aca="1" ref="G24" ca="1">IF(R24=0,VLOOKUP(E24,#REF!,5,FALSE),INDIRECT(S24))</f>
        <v>#REF!</v>
      </c>
      <c r="H24" s="38" t="e">
        <f ca="1">G24/VLOOKUP(E24,#REF!,2,FALSE)</f>
        <v>#REF!</v>
      </c>
      <c r="I24" s="34" t="e">
        <f t="shared" ca="1" si="9"/>
        <v>#REF!</v>
      </c>
      <c r="J24" s="39" t="e">
        <f t="shared" ca="1" si="10"/>
        <v>#REF!</v>
      </c>
      <c r="K24" s="40" t="e">
        <f ca="1">J24/VLOOKUP(E24,#REF!,2,FALSE)</f>
        <v>#REF!</v>
      </c>
      <c r="L24" s="77" t="s">
        <v>180</v>
      </c>
      <c r="M24" s="76"/>
      <c r="N24" s="43">
        <v>19</v>
      </c>
      <c r="O24" s="78" t="s">
        <v>167</v>
      </c>
      <c r="P24" s="31">
        <f>VLOOKUP(N24,排序!C$1:I$65536,7,0)</f>
        <v>0</v>
      </c>
      <c r="Q24" s="16" t="str">
        <f t="shared" si="6"/>
        <v/>
      </c>
      <c r="R24" s="31">
        <f>VLOOKUP(N24,排序!C$1:Q$65536,14,0)</f>
        <v>4</v>
      </c>
      <c r="S24" s="16" t="str">
        <f t="shared" si="7"/>
        <v/>
      </c>
      <c r="T24" s="16"/>
      <c r="U24" s="16" t="str">
        <f t="shared" si="11"/>
        <v>9K28</v>
      </c>
      <c r="V24" s="16" t="str">
        <f t="shared" si="8"/>
        <v>9K28-0</v>
      </c>
      <c r="W24" s="16" t="e">
        <f t="shared" si="12"/>
        <v>#REF!</v>
      </c>
      <c r="X24" s="16" t="e">
        <f t="shared" si="13"/>
        <v>#REF!</v>
      </c>
    </row>
    <row r="25" spans="1:24" ht="32.450000000000003" customHeight="1">
      <c r="A25" s="79"/>
      <c r="B25" s="21"/>
      <c r="C25" s="80"/>
      <c r="D25" s="21"/>
      <c r="E25" s="22"/>
      <c r="F25" s="81"/>
      <c r="G25" s="82"/>
      <c r="H25" s="83"/>
      <c r="I25" s="80"/>
      <c r="J25" s="84"/>
      <c r="K25" s="85"/>
      <c r="L25" s="86"/>
      <c r="M25" s="87"/>
      <c r="N25" s="87"/>
      <c r="O25" s="19"/>
      <c r="P25" s="31" t="e">
        <f>VLOOKUP(N25,排序!C$1:I$65536,7,0)</f>
        <v>#N/A</v>
      </c>
      <c r="Q25" s="16" t="s">
        <v>181</v>
      </c>
      <c r="R25" s="31" t="e">
        <f>VLOOKUP(N25,排序!C$1:Q$65536,14,0)</f>
        <v>#N/A</v>
      </c>
      <c r="S25" s="16" t="str">
        <f t="shared" si="7"/>
        <v/>
      </c>
      <c r="T25" s="16"/>
      <c r="U25" s="16">
        <f t="shared" si="11"/>
        <v>0</v>
      </c>
      <c r="V25" s="16" t="e">
        <f t="shared" si="8"/>
        <v>#N/A</v>
      </c>
      <c r="W25" s="16">
        <f t="shared" si="12"/>
        <v>0</v>
      </c>
      <c r="X25" s="16" t="e">
        <f t="shared" si="13"/>
        <v>#N/A</v>
      </c>
    </row>
    <row r="26" spans="1:24" ht="30.6" customHeight="1">
      <c r="A26" s="53"/>
      <c r="B26" s="88"/>
      <c r="C26" s="54"/>
      <c r="D26" s="88"/>
      <c r="E26" s="49"/>
      <c r="F26" s="54"/>
      <c r="G26" s="89"/>
      <c r="H26" s="90"/>
      <c r="I26" s="54"/>
      <c r="J26" s="91"/>
      <c r="K26" s="92"/>
      <c r="L26" s="93"/>
      <c r="M26" s="94"/>
      <c r="N26" s="94"/>
      <c r="O26" s="95"/>
      <c r="P26" s="31" t="e">
        <f>VLOOKUP(N26,排序!C$1:I$65536,7,0)</f>
        <v>#N/A</v>
      </c>
      <c r="Q26" s="16" t="str">
        <f>IFERROR("I"&amp;(MATCH(D26&amp;"-"&amp;(P26-1),$V$5:$V$31,0))+4,"")</f>
        <v/>
      </c>
      <c r="R26" s="31" t="e">
        <f>VLOOKUP(N26,排序!C$1:Q$65536,14,0)</f>
        <v>#N/A</v>
      </c>
      <c r="S26" s="16" t="str">
        <f t="shared" si="7"/>
        <v/>
      </c>
      <c r="T26" s="16"/>
      <c r="U26" s="16">
        <f t="shared" si="11"/>
        <v>0</v>
      </c>
      <c r="V26" s="16" t="e">
        <f t="shared" si="8"/>
        <v>#N/A</v>
      </c>
      <c r="W26" s="16">
        <f t="shared" si="12"/>
        <v>0</v>
      </c>
      <c r="X26" s="16" t="e">
        <f t="shared" si="13"/>
        <v>#N/A</v>
      </c>
    </row>
    <row r="27" spans="1:24" ht="25.9" customHeight="1">
      <c r="A27" s="53" t="str">
        <f>IF(B26="","",VLOOKUP(B26,#REF!,4,FALSE))</f>
        <v/>
      </c>
      <c r="B27" s="88"/>
      <c r="C27" s="96"/>
      <c r="D27" s="88"/>
      <c r="E27" s="97"/>
      <c r="F27" s="54"/>
      <c r="G27" s="89"/>
      <c r="H27" s="90"/>
      <c r="I27" s="54"/>
      <c r="J27" s="98"/>
      <c r="K27" s="92"/>
      <c r="L27" s="99"/>
      <c r="M27" s="94"/>
      <c r="N27" s="94"/>
      <c r="O27" s="95"/>
      <c r="P27" s="31" t="e">
        <f>VLOOKUP(N27,排序!C$1:I$65536,7,0)</f>
        <v>#N/A</v>
      </c>
      <c r="Q27" s="16" t="str">
        <f>IFERROR("I"&amp;(MATCH(D27&amp;"-"&amp;(P27-1),$V$5:$V$31,0))+4,"")</f>
        <v/>
      </c>
      <c r="R27" s="31" t="e">
        <f>VLOOKUP(N27,排序!C$1:Q$65536,14,0)</f>
        <v>#N/A</v>
      </c>
      <c r="S27" s="16" t="str">
        <f t="shared" si="7"/>
        <v/>
      </c>
      <c r="T27" s="16"/>
      <c r="U27" s="16">
        <f t="shared" si="11"/>
        <v>0</v>
      </c>
      <c r="V27" s="16" t="e">
        <f t="shared" si="8"/>
        <v>#N/A</v>
      </c>
      <c r="W27" s="16">
        <f t="shared" si="12"/>
        <v>0</v>
      </c>
      <c r="X27" s="16" t="e">
        <f t="shared" si="13"/>
        <v>#N/A</v>
      </c>
    </row>
    <row r="28" spans="1:24" ht="26.45" customHeight="1">
      <c r="A28" s="53"/>
      <c r="B28" s="88"/>
      <c r="C28" s="96"/>
      <c r="D28" s="88"/>
      <c r="E28" s="49"/>
      <c r="F28" s="54"/>
      <c r="G28" s="89"/>
      <c r="H28" s="90"/>
      <c r="I28" s="54"/>
      <c r="J28" s="98"/>
      <c r="K28" s="92"/>
      <c r="L28" s="93"/>
      <c r="M28" s="94"/>
      <c r="N28" s="94"/>
      <c r="O28" s="95"/>
      <c r="P28" s="31" t="e">
        <f>VLOOKUP(N28,排序!C$1:I$65536,7,0)</f>
        <v>#N/A</v>
      </c>
      <c r="Q28" s="16" t="str">
        <f>IFERROR("I"&amp;(MATCH(D28&amp;"-"&amp;(P28-1),$V$5:$V$31,0))+4,"")</f>
        <v/>
      </c>
      <c r="R28" s="31" t="e">
        <f>VLOOKUP(N28,排序!C$1:Q$65536,14,0)</f>
        <v>#N/A</v>
      </c>
      <c r="S28" s="16" t="str">
        <f t="shared" si="7"/>
        <v/>
      </c>
      <c r="T28" s="16"/>
      <c r="U28" s="16">
        <f t="shared" si="11"/>
        <v>0</v>
      </c>
      <c r="V28" s="16" t="e">
        <f t="shared" si="8"/>
        <v>#N/A</v>
      </c>
      <c r="W28" s="16">
        <f t="shared" si="12"/>
        <v>0</v>
      </c>
      <c r="X28" s="16" t="e">
        <f t="shared" si="13"/>
        <v>#N/A</v>
      </c>
    </row>
    <row r="29" spans="1:24" ht="33.6" customHeight="1">
      <c r="A29" s="45"/>
      <c r="B29" s="88"/>
      <c r="C29" s="96"/>
      <c r="D29" s="88"/>
      <c r="E29" s="35"/>
      <c r="F29" s="36"/>
      <c r="G29" s="37"/>
      <c r="H29" s="100"/>
      <c r="I29" s="36"/>
      <c r="J29" s="101"/>
      <c r="K29" s="100"/>
      <c r="L29" s="93"/>
      <c r="M29" s="102"/>
      <c r="N29" s="94"/>
      <c r="O29" s="95"/>
      <c r="P29" s="31"/>
      <c r="Q29" s="16"/>
      <c r="R29" s="31"/>
      <c r="S29" s="16"/>
      <c r="T29" s="16"/>
      <c r="U29" s="16"/>
      <c r="V29" s="16"/>
      <c r="W29" s="16"/>
      <c r="X29" s="16"/>
    </row>
    <row r="30" spans="1:24" ht="39" customHeight="1">
      <c r="A30" s="53" t="str">
        <f>IF(A27="","",VLOOKUP(A27,#REF!,6,FALSE))</f>
        <v/>
      </c>
      <c r="B30" s="88"/>
      <c r="C30" s="36"/>
      <c r="D30" s="88"/>
      <c r="E30" s="35"/>
      <c r="F30" s="36"/>
      <c r="G30" s="37"/>
      <c r="H30" s="100"/>
      <c r="I30" s="36"/>
      <c r="J30" s="101"/>
      <c r="K30" s="100"/>
      <c r="L30" s="93"/>
      <c r="M30" s="102"/>
      <c r="N30" s="94"/>
      <c r="O30" s="95"/>
      <c r="P30" s="31"/>
      <c r="Q30" s="16"/>
      <c r="R30" s="31"/>
      <c r="S30" s="16"/>
      <c r="T30" s="16"/>
      <c r="U30" s="16"/>
      <c r="V30" s="16"/>
      <c r="W30" s="16"/>
      <c r="X30" s="16"/>
    </row>
    <row r="31" spans="1:24" ht="47.45" customHeight="1" thickBot="1">
      <c r="A31" s="56"/>
      <c r="B31" s="59"/>
      <c r="C31" s="60"/>
      <c r="D31" s="57"/>
      <c r="E31" s="59"/>
      <c r="F31" s="60"/>
      <c r="G31" s="103"/>
      <c r="H31" s="104"/>
      <c r="I31" s="60"/>
      <c r="J31" s="105"/>
      <c r="K31" s="104"/>
      <c r="L31" s="106"/>
      <c r="M31" s="107"/>
      <c r="N31" s="66"/>
      <c r="O31" s="67"/>
      <c r="P31" s="31" t="e">
        <f>VLOOKUP(N31,排序!C$1:I$65536,7,0)</f>
        <v>#N/A</v>
      </c>
      <c r="Q31" s="16" t="str">
        <f>IFERROR("I"&amp;(MATCH(D31&amp;"-"&amp;(P31-1),$V$5:$V$31,0))+4,"")</f>
        <v/>
      </c>
      <c r="R31" s="31" t="e">
        <f>VLOOKUP(N31,排序!C$1:Q$65536,14,0)</f>
        <v>#N/A</v>
      </c>
      <c r="S31" s="16" t="str">
        <f>IFERROR("J"&amp;(MATCH(E31&amp;"-"&amp;(R31-1),$X$5:$X$31,0))+4,"")</f>
        <v/>
      </c>
      <c r="T31" s="16"/>
      <c r="U31" s="16">
        <f>D31</f>
        <v>0</v>
      </c>
      <c r="V31" s="16" t="e">
        <f>D31&amp;"-"&amp;(P31)</f>
        <v>#N/A</v>
      </c>
      <c r="W31" s="16">
        <f>E31</f>
        <v>0</v>
      </c>
      <c r="X31" s="16" t="e">
        <f>E31&amp;"-"&amp;(R31)</f>
        <v>#N/A</v>
      </c>
    </row>
    <row r="32" spans="1:24" ht="16.5">
      <c r="A32" s="881" t="s">
        <v>182</v>
      </c>
      <c r="B32" s="882"/>
      <c r="C32" s="882"/>
      <c r="D32" s="882"/>
      <c r="E32" s="882"/>
      <c r="F32" s="882"/>
      <c r="G32" s="882"/>
      <c r="H32" s="882"/>
      <c r="I32" s="882"/>
      <c r="J32" s="882"/>
      <c r="K32" s="882"/>
      <c r="L32" s="882"/>
      <c r="M32" s="882"/>
      <c r="N32" s="882"/>
      <c r="O32" s="882"/>
    </row>
    <row r="33" spans="1:15" ht="16.5">
      <c r="A33" s="882" t="s">
        <v>183</v>
      </c>
      <c r="B33" s="882"/>
      <c r="C33" s="882"/>
      <c r="D33" s="882"/>
      <c r="E33" s="882"/>
      <c r="F33" s="882"/>
      <c r="G33" s="882"/>
      <c r="H33" s="882"/>
      <c r="I33" s="882"/>
      <c r="J33" s="882"/>
      <c r="K33" s="882"/>
      <c r="L33" s="882"/>
      <c r="M33" s="882"/>
      <c r="N33" s="882"/>
      <c r="O33" s="882"/>
    </row>
    <row r="34" spans="1:15">
      <c r="A34" s="883" t="s">
        <v>184</v>
      </c>
      <c r="B34" s="883"/>
      <c r="C34" s="883"/>
      <c r="D34" s="883"/>
      <c r="E34" s="883"/>
      <c r="F34" s="883"/>
      <c r="G34" s="883"/>
      <c r="H34" s="883"/>
      <c r="I34" s="883"/>
      <c r="J34" s="883"/>
      <c r="K34" s="883"/>
      <c r="L34" s="883"/>
      <c r="M34" s="883"/>
      <c r="O34" s="108"/>
    </row>
    <row r="35" spans="1:15" ht="16.5">
      <c r="A35" s="882" t="s">
        <v>185</v>
      </c>
      <c r="B35" s="882"/>
      <c r="C35" s="882"/>
      <c r="D35" s="882"/>
      <c r="E35" s="882"/>
      <c r="F35" s="882"/>
      <c r="G35" s="882"/>
      <c r="H35" s="882"/>
      <c r="I35" s="882"/>
      <c r="J35" s="882"/>
      <c r="K35" s="882"/>
      <c r="L35" s="882"/>
      <c r="M35" s="882"/>
      <c r="O35" s="108"/>
    </row>
    <row r="36" spans="1:15">
      <c r="A36" s="108"/>
      <c r="B36" s="108"/>
      <c r="C36" s="108"/>
      <c r="D36" s="108"/>
      <c r="E36" s="108"/>
      <c r="F36" s="108"/>
      <c r="G36" s="108"/>
      <c r="H36" s="108"/>
      <c r="I36" s="108"/>
      <c r="J36" s="108"/>
      <c r="K36" s="108"/>
      <c r="M36" s="108"/>
      <c r="O36" s="108"/>
    </row>
    <row r="37" spans="1:15">
      <c r="A37" s="108"/>
      <c r="B37" s="108"/>
      <c r="C37" s="108"/>
      <c r="D37" s="108"/>
      <c r="E37" s="108"/>
      <c r="F37" s="108"/>
      <c r="G37" s="108"/>
      <c r="H37" s="108"/>
      <c r="I37" s="108"/>
      <c r="J37" s="108"/>
      <c r="K37" s="108"/>
      <c r="M37" s="108"/>
      <c r="O37" s="108"/>
    </row>
    <row r="38" spans="1:15" s="109" customFormat="1" ht="19.5">
      <c r="A38" s="109" t="s">
        <v>186</v>
      </c>
      <c r="C38" s="110"/>
      <c r="D38" s="109" t="s">
        <v>187</v>
      </c>
      <c r="E38" s="111"/>
      <c r="F38" s="110"/>
      <c r="G38" s="110" t="s">
        <v>188</v>
      </c>
      <c r="H38" s="112"/>
      <c r="I38" s="110"/>
      <c r="J38" s="110"/>
      <c r="K38" s="112"/>
      <c r="M38" s="113"/>
    </row>
    <row r="39" spans="1:15" ht="20.25">
      <c r="B39" s="114"/>
      <c r="C39" s="115"/>
      <c r="D39" s="114"/>
      <c r="E39" s="114"/>
      <c r="G39" s="114"/>
      <c r="K39" s="118"/>
      <c r="L39" s="119"/>
    </row>
  </sheetData>
  <autoFilter ref="A4:X35" xr:uid="{00000000-0009-0000-0000-00000C000000}"/>
  <mergeCells count="14">
    <mergeCell ref="A32:O32"/>
    <mergeCell ref="A33:O33"/>
    <mergeCell ref="A34:M34"/>
    <mergeCell ref="A35:M35"/>
    <mergeCell ref="A2:O2"/>
    <mergeCell ref="A3:A4"/>
    <mergeCell ref="B3:B4"/>
    <mergeCell ref="D3:E3"/>
    <mergeCell ref="F3:H3"/>
    <mergeCell ref="I3:K3"/>
    <mergeCell ref="L3:L4"/>
    <mergeCell ref="M3:M4"/>
    <mergeCell ref="N3:N4"/>
    <mergeCell ref="O3:O4"/>
  </mergeCells>
  <phoneticPr fontId="1" type="noConversion"/>
  <conditionalFormatting sqref="L24">
    <cfRule type="cellIs" dxfId="52" priority="43" stopIfTrue="1" operator="equal">
      <formula>0</formula>
    </cfRule>
  </conditionalFormatting>
  <conditionalFormatting sqref="I31">
    <cfRule type="cellIs" dxfId="51" priority="42" stopIfTrue="1" operator="greaterThan">
      <formula>9</formula>
    </cfRule>
  </conditionalFormatting>
  <conditionalFormatting sqref="K31">
    <cfRule type="cellIs" dxfId="50" priority="41" stopIfTrue="1" operator="greaterThan">
      <formula>1</formula>
    </cfRule>
  </conditionalFormatting>
  <conditionalFormatting sqref="I29:I30">
    <cfRule type="cellIs" dxfId="49" priority="40" stopIfTrue="1" operator="greaterThan">
      <formula>9</formula>
    </cfRule>
  </conditionalFormatting>
  <conditionalFormatting sqref="K29:K30">
    <cfRule type="cellIs" dxfId="48" priority="39" stopIfTrue="1" operator="greaterThan">
      <formula>1</formula>
    </cfRule>
  </conditionalFormatting>
  <conditionalFormatting sqref="L7:L8">
    <cfRule type="cellIs" dxfId="47" priority="38" stopIfTrue="1" operator="equal">
      <formula>0</formula>
    </cfRule>
  </conditionalFormatting>
  <conditionalFormatting sqref="I15">
    <cfRule type="cellIs" dxfId="46" priority="37" stopIfTrue="1" operator="greaterThan">
      <formula>7</formula>
    </cfRule>
  </conditionalFormatting>
  <conditionalFormatting sqref="K1:K5 K15 K25:K65536">
    <cfRule type="cellIs" dxfId="45" priority="36" stopIfTrue="1" operator="greaterThan">
      <formula>0.8</formula>
    </cfRule>
  </conditionalFormatting>
  <conditionalFormatting sqref="K6">
    <cfRule type="cellIs" dxfId="44" priority="34" stopIfTrue="1" operator="greaterThan">
      <formula>0.8</formula>
    </cfRule>
  </conditionalFormatting>
  <conditionalFormatting sqref="I5">
    <cfRule type="cellIs" dxfId="43" priority="35" stopIfTrue="1" operator="greaterThan">
      <formula>14</formula>
    </cfRule>
  </conditionalFormatting>
  <conditionalFormatting sqref="I6">
    <cfRule type="cellIs" dxfId="42" priority="33" stopIfTrue="1" operator="greaterThan">
      <formula>14</formula>
    </cfRule>
  </conditionalFormatting>
  <conditionalFormatting sqref="K7:K8">
    <cfRule type="cellIs" dxfId="41" priority="32" stopIfTrue="1" operator="greaterThan">
      <formula>0.8</formula>
    </cfRule>
  </conditionalFormatting>
  <conditionalFormatting sqref="I7:I8">
    <cfRule type="cellIs" dxfId="40" priority="31" stopIfTrue="1" operator="greaterThan">
      <formula>14</formula>
    </cfRule>
  </conditionalFormatting>
  <conditionalFormatting sqref="K10">
    <cfRule type="cellIs" dxfId="39" priority="30" stopIfTrue="1" operator="greaterThan">
      <formula>0.8</formula>
    </cfRule>
  </conditionalFormatting>
  <conditionalFormatting sqref="I10">
    <cfRule type="cellIs" dxfId="38" priority="29" stopIfTrue="1" operator="greaterThan">
      <formula>14</formula>
    </cfRule>
  </conditionalFormatting>
  <conditionalFormatting sqref="K11">
    <cfRule type="cellIs" dxfId="37" priority="28" stopIfTrue="1" operator="greaterThan">
      <formula>0.8</formula>
    </cfRule>
  </conditionalFormatting>
  <conditionalFormatting sqref="I11">
    <cfRule type="cellIs" dxfId="36" priority="27" stopIfTrue="1" operator="greaterThan">
      <formula>14</formula>
    </cfRule>
  </conditionalFormatting>
  <conditionalFormatting sqref="K13">
    <cfRule type="cellIs" dxfId="35" priority="26" stopIfTrue="1" operator="greaterThan">
      <formula>0.8</formula>
    </cfRule>
  </conditionalFormatting>
  <conditionalFormatting sqref="I13">
    <cfRule type="cellIs" dxfId="34" priority="25" stopIfTrue="1" operator="greaterThan">
      <formula>14</formula>
    </cfRule>
  </conditionalFormatting>
  <conditionalFormatting sqref="K9">
    <cfRule type="cellIs" dxfId="33" priority="24" stopIfTrue="1" operator="greaterThan">
      <formula>0.8</formula>
    </cfRule>
  </conditionalFormatting>
  <conditionalFormatting sqref="I9">
    <cfRule type="cellIs" dxfId="32" priority="23" stopIfTrue="1" operator="greaterThan">
      <formula>14</formula>
    </cfRule>
  </conditionalFormatting>
  <conditionalFormatting sqref="L11:L12">
    <cfRule type="cellIs" dxfId="31" priority="22" stopIfTrue="1" operator="equal">
      <formula>0</formula>
    </cfRule>
  </conditionalFormatting>
  <conditionalFormatting sqref="K16">
    <cfRule type="cellIs" dxfId="30" priority="21" stopIfTrue="1" operator="greaterThan">
      <formula>0.8</formula>
    </cfRule>
  </conditionalFormatting>
  <conditionalFormatting sqref="I16">
    <cfRule type="cellIs" dxfId="29" priority="20" stopIfTrue="1" operator="greaterThan">
      <formula>14</formula>
    </cfRule>
  </conditionalFormatting>
  <conditionalFormatting sqref="K17">
    <cfRule type="cellIs" dxfId="28" priority="19" stopIfTrue="1" operator="greaterThan">
      <formula>0.8</formula>
    </cfRule>
  </conditionalFormatting>
  <conditionalFormatting sqref="I17">
    <cfRule type="cellIs" dxfId="27" priority="18" stopIfTrue="1" operator="greaterThan">
      <formula>14</formula>
    </cfRule>
  </conditionalFormatting>
  <conditionalFormatting sqref="K20">
    <cfRule type="cellIs" dxfId="26" priority="17" stopIfTrue="1" operator="greaterThan">
      <formula>0.8</formula>
    </cfRule>
  </conditionalFormatting>
  <conditionalFormatting sqref="I20">
    <cfRule type="cellIs" dxfId="25" priority="16" stopIfTrue="1" operator="greaterThan">
      <formula>14</formula>
    </cfRule>
  </conditionalFormatting>
  <conditionalFormatting sqref="K21">
    <cfRule type="cellIs" dxfId="24" priority="15" stopIfTrue="1" operator="greaterThan">
      <formula>0.8</formula>
    </cfRule>
  </conditionalFormatting>
  <conditionalFormatting sqref="I21">
    <cfRule type="cellIs" dxfId="23" priority="14" stopIfTrue="1" operator="greaterThan">
      <formula>14</formula>
    </cfRule>
  </conditionalFormatting>
  <conditionalFormatting sqref="K22">
    <cfRule type="cellIs" dxfId="22" priority="13" stopIfTrue="1" operator="greaterThan">
      <formula>0.8</formula>
    </cfRule>
  </conditionalFormatting>
  <conditionalFormatting sqref="I22">
    <cfRule type="cellIs" dxfId="21" priority="12" stopIfTrue="1" operator="greaterThan">
      <formula>14</formula>
    </cfRule>
  </conditionalFormatting>
  <conditionalFormatting sqref="K18:K19">
    <cfRule type="cellIs" dxfId="20" priority="11" stopIfTrue="1" operator="greaterThan">
      <formula>0.8</formula>
    </cfRule>
  </conditionalFormatting>
  <conditionalFormatting sqref="I18:I19">
    <cfRule type="cellIs" dxfId="19" priority="10" stopIfTrue="1" operator="greaterThan">
      <formula>14</formula>
    </cfRule>
  </conditionalFormatting>
  <conditionalFormatting sqref="K23">
    <cfRule type="cellIs" dxfId="18" priority="9" stopIfTrue="1" operator="greaterThan">
      <formula>0.8</formula>
    </cfRule>
  </conditionalFormatting>
  <conditionalFormatting sqref="I23">
    <cfRule type="cellIs" dxfId="17" priority="8" stopIfTrue="1" operator="greaterThan">
      <formula>14</formula>
    </cfRule>
  </conditionalFormatting>
  <conditionalFormatting sqref="K24">
    <cfRule type="cellIs" dxfId="16" priority="7" stopIfTrue="1" operator="greaterThan">
      <formula>0.8</formula>
    </cfRule>
  </conditionalFormatting>
  <conditionalFormatting sqref="I24">
    <cfRule type="cellIs" dxfId="15" priority="6" stopIfTrue="1" operator="greaterThan">
      <formula>14</formula>
    </cfRule>
  </conditionalFormatting>
  <conditionalFormatting sqref="K12">
    <cfRule type="cellIs" dxfId="14" priority="5" stopIfTrue="1" operator="greaterThan">
      <formula>0.8</formula>
    </cfRule>
  </conditionalFormatting>
  <conditionalFormatting sqref="I12">
    <cfRule type="cellIs" dxfId="13" priority="4" stopIfTrue="1" operator="greaterThan">
      <formula>14</formula>
    </cfRule>
  </conditionalFormatting>
  <conditionalFormatting sqref="K14">
    <cfRule type="cellIs" dxfId="12" priority="3" stopIfTrue="1" operator="greaterThan">
      <formula>0.8</formula>
    </cfRule>
  </conditionalFormatting>
  <conditionalFormatting sqref="I14">
    <cfRule type="cellIs" dxfId="11" priority="2" stopIfTrue="1" operator="greaterThan">
      <formula>14</formula>
    </cfRule>
  </conditionalFormatting>
  <conditionalFormatting sqref="L14">
    <cfRule type="cellIs" dxfId="10" priority="1" stopIfTrue="1" operator="equal">
      <formula>0</formula>
    </cfRule>
  </conditionalFormatting>
  <printOptions horizontalCentered="1"/>
  <pageMargins left="0.19685039370078741" right="0.19685039370078741" top="0.19685039370078741" bottom="0.19685039370078741" header="0.19685039370078741" footer="0.59055118110236227"/>
  <pageSetup paperSize="9" scale="49" orientation="landscape"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7">
    <tabColor indexed="45"/>
    <pageSetUpPr fitToPage="1"/>
  </sheetPr>
  <dimension ref="A1:O30"/>
  <sheetViews>
    <sheetView view="pageBreakPreview" zoomScale="85" zoomScaleNormal="100" zoomScaleSheetLayoutView="85" workbookViewId="0">
      <selection activeCell="F11" sqref="F11"/>
    </sheetView>
  </sheetViews>
  <sheetFormatPr defaultColWidth="8.875" defaultRowHeight="15"/>
  <cols>
    <col min="1" max="1" width="11.125" style="16" customWidth="1"/>
    <col min="2" max="2" width="7" style="16" customWidth="1"/>
    <col min="3" max="3" width="17.5" style="218" customWidth="1"/>
    <col min="4" max="4" width="10.625" style="16" customWidth="1"/>
    <col min="5" max="5" width="13.125" style="212" customWidth="1"/>
    <col min="6" max="6" width="6.5" style="218" customWidth="1"/>
    <col min="7" max="7" width="8" style="218" bestFit="1" customWidth="1"/>
    <col min="8" max="8" width="11.25" style="219" bestFit="1" customWidth="1"/>
    <col min="9" max="9" width="6.75" style="218" bestFit="1" customWidth="1"/>
    <col min="10" max="10" width="8.125" style="218" customWidth="1"/>
    <col min="11" max="11" width="10.875" style="219" customWidth="1"/>
    <col min="12" max="12" width="48.125" style="16" customWidth="1"/>
    <col min="13" max="13" width="21.75" style="31" customWidth="1"/>
    <col min="14" max="14" width="4.375" style="16" customWidth="1"/>
    <col min="15" max="15" width="4.625" style="16" customWidth="1"/>
    <col min="16" max="256" width="8.875" style="16"/>
    <col min="257" max="257" width="11.125" style="16" customWidth="1"/>
    <col min="258" max="258" width="7" style="16" customWidth="1"/>
    <col min="259" max="259" width="6" style="16" customWidth="1"/>
    <col min="260" max="260" width="10.625" style="16" customWidth="1"/>
    <col min="261" max="261" width="13.125" style="16" customWidth="1"/>
    <col min="262" max="262" width="6.5" style="16" customWidth="1"/>
    <col min="263" max="263" width="8" style="16" bestFit="1" customWidth="1"/>
    <col min="264" max="264" width="11.25" style="16" bestFit="1" customWidth="1"/>
    <col min="265" max="265" width="6.75" style="16" bestFit="1" customWidth="1"/>
    <col min="266" max="266" width="8.125" style="16" customWidth="1"/>
    <col min="267" max="267" width="10.875" style="16" customWidth="1"/>
    <col min="268" max="268" width="48.125" style="16" customWidth="1"/>
    <col min="269" max="269" width="21.75" style="16" customWidth="1"/>
    <col min="270" max="270" width="4.375" style="16" customWidth="1"/>
    <col min="271" max="271" width="4.625" style="16" customWidth="1"/>
    <col min="272" max="512" width="8.875" style="16"/>
    <col min="513" max="513" width="11.125" style="16" customWidth="1"/>
    <col min="514" max="514" width="7" style="16" customWidth="1"/>
    <col min="515" max="515" width="6" style="16" customWidth="1"/>
    <col min="516" max="516" width="10.625" style="16" customWidth="1"/>
    <col min="517" max="517" width="13.125" style="16" customWidth="1"/>
    <col min="518" max="518" width="6.5" style="16" customWidth="1"/>
    <col min="519" max="519" width="8" style="16" bestFit="1" customWidth="1"/>
    <col min="520" max="520" width="11.25" style="16" bestFit="1" customWidth="1"/>
    <col min="521" max="521" width="6.75" style="16" bestFit="1" customWidth="1"/>
    <col min="522" max="522" width="8.125" style="16" customWidth="1"/>
    <col min="523" max="523" width="10.875" style="16" customWidth="1"/>
    <col min="524" max="524" width="48.125" style="16" customWidth="1"/>
    <col min="525" max="525" width="21.75" style="16" customWidth="1"/>
    <col min="526" max="526" width="4.375" style="16" customWidth="1"/>
    <col min="527" max="527" width="4.625" style="16" customWidth="1"/>
    <col min="528" max="768" width="8.875" style="16"/>
    <col min="769" max="769" width="11.125" style="16" customWidth="1"/>
    <col min="770" max="770" width="7" style="16" customWidth="1"/>
    <col min="771" max="771" width="6" style="16" customWidth="1"/>
    <col min="772" max="772" width="10.625" style="16" customWidth="1"/>
    <col min="773" max="773" width="13.125" style="16" customWidth="1"/>
    <col min="774" max="774" width="6.5" style="16" customWidth="1"/>
    <col min="775" max="775" width="8" style="16" bestFit="1" customWidth="1"/>
    <col min="776" max="776" width="11.25" style="16" bestFit="1" customWidth="1"/>
    <col min="777" max="777" width="6.75" style="16" bestFit="1" customWidth="1"/>
    <col min="778" max="778" width="8.125" style="16" customWidth="1"/>
    <col min="779" max="779" width="10.875" style="16" customWidth="1"/>
    <col min="780" max="780" width="48.125" style="16" customWidth="1"/>
    <col min="781" max="781" width="21.75" style="16" customWidth="1"/>
    <col min="782" max="782" width="4.375" style="16" customWidth="1"/>
    <col min="783" max="783" width="4.625" style="16" customWidth="1"/>
    <col min="784" max="1024" width="8.875" style="16"/>
    <col min="1025" max="1025" width="11.125" style="16" customWidth="1"/>
    <col min="1026" max="1026" width="7" style="16" customWidth="1"/>
    <col min="1027" max="1027" width="6" style="16" customWidth="1"/>
    <col min="1028" max="1028" width="10.625" style="16" customWidth="1"/>
    <col min="1029" max="1029" width="13.125" style="16" customWidth="1"/>
    <col min="1030" max="1030" width="6.5" style="16" customWidth="1"/>
    <col min="1031" max="1031" width="8" style="16" bestFit="1" customWidth="1"/>
    <col min="1032" max="1032" width="11.25" style="16" bestFit="1" customWidth="1"/>
    <col min="1033" max="1033" width="6.75" style="16" bestFit="1" customWidth="1"/>
    <col min="1034" max="1034" width="8.125" style="16" customWidth="1"/>
    <col min="1035" max="1035" width="10.875" style="16" customWidth="1"/>
    <col min="1036" max="1036" width="48.125" style="16" customWidth="1"/>
    <col min="1037" max="1037" width="21.75" style="16" customWidth="1"/>
    <col min="1038" max="1038" width="4.375" style="16" customWidth="1"/>
    <col min="1039" max="1039" width="4.625" style="16" customWidth="1"/>
    <col min="1040" max="1280" width="8.875" style="16"/>
    <col min="1281" max="1281" width="11.125" style="16" customWidth="1"/>
    <col min="1282" max="1282" width="7" style="16" customWidth="1"/>
    <col min="1283" max="1283" width="6" style="16" customWidth="1"/>
    <col min="1284" max="1284" width="10.625" style="16" customWidth="1"/>
    <col min="1285" max="1285" width="13.125" style="16" customWidth="1"/>
    <col min="1286" max="1286" width="6.5" style="16" customWidth="1"/>
    <col min="1287" max="1287" width="8" style="16" bestFit="1" customWidth="1"/>
    <col min="1288" max="1288" width="11.25" style="16" bestFit="1" customWidth="1"/>
    <col min="1289" max="1289" width="6.75" style="16" bestFit="1" customWidth="1"/>
    <col min="1290" max="1290" width="8.125" style="16" customWidth="1"/>
    <col min="1291" max="1291" width="10.875" style="16" customWidth="1"/>
    <col min="1292" max="1292" width="48.125" style="16" customWidth="1"/>
    <col min="1293" max="1293" width="21.75" style="16" customWidth="1"/>
    <col min="1294" max="1294" width="4.375" style="16" customWidth="1"/>
    <col min="1295" max="1295" width="4.625" style="16" customWidth="1"/>
    <col min="1296" max="1536" width="8.875" style="16"/>
    <col min="1537" max="1537" width="11.125" style="16" customWidth="1"/>
    <col min="1538" max="1538" width="7" style="16" customWidth="1"/>
    <col min="1539" max="1539" width="6" style="16" customWidth="1"/>
    <col min="1540" max="1540" width="10.625" style="16" customWidth="1"/>
    <col min="1541" max="1541" width="13.125" style="16" customWidth="1"/>
    <col min="1542" max="1542" width="6.5" style="16" customWidth="1"/>
    <col min="1543" max="1543" width="8" style="16" bestFit="1" customWidth="1"/>
    <col min="1544" max="1544" width="11.25" style="16" bestFit="1" customWidth="1"/>
    <col min="1545" max="1545" width="6.75" style="16" bestFit="1" customWidth="1"/>
    <col min="1546" max="1546" width="8.125" style="16" customWidth="1"/>
    <col min="1547" max="1547" width="10.875" style="16" customWidth="1"/>
    <col min="1548" max="1548" width="48.125" style="16" customWidth="1"/>
    <col min="1549" max="1549" width="21.75" style="16" customWidth="1"/>
    <col min="1550" max="1550" width="4.375" style="16" customWidth="1"/>
    <col min="1551" max="1551" width="4.625" style="16" customWidth="1"/>
    <col min="1552" max="1792" width="8.875" style="16"/>
    <col min="1793" max="1793" width="11.125" style="16" customWidth="1"/>
    <col min="1794" max="1794" width="7" style="16" customWidth="1"/>
    <col min="1795" max="1795" width="6" style="16" customWidth="1"/>
    <col min="1796" max="1796" width="10.625" style="16" customWidth="1"/>
    <col min="1797" max="1797" width="13.125" style="16" customWidth="1"/>
    <col min="1798" max="1798" width="6.5" style="16" customWidth="1"/>
    <col min="1799" max="1799" width="8" style="16" bestFit="1" customWidth="1"/>
    <col min="1800" max="1800" width="11.25" style="16" bestFit="1" customWidth="1"/>
    <col min="1801" max="1801" width="6.75" style="16" bestFit="1" customWidth="1"/>
    <col min="1802" max="1802" width="8.125" style="16" customWidth="1"/>
    <col min="1803" max="1803" width="10.875" style="16" customWidth="1"/>
    <col min="1804" max="1804" width="48.125" style="16" customWidth="1"/>
    <col min="1805" max="1805" width="21.75" style="16" customWidth="1"/>
    <col min="1806" max="1806" width="4.375" style="16" customWidth="1"/>
    <col min="1807" max="1807" width="4.625" style="16" customWidth="1"/>
    <col min="1808" max="2048" width="8.875" style="16"/>
    <col min="2049" max="2049" width="11.125" style="16" customWidth="1"/>
    <col min="2050" max="2050" width="7" style="16" customWidth="1"/>
    <col min="2051" max="2051" width="6" style="16" customWidth="1"/>
    <col min="2052" max="2052" width="10.625" style="16" customWidth="1"/>
    <col min="2053" max="2053" width="13.125" style="16" customWidth="1"/>
    <col min="2054" max="2054" width="6.5" style="16" customWidth="1"/>
    <col min="2055" max="2055" width="8" style="16" bestFit="1" customWidth="1"/>
    <col min="2056" max="2056" width="11.25" style="16" bestFit="1" customWidth="1"/>
    <col min="2057" max="2057" width="6.75" style="16" bestFit="1" customWidth="1"/>
    <col min="2058" max="2058" width="8.125" style="16" customWidth="1"/>
    <col min="2059" max="2059" width="10.875" style="16" customWidth="1"/>
    <col min="2060" max="2060" width="48.125" style="16" customWidth="1"/>
    <col min="2061" max="2061" width="21.75" style="16" customWidth="1"/>
    <col min="2062" max="2062" width="4.375" style="16" customWidth="1"/>
    <col min="2063" max="2063" width="4.625" style="16" customWidth="1"/>
    <col min="2064" max="2304" width="8.875" style="16"/>
    <col min="2305" max="2305" width="11.125" style="16" customWidth="1"/>
    <col min="2306" max="2306" width="7" style="16" customWidth="1"/>
    <col min="2307" max="2307" width="6" style="16" customWidth="1"/>
    <col min="2308" max="2308" width="10.625" style="16" customWidth="1"/>
    <col min="2309" max="2309" width="13.125" style="16" customWidth="1"/>
    <col min="2310" max="2310" width="6.5" style="16" customWidth="1"/>
    <col min="2311" max="2311" width="8" style="16" bestFit="1" customWidth="1"/>
    <col min="2312" max="2312" width="11.25" style="16" bestFit="1" customWidth="1"/>
    <col min="2313" max="2313" width="6.75" style="16" bestFit="1" customWidth="1"/>
    <col min="2314" max="2314" width="8.125" style="16" customWidth="1"/>
    <col min="2315" max="2315" width="10.875" style="16" customWidth="1"/>
    <col min="2316" max="2316" width="48.125" style="16" customWidth="1"/>
    <col min="2317" max="2317" width="21.75" style="16" customWidth="1"/>
    <col min="2318" max="2318" width="4.375" style="16" customWidth="1"/>
    <col min="2319" max="2319" width="4.625" style="16" customWidth="1"/>
    <col min="2320" max="2560" width="8.875" style="16"/>
    <col min="2561" max="2561" width="11.125" style="16" customWidth="1"/>
    <col min="2562" max="2562" width="7" style="16" customWidth="1"/>
    <col min="2563" max="2563" width="6" style="16" customWidth="1"/>
    <col min="2564" max="2564" width="10.625" style="16" customWidth="1"/>
    <col min="2565" max="2565" width="13.125" style="16" customWidth="1"/>
    <col min="2566" max="2566" width="6.5" style="16" customWidth="1"/>
    <col min="2567" max="2567" width="8" style="16" bestFit="1" customWidth="1"/>
    <col min="2568" max="2568" width="11.25" style="16" bestFit="1" customWidth="1"/>
    <col min="2569" max="2569" width="6.75" style="16" bestFit="1" customWidth="1"/>
    <col min="2570" max="2570" width="8.125" style="16" customWidth="1"/>
    <col min="2571" max="2571" width="10.875" style="16" customWidth="1"/>
    <col min="2572" max="2572" width="48.125" style="16" customWidth="1"/>
    <col min="2573" max="2573" width="21.75" style="16" customWidth="1"/>
    <col min="2574" max="2574" width="4.375" style="16" customWidth="1"/>
    <col min="2575" max="2575" width="4.625" style="16" customWidth="1"/>
    <col min="2576" max="2816" width="8.875" style="16"/>
    <col min="2817" max="2817" width="11.125" style="16" customWidth="1"/>
    <col min="2818" max="2818" width="7" style="16" customWidth="1"/>
    <col min="2819" max="2819" width="6" style="16" customWidth="1"/>
    <col min="2820" max="2820" width="10.625" style="16" customWidth="1"/>
    <col min="2821" max="2821" width="13.125" style="16" customWidth="1"/>
    <col min="2822" max="2822" width="6.5" style="16" customWidth="1"/>
    <col min="2823" max="2823" width="8" style="16" bestFit="1" customWidth="1"/>
    <col min="2824" max="2824" width="11.25" style="16" bestFit="1" customWidth="1"/>
    <col min="2825" max="2825" width="6.75" style="16" bestFit="1" customWidth="1"/>
    <col min="2826" max="2826" width="8.125" style="16" customWidth="1"/>
    <col min="2827" max="2827" width="10.875" style="16" customWidth="1"/>
    <col min="2828" max="2828" width="48.125" style="16" customWidth="1"/>
    <col min="2829" max="2829" width="21.75" style="16" customWidth="1"/>
    <col min="2830" max="2830" width="4.375" style="16" customWidth="1"/>
    <col min="2831" max="2831" width="4.625" style="16" customWidth="1"/>
    <col min="2832" max="3072" width="8.875" style="16"/>
    <col min="3073" max="3073" width="11.125" style="16" customWidth="1"/>
    <col min="3074" max="3074" width="7" style="16" customWidth="1"/>
    <col min="3075" max="3075" width="6" style="16" customWidth="1"/>
    <col min="3076" max="3076" width="10.625" style="16" customWidth="1"/>
    <col min="3077" max="3077" width="13.125" style="16" customWidth="1"/>
    <col min="3078" max="3078" width="6.5" style="16" customWidth="1"/>
    <col min="3079" max="3079" width="8" style="16" bestFit="1" customWidth="1"/>
    <col min="3080" max="3080" width="11.25" style="16" bestFit="1" customWidth="1"/>
    <col min="3081" max="3081" width="6.75" style="16" bestFit="1" customWidth="1"/>
    <col min="3082" max="3082" width="8.125" style="16" customWidth="1"/>
    <col min="3083" max="3083" width="10.875" style="16" customWidth="1"/>
    <col min="3084" max="3084" width="48.125" style="16" customWidth="1"/>
    <col min="3085" max="3085" width="21.75" style="16" customWidth="1"/>
    <col min="3086" max="3086" width="4.375" style="16" customWidth="1"/>
    <col min="3087" max="3087" width="4.625" style="16" customWidth="1"/>
    <col min="3088" max="3328" width="8.875" style="16"/>
    <col min="3329" max="3329" width="11.125" style="16" customWidth="1"/>
    <col min="3330" max="3330" width="7" style="16" customWidth="1"/>
    <col min="3331" max="3331" width="6" style="16" customWidth="1"/>
    <col min="3332" max="3332" width="10.625" style="16" customWidth="1"/>
    <col min="3333" max="3333" width="13.125" style="16" customWidth="1"/>
    <col min="3334" max="3334" width="6.5" style="16" customWidth="1"/>
    <col min="3335" max="3335" width="8" style="16" bestFit="1" customWidth="1"/>
    <col min="3336" max="3336" width="11.25" style="16" bestFit="1" customWidth="1"/>
    <col min="3337" max="3337" width="6.75" style="16" bestFit="1" customWidth="1"/>
    <col min="3338" max="3338" width="8.125" style="16" customWidth="1"/>
    <col min="3339" max="3339" width="10.875" style="16" customWidth="1"/>
    <col min="3340" max="3340" width="48.125" style="16" customWidth="1"/>
    <col min="3341" max="3341" width="21.75" style="16" customWidth="1"/>
    <col min="3342" max="3342" width="4.375" style="16" customWidth="1"/>
    <col min="3343" max="3343" width="4.625" style="16" customWidth="1"/>
    <col min="3344" max="3584" width="8.875" style="16"/>
    <col min="3585" max="3585" width="11.125" style="16" customWidth="1"/>
    <col min="3586" max="3586" width="7" style="16" customWidth="1"/>
    <col min="3587" max="3587" width="6" style="16" customWidth="1"/>
    <col min="3588" max="3588" width="10.625" style="16" customWidth="1"/>
    <col min="3589" max="3589" width="13.125" style="16" customWidth="1"/>
    <col min="3590" max="3590" width="6.5" style="16" customWidth="1"/>
    <col min="3591" max="3591" width="8" style="16" bestFit="1" customWidth="1"/>
    <col min="3592" max="3592" width="11.25" style="16" bestFit="1" customWidth="1"/>
    <col min="3593" max="3593" width="6.75" style="16" bestFit="1" customWidth="1"/>
    <col min="3594" max="3594" width="8.125" style="16" customWidth="1"/>
    <col min="3595" max="3595" width="10.875" style="16" customWidth="1"/>
    <col min="3596" max="3596" width="48.125" style="16" customWidth="1"/>
    <col min="3597" max="3597" width="21.75" style="16" customWidth="1"/>
    <col min="3598" max="3598" width="4.375" style="16" customWidth="1"/>
    <col min="3599" max="3599" width="4.625" style="16" customWidth="1"/>
    <col min="3600" max="3840" width="8.875" style="16"/>
    <col min="3841" max="3841" width="11.125" style="16" customWidth="1"/>
    <col min="3842" max="3842" width="7" style="16" customWidth="1"/>
    <col min="3843" max="3843" width="6" style="16" customWidth="1"/>
    <col min="3844" max="3844" width="10.625" style="16" customWidth="1"/>
    <col min="3845" max="3845" width="13.125" style="16" customWidth="1"/>
    <col min="3846" max="3846" width="6.5" style="16" customWidth="1"/>
    <col min="3847" max="3847" width="8" style="16" bestFit="1" customWidth="1"/>
    <col min="3848" max="3848" width="11.25" style="16" bestFit="1" customWidth="1"/>
    <col min="3849" max="3849" width="6.75" style="16" bestFit="1" customWidth="1"/>
    <col min="3850" max="3850" width="8.125" style="16" customWidth="1"/>
    <col min="3851" max="3851" width="10.875" style="16" customWidth="1"/>
    <col min="3852" max="3852" width="48.125" style="16" customWidth="1"/>
    <col min="3853" max="3853" width="21.75" style="16" customWidth="1"/>
    <col min="3854" max="3854" width="4.375" style="16" customWidth="1"/>
    <col min="3855" max="3855" width="4.625" style="16" customWidth="1"/>
    <col min="3856" max="4096" width="8.875" style="16"/>
    <col min="4097" max="4097" width="11.125" style="16" customWidth="1"/>
    <col min="4098" max="4098" width="7" style="16" customWidth="1"/>
    <col min="4099" max="4099" width="6" style="16" customWidth="1"/>
    <col min="4100" max="4100" width="10.625" style="16" customWidth="1"/>
    <col min="4101" max="4101" width="13.125" style="16" customWidth="1"/>
    <col min="4102" max="4102" width="6.5" style="16" customWidth="1"/>
    <col min="4103" max="4103" width="8" style="16" bestFit="1" customWidth="1"/>
    <col min="4104" max="4104" width="11.25" style="16" bestFit="1" customWidth="1"/>
    <col min="4105" max="4105" width="6.75" style="16" bestFit="1" customWidth="1"/>
    <col min="4106" max="4106" width="8.125" style="16" customWidth="1"/>
    <col min="4107" max="4107" width="10.875" style="16" customWidth="1"/>
    <col min="4108" max="4108" width="48.125" style="16" customWidth="1"/>
    <col min="4109" max="4109" width="21.75" style="16" customWidth="1"/>
    <col min="4110" max="4110" width="4.375" style="16" customWidth="1"/>
    <col min="4111" max="4111" width="4.625" style="16" customWidth="1"/>
    <col min="4112" max="4352" width="8.875" style="16"/>
    <col min="4353" max="4353" width="11.125" style="16" customWidth="1"/>
    <col min="4354" max="4354" width="7" style="16" customWidth="1"/>
    <col min="4355" max="4355" width="6" style="16" customWidth="1"/>
    <col min="4356" max="4356" width="10.625" style="16" customWidth="1"/>
    <col min="4357" max="4357" width="13.125" style="16" customWidth="1"/>
    <col min="4358" max="4358" width="6.5" style="16" customWidth="1"/>
    <col min="4359" max="4359" width="8" style="16" bestFit="1" customWidth="1"/>
    <col min="4360" max="4360" width="11.25" style="16" bestFit="1" customWidth="1"/>
    <col min="4361" max="4361" width="6.75" style="16" bestFit="1" customWidth="1"/>
    <col min="4362" max="4362" width="8.125" style="16" customWidth="1"/>
    <col min="4363" max="4363" width="10.875" style="16" customWidth="1"/>
    <col min="4364" max="4364" width="48.125" style="16" customWidth="1"/>
    <col min="4365" max="4365" width="21.75" style="16" customWidth="1"/>
    <col min="4366" max="4366" width="4.375" style="16" customWidth="1"/>
    <col min="4367" max="4367" width="4.625" style="16" customWidth="1"/>
    <col min="4368" max="4608" width="8.875" style="16"/>
    <col min="4609" max="4609" width="11.125" style="16" customWidth="1"/>
    <col min="4610" max="4610" width="7" style="16" customWidth="1"/>
    <col min="4611" max="4611" width="6" style="16" customWidth="1"/>
    <col min="4612" max="4612" width="10.625" style="16" customWidth="1"/>
    <col min="4613" max="4613" width="13.125" style="16" customWidth="1"/>
    <col min="4614" max="4614" width="6.5" style="16" customWidth="1"/>
    <col min="4615" max="4615" width="8" style="16" bestFit="1" customWidth="1"/>
    <col min="4616" max="4616" width="11.25" style="16" bestFit="1" customWidth="1"/>
    <col min="4617" max="4617" width="6.75" style="16" bestFit="1" customWidth="1"/>
    <col min="4618" max="4618" width="8.125" style="16" customWidth="1"/>
    <col min="4619" max="4619" width="10.875" style="16" customWidth="1"/>
    <col min="4620" max="4620" width="48.125" style="16" customWidth="1"/>
    <col min="4621" max="4621" width="21.75" style="16" customWidth="1"/>
    <col min="4622" max="4622" width="4.375" style="16" customWidth="1"/>
    <col min="4623" max="4623" width="4.625" style="16" customWidth="1"/>
    <col min="4624" max="4864" width="8.875" style="16"/>
    <col min="4865" max="4865" width="11.125" style="16" customWidth="1"/>
    <col min="4866" max="4866" width="7" style="16" customWidth="1"/>
    <col min="4867" max="4867" width="6" style="16" customWidth="1"/>
    <col min="4868" max="4868" width="10.625" style="16" customWidth="1"/>
    <col min="4869" max="4869" width="13.125" style="16" customWidth="1"/>
    <col min="4870" max="4870" width="6.5" style="16" customWidth="1"/>
    <col min="4871" max="4871" width="8" style="16" bestFit="1" customWidth="1"/>
    <col min="4872" max="4872" width="11.25" style="16" bestFit="1" customWidth="1"/>
    <col min="4873" max="4873" width="6.75" style="16" bestFit="1" customWidth="1"/>
    <col min="4874" max="4874" width="8.125" style="16" customWidth="1"/>
    <col min="4875" max="4875" width="10.875" style="16" customWidth="1"/>
    <col min="4876" max="4876" width="48.125" style="16" customWidth="1"/>
    <col min="4877" max="4877" width="21.75" style="16" customWidth="1"/>
    <col min="4878" max="4878" width="4.375" style="16" customWidth="1"/>
    <col min="4879" max="4879" width="4.625" style="16" customWidth="1"/>
    <col min="4880" max="5120" width="8.875" style="16"/>
    <col min="5121" max="5121" width="11.125" style="16" customWidth="1"/>
    <col min="5122" max="5122" width="7" style="16" customWidth="1"/>
    <col min="5123" max="5123" width="6" style="16" customWidth="1"/>
    <col min="5124" max="5124" width="10.625" style="16" customWidth="1"/>
    <col min="5125" max="5125" width="13.125" style="16" customWidth="1"/>
    <col min="5126" max="5126" width="6.5" style="16" customWidth="1"/>
    <col min="5127" max="5127" width="8" style="16" bestFit="1" customWidth="1"/>
    <col min="5128" max="5128" width="11.25" style="16" bestFit="1" customWidth="1"/>
    <col min="5129" max="5129" width="6.75" style="16" bestFit="1" customWidth="1"/>
    <col min="5130" max="5130" width="8.125" style="16" customWidth="1"/>
    <col min="5131" max="5131" width="10.875" style="16" customWidth="1"/>
    <col min="5132" max="5132" width="48.125" style="16" customWidth="1"/>
    <col min="5133" max="5133" width="21.75" style="16" customWidth="1"/>
    <col min="5134" max="5134" width="4.375" style="16" customWidth="1"/>
    <col min="5135" max="5135" width="4.625" style="16" customWidth="1"/>
    <col min="5136" max="5376" width="8.875" style="16"/>
    <col min="5377" max="5377" width="11.125" style="16" customWidth="1"/>
    <col min="5378" max="5378" width="7" style="16" customWidth="1"/>
    <col min="5379" max="5379" width="6" style="16" customWidth="1"/>
    <col min="5380" max="5380" width="10.625" style="16" customWidth="1"/>
    <col min="5381" max="5381" width="13.125" style="16" customWidth="1"/>
    <col min="5382" max="5382" width="6.5" style="16" customWidth="1"/>
    <col min="5383" max="5383" width="8" style="16" bestFit="1" customWidth="1"/>
    <col min="5384" max="5384" width="11.25" style="16" bestFit="1" customWidth="1"/>
    <col min="5385" max="5385" width="6.75" style="16" bestFit="1" customWidth="1"/>
    <col min="5386" max="5386" width="8.125" style="16" customWidth="1"/>
    <col min="5387" max="5387" width="10.875" style="16" customWidth="1"/>
    <col min="5388" max="5388" width="48.125" style="16" customWidth="1"/>
    <col min="5389" max="5389" width="21.75" style="16" customWidth="1"/>
    <col min="5390" max="5390" width="4.375" style="16" customWidth="1"/>
    <col min="5391" max="5391" width="4.625" style="16" customWidth="1"/>
    <col min="5392" max="5632" width="8.875" style="16"/>
    <col min="5633" max="5633" width="11.125" style="16" customWidth="1"/>
    <col min="5634" max="5634" width="7" style="16" customWidth="1"/>
    <col min="5635" max="5635" width="6" style="16" customWidth="1"/>
    <col min="5636" max="5636" width="10.625" style="16" customWidth="1"/>
    <col min="5637" max="5637" width="13.125" style="16" customWidth="1"/>
    <col min="5638" max="5638" width="6.5" style="16" customWidth="1"/>
    <col min="5639" max="5639" width="8" style="16" bestFit="1" customWidth="1"/>
    <col min="5640" max="5640" width="11.25" style="16" bestFit="1" customWidth="1"/>
    <col min="5641" max="5641" width="6.75" style="16" bestFit="1" customWidth="1"/>
    <col min="5642" max="5642" width="8.125" style="16" customWidth="1"/>
    <col min="5643" max="5643" width="10.875" style="16" customWidth="1"/>
    <col min="5644" max="5644" width="48.125" style="16" customWidth="1"/>
    <col min="5645" max="5645" width="21.75" style="16" customWidth="1"/>
    <col min="5646" max="5646" width="4.375" style="16" customWidth="1"/>
    <col min="5647" max="5647" width="4.625" style="16" customWidth="1"/>
    <col min="5648" max="5888" width="8.875" style="16"/>
    <col min="5889" max="5889" width="11.125" style="16" customWidth="1"/>
    <col min="5890" max="5890" width="7" style="16" customWidth="1"/>
    <col min="5891" max="5891" width="6" style="16" customWidth="1"/>
    <col min="5892" max="5892" width="10.625" style="16" customWidth="1"/>
    <col min="5893" max="5893" width="13.125" style="16" customWidth="1"/>
    <col min="5894" max="5894" width="6.5" style="16" customWidth="1"/>
    <col min="5895" max="5895" width="8" style="16" bestFit="1" customWidth="1"/>
    <col min="5896" max="5896" width="11.25" style="16" bestFit="1" customWidth="1"/>
    <col min="5897" max="5897" width="6.75" style="16" bestFit="1" customWidth="1"/>
    <col min="5898" max="5898" width="8.125" style="16" customWidth="1"/>
    <col min="5899" max="5899" width="10.875" style="16" customWidth="1"/>
    <col min="5900" max="5900" width="48.125" style="16" customWidth="1"/>
    <col min="5901" max="5901" width="21.75" style="16" customWidth="1"/>
    <col min="5902" max="5902" width="4.375" style="16" customWidth="1"/>
    <col min="5903" max="5903" width="4.625" style="16" customWidth="1"/>
    <col min="5904" max="6144" width="8.875" style="16"/>
    <col min="6145" max="6145" width="11.125" style="16" customWidth="1"/>
    <col min="6146" max="6146" width="7" style="16" customWidth="1"/>
    <col min="6147" max="6147" width="6" style="16" customWidth="1"/>
    <col min="6148" max="6148" width="10.625" style="16" customWidth="1"/>
    <col min="6149" max="6149" width="13.125" style="16" customWidth="1"/>
    <col min="6150" max="6150" width="6.5" style="16" customWidth="1"/>
    <col min="6151" max="6151" width="8" style="16" bestFit="1" customWidth="1"/>
    <col min="6152" max="6152" width="11.25" style="16" bestFit="1" customWidth="1"/>
    <col min="6153" max="6153" width="6.75" style="16" bestFit="1" customWidth="1"/>
    <col min="6154" max="6154" width="8.125" style="16" customWidth="1"/>
    <col min="6155" max="6155" width="10.875" style="16" customWidth="1"/>
    <col min="6156" max="6156" width="48.125" style="16" customWidth="1"/>
    <col min="6157" max="6157" width="21.75" style="16" customWidth="1"/>
    <col min="6158" max="6158" width="4.375" style="16" customWidth="1"/>
    <col min="6159" max="6159" width="4.625" style="16" customWidth="1"/>
    <col min="6160" max="6400" width="8.875" style="16"/>
    <col min="6401" max="6401" width="11.125" style="16" customWidth="1"/>
    <col min="6402" max="6402" width="7" style="16" customWidth="1"/>
    <col min="6403" max="6403" width="6" style="16" customWidth="1"/>
    <col min="6404" max="6404" width="10.625" style="16" customWidth="1"/>
    <col min="6405" max="6405" width="13.125" style="16" customWidth="1"/>
    <col min="6406" max="6406" width="6.5" style="16" customWidth="1"/>
    <col min="6407" max="6407" width="8" style="16" bestFit="1" customWidth="1"/>
    <col min="6408" max="6408" width="11.25" style="16" bestFit="1" customWidth="1"/>
    <col min="6409" max="6409" width="6.75" style="16" bestFit="1" customWidth="1"/>
    <col min="6410" max="6410" width="8.125" style="16" customWidth="1"/>
    <col min="6411" max="6411" width="10.875" style="16" customWidth="1"/>
    <col min="6412" max="6412" width="48.125" style="16" customWidth="1"/>
    <col min="6413" max="6413" width="21.75" style="16" customWidth="1"/>
    <col min="6414" max="6414" width="4.375" style="16" customWidth="1"/>
    <col min="6415" max="6415" width="4.625" style="16" customWidth="1"/>
    <col min="6416" max="6656" width="8.875" style="16"/>
    <col min="6657" max="6657" width="11.125" style="16" customWidth="1"/>
    <col min="6658" max="6658" width="7" style="16" customWidth="1"/>
    <col min="6659" max="6659" width="6" style="16" customWidth="1"/>
    <col min="6660" max="6660" width="10.625" style="16" customWidth="1"/>
    <col min="6661" max="6661" width="13.125" style="16" customWidth="1"/>
    <col min="6662" max="6662" width="6.5" style="16" customWidth="1"/>
    <col min="6663" max="6663" width="8" style="16" bestFit="1" customWidth="1"/>
    <col min="6664" max="6664" width="11.25" style="16" bestFit="1" customWidth="1"/>
    <col min="6665" max="6665" width="6.75" style="16" bestFit="1" customWidth="1"/>
    <col min="6666" max="6666" width="8.125" style="16" customWidth="1"/>
    <col min="6667" max="6667" width="10.875" style="16" customWidth="1"/>
    <col min="6668" max="6668" width="48.125" style="16" customWidth="1"/>
    <col min="6669" max="6669" width="21.75" style="16" customWidth="1"/>
    <col min="6670" max="6670" width="4.375" style="16" customWidth="1"/>
    <col min="6671" max="6671" width="4.625" style="16" customWidth="1"/>
    <col min="6672" max="6912" width="8.875" style="16"/>
    <col min="6913" max="6913" width="11.125" style="16" customWidth="1"/>
    <col min="6914" max="6914" width="7" style="16" customWidth="1"/>
    <col min="6915" max="6915" width="6" style="16" customWidth="1"/>
    <col min="6916" max="6916" width="10.625" style="16" customWidth="1"/>
    <col min="6917" max="6917" width="13.125" style="16" customWidth="1"/>
    <col min="6918" max="6918" width="6.5" style="16" customWidth="1"/>
    <col min="6919" max="6919" width="8" style="16" bestFit="1" customWidth="1"/>
    <col min="6920" max="6920" width="11.25" style="16" bestFit="1" customWidth="1"/>
    <col min="6921" max="6921" width="6.75" style="16" bestFit="1" customWidth="1"/>
    <col min="6922" max="6922" width="8.125" style="16" customWidth="1"/>
    <col min="6923" max="6923" width="10.875" style="16" customWidth="1"/>
    <col min="6924" max="6924" width="48.125" style="16" customWidth="1"/>
    <col min="6925" max="6925" width="21.75" style="16" customWidth="1"/>
    <col min="6926" max="6926" width="4.375" style="16" customWidth="1"/>
    <col min="6927" max="6927" width="4.625" style="16" customWidth="1"/>
    <col min="6928" max="7168" width="8.875" style="16"/>
    <col min="7169" max="7169" width="11.125" style="16" customWidth="1"/>
    <col min="7170" max="7170" width="7" style="16" customWidth="1"/>
    <col min="7171" max="7171" width="6" style="16" customWidth="1"/>
    <col min="7172" max="7172" width="10.625" style="16" customWidth="1"/>
    <col min="7173" max="7173" width="13.125" style="16" customWidth="1"/>
    <col min="7174" max="7174" width="6.5" style="16" customWidth="1"/>
    <col min="7175" max="7175" width="8" style="16" bestFit="1" customWidth="1"/>
    <col min="7176" max="7176" width="11.25" style="16" bestFit="1" customWidth="1"/>
    <col min="7177" max="7177" width="6.75" style="16" bestFit="1" customWidth="1"/>
    <col min="7178" max="7178" width="8.125" style="16" customWidth="1"/>
    <col min="7179" max="7179" width="10.875" style="16" customWidth="1"/>
    <col min="7180" max="7180" width="48.125" style="16" customWidth="1"/>
    <col min="7181" max="7181" width="21.75" style="16" customWidth="1"/>
    <col min="7182" max="7182" width="4.375" style="16" customWidth="1"/>
    <col min="7183" max="7183" width="4.625" style="16" customWidth="1"/>
    <col min="7184" max="7424" width="8.875" style="16"/>
    <col min="7425" max="7425" width="11.125" style="16" customWidth="1"/>
    <col min="7426" max="7426" width="7" style="16" customWidth="1"/>
    <col min="7427" max="7427" width="6" style="16" customWidth="1"/>
    <col min="7428" max="7428" width="10.625" style="16" customWidth="1"/>
    <col min="7429" max="7429" width="13.125" style="16" customWidth="1"/>
    <col min="7430" max="7430" width="6.5" style="16" customWidth="1"/>
    <col min="7431" max="7431" width="8" style="16" bestFit="1" customWidth="1"/>
    <col min="7432" max="7432" width="11.25" style="16" bestFit="1" customWidth="1"/>
    <col min="7433" max="7433" width="6.75" style="16" bestFit="1" customWidth="1"/>
    <col min="7434" max="7434" width="8.125" style="16" customWidth="1"/>
    <col min="7435" max="7435" width="10.875" style="16" customWidth="1"/>
    <col min="7436" max="7436" width="48.125" style="16" customWidth="1"/>
    <col min="7437" max="7437" width="21.75" style="16" customWidth="1"/>
    <col min="7438" max="7438" width="4.375" style="16" customWidth="1"/>
    <col min="7439" max="7439" width="4.625" style="16" customWidth="1"/>
    <col min="7440" max="7680" width="8.875" style="16"/>
    <col min="7681" max="7681" width="11.125" style="16" customWidth="1"/>
    <col min="7682" max="7682" width="7" style="16" customWidth="1"/>
    <col min="7683" max="7683" width="6" style="16" customWidth="1"/>
    <col min="7684" max="7684" width="10.625" style="16" customWidth="1"/>
    <col min="7685" max="7685" width="13.125" style="16" customWidth="1"/>
    <col min="7686" max="7686" width="6.5" style="16" customWidth="1"/>
    <col min="7687" max="7687" width="8" style="16" bestFit="1" customWidth="1"/>
    <col min="7688" max="7688" width="11.25" style="16" bestFit="1" customWidth="1"/>
    <col min="7689" max="7689" width="6.75" style="16" bestFit="1" customWidth="1"/>
    <col min="7690" max="7690" width="8.125" style="16" customWidth="1"/>
    <col min="7691" max="7691" width="10.875" style="16" customWidth="1"/>
    <col min="7692" max="7692" width="48.125" style="16" customWidth="1"/>
    <col min="7693" max="7693" width="21.75" style="16" customWidth="1"/>
    <col min="7694" max="7694" width="4.375" style="16" customWidth="1"/>
    <col min="7695" max="7695" width="4.625" style="16" customWidth="1"/>
    <col min="7696" max="7936" width="8.875" style="16"/>
    <col min="7937" max="7937" width="11.125" style="16" customWidth="1"/>
    <col min="7938" max="7938" width="7" style="16" customWidth="1"/>
    <col min="7939" max="7939" width="6" style="16" customWidth="1"/>
    <col min="7940" max="7940" width="10.625" style="16" customWidth="1"/>
    <col min="7941" max="7941" width="13.125" style="16" customWidth="1"/>
    <col min="7942" max="7942" width="6.5" style="16" customWidth="1"/>
    <col min="7943" max="7943" width="8" style="16" bestFit="1" customWidth="1"/>
    <col min="7944" max="7944" width="11.25" style="16" bestFit="1" customWidth="1"/>
    <col min="7945" max="7945" width="6.75" style="16" bestFit="1" customWidth="1"/>
    <col min="7946" max="7946" width="8.125" style="16" customWidth="1"/>
    <col min="7947" max="7947" width="10.875" style="16" customWidth="1"/>
    <col min="7948" max="7948" width="48.125" style="16" customWidth="1"/>
    <col min="7949" max="7949" width="21.75" style="16" customWidth="1"/>
    <col min="7950" max="7950" width="4.375" style="16" customWidth="1"/>
    <col min="7951" max="7951" width="4.625" style="16" customWidth="1"/>
    <col min="7952" max="8192" width="8.875" style="16"/>
    <col min="8193" max="8193" width="11.125" style="16" customWidth="1"/>
    <col min="8194" max="8194" width="7" style="16" customWidth="1"/>
    <col min="8195" max="8195" width="6" style="16" customWidth="1"/>
    <col min="8196" max="8196" width="10.625" style="16" customWidth="1"/>
    <col min="8197" max="8197" width="13.125" style="16" customWidth="1"/>
    <col min="8198" max="8198" width="6.5" style="16" customWidth="1"/>
    <col min="8199" max="8199" width="8" style="16" bestFit="1" customWidth="1"/>
    <col min="8200" max="8200" width="11.25" style="16" bestFit="1" customWidth="1"/>
    <col min="8201" max="8201" width="6.75" style="16" bestFit="1" customWidth="1"/>
    <col min="8202" max="8202" width="8.125" style="16" customWidth="1"/>
    <col min="8203" max="8203" width="10.875" style="16" customWidth="1"/>
    <col min="8204" max="8204" width="48.125" style="16" customWidth="1"/>
    <col min="8205" max="8205" width="21.75" style="16" customWidth="1"/>
    <col min="8206" max="8206" width="4.375" style="16" customWidth="1"/>
    <col min="8207" max="8207" width="4.625" style="16" customWidth="1"/>
    <col min="8208" max="8448" width="8.875" style="16"/>
    <col min="8449" max="8449" width="11.125" style="16" customWidth="1"/>
    <col min="8450" max="8450" width="7" style="16" customWidth="1"/>
    <col min="8451" max="8451" width="6" style="16" customWidth="1"/>
    <col min="8452" max="8452" width="10.625" style="16" customWidth="1"/>
    <col min="8453" max="8453" width="13.125" style="16" customWidth="1"/>
    <col min="8454" max="8454" width="6.5" style="16" customWidth="1"/>
    <col min="8455" max="8455" width="8" style="16" bestFit="1" customWidth="1"/>
    <col min="8456" max="8456" width="11.25" style="16" bestFit="1" customWidth="1"/>
    <col min="8457" max="8457" width="6.75" style="16" bestFit="1" customWidth="1"/>
    <col min="8458" max="8458" width="8.125" style="16" customWidth="1"/>
    <col min="8459" max="8459" width="10.875" style="16" customWidth="1"/>
    <col min="8460" max="8460" width="48.125" style="16" customWidth="1"/>
    <col min="8461" max="8461" width="21.75" style="16" customWidth="1"/>
    <col min="8462" max="8462" width="4.375" style="16" customWidth="1"/>
    <col min="8463" max="8463" width="4.625" style="16" customWidth="1"/>
    <col min="8464" max="8704" width="8.875" style="16"/>
    <col min="8705" max="8705" width="11.125" style="16" customWidth="1"/>
    <col min="8706" max="8706" width="7" style="16" customWidth="1"/>
    <col min="8707" max="8707" width="6" style="16" customWidth="1"/>
    <col min="8708" max="8708" width="10.625" style="16" customWidth="1"/>
    <col min="8709" max="8709" width="13.125" style="16" customWidth="1"/>
    <col min="8710" max="8710" width="6.5" style="16" customWidth="1"/>
    <col min="8711" max="8711" width="8" style="16" bestFit="1" customWidth="1"/>
    <col min="8712" max="8712" width="11.25" style="16" bestFit="1" customWidth="1"/>
    <col min="8713" max="8713" width="6.75" style="16" bestFit="1" customWidth="1"/>
    <col min="8714" max="8714" width="8.125" style="16" customWidth="1"/>
    <col min="8715" max="8715" width="10.875" style="16" customWidth="1"/>
    <col min="8716" max="8716" width="48.125" style="16" customWidth="1"/>
    <col min="8717" max="8717" width="21.75" style="16" customWidth="1"/>
    <col min="8718" max="8718" width="4.375" style="16" customWidth="1"/>
    <col min="8719" max="8719" width="4.625" style="16" customWidth="1"/>
    <col min="8720" max="8960" width="8.875" style="16"/>
    <col min="8961" max="8961" width="11.125" style="16" customWidth="1"/>
    <col min="8962" max="8962" width="7" style="16" customWidth="1"/>
    <col min="8963" max="8963" width="6" style="16" customWidth="1"/>
    <col min="8964" max="8964" width="10.625" style="16" customWidth="1"/>
    <col min="8965" max="8965" width="13.125" style="16" customWidth="1"/>
    <col min="8966" max="8966" width="6.5" style="16" customWidth="1"/>
    <col min="8967" max="8967" width="8" style="16" bestFit="1" customWidth="1"/>
    <col min="8968" max="8968" width="11.25" style="16" bestFit="1" customWidth="1"/>
    <col min="8969" max="8969" width="6.75" style="16" bestFit="1" customWidth="1"/>
    <col min="8970" max="8970" width="8.125" style="16" customWidth="1"/>
    <col min="8971" max="8971" width="10.875" style="16" customWidth="1"/>
    <col min="8972" max="8972" width="48.125" style="16" customWidth="1"/>
    <col min="8973" max="8973" width="21.75" style="16" customWidth="1"/>
    <col min="8974" max="8974" width="4.375" style="16" customWidth="1"/>
    <col min="8975" max="8975" width="4.625" style="16" customWidth="1"/>
    <col min="8976" max="9216" width="8.875" style="16"/>
    <col min="9217" max="9217" width="11.125" style="16" customWidth="1"/>
    <col min="9218" max="9218" width="7" style="16" customWidth="1"/>
    <col min="9219" max="9219" width="6" style="16" customWidth="1"/>
    <col min="9220" max="9220" width="10.625" style="16" customWidth="1"/>
    <col min="9221" max="9221" width="13.125" style="16" customWidth="1"/>
    <col min="9222" max="9222" width="6.5" style="16" customWidth="1"/>
    <col min="9223" max="9223" width="8" style="16" bestFit="1" customWidth="1"/>
    <col min="9224" max="9224" width="11.25" style="16" bestFit="1" customWidth="1"/>
    <col min="9225" max="9225" width="6.75" style="16" bestFit="1" customWidth="1"/>
    <col min="9226" max="9226" width="8.125" style="16" customWidth="1"/>
    <col min="9227" max="9227" width="10.875" style="16" customWidth="1"/>
    <col min="9228" max="9228" width="48.125" style="16" customWidth="1"/>
    <col min="9229" max="9229" width="21.75" style="16" customWidth="1"/>
    <col min="9230" max="9230" width="4.375" style="16" customWidth="1"/>
    <col min="9231" max="9231" width="4.625" style="16" customWidth="1"/>
    <col min="9232" max="9472" width="8.875" style="16"/>
    <col min="9473" max="9473" width="11.125" style="16" customWidth="1"/>
    <col min="9474" max="9474" width="7" style="16" customWidth="1"/>
    <col min="9475" max="9475" width="6" style="16" customWidth="1"/>
    <col min="9476" max="9476" width="10.625" style="16" customWidth="1"/>
    <col min="9477" max="9477" width="13.125" style="16" customWidth="1"/>
    <col min="9478" max="9478" width="6.5" style="16" customWidth="1"/>
    <col min="9479" max="9479" width="8" style="16" bestFit="1" customWidth="1"/>
    <col min="9480" max="9480" width="11.25" style="16" bestFit="1" customWidth="1"/>
    <col min="9481" max="9481" width="6.75" style="16" bestFit="1" customWidth="1"/>
    <col min="9482" max="9482" width="8.125" style="16" customWidth="1"/>
    <col min="9483" max="9483" width="10.875" style="16" customWidth="1"/>
    <col min="9484" max="9484" width="48.125" style="16" customWidth="1"/>
    <col min="9485" max="9485" width="21.75" style="16" customWidth="1"/>
    <col min="9486" max="9486" width="4.375" style="16" customWidth="1"/>
    <col min="9487" max="9487" width="4.625" style="16" customWidth="1"/>
    <col min="9488" max="9728" width="8.875" style="16"/>
    <col min="9729" max="9729" width="11.125" style="16" customWidth="1"/>
    <col min="9730" max="9730" width="7" style="16" customWidth="1"/>
    <col min="9731" max="9731" width="6" style="16" customWidth="1"/>
    <col min="9732" max="9732" width="10.625" style="16" customWidth="1"/>
    <col min="9733" max="9733" width="13.125" style="16" customWidth="1"/>
    <col min="9734" max="9734" width="6.5" style="16" customWidth="1"/>
    <col min="9735" max="9735" width="8" style="16" bestFit="1" customWidth="1"/>
    <col min="9736" max="9736" width="11.25" style="16" bestFit="1" customWidth="1"/>
    <col min="9737" max="9737" width="6.75" style="16" bestFit="1" customWidth="1"/>
    <col min="9738" max="9738" width="8.125" style="16" customWidth="1"/>
    <col min="9739" max="9739" width="10.875" style="16" customWidth="1"/>
    <col min="9740" max="9740" width="48.125" style="16" customWidth="1"/>
    <col min="9741" max="9741" width="21.75" style="16" customWidth="1"/>
    <col min="9742" max="9742" width="4.375" style="16" customWidth="1"/>
    <col min="9743" max="9743" width="4.625" style="16" customWidth="1"/>
    <col min="9744" max="9984" width="8.875" style="16"/>
    <col min="9985" max="9985" width="11.125" style="16" customWidth="1"/>
    <col min="9986" max="9986" width="7" style="16" customWidth="1"/>
    <col min="9987" max="9987" width="6" style="16" customWidth="1"/>
    <col min="9988" max="9988" width="10.625" style="16" customWidth="1"/>
    <col min="9989" max="9989" width="13.125" style="16" customWidth="1"/>
    <col min="9990" max="9990" width="6.5" style="16" customWidth="1"/>
    <col min="9991" max="9991" width="8" style="16" bestFit="1" customWidth="1"/>
    <col min="9992" max="9992" width="11.25" style="16" bestFit="1" customWidth="1"/>
    <col min="9993" max="9993" width="6.75" style="16" bestFit="1" customWidth="1"/>
    <col min="9994" max="9994" width="8.125" style="16" customWidth="1"/>
    <col min="9995" max="9995" width="10.875" style="16" customWidth="1"/>
    <col min="9996" max="9996" width="48.125" style="16" customWidth="1"/>
    <col min="9997" max="9997" width="21.75" style="16" customWidth="1"/>
    <col min="9998" max="9998" width="4.375" style="16" customWidth="1"/>
    <col min="9999" max="9999" width="4.625" style="16" customWidth="1"/>
    <col min="10000" max="10240" width="8.875" style="16"/>
    <col min="10241" max="10241" width="11.125" style="16" customWidth="1"/>
    <col min="10242" max="10242" width="7" style="16" customWidth="1"/>
    <col min="10243" max="10243" width="6" style="16" customWidth="1"/>
    <col min="10244" max="10244" width="10.625" style="16" customWidth="1"/>
    <col min="10245" max="10245" width="13.125" style="16" customWidth="1"/>
    <col min="10246" max="10246" width="6.5" style="16" customWidth="1"/>
    <col min="10247" max="10247" width="8" style="16" bestFit="1" customWidth="1"/>
    <col min="10248" max="10248" width="11.25" style="16" bestFit="1" customWidth="1"/>
    <col min="10249" max="10249" width="6.75" style="16" bestFit="1" customWidth="1"/>
    <col min="10250" max="10250" width="8.125" style="16" customWidth="1"/>
    <col min="10251" max="10251" width="10.875" style="16" customWidth="1"/>
    <col min="10252" max="10252" width="48.125" style="16" customWidth="1"/>
    <col min="10253" max="10253" width="21.75" style="16" customWidth="1"/>
    <col min="10254" max="10254" width="4.375" style="16" customWidth="1"/>
    <col min="10255" max="10255" width="4.625" style="16" customWidth="1"/>
    <col min="10256" max="10496" width="8.875" style="16"/>
    <col min="10497" max="10497" width="11.125" style="16" customWidth="1"/>
    <col min="10498" max="10498" width="7" style="16" customWidth="1"/>
    <col min="10499" max="10499" width="6" style="16" customWidth="1"/>
    <col min="10500" max="10500" width="10.625" style="16" customWidth="1"/>
    <col min="10501" max="10501" width="13.125" style="16" customWidth="1"/>
    <col min="10502" max="10502" width="6.5" style="16" customWidth="1"/>
    <col min="10503" max="10503" width="8" style="16" bestFit="1" customWidth="1"/>
    <col min="10504" max="10504" width="11.25" style="16" bestFit="1" customWidth="1"/>
    <col min="10505" max="10505" width="6.75" style="16" bestFit="1" customWidth="1"/>
    <col min="10506" max="10506" width="8.125" style="16" customWidth="1"/>
    <col min="10507" max="10507" width="10.875" style="16" customWidth="1"/>
    <col min="10508" max="10508" width="48.125" style="16" customWidth="1"/>
    <col min="10509" max="10509" width="21.75" style="16" customWidth="1"/>
    <col min="10510" max="10510" width="4.375" style="16" customWidth="1"/>
    <col min="10511" max="10511" width="4.625" style="16" customWidth="1"/>
    <col min="10512" max="10752" width="8.875" style="16"/>
    <col min="10753" max="10753" width="11.125" style="16" customWidth="1"/>
    <col min="10754" max="10754" width="7" style="16" customWidth="1"/>
    <col min="10755" max="10755" width="6" style="16" customWidth="1"/>
    <col min="10756" max="10756" width="10.625" style="16" customWidth="1"/>
    <col min="10757" max="10757" width="13.125" style="16" customWidth="1"/>
    <col min="10758" max="10758" width="6.5" style="16" customWidth="1"/>
    <col min="10759" max="10759" width="8" style="16" bestFit="1" customWidth="1"/>
    <col min="10760" max="10760" width="11.25" style="16" bestFit="1" customWidth="1"/>
    <col min="10761" max="10761" width="6.75" style="16" bestFit="1" customWidth="1"/>
    <col min="10762" max="10762" width="8.125" style="16" customWidth="1"/>
    <col min="10763" max="10763" width="10.875" style="16" customWidth="1"/>
    <col min="10764" max="10764" width="48.125" style="16" customWidth="1"/>
    <col min="10765" max="10765" width="21.75" style="16" customWidth="1"/>
    <col min="10766" max="10766" width="4.375" style="16" customWidth="1"/>
    <col min="10767" max="10767" width="4.625" style="16" customWidth="1"/>
    <col min="10768" max="11008" width="8.875" style="16"/>
    <col min="11009" max="11009" width="11.125" style="16" customWidth="1"/>
    <col min="11010" max="11010" width="7" style="16" customWidth="1"/>
    <col min="11011" max="11011" width="6" style="16" customWidth="1"/>
    <col min="11012" max="11012" width="10.625" style="16" customWidth="1"/>
    <col min="11013" max="11013" width="13.125" style="16" customWidth="1"/>
    <col min="11014" max="11014" width="6.5" style="16" customWidth="1"/>
    <col min="11015" max="11015" width="8" style="16" bestFit="1" customWidth="1"/>
    <col min="11016" max="11016" width="11.25" style="16" bestFit="1" customWidth="1"/>
    <col min="11017" max="11017" width="6.75" style="16" bestFit="1" customWidth="1"/>
    <col min="11018" max="11018" width="8.125" style="16" customWidth="1"/>
    <col min="11019" max="11019" width="10.875" style="16" customWidth="1"/>
    <col min="11020" max="11020" width="48.125" style="16" customWidth="1"/>
    <col min="11021" max="11021" width="21.75" style="16" customWidth="1"/>
    <col min="11022" max="11022" width="4.375" style="16" customWidth="1"/>
    <col min="11023" max="11023" width="4.625" style="16" customWidth="1"/>
    <col min="11024" max="11264" width="8.875" style="16"/>
    <col min="11265" max="11265" width="11.125" style="16" customWidth="1"/>
    <col min="11266" max="11266" width="7" style="16" customWidth="1"/>
    <col min="11267" max="11267" width="6" style="16" customWidth="1"/>
    <col min="11268" max="11268" width="10.625" style="16" customWidth="1"/>
    <col min="11269" max="11269" width="13.125" style="16" customWidth="1"/>
    <col min="11270" max="11270" width="6.5" style="16" customWidth="1"/>
    <col min="11271" max="11271" width="8" style="16" bestFit="1" customWidth="1"/>
    <col min="11272" max="11272" width="11.25" style="16" bestFit="1" customWidth="1"/>
    <col min="11273" max="11273" width="6.75" style="16" bestFit="1" customWidth="1"/>
    <col min="11274" max="11274" width="8.125" style="16" customWidth="1"/>
    <col min="11275" max="11275" width="10.875" style="16" customWidth="1"/>
    <col min="11276" max="11276" width="48.125" style="16" customWidth="1"/>
    <col min="11277" max="11277" width="21.75" style="16" customWidth="1"/>
    <col min="11278" max="11278" width="4.375" style="16" customWidth="1"/>
    <col min="11279" max="11279" width="4.625" style="16" customWidth="1"/>
    <col min="11280" max="11520" width="8.875" style="16"/>
    <col min="11521" max="11521" width="11.125" style="16" customWidth="1"/>
    <col min="11522" max="11522" width="7" style="16" customWidth="1"/>
    <col min="11523" max="11523" width="6" style="16" customWidth="1"/>
    <col min="11524" max="11524" width="10.625" style="16" customWidth="1"/>
    <col min="11525" max="11525" width="13.125" style="16" customWidth="1"/>
    <col min="11526" max="11526" width="6.5" style="16" customWidth="1"/>
    <col min="11527" max="11527" width="8" style="16" bestFit="1" customWidth="1"/>
    <col min="11528" max="11528" width="11.25" style="16" bestFit="1" customWidth="1"/>
    <col min="11529" max="11529" width="6.75" style="16" bestFit="1" customWidth="1"/>
    <col min="11530" max="11530" width="8.125" style="16" customWidth="1"/>
    <col min="11531" max="11531" width="10.875" style="16" customWidth="1"/>
    <col min="11532" max="11532" width="48.125" style="16" customWidth="1"/>
    <col min="11533" max="11533" width="21.75" style="16" customWidth="1"/>
    <col min="11534" max="11534" width="4.375" style="16" customWidth="1"/>
    <col min="11535" max="11535" width="4.625" style="16" customWidth="1"/>
    <col min="11536" max="11776" width="8.875" style="16"/>
    <col min="11777" max="11777" width="11.125" style="16" customWidth="1"/>
    <col min="11778" max="11778" width="7" style="16" customWidth="1"/>
    <col min="11779" max="11779" width="6" style="16" customWidth="1"/>
    <col min="11780" max="11780" width="10.625" style="16" customWidth="1"/>
    <col min="11781" max="11781" width="13.125" style="16" customWidth="1"/>
    <col min="11782" max="11782" width="6.5" style="16" customWidth="1"/>
    <col min="11783" max="11783" width="8" style="16" bestFit="1" customWidth="1"/>
    <col min="11784" max="11784" width="11.25" style="16" bestFit="1" customWidth="1"/>
    <col min="11785" max="11785" width="6.75" style="16" bestFit="1" customWidth="1"/>
    <col min="11786" max="11786" width="8.125" style="16" customWidth="1"/>
    <col min="11787" max="11787" width="10.875" style="16" customWidth="1"/>
    <col min="11788" max="11788" width="48.125" style="16" customWidth="1"/>
    <col min="11789" max="11789" width="21.75" style="16" customWidth="1"/>
    <col min="11790" max="11790" width="4.375" style="16" customWidth="1"/>
    <col min="11791" max="11791" width="4.625" style="16" customWidth="1"/>
    <col min="11792" max="12032" width="8.875" style="16"/>
    <col min="12033" max="12033" width="11.125" style="16" customWidth="1"/>
    <col min="12034" max="12034" width="7" style="16" customWidth="1"/>
    <col min="12035" max="12035" width="6" style="16" customWidth="1"/>
    <col min="12036" max="12036" width="10.625" style="16" customWidth="1"/>
    <col min="12037" max="12037" width="13.125" style="16" customWidth="1"/>
    <col min="12038" max="12038" width="6.5" style="16" customWidth="1"/>
    <col min="12039" max="12039" width="8" style="16" bestFit="1" customWidth="1"/>
    <col min="12040" max="12040" width="11.25" style="16" bestFit="1" customWidth="1"/>
    <col min="12041" max="12041" width="6.75" style="16" bestFit="1" customWidth="1"/>
    <col min="12042" max="12042" width="8.125" style="16" customWidth="1"/>
    <col min="12043" max="12043" width="10.875" style="16" customWidth="1"/>
    <col min="12044" max="12044" width="48.125" style="16" customWidth="1"/>
    <col min="12045" max="12045" width="21.75" style="16" customWidth="1"/>
    <col min="12046" max="12046" width="4.375" style="16" customWidth="1"/>
    <col min="12047" max="12047" width="4.625" style="16" customWidth="1"/>
    <col min="12048" max="12288" width="8.875" style="16"/>
    <col min="12289" max="12289" width="11.125" style="16" customWidth="1"/>
    <col min="12290" max="12290" width="7" style="16" customWidth="1"/>
    <col min="12291" max="12291" width="6" style="16" customWidth="1"/>
    <col min="12292" max="12292" width="10.625" style="16" customWidth="1"/>
    <col min="12293" max="12293" width="13.125" style="16" customWidth="1"/>
    <col min="12294" max="12294" width="6.5" style="16" customWidth="1"/>
    <col min="12295" max="12295" width="8" style="16" bestFit="1" customWidth="1"/>
    <col min="12296" max="12296" width="11.25" style="16" bestFit="1" customWidth="1"/>
    <col min="12297" max="12297" width="6.75" style="16" bestFit="1" customWidth="1"/>
    <col min="12298" max="12298" width="8.125" style="16" customWidth="1"/>
    <col min="12299" max="12299" width="10.875" style="16" customWidth="1"/>
    <col min="12300" max="12300" width="48.125" style="16" customWidth="1"/>
    <col min="12301" max="12301" width="21.75" style="16" customWidth="1"/>
    <col min="12302" max="12302" width="4.375" style="16" customWidth="1"/>
    <col min="12303" max="12303" width="4.625" style="16" customWidth="1"/>
    <col min="12304" max="12544" width="8.875" style="16"/>
    <col min="12545" max="12545" width="11.125" style="16" customWidth="1"/>
    <col min="12546" max="12546" width="7" style="16" customWidth="1"/>
    <col min="12547" max="12547" width="6" style="16" customWidth="1"/>
    <col min="12548" max="12548" width="10.625" style="16" customWidth="1"/>
    <col min="12549" max="12549" width="13.125" style="16" customWidth="1"/>
    <col min="12550" max="12550" width="6.5" style="16" customWidth="1"/>
    <col min="12551" max="12551" width="8" style="16" bestFit="1" customWidth="1"/>
    <col min="12552" max="12552" width="11.25" style="16" bestFit="1" customWidth="1"/>
    <col min="12553" max="12553" width="6.75" style="16" bestFit="1" customWidth="1"/>
    <col min="12554" max="12554" width="8.125" style="16" customWidth="1"/>
    <col min="12555" max="12555" width="10.875" style="16" customWidth="1"/>
    <col min="12556" max="12556" width="48.125" style="16" customWidth="1"/>
    <col min="12557" max="12557" width="21.75" style="16" customWidth="1"/>
    <col min="12558" max="12558" width="4.375" style="16" customWidth="1"/>
    <col min="12559" max="12559" width="4.625" style="16" customWidth="1"/>
    <col min="12560" max="12800" width="8.875" style="16"/>
    <col min="12801" max="12801" width="11.125" style="16" customWidth="1"/>
    <col min="12802" max="12802" width="7" style="16" customWidth="1"/>
    <col min="12803" max="12803" width="6" style="16" customWidth="1"/>
    <col min="12804" max="12804" width="10.625" style="16" customWidth="1"/>
    <col min="12805" max="12805" width="13.125" style="16" customWidth="1"/>
    <col min="12806" max="12806" width="6.5" style="16" customWidth="1"/>
    <col min="12807" max="12807" width="8" style="16" bestFit="1" customWidth="1"/>
    <col min="12808" max="12808" width="11.25" style="16" bestFit="1" customWidth="1"/>
    <col min="12809" max="12809" width="6.75" style="16" bestFit="1" customWidth="1"/>
    <col min="12810" max="12810" width="8.125" style="16" customWidth="1"/>
    <col min="12811" max="12811" width="10.875" style="16" customWidth="1"/>
    <col min="12812" max="12812" width="48.125" style="16" customWidth="1"/>
    <col min="12813" max="12813" width="21.75" style="16" customWidth="1"/>
    <col min="12814" max="12814" width="4.375" style="16" customWidth="1"/>
    <col min="12815" max="12815" width="4.625" style="16" customWidth="1"/>
    <col min="12816" max="13056" width="8.875" style="16"/>
    <col min="13057" max="13057" width="11.125" style="16" customWidth="1"/>
    <col min="13058" max="13058" width="7" style="16" customWidth="1"/>
    <col min="13059" max="13059" width="6" style="16" customWidth="1"/>
    <col min="13060" max="13060" width="10.625" style="16" customWidth="1"/>
    <col min="13061" max="13061" width="13.125" style="16" customWidth="1"/>
    <col min="13062" max="13062" width="6.5" style="16" customWidth="1"/>
    <col min="13063" max="13063" width="8" style="16" bestFit="1" customWidth="1"/>
    <col min="13064" max="13064" width="11.25" style="16" bestFit="1" customWidth="1"/>
    <col min="13065" max="13065" width="6.75" style="16" bestFit="1" customWidth="1"/>
    <col min="13066" max="13066" width="8.125" style="16" customWidth="1"/>
    <col min="13067" max="13067" width="10.875" style="16" customWidth="1"/>
    <col min="13068" max="13068" width="48.125" style="16" customWidth="1"/>
    <col min="13069" max="13069" width="21.75" style="16" customWidth="1"/>
    <col min="13070" max="13070" width="4.375" style="16" customWidth="1"/>
    <col min="13071" max="13071" width="4.625" style="16" customWidth="1"/>
    <col min="13072" max="13312" width="8.875" style="16"/>
    <col min="13313" max="13313" width="11.125" style="16" customWidth="1"/>
    <col min="13314" max="13314" width="7" style="16" customWidth="1"/>
    <col min="13315" max="13315" width="6" style="16" customWidth="1"/>
    <col min="13316" max="13316" width="10.625" style="16" customWidth="1"/>
    <col min="13317" max="13317" width="13.125" style="16" customWidth="1"/>
    <col min="13318" max="13318" width="6.5" style="16" customWidth="1"/>
    <col min="13319" max="13319" width="8" style="16" bestFit="1" customWidth="1"/>
    <col min="13320" max="13320" width="11.25" style="16" bestFit="1" customWidth="1"/>
    <col min="13321" max="13321" width="6.75" style="16" bestFit="1" customWidth="1"/>
    <col min="13322" max="13322" width="8.125" style="16" customWidth="1"/>
    <col min="13323" max="13323" width="10.875" style="16" customWidth="1"/>
    <col min="13324" max="13324" width="48.125" style="16" customWidth="1"/>
    <col min="13325" max="13325" width="21.75" style="16" customWidth="1"/>
    <col min="13326" max="13326" width="4.375" style="16" customWidth="1"/>
    <col min="13327" max="13327" width="4.625" style="16" customWidth="1"/>
    <col min="13328" max="13568" width="8.875" style="16"/>
    <col min="13569" max="13569" width="11.125" style="16" customWidth="1"/>
    <col min="13570" max="13570" width="7" style="16" customWidth="1"/>
    <col min="13571" max="13571" width="6" style="16" customWidth="1"/>
    <col min="13572" max="13572" width="10.625" style="16" customWidth="1"/>
    <col min="13573" max="13573" width="13.125" style="16" customWidth="1"/>
    <col min="13574" max="13574" width="6.5" style="16" customWidth="1"/>
    <col min="13575" max="13575" width="8" style="16" bestFit="1" customWidth="1"/>
    <col min="13576" max="13576" width="11.25" style="16" bestFit="1" customWidth="1"/>
    <col min="13577" max="13577" width="6.75" style="16" bestFit="1" customWidth="1"/>
    <col min="13578" max="13578" width="8.125" style="16" customWidth="1"/>
    <col min="13579" max="13579" width="10.875" style="16" customWidth="1"/>
    <col min="13580" max="13580" width="48.125" style="16" customWidth="1"/>
    <col min="13581" max="13581" width="21.75" style="16" customWidth="1"/>
    <col min="13582" max="13582" width="4.375" style="16" customWidth="1"/>
    <col min="13583" max="13583" width="4.625" style="16" customWidth="1"/>
    <col min="13584" max="13824" width="8.875" style="16"/>
    <col min="13825" max="13825" width="11.125" style="16" customWidth="1"/>
    <col min="13826" max="13826" width="7" style="16" customWidth="1"/>
    <col min="13827" max="13827" width="6" style="16" customWidth="1"/>
    <col min="13828" max="13828" width="10.625" style="16" customWidth="1"/>
    <col min="13829" max="13829" width="13.125" style="16" customWidth="1"/>
    <col min="13830" max="13830" width="6.5" style="16" customWidth="1"/>
    <col min="13831" max="13831" width="8" style="16" bestFit="1" customWidth="1"/>
    <col min="13832" max="13832" width="11.25" style="16" bestFit="1" customWidth="1"/>
    <col min="13833" max="13833" width="6.75" style="16" bestFit="1" customWidth="1"/>
    <col min="13834" max="13834" width="8.125" style="16" customWidth="1"/>
    <col min="13835" max="13835" width="10.875" style="16" customWidth="1"/>
    <col min="13836" max="13836" width="48.125" style="16" customWidth="1"/>
    <col min="13837" max="13837" width="21.75" style="16" customWidth="1"/>
    <col min="13838" max="13838" width="4.375" style="16" customWidth="1"/>
    <col min="13839" max="13839" width="4.625" style="16" customWidth="1"/>
    <col min="13840" max="14080" width="8.875" style="16"/>
    <col min="14081" max="14081" width="11.125" style="16" customWidth="1"/>
    <col min="14082" max="14082" width="7" style="16" customWidth="1"/>
    <col min="14083" max="14083" width="6" style="16" customWidth="1"/>
    <col min="14084" max="14084" width="10.625" style="16" customWidth="1"/>
    <col min="14085" max="14085" width="13.125" style="16" customWidth="1"/>
    <col min="14086" max="14086" width="6.5" style="16" customWidth="1"/>
    <col min="14087" max="14087" width="8" style="16" bestFit="1" customWidth="1"/>
    <col min="14088" max="14088" width="11.25" style="16" bestFit="1" customWidth="1"/>
    <col min="14089" max="14089" width="6.75" style="16" bestFit="1" customWidth="1"/>
    <col min="14090" max="14090" width="8.125" style="16" customWidth="1"/>
    <col min="14091" max="14091" width="10.875" style="16" customWidth="1"/>
    <col min="14092" max="14092" width="48.125" style="16" customWidth="1"/>
    <col min="14093" max="14093" width="21.75" style="16" customWidth="1"/>
    <col min="14094" max="14094" width="4.375" style="16" customWidth="1"/>
    <col min="14095" max="14095" width="4.625" style="16" customWidth="1"/>
    <col min="14096" max="14336" width="8.875" style="16"/>
    <col min="14337" max="14337" width="11.125" style="16" customWidth="1"/>
    <col min="14338" max="14338" width="7" style="16" customWidth="1"/>
    <col min="14339" max="14339" width="6" style="16" customWidth="1"/>
    <col min="14340" max="14340" width="10.625" style="16" customWidth="1"/>
    <col min="14341" max="14341" width="13.125" style="16" customWidth="1"/>
    <col min="14342" max="14342" width="6.5" style="16" customWidth="1"/>
    <col min="14343" max="14343" width="8" style="16" bestFit="1" customWidth="1"/>
    <col min="14344" max="14344" width="11.25" style="16" bestFit="1" customWidth="1"/>
    <col min="14345" max="14345" width="6.75" style="16" bestFit="1" customWidth="1"/>
    <col min="14346" max="14346" width="8.125" style="16" customWidth="1"/>
    <col min="14347" max="14347" width="10.875" style="16" customWidth="1"/>
    <col min="14348" max="14348" width="48.125" style="16" customWidth="1"/>
    <col min="14349" max="14349" width="21.75" style="16" customWidth="1"/>
    <col min="14350" max="14350" width="4.375" style="16" customWidth="1"/>
    <col min="14351" max="14351" width="4.625" style="16" customWidth="1"/>
    <col min="14352" max="14592" width="8.875" style="16"/>
    <col min="14593" max="14593" width="11.125" style="16" customWidth="1"/>
    <col min="14594" max="14594" width="7" style="16" customWidth="1"/>
    <col min="14595" max="14595" width="6" style="16" customWidth="1"/>
    <col min="14596" max="14596" width="10.625" style="16" customWidth="1"/>
    <col min="14597" max="14597" width="13.125" style="16" customWidth="1"/>
    <col min="14598" max="14598" width="6.5" style="16" customWidth="1"/>
    <col min="14599" max="14599" width="8" style="16" bestFit="1" customWidth="1"/>
    <col min="14600" max="14600" width="11.25" style="16" bestFit="1" customWidth="1"/>
    <col min="14601" max="14601" width="6.75" style="16" bestFit="1" customWidth="1"/>
    <col min="14602" max="14602" width="8.125" style="16" customWidth="1"/>
    <col min="14603" max="14603" width="10.875" style="16" customWidth="1"/>
    <col min="14604" max="14604" width="48.125" style="16" customWidth="1"/>
    <col min="14605" max="14605" width="21.75" style="16" customWidth="1"/>
    <col min="14606" max="14606" width="4.375" style="16" customWidth="1"/>
    <col min="14607" max="14607" width="4.625" style="16" customWidth="1"/>
    <col min="14608" max="14848" width="8.875" style="16"/>
    <col min="14849" max="14849" width="11.125" style="16" customWidth="1"/>
    <col min="14850" max="14850" width="7" style="16" customWidth="1"/>
    <col min="14851" max="14851" width="6" style="16" customWidth="1"/>
    <col min="14852" max="14852" width="10.625" style="16" customWidth="1"/>
    <col min="14853" max="14853" width="13.125" style="16" customWidth="1"/>
    <col min="14854" max="14854" width="6.5" style="16" customWidth="1"/>
    <col min="14855" max="14855" width="8" style="16" bestFit="1" customWidth="1"/>
    <col min="14856" max="14856" width="11.25" style="16" bestFit="1" customWidth="1"/>
    <col min="14857" max="14857" width="6.75" style="16" bestFit="1" customWidth="1"/>
    <col min="14858" max="14858" width="8.125" style="16" customWidth="1"/>
    <col min="14859" max="14859" width="10.875" style="16" customWidth="1"/>
    <col min="14860" max="14860" width="48.125" style="16" customWidth="1"/>
    <col min="14861" max="14861" width="21.75" style="16" customWidth="1"/>
    <col min="14862" max="14862" width="4.375" style="16" customWidth="1"/>
    <col min="14863" max="14863" width="4.625" style="16" customWidth="1"/>
    <col min="14864" max="15104" width="8.875" style="16"/>
    <col min="15105" max="15105" width="11.125" style="16" customWidth="1"/>
    <col min="15106" max="15106" width="7" style="16" customWidth="1"/>
    <col min="15107" max="15107" width="6" style="16" customWidth="1"/>
    <col min="15108" max="15108" width="10.625" style="16" customWidth="1"/>
    <col min="15109" max="15109" width="13.125" style="16" customWidth="1"/>
    <col min="15110" max="15110" width="6.5" style="16" customWidth="1"/>
    <col min="15111" max="15111" width="8" style="16" bestFit="1" customWidth="1"/>
    <col min="15112" max="15112" width="11.25" style="16" bestFit="1" customWidth="1"/>
    <col min="15113" max="15113" width="6.75" style="16" bestFit="1" customWidth="1"/>
    <col min="15114" max="15114" width="8.125" style="16" customWidth="1"/>
    <col min="15115" max="15115" width="10.875" style="16" customWidth="1"/>
    <col min="15116" max="15116" width="48.125" style="16" customWidth="1"/>
    <col min="15117" max="15117" width="21.75" style="16" customWidth="1"/>
    <col min="15118" max="15118" width="4.375" style="16" customWidth="1"/>
    <col min="15119" max="15119" width="4.625" style="16" customWidth="1"/>
    <col min="15120" max="15360" width="8.875" style="16"/>
    <col min="15361" max="15361" width="11.125" style="16" customWidth="1"/>
    <col min="15362" max="15362" width="7" style="16" customWidth="1"/>
    <col min="15363" max="15363" width="6" style="16" customWidth="1"/>
    <col min="15364" max="15364" width="10.625" style="16" customWidth="1"/>
    <col min="15365" max="15365" width="13.125" style="16" customWidth="1"/>
    <col min="15366" max="15366" width="6.5" style="16" customWidth="1"/>
    <col min="15367" max="15367" width="8" style="16" bestFit="1" customWidth="1"/>
    <col min="15368" max="15368" width="11.25" style="16" bestFit="1" customWidth="1"/>
    <col min="15369" max="15369" width="6.75" style="16" bestFit="1" customWidth="1"/>
    <col min="15370" max="15370" width="8.125" style="16" customWidth="1"/>
    <col min="15371" max="15371" width="10.875" style="16" customWidth="1"/>
    <col min="15372" max="15372" width="48.125" style="16" customWidth="1"/>
    <col min="15373" max="15373" width="21.75" style="16" customWidth="1"/>
    <col min="15374" max="15374" width="4.375" style="16" customWidth="1"/>
    <col min="15375" max="15375" width="4.625" style="16" customWidth="1"/>
    <col min="15376" max="15616" width="8.875" style="16"/>
    <col min="15617" max="15617" width="11.125" style="16" customWidth="1"/>
    <col min="15618" max="15618" width="7" style="16" customWidth="1"/>
    <col min="15619" max="15619" width="6" style="16" customWidth="1"/>
    <col min="15620" max="15620" width="10.625" style="16" customWidth="1"/>
    <col min="15621" max="15621" width="13.125" style="16" customWidth="1"/>
    <col min="15622" max="15622" width="6.5" style="16" customWidth="1"/>
    <col min="15623" max="15623" width="8" style="16" bestFit="1" customWidth="1"/>
    <col min="15624" max="15624" width="11.25" style="16" bestFit="1" customWidth="1"/>
    <col min="15625" max="15625" width="6.75" style="16" bestFit="1" customWidth="1"/>
    <col min="15626" max="15626" width="8.125" style="16" customWidth="1"/>
    <col min="15627" max="15627" width="10.875" style="16" customWidth="1"/>
    <col min="15628" max="15628" width="48.125" style="16" customWidth="1"/>
    <col min="15629" max="15629" width="21.75" style="16" customWidth="1"/>
    <col min="15630" max="15630" width="4.375" style="16" customWidth="1"/>
    <col min="15631" max="15631" width="4.625" style="16" customWidth="1"/>
    <col min="15632" max="15872" width="8.875" style="16"/>
    <col min="15873" max="15873" width="11.125" style="16" customWidth="1"/>
    <col min="15874" max="15874" width="7" style="16" customWidth="1"/>
    <col min="15875" max="15875" width="6" style="16" customWidth="1"/>
    <col min="15876" max="15876" width="10.625" style="16" customWidth="1"/>
    <col min="15877" max="15877" width="13.125" style="16" customWidth="1"/>
    <col min="15878" max="15878" width="6.5" style="16" customWidth="1"/>
    <col min="15879" max="15879" width="8" style="16" bestFit="1" customWidth="1"/>
    <col min="15880" max="15880" width="11.25" style="16" bestFit="1" customWidth="1"/>
    <col min="15881" max="15881" width="6.75" style="16" bestFit="1" customWidth="1"/>
    <col min="15882" max="15882" width="8.125" style="16" customWidth="1"/>
    <col min="15883" max="15883" width="10.875" style="16" customWidth="1"/>
    <col min="15884" max="15884" width="48.125" style="16" customWidth="1"/>
    <col min="15885" max="15885" width="21.75" style="16" customWidth="1"/>
    <col min="15886" max="15886" width="4.375" style="16" customWidth="1"/>
    <col min="15887" max="15887" width="4.625" style="16" customWidth="1"/>
    <col min="15888" max="16128" width="8.875" style="16"/>
    <col min="16129" max="16129" width="11.125" style="16" customWidth="1"/>
    <col min="16130" max="16130" width="7" style="16" customWidth="1"/>
    <col min="16131" max="16131" width="6" style="16" customWidth="1"/>
    <col min="16132" max="16132" width="10.625" style="16" customWidth="1"/>
    <col min="16133" max="16133" width="13.125" style="16" customWidth="1"/>
    <col min="16134" max="16134" width="6.5" style="16" customWidth="1"/>
    <col min="16135" max="16135" width="8" style="16" bestFit="1" customWidth="1"/>
    <col min="16136" max="16136" width="11.25" style="16" bestFit="1" customWidth="1"/>
    <col min="16137" max="16137" width="6.75" style="16" bestFit="1" customWidth="1"/>
    <col min="16138" max="16138" width="8.125" style="16" customWidth="1"/>
    <col min="16139" max="16139" width="10.875" style="16" customWidth="1"/>
    <col min="16140" max="16140" width="48.125" style="16" customWidth="1"/>
    <col min="16141" max="16141" width="21.75" style="16" customWidth="1"/>
    <col min="16142" max="16142" width="4.375" style="16" customWidth="1"/>
    <col min="16143" max="16143" width="4.625" style="16" customWidth="1"/>
    <col min="16144" max="16384" width="8.875" style="16"/>
  </cols>
  <sheetData>
    <row r="1" spans="1:15" ht="27.75">
      <c r="A1" s="120"/>
      <c r="B1" s="121"/>
      <c r="C1" s="122" t="s">
        <v>189</v>
      </c>
      <c r="E1" s="7" t="s">
        <v>190</v>
      </c>
      <c r="F1" s="122" t="s">
        <v>191</v>
      </c>
      <c r="G1" s="121"/>
      <c r="H1" s="121"/>
      <c r="I1" s="121"/>
      <c r="J1" s="121"/>
      <c r="K1" s="121"/>
      <c r="L1" s="121"/>
      <c r="M1" s="121"/>
      <c r="N1" s="121"/>
    </row>
    <row r="2" spans="1:15" ht="28.5" thickBot="1">
      <c r="A2" s="920" t="s">
        <v>192</v>
      </c>
      <c r="B2" s="920"/>
      <c r="C2" s="920"/>
      <c r="D2" s="920"/>
      <c r="E2" s="920"/>
      <c r="F2" s="920"/>
      <c r="G2" s="920"/>
      <c r="H2" s="920"/>
      <c r="I2" s="920"/>
      <c r="J2" s="920"/>
      <c r="K2" s="920"/>
      <c r="L2" s="920"/>
      <c r="M2" s="920"/>
      <c r="N2" s="920"/>
      <c r="O2" s="920"/>
    </row>
    <row r="3" spans="1:15" ht="16.149999999999999" customHeight="1">
      <c r="A3" s="921" t="s">
        <v>193</v>
      </c>
      <c r="B3" s="923" t="s">
        <v>194</v>
      </c>
      <c r="C3" s="123"/>
      <c r="D3" s="923" t="s">
        <v>195</v>
      </c>
      <c r="E3" s="925"/>
      <c r="F3" s="926" t="s">
        <v>196</v>
      </c>
      <c r="G3" s="927"/>
      <c r="H3" s="927"/>
      <c r="I3" s="926" t="s">
        <v>197</v>
      </c>
      <c r="J3" s="927"/>
      <c r="K3" s="927"/>
      <c r="L3" s="928" t="s">
        <v>198</v>
      </c>
      <c r="M3" s="923" t="s">
        <v>199</v>
      </c>
      <c r="N3" s="931" t="s">
        <v>200</v>
      </c>
      <c r="O3" s="933" t="s">
        <v>201</v>
      </c>
    </row>
    <row r="4" spans="1:15" ht="60" customHeight="1" thickBot="1">
      <c r="A4" s="922"/>
      <c r="B4" s="924"/>
      <c r="C4" s="124" t="s">
        <v>202</v>
      </c>
      <c r="D4" s="125" t="s">
        <v>203</v>
      </c>
      <c r="E4" s="126" t="s">
        <v>204</v>
      </c>
      <c r="F4" s="127" t="s">
        <v>205</v>
      </c>
      <c r="G4" s="126" t="s">
        <v>206</v>
      </c>
      <c r="H4" s="128" t="s">
        <v>207</v>
      </c>
      <c r="I4" s="127" t="s">
        <v>205</v>
      </c>
      <c r="J4" s="127" t="s">
        <v>208</v>
      </c>
      <c r="K4" s="128" t="s">
        <v>207</v>
      </c>
      <c r="L4" s="929"/>
      <c r="M4" s="930"/>
      <c r="N4" s="932"/>
      <c r="O4" s="934"/>
    </row>
    <row r="5" spans="1:15" ht="24.95" customHeight="1">
      <c r="A5" s="129"/>
      <c r="B5" s="130" t="s">
        <v>209</v>
      </c>
      <c r="C5" s="131" t="e">
        <f>IF(B5="","",VLOOKUP(B5,#REF!,3,FALSE))</f>
        <v>#REF!</v>
      </c>
      <c r="D5" s="132" t="s">
        <v>210</v>
      </c>
      <c r="E5" s="133" t="e">
        <f>IF(D5="","",VLOOKUP(D5,#REF!,4,FALSE))</f>
        <v>#REF!</v>
      </c>
      <c r="F5" s="134" t="e">
        <f>IF(D5="","",VLOOKUP(D5,#REF!,3,FALSE))</f>
        <v>#REF!</v>
      </c>
      <c r="G5" s="135" t="e">
        <f>IF(E5="","",VLOOKUP(E5,#REF!,3,FALSE))</f>
        <v>#REF!</v>
      </c>
      <c r="H5" s="136" t="e">
        <f>G5/VLOOKUP(E5,#REF!,5,FALSE)</f>
        <v>#REF!</v>
      </c>
      <c r="I5" s="134" t="e">
        <f>C5+F5</f>
        <v>#REF!</v>
      </c>
      <c r="J5" s="137" t="e">
        <f>G5+C5</f>
        <v>#REF!</v>
      </c>
      <c r="K5" s="136" t="e">
        <f>J5/VLOOKUP(E5,#REF!,5,FALSE)</f>
        <v>#REF!</v>
      </c>
      <c r="L5" s="138" t="s">
        <v>211</v>
      </c>
      <c r="M5" s="139"/>
      <c r="N5" s="139">
        <v>1</v>
      </c>
      <c r="O5" s="140" t="s">
        <v>167</v>
      </c>
    </row>
    <row r="6" spans="1:15" ht="50.25" customHeight="1">
      <c r="A6" s="141" t="e">
        <f>IF(B5="","",VLOOKUP(B5,#REF!,4,FALSE))</f>
        <v>#REF!</v>
      </c>
      <c r="B6" s="142" t="s">
        <v>212</v>
      </c>
      <c r="C6" s="143" t="e">
        <f>IF(B6="","",VLOOKUP(B6,#REF!,3,FALSE))</f>
        <v>#REF!</v>
      </c>
      <c r="D6" s="144"/>
      <c r="E6" s="144"/>
      <c r="F6" s="145"/>
      <c r="G6" s="146"/>
      <c r="H6" s="147"/>
      <c r="I6" s="145"/>
      <c r="J6" s="148"/>
      <c r="K6" s="147"/>
      <c r="L6" s="149"/>
      <c r="M6" s="150"/>
      <c r="N6" s="150"/>
      <c r="O6" s="151"/>
    </row>
    <row r="7" spans="1:15" ht="41.25" customHeight="1">
      <c r="A7" s="152" t="e">
        <f>IF(A6="","",VLOOKUP(A6,#REF!,3,FALSE))</f>
        <v>#REF!</v>
      </c>
      <c r="B7" s="142" t="s">
        <v>213</v>
      </c>
      <c r="C7" s="143" t="e">
        <f>IF(B7="","",VLOOKUP(B7,#REF!,3,FALSE))</f>
        <v>#REF!</v>
      </c>
      <c r="D7" s="153"/>
      <c r="E7" s="153" t="s">
        <v>214</v>
      </c>
      <c r="F7" s="154"/>
      <c r="G7" s="155" t="e">
        <f>A12</f>
        <v>#REF!</v>
      </c>
      <c r="H7" s="156" t="e">
        <f>G7/VLOOKUP(A11,#REF!,5,FALSE)</f>
        <v>#REF!</v>
      </c>
      <c r="I7" s="154"/>
      <c r="J7" s="157" t="e">
        <f>C6+C7+C8+C9+G7</f>
        <v>#REF!</v>
      </c>
      <c r="K7" s="156" t="e">
        <f>J7/VLOOKUP(A11,#REF!,5,FALSE)</f>
        <v>#REF!</v>
      </c>
      <c r="L7" s="158" t="s">
        <v>215</v>
      </c>
      <c r="M7" s="159"/>
      <c r="N7" s="159">
        <v>2</v>
      </c>
      <c r="O7" s="160" t="s">
        <v>167</v>
      </c>
    </row>
    <row r="8" spans="1:15" ht="24.95" customHeight="1">
      <c r="A8" s="141" t="e">
        <f>IF(A6="","",VLOOKUP(A6,#REF!,6,FALSE))</f>
        <v>#REF!</v>
      </c>
      <c r="B8" s="142" t="s">
        <v>216</v>
      </c>
      <c r="C8" s="143" t="e">
        <f>IF(B8="","",VLOOKUP(B8,#REF!,3,FALSE))</f>
        <v>#REF!</v>
      </c>
      <c r="D8" s="153"/>
      <c r="E8" s="153"/>
      <c r="F8" s="154"/>
      <c r="G8" s="155"/>
      <c r="H8" s="161"/>
      <c r="I8" s="154"/>
      <c r="J8" s="157"/>
      <c r="K8" s="161"/>
      <c r="L8" s="158"/>
      <c r="M8" s="159"/>
      <c r="N8" s="159"/>
      <c r="O8" s="162"/>
    </row>
    <row r="9" spans="1:15" ht="24.95" customHeight="1" thickBot="1">
      <c r="A9" s="163"/>
      <c r="B9" s="164" t="s">
        <v>217</v>
      </c>
      <c r="C9" s="165" t="e">
        <f>IF(B9="","",VLOOKUP(B9,#REF!,3,FALSE))</f>
        <v>#REF!</v>
      </c>
      <c r="D9" s="166"/>
      <c r="E9" s="166"/>
      <c r="F9" s="167"/>
      <c r="G9" s="168"/>
      <c r="H9" s="169"/>
      <c r="I9" s="167"/>
      <c r="J9" s="170"/>
      <c r="K9" s="169"/>
      <c r="L9" s="171"/>
      <c r="M9" s="172"/>
      <c r="N9" s="172"/>
      <c r="O9" s="173"/>
    </row>
    <row r="10" spans="1:15" ht="41.25" customHeight="1">
      <c r="A10" s="129"/>
      <c r="B10" s="130" t="s">
        <v>218</v>
      </c>
      <c r="C10" s="174">
        <v>4.26</v>
      </c>
      <c r="D10" s="133"/>
      <c r="E10" s="133" t="s">
        <v>219</v>
      </c>
      <c r="F10" s="175"/>
      <c r="G10" s="176" t="e">
        <f>A7</f>
        <v>#REF!</v>
      </c>
      <c r="H10" s="156" t="e">
        <f>G10/VLOOKUP(A6,#REF!,5,FALSE)</f>
        <v>#REF!</v>
      </c>
      <c r="I10" s="175"/>
      <c r="J10" s="177" t="e">
        <f>C10+C11+G10</f>
        <v>#REF!</v>
      </c>
      <c r="K10" s="156" t="e">
        <f>J10/VLOOKUP(A6,#REF!,5,FALSE)</f>
        <v>#REF!</v>
      </c>
      <c r="L10" s="178" t="s">
        <v>220</v>
      </c>
      <c r="M10" s="179"/>
      <c r="N10" s="180">
        <v>1</v>
      </c>
      <c r="O10" s="181" t="s">
        <v>167</v>
      </c>
    </row>
    <row r="11" spans="1:15" ht="24.95" customHeight="1">
      <c r="A11" s="141" t="e">
        <f>IF(B10="","",VLOOKUP(B10,#REF!,4,FALSE))</f>
        <v>#REF!</v>
      </c>
      <c r="B11" s="142" t="s">
        <v>221</v>
      </c>
      <c r="C11" s="143" t="e">
        <f>IF(B11="","",VLOOKUP(B11,#REF!,3,FALSE))</f>
        <v>#REF!</v>
      </c>
      <c r="D11" s="153"/>
      <c r="E11" s="153"/>
      <c r="F11" s="154"/>
      <c r="G11" s="155"/>
      <c r="H11" s="161"/>
      <c r="I11" s="154"/>
      <c r="J11" s="157"/>
      <c r="K11" s="161"/>
      <c r="L11" s="182"/>
      <c r="M11" s="183"/>
      <c r="N11" s="184"/>
      <c r="O11" s="185"/>
    </row>
    <row r="12" spans="1:15" ht="24.95" customHeight="1">
      <c r="A12" s="152" t="e">
        <f>IF(A11="","",VLOOKUP(A11,#REF!,3,FALSE))</f>
        <v>#REF!</v>
      </c>
      <c r="B12" s="142" t="s">
        <v>222</v>
      </c>
      <c r="C12" s="143" t="e">
        <f>IF(B12="","",VLOOKUP(B12,#REF!,3,FALSE))</f>
        <v>#REF!</v>
      </c>
      <c r="D12" s="144"/>
      <c r="E12" s="144"/>
      <c r="F12" s="145"/>
      <c r="G12" s="146"/>
      <c r="H12" s="147"/>
      <c r="I12" s="145"/>
      <c r="J12" s="148"/>
      <c r="K12" s="147"/>
      <c r="L12" s="186"/>
      <c r="M12" s="187"/>
      <c r="N12" s="188"/>
      <c r="O12" s="189"/>
    </row>
    <row r="13" spans="1:15" ht="33.75" customHeight="1">
      <c r="A13" s="141" t="e">
        <f>IF(A11="","",VLOOKUP(A11,#REF!,6,FALSE))</f>
        <v>#REF!</v>
      </c>
      <c r="B13" s="142" t="s">
        <v>223</v>
      </c>
      <c r="C13" s="143" t="e">
        <f>IF(B13="","",VLOOKUP(B13,#REF!,3,FALSE))</f>
        <v>#REF!</v>
      </c>
      <c r="D13" s="153"/>
      <c r="E13" s="153" t="s">
        <v>224</v>
      </c>
      <c r="F13" s="154"/>
      <c r="G13" s="155" t="e">
        <f>A17</f>
        <v>#REF!</v>
      </c>
      <c r="H13" s="156" t="e">
        <f>G13/VLOOKUP(A16,#REF!,5,FALSE)</f>
        <v>#REF!</v>
      </c>
      <c r="I13" s="154"/>
      <c r="J13" s="157" t="e">
        <f>C12+C13+C14+G13</f>
        <v>#REF!</v>
      </c>
      <c r="K13" s="156" t="e">
        <f>J13/VLOOKUP(A16,#REF!,5,FALSE)</f>
        <v>#REF!</v>
      </c>
      <c r="L13" s="182" t="s">
        <v>225</v>
      </c>
      <c r="M13" s="183"/>
      <c r="N13" s="184">
        <v>2</v>
      </c>
      <c r="O13" s="190" t="s">
        <v>167</v>
      </c>
    </row>
    <row r="14" spans="1:15" ht="24.95" customHeight="1" thickBot="1">
      <c r="A14" s="163"/>
      <c r="B14" s="191" t="s">
        <v>226</v>
      </c>
      <c r="C14" s="192" t="e">
        <f>IF(B14="","",VLOOKUP(B14,#REF!,3,FALSE))</f>
        <v>#REF!</v>
      </c>
      <c r="D14" s="166"/>
      <c r="E14" s="166"/>
      <c r="F14" s="167"/>
      <c r="G14" s="168"/>
      <c r="H14" s="169"/>
      <c r="I14" s="167"/>
      <c r="J14" s="170"/>
      <c r="K14" s="169"/>
      <c r="L14" s="193"/>
      <c r="M14" s="194"/>
      <c r="N14" s="195"/>
      <c r="O14" s="196"/>
    </row>
    <row r="15" spans="1:15" ht="24.95" customHeight="1">
      <c r="A15" s="129"/>
      <c r="B15" s="130" t="s">
        <v>227</v>
      </c>
      <c r="C15" s="174" t="e">
        <f>IF(B15="","",VLOOKUP(B15,#REF!,3,FALSE))</f>
        <v>#REF!</v>
      </c>
      <c r="D15" s="911"/>
      <c r="E15" s="911" t="s">
        <v>228</v>
      </c>
      <c r="F15" s="898"/>
      <c r="G15" s="914" t="e">
        <f>A12</f>
        <v>#REF!</v>
      </c>
      <c r="H15" s="917" t="e">
        <f>G15/VLOOKUP(A11,#REF!,5,FALSE)</f>
        <v>#REF!</v>
      </c>
      <c r="I15" s="898"/>
      <c r="J15" s="898" t="e">
        <f>C15+C16+C17+C18+C19+G15</f>
        <v>#REF!</v>
      </c>
      <c r="K15" s="901" t="e">
        <f>J13/VLOOKUP(A11,#REF!,5,FALSE)</f>
        <v>#REF!</v>
      </c>
      <c r="L15" s="904" t="s">
        <v>229</v>
      </c>
      <c r="M15" s="907"/>
      <c r="N15" s="180"/>
      <c r="O15" s="197"/>
    </row>
    <row r="16" spans="1:15" ht="46.5" customHeight="1">
      <c r="A16" s="141" t="e">
        <f>IF(B15="","",VLOOKUP(B15,#REF!,4,FALSE))</f>
        <v>#REF!</v>
      </c>
      <c r="B16" s="142" t="s">
        <v>230</v>
      </c>
      <c r="C16" s="143" t="e">
        <f>IF(B16="","",VLOOKUP(B16,#REF!,3,FALSE))</f>
        <v>#REF!</v>
      </c>
      <c r="D16" s="912"/>
      <c r="E16" s="912"/>
      <c r="F16" s="899"/>
      <c r="G16" s="915"/>
      <c r="H16" s="918"/>
      <c r="I16" s="899"/>
      <c r="J16" s="899"/>
      <c r="K16" s="902"/>
      <c r="L16" s="905"/>
      <c r="M16" s="908"/>
      <c r="N16" s="184"/>
      <c r="O16" s="185"/>
    </row>
    <row r="17" spans="1:15" ht="24.95" customHeight="1">
      <c r="A17" s="152" t="e">
        <f>IF(A16="","",VLOOKUP(A16,#REF!,3,FALSE))</f>
        <v>#REF!</v>
      </c>
      <c r="B17" s="142" t="s">
        <v>231</v>
      </c>
      <c r="C17" s="143" t="e">
        <f>IF(B17="","",VLOOKUP(B17,#REF!,3,FALSE))</f>
        <v>#REF!</v>
      </c>
      <c r="D17" s="912"/>
      <c r="E17" s="912"/>
      <c r="F17" s="899"/>
      <c r="G17" s="915"/>
      <c r="H17" s="918"/>
      <c r="I17" s="899"/>
      <c r="J17" s="899"/>
      <c r="K17" s="902"/>
      <c r="L17" s="905"/>
      <c r="M17" s="908"/>
      <c r="N17" s="184">
        <v>1</v>
      </c>
      <c r="O17" s="190" t="s">
        <v>167</v>
      </c>
    </row>
    <row r="18" spans="1:15" ht="24.95" customHeight="1">
      <c r="A18" s="141" t="e">
        <f>IF(A16="","",VLOOKUP(A16,#REF!,6,FALSE))</f>
        <v>#REF!</v>
      </c>
      <c r="B18" s="142" t="s">
        <v>232</v>
      </c>
      <c r="C18" s="143" t="e">
        <f>IF(B18="","",VLOOKUP(B18,#REF!,3,FALSE))</f>
        <v>#REF!</v>
      </c>
      <c r="D18" s="912"/>
      <c r="E18" s="912"/>
      <c r="F18" s="899"/>
      <c r="G18" s="915"/>
      <c r="H18" s="918"/>
      <c r="I18" s="899"/>
      <c r="J18" s="899"/>
      <c r="K18" s="902"/>
      <c r="L18" s="905"/>
      <c r="M18" s="908"/>
      <c r="N18" s="184"/>
      <c r="O18" s="185"/>
    </row>
    <row r="19" spans="1:15" ht="24.95" customHeight="1" thickBot="1">
      <c r="A19" s="163"/>
      <c r="B19" s="191" t="s">
        <v>233</v>
      </c>
      <c r="C19" s="192" t="e">
        <f>IF(B19="","",VLOOKUP(B19,#REF!,3,FALSE))</f>
        <v>#REF!</v>
      </c>
      <c r="D19" s="913"/>
      <c r="E19" s="913"/>
      <c r="F19" s="900"/>
      <c r="G19" s="916"/>
      <c r="H19" s="919"/>
      <c r="I19" s="900"/>
      <c r="J19" s="900"/>
      <c r="K19" s="903"/>
      <c r="L19" s="906"/>
      <c r="M19" s="909"/>
      <c r="N19" s="195"/>
      <c r="O19" s="196"/>
    </row>
    <row r="20" spans="1:15" ht="24.95" hidden="1" customHeight="1">
      <c r="A20" s="198"/>
      <c r="B20" s="199" t="e">
        <f>IF(#REF!="","",#REF!)</f>
        <v>#REF!</v>
      </c>
      <c r="C20" s="200" t="e">
        <f>IF(#REF!="","",#REF!)</f>
        <v>#REF!</v>
      </c>
      <c r="D20" s="199" t="e">
        <f>IF(#REF!="","",#REF!)</f>
        <v>#REF!</v>
      </c>
      <c r="E20" s="201" t="e">
        <f>IF(#REF!="","",#REF!)</f>
        <v>#REF!</v>
      </c>
      <c r="F20" s="200" t="e">
        <f>IF(#REF!="","",#REF!)</f>
        <v>#REF!</v>
      </c>
      <c r="G20" s="200" t="e">
        <f>IF(#REF!="","",#REF!)</f>
        <v>#REF!</v>
      </c>
      <c r="H20" s="202" t="e">
        <f>IF(#REF!="","",#REF!)</f>
        <v>#REF!</v>
      </c>
      <c r="I20" s="200" t="e">
        <f>IF(#REF!="","",#REF!)</f>
        <v>#REF!</v>
      </c>
      <c r="J20" s="200" t="e">
        <f>IF(#REF!="","",#REF!)</f>
        <v>#REF!</v>
      </c>
      <c r="K20" s="202" t="e">
        <f>IF(#REF!="","",#REF!)</f>
        <v>#REF!</v>
      </c>
      <c r="L20" s="199" t="e">
        <f>IF(#REF!="","",#REF!)</f>
        <v>#REF!</v>
      </c>
      <c r="M20" s="203"/>
      <c r="N20" s="204" t="e">
        <f>#REF!</f>
        <v>#REF!</v>
      </c>
      <c r="O20" s="205" t="s">
        <v>234</v>
      </c>
    </row>
    <row r="21" spans="1:15" ht="24.95" hidden="1" customHeight="1">
      <c r="A21" s="206" t="e">
        <f>IF(B20="","",VLOOKUP(B20,#REF!,4,FALSE))</f>
        <v>#REF!</v>
      </c>
      <c r="B21" s="199" t="e">
        <f>IF(#REF!="","",#REF!)</f>
        <v>#REF!</v>
      </c>
      <c r="C21" s="143" t="e">
        <f>IF(#REF!="","",#REF!)</f>
        <v>#REF!</v>
      </c>
      <c r="D21" s="204" t="e">
        <f>IF(#REF!="","",#REF!)</f>
        <v>#REF!</v>
      </c>
      <c r="E21" s="207" t="e">
        <f>IF(#REF!="","",#REF!)</f>
        <v>#REF!</v>
      </c>
      <c r="F21" s="143" t="e">
        <f>IF(#REF!="","",#REF!)</f>
        <v>#REF!</v>
      </c>
      <c r="G21" s="143" t="e">
        <f>IF(#REF!="","",#REF!)</f>
        <v>#REF!</v>
      </c>
      <c r="H21" s="208" t="e">
        <f>IF(#REF!="","",#REF!)</f>
        <v>#REF!</v>
      </c>
      <c r="I21" s="143" t="e">
        <f>IF(#REF!="","",#REF!)</f>
        <v>#REF!</v>
      </c>
      <c r="J21" s="143" t="e">
        <f>IF(#REF!="","",#REF!)</f>
        <v>#REF!</v>
      </c>
      <c r="K21" s="208" t="e">
        <f>IF(#REF!="","",#REF!)</f>
        <v>#REF!</v>
      </c>
      <c r="L21" s="209" t="e">
        <f>IF(#REF!="","",#REF!)</f>
        <v>#REF!</v>
      </c>
      <c r="M21" s="209"/>
      <c r="N21" s="204" t="e">
        <f>#REF!</f>
        <v>#REF!</v>
      </c>
      <c r="O21" s="205" t="s">
        <v>234</v>
      </c>
    </row>
    <row r="22" spans="1:15" ht="24.95" hidden="1" customHeight="1">
      <c r="A22" s="210" t="e">
        <f>IF(A21="","",VLOOKUP(A21,#REF!,3,FALSE))</f>
        <v>#REF!</v>
      </c>
      <c r="B22" s="199" t="e">
        <f>IF(#REF!="","",#REF!)</f>
        <v>#REF!</v>
      </c>
      <c r="C22" s="143" t="e">
        <f>IF(#REF!="","",#REF!)</f>
        <v>#REF!</v>
      </c>
      <c r="D22" s="204" t="e">
        <f>IF(#REF!="","",#REF!)</f>
        <v>#REF!</v>
      </c>
      <c r="E22" s="207" t="e">
        <f>IF(#REF!="","",#REF!)</f>
        <v>#REF!</v>
      </c>
      <c r="F22" s="143" t="e">
        <f>IF(#REF!="","",#REF!)</f>
        <v>#REF!</v>
      </c>
      <c r="G22" s="143" t="e">
        <f>IF(#REF!="","",#REF!)</f>
        <v>#REF!</v>
      </c>
      <c r="H22" s="208" t="e">
        <f>IF(#REF!="","",#REF!)</f>
        <v>#REF!</v>
      </c>
      <c r="I22" s="143" t="e">
        <f>IF(#REF!="","",#REF!)</f>
        <v>#REF!</v>
      </c>
      <c r="J22" s="143" t="e">
        <f>IF(#REF!="","",#REF!)</f>
        <v>#REF!</v>
      </c>
      <c r="K22" s="208" t="e">
        <f>IF(#REF!="","",#REF!)</f>
        <v>#REF!</v>
      </c>
      <c r="L22" s="209" t="e">
        <f>IF(#REF!="","",#REF!)</f>
        <v>#REF!</v>
      </c>
      <c r="M22" s="209"/>
      <c r="N22" s="204" t="e">
        <f>#REF!</f>
        <v>#REF!</v>
      </c>
      <c r="O22" s="205" t="s">
        <v>167</v>
      </c>
    </row>
    <row r="23" spans="1:15" ht="24.95" hidden="1" customHeight="1">
      <c r="A23" s="206" t="e">
        <f>IF(A21="","",VLOOKUP(A21,#REF!,6,FALSE))</f>
        <v>#REF!</v>
      </c>
      <c r="B23" s="199" t="e">
        <f>IF(#REF!="","",#REF!)</f>
        <v>#REF!</v>
      </c>
      <c r="C23" s="143" t="e">
        <f>IF(#REF!="","",#REF!)</f>
        <v>#REF!</v>
      </c>
      <c r="D23" s="204" t="e">
        <f>IF(#REF!="","",#REF!)</f>
        <v>#REF!</v>
      </c>
      <c r="E23" s="207" t="e">
        <f>IF(#REF!="","",#REF!)</f>
        <v>#REF!</v>
      </c>
      <c r="F23" s="143" t="e">
        <f>IF(#REF!="","",#REF!)</f>
        <v>#REF!</v>
      </c>
      <c r="G23" s="143" t="e">
        <f>IF(#REF!="","",#REF!)</f>
        <v>#REF!</v>
      </c>
      <c r="H23" s="208" t="e">
        <f>IF(#REF!="","",#REF!)</f>
        <v>#REF!</v>
      </c>
      <c r="I23" s="143" t="e">
        <f>IF(#REF!="","",#REF!)</f>
        <v>#REF!</v>
      </c>
      <c r="J23" s="143" t="e">
        <f>IF(#REF!="","",#REF!)</f>
        <v>#REF!</v>
      </c>
      <c r="K23" s="208" t="e">
        <f>IF(#REF!="","",#REF!)</f>
        <v>#REF!</v>
      </c>
      <c r="L23" s="209" t="e">
        <f>IF(#REF!="","",#REF!)</f>
        <v>#REF!</v>
      </c>
      <c r="M23" s="209"/>
      <c r="N23" s="204" t="e">
        <f>#REF!</f>
        <v>#REF!</v>
      </c>
      <c r="O23" s="205" t="s">
        <v>234</v>
      </c>
    </row>
    <row r="24" spans="1:15" ht="24.95" hidden="1" customHeight="1">
      <c r="A24" s="211"/>
      <c r="B24" s="199" t="e">
        <f>IF(#REF!="","",#REF!)</f>
        <v>#REF!</v>
      </c>
      <c r="C24" s="143" t="e">
        <f>IF(#REF!="","",#REF!)</f>
        <v>#REF!</v>
      </c>
      <c r="D24" s="204" t="e">
        <f>IF(#REF!="","",#REF!)</f>
        <v>#REF!</v>
      </c>
      <c r="E24" s="207" t="e">
        <f>IF(#REF!="","",#REF!)</f>
        <v>#REF!</v>
      </c>
      <c r="F24" s="143" t="e">
        <f>IF(#REF!="","",#REF!)</f>
        <v>#REF!</v>
      </c>
      <c r="G24" s="143" t="e">
        <f>IF(#REF!="","",#REF!)</f>
        <v>#REF!</v>
      </c>
      <c r="H24" s="208" t="e">
        <f>IF(#REF!="","",#REF!)</f>
        <v>#REF!</v>
      </c>
      <c r="I24" s="143" t="e">
        <f>IF(#REF!="","",#REF!)</f>
        <v>#REF!</v>
      </c>
      <c r="J24" s="143" t="e">
        <f>IF(#REF!="","",#REF!)</f>
        <v>#REF!</v>
      </c>
      <c r="K24" s="208" t="e">
        <f>IF(#REF!="","",#REF!)</f>
        <v>#REF!</v>
      </c>
      <c r="L24" s="209" t="e">
        <f>IF(#REF!="","",#REF!)</f>
        <v>#REF!</v>
      </c>
      <c r="M24" s="209"/>
      <c r="N24" s="204" t="e">
        <f>#REF!</f>
        <v>#REF!</v>
      </c>
      <c r="O24" s="205" t="s">
        <v>167</v>
      </c>
    </row>
    <row r="25" spans="1:15" ht="16.5">
      <c r="A25" s="910" t="s">
        <v>235</v>
      </c>
      <c r="B25" s="897"/>
      <c r="C25" s="897"/>
      <c r="D25" s="897"/>
      <c r="E25" s="897"/>
      <c r="F25" s="897"/>
      <c r="G25" s="897"/>
      <c r="H25" s="897"/>
      <c r="I25" s="897"/>
      <c r="J25" s="897"/>
      <c r="K25" s="897"/>
      <c r="L25" s="897"/>
      <c r="M25" s="897"/>
      <c r="N25" s="897"/>
      <c r="O25" s="897"/>
    </row>
    <row r="26" spans="1:15" ht="16.5">
      <c r="A26" s="897" t="s">
        <v>236</v>
      </c>
      <c r="B26" s="897"/>
      <c r="C26" s="897"/>
      <c r="D26" s="897"/>
      <c r="E26" s="897"/>
      <c r="F26" s="897"/>
      <c r="G26" s="897"/>
      <c r="H26" s="897"/>
      <c r="I26" s="897"/>
      <c r="J26" s="897"/>
      <c r="K26" s="897"/>
      <c r="L26" s="897"/>
      <c r="M26" s="897"/>
      <c r="N26" s="897"/>
      <c r="O26" s="897"/>
    </row>
    <row r="27" spans="1:15">
      <c r="A27" s="896" t="s">
        <v>237</v>
      </c>
      <c r="B27" s="896"/>
      <c r="C27" s="896"/>
      <c r="D27" s="896"/>
      <c r="E27" s="896"/>
      <c r="F27" s="896"/>
      <c r="G27" s="896"/>
      <c r="H27" s="896"/>
      <c r="I27" s="896"/>
      <c r="J27" s="896"/>
      <c r="K27" s="896"/>
      <c r="L27" s="896"/>
      <c r="M27" s="896"/>
      <c r="N27" s="31"/>
      <c r="O27" s="212"/>
    </row>
    <row r="28" spans="1:15" ht="16.5">
      <c r="A28" s="897" t="s">
        <v>238</v>
      </c>
      <c r="B28" s="897"/>
      <c r="C28" s="897"/>
      <c r="D28" s="897"/>
      <c r="E28" s="897"/>
      <c r="F28" s="897"/>
      <c r="G28" s="897"/>
      <c r="H28" s="897"/>
      <c r="I28" s="897"/>
      <c r="J28" s="897"/>
      <c r="K28" s="897"/>
      <c r="L28" s="897"/>
      <c r="M28" s="897"/>
      <c r="O28" s="212"/>
    </row>
    <row r="29" spans="1:15">
      <c r="A29" s="212"/>
      <c r="B29" s="212"/>
      <c r="C29" s="212"/>
      <c r="D29" s="212"/>
      <c r="F29" s="212"/>
      <c r="G29" s="212"/>
      <c r="H29" s="212"/>
      <c r="I29" s="212"/>
      <c r="J29" s="212"/>
      <c r="K29" s="212"/>
      <c r="L29" s="212"/>
      <c r="M29" s="212"/>
      <c r="O29" s="212"/>
    </row>
    <row r="30" spans="1:15" s="213" customFormat="1" ht="19.5">
      <c r="A30" s="213" t="s">
        <v>186</v>
      </c>
      <c r="C30" s="214"/>
      <c r="D30" s="213" t="s">
        <v>187</v>
      </c>
      <c r="E30" s="215"/>
      <c r="F30" s="214"/>
      <c r="G30" s="214" t="s">
        <v>239</v>
      </c>
      <c r="H30" s="216"/>
      <c r="I30" s="214"/>
      <c r="J30" s="214"/>
      <c r="K30" s="216"/>
      <c r="M30" s="217"/>
    </row>
  </sheetData>
  <mergeCells count="24">
    <mergeCell ref="A2:O2"/>
    <mergeCell ref="A3:A4"/>
    <mergeCell ref="B3:B4"/>
    <mergeCell ref="D3:E3"/>
    <mergeCell ref="F3:H3"/>
    <mergeCell ref="I3:K3"/>
    <mergeCell ref="L3:L4"/>
    <mergeCell ref="M3:M4"/>
    <mergeCell ref="N3:N4"/>
    <mergeCell ref="O3:O4"/>
    <mergeCell ref="A27:M27"/>
    <mergeCell ref="A28:M28"/>
    <mergeCell ref="J15:J19"/>
    <mergeCell ref="K15:K19"/>
    <mergeCell ref="L15:L19"/>
    <mergeCell ref="M15:M19"/>
    <mergeCell ref="A25:O25"/>
    <mergeCell ref="A26:O26"/>
    <mergeCell ref="D15:D19"/>
    <mergeCell ref="E15:E19"/>
    <mergeCell ref="F15:F19"/>
    <mergeCell ref="G15:G19"/>
    <mergeCell ref="H15:H19"/>
    <mergeCell ref="I15:I19"/>
  </mergeCells>
  <phoneticPr fontId="1" type="noConversion"/>
  <conditionalFormatting sqref="I5">
    <cfRule type="cellIs" dxfId="9" priority="2" stopIfTrue="1" operator="greaterThan">
      <formula>9</formula>
    </cfRule>
  </conditionalFormatting>
  <conditionalFormatting sqref="K5">
    <cfRule type="cellIs" dxfId="8"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78"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9">
    <tabColor rgb="FFFF0000"/>
  </sheetPr>
  <dimension ref="C1:S39"/>
  <sheetViews>
    <sheetView workbookViewId="0">
      <selection activeCell="F11" sqref="F11"/>
    </sheetView>
  </sheetViews>
  <sheetFormatPr defaultColWidth="8.875" defaultRowHeight="16.5"/>
  <cols>
    <col min="1" max="6" width="8.875" style="221"/>
    <col min="7" max="9" width="8.875" style="222"/>
    <col min="10" max="10" width="17.25" style="222" customWidth="1"/>
    <col min="11" max="11" width="16.875" style="222" customWidth="1"/>
    <col min="12" max="13" width="8.875" style="222"/>
    <col min="14" max="16" width="8.875" style="221"/>
    <col min="17" max="17" width="18.75" style="222" customWidth="1"/>
    <col min="18" max="19" width="15.5" style="232" customWidth="1"/>
    <col min="20" max="265" width="8.875" style="221"/>
    <col min="266" max="266" width="17.25" style="221" customWidth="1"/>
    <col min="267" max="267" width="16.875" style="221" customWidth="1"/>
    <col min="268" max="272" width="8.875" style="221"/>
    <col min="273" max="273" width="18.75" style="221" customWidth="1"/>
    <col min="274" max="275" width="15.5" style="221" customWidth="1"/>
    <col min="276" max="521" width="8.875" style="221"/>
    <col min="522" max="522" width="17.25" style="221" customWidth="1"/>
    <col min="523" max="523" width="16.875" style="221" customWidth="1"/>
    <col min="524" max="528" width="8.875" style="221"/>
    <col min="529" max="529" width="18.75" style="221" customWidth="1"/>
    <col min="530" max="531" width="15.5" style="221" customWidth="1"/>
    <col min="532" max="777" width="8.875" style="221"/>
    <col min="778" max="778" width="17.25" style="221" customWidth="1"/>
    <col min="779" max="779" width="16.875" style="221" customWidth="1"/>
    <col min="780" max="784" width="8.875" style="221"/>
    <col min="785" max="785" width="18.75" style="221" customWidth="1"/>
    <col min="786" max="787" width="15.5" style="221" customWidth="1"/>
    <col min="788" max="1033" width="8.875" style="221"/>
    <col min="1034" max="1034" width="17.25" style="221" customWidth="1"/>
    <col min="1035" max="1035" width="16.875" style="221" customWidth="1"/>
    <col min="1036" max="1040" width="8.875" style="221"/>
    <col min="1041" max="1041" width="18.75" style="221" customWidth="1"/>
    <col min="1042" max="1043" width="15.5" style="221" customWidth="1"/>
    <col min="1044" max="1289" width="8.875" style="221"/>
    <col min="1290" max="1290" width="17.25" style="221" customWidth="1"/>
    <col min="1291" max="1291" width="16.875" style="221" customWidth="1"/>
    <col min="1292" max="1296" width="8.875" style="221"/>
    <col min="1297" max="1297" width="18.75" style="221" customWidth="1"/>
    <col min="1298" max="1299" width="15.5" style="221" customWidth="1"/>
    <col min="1300" max="1545" width="8.875" style="221"/>
    <col min="1546" max="1546" width="17.25" style="221" customWidth="1"/>
    <col min="1547" max="1547" width="16.875" style="221" customWidth="1"/>
    <col min="1548" max="1552" width="8.875" style="221"/>
    <col min="1553" max="1553" width="18.75" style="221" customWidth="1"/>
    <col min="1554" max="1555" width="15.5" style="221" customWidth="1"/>
    <col min="1556" max="1801" width="8.875" style="221"/>
    <col min="1802" max="1802" width="17.25" style="221" customWidth="1"/>
    <col min="1803" max="1803" width="16.875" style="221" customWidth="1"/>
    <col min="1804" max="1808" width="8.875" style="221"/>
    <col min="1809" max="1809" width="18.75" style="221" customWidth="1"/>
    <col min="1810" max="1811" width="15.5" style="221" customWidth="1"/>
    <col min="1812" max="2057" width="8.875" style="221"/>
    <col min="2058" max="2058" width="17.25" style="221" customWidth="1"/>
    <col min="2059" max="2059" width="16.875" style="221" customWidth="1"/>
    <col min="2060" max="2064" width="8.875" style="221"/>
    <col min="2065" max="2065" width="18.75" style="221" customWidth="1"/>
    <col min="2066" max="2067" width="15.5" style="221" customWidth="1"/>
    <col min="2068" max="2313" width="8.875" style="221"/>
    <col min="2314" max="2314" width="17.25" style="221" customWidth="1"/>
    <col min="2315" max="2315" width="16.875" style="221" customWidth="1"/>
    <col min="2316" max="2320" width="8.875" style="221"/>
    <col min="2321" max="2321" width="18.75" style="221" customWidth="1"/>
    <col min="2322" max="2323" width="15.5" style="221" customWidth="1"/>
    <col min="2324" max="2569" width="8.875" style="221"/>
    <col min="2570" max="2570" width="17.25" style="221" customWidth="1"/>
    <col min="2571" max="2571" width="16.875" style="221" customWidth="1"/>
    <col min="2572" max="2576" width="8.875" style="221"/>
    <col min="2577" max="2577" width="18.75" style="221" customWidth="1"/>
    <col min="2578" max="2579" width="15.5" style="221" customWidth="1"/>
    <col min="2580" max="2825" width="8.875" style="221"/>
    <col min="2826" max="2826" width="17.25" style="221" customWidth="1"/>
    <col min="2827" max="2827" width="16.875" style="221" customWidth="1"/>
    <col min="2828" max="2832" width="8.875" style="221"/>
    <col min="2833" max="2833" width="18.75" style="221" customWidth="1"/>
    <col min="2834" max="2835" width="15.5" style="221" customWidth="1"/>
    <col min="2836" max="3081" width="8.875" style="221"/>
    <col min="3082" max="3082" width="17.25" style="221" customWidth="1"/>
    <col min="3083" max="3083" width="16.875" style="221" customWidth="1"/>
    <col min="3084" max="3088" width="8.875" style="221"/>
    <col min="3089" max="3089" width="18.75" style="221" customWidth="1"/>
    <col min="3090" max="3091" width="15.5" style="221" customWidth="1"/>
    <col min="3092" max="3337" width="8.875" style="221"/>
    <col min="3338" max="3338" width="17.25" style="221" customWidth="1"/>
    <col min="3339" max="3339" width="16.875" style="221" customWidth="1"/>
    <col min="3340" max="3344" width="8.875" style="221"/>
    <col min="3345" max="3345" width="18.75" style="221" customWidth="1"/>
    <col min="3346" max="3347" width="15.5" style="221" customWidth="1"/>
    <col min="3348" max="3593" width="8.875" style="221"/>
    <col min="3594" max="3594" width="17.25" style="221" customWidth="1"/>
    <col min="3595" max="3595" width="16.875" style="221" customWidth="1"/>
    <col min="3596" max="3600" width="8.875" style="221"/>
    <col min="3601" max="3601" width="18.75" style="221" customWidth="1"/>
    <col min="3602" max="3603" width="15.5" style="221" customWidth="1"/>
    <col min="3604" max="3849" width="8.875" style="221"/>
    <col min="3850" max="3850" width="17.25" style="221" customWidth="1"/>
    <col min="3851" max="3851" width="16.875" style="221" customWidth="1"/>
    <col min="3852" max="3856" width="8.875" style="221"/>
    <col min="3857" max="3857" width="18.75" style="221" customWidth="1"/>
    <col min="3858" max="3859" width="15.5" style="221" customWidth="1"/>
    <col min="3860" max="4105" width="8.875" style="221"/>
    <col min="4106" max="4106" width="17.25" style="221" customWidth="1"/>
    <col min="4107" max="4107" width="16.875" style="221" customWidth="1"/>
    <col min="4108" max="4112" width="8.875" style="221"/>
    <col min="4113" max="4113" width="18.75" style="221" customWidth="1"/>
    <col min="4114" max="4115" width="15.5" style="221" customWidth="1"/>
    <col min="4116" max="4361" width="8.875" style="221"/>
    <col min="4362" max="4362" width="17.25" style="221" customWidth="1"/>
    <col min="4363" max="4363" width="16.875" style="221" customWidth="1"/>
    <col min="4364" max="4368" width="8.875" style="221"/>
    <col min="4369" max="4369" width="18.75" style="221" customWidth="1"/>
    <col min="4370" max="4371" width="15.5" style="221" customWidth="1"/>
    <col min="4372" max="4617" width="8.875" style="221"/>
    <col min="4618" max="4618" width="17.25" style="221" customWidth="1"/>
    <col min="4619" max="4619" width="16.875" style="221" customWidth="1"/>
    <col min="4620" max="4624" width="8.875" style="221"/>
    <col min="4625" max="4625" width="18.75" style="221" customWidth="1"/>
    <col min="4626" max="4627" width="15.5" style="221" customWidth="1"/>
    <col min="4628" max="4873" width="8.875" style="221"/>
    <col min="4874" max="4874" width="17.25" style="221" customWidth="1"/>
    <col min="4875" max="4875" width="16.875" style="221" customWidth="1"/>
    <col min="4876" max="4880" width="8.875" style="221"/>
    <col min="4881" max="4881" width="18.75" style="221" customWidth="1"/>
    <col min="4882" max="4883" width="15.5" style="221" customWidth="1"/>
    <col min="4884" max="5129" width="8.875" style="221"/>
    <col min="5130" max="5130" width="17.25" style="221" customWidth="1"/>
    <col min="5131" max="5131" width="16.875" style="221" customWidth="1"/>
    <col min="5132" max="5136" width="8.875" style="221"/>
    <col min="5137" max="5137" width="18.75" style="221" customWidth="1"/>
    <col min="5138" max="5139" width="15.5" style="221" customWidth="1"/>
    <col min="5140" max="5385" width="8.875" style="221"/>
    <col min="5386" max="5386" width="17.25" style="221" customWidth="1"/>
    <col min="5387" max="5387" width="16.875" style="221" customWidth="1"/>
    <col min="5388" max="5392" width="8.875" style="221"/>
    <col min="5393" max="5393" width="18.75" style="221" customWidth="1"/>
    <col min="5394" max="5395" width="15.5" style="221" customWidth="1"/>
    <col min="5396" max="5641" width="8.875" style="221"/>
    <col min="5642" max="5642" width="17.25" style="221" customWidth="1"/>
    <col min="5643" max="5643" width="16.875" style="221" customWidth="1"/>
    <col min="5644" max="5648" width="8.875" style="221"/>
    <col min="5649" max="5649" width="18.75" style="221" customWidth="1"/>
    <col min="5650" max="5651" width="15.5" style="221" customWidth="1"/>
    <col min="5652" max="5897" width="8.875" style="221"/>
    <col min="5898" max="5898" width="17.25" style="221" customWidth="1"/>
    <col min="5899" max="5899" width="16.875" style="221" customWidth="1"/>
    <col min="5900" max="5904" width="8.875" style="221"/>
    <col min="5905" max="5905" width="18.75" style="221" customWidth="1"/>
    <col min="5906" max="5907" width="15.5" style="221" customWidth="1"/>
    <col min="5908" max="6153" width="8.875" style="221"/>
    <col min="6154" max="6154" width="17.25" style="221" customWidth="1"/>
    <col min="6155" max="6155" width="16.875" style="221" customWidth="1"/>
    <col min="6156" max="6160" width="8.875" style="221"/>
    <col min="6161" max="6161" width="18.75" style="221" customWidth="1"/>
    <col min="6162" max="6163" width="15.5" style="221" customWidth="1"/>
    <col min="6164" max="6409" width="8.875" style="221"/>
    <col min="6410" max="6410" width="17.25" style="221" customWidth="1"/>
    <col min="6411" max="6411" width="16.875" style="221" customWidth="1"/>
    <col min="6412" max="6416" width="8.875" style="221"/>
    <col min="6417" max="6417" width="18.75" style="221" customWidth="1"/>
    <col min="6418" max="6419" width="15.5" style="221" customWidth="1"/>
    <col min="6420" max="6665" width="8.875" style="221"/>
    <col min="6666" max="6666" width="17.25" style="221" customWidth="1"/>
    <col min="6667" max="6667" width="16.875" style="221" customWidth="1"/>
    <col min="6668" max="6672" width="8.875" style="221"/>
    <col min="6673" max="6673" width="18.75" style="221" customWidth="1"/>
    <col min="6674" max="6675" width="15.5" style="221" customWidth="1"/>
    <col min="6676" max="6921" width="8.875" style="221"/>
    <col min="6922" max="6922" width="17.25" style="221" customWidth="1"/>
    <col min="6923" max="6923" width="16.875" style="221" customWidth="1"/>
    <col min="6924" max="6928" width="8.875" style="221"/>
    <col min="6929" max="6929" width="18.75" style="221" customWidth="1"/>
    <col min="6930" max="6931" width="15.5" style="221" customWidth="1"/>
    <col min="6932" max="7177" width="8.875" style="221"/>
    <col min="7178" max="7178" width="17.25" style="221" customWidth="1"/>
    <col min="7179" max="7179" width="16.875" style="221" customWidth="1"/>
    <col min="7180" max="7184" width="8.875" style="221"/>
    <col min="7185" max="7185" width="18.75" style="221" customWidth="1"/>
    <col min="7186" max="7187" width="15.5" style="221" customWidth="1"/>
    <col min="7188" max="7433" width="8.875" style="221"/>
    <col min="7434" max="7434" width="17.25" style="221" customWidth="1"/>
    <col min="7435" max="7435" width="16.875" style="221" customWidth="1"/>
    <col min="7436" max="7440" width="8.875" style="221"/>
    <col min="7441" max="7441" width="18.75" style="221" customWidth="1"/>
    <col min="7442" max="7443" width="15.5" style="221" customWidth="1"/>
    <col min="7444" max="7689" width="8.875" style="221"/>
    <col min="7690" max="7690" width="17.25" style="221" customWidth="1"/>
    <col min="7691" max="7691" width="16.875" style="221" customWidth="1"/>
    <col min="7692" max="7696" width="8.875" style="221"/>
    <col min="7697" max="7697" width="18.75" style="221" customWidth="1"/>
    <col min="7698" max="7699" width="15.5" style="221" customWidth="1"/>
    <col min="7700" max="7945" width="8.875" style="221"/>
    <col min="7946" max="7946" width="17.25" style="221" customWidth="1"/>
    <col min="7947" max="7947" width="16.875" style="221" customWidth="1"/>
    <col min="7948" max="7952" width="8.875" style="221"/>
    <col min="7953" max="7953" width="18.75" style="221" customWidth="1"/>
    <col min="7954" max="7955" width="15.5" style="221" customWidth="1"/>
    <col min="7956" max="8201" width="8.875" style="221"/>
    <col min="8202" max="8202" width="17.25" style="221" customWidth="1"/>
    <col min="8203" max="8203" width="16.875" style="221" customWidth="1"/>
    <col min="8204" max="8208" width="8.875" style="221"/>
    <col min="8209" max="8209" width="18.75" style="221" customWidth="1"/>
    <col min="8210" max="8211" width="15.5" style="221" customWidth="1"/>
    <col min="8212" max="8457" width="8.875" style="221"/>
    <col min="8458" max="8458" width="17.25" style="221" customWidth="1"/>
    <col min="8459" max="8459" width="16.875" style="221" customWidth="1"/>
    <col min="8460" max="8464" width="8.875" style="221"/>
    <col min="8465" max="8465" width="18.75" style="221" customWidth="1"/>
    <col min="8466" max="8467" width="15.5" style="221" customWidth="1"/>
    <col min="8468" max="8713" width="8.875" style="221"/>
    <col min="8714" max="8714" width="17.25" style="221" customWidth="1"/>
    <col min="8715" max="8715" width="16.875" style="221" customWidth="1"/>
    <col min="8716" max="8720" width="8.875" style="221"/>
    <col min="8721" max="8721" width="18.75" style="221" customWidth="1"/>
    <col min="8722" max="8723" width="15.5" style="221" customWidth="1"/>
    <col min="8724" max="8969" width="8.875" style="221"/>
    <col min="8970" max="8970" width="17.25" style="221" customWidth="1"/>
    <col min="8971" max="8971" width="16.875" style="221" customWidth="1"/>
    <col min="8972" max="8976" width="8.875" style="221"/>
    <col min="8977" max="8977" width="18.75" style="221" customWidth="1"/>
    <col min="8978" max="8979" width="15.5" style="221" customWidth="1"/>
    <col min="8980" max="9225" width="8.875" style="221"/>
    <col min="9226" max="9226" width="17.25" style="221" customWidth="1"/>
    <col min="9227" max="9227" width="16.875" style="221" customWidth="1"/>
    <col min="9228" max="9232" width="8.875" style="221"/>
    <col min="9233" max="9233" width="18.75" style="221" customWidth="1"/>
    <col min="9234" max="9235" width="15.5" style="221" customWidth="1"/>
    <col min="9236" max="9481" width="8.875" style="221"/>
    <col min="9482" max="9482" width="17.25" style="221" customWidth="1"/>
    <col min="9483" max="9483" width="16.875" style="221" customWidth="1"/>
    <col min="9484" max="9488" width="8.875" style="221"/>
    <col min="9489" max="9489" width="18.75" style="221" customWidth="1"/>
    <col min="9490" max="9491" width="15.5" style="221" customWidth="1"/>
    <col min="9492" max="9737" width="8.875" style="221"/>
    <col min="9738" max="9738" width="17.25" style="221" customWidth="1"/>
    <col min="9739" max="9739" width="16.875" style="221" customWidth="1"/>
    <col min="9740" max="9744" width="8.875" style="221"/>
    <col min="9745" max="9745" width="18.75" style="221" customWidth="1"/>
    <col min="9746" max="9747" width="15.5" style="221" customWidth="1"/>
    <col min="9748" max="9993" width="8.875" style="221"/>
    <col min="9994" max="9994" width="17.25" style="221" customWidth="1"/>
    <col min="9995" max="9995" width="16.875" style="221" customWidth="1"/>
    <col min="9996" max="10000" width="8.875" style="221"/>
    <col min="10001" max="10001" width="18.75" style="221" customWidth="1"/>
    <col min="10002" max="10003" width="15.5" style="221" customWidth="1"/>
    <col min="10004" max="10249" width="8.875" style="221"/>
    <col min="10250" max="10250" width="17.25" style="221" customWidth="1"/>
    <col min="10251" max="10251" width="16.875" style="221" customWidth="1"/>
    <col min="10252" max="10256" width="8.875" style="221"/>
    <col min="10257" max="10257" width="18.75" style="221" customWidth="1"/>
    <col min="10258" max="10259" width="15.5" style="221" customWidth="1"/>
    <col min="10260" max="10505" width="8.875" style="221"/>
    <col min="10506" max="10506" width="17.25" style="221" customWidth="1"/>
    <col min="10507" max="10507" width="16.875" style="221" customWidth="1"/>
    <col min="10508" max="10512" width="8.875" style="221"/>
    <col min="10513" max="10513" width="18.75" style="221" customWidth="1"/>
    <col min="10514" max="10515" width="15.5" style="221" customWidth="1"/>
    <col min="10516" max="10761" width="8.875" style="221"/>
    <col min="10762" max="10762" width="17.25" style="221" customWidth="1"/>
    <col min="10763" max="10763" width="16.875" style="221" customWidth="1"/>
    <col min="10764" max="10768" width="8.875" style="221"/>
    <col min="10769" max="10769" width="18.75" style="221" customWidth="1"/>
    <col min="10770" max="10771" width="15.5" style="221" customWidth="1"/>
    <col min="10772" max="11017" width="8.875" style="221"/>
    <col min="11018" max="11018" width="17.25" style="221" customWidth="1"/>
    <col min="11019" max="11019" width="16.875" style="221" customWidth="1"/>
    <col min="11020" max="11024" width="8.875" style="221"/>
    <col min="11025" max="11025" width="18.75" style="221" customWidth="1"/>
    <col min="11026" max="11027" width="15.5" style="221" customWidth="1"/>
    <col min="11028" max="11273" width="8.875" style="221"/>
    <col min="11274" max="11274" width="17.25" style="221" customWidth="1"/>
    <col min="11275" max="11275" width="16.875" style="221" customWidth="1"/>
    <col min="11276" max="11280" width="8.875" style="221"/>
    <col min="11281" max="11281" width="18.75" style="221" customWidth="1"/>
    <col min="11282" max="11283" width="15.5" style="221" customWidth="1"/>
    <col min="11284" max="11529" width="8.875" style="221"/>
    <col min="11530" max="11530" width="17.25" style="221" customWidth="1"/>
    <col min="11531" max="11531" width="16.875" style="221" customWidth="1"/>
    <col min="11532" max="11536" width="8.875" style="221"/>
    <col min="11537" max="11537" width="18.75" style="221" customWidth="1"/>
    <col min="11538" max="11539" width="15.5" style="221" customWidth="1"/>
    <col min="11540" max="11785" width="8.875" style="221"/>
    <col min="11786" max="11786" width="17.25" style="221" customWidth="1"/>
    <col min="11787" max="11787" width="16.875" style="221" customWidth="1"/>
    <col min="11788" max="11792" width="8.875" style="221"/>
    <col min="11793" max="11793" width="18.75" style="221" customWidth="1"/>
    <col min="11794" max="11795" width="15.5" style="221" customWidth="1"/>
    <col min="11796" max="12041" width="8.875" style="221"/>
    <col min="12042" max="12042" width="17.25" style="221" customWidth="1"/>
    <col min="12043" max="12043" width="16.875" style="221" customWidth="1"/>
    <col min="12044" max="12048" width="8.875" style="221"/>
    <col min="12049" max="12049" width="18.75" style="221" customWidth="1"/>
    <col min="12050" max="12051" width="15.5" style="221" customWidth="1"/>
    <col min="12052" max="12297" width="8.875" style="221"/>
    <col min="12298" max="12298" width="17.25" style="221" customWidth="1"/>
    <col min="12299" max="12299" width="16.875" style="221" customWidth="1"/>
    <col min="12300" max="12304" width="8.875" style="221"/>
    <col min="12305" max="12305" width="18.75" style="221" customWidth="1"/>
    <col min="12306" max="12307" width="15.5" style="221" customWidth="1"/>
    <col min="12308" max="12553" width="8.875" style="221"/>
    <col min="12554" max="12554" width="17.25" style="221" customWidth="1"/>
    <col min="12555" max="12555" width="16.875" style="221" customWidth="1"/>
    <col min="12556" max="12560" width="8.875" style="221"/>
    <col min="12561" max="12561" width="18.75" style="221" customWidth="1"/>
    <col min="12562" max="12563" width="15.5" style="221" customWidth="1"/>
    <col min="12564" max="12809" width="8.875" style="221"/>
    <col min="12810" max="12810" width="17.25" style="221" customWidth="1"/>
    <col min="12811" max="12811" width="16.875" style="221" customWidth="1"/>
    <col min="12812" max="12816" width="8.875" style="221"/>
    <col min="12817" max="12817" width="18.75" style="221" customWidth="1"/>
    <col min="12818" max="12819" width="15.5" style="221" customWidth="1"/>
    <col min="12820" max="13065" width="8.875" style="221"/>
    <col min="13066" max="13066" width="17.25" style="221" customWidth="1"/>
    <col min="13067" max="13067" width="16.875" style="221" customWidth="1"/>
    <col min="13068" max="13072" width="8.875" style="221"/>
    <col min="13073" max="13073" width="18.75" style="221" customWidth="1"/>
    <col min="13074" max="13075" width="15.5" style="221" customWidth="1"/>
    <col min="13076" max="13321" width="8.875" style="221"/>
    <col min="13322" max="13322" width="17.25" style="221" customWidth="1"/>
    <col min="13323" max="13323" width="16.875" style="221" customWidth="1"/>
    <col min="13324" max="13328" width="8.875" style="221"/>
    <col min="13329" max="13329" width="18.75" style="221" customWidth="1"/>
    <col min="13330" max="13331" width="15.5" style="221" customWidth="1"/>
    <col min="13332" max="13577" width="8.875" style="221"/>
    <col min="13578" max="13578" width="17.25" style="221" customWidth="1"/>
    <col min="13579" max="13579" width="16.875" style="221" customWidth="1"/>
    <col min="13580" max="13584" width="8.875" style="221"/>
    <col min="13585" max="13585" width="18.75" style="221" customWidth="1"/>
    <col min="13586" max="13587" width="15.5" style="221" customWidth="1"/>
    <col min="13588" max="13833" width="8.875" style="221"/>
    <col min="13834" max="13834" width="17.25" style="221" customWidth="1"/>
    <col min="13835" max="13835" width="16.875" style="221" customWidth="1"/>
    <col min="13836" max="13840" width="8.875" style="221"/>
    <col min="13841" max="13841" width="18.75" style="221" customWidth="1"/>
    <col min="13842" max="13843" width="15.5" style="221" customWidth="1"/>
    <col min="13844" max="14089" width="8.875" style="221"/>
    <col min="14090" max="14090" width="17.25" style="221" customWidth="1"/>
    <col min="14091" max="14091" width="16.875" style="221" customWidth="1"/>
    <col min="14092" max="14096" width="8.875" style="221"/>
    <col min="14097" max="14097" width="18.75" style="221" customWidth="1"/>
    <col min="14098" max="14099" width="15.5" style="221" customWidth="1"/>
    <col min="14100" max="14345" width="8.875" style="221"/>
    <col min="14346" max="14346" width="17.25" style="221" customWidth="1"/>
    <col min="14347" max="14347" width="16.875" style="221" customWidth="1"/>
    <col min="14348" max="14352" width="8.875" style="221"/>
    <col min="14353" max="14353" width="18.75" style="221" customWidth="1"/>
    <col min="14354" max="14355" width="15.5" style="221" customWidth="1"/>
    <col min="14356" max="14601" width="8.875" style="221"/>
    <col min="14602" max="14602" width="17.25" style="221" customWidth="1"/>
    <col min="14603" max="14603" width="16.875" style="221" customWidth="1"/>
    <col min="14604" max="14608" width="8.875" style="221"/>
    <col min="14609" max="14609" width="18.75" style="221" customWidth="1"/>
    <col min="14610" max="14611" width="15.5" style="221" customWidth="1"/>
    <col min="14612" max="14857" width="8.875" style="221"/>
    <col min="14858" max="14858" width="17.25" style="221" customWidth="1"/>
    <col min="14859" max="14859" width="16.875" style="221" customWidth="1"/>
    <col min="14860" max="14864" width="8.875" style="221"/>
    <col min="14865" max="14865" width="18.75" style="221" customWidth="1"/>
    <col min="14866" max="14867" width="15.5" style="221" customWidth="1"/>
    <col min="14868" max="15113" width="8.875" style="221"/>
    <col min="15114" max="15114" width="17.25" style="221" customWidth="1"/>
    <col min="15115" max="15115" width="16.875" style="221" customWidth="1"/>
    <col min="15116" max="15120" width="8.875" style="221"/>
    <col min="15121" max="15121" width="18.75" style="221" customWidth="1"/>
    <col min="15122" max="15123" width="15.5" style="221" customWidth="1"/>
    <col min="15124" max="15369" width="8.875" style="221"/>
    <col min="15370" max="15370" width="17.25" style="221" customWidth="1"/>
    <col min="15371" max="15371" width="16.875" style="221" customWidth="1"/>
    <col min="15372" max="15376" width="8.875" style="221"/>
    <col min="15377" max="15377" width="18.75" style="221" customWidth="1"/>
    <col min="15378" max="15379" width="15.5" style="221" customWidth="1"/>
    <col min="15380" max="15625" width="8.875" style="221"/>
    <col min="15626" max="15626" width="17.25" style="221" customWidth="1"/>
    <col min="15627" max="15627" width="16.875" style="221" customWidth="1"/>
    <col min="15628" max="15632" width="8.875" style="221"/>
    <col min="15633" max="15633" width="18.75" style="221" customWidth="1"/>
    <col min="15634" max="15635" width="15.5" style="221" customWidth="1"/>
    <col min="15636" max="15881" width="8.875" style="221"/>
    <col min="15882" max="15882" width="17.25" style="221" customWidth="1"/>
    <col min="15883" max="15883" width="16.875" style="221" customWidth="1"/>
    <col min="15884" max="15888" width="8.875" style="221"/>
    <col min="15889" max="15889" width="18.75" style="221" customWidth="1"/>
    <col min="15890" max="15891" width="15.5" style="221" customWidth="1"/>
    <col min="15892" max="16137" width="8.875" style="221"/>
    <col min="16138" max="16138" width="17.25" style="221" customWidth="1"/>
    <col min="16139" max="16139" width="16.875" style="221" customWidth="1"/>
    <col min="16140" max="16144" width="8.875" style="221"/>
    <col min="16145" max="16145" width="18.75" style="221" customWidth="1"/>
    <col min="16146" max="16147" width="15.5" style="221" customWidth="1"/>
    <col min="16148" max="16384" width="8.875" style="221"/>
  </cols>
  <sheetData>
    <row r="1" spans="3:17">
      <c r="E1" s="221">
        <v>4</v>
      </c>
      <c r="F1" s="221">
        <v>3</v>
      </c>
      <c r="G1" s="222">
        <v>2</v>
      </c>
      <c r="H1" s="222">
        <v>1</v>
      </c>
      <c r="I1" s="222" t="s">
        <v>243</v>
      </c>
      <c r="L1" s="222">
        <v>4</v>
      </c>
      <c r="M1" s="222">
        <v>3</v>
      </c>
      <c r="N1" s="221">
        <v>2</v>
      </c>
      <c r="O1" s="221">
        <v>1</v>
      </c>
      <c r="P1" s="222" t="s">
        <v>243</v>
      </c>
    </row>
    <row r="2" spans="3:17">
      <c r="C2" s="221">
        <v>1</v>
      </c>
      <c r="D2" s="221" t="str">
        <f>IFERROR(VLOOKUP(C2,'主變(變電所全停)'!N$1:W$65536,8,0),"")</f>
        <v>IJ29</v>
      </c>
      <c r="E2" s="221">
        <f>VALUE(IF(COUNTIF($D$2:D2,D2)&gt;4,"4","0"))</f>
        <v>0</v>
      </c>
      <c r="F2" s="221">
        <f>VALUE(IF(COUNTIF($D$2:D2,D2)&gt;3,"3","0"))</f>
        <v>0</v>
      </c>
      <c r="G2" s="222">
        <f>VALUE(IF(COUNTIF($D$2:D2,D2)&gt;2,"2","0"))</f>
        <v>0</v>
      </c>
      <c r="H2" s="222">
        <f>VALUE(IF(COUNTIF($D$2:D2,D2)&gt;1,"1","0"))</f>
        <v>0</v>
      </c>
      <c r="I2" s="222">
        <f>VALUE(MAX(E2:H2,H2))</f>
        <v>0</v>
      </c>
      <c r="J2" s="233" t="str">
        <f>D2&amp;"-"&amp;I2</f>
        <v>IJ29-0</v>
      </c>
      <c r="K2" s="222" t="str">
        <f>IFERROR(VLOOKUP(C2,'主變(變電所全停)'!N$1:W$65536,10,0),"")</f>
        <v/>
      </c>
      <c r="L2" s="222">
        <f>VALUE(IF(COUNTIF($K$2:K2,K2)&gt;4,"4","0"))</f>
        <v>0</v>
      </c>
      <c r="M2" s="222">
        <f>VALUE(IF(COUNTIF($K$2:K2,K2)&gt;3,"3","0"))</f>
        <v>0</v>
      </c>
      <c r="N2" s="221">
        <f>VALUE(IF(COUNTIF($K$2:K2,K2)&gt;2,"2","0"))</f>
        <v>0</v>
      </c>
      <c r="O2" s="221">
        <f>VALUE(IF(COUNTIF($K$2:K2,K2)&gt;1,"1","0"))</f>
        <v>0</v>
      </c>
      <c r="P2" s="222">
        <f>VALUE(MAX(L2:O2,O2))</f>
        <v>0</v>
      </c>
      <c r="Q2" s="233" t="str">
        <f t="shared" ref="Q2:Q39" si="0">K2&amp;"-"&amp;P2</f>
        <v>-0</v>
      </c>
    </row>
    <row r="3" spans="3:17">
      <c r="C3" s="221">
        <v>2</v>
      </c>
      <c r="D3" s="221" t="str">
        <f>IFERROR(VLOOKUP(C3,'主變(變電所全停)'!N$1:W$65536,8,0),"")</f>
        <v>IA30</v>
      </c>
      <c r="E3" s="221">
        <f>VALUE(IF(COUNTIF($D$2:D3,D3)&gt;4,"4","0"))</f>
        <v>0</v>
      </c>
      <c r="F3" s="221">
        <f>VALUE(IF(COUNTIF($D$2:D3,D3)&gt;3,"3","0"))</f>
        <v>0</v>
      </c>
      <c r="G3" s="222">
        <f>VALUE(IF(COUNTIF($D$2:D3,D3)&gt;2,"2","0"))</f>
        <v>0</v>
      </c>
      <c r="H3" s="222">
        <f>VALUE(IF(COUNTIF($D$2:D3,D3)&gt;1,"1","0"))</f>
        <v>0</v>
      </c>
      <c r="I3" s="222">
        <f t="shared" ref="I3:I39" si="1">VALUE(MAX(E3:H3,H3))</f>
        <v>0</v>
      </c>
      <c r="J3" s="233" t="str">
        <f t="shared" ref="J3:J39" si="2">D3&amp;"-"&amp;I3</f>
        <v>IA30-0</v>
      </c>
      <c r="K3" s="222" t="str">
        <f>IFERROR(VLOOKUP(C3,'主變(變電所全停)'!N$1:W$65536,10,0),"")</f>
        <v/>
      </c>
      <c r="L3" s="222">
        <f>VALUE(IF(COUNTIF($K$2:K3,K3)&gt;4,"4","0"))</f>
        <v>0</v>
      </c>
      <c r="M3" s="222">
        <f>VALUE(IF(COUNTIF($K$2:K3,K3)&gt;3,"3","0"))</f>
        <v>0</v>
      </c>
      <c r="N3" s="221">
        <f>VALUE(IF(COUNTIF($K$2:K3,K3)&gt;2,"2","0"))</f>
        <v>0</v>
      </c>
      <c r="O3" s="221">
        <f>VALUE(IF(COUNTIF($K$2:K3,K3)&gt;1,"1","0"))</f>
        <v>1</v>
      </c>
      <c r="P3" s="222">
        <f t="shared" ref="P3:P39" si="3">VALUE(MAX(L3:O3,O3))</f>
        <v>1</v>
      </c>
      <c r="Q3" s="233" t="str">
        <f t="shared" si="0"/>
        <v>-1</v>
      </c>
    </row>
    <row r="4" spans="3:17">
      <c r="C4" s="221">
        <v>3</v>
      </c>
      <c r="D4" s="221" t="str">
        <f>IFERROR(VLOOKUP(C4,'主變(變電所全停)'!N$1:W$65536,8,0),"")</f>
        <v>9K26</v>
      </c>
      <c r="E4" s="221">
        <f>VALUE(IF(COUNTIF($D$2:D4,D4)&gt;4,"4","0"))</f>
        <v>0</v>
      </c>
      <c r="F4" s="221">
        <f>VALUE(IF(COUNTIF($D$2:D4,D4)&gt;3,"3","0"))</f>
        <v>0</v>
      </c>
      <c r="G4" s="222">
        <f>VALUE(IF(COUNTIF($D$2:D4,D4)&gt;2,"2","0"))</f>
        <v>0</v>
      </c>
      <c r="H4" s="222">
        <f>VALUE(IF(COUNTIF($D$2:D4,D4)&gt;1,"1","0"))</f>
        <v>0</v>
      </c>
      <c r="I4" s="222">
        <f t="shared" si="1"/>
        <v>0</v>
      </c>
      <c r="J4" s="233" t="str">
        <f t="shared" si="2"/>
        <v>9K26-0</v>
      </c>
      <c r="K4" s="222" t="str">
        <f>IFERROR(VLOOKUP(C4,'主變(變電所全停)'!N$1:W$65536,10,0),"")</f>
        <v/>
      </c>
      <c r="L4" s="222">
        <f>VALUE(IF(COUNTIF($K$2:K4,K4)&gt;4,"4","0"))</f>
        <v>0</v>
      </c>
      <c r="M4" s="222">
        <f>VALUE(IF(COUNTIF($K$2:K4,K4)&gt;3,"3","0"))</f>
        <v>0</v>
      </c>
      <c r="N4" s="221">
        <f>VALUE(IF(COUNTIF($K$2:K4,K4)&gt;2,"2","0"))</f>
        <v>2</v>
      </c>
      <c r="O4" s="221">
        <f>VALUE(IF(COUNTIF($K$2:K4,K4)&gt;1,"1","0"))</f>
        <v>1</v>
      </c>
      <c r="P4" s="222">
        <f t="shared" si="3"/>
        <v>2</v>
      </c>
      <c r="Q4" s="233" t="str">
        <f t="shared" si="0"/>
        <v>-2</v>
      </c>
    </row>
    <row r="5" spans="3:17">
      <c r="C5" s="221">
        <v>4</v>
      </c>
      <c r="D5" s="221" t="str">
        <f>IFERROR(VLOOKUP(C5,'主變(變電所全停)'!N$1:W$65536,8,0),"")</f>
        <v>IH20</v>
      </c>
      <c r="E5" s="221">
        <f>VALUE(IF(COUNTIF($D$2:D5,D5)&gt;4,"4","0"))</f>
        <v>0</v>
      </c>
      <c r="F5" s="221">
        <f>VALUE(IF(COUNTIF($D$2:D5,D5)&gt;3,"3","0"))</f>
        <v>0</v>
      </c>
      <c r="G5" s="222">
        <f>VALUE(IF(COUNTIF($D$2:D5,D5)&gt;2,"2","0"))</f>
        <v>0</v>
      </c>
      <c r="H5" s="222">
        <f>VALUE(IF(COUNTIF($D$2:D5,D5)&gt;1,"1","0"))</f>
        <v>0</v>
      </c>
      <c r="I5" s="222">
        <f t="shared" si="1"/>
        <v>0</v>
      </c>
      <c r="J5" s="233" t="str">
        <f t="shared" si="2"/>
        <v>IH20-0</v>
      </c>
      <c r="K5" s="222" t="str">
        <f>IFERROR(VLOOKUP(C5,'主變(變電所全停)'!N$1:W$65536,10,0),"")</f>
        <v/>
      </c>
      <c r="L5" s="222">
        <f>VALUE(IF(COUNTIF($K$2:K5,K5)&gt;4,"4","0"))</f>
        <v>0</v>
      </c>
      <c r="M5" s="222">
        <f>VALUE(IF(COUNTIF($K$2:K5,K5)&gt;3,"3","0"))</f>
        <v>3</v>
      </c>
      <c r="N5" s="221">
        <f>VALUE(IF(COUNTIF($K$2:K5,K5)&gt;2,"2","0"))</f>
        <v>2</v>
      </c>
      <c r="O5" s="221">
        <f>VALUE(IF(COUNTIF($K$2:K5,K5)&gt;1,"1","0"))</f>
        <v>1</v>
      </c>
      <c r="P5" s="222">
        <f t="shared" si="3"/>
        <v>3</v>
      </c>
      <c r="Q5" s="233" t="str">
        <f t="shared" si="0"/>
        <v>-3</v>
      </c>
    </row>
    <row r="6" spans="3:17">
      <c r="C6" s="221">
        <v>5</v>
      </c>
      <c r="D6" s="221" t="str">
        <f>IFERROR(VLOOKUP(C6,'主變(變電所全停)'!N$1:W$65536,8,0),"")</f>
        <v>IH27</v>
      </c>
      <c r="E6" s="221">
        <f>VALUE(IF(COUNTIF($D$2:D6,D6)&gt;4,"4","0"))</f>
        <v>0</v>
      </c>
      <c r="F6" s="221">
        <f>VALUE(IF(COUNTIF($D$2:D6,D6)&gt;3,"3","0"))</f>
        <v>0</v>
      </c>
      <c r="G6" s="222">
        <f>VALUE(IF(COUNTIF($D$2:D6,D6)&gt;2,"2","0"))</f>
        <v>0</v>
      </c>
      <c r="H6" s="222">
        <f>VALUE(IF(COUNTIF($D$2:D6,D6)&gt;1,"1","0"))</f>
        <v>0</v>
      </c>
      <c r="I6" s="222">
        <f t="shared" si="1"/>
        <v>0</v>
      </c>
      <c r="J6" s="233" t="str">
        <f t="shared" si="2"/>
        <v>IH27-0</v>
      </c>
      <c r="K6" s="222" t="str">
        <f>IFERROR(VLOOKUP(C6,'主變(變電所全停)'!N$1:W$65536,10,0),"")</f>
        <v/>
      </c>
      <c r="L6" s="222">
        <f>VALUE(IF(COUNTIF($K$2:K6,K6)&gt;4,"4","0"))</f>
        <v>4</v>
      </c>
      <c r="M6" s="222">
        <f>VALUE(IF(COUNTIF($K$2:K6,K6)&gt;3,"3","0"))</f>
        <v>3</v>
      </c>
      <c r="N6" s="221">
        <f>VALUE(IF(COUNTIF($K$2:K6,K6)&gt;2,"2","0"))</f>
        <v>2</v>
      </c>
      <c r="O6" s="221">
        <f>VALUE(IF(COUNTIF($K$2:K6,K6)&gt;1,"1","0"))</f>
        <v>1</v>
      </c>
      <c r="P6" s="222">
        <f t="shared" si="3"/>
        <v>4</v>
      </c>
      <c r="Q6" s="233" t="str">
        <f t="shared" si="0"/>
        <v>-4</v>
      </c>
    </row>
    <row r="7" spans="3:17">
      <c r="C7" s="221">
        <v>6</v>
      </c>
      <c r="D7" s="221" t="str">
        <f>IFERROR(VLOOKUP(C7,'主變(變電所全停)'!N$1:W$65536,8,0),"")</f>
        <v>IT20</v>
      </c>
      <c r="E7" s="221">
        <f>VALUE(IF(COUNTIF($D$2:D7,D7)&gt;4,"4","0"))</f>
        <v>0</v>
      </c>
      <c r="F7" s="221">
        <f>VALUE(IF(COUNTIF($D$2:D7,D7)&gt;3,"3","0"))</f>
        <v>0</v>
      </c>
      <c r="G7" s="222">
        <f>VALUE(IF(COUNTIF($D$2:D7,D7)&gt;2,"2","0"))</f>
        <v>0</v>
      </c>
      <c r="H7" s="222">
        <f>VALUE(IF(COUNTIF($D$2:D7,D7)&gt;1,"1","0"))</f>
        <v>0</v>
      </c>
      <c r="I7" s="222">
        <f t="shared" si="1"/>
        <v>0</v>
      </c>
      <c r="J7" s="233" t="str">
        <f t="shared" si="2"/>
        <v>IT20-0</v>
      </c>
      <c r="K7" s="222" t="str">
        <f>IFERROR(VLOOKUP(C7,'主變(變電所全停)'!N$1:W$65536,10,0),"")</f>
        <v/>
      </c>
      <c r="L7" s="222">
        <f>VALUE(IF(COUNTIF($K$2:K7,K7)&gt;4,"4","0"))</f>
        <v>4</v>
      </c>
      <c r="M7" s="222">
        <f>VALUE(IF(COUNTIF($K$2:K7,K7)&gt;3,"3","0"))</f>
        <v>3</v>
      </c>
      <c r="N7" s="221">
        <f>VALUE(IF(COUNTIF($K$2:K7,K7)&gt;2,"2","0"))</f>
        <v>2</v>
      </c>
      <c r="O7" s="221">
        <f>VALUE(IF(COUNTIF($K$2:K7,K7)&gt;1,"1","0"))</f>
        <v>1</v>
      </c>
      <c r="P7" s="222">
        <f t="shared" si="3"/>
        <v>4</v>
      </c>
      <c r="Q7" s="233" t="str">
        <f t="shared" si="0"/>
        <v>-4</v>
      </c>
    </row>
    <row r="8" spans="3:17">
      <c r="C8" s="221">
        <v>7</v>
      </c>
      <c r="D8" s="221" t="str">
        <f>IFERROR(VLOOKUP(C8,'主變(變電所全停)'!N$1:W$65536,8,0),"")</f>
        <v>9K23</v>
      </c>
      <c r="E8" s="221">
        <f>VALUE(IF(COUNTIF($D$2:D8,D8)&gt;4,"4","0"))</f>
        <v>0</v>
      </c>
      <c r="F8" s="221">
        <f>VALUE(IF(COUNTIF($D$2:D8,D8)&gt;3,"3","0"))</f>
        <v>0</v>
      </c>
      <c r="G8" s="222">
        <f>VALUE(IF(COUNTIF($D$2:D8,D8)&gt;2,"2","0"))</f>
        <v>0</v>
      </c>
      <c r="H8" s="222">
        <f>VALUE(IF(COUNTIF($D$2:D8,D8)&gt;1,"1","0"))</f>
        <v>0</v>
      </c>
      <c r="I8" s="222">
        <f t="shared" si="1"/>
        <v>0</v>
      </c>
      <c r="J8" s="233" t="str">
        <f t="shared" si="2"/>
        <v>9K23-0</v>
      </c>
      <c r="K8" s="222" t="str">
        <f>IFERROR(VLOOKUP(C8,'主變(變電所全停)'!N$1:W$65536,10,0),"")</f>
        <v/>
      </c>
      <c r="L8" s="222">
        <f>VALUE(IF(COUNTIF($K$2:K8,K8)&gt;4,"4","0"))</f>
        <v>4</v>
      </c>
      <c r="M8" s="222">
        <f>VALUE(IF(COUNTIF($K$2:K8,K8)&gt;3,"3","0"))</f>
        <v>3</v>
      </c>
      <c r="N8" s="221">
        <f>VALUE(IF(COUNTIF($K$2:K8,K8)&gt;2,"2","0"))</f>
        <v>2</v>
      </c>
      <c r="O8" s="221">
        <f>VALUE(IF(COUNTIF($K$2:K8,K8)&gt;1,"1","0"))</f>
        <v>1</v>
      </c>
      <c r="P8" s="222">
        <f t="shared" si="3"/>
        <v>4</v>
      </c>
      <c r="Q8" s="233" t="str">
        <f t="shared" si="0"/>
        <v>-4</v>
      </c>
    </row>
    <row r="9" spans="3:17">
      <c r="C9" s="221">
        <v>8</v>
      </c>
      <c r="D9" s="221" t="str">
        <f>IFERROR(VLOOKUP(C9,'主變(變電所全停)'!N$1:W$65536,8,0),"")</f>
        <v>9K22</v>
      </c>
      <c r="E9" s="221">
        <f>VALUE(IF(COUNTIF($D$2:D9,D9)&gt;4,"4","0"))</f>
        <v>0</v>
      </c>
      <c r="F9" s="221">
        <f>VALUE(IF(COUNTIF($D$2:D9,D9)&gt;3,"3","0"))</f>
        <v>0</v>
      </c>
      <c r="G9" s="222">
        <f>VALUE(IF(COUNTIF($D$2:D9,D9)&gt;2,"2","0"))</f>
        <v>0</v>
      </c>
      <c r="H9" s="222">
        <f>VALUE(IF(COUNTIF($D$2:D9,D9)&gt;1,"1","0"))</f>
        <v>0</v>
      </c>
      <c r="I9" s="222">
        <f t="shared" si="1"/>
        <v>0</v>
      </c>
      <c r="J9" s="233" t="str">
        <f t="shared" si="2"/>
        <v>9K22-0</v>
      </c>
      <c r="K9" s="222" t="str">
        <f>IFERROR(VLOOKUP(C9,'主變(變電所全停)'!N$1:W$65536,10,0),"")</f>
        <v/>
      </c>
      <c r="L9" s="222">
        <f>VALUE(IF(COUNTIF($K$2:K9,K9)&gt;4,"4","0"))</f>
        <v>4</v>
      </c>
      <c r="M9" s="222">
        <f>VALUE(IF(COUNTIF($K$2:K9,K9)&gt;3,"3","0"))</f>
        <v>3</v>
      </c>
      <c r="N9" s="221">
        <f>VALUE(IF(COUNTIF($K$2:K9,K9)&gt;2,"2","0"))</f>
        <v>2</v>
      </c>
      <c r="O9" s="221">
        <f>VALUE(IF(COUNTIF($K$2:K9,K9)&gt;1,"1","0"))</f>
        <v>1</v>
      </c>
      <c r="P9" s="222">
        <f t="shared" si="3"/>
        <v>4</v>
      </c>
      <c r="Q9" s="233" t="str">
        <f t="shared" si="0"/>
        <v>-4</v>
      </c>
    </row>
    <row r="10" spans="3:17">
      <c r="C10" s="221">
        <v>9</v>
      </c>
      <c r="D10" s="221" t="str">
        <f>IFERROR(VLOOKUP(C10,'主變(變電所全停)'!N$1:W$65536,8,0),"")</f>
        <v>IH24</v>
      </c>
      <c r="E10" s="221">
        <f>VALUE(IF(COUNTIF($D$2:D10,D10)&gt;4,"4","0"))</f>
        <v>0</v>
      </c>
      <c r="F10" s="221">
        <f>VALUE(IF(COUNTIF($D$2:D10,D10)&gt;3,"3","0"))</f>
        <v>0</v>
      </c>
      <c r="G10" s="222">
        <f>VALUE(IF(COUNTIF($D$2:D10,D10)&gt;2,"2","0"))</f>
        <v>0</v>
      </c>
      <c r="H10" s="222">
        <f>VALUE(IF(COUNTIF($D$2:D10,D10)&gt;1,"1","0"))</f>
        <v>0</v>
      </c>
      <c r="I10" s="222">
        <f t="shared" si="1"/>
        <v>0</v>
      </c>
      <c r="J10" s="233" t="str">
        <f t="shared" si="2"/>
        <v>IH24-0</v>
      </c>
      <c r="K10" s="222" t="str">
        <f>IFERROR(VLOOKUP(C10,'主變(變電所全停)'!N$1:W$65536,10,0),"")</f>
        <v/>
      </c>
      <c r="L10" s="222">
        <f>VALUE(IF(COUNTIF($K$2:K10,K10)&gt;4,"4","0"))</f>
        <v>4</v>
      </c>
      <c r="M10" s="222">
        <f>VALUE(IF(COUNTIF($K$2:K10,K10)&gt;3,"3","0"))</f>
        <v>3</v>
      </c>
      <c r="N10" s="221">
        <f>VALUE(IF(COUNTIF($K$2:K10,K10)&gt;2,"2","0"))</f>
        <v>2</v>
      </c>
      <c r="O10" s="221">
        <f>VALUE(IF(COUNTIF($K$2:K10,K10)&gt;1,"1","0"))</f>
        <v>1</v>
      </c>
      <c r="P10" s="222">
        <f t="shared" si="3"/>
        <v>4</v>
      </c>
      <c r="Q10" s="233" t="str">
        <f t="shared" si="0"/>
        <v>-4</v>
      </c>
    </row>
    <row r="11" spans="3:17">
      <c r="C11" s="221">
        <v>10</v>
      </c>
      <c r="D11" s="221" t="str">
        <f>IFERROR(VLOOKUP(C11,'主變(變電所全停)'!N$1:W$65536,8,0),"")</f>
        <v>9K24</v>
      </c>
      <c r="E11" s="221">
        <f>VALUE(IF(COUNTIF($D$2:D11,D11)&gt;4,"4","0"))</f>
        <v>0</v>
      </c>
      <c r="F11" s="221">
        <f>VALUE(IF(COUNTIF($D$2:D11,D11)&gt;3,"3","0"))</f>
        <v>0</v>
      </c>
      <c r="G11" s="222">
        <f>VALUE(IF(COUNTIF($D$2:D11,D11)&gt;2,"2","0"))</f>
        <v>0</v>
      </c>
      <c r="H11" s="222">
        <f>VALUE(IF(COUNTIF($D$2:D11,D11)&gt;1,"1","0"))</f>
        <v>0</v>
      </c>
      <c r="I11" s="222">
        <f t="shared" si="1"/>
        <v>0</v>
      </c>
      <c r="J11" s="233" t="str">
        <f t="shared" si="2"/>
        <v>9K24-0</v>
      </c>
      <c r="K11" s="222" t="str">
        <f>IFERROR(VLOOKUP(C11,'主變(變電所全停)'!N$1:W$65536,10,0),"")</f>
        <v/>
      </c>
      <c r="L11" s="222">
        <f>VALUE(IF(COUNTIF($K$2:K11,K11)&gt;4,"4","0"))</f>
        <v>4</v>
      </c>
      <c r="M11" s="222">
        <f>VALUE(IF(COUNTIF($K$2:K11,K11)&gt;3,"3","0"))</f>
        <v>3</v>
      </c>
      <c r="N11" s="221">
        <f>VALUE(IF(COUNTIF($K$2:K11,K11)&gt;2,"2","0"))</f>
        <v>2</v>
      </c>
      <c r="O11" s="221">
        <f>VALUE(IF(COUNTIF($K$2:K11,K11)&gt;1,"1","0"))</f>
        <v>1</v>
      </c>
      <c r="P11" s="222">
        <f t="shared" si="3"/>
        <v>4</v>
      </c>
      <c r="Q11" s="233" t="str">
        <f t="shared" si="0"/>
        <v>-4</v>
      </c>
    </row>
    <row r="12" spans="3:17">
      <c r="C12" s="221">
        <v>11</v>
      </c>
      <c r="D12" s="221" t="str">
        <f>IFERROR(VLOOKUP(C12,'主變(變電所全停)'!N$1:W$65536,8,0),"")</f>
        <v>IA25</v>
      </c>
      <c r="E12" s="221">
        <f>VALUE(IF(COUNTIF($D$2:D12,D12)&gt;4,"4","0"))</f>
        <v>0</v>
      </c>
      <c r="F12" s="221">
        <f>VALUE(IF(COUNTIF($D$2:D12,D12)&gt;3,"3","0"))</f>
        <v>0</v>
      </c>
      <c r="G12" s="222">
        <f>VALUE(IF(COUNTIF($D$2:D12,D12)&gt;2,"2","0"))</f>
        <v>0</v>
      </c>
      <c r="H12" s="222">
        <f>VALUE(IF(COUNTIF($D$2:D12,D12)&gt;1,"1","0"))</f>
        <v>0</v>
      </c>
      <c r="I12" s="222">
        <f t="shared" si="1"/>
        <v>0</v>
      </c>
      <c r="J12" s="233" t="str">
        <f t="shared" si="2"/>
        <v>IA25-0</v>
      </c>
      <c r="K12" s="222" t="str">
        <f>IFERROR(VLOOKUP(C12,'主變(變電所全停)'!N$1:W$65536,10,0),"")</f>
        <v/>
      </c>
      <c r="L12" s="222">
        <f>VALUE(IF(COUNTIF($K$2:K12,K12)&gt;4,"4","0"))</f>
        <v>4</v>
      </c>
      <c r="M12" s="222">
        <f>VALUE(IF(COUNTIF($K$2:K12,K12)&gt;3,"3","0"))</f>
        <v>3</v>
      </c>
      <c r="N12" s="221">
        <f>VALUE(IF(COUNTIF($K$2:K12,K12)&gt;2,"2","0"))</f>
        <v>2</v>
      </c>
      <c r="O12" s="221">
        <f>VALUE(IF(COUNTIF($K$2:K12,K12)&gt;1,"1","0"))</f>
        <v>1</v>
      </c>
      <c r="P12" s="222">
        <f t="shared" si="3"/>
        <v>4</v>
      </c>
      <c r="Q12" s="233" t="str">
        <f t="shared" si="0"/>
        <v>-4</v>
      </c>
    </row>
    <row r="13" spans="3:17">
      <c r="C13" s="221">
        <v>12</v>
      </c>
      <c r="D13" s="221" t="str">
        <f>IFERROR(VLOOKUP(C13,'主變(變電所全停)'!N$1:W$65536,8,0),"")</f>
        <v>IJ23</v>
      </c>
      <c r="E13" s="221">
        <f>VALUE(IF(COUNTIF($D$2:D13,D13)&gt;4,"4","0"))</f>
        <v>0</v>
      </c>
      <c r="F13" s="221">
        <f>VALUE(IF(COUNTIF($D$2:D13,D13)&gt;3,"3","0"))</f>
        <v>0</v>
      </c>
      <c r="G13" s="222">
        <f>VALUE(IF(COUNTIF($D$2:D13,D13)&gt;2,"2","0"))</f>
        <v>0</v>
      </c>
      <c r="H13" s="222">
        <f>VALUE(IF(COUNTIF($D$2:D13,D13)&gt;1,"1","0"))</f>
        <v>0</v>
      </c>
      <c r="I13" s="222">
        <f t="shared" si="1"/>
        <v>0</v>
      </c>
      <c r="J13" s="233" t="str">
        <f t="shared" si="2"/>
        <v>IJ23-0</v>
      </c>
      <c r="K13" s="222" t="str">
        <f>IFERROR(VLOOKUP(C13,'主變(變電所全停)'!N$1:W$65536,10,0),"")</f>
        <v/>
      </c>
      <c r="L13" s="222">
        <f>VALUE(IF(COUNTIF($K$2:K13,K13)&gt;4,"4","0"))</f>
        <v>4</v>
      </c>
      <c r="M13" s="222">
        <f>VALUE(IF(COUNTIF($K$2:K13,K13)&gt;3,"3","0"))</f>
        <v>3</v>
      </c>
      <c r="N13" s="221">
        <f>VALUE(IF(COUNTIF($K$2:K13,K13)&gt;2,"2","0"))</f>
        <v>2</v>
      </c>
      <c r="O13" s="221">
        <f>VALUE(IF(COUNTIF($K$2:K13,K13)&gt;1,"1","0"))</f>
        <v>1</v>
      </c>
      <c r="P13" s="222">
        <f t="shared" si="3"/>
        <v>4</v>
      </c>
      <c r="Q13" s="233" t="str">
        <f t="shared" si="0"/>
        <v>-4</v>
      </c>
    </row>
    <row r="14" spans="3:17">
      <c r="C14" s="221">
        <v>13</v>
      </c>
      <c r="D14" s="221" t="str">
        <f>IFERROR(VLOOKUP(C14,'主變(變電所全停)'!N$1:W$65536,8,0),"")</f>
        <v>9K30</v>
      </c>
      <c r="E14" s="221">
        <f>VALUE(IF(COUNTIF($D$2:D14,D14)&gt;4,"4","0"))</f>
        <v>0</v>
      </c>
      <c r="F14" s="221">
        <f>VALUE(IF(COUNTIF($D$2:D14,D14)&gt;3,"3","0"))</f>
        <v>0</v>
      </c>
      <c r="G14" s="222">
        <f>VALUE(IF(COUNTIF($D$2:D14,D14)&gt;2,"2","0"))</f>
        <v>0</v>
      </c>
      <c r="H14" s="222">
        <f>VALUE(IF(COUNTIF($D$2:D14,D14)&gt;1,"1","0"))</f>
        <v>0</v>
      </c>
      <c r="I14" s="222">
        <f t="shared" si="1"/>
        <v>0</v>
      </c>
      <c r="J14" s="233" t="str">
        <f t="shared" si="2"/>
        <v>9K30-0</v>
      </c>
      <c r="K14" s="222" t="str">
        <f>IFERROR(VLOOKUP(C14,'主變(變電所全停)'!N$1:W$65536,10,0),"")</f>
        <v/>
      </c>
      <c r="L14" s="222">
        <f>VALUE(IF(COUNTIF($K$2:K14,K14)&gt;4,"4","0"))</f>
        <v>4</v>
      </c>
      <c r="M14" s="222">
        <f>VALUE(IF(COUNTIF($K$2:K14,K14)&gt;3,"3","0"))</f>
        <v>3</v>
      </c>
      <c r="N14" s="221">
        <f>VALUE(IF(COUNTIF($K$2:K14,K14)&gt;2,"2","0"))</f>
        <v>2</v>
      </c>
      <c r="O14" s="221">
        <f>VALUE(IF(COUNTIF($K$2:K14,K14)&gt;1,"1","0"))</f>
        <v>1</v>
      </c>
      <c r="P14" s="222">
        <f t="shared" si="3"/>
        <v>4</v>
      </c>
      <c r="Q14" s="233" t="str">
        <f t="shared" si="0"/>
        <v>-4</v>
      </c>
    </row>
    <row r="15" spans="3:17">
      <c r="C15" s="221">
        <v>14</v>
      </c>
      <c r="D15" s="221" t="str">
        <f>IFERROR(VLOOKUP(C15,'主變(變電所全停)'!N$1:W$65536,8,0),"")</f>
        <v>IA33</v>
      </c>
      <c r="E15" s="221">
        <f>VALUE(IF(COUNTIF($D$2:D15,D15)&gt;4,"4","0"))</f>
        <v>0</v>
      </c>
      <c r="F15" s="221">
        <f>VALUE(IF(COUNTIF($D$2:D15,D15)&gt;3,"3","0"))</f>
        <v>0</v>
      </c>
      <c r="G15" s="222">
        <f>VALUE(IF(COUNTIF($D$2:D15,D15)&gt;2,"2","0"))</f>
        <v>0</v>
      </c>
      <c r="H15" s="222">
        <f>VALUE(IF(COUNTIF($D$2:D15,D15)&gt;1,"1","0"))</f>
        <v>0</v>
      </c>
      <c r="I15" s="222">
        <f t="shared" si="1"/>
        <v>0</v>
      </c>
      <c r="J15" s="233" t="str">
        <f t="shared" si="2"/>
        <v>IA33-0</v>
      </c>
      <c r="K15" s="222" t="str">
        <f>IFERROR(VLOOKUP(C15,'主變(變電所全停)'!N$1:W$65536,10,0),"")</f>
        <v/>
      </c>
      <c r="L15" s="222">
        <f>VALUE(IF(COUNTIF($K$2:K15,K15)&gt;4,"4","0"))</f>
        <v>4</v>
      </c>
      <c r="M15" s="222">
        <f>VALUE(IF(COUNTIF($K$2:K15,K15)&gt;3,"3","0"))</f>
        <v>3</v>
      </c>
      <c r="N15" s="221">
        <f>VALUE(IF(COUNTIF($K$2:K15,K15)&gt;2,"2","0"))</f>
        <v>2</v>
      </c>
      <c r="O15" s="221">
        <f>VALUE(IF(COUNTIF($K$2:K15,K15)&gt;1,"1","0"))</f>
        <v>1</v>
      </c>
      <c r="P15" s="222">
        <f t="shared" si="3"/>
        <v>4</v>
      </c>
      <c r="Q15" s="233" t="str">
        <f t="shared" si="0"/>
        <v>-4</v>
      </c>
    </row>
    <row r="16" spans="3:17">
      <c r="C16" s="221">
        <v>15</v>
      </c>
      <c r="D16" s="221" t="str">
        <f>IFERROR(VLOOKUP(C16,'主變(變電所全停)'!N$1:W$65536,8,0),"")</f>
        <v>9K26</v>
      </c>
      <c r="E16" s="221">
        <f>VALUE(IF(COUNTIF($D$2:D16,D16)&gt;4,"4","0"))</f>
        <v>0</v>
      </c>
      <c r="F16" s="221">
        <f>VALUE(IF(COUNTIF($D$2:D16,D16)&gt;3,"3","0"))</f>
        <v>0</v>
      </c>
      <c r="G16" s="222">
        <f>VALUE(IF(COUNTIF($D$2:D16,D16)&gt;2,"2","0"))</f>
        <v>0</v>
      </c>
      <c r="H16" s="222">
        <f>VALUE(IF(COUNTIF($D$2:D16,D16)&gt;1,"1","0"))</f>
        <v>1</v>
      </c>
      <c r="I16" s="222">
        <f t="shared" si="1"/>
        <v>1</v>
      </c>
      <c r="J16" s="233" t="str">
        <f t="shared" si="2"/>
        <v>9K26-1</v>
      </c>
      <c r="K16" s="222" t="str">
        <f>IFERROR(VLOOKUP(C16,'主變(變電所全停)'!N$1:W$65536,10,0),"")</f>
        <v/>
      </c>
      <c r="L16" s="222">
        <f>VALUE(IF(COUNTIF($K$2:K16,K16)&gt;4,"4","0"))</f>
        <v>4</v>
      </c>
      <c r="M16" s="222">
        <f>VALUE(IF(COUNTIF($K$2:K16,K16)&gt;3,"3","0"))</f>
        <v>3</v>
      </c>
      <c r="N16" s="221">
        <f>VALUE(IF(COUNTIF($K$2:K16,K16)&gt;2,"2","0"))</f>
        <v>2</v>
      </c>
      <c r="O16" s="221">
        <f>VALUE(IF(COUNTIF($K$2:K16,K16)&gt;1,"1","0"))</f>
        <v>1</v>
      </c>
      <c r="P16" s="222">
        <f t="shared" si="3"/>
        <v>4</v>
      </c>
      <c r="Q16" s="233" t="str">
        <f t="shared" si="0"/>
        <v>-4</v>
      </c>
    </row>
    <row r="17" spans="3:17">
      <c r="C17" s="221">
        <v>16</v>
      </c>
      <c r="D17" s="221" t="str">
        <f>IFERROR(VLOOKUP(C17,'主變(變電所全停)'!N$1:W$65536,8,0),"")</f>
        <v>IA20</v>
      </c>
      <c r="E17" s="221">
        <f>VALUE(IF(COUNTIF($D$2:D17,D17)&gt;4,"4","0"))</f>
        <v>0</v>
      </c>
      <c r="F17" s="221">
        <f>VALUE(IF(COUNTIF($D$2:D17,D17)&gt;3,"3","0"))</f>
        <v>0</v>
      </c>
      <c r="G17" s="222">
        <f>VALUE(IF(COUNTIF($D$2:D17,D17)&gt;2,"2","0"))</f>
        <v>0</v>
      </c>
      <c r="H17" s="222">
        <f>VALUE(IF(COUNTIF($D$2:D17,D17)&gt;1,"1","0"))</f>
        <v>0</v>
      </c>
      <c r="I17" s="222">
        <f t="shared" si="1"/>
        <v>0</v>
      </c>
      <c r="J17" s="233" t="str">
        <f t="shared" si="2"/>
        <v>IA20-0</v>
      </c>
      <c r="K17" s="222" t="str">
        <f>IFERROR(VLOOKUP(C17,'主變(變電所全停)'!N$1:W$65536,10,0),"")</f>
        <v/>
      </c>
      <c r="L17" s="222">
        <f>VALUE(IF(COUNTIF($K$2:K17,K17)&gt;4,"4","0"))</f>
        <v>4</v>
      </c>
      <c r="M17" s="222">
        <f>VALUE(IF(COUNTIF($K$2:K17,K17)&gt;3,"3","0"))</f>
        <v>3</v>
      </c>
      <c r="N17" s="221">
        <f>VALUE(IF(COUNTIF($K$2:K17,K17)&gt;2,"2","0"))</f>
        <v>2</v>
      </c>
      <c r="O17" s="221">
        <f>VALUE(IF(COUNTIF($K$2:K17,K17)&gt;1,"1","0"))</f>
        <v>1</v>
      </c>
      <c r="P17" s="222">
        <f t="shared" si="3"/>
        <v>4</v>
      </c>
      <c r="Q17" s="233" t="str">
        <f t="shared" si="0"/>
        <v>-4</v>
      </c>
    </row>
    <row r="18" spans="3:17">
      <c r="C18" s="221">
        <v>17</v>
      </c>
      <c r="D18" s="221" t="str">
        <f>IFERROR(VLOOKUP(C18,'主變(變電所全停)'!N$1:W$65536,8,0),"")</f>
        <v>IA35</v>
      </c>
      <c r="E18" s="221">
        <f>VALUE(IF(COUNTIF($D$2:D18,D18)&gt;4,"4","0"))</f>
        <v>0</v>
      </c>
      <c r="F18" s="221">
        <f>VALUE(IF(COUNTIF($D$2:D18,D18)&gt;3,"3","0"))</f>
        <v>0</v>
      </c>
      <c r="G18" s="222">
        <f>VALUE(IF(COUNTIF($D$2:D18,D18)&gt;2,"2","0"))</f>
        <v>0</v>
      </c>
      <c r="H18" s="222">
        <f>VALUE(IF(COUNTIF($D$2:D18,D18)&gt;1,"1","0"))</f>
        <v>0</v>
      </c>
      <c r="I18" s="222">
        <f t="shared" si="1"/>
        <v>0</v>
      </c>
      <c r="J18" s="233" t="str">
        <f t="shared" si="2"/>
        <v>IA35-0</v>
      </c>
      <c r="K18" s="222" t="str">
        <f>IFERROR(VLOOKUP(C18,'主變(變電所全停)'!N$1:W$65536,10,0),"")</f>
        <v/>
      </c>
      <c r="L18" s="222">
        <f>VALUE(IF(COUNTIF($K$2:K18,K18)&gt;4,"4","0"))</f>
        <v>4</v>
      </c>
      <c r="M18" s="222">
        <f>VALUE(IF(COUNTIF($K$2:K18,K18)&gt;3,"3","0"))</f>
        <v>3</v>
      </c>
      <c r="N18" s="221">
        <f>VALUE(IF(COUNTIF($K$2:K18,K18)&gt;2,"2","0"))</f>
        <v>2</v>
      </c>
      <c r="O18" s="221">
        <f>VALUE(IF(COUNTIF($K$2:K18,K18)&gt;1,"1","0"))</f>
        <v>1</v>
      </c>
      <c r="P18" s="222">
        <f t="shared" si="3"/>
        <v>4</v>
      </c>
      <c r="Q18" s="233" t="str">
        <f t="shared" si="0"/>
        <v>-4</v>
      </c>
    </row>
    <row r="19" spans="3:17">
      <c r="C19" s="221">
        <v>18</v>
      </c>
      <c r="D19" s="221" t="str">
        <f>IFERROR(VLOOKUP(C19,'主變(變電所全停)'!N$1:W$65536,8,0),"")</f>
        <v>IZ24</v>
      </c>
      <c r="E19" s="221">
        <f>VALUE(IF(COUNTIF($D$2:D19,D19)&gt;4,"4","0"))</f>
        <v>0</v>
      </c>
      <c r="F19" s="221">
        <f>VALUE(IF(COUNTIF($D$2:D19,D19)&gt;3,"3","0"))</f>
        <v>0</v>
      </c>
      <c r="G19" s="222">
        <f>VALUE(IF(COUNTIF($D$2:D19,D19)&gt;2,"2","0"))</f>
        <v>0</v>
      </c>
      <c r="H19" s="222">
        <f>VALUE(IF(COUNTIF($D$2:D19,D19)&gt;1,"1","0"))</f>
        <v>0</v>
      </c>
      <c r="I19" s="222">
        <f t="shared" si="1"/>
        <v>0</v>
      </c>
      <c r="J19" s="233" t="str">
        <f t="shared" si="2"/>
        <v>IZ24-0</v>
      </c>
      <c r="K19" s="222" t="str">
        <f>IFERROR(VLOOKUP(C19,'主變(變電所全停)'!N$1:W$65536,10,0),"")</f>
        <v/>
      </c>
      <c r="L19" s="222">
        <f>VALUE(IF(COUNTIF($K$2:K19,K19)&gt;4,"4","0"))</f>
        <v>4</v>
      </c>
      <c r="M19" s="222">
        <f>VALUE(IF(COUNTIF($K$2:K19,K19)&gt;3,"3","0"))</f>
        <v>3</v>
      </c>
      <c r="N19" s="221">
        <f>VALUE(IF(COUNTIF($K$2:K19,K19)&gt;2,"2","0"))</f>
        <v>2</v>
      </c>
      <c r="O19" s="221">
        <f>VALUE(IF(COUNTIF($K$2:K19,K19)&gt;1,"1","0"))</f>
        <v>1</v>
      </c>
      <c r="P19" s="222">
        <f t="shared" si="3"/>
        <v>4</v>
      </c>
      <c r="Q19" s="233" t="str">
        <f t="shared" si="0"/>
        <v>-4</v>
      </c>
    </row>
    <row r="20" spans="3:17">
      <c r="C20" s="221">
        <v>19</v>
      </c>
      <c r="D20" s="221" t="str">
        <f>IFERROR(VLOOKUP(C20,'主變(變電所全停)'!N$1:W$65536,8,0),"")</f>
        <v>9K28</v>
      </c>
      <c r="E20" s="221">
        <f>VALUE(IF(COUNTIF($D$2:D20,D20)&gt;4,"4","0"))</f>
        <v>0</v>
      </c>
      <c r="F20" s="221">
        <f>VALUE(IF(COUNTIF($D$2:D20,D20)&gt;3,"3","0"))</f>
        <v>0</v>
      </c>
      <c r="G20" s="222">
        <f>VALUE(IF(COUNTIF($D$2:D20,D20)&gt;2,"2","0"))</f>
        <v>0</v>
      </c>
      <c r="H20" s="222">
        <f>VALUE(IF(COUNTIF($D$2:D20,D20)&gt;1,"1","0"))</f>
        <v>0</v>
      </c>
      <c r="I20" s="222">
        <f t="shared" si="1"/>
        <v>0</v>
      </c>
      <c r="J20" s="233" t="str">
        <f t="shared" si="2"/>
        <v>9K28-0</v>
      </c>
      <c r="K20" s="222" t="str">
        <f>IFERROR(VLOOKUP(C20,'主變(變電所全停)'!N$1:W$65536,10,0),"")</f>
        <v/>
      </c>
      <c r="L20" s="222">
        <f>VALUE(IF(COUNTIF($K$2:K20,K20)&gt;4,"4","0"))</f>
        <v>4</v>
      </c>
      <c r="M20" s="222">
        <f>VALUE(IF(COUNTIF($K$2:K20,K20)&gt;3,"3","0"))</f>
        <v>3</v>
      </c>
      <c r="N20" s="221">
        <f>VALUE(IF(COUNTIF($K$2:K20,K20)&gt;2,"2","0"))</f>
        <v>2</v>
      </c>
      <c r="O20" s="221">
        <f>VALUE(IF(COUNTIF($K$2:K20,K20)&gt;1,"1","0"))</f>
        <v>1</v>
      </c>
      <c r="P20" s="222">
        <f t="shared" si="3"/>
        <v>4</v>
      </c>
      <c r="Q20" s="233" t="str">
        <f t="shared" si="0"/>
        <v>-4</v>
      </c>
    </row>
    <row r="21" spans="3:17">
      <c r="C21" s="221">
        <v>20</v>
      </c>
      <c r="D21" s="221" t="str">
        <f>IFERROR(VLOOKUP(C21,'主變(變電所全停)'!N$1:W$65536,8,0),"")</f>
        <v/>
      </c>
      <c r="E21" s="221">
        <f>VALUE(IF(COUNTIF($D$2:D21,D21)&gt;4,"4","0"))</f>
        <v>0</v>
      </c>
      <c r="F21" s="221">
        <f>VALUE(IF(COUNTIF($D$2:D21,D21)&gt;3,"3","0"))</f>
        <v>0</v>
      </c>
      <c r="G21" s="222">
        <f>VALUE(IF(COUNTIF($D$2:D21,D21)&gt;2,"2","0"))</f>
        <v>0</v>
      </c>
      <c r="H21" s="222">
        <f>VALUE(IF(COUNTIF($D$2:D21,D21)&gt;1,"1","0"))</f>
        <v>0</v>
      </c>
      <c r="I21" s="222">
        <f t="shared" si="1"/>
        <v>0</v>
      </c>
      <c r="J21" s="222" t="str">
        <f t="shared" si="2"/>
        <v>-0</v>
      </c>
      <c r="K21" s="222" t="str">
        <f>IFERROR(VLOOKUP(C21,'主變(變電所全停)'!N$1:W$65536,10,0),"")</f>
        <v/>
      </c>
      <c r="L21" s="222">
        <f>VALUE(IF(COUNTIF($K$2:K21,K21)&gt;4,"4","0"))</f>
        <v>4</v>
      </c>
      <c r="M21" s="222">
        <f>VALUE(IF(COUNTIF($K$2:K21,K21)&gt;3,"3","0"))</f>
        <v>3</v>
      </c>
      <c r="N21" s="221">
        <f>VALUE(IF(COUNTIF($K$2:K21,K21)&gt;2,"2","0"))</f>
        <v>2</v>
      </c>
      <c r="O21" s="221">
        <f>VALUE(IF(COUNTIF($K$2:K21,K21)&gt;1,"1","0"))</f>
        <v>1</v>
      </c>
      <c r="P21" s="222">
        <f t="shared" si="3"/>
        <v>4</v>
      </c>
      <c r="Q21" s="222" t="str">
        <f t="shared" si="0"/>
        <v>-4</v>
      </c>
    </row>
    <row r="22" spans="3:17">
      <c r="C22" s="221">
        <v>21</v>
      </c>
      <c r="D22" s="221" t="str">
        <f>IFERROR(VLOOKUP(C22,'主變(變電所全停)'!N$1:W$65536,8,0),"")</f>
        <v/>
      </c>
      <c r="E22" s="221">
        <f>VALUE(IF(COUNTIF($D$2:D22,D22)&gt;4,"4","0"))</f>
        <v>0</v>
      </c>
      <c r="F22" s="221">
        <f>VALUE(IF(COUNTIF($D$2:D22,D22)&gt;3,"3","0"))</f>
        <v>0</v>
      </c>
      <c r="G22" s="222">
        <f>VALUE(IF(COUNTIF($D$2:D22,D22)&gt;2,"2","0"))</f>
        <v>0</v>
      </c>
      <c r="H22" s="222">
        <f>VALUE(IF(COUNTIF($D$2:D22,D22)&gt;1,"1","0"))</f>
        <v>1</v>
      </c>
      <c r="I22" s="222">
        <f t="shared" si="1"/>
        <v>1</v>
      </c>
      <c r="J22" s="222" t="str">
        <f t="shared" si="2"/>
        <v>-1</v>
      </c>
      <c r="K22" s="222" t="str">
        <f>IFERROR(VLOOKUP(C22,'主變(變電所全停)'!N$1:W$65536,10,0),"")</f>
        <v/>
      </c>
      <c r="L22" s="222">
        <f>VALUE(IF(COUNTIF($K$2:K22,K22)&gt;4,"4","0"))</f>
        <v>4</v>
      </c>
      <c r="M22" s="222">
        <f>VALUE(IF(COUNTIF($K$2:K22,K22)&gt;3,"3","0"))</f>
        <v>3</v>
      </c>
      <c r="N22" s="221">
        <f>VALUE(IF(COUNTIF($K$2:K22,K22)&gt;2,"2","0"))</f>
        <v>2</v>
      </c>
      <c r="O22" s="221">
        <f>VALUE(IF(COUNTIF($K$2:K22,K22)&gt;1,"1","0"))</f>
        <v>1</v>
      </c>
      <c r="P22" s="222">
        <f t="shared" si="3"/>
        <v>4</v>
      </c>
      <c r="Q22" s="222" t="str">
        <f t="shared" si="0"/>
        <v>-4</v>
      </c>
    </row>
    <row r="23" spans="3:17">
      <c r="C23" s="221">
        <v>22</v>
      </c>
      <c r="D23" s="221" t="str">
        <f>IFERROR(VLOOKUP(C23,'主變(變電所全停)'!N$1:W$65536,8,0),"")</f>
        <v/>
      </c>
      <c r="E23" s="221">
        <f>VALUE(IF(COUNTIF($D$2:D23,D23)&gt;4,"4","0"))</f>
        <v>0</v>
      </c>
      <c r="F23" s="221">
        <f>VALUE(IF(COUNTIF($D$2:D23,D23)&gt;3,"3","0"))</f>
        <v>0</v>
      </c>
      <c r="G23" s="222">
        <f>VALUE(IF(COUNTIF($D$2:D23,D23)&gt;2,"2","0"))</f>
        <v>2</v>
      </c>
      <c r="H23" s="222">
        <f>VALUE(IF(COUNTIF($D$2:D23,D23)&gt;1,"1","0"))</f>
        <v>1</v>
      </c>
      <c r="I23" s="222">
        <f t="shared" si="1"/>
        <v>2</v>
      </c>
      <c r="J23" s="222" t="str">
        <f t="shared" si="2"/>
        <v>-2</v>
      </c>
      <c r="K23" s="222" t="str">
        <f>IFERROR(VLOOKUP(C23,'主變(變電所全停)'!N$1:W$65536,10,0),"")</f>
        <v/>
      </c>
      <c r="L23" s="222">
        <f>VALUE(IF(COUNTIF($K$2:K23,K23)&gt;4,"4","0"))</f>
        <v>4</v>
      </c>
      <c r="M23" s="222">
        <f>VALUE(IF(COUNTIF($K$2:K23,K23)&gt;3,"3","0"))</f>
        <v>3</v>
      </c>
      <c r="N23" s="221">
        <f>VALUE(IF(COUNTIF($K$2:K23,K23)&gt;2,"2","0"))</f>
        <v>2</v>
      </c>
      <c r="O23" s="221">
        <f>VALUE(IF(COUNTIF($K$2:K23,K23)&gt;1,"1","0"))</f>
        <v>1</v>
      </c>
      <c r="P23" s="222">
        <f t="shared" si="3"/>
        <v>4</v>
      </c>
      <c r="Q23" s="222" t="str">
        <f t="shared" si="0"/>
        <v>-4</v>
      </c>
    </row>
    <row r="24" spans="3:17">
      <c r="C24" s="221">
        <v>23</v>
      </c>
      <c r="D24" s="221" t="str">
        <f>IFERROR(VLOOKUP(C24,'主變(變電所全停)'!N$1:W$65536,8,0),"")</f>
        <v/>
      </c>
      <c r="E24" s="221">
        <f>VALUE(IF(COUNTIF($D$2:D24,D24)&gt;4,"4","0"))</f>
        <v>0</v>
      </c>
      <c r="F24" s="221">
        <f>VALUE(IF(COUNTIF($D$2:D24,D24)&gt;3,"3","0"))</f>
        <v>3</v>
      </c>
      <c r="G24" s="222">
        <f>VALUE(IF(COUNTIF($D$2:D24,D24)&gt;2,"2","0"))</f>
        <v>2</v>
      </c>
      <c r="H24" s="222">
        <f>VALUE(IF(COUNTIF($D$2:D24,D24)&gt;1,"1","0"))</f>
        <v>1</v>
      </c>
      <c r="I24" s="222">
        <f t="shared" si="1"/>
        <v>3</v>
      </c>
      <c r="J24" s="222" t="str">
        <f t="shared" si="2"/>
        <v>-3</v>
      </c>
      <c r="K24" s="222" t="str">
        <f>IFERROR(VLOOKUP(C24,'主變(變電所全停)'!N$1:W$65536,10,0),"")</f>
        <v/>
      </c>
      <c r="L24" s="222">
        <f>VALUE(IF(COUNTIF($K$2:K24,K24)&gt;4,"4","0"))</f>
        <v>4</v>
      </c>
      <c r="M24" s="222">
        <f>VALUE(IF(COUNTIF($K$2:K24,K24)&gt;3,"3","0"))</f>
        <v>3</v>
      </c>
      <c r="N24" s="221">
        <f>VALUE(IF(COUNTIF($K$2:K24,K24)&gt;2,"2","0"))</f>
        <v>2</v>
      </c>
      <c r="O24" s="221">
        <f>VALUE(IF(COUNTIF($K$2:K24,K24)&gt;1,"1","0"))</f>
        <v>1</v>
      </c>
      <c r="P24" s="222">
        <f t="shared" si="3"/>
        <v>4</v>
      </c>
      <c r="Q24" s="222" t="str">
        <f t="shared" si="0"/>
        <v>-4</v>
      </c>
    </row>
    <row r="25" spans="3:17">
      <c r="C25" s="221">
        <v>24</v>
      </c>
      <c r="D25" s="221" t="str">
        <f>IFERROR(VLOOKUP(C25,'主變(變電所全停)'!N$1:W$65536,8,0),"")</f>
        <v/>
      </c>
      <c r="E25" s="221">
        <f>VALUE(IF(COUNTIF($D$2:D25,D25)&gt;4,"4","0"))</f>
        <v>4</v>
      </c>
      <c r="F25" s="221">
        <f>VALUE(IF(COUNTIF($D$2:D25,D25)&gt;3,"3","0"))</f>
        <v>3</v>
      </c>
      <c r="G25" s="222">
        <f>VALUE(IF(COUNTIF($D$2:D25,D25)&gt;2,"2","0"))</f>
        <v>2</v>
      </c>
      <c r="H25" s="222">
        <f>VALUE(IF(COUNTIF($D$2:D25,D25)&gt;1,"1","0"))</f>
        <v>1</v>
      </c>
      <c r="I25" s="222">
        <f t="shared" si="1"/>
        <v>4</v>
      </c>
      <c r="J25" s="222" t="str">
        <f t="shared" si="2"/>
        <v>-4</v>
      </c>
      <c r="K25" s="222" t="str">
        <f>IFERROR(VLOOKUP(C25,'主變(變電所全停)'!N$1:W$65536,10,0),"")</f>
        <v/>
      </c>
      <c r="L25" s="222">
        <f>VALUE(IF(COUNTIF($K$2:K25,K25)&gt;4,"4","0"))</f>
        <v>4</v>
      </c>
      <c r="M25" s="222">
        <f>VALUE(IF(COUNTIF($K$2:K25,K25)&gt;3,"3","0"))</f>
        <v>3</v>
      </c>
      <c r="N25" s="221">
        <f>VALUE(IF(COUNTIF($K$2:K25,K25)&gt;2,"2","0"))</f>
        <v>2</v>
      </c>
      <c r="O25" s="221">
        <f>VALUE(IF(COUNTIF($K$2:K25,K25)&gt;1,"1","0"))</f>
        <v>1</v>
      </c>
      <c r="P25" s="222">
        <f t="shared" si="3"/>
        <v>4</v>
      </c>
      <c r="Q25" s="222" t="str">
        <f t="shared" si="0"/>
        <v>-4</v>
      </c>
    </row>
    <row r="26" spans="3:17">
      <c r="C26" s="221">
        <v>25</v>
      </c>
      <c r="D26" s="221" t="str">
        <f>IFERROR(VLOOKUP(C26,'主變(變電所全停)'!N$1:W$65536,8,0),"")</f>
        <v/>
      </c>
      <c r="E26" s="221">
        <f>VALUE(IF(COUNTIF($D$2:D26,D26)&gt;4,"4","0"))</f>
        <v>4</v>
      </c>
      <c r="F26" s="221">
        <f>VALUE(IF(COUNTIF($D$2:D26,D26)&gt;3,"3","0"))</f>
        <v>3</v>
      </c>
      <c r="G26" s="222">
        <f>VALUE(IF(COUNTIF($D$2:D26,D26)&gt;2,"2","0"))</f>
        <v>2</v>
      </c>
      <c r="H26" s="222">
        <f>VALUE(IF(COUNTIF($D$2:D26,D26)&gt;1,"1","0"))</f>
        <v>1</v>
      </c>
      <c r="I26" s="222">
        <f t="shared" si="1"/>
        <v>4</v>
      </c>
      <c r="J26" s="222" t="str">
        <f t="shared" si="2"/>
        <v>-4</v>
      </c>
      <c r="K26" s="222" t="str">
        <f>IFERROR(VLOOKUP(C26,'主變(變電所全停)'!N$1:W$65536,10,0),"")</f>
        <v/>
      </c>
      <c r="L26" s="222">
        <f>VALUE(IF(COUNTIF($K$2:K26,K26)&gt;4,"4","0"))</f>
        <v>4</v>
      </c>
      <c r="M26" s="222">
        <f>VALUE(IF(COUNTIF($K$2:K26,K26)&gt;3,"3","0"))</f>
        <v>3</v>
      </c>
      <c r="N26" s="221">
        <f>VALUE(IF(COUNTIF($K$2:K26,K26)&gt;2,"2","0"))</f>
        <v>2</v>
      </c>
      <c r="O26" s="221">
        <f>VALUE(IF(COUNTIF($K$2:K26,K26)&gt;1,"1","0"))</f>
        <v>1</v>
      </c>
      <c r="P26" s="222">
        <f t="shared" si="3"/>
        <v>4</v>
      </c>
      <c r="Q26" s="222" t="str">
        <f t="shared" si="0"/>
        <v>-4</v>
      </c>
    </row>
    <row r="27" spans="3:17">
      <c r="C27" s="221">
        <v>26</v>
      </c>
      <c r="D27" s="221" t="str">
        <f>IFERROR(VLOOKUP(C27,'主變(變電所全停)'!N$1:W$65536,8,0),"")</f>
        <v/>
      </c>
      <c r="E27" s="221">
        <f>VALUE(IF(COUNTIF($D$2:D27,D27)&gt;4,"4","0"))</f>
        <v>4</v>
      </c>
      <c r="F27" s="221">
        <f>VALUE(IF(COUNTIF($D$2:D27,D27)&gt;3,"3","0"))</f>
        <v>3</v>
      </c>
      <c r="G27" s="222">
        <f>VALUE(IF(COUNTIF($D$2:D27,D27)&gt;2,"2","0"))</f>
        <v>2</v>
      </c>
      <c r="H27" s="222">
        <f>VALUE(IF(COUNTIF($D$2:D27,D27)&gt;1,"1","0"))</f>
        <v>1</v>
      </c>
      <c r="I27" s="222">
        <f t="shared" si="1"/>
        <v>4</v>
      </c>
      <c r="J27" s="222" t="str">
        <f t="shared" si="2"/>
        <v>-4</v>
      </c>
      <c r="K27" s="222" t="str">
        <f>IFERROR(VLOOKUP(C27,'主變(變電所全停)'!N$1:W$65536,10,0),"")</f>
        <v/>
      </c>
      <c r="L27" s="222">
        <f>VALUE(IF(COUNTIF($K$2:K27,K27)&gt;4,"4","0"))</f>
        <v>4</v>
      </c>
      <c r="M27" s="222">
        <f>VALUE(IF(COUNTIF($K$2:K27,K27)&gt;3,"3","0"))</f>
        <v>3</v>
      </c>
      <c r="N27" s="221">
        <f>VALUE(IF(COUNTIF($K$2:K27,K27)&gt;2,"2","0"))</f>
        <v>2</v>
      </c>
      <c r="O27" s="221">
        <f>VALUE(IF(COUNTIF($K$2:K27,K27)&gt;1,"1","0"))</f>
        <v>1</v>
      </c>
      <c r="P27" s="222">
        <f t="shared" si="3"/>
        <v>4</v>
      </c>
      <c r="Q27" s="222" t="str">
        <f t="shared" si="0"/>
        <v>-4</v>
      </c>
    </row>
    <row r="28" spans="3:17">
      <c r="C28" s="221">
        <v>27</v>
      </c>
      <c r="D28" s="221" t="str">
        <f>IFERROR(VLOOKUP(C28,'主變(變電所全停)'!N$1:W$65536,8,0),"")</f>
        <v/>
      </c>
      <c r="E28" s="221">
        <f>VALUE(IF(COUNTIF($D$2:D28,D28)&gt;4,"4","0"))</f>
        <v>4</v>
      </c>
      <c r="F28" s="221">
        <f>VALUE(IF(COUNTIF($D$2:D28,D28)&gt;3,"3","0"))</f>
        <v>3</v>
      </c>
      <c r="G28" s="222">
        <f>VALUE(IF(COUNTIF($D$2:D28,D28)&gt;2,"2","0"))</f>
        <v>2</v>
      </c>
      <c r="H28" s="222">
        <f>VALUE(IF(COUNTIF($D$2:D28,D28)&gt;1,"1","0"))</f>
        <v>1</v>
      </c>
      <c r="I28" s="222">
        <f t="shared" si="1"/>
        <v>4</v>
      </c>
      <c r="J28" s="222" t="str">
        <f t="shared" si="2"/>
        <v>-4</v>
      </c>
      <c r="K28" s="222" t="str">
        <f>IFERROR(VLOOKUP(C28,'主變(變電所全停)'!N$1:W$65536,10,0),"")</f>
        <v/>
      </c>
      <c r="L28" s="222">
        <f>VALUE(IF(COUNTIF($K$2:K28,K28)&gt;4,"4","0"))</f>
        <v>4</v>
      </c>
      <c r="M28" s="222">
        <f>VALUE(IF(COUNTIF($K$2:K28,K28)&gt;3,"3","0"))</f>
        <v>3</v>
      </c>
      <c r="N28" s="221">
        <f>VALUE(IF(COUNTIF($K$2:K28,K28)&gt;2,"2","0"))</f>
        <v>2</v>
      </c>
      <c r="O28" s="221">
        <f>VALUE(IF(COUNTIF($K$2:K28,K28)&gt;1,"1","0"))</f>
        <v>1</v>
      </c>
      <c r="P28" s="222">
        <f t="shared" si="3"/>
        <v>4</v>
      </c>
      <c r="Q28" s="222" t="str">
        <f t="shared" si="0"/>
        <v>-4</v>
      </c>
    </row>
    <row r="29" spans="3:17">
      <c r="C29" s="221">
        <v>28</v>
      </c>
      <c r="D29" s="221" t="str">
        <f>IFERROR(VLOOKUP(C29,'主變(變電所全停)'!N$1:W$65536,8,0),"")</f>
        <v/>
      </c>
      <c r="E29" s="221">
        <f>VALUE(IF(COUNTIF($D$2:D29,D29)&gt;4,"4","0"))</f>
        <v>4</v>
      </c>
      <c r="F29" s="221">
        <f>VALUE(IF(COUNTIF($D$2:D29,D29)&gt;3,"3","0"))</f>
        <v>3</v>
      </c>
      <c r="G29" s="222">
        <f>VALUE(IF(COUNTIF($D$2:D29,D29)&gt;2,"2","0"))</f>
        <v>2</v>
      </c>
      <c r="H29" s="222">
        <f>VALUE(IF(COUNTIF($D$2:D29,D29)&gt;1,"1","0"))</f>
        <v>1</v>
      </c>
      <c r="I29" s="222">
        <f t="shared" si="1"/>
        <v>4</v>
      </c>
      <c r="J29" s="222" t="str">
        <f t="shared" si="2"/>
        <v>-4</v>
      </c>
      <c r="K29" s="222" t="str">
        <f>IFERROR(VLOOKUP(C29,'主變(變電所全停)'!N$1:W$65536,10,0),"")</f>
        <v/>
      </c>
      <c r="L29" s="222">
        <f>VALUE(IF(COUNTIF($K$2:K29,K29)&gt;4,"4","0"))</f>
        <v>4</v>
      </c>
      <c r="M29" s="222">
        <f>VALUE(IF(COUNTIF($K$2:K29,K29)&gt;3,"3","0"))</f>
        <v>3</v>
      </c>
      <c r="N29" s="221">
        <f>VALUE(IF(COUNTIF($K$2:K29,K29)&gt;2,"2","0"))</f>
        <v>2</v>
      </c>
      <c r="O29" s="221">
        <f>VALUE(IF(COUNTIF($K$2:K29,K29)&gt;1,"1","0"))</f>
        <v>1</v>
      </c>
      <c r="P29" s="222">
        <f t="shared" si="3"/>
        <v>4</v>
      </c>
      <c r="Q29" s="222" t="str">
        <f t="shared" si="0"/>
        <v>-4</v>
      </c>
    </row>
    <row r="30" spans="3:17">
      <c r="C30" s="221">
        <v>29</v>
      </c>
      <c r="D30" s="221" t="str">
        <f>IFERROR(VLOOKUP(C30,'主變(變電所全停)'!N$1:W$65536,8,0),"")</f>
        <v/>
      </c>
      <c r="E30" s="221">
        <f>VALUE(IF(COUNTIF($D$2:D30,D30)&gt;4,"4","0"))</f>
        <v>4</v>
      </c>
      <c r="F30" s="221">
        <f>VALUE(IF(COUNTIF($D$2:D30,D30)&gt;3,"3","0"))</f>
        <v>3</v>
      </c>
      <c r="G30" s="222">
        <f>VALUE(IF(COUNTIF($D$2:D30,D30)&gt;2,"2","0"))</f>
        <v>2</v>
      </c>
      <c r="H30" s="222">
        <f>VALUE(IF(COUNTIF($D$2:D30,D30)&gt;1,"1","0"))</f>
        <v>1</v>
      </c>
      <c r="I30" s="222">
        <f t="shared" si="1"/>
        <v>4</v>
      </c>
      <c r="J30" s="222" t="str">
        <f t="shared" si="2"/>
        <v>-4</v>
      </c>
      <c r="K30" s="222" t="str">
        <f>IFERROR(VLOOKUP(C30,'主變(變電所全停)'!N$1:W$65536,10,0),"")</f>
        <v/>
      </c>
      <c r="L30" s="222">
        <f>VALUE(IF(COUNTIF($K$2:K30,K30)&gt;4,"4","0"))</f>
        <v>4</v>
      </c>
      <c r="M30" s="222">
        <f>VALUE(IF(COUNTIF($K$2:K30,K30)&gt;3,"3","0"))</f>
        <v>3</v>
      </c>
      <c r="N30" s="221">
        <f>VALUE(IF(COUNTIF($K$2:K30,K30)&gt;2,"2","0"))</f>
        <v>2</v>
      </c>
      <c r="O30" s="221">
        <f>VALUE(IF(COUNTIF($K$2:K30,K30)&gt;1,"1","0"))</f>
        <v>1</v>
      </c>
      <c r="P30" s="222">
        <f t="shared" si="3"/>
        <v>4</v>
      </c>
      <c r="Q30" s="222" t="str">
        <f t="shared" si="0"/>
        <v>-4</v>
      </c>
    </row>
    <row r="31" spans="3:17">
      <c r="C31" s="221">
        <v>30</v>
      </c>
      <c r="D31" s="221" t="str">
        <f>IFERROR(VLOOKUP(C31,'主變(變電所全停)'!N$1:W$65536,8,0),"")</f>
        <v/>
      </c>
      <c r="E31" s="221">
        <f>VALUE(IF(COUNTIF($D$2:D31,D31)&gt;4,"4","0"))</f>
        <v>4</v>
      </c>
      <c r="F31" s="221">
        <f>VALUE(IF(COUNTIF($D$2:D31,D31)&gt;3,"3","0"))</f>
        <v>3</v>
      </c>
      <c r="G31" s="222">
        <f>VALUE(IF(COUNTIF($D$2:D31,D31)&gt;2,"2","0"))</f>
        <v>2</v>
      </c>
      <c r="H31" s="222">
        <f>VALUE(IF(COUNTIF($D$2:D31,D31)&gt;1,"1","0"))</f>
        <v>1</v>
      </c>
      <c r="I31" s="222">
        <f t="shared" si="1"/>
        <v>4</v>
      </c>
      <c r="J31" s="222" t="str">
        <f t="shared" si="2"/>
        <v>-4</v>
      </c>
      <c r="K31" s="222" t="str">
        <f>IFERROR(VLOOKUP(C31,'主變(變電所全停)'!N$1:W$65536,10,0),"")</f>
        <v/>
      </c>
      <c r="L31" s="222">
        <f>VALUE(IF(COUNTIF($K$2:K31,K31)&gt;4,"4","0"))</f>
        <v>4</v>
      </c>
      <c r="M31" s="222">
        <f>VALUE(IF(COUNTIF($K$2:K31,K31)&gt;3,"3","0"))</f>
        <v>3</v>
      </c>
      <c r="N31" s="221">
        <f>VALUE(IF(COUNTIF($K$2:K31,K31)&gt;2,"2","0"))</f>
        <v>2</v>
      </c>
      <c r="O31" s="221">
        <f>VALUE(IF(COUNTIF($K$2:K31,K31)&gt;1,"1","0"))</f>
        <v>1</v>
      </c>
      <c r="P31" s="222">
        <f t="shared" si="3"/>
        <v>4</v>
      </c>
      <c r="Q31" s="222" t="str">
        <f t="shared" si="0"/>
        <v>-4</v>
      </c>
    </row>
    <row r="32" spans="3:17">
      <c r="C32" s="221">
        <v>31</v>
      </c>
      <c r="D32" s="221" t="str">
        <f>IFERROR(VLOOKUP(C32,'主變(變電所全停)'!N$1:W$65536,8,0),"")</f>
        <v/>
      </c>
      <c r="E32" s="221">
        <f>VALUE(IF(COUNTIF($D$2:D32,D32)&gt;4,"4","0"))</f>
        <v>4</v>
      </c>
      <c r="F32" s="221">
        <f>VALUE(IF(COUNTIF($D$2:D32,D32)&gt;3,"3","0"))</f>
        <v>3</v>
      </c>
      <c r="G32" s="222">
        <f>VALUE(IF(COUNTIF($D$2:D32,D32)&gt;2,"2","0"))</f>
        <v>2</v>
      </c>
      <c r="H32" s="222">
        <f>VALUE(IF(COUNTIF($D$2:D32,D32)&gt;1,"1","0"))</f>
        <v>1</v>
      </c>
      <c r="I32" s="222">
        <f t="shared" si="1"/>
        <v>4</v>
      </c>
      <c r="J32" s="222" t="str">
        <f t="shared" si="2"/>
        <v>-4</v>
      </c>
      <c r="K32" s="222" t="str">
        <f>IFERROR(VLOOKUP(C32,'主變(變電所全停)'!N$1:W$65536,10,0),"")</f>
        <v/>
      </c>
      <c r="L32" s="222">
        <f>VALUE(IF(COUNTIF($K$2:K32,K32)&gt;4,"4","0"))</f>
        <v>4</v>
      </c>
      <c r="M32" s="222">
        <f>VALUE(IF(COUNTIF($K$2:K32,K32)&gt;3,"3","0"))</f>
        <v>3</v>
      </c>
      <c r="N32" s="221">
        <f>VALUE(IF(COUNTIF($K$2:K32,K32)&gt;2,"2","0"))</f>
        <v>2</v>
      </c>
      <c r="O32" s="221">
        <f>VALUE(IF(COUNTIF($K$2:K32,K32)&gt;1,"1","0"))</f>
        <v>1</v>
      </c>
      <c r="P32" s="222">
        <f t="shared" si="3"/>
        <v>4</v>
      </c>
      <c r="Q32" s="222" t="str">
        <f t="shared" si="0"/>
        <v>-4</v>
      </c>
    </row>
    <row r="33" spans="3:17">
      <c r="C33" s="221">
        <v>32</v>
      </c>
      <c r="D33" s="221" t="str">
        <f>IFERROR(VLOOKUP(C33,'主變(變電所全停)'!N$1:W$65536,8,0),"")</f>
        <v/>
      </c>
      <c r="E33" s="221">
        <f>VALUE(IF(COUNTIF($D$2:D33,D33)&gt;4,"4","0"))</f>
        <v>4</v>
      </c>
      <c r="F33" s="221">
        <f>VALUE(IF(COUNTIF($D$2:D33,D33)&gt;3,"3","0"))</f>
        <v>3</v>
      </c>
      <c r="G33" s="222">
        <f>VALUE(IF(COUNTIF($D$2:D33,D33)&gt;2,"2","0"))</f>
        <v>2</v>
      </c>
      <c r="H33" s="222">
        <f>VALUE(IF(COUNTIF($D$2:D33,D33)&gt;1,"1","0"))</f>
        <v>1</v>
      </c>
      <c r="I33" s="222">
        <f t="shared" si="1"/>
        <v>4</v>
      </c>
      <c r="J33" s="222" t="str">
        <f t="shared" si="2"/>
        <v>-4</v>
      </c>
      <c r="K33" s="222" t="str">
        <f>IFERROR(VLOOKUP(C33,'主變(變電所全停)'!N$1:W$65536,10,0),"")</f>
        <v/>
      </c>
      <c r="L33" s="222">
        <f>VALUE(IF(COUNTIF($K$2:K33,K33)&gt;4,"4","0"))</f>
        <v>4</v>
      </c>
      <c r="M33" s="222">
        <f>VALUE(IF(COUNTIF($K$2:K33,K33)&gt;3,"3","0"))</f>
        <v>3</v>
      </c>
      <c r="N33" s="221">
        <f>VALUE(IF(COUNTIF($K$2:K33,K33)&gt;2,"2","0"))</f>
        <v>2</v>
      </c>
      <c r="O33" s="221">
        <f>VALUE(IF(COUNTIF($K$2:K33,K33)&gt;1,"1","0"))</f>
        <v>1</v>
      </c>
      <c r="P33" s="222">
        <f t="shared" si="3"/>
        <v>4</v>
      </c>
      <c r="Q33" s="222" t="str">
        <f t="shared" si="0"/>
        <v>-4</v>
      </c>
    </row>
    <row r="34" spans="3:17">
      <c r="C34" s="221">
        <v>33</v>
      </c>
      <c r="D34" s="221" t="str">
        <f>IFERROR(VLOOKUP(C34,'主變(變電所全停)'!N$1:W$65536,8,0),"")</f>
        <v/>
      </c>
      <c r="E34" s="221">
        <f>VALUE(IF(COUNTIF($D$2:D34,D34)&gt;4,"4","0"))</f>
        <v>4</v>
      </c>
      <c r="F34" s="221">
        <f>VALUE(IF(COUNTIF($D$2:D34,D34)&gt;3,"3","0"))</f>
        <v>3</v>
      </c>
      <c r="G34" s="222">
        <f>VALUE(IF(COUNTIF($D$2:D34,D34)&gt;2,"2","0"))</f>
        <v>2</v>
      </c>
      <c r="H34" s="222">
        <f>VALUE(IF(COUNTIF($D$2:D34,D34)&gt;1,"1","0"))</f>
        <v>1</v>
      </c>
      <c r="I34" s="222">
        <f t="shared" si="1"/>
        <v>4</v>
      </c>
      <c r="J34" s="222" t="str">
        <f t="shared" si="2"/>
        <v>-4</v>
      </c>
      <c r="K34" s="222" t="str">
        <f>IFERROR(VLOOKUP(C34,'主變(變電所全停)'!N$1:W$65536,10,0),"")</f>
        <v/>
      </c>
      <c r="L34" s="222">
        <f>VALUE(IF(COUNTIF($K$2:K34,K34)&gt;4,"4","0"))</f>
        <v>4</v>
      </c>
      <c r="M34" s="222">
        <f>VALUE(IF(COUNTIF($K$2:K34,K34)&gt;3,"3","0"))</f>
        <v>3</v>
      </c>
      <c r="N34" s="221">
        <f>VALUE(IF(COUNTIF($K$2:K34,K34)&gt;2,"2","0"))</f>
        <v>2</v>
      </c>
      <c r="O34" s="221">
        <f>VALUE(IF(COUNTIF($K$2:K34,K34)&gt;1,"1","0"))</f>
        <v>1</v>
      </c>
      <c r="P34" s="222">
        <f t="shared" si="3"/>
        <v>4</v>
      </c>
      <c r="Q34" s="222" t="str">
        <f t="shared" si="0"/>
        <v>-4</v>
      </c>
    </row>
    <row r="35" spans="3:17">
      <c r="C35" s="221">
        <v>34</v>
      </c>
      <c r="D35" s="221" t="str">
        <f>IFERROR(VLOOKUP(C35,'主變(變電所全停)'!N$1:W$65536,8,0),"")</f>
        <v/>
      </c>
      <c r="E35" s="221">
        <f>VALUE(IF(COUNTIF($D$2:D35,D35)&gt;4,"4","0"))</f>
        <v>4</v>
      </c>
      <c r="F35" s="221">
        <f>VALUE(IF(COUNTIF($D$2:D35,D35)&gt;3,"3","0"))</f>
        <v>3</v>
      </c>
      <c r="G35" s="222">
        <f>VALUE(IF(COUNTIF($D$2:D35,D35)&gt;2,"2","0"))</f>
        <v>2</v>
      </c>
      <c r="H35" s="222">
        <f>VALUE(IF(COUNTIF($D$2:D35,D35)&gt;1,"1","0"))</f>
        <v>1</v>
      </c>
      <c r="I35" s="222">
        <f t="shared" si="1"/>
        <v>4</v>
      </c>
      <c r="J35" s="222" t="str">
        <f t="shared" si="2"/>
        <v>-4</v>
      </c>
      <c r="K35" s="222" t="str">
        <f>IFERROR(VLOOKUP(C35,'主變(變電所全停)'!N$1:W$65536,10,0),"")</f>
        <v/>
      </c>
      <c r="L35" s="222">
        <f>VALUE(IF(COUNTIF($K$2:K35,K35)&gt;4,"4","0"))</f>
        <v>4</v>
      </c>
      <c r="M35" s="222">
        <f>VALUE(IF(COUNTIF($K$2:K35,K35)&gt;3,"3","0"))</f>
        <v>3</v>
      </c>
      <c r="N35" s="221">
        <f>VALUE(IF(COUNTIF($K$2:K35,K35)&gt;2,"2","0"))</f>
        <v>2</v>
      </c>
      <c r="O35" s="221">
        <f>VALUE(IF(COUNTIF($K$2:K35,K35)&gt;1,"1","0"))</f>
        <v>1</v>
      </c>
      <c r="P35" s="222">
        <f t="shared" si="3"/>
        <v>4</v>
      </c>
      <c r="Q35" s="222" t="str">
        <f t="shared" si="0"/>
        <v>-4</v>
      </c>
    </row>
    <row r="36" spans="3:17">
      <c r="C36" s="221">
        <v>35</v>
      </c>
      <c r="D36" s="221" t="str">
        <f>IFERROR(VLOOKUP(C36,'主變(變電所全停)'!N$1:W$65536,8,0),"")</f>
        <v/>
      </c>
      <c r="E36" s="221">
        <f>VALUE(IF(COUNTIF($D$2:D36,D36)&gt;4,"4","0"))</f>
        <v>4</v>
      </c>
      <c r="F36" s="221">
        <f>VALUE(IF(COUNTIF($D$2:D36,D36)&gt;3,"3","0"))</f>
        <v>3</v>
      </c>
      <c r="G36" s="222">
        <f>VALUE(IF(COUNTIF($D$2:D36,D36)&gt;2,"2","0"))</f>
        <v>2</v>
      </c>
      <c r="H36" s="222">
        <f>VALUE(IF(COUNTIF($D$2:D36,D36)&gt;1,"1","0"))</f>
        <v>1</v>
      </c>
      <c r="I36" s="222">
        <f t="shared" si="1"/>
        <v>4</v>
      </c>
      <c r="J36" s="222" t="str">
        <f t="shared" si="2"/>
        <v>-4</v>
      </c>
      <c r="K36" s="222" t="str">
        <f>IFERROR(VLOOKUP(C36,'主變(變電所全停)'!N$1:W$65536,10,0),"")</f>
        <v/>
      </c>
      <c r="L36" s="222">
        <f>VALUE(IF(COUNTIF($K$2:K36,K36)&gt;4,"4","0"))</f>
        <v>4</v>
      </c>
      <c r="M36" s="222">
        <f>VALUE(IF(COUNTIF($K$2:K36,K36)&gt;3,"3","0"))</f>
        <v>3</v>
      </c>
      <c r="N36" s="221">
        <f>VALUE(IF(COUNTIF($K$2:K36,K36)&gt;2,"2","0"))</f>
        <v>2</v>
      </c>
      <c r="O36" s="221">
        <f>VALUE(IF(COUNTIF($K$2:K36,K36)&gt;1,"1","0"))</f>
        <v>1</v>
      </c>
      <c r="P36" s="222">
        <f t="shared" si="3"/>
        <v>4</v>
      </c>
      <c r="Q36" s="222" t="str">
        <f t="shared" si="0"/>
        <v>-4</v>
      </c>
    </row>
    <row r="37" spans="3:17">
      <c r="C37" s="221">
        <v>36</v>
      </c>
      <c r="D37" s="221" t="str">
        <f>IFERROR(VLOOKUP(C37,'主變(變電所全停)'!N$1:W$65536,8,0),"")</f>
        <v/>
      </c>
      <c r="E37" s="221">
        <f>VALUE(IF(COUNTIF($D$2:D37,D37)&gt;4,"4","0"))</f>
        <v>4</v>
      </c>
      <c r="F37" s="221">
        <f>VALUE(IF(COUNTIF($D$2:D37,D37)&gt;3,"3","0"))</f>
        <v>3</v>
      </c>
      <c r="G37" s="222">
        <f>VALUE(IF(COUNTIF($D$2:D37,D37)&gt;2,"2","0"))</f>
        <v>2</v>
      </c>
      <c r="H37" s="222">
        <f>VALUE(IF(COUNTIF($D$2:D37,D37)&gt;1,"1","0"))</f>
        <v>1</v>
      </c>
      <c r="I37" s="222">
        <f t="shared" si="1"/>
        <v>4</v>
      </c>
      <c r="J37" s="222" t="str">
        <f t="shared" si="2"/>
        <v>-4</v>
      </c>
      <c r="K37" s="222" t="str">
        <f>IFERROR(VLOOKUP(C37,'主變(變電所全停)'!N$1:W$65536,10,0),"")</f>
        <v/>
      </c>
      <c r="L37" s="222">
        <f>VALUE(IF(COUNTIF($K$2:K37,K37)&gt;4,"4","0"))</f>
        <v>4</v>
      </c>
      <c r="M37" s="222">
        <f>VALUE(IF(COUNTIF($K$2:K37,K37)&gt;3,"3","0"))</f>
        <v>3</v>
      </c>
      <c r="N37" s="221">
        <f>VALUE(IF(COUNTIF($K$2:K37,K37)&gt;2,"2","0"))</f>
        <v>2</v>
      </c>
      <c r="O37" s="221">
        <f>VALUE(IF(COUNTIF($K$2:K37,K37)&gt;1,"1","0"))</f>
        <v>1</v>
      </c>
      <c r="P37" s="222">
        <f t="shared" si="3"/>
        <v>4</v>
      </c>
      <c r="Q37" s="222" t="str">
        <f t="shared" si="0"/>
        <v>-4</v>
      </c>
    </row>
    <row r="38" spans="3:17">
      <c r="C38" s="221">
        <v>37</v>
      </c>
      <c r="D38" s="221" t="str">
        <f>IFERROR(VLOOKUP(C38,'主變(變電所全停)'!N$1:W$65536,8,0),"")</f>
        <v/>
      </c>
      <c r="E38" s="221">
        <f>VALUE(IF(COUNTIF($D$2:D38,D38)&gt;4,"4","0"))</f>
        <v>4</v>
      </c>
      <c r="F38" s="221">
        <f>VALUE(IF(COUNTIF($D$2:D38,D38)&gt;3,"3","0"))</f>
        <v>3</v>
      </c>
      <c r="G38" s="222">
        <f>VALUE(IF(COUNTIF($D$2:D38,D38)&gt;2,"2","0"))</f>
        <v>2</v>
      </c>
      <c r="H38" s="222">
        <f>VALUE(IF(COUNTIF($D$2:D38,D38)&gt;1,"1","0"))</f>
        <v>1</v>
      </c>
      <c r="I38" s="222">
        <f t="shared" si="1"/>
        <v>4</v>
      </c>
      <c r="J38" s="222" t="str">
        <f t="shared" si="2"/>
        <v>-4</v>
      </c>
      <c r="K38" s="222" t="str">
        <f>IFERROR(VLOOKUP(C38,'主變(變電所全停)'!N$1:W$65536,10,0),"")</f>
        <v/>
      </c>
      <c r="L38" s="222">
        <f>VALUE(IF(COUNTIF($K$2:K38,K38)&gt;4,"4","0"))</f>
        <v>4</v>
      </c>
      <c r="M38" s="222">
        <f>VALUE(IF(COUNTIF($K$2:K38,K38)&gt;3,"3","0"))</f>
        <v>3</v>
      </c>
      <c r="N38" s="221">
        <f>VALUE(IF(COUNTIF($K$2:K38,K38)&gt;2,"2","0"))</f>
        <v>2</v>
      </c>
      <c r="O38" s="221">
        <f>VALUE(IF(COUNTIF($K$2:K38,K38)&gt;1,"1","0"))</f>
        <v>1</v>
      </c>
      <c r="P38" s="222">
        <f t="shared" si="3"/>
        <v>4</v>
      </c>
      <c r="Q38" s="222" t="str">
        <f t="shared" si="0"/>
        <v>-4</v>
      </c>
    </row>
    <row r="39" spans="3:17">
      <c r="C39" s="221">
        <v>38</v>
      </c>
      <c r="D39" s="221" t="str">
        <f>IFERROR(VLOOKUP(C39,'主變(變電所全停)'!N$1:W$65536,8,0),"")</f>
        <v/>
      </c>
      <c r="E39" s="221">
        <f>VALUE(IF(COUNTIF($D$2:D39,D39)&gt;4,"4","0"))</f>
        <v>4</v>
      </c>
      <c r="F39" s="221">
        <f>VALUE(IF(COUNTIF($D$2:D39,D39)&gt;3,"3","0"))</f>
        <v>3</v>
      </c>
      <c r="G39" s="222">
        <f>VALUE(IF(COUNTIF($D$2:D39,D39)&gt;2,"2","0"))</f>
        <v>2</v>
      </c>
      <c r="H39" s="222">
        <f>VALUE(IF(COUNTIF($D$2:D39,D39)&gt;1,"1","0"))</f>
        <v>1</v>
      </c>
      <c r="I39" s="222">
        <f t="shared" si="1"/>
        <v>4</v>
      </c>
      <c r="J39" s="222" t="str">
        <f t="shared" si="2"/>
        <v>-4</v>
      </c>
      <c r="K39" s="222" t="str">
        <f>IFERROR(VLOOKUP(C39,'主變(變電所全停)'!N$1:W$65536,10,0),"")</f>
        <v/>
      </c>
      <c r="L39" s="222">
        <f>VALUE(IF(COUNTIF($K$2:K39,K39)&gt;4,"4","0"))</f>
        <v>4</v>
      </c>
      <c r="M39" s="222">
        <f>VALUE(IF(COUNTIF($K$2:K39,K39)&gt;3,"3","0"))</f>
        <v>3</v>
      </c>
      <c r="N39" s="221">
        <f>VALUE(IF(COUNTIF($K$2:K39,K39)&gt;2,"2","0"))</f>
        <v>2</v>
      </c>
      <c r="O39" s="221">
        <f>VALUE(IF(COUNTIF($K$2:K39,K39)&gt;1,"1","0"))</f>
        <v>1</v>
      </c>
      <c r="P39" s="222">
        <f t="shared" si="3"/>
        <v>4</v>
      </c>
      <c r="Q39" s="222" t="str">
        <f t="shared" si="0"/>
        <v>-4</v>
      </c>
    </row>
  </sheetData>
  <phoneticPr fontId="1" type="noConversion"/>
  <conditionalFormatting sqref="T1:T65536">
    <cfRule type="cellIs" dxfId="7" priority="2" stopIfTrue="1" operator="equal">
      <formula>"y"</formula>
    </cfRule>
  </conditionalFormatting>
  <conditionalFormatting sqref="G1:Q65536">
    <cfRule type="cellIs" dxfId="6" priority="1" stopIfTrue="1" operator="equal">
      <formul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14">
    <tabColor rgb="FFFFFF00"/>
    <pageSetUpPr fitToPage="1"/>
  </sheetPr>
  <dimension ref="A1:IU80"/>
  <sheetViews>
    <sheetView showGridLines="0" topLeftCell="A10" zoomScale="80" zoomScaleNormal="80" workbookViewId="0">
      <selection activeCell="O28" sqref="O28"/>
    </sheetView>
  </sheetViews>
  <sheetFormatPr defaultColWidth="10.625" defaultRowHeight="15.75"/>
  <cols>
    <col min="1" max="32" width="8.125" style="260" customWidth="1"/>
    <col min="33" max="37" width="7.625" style="259" customWidth="1"/>
    <col min="38" max="38" width="8.875" style="259" customWidth="1"/>
    <col min="39" max="39" width="10.25" style="260" bestFit="1" customWidth="1"/>
    <col min="40" max="40" width="19.375" style="260" customWidth="1"/>
    <col min="41" max="256" width="10.625" style="260"/>
    <col min="257" max="288" width="8.125" style="260" customWidth="1"/>
    <col min="289" max="293" width="7.625" style="260" customWidth="1"/>
    <col min="294" max="294" width="8.875" style="260" customWidth="1"/>
    <col min="295" max="295" width="10.25" style="260" bestFit="1" customWidth="1"/>
    <col min="296" max="296" width="19.375" style="260" customWidth="1"/>
    <col min="297" max="512" width="10.625" style="260"/>
    <col min="513" max="544" width="8.125" style="260" customWidth="1"/>
    <col min="545" max="549" width="7.625" style="260" customWidth="1"/>
    <col min="550" max="550" width="8.875" style="260" customWidth="1"/>
    <col min="551" max="551" width="10.25" style="260" bestFit="1" customWidth="1"/>
    <col min="552" max="552" width="19.375" style="260" customWidth="1"/>
    <col min="553" max="768" width="10.625" style="260"/>
    <col min="769" max="800" width="8.125" style="260" customWidth="1"/>
    <col min="801" max="805" width="7.625" style="260" customWidth="1"/>
    <col min="806" max="806" width="8.875" style="260" customWidth="1"/>
    <col min="807" max="807" width="10.25" style="260" bestFit="1" customWidth="1"/>
    <col min="808" max="808" width="19.375" style="260" customWidth="1"/>
    <col min="809" max="1024" width="10.625" style="260"/>
    <col min="1025" max="1056" width="8.125" style="260" customWidth="1"/>
    <col min="1057" max="1061" width="7.625" style="260" customWidth="1"/>
    <col min="1062" max="1062" width="8.875" style="260" customWidth="1"/>
    <col min="1063" max="1063" width="10.25" style="260" bestFit="1" customWidth="1"/>
    <col min="1064" max="1064" width="19.375" style="260" customWidth="1"/>
    <col min="1065" max="1280" width="10.625" style="260"/>
    <col min="1281" max="1312" width="8.125" style="260" customWidth="1"/>
    <col min="1313" max="1317" width="7.625" style="260" customWidth="1"/>
    <col min="1318" max="1318" width="8.875" style="260" customWidth="1"/>
    <col min="1319" max="1319" width="10.25" style="260" bestFit="1" customWidth="1"/>
    <col min="1320" max="1320" width="19.375" style="260" customWidth="1"/>
    <col min="1321" max="1536" width="10.625" style="260"/>
    <col min="1537" max="1568" width="8.125" style="260" customWidth="1"/>
    <col min="1569" max="1573" width="7.625" style="260" customWidth="1"/>
    <col min="1574" max="1574" width="8.875" style="260" customWidth="1"/>
    <col min="1575" max="1575" width="10.25" style="260" bestFit="1" customWidth="1"/>
    <col min="1576" max="1576" width="19.375" style="260" customWidth="1"/>
    <col min="1577" max="1792" width="10.625" style="260"/>
    <col min="1793" max="1824" width="8.125" style="260" customWidth="1"/>
    <col min="1825" max="1829" width="7.625" style="260" customWidth="1"/>
    <col min="1830" max="1830" width="8.875" style="260" customWidth="1"/>
    <col min="1831" max="1831" width="10.25" style="260" bestFit="1" customWidth="1"/>
    <col min="1832" max="1832" width="19.375" style="260" customWidth="1"/>
    <col min="1833" max="2048" width="10.625" style="260"/>
    <col min="2049" max="2080" width="8.125" style="260" customWidth="1"/>
    <col min="2081" max="2085" width="7.625" style="260" customWidth="1"/>
    <col min="2086" max="2086" width="8.875" style="260" customWidth="1"/>
    <col min="2087" max="2087" width="10.25" style="260" bestFit="1" customWidth="1"/>
    <col min="2088" max="2088" width="19.375" style="260" customWidth="1"/>
    <col min="2089" max="2304" width="10.625" style="260"/>
    <col min="2305" max="2336" width="8.125" style="260" customWidth="1"/>
    <col min="2337" max="2341" width="7.625" style="260" customWidth="1"/>
    <col min="2342" max="2342" width="8.875" style="260" customWidth="1"/>
    <col min="2343" max="2343" width="10.25" style="260" bestFit="1" customWidth="1"/>
    <col min="2344" max="2344" width="19.375" style="260" customWidth="1"/>
    <col min="2345" max="2560" width="10.625" style="260"/>
    <col min="2561" max="2592" width="8.125" style="260" customWidth="1"/>
    <col min="2593" max="2597" width="7.625" style="260" customWidth="1"/>
    <col min="2598" max="2598" width="8.875" style="260" customWidth="1"/>
    <col min="2599" max="2599" width="10.25" style="260" bestFit="1" customWidth="1"/>
    <col min="2600" max="2600" width="19.375" style="260" customWidth="1"/>
    <col min="2601" max="2816" width="10.625" style="260"/>
    <col min="2817" max="2848" width="8.125" style="260" customWidth="1"/>
    <col min="2849" max="2853" width="7.625" style="260" customWidth="1"/>
    <col min="2854" max="2854" width="8.875" style="260" customWidth="1"/>
    <col min="2855" max="2855" width="10.25" style="260" bestFit="1" customWidth="1"/>
    <col min="2856" max="2856" width="19.375" style="260" customWidth="1"/>
    <col min="2857" max="3072" width="10.625" style="260"/>
    <col min="3073" max="3104" width="8.125" style="260" customWidth="1"/>
    <col min="3105" max="3109" width="7.625" style="260" customWidth="1"/>
    <col min="3110" max="3110" width="8.875" style="260" customWidth="1"/>
    <col min="3111" max="3111" width="10.25" style="260" bestFit="1" customWidth="1"/>
    <col min="3112" max="3112" width="19.375" style="260" customWidth="1"/>
    <col min="3113" max="3328" width="10.625" style="260"/>
    <col min="3329" max="3360" width="8.125" style="260" customWidth="1"/>
    <col min="3361" max="3365" width="7.625" style="260" customWidth="1"/>
    <col min="3366" max="3366" width="8.875" style="260" customWidth="1"/>
    <col min="3367" max="3367" width="10.25" style="260" bestFit="1" customWidth="1"/>
    <col min="3368" max="3368" width="19.375" style="260" customWidth="1"/>
    <col min="3369" max="3584" width="10.625" style="260"/>
    <col min="3585" max="3616" width="8.125" style="260" customWidth="1"/>
    <col min="3617" max="3621" width="7.625" style="260" customWidth="1"/>
    <col min="3622" max="3622" width="8.875" style="260" customWidth="1"/>
    <col min="3623" max="3623" width="10.25" style="260" bestFit="1" customWidth="1"/>
    <col min="3624" max="3624" width="19.375" style="260" customWidth="1"/>
    <col min="3625" max="3840" width="10.625" style="260"/>
    <col min="3841" max="3872" width="8.125" style="260" customWidth="1"/>
    <col min="3873" max="3877" width="7.625" style="260" customWidth="1"/>
    <col min="3878" max="3878" width="8.875" style="260" customWidth="1"/>
    <col min="3879" max="3879" width="10.25" style="260" bestFit="1" customWidth="1"/>
    <col min="3880" max="3880" width="19.375" style="260" customWidth="1"/>
    <col min="3881" max="4096" width="10.625" style="260"/>
    <col min="4097" max="4128" width="8.125" style="260" customWidth="1"/>
    <col min="4129" max="4133" width="7.625" style="260" customWidth="1"/>
    <col min="4134" max="4134" width="8.875" style="260" customWidth="1"/>
    <col min="4135" max="4135" width="10.25" style="260" bestFit="1" customWidth="1"/>
    <col min="4136" max="4136" width="19.375" style="260" customWidth="1"/>
    <col min="4137" max="4352" width="10.625" style="260"/>
    <col min="4353" max="4384" width="8.125" style="260" customWidth="1"/>
    <col min="4385" max="4389" width="7.625" style="260" customWidth="1"/>
    <col min="4390" max="4390" width="8.875" style="260" customWidth="1"/>
    <col min="4391" max="4391" width="10.25" style="260" bestFit="1" customWidth="1"/>
    <col min="4392" max="4392" width="19.375" style="260" customWidth="1"/>
    <col min="4393" max="4608" width="10.625" style="260"/>
    <col min="4609" max="4640" width="8.125" style="260" customWidth="1"/>
    <col min="4641" max="4645" width="7.625" style="260" customWidth="1"/>
    <col min="4646" max="4646" width="8.875" style="260" customWidth="1"/>
    <col min="4647" max="4647" width="10.25" style="260" bestFit="1" customWidth="1"/>
    <col min="4648" max="4648" width="19.375" style="260" customWidth="1"/>
    <col min="4649" max="4864" width="10.625" style="260"/>
    <col min="4865" max="4896" width="8.125" style="260" customWidth="1"/>
    <col min="4897" max="4901" width="7.625" style="260" customWidth="1"/>
    <col min="4902" max="4902" width="8.875" style="260" customWidth="1"/>
    <col min="4903" max="4903" width="10.25" style="260" bestFit="1" customWidth="1"/>
    <col min="4904" max="4904" width="19.375" style="260" customWidth="1"/>
    <col min="4905" max="5120" width="10.625" style="260"/>
    <col min="5121" max="5152" width="8.125" style="260" customWidth="1"/>
    <col min="5153" max="5157" width="7.625" style="260" customWidth="1"/>
    <col min="5158" max="5158" width="8.875" style="260" customWidth="1"/>
    <col min="5159" max="5159" width="10.25" style="260" bestFit="1" customWidth="1"/>
    <col min="5160" max="5160" width="19.375" style="260" customWidth="1"/>
    <col min="5161" max="5376" width="10.625" style="260"/>
    <col min="5377" max="5408" width="8.125" style="260" customWidth="1"/>
    <col min="5409" max="5413" width="7.625" style="260" customWidth="1"/>
    <col min="5414" max="5414" width="8.875" style="260" customWidth="1"/>
    <col min="5415" max="5415" width="10.25" style="260" bestFit="1" customWidth="1"/>
    <col min="5416" max="5416" width="19.375" style="260" customWidth="1"/>
    <col min="5417" max="5632" width="10.625" style="260"/>
    <col min="5633" max="5664" width="8.125" style="260" customWidth="1"/>
    <col min="5665" max="5669" width="7.625" style="260" customWidth="1"/>
    <col min="5670" max="5670" width="8.875" style="260" customWidth="1"/>
    <col min="5671" max="5671" width="10.25" style="260" bestFit="1" customWidth="1"/>
    <col min="5672" max="5672" width="19.375" style="260" customWidth="1"/>
    <col min="5673" max="5888" width="10.625" style="260"/>
    <col min="5889" max="5920" width="8.125" style="260" customWidth="1"/>
    <col min="5921" max="5925" width="7.625" style="260" customWidth="1"/>
    <col min="5926" max="5926" width="8.875" style="260" customWidth="1"/>
    <col min="5927" max="5927" width="10.25" style="260" bestFit="1" customWidth="1"/>
    <col min="5928" max="5928" width="19.375" style="260" customWidth="1"/>
    <col min="5929" max="6144" width="10.625" style="260"/>
    <col min="6145" max="6176" width="8.125" style="260" customWidth="1"/>
    <col min="6177" max="6181" width="7.625" style="260" customWidth="1"/>
    <col min="6182" max="6182" width="8.875" style="260" customWidth="1"/>
    <col min="6183" max="6183" width="10.25" style="260" bestFit="1" customWidth="1"/>
    <col min="6184" max="6184" width="19.375" style="260" customWidth="1"/>
    <col min="6185" max="6400" width="10.625" style="260"/>
    <col min="6401" max="6432" width="8.125" style="260" customWidth="1"/>
    <col min="6433" max="6437" width="7.625" style="260" customWidth="1"/>
    <col min="6438" max="6438" width="8.875" style="260" customWidth="1"/>
    <col min="6439" max="6439" width="10.25" style="260" bestFit="1" customWidth="1"/>
    <col min="6440" max="6440" width="19.375" style="260" customWidth="1"/>
    <col min="6441" max="6656" width="10.625" style="260"/>
    <col min="6657" max="6688" width="8.125" style="260" customWidth="1"/>
    <col min="6689" max="6693" width="7.625" style="260" customWidth="1"/>
    <col min="6694" max="6694" width="8.875" style="260" customWidth="1"/>
    <col min="6695" max="6695" width="10.25" style="260" bestFit="1" customWidth="1"/>
    <col min="6696" max="6696" width="19.375" style="260" customWidth="1"/>
    <col min="6697" max="6912" width="10.625" style="260"/>
    <col min="6913" max="6944" width="8.125" style="260" customWidth="1"/>
    <col min="6945" max="6949" width="7.625" style="260" customWidth="1"/>
    <col min="6950" max="6950" width="8.875" style="260" customWidth="1"/>
    <col min="6951" max="6951" width="10.25" style="260" bestFit="1" customWidth="1"/>
    <col min="6952" max="6952" width="19.375" style="260" customWidth="1"/>
    <col min="6953" max="7168" width="10.625" style="260"/>
    <col min="7169" max="7200" width="8.125" style="260" customWidth="1"/>
    <col min="7201" max="7205" width="7.625" style="260" customWidth="1"/>
    <col min="7206" max="7206" width="8.875" style="260" customWidth="1"/>
    <col min="7207" max="7207" width="10.25" style="260" bestFit="1" customWidth="1"/>
    <col min="7208" max="7208" width="19.375" style="260" customWidth="1"/>
    <col min="7209" max="7424" width="10.625" style="260"/>
    <col min="7425" max="7456" width="8.125" style="260" customWidth="1"/>
    <col min="7457" max="7461" width="7.625" style="260" customWidth="1"/>
    <col min="7462" max="7462" width="8.875" style="260" customWidth="1"/>
    <col min="7463" max="7463" width="10.25" style="260" bestFit="1" customWidth="1"/>
    <col min="7464" max="7464" width="19.375" style="260" customWidth="1"/>
    <col min="7465" max="7680" width="10.625" style="260"/>
    <col min="7681" max="7712" width="8.125" style="260" customWidth="1"/>
    <col min="7713" max="7717" width="7.625" style="260" customWidth="1"/>
    <col min="7718" max="7718" width="8.875" style="260" customWidth="1"/>
    <col min="7719" max="7719" width="10.25" style="260" bestFit="1" customWidth="1"/>
    <col min="7720" max="7720" width="19.375" style="260" customWidth="1"/>
    <col min="7721" max="7936" width="10.625" style="260"/>
    <col min="7937" max="7968" width="8.125" style="260" customWidth="1"/>
    <col min="7969" max="7973" width="7.625" style="260" customWidth="1"/>
    <col min="7974" max="7974" width="8.875" style="260" customWidth="1"/>
    <col min="7975" max="7975" width="10.25" style="260" bestFit="1" customWidth="1"/>
    <col min="7976" max="7976" width="19.375" style="260" customWidth="1"/>
    <col min="7977" max="8192" width="10.625" style="260"/>
    <col min="8193" max="8224" width="8.125" style="260" customWidth="1"/>
    <col min="8225" max="8229" width="7.625" style="260" customWidth="1"/>
    <col min="8230" max="8230" width="8.875" style="260" customWidth="1"/>
    <col min="8231" max="8231" width="10.25" style="260" bestFit="1" customWidth="1"/>
    <col min="8232" max="8232" width="19.375" style="260" customWidth="1"/>
    <col min="8233" max="8448" width="10.625" style="260"/>
    <col min="8449" max="8480" width="8.125" style="260" customWidth="1"/>
    <col min="8481" max="8485" width="7.625" style="260" customWidth="1"/>
    <col min="8486" max="8486" width="8.875" style="260" customWidth="1"/>
    <col min="8487" max="8487" width="10.25" style="260" bestFit="1" customWidth="1"/>
    <col min="8488" max="8488" width="19.375" style="260" customWidth="1"/>
    <col min="8489" max="8704" width="10.625" style="260"/>
    <col min="8705" max="8736" width="8.125" style="260" customWidth="1"/>
    <col min="8737" max="8741" width="7.625" style="260" customWidth="1"/>
    <col min="8742" max="8742" width="8.875" style="260" customWidth="1"/>
    <col min="8743" max="8743" width="10.25" style="260" bestFit="1" customWidth="1"/>
    <col min="8744" max="8744" width="19.375" style="260" customWidth="1"/>
    <col min="8745" max="8960" width="10.625" style="260"/>
    <col min="8961" max="8992" width="8.125" style="260" customWidth="1"/>
    <col min="8993" max="8997" width="7.625" style="260" customWidth="1"/>
    <col min="8998" max="8998" width="8.875" style="260" customWidth="1"/>
    <col min="8999" max="8999" width="10.25" style="260" bestFit="1" customWidth="1"/>
    <col min="9000" max="9000" width="19.375" style="260" customWidth="1"/>
    <col min="9001" max="9216" width="10.625" style="260"/>
    <col min="9217" max="9248" width="8.125" style="260" customWidth="1"/>
    <col min="9249" max="9253" width="7.625" style="260" customWidth="1"/>
    <col min="9254" max="9254" width="8.875" style="260" customWidth="1"/>
    <col min="9255" max="9255" width="10.25" style="260" bestFit="1" customWidth="1"/>
    <col min="9256" max="9256" width="19.375" style="260" customWidth="1"/>
    <col min="9257" max="9472" width="10.625" style="260"/>
    <col min="9473" max="9504" width="8.125" style="260" customWidth="1"/>
    <col min="9505" max="9509" width="7.625" style="260" customWidth="1"/>
    <col min="9510" max="9510" width="8.875" style="260" customWidth="1"/>
    <col min="9511" max="9511" width="10.25" style="260" bestFit="1" customWidth="1"/>
    <col min="9512" max="9512" width="19.375" style="260" customWidth="1"/>
    <col min="9513" max="9728" width="10.625" style="260"/>
    <col min="9729" max="9760" width="8.125" style="260" customWidth="1"/>
    <col min="9761" max="9765" width="7.625" style="260" customWidth="1"/>
    <col min="9766" max="9766" width="8.875" style="260" customWidth="1"/>
    <col min="9767" max="9767" width="10.25" style="260" bestFit="1" customWidth="1"/>
    <col min="9768" max="9768" width="19.375" style="260" customWidth="1"/>
    <col min="9769" max="9984" width="10.625" style="260"/>
    <col min="9985" max="10016" width="8.125" style="260" customWidth="1"/>
    <col min="10017" max="10021" width="7.625" style="260" customWidth="1"/>
    <col min="10022" max="10022" width="8.875" style="260" customWidth="1"/>
    <col min="10023" max="10023" width="10.25" style="260" bestFit="1" customWidth="1"/>
    <col min="10024" max="10024" width="19.375" style="260" customWidth="1"/>
    <col min="10025" max="10240" width="10.625" style="260"/>
    <col min="10241" max="10272" width="8.125" style="260" customWidth="1"/>
    <col min="10273" max="10277" width="7.625" style="260" customWidth="1"/>
    <col min="10278" max="10278" width="8.875" style="260" customWidth="1"/>
    <col min="10279" max="10279" width="10.25" style="260" bestFit="1" customWidth="1"/>
    <col min="10280" max="10280" width="19.375" style="260" customWidth="1"/>
    <col min="10281" max="10496" width="10.625" style="260"/>
    <col min="10497" max="10528" width="8.125" style="260" customWidth="1"/>
    <col min="10529" max="10533" width="7.625" style="260" customWidth="1"/>
    <col min="10534" max="10534" width="8.875" style="260" customWidth="1"/>
    <col min="10535" max="10535" width="10.25" style="260" bestFit="1" customWidth="1"/>
    <col min="10536" max="10536" width="19.375" style="260" customWidth="1"/>
    <col min="10537" max="10752" width="10.625" style="260"/>
    <col min="10753" max="10784" width="8.125" style="260" customWidth="1"/>
    <col min="10785" max="10789" width="7.625" style="260" customWidth="1"/>
    <col min="10790" max="10790" width="8.875" style="260" customWidth="1"/>
    <col min="10791" max="10791" width="10.25" style="260" bestFit="1" customWidth="1"/>
    <col min="10792" max="10792" width="19.375" style="260" customWidth="1"/>
    <col min="10793" max="11008" width="10.625" style="260"/>
    <col min="11009" max="11040" width="8.125" style="260" customWidth="1"/>
    <col min="11041" max="11045" width="7.625" style="260" customWidth="1"/>
    <col min="11046" max="11046" width="8.875" style="260" customWidth="1"/>
    <col min="11047" max="11047" width="10.25" style="260" bestFit="1" customWidth="1"/>
    <col min="11048" max="11048" width="19.375" style="260" customWidth="1"/>
    <col min="11049" max="11264" width="10.625" style="260"/>
    <col min="11265" max="11296" width="8.125" style="260" customWidth="1"/>
    <col min="11297" max="11301" width="7.625" style="260" customWidth="1"/>
    <col min="11302" max="11302" width="8.875" style="260" customWidth="1"/>
    <col min="11303" max="11303" width="10.25" style="260" bestFit="1" customWidth="1"/>
    <col min="11304" max="11304" width="19.375" style="260" customWidth="1"/>
    <col min="11305" max="11520" width="10.625" style="260"/>
    <col min="11521" max="11552" width="8.125" style="260" customWidth="1"/>
    <col min="11553" max="11557" width="7.625" style="260" customWidth="1"/>
    <col min="11558" max="11558" width="8.875" style="260" customWidth="1"/>
    <col min="11559" max="11559" width="10.25" style="260" bestFit="1" customWidth="1"/>
    <col min="11560" max="11560" width="19.375" style="260" customWidth="1"/>
    <col min="11561" max="11776" width="10.625" style="260"/>
    <col min="11777" max="11808" width="8.125" style="260" customWidth="1"/>
    <col min="11809" max="11813" width="7.625" style="260" customWidth="1"/>
    <col min="11814" max="11814" width="8.875" style="260" customWidth="1"/>
    <col min="11815" max="11815" width="10.25" style="260" bestFit="1" customWidth="1"/>
    <col min="11816" max="11816" width="19.375" style="260" customWidth="1"/>
    <col min="11817" max="12032" width="10.625" style="260"/>
    <col min="12033" max="12064" width="8.125" style="260" customWidth="1"/>
    <col min="12065" max="12069" width="7.625" style="260" customWidth="1"/>
    <col min="12070" max="12070" width="8.875" style="260" customWidth="1"/>
    <col min="12071" max="12071" width="10.25" style="260" bestFit="1" customWidth="1"/>
    <col min="12072" max="12072" width="19.375" style="260" customWidth="1"/>
    <col min="12073" max="12288" width="10.625" style="260"/>
    <col min="12289" max="12320" width="8.125" style="260" customWidth="1"/>
    <col min="12321" max="12325" width="7.625" style="260" customWidth="1"/>
    <col min="12326" max="12326" width="8.875" style="260" customWidth="1"/>
    <col min="12327" max="12327" width="10.25" style="260" bestFit="1" customWidth="1"/>
    <col min="12328" max="12328" width="19.375" style="260" customWidth="1"/>
    <col min="12329" max="12544" width="10.625" style="260"/>
    <col min="12545" max="12576" width="8.125" style="260" customWidth="1"/>
    <col min="12577" max="12581" width="7.625" style="260" customWidth="1"/>
    <col min="12582" max="12582" width="8.875" style="260" customWidth="1"/>
    <col min="12583" max="12583" width="10.25" style="260" bestFit="1" customWidth="1"/>
    <col min="12584" max="12584" width="19.375" style="260" customWidth="1"/>
    <col min="12585" max="12800" width="10.625" style="260"/>
    <col min="12801" max="12832" width="8.125" style="260" customWidth="1"/>
    <col min="12833" max="12837" width="7.625" style="260" customWidth="1"/>
    <col min="12838" max="12838" width="8.875" style="260" customWidth="1"/>
    <col min="12839" max="12839" width="10.25" style="260" bestFit="1" customWidth="1"/>
    <col min="12840" max="12840" width="19.375" style="260" customWidth="1"/>
    <col min="12841" max="13056" width="10.625" style="260"/>
    <col min="13057" max="13088" width="8.125" style="260" customWidth="1"/>
    <col min="13089" max="13093" width="7.625" style="260" customWidth="1"/>
    <col min="13094" max="13094" width="8.875" style="260" customWidth="1"/>
    <col min="13095" max="13095" width="10.25" style="260" bestFit="1" customWidth="1"/>
    <col min="13096" max="13096" width="19.375" style="260" customWidth="1"/>
    <col min="13097" max="13312" width="10.625" style="260"/>
    <col min="13313" max="13344" width="8.125" style="260" customWidth="1"/>
    <col min="13345" max="13349" width="7.625" style="260" customWidth="1"/>
    <col min="13350" max="13350" width="8.875" style="260" customWidth="1"/>
    <col min="13351" max="13351" width="10.25" style="260" bestFit="1" customWidth="1"/>
    <col min="13352" max="13352" width="19.375" style="260" customWidth="1"/>
    <col min="13353" max="13568" width="10.625" style="260"/>
    <col min="13569" max="13600" width="8.125" style="260" customWidth="1"/>
    <col min="13601" max="13605" width="7.625" style="260" customWidth="1"/>
    <col min="13606" max="13606" width="8.875" style="260" customWidth="1"/>
    <col min="13607" max="13607" width="10.25" style="260" bestFit="1" customWidth="1"/>
    <col min="13608" max="13608" width="19.375" style="260" customWidth="1"/>
    <col min="13609" max="13824" width="10.625" style="260"/>
    <col min="13825" max="13856" width="8.125" style="260" customWidth="1"/>
    <col min="13857" max="13861" width="7.625" style="260" customWidth="1"/>
    <col min="13862" max="13862" width="8.875" style="260" customWidth="1"/>
    <col min="13863" max="13863" width="10.25" style="260" bestFit="1" customWidth="1"/>
    <col min="13864" max="13864" width="19.375" style="260" customWidth="1"/>
    <col min="13865" max="14080" width="10.625" style="260"/>
    <col min="14081" max="14112" width="8.125" style="260" customWidth="1"/>
    <col min="14113" max="14117" width="7.625" style="260" customWidth="1"/>
    <col min="14118" max="14118" width="8.875" style="260" customWidth="1"/>
    <col min="14119" max="14119" width="10.25" style="260" bestFit="1" customWidth="1"/>
    <col min="14120" max="14120" width="19.375" style="260" customWidth="1"/>
    <col min="14121" max="14336" width="10.625" style="260"/>
    <col min="14337" max="14368" width="8.125" style="260" customWidth="1"/>
    <col min="14369" max="14373" width="7.625" style="260" customWidth="1"/>
    <col min="14374" max="14374" width="8.875" style="260" customWidth="1"/>
    <col min="14375" max="14375" width="10.25" style="260" bestFit="1" customWidth="1"/>
    <col min="14376" max="14376" width="19.375" style="260" customWidth="1"/>
    <col min="14377" max="14592" width="10.625" style="260"/>
    <col min="14593" max="14624" width="8.125" style="260" customWidth="1"/>
    <col min="14625" max="14629" width="7.625" style="260" customWidth="1"/>
    <col min="14630" max="14630" width="8.875" style="260" customWidth="1"/>
    <col min="14631" max="14631" width="10.25" style="260" bestFit="1" customWidth="1"/>
    <col min="14632" max="14632" width="19.375" style="260" customWidth="1"/>
    <col min="14633" max="14848" width="10.625" style="260"/>
    <col min="14849" max="14880" width="8.125" style="260" customWidth="1"/>
    <col min="14881" max="14885" width="7.625" style="260" customWidth="1"/>
    <col min="14886" max="14886" width="8.875" style="260" customWidth="1"/>
    <col min="14887" max="14887" width="10.25" style="260" bestFit="1" customWidth="1"/>
    <col min="14888" max="14888" width="19.375" style="260" customWidth="1"/>
    <col min="14889" max="15104" width="10.625" style="260"/>
    <col min="15105" max="15136" width="8.125" style="260" customWidth="1"/>
    <col min="15137" max="15141" width="7.625" style="260" customWidth="1"/>
    <col min="15142" max="15142" width="8.875" style="260" customWidth="1"/>
    <col min="15143" max="15143" width="10.25" style="260" bestFit="1" customWidth="1"/>
    <col min="15144" max="15144" width="19.375" style="260" customWidth="1"/>
    <col min="15145" max="15360" width="10.625" style="260"/>
    <col min="15361" max="15392" width="8.125" style="260" customWidth="1"/>
    <col min="15393" max="15397" width="7.625" style="260" customWidth="1"/>
    <col min="15398" max="15398" width="8.875" style="260" customWidth="1"/>
    <col min="15399" max="15399" width="10.25" style="260" bestFit="1" customWidth="1"/>
    <col min="15400" max="15400" width="19.375" style="260" customWidth="1"/>
    <col min="15401" max="15616" width="10.625" style="260"/>
    <col min="15617" max="15648" width="8.125" style="260" customWidth="1"/>
    <col min="15649" max="15653" width="7.625" style="260" customWidth="1"/>
    <col min="15654" max="15654" width="8.875" style="260" customWidth="1"/>
    <col min="15655" max="15655" width="10.25" style="260" bestFit="1" customWidth="1"/>
    <col min="15656" max="15656" width="19.375" style="260" customWidth="1"/>
    <col min="15657" max="15872" width="10.625" style="260"/>
    <col min="15873" max="15904" width="8.125" style="260" customWidth="1"/>
    <col min="15905" max="15909" width="7.625" style="260" customWidth="1"/>
    <col min="15910" max="15910" width="8.875" style="260" customWidth="1"/>
    <col min="15911" max="15911" width="10.25" style="260" bestFit="1" customWidth="1"/>
    <col min="15912" max="15912" width="19.375" style="260" customWidth="1"/>
    <col min="15913" max="16128" width="10.625" style="260"/>
    <col min="16129" max="16160" width="8.125" style="260" customWidth="1"/>
    <col min="16161" max="16165" width="7.625" style="260" customWidth="1"/>
    <col min="16166" max="16166" width="8.875" style="260" customWidth="1"/>
    <col min="16167" max="16167" width="10.25" style="260" bestFit="1" customWidth="1"/>
    <col min="16168" max="16168" width="19.375" style="260" customWidth="1"/>
    <col min="16169" max="16384" width="10.625" style="260"/>
  </cols>
  <sheetData>
    <row r="1" spans="1:41">
      <c r="A1" s="938" t="s">
        <v>1065</v>
      </c>
      <c r="B1" s="939"/>
      <c r="C1" s="939"/>
      <c r="D1" s="939"/>
      <c r="E1" s="939"/>
      <c r="F1" s="939"/>
      <c r="G1" s="939"/>
      <c r="H1" s="939"/>
      <c r="I1" s="939"/>
      <c r="J1" s="939"/>
      <c r="K1" s="939"/>
      <c r="L1" s="939"/>
      <c r="M1" s="939"/>
      <c r="N1" s="939"/>
      <c r="O1" s="939"/>
      <c r="P1" s="939"/>
      <c r="Q1" s="939"/>
      <c r="R1" s="939"/>
      <c r="S1" s="939"/>
      <c r="T1" s="939"/>
      <c r="U1" s="939"/>
      <c r="V1" s="939"/>
      <c r="W1" s="939"/>
      <c r="X1" s="939"/>
      <c r="Y1" s="939"/>
      <c r="Z1" s="939"/>
      <c r="AA1" s="939"/>
      <c r="AB1" s="939"/>
      <c r="AC1" s="939"/>
      <c r="AD1" s="939"/>
      <c r="AE1" s="939"/>
      <c r="AF1" s="939"/>
    </row>
    <row r="2" spans="1:41" ht="27.75" customHeight="1">
      <c r="A2" s="939"/>
      <c r="B2" s="939"/>
      <c r="C2" s="939"/>
      <c r="D2" s="939"/>
      <c r="E2" s="939"/>
      <c r="F2" s="939"/>
      <c r="G2" s="939"/>
      <c r="H2" s="939"/>
      <c r="I2" s="939"/>
      <c r="J2" s="939"/>
      <c r="K2" s="939"/>
      <c r="L2" s="939"/>
      <c r="M2" s="939"/>
      <c r="N2" s="939"/>
      <c r="O2" s="939"/>
      <c r="P2" s="939"/>
      <c r="Q2" s="939"/>
      <c r="R2" s="939"/>
      <c r="S2" s="939"/>
      <c r="T2" s="939"/>
      <c r="U2" s="939"/>
      <c r="V2" s="939"/>
      <c r="W2" s="939"/>
      <c r="X2" s="939"/>
      <c r="Y2" s="939"/>
      <c r="Z2" s="939"/>
      <c r="AA2" s="939"/>
      <c r="AB2" s="939"/>
      <c r="AC2" s="939"/>
      <c r="AD2" s="939"/>
      <c r="AE2" s="939"/>
      <c r="AF2" s="939"/>
    </row>
    <row r="3" spans="1:41" ht="16.5" customHeight="1" thickBot="1">
      <c r="A3" s="261"/>
      <c r="B3" s="262"/>
      <c r="C3" s="261"/>
      <c r="D3" s="261"/>
      <c r="E3" s="261"/>
      <c r="F3" s="262"/>
      <c r="G3" s="262"/>
      <c r="H3" s="262"/>
      <c r="I3" s="262"/>
      <c r="J3" s="263"/>
      <c r="K3" s="262"/>
      <c r="L3" s="263"/>
      <c r="M3" s="262"/>
      <c r="N3" s="262"/>
      <c r="O3" s="262"/>
      <c r="P3" s="262"/>
      <c r="Q3" s="262"/>
      <c r="R3" s="262"/>
      <c r="S3" s="262"/>
      <c r="T3" s="262"/>
      <c r="U3" s="262"/>
      <c r="V3" s="262"/>
      <c r="W3" s="261"/>
      <c r="X3" s="264" t="s">
        <v>1066</v>
      </c>
      <c r="AF3" s="265"/>
      <c r="AG3" s="940" t="s">
        <v>1067</v>
      </c>
      <c r="AH3" s="941"/>
      <c r="AI3" s="941"/>
      <c r="AJ3" s="941"/>
      <c r="AK3" s="941"/>
      <c r="AL3" s="941"/>
    </row>
    <row r="4" spans="1:41" ht="16.5" customHeight="1" thickTop="1">
      <c r="A4" s="942" t="s">
        <v>1068</v>
      </c>
      <c r="B4" s="943"/>
      <c r="C4" s="266"/>
      <c r="D4" s="267"/>
      <c r="E4" s="267"/>
      <c r="F4" s="267"/>
      <c r="G4" s="268"/>
      <c r="H4" s="267"/>
      <c r="I4" s="267"/>
      <c r="J4" s="267"/>
      <c r="K4" s="267"/>
      <c r="L4" s="267"/>
      <c r="M4" s="267"/>
      <c r="N4" s="267"/>
      <c r="O4" s="267"/>
      <c r="P4" s="267"/>
      <c r="Q4" s="267"/>
      <c r="R4" s="269"/>
      <c r="S4" s="270"/>
      <c r="T4" s="267"/>
      <c r="U4" s="267"/>
      <c r="V4" s="267"/>
      <c r="W4" s="271"/>
      <c r="X4" s="271"/>
      <c r="Y4" s="271"/>
      <c r="Z4" s="267"/>
      <c r="AA4" s="267"/>
      <c r="AB4" s="272"/>
      <c r="AC4" s="267"/>
      <c r="AD4" s="272"/>
      <c r="AE4" s="267"/>
      <c r="AF4" s="273"/>
      <c r="AG4" s="267"/>
      <c r="AH4" s="267"/>
      <c r="AI4" s="272"/>
      <c r="AJ4" s="274"/>
      <c r="AK4" s="275"/>
      <c r="AL4" s="276"/>
      <c r="AM4" s="277"/>
    </row>
    <row r="5" spans="1:41" ht="16.5">
      <c r="A5" s="944"/>
      <c r="B5" s="945"/>
      <c r="C5" s="278" t="s">
        <v>1069</v>
      </c>
      <c r="D5" s="279" t="s">
        <v>1070</v>
      </c>
      <c r="E5" s="279" t="s">
        <v>1071</v>
      </c>
      <c r="F5" s="279" t="s">
        <v>1072</v>
      </c>
      <c r="G5" s="280" t="s">
        <v>1073</v>
      </c>
      <c r="H5" s="279" t="s">
        <v>1074</v>
      </c>
      <c r="I5" s="279" t="s">
        <v>1075</v>
      </c>
      <c r="J5" s="279" t="s">
        <v>1076</v>
      </c>
      <c r="K5" s="279" t="s">
        <v>1077</v>
      </c>
      <c r="L5" s="279" t="s">
        <v>1078</v>
      </c>
      <c r="M5" s="279" t="s">
        <v>1079</v>
      </c>
      <c r="N5" s="279" t="s">
        <v>1080</v>
      </c>
      <c r="O5" s="279" t="s">
        <v>1081</v>
      </c>
      <c r="P5" s="279" t="s">
        <v>1082</v>
      </c>
      <c r="Q5" s="279" t="s">
        <v>1083</v>
      </c>
      <c r="R5" s="281" t="s">
        <v>1084</v>
      </c>
      <c r="S5" s="282" t="s">
        <v>1085</v>
      </c>
      <c r="T5" s="279" t="s">
        <v>1086</v>
      </c>
      <c r="U5" s="283" t="s">
        <v>1087</v>
      </c>
      <c r="V5" s="279" t="s">
        <v>1088</v>
      </c>
      <c r="W5" s="284" t="s">
        <v>1089</v>
      </c>
      <c r="X5" s="284" t="s">
        <v>1090</v>
      </c>
      <c r="Y5" s="284" t="s">
        <v>1091</v>
      </c>
      <c r="Z5" s="283" t="s">
        <v>1092</v>
      </c>
      <c r="AA5" s="283" t="s">
        <v>1093</v>
      </c>
      <c r="AB5" s="280" t="s">
        <v>1094</v>
      </c>
      <c r="AC5" s="283" t="s">
        <v>1095</v>
      </c>
      <c r="AD5" s="280" t="s">
        <v>1096</v>
      </c>
      <c r="AE5" s="283" t="s">
        <v>1097</v>
      </c>
      <c r="AF5" s="283" t="s">
        <v>1098</v>
      </c>
      <c r="AG5" s="283" t="s">
        <v>1099</v>
      </c>
      <c r="AH5" s="283" t="s">
        <v>1100</v>
      </c>
      <c r="AI5" s="280" t="s">
        <v>1101</v>
      </c>
      <c r="AJ5" s="285" t="s">
        <v>1102</v>
      </c>
      <c r="AK5" s="286" t="s">
        <v>1103</v>
      </c>
      <c r="AL5" s="287" t="s">
        <v>1104</v>
      </c>
      <c r="AM5" s="288" t="s">
        <v>1105</v>
      </c>
    </row>
    <row r="6" spans="1:41" ht="16.5">
      <c r="A6" s="944"/>
      <c r="B6" s="945"/>
      <c r="C6" s="278" t="s">
        <v>1106</v>
      </c>
      <c r="D6" s="279" t="s">
        <v>1107</v>
      </c>
      <c r="E6" s="279" t="s">
        <v>1108</v>
      </c>
      <c r="F6" s="279" t="s">
        <v>1109</v>
      </c>
      <c r="G6" s="280" t="s">
        <v>1110</v>
      </c>
      <c r="H6" s="279" t="s">
        <v>1111</v>
      </c>
      <c r="I6" s="279" t="s">
        <v>1112</v>
      </c>
      <c r="J6" s="279" t="s">
        <v>1113</v>
      </c>
      <c r="K6" s="279" t="s">
        <v>1114</v>
      </c>
      <c r="L6" s="279" t="s">
        <v>1115</v>
      </c>
      <c r="M6" s="279" t="s">
        <v>1116</v>
      </c>
      <c r="N6" s="279" t="s">
        <v>1117</v>
      </c>
      <c r="O6" s="279" t="s">
        <v>1118</v>
      </c>
      <c r="P6" s="279" t="s">
        <v>1119</v>
      </c>
      <c r="Q6" s="279" t="s">
        <v>1120</v>
      </c>
      <c r="R6" s="281" t="s">
        <v>1121</v>
      </c>
      <c r="S6" s="282" t="s">
        <v>1122</v>
      </c>
      <c r="T6" s="279" t="s">
        <v>1123</v>
      </c>
      <c r="U6" s="279" t="s">
        <v>1124</v>
      </c>
      <c r="V6" s="279" t="s">
        <v>1125</v>
      </c>
      <c r="W6" s="284" t="s">
        <v>1126</v>
      </c>
      <c r="X6" s="284" t="s">
        <v>1127</v>
      </c>
      <c r="Y6" s="284" t="s">
        <v>1128</v>
      </c>
      <c r="Z6" s="283" t="s">
        <v>1129</v>
      </c>
      <c r="AA6" s="283" t="s">
        <v>1130</v>
      </c>
      <c r="AB6" s="280" t="s">
        <v>1131</v>
      </c>
      <c r="AC6" s="283" t="s">
        <v>1132</v>
      </c>
      <c r="AD6" s="280" t="s">
        <v>1133</v>
      </c>
      <c r="AE6" s="283" t="s">
        <v>1134</v>
      </c>
      <c r="AF6" s="283" t="s">
        <v>1135</v>
      </c>
      <c r="AG6" s="283" t="s">
        <v>1136</v>
      </c>
      <c r="AH6" s="283" t="s">
        <v>1137</v>
      </c>
      <c r="AI6" s="280" t="s">
        <v>1138</v>
      </c>
      <c r="AJ6" s="285" t="s">
        <v>1139</v>
      </c>
      <c r="AK6" s="286" t="s">
        <v>1140</v>
      </c>
      <c r="AL6" s="287" t="s">
        <v>1141</v>
      </c>
      <c r="AM6" s="288" t="s">
        <v>1142</v>
      </c>
    </row>
    <row r="7" spans="1:41">
      <c r="A7" s="944"/>
      <c r="B7" s="945"/>
      <c r="C7" s="278"/>
      <c r="D7" s="279"/>
      <c r="E7" s="279"/>
      <c r="F7" s="279"/>
      <c r="G7" s="280" t="s">
        <v>1143</v>
      </c>
      <c r="H7" s="279"/>
      <c r="I7" s="279"/>
      <c r="J7" s="279"/>
      <c r="K7" s="289" t="s">
        <v>1144</v>
      </c>
      <c r="L7" s="279"/>
      <c r="M7" s="279"/>
      <c r="N7" s="279"/>
      <c r="O7" s="283" t="s">
        <v>1143</v>
      </c>
      <c r="P7" s="279"/>
      <c r="Q7" s="279"/>
      <c r="R7" s="281"/>
      <c r="S7" s="282"/>
      <c r="T7" s="279"/>
      <c r="U7" s="289" t="s">
        <v>1145</v>
      </c>
      <c r="V7" s="279"/>
      <c r="W7" s="284"/>
      <c r="X7" s="284"/>
      <c r="Y7" s="284"/>
      <c r="Z7" s="283" t="s">
        <v>1146</v>
      </c>
      <c r="AA7" s="283" t="s">
        <v>1146</v>
      </c>
      <c r="AB7" s="280" t="s">
        <v>1143</v>
      </c>
      <c r="AC7" s="283" t="s">
        <v>1143</v>
      </c>
      <c r="AD7" s="280" t="s">
        <v>1143</v>
      </c>
      <c r="AE7" s="283" t="s">
        <v>1143</v>
      </c>
      <c r="AF7" s="283" t="s">
        <v>1143</v>
      </c>
      <c r="AG7" s="283" t="s">
        <v>1143</v>
      </c>
      <c r="AH7" s="283" t="s">
        <v>1147</v>
      </c>
      <c r="AI7" s="280" t="s">
        <v>1143</v>
      </c>
      <c r="AJ7" s="285" t="s">
        <v>1143</v>
      </c>
      <c r="AK7" s="286" t="s">
        <v>1146</v>
      </c>
      <c r="AL7" s="287" t="s">
        <v>1143</v>
      </c>
      <c r="AM7" s="290" t="s">
        <v>1143</v>
      </c>
    </row>
    <row r="8" spans="1:41" ht="16.5">
      <c r="A8" s="291" t="s">
        <v>1148</v>
      </c>
      <c r="B8" s="292" t="s">
        <v>1149</v>
      </c>
      <c r="C8" s="293" t="s">
        <v>1150</v>
      </c>
      <c r="D8" s="293" t="s">
        <v>1150</v>
      </c>
      <c r="E8" s="293" t="s">
        <v>1150</v>
      </c>
      <c r="F8" s="293" t="s">
        <v>1150</v>
      </c>
      <c r="G8" s="294" t="s">
        <v>1151</v>
      </c>
      <c r="H8" s="293" t="s">
        <v>1150</v>
      </c>
      <c r="I8" s="293" t="s">
        <v>1150</v>
      </c>
      <c r="J8" s="293" t="s">
        <v>1150</v>
      </c>
      <c r="K8" s="295" t="s">
        <v>1152</v>
      </c>
      <c r="L8" s="293" t="s">
        <v>1150</v>
      </c>
      <c r="M8" s="293" t="s">
        <v>1150</v>
      </c>
      <c r="N8" s="295" t="s">
        <v>1153</v>
      </c>
      <c r="O8" s="293" t="s">
        <v>1154</v>
      </c>
      <c r="P8" s="295" t="s">
        <v>1153</v>
      </c>
      <c r="Q8" s="293" t="s">
        <v>1150</v>
      </c>
      <c r="R8" s="295" t="s">
        <v>1153</v>
      </c>
      <c r="S8" s="295" t="s">
        <v>1153</v>
      </c>
      <c r="T8" s="295" t="s">
        <v>1153</v>
      </c>
      <c r="U8" s="293" t="s">
        <v>1154</v>
      </c>
      <c r="V8" s="295" t="s">
        <v>1153</v>
      </c>
      <c r="W8" s="295" t="s">
        <v>1153</v>
      </c>
      <c r="X8" s="295" t="s">
        <v>1153</v>
      </c>
      <c r="Y8" s="295" t="s">
        <v>1153</v>
      </c>
      <c r="Z8" s="293" t="s">
        <v>1150</v>
      </c>
      <c r="AA8" s="296" t="s">
        <v>1155</v>
      </c>
      <c r="AB8" s="297" t="s">
        <v>1156</v>
      </c>
      <c r="AC8" s="294" t="s">
        <v>1151</v>
      </c>
      <c r="AD8" s="297" t="s">
        <v>1157</v>
      </c>
      <c r="AE8" s="293" t="s">
        <v>1154</v>
      </c>
      <c r="AF8" s="293" t="s">
        <v>1154</v>
      </c>
      <c r="AG8" s="293" t="s">
        <v>1154</v>
      </c>
      <c r="AH8" s="293" t="s">
        <v>1150</v>
      </c>
      <c r="AI8" s="293" t="s">
        <v>1154</v>
      </c>
      <c r="AJ8" s="298" t="s">
        <v>1157</v>
      </c>
      <c r="AK8" s="299" t="s">
        <v>1157</v>
      </c>
      <c r="AL8" s="297" t="s">
        <v>1157</v>
      </c>
      <c r="AM8" s="300" t="s">
        <v>1157</v>
      </c>
    </row>
    <row r="9" spans="1:41" ht="16.5">
      <c r="A9" s="301" t="s">
        <v>1158</v>
      </c>
      <c r="B9" s="302" t="s">
        <v>1158</v>
      </c>
      <c r="C9" s="303" t="s">
        <v>1159</v>
      </c>
      <c r="D9" s="303" t="s">
        <v>1160</v>
      </c>
      <c r="E9" s="303" t="s">
        <v>1159</v>
      </c>
      <c r="F9" s="303" t="s">
        <v>1159</v>
      </c>
      <c r="G9" s="304" t="s">
        <v>1158</v>
      </c>
      <c r="H9" s="303" t="s">
        <v>1159</v>
      </c>
      <c r="I9" s="303" t="s">
        <v>1159</v>
      </c>
      <c r="J9" s="303" t="s">
        <v>1159</v>
      </c>
      <c r="K9" s="305" t="s">
        <v>1148</v>
      </c>
      <c r="L9" s="303" t="s">
        <v>1159</v>
      </c>
      <c r="M9" s="303" t="s">
        <v>1159</v>
      </c>
      <c r="N9" s="306" t="s">
        <v>1159</v>
      </c>
      <c r="O9" s="307" t="s">
        <v>1161</v>
      </c>
      <c r="P9" s="306" t="s">
        <v>1159</v>
      </c>
      <c r="Q9" s="303" t="s">
        <v>1159</v>
      </c>
      <c r="R9" s="306" t="s">
        <v>1159</v>
      </c>
      <c r="S9" s="306" t="s">
        <v>1159</v>
      </c>
      <c r="T9" s="306" t="s">
        <v>1159</v>
      </c>
      <c r="U9" s="307" t="s">
        <v>1161</v>
      </c>
      <c r="V9" s="306" t="s">
        <v>1159</v>
      </c>
      <c r="W9" s="306" t="s">
        <v>1159</v>
      </c>
      <c r="X9" s="306" t="s">
        <v>1159</v>
      </c>
      <c r="Y9" s="306" t="s">
        <v>1159</v>
      </c>
      <c r="Z9" s="303" t="s">
        <v>1154</v>
      </c>
      <c r="AA9" s="307" t="s">
        <v>1162</v>
      </c>
      <c r="AB9" s="308"/>
      <c r="AC9" s="304" t="s">
        <v>1158</v>
      </c>
      <c r="AD9" s="304" t="s">
        <v>1156</v>
      </c>
      <c r="AE9" s="302" t="s">
        <v>1163</v>
      </c>
      <c r="AF9" s="307" t="s">
        <v>1164</v>
      </c>
      <c r="AG9" s="307" t="s">
        <v>1148</v>
      </c>
      <c r="AH9" s="303" t="s">
        <v>1159</v>
      </c>
      <c r="AI9" s="302" t="s">
        <v>1163</v>
      </c>
      <c r="AJ9" s="309" t="s">
        <v>1165</v>
      </c>
      <c r="AK9" s="310" t="s">
        <v>1166</v>
      </c>
      <c r="AL9" s="311" t="s">
        <v>1165</v>
      </c>
      <c r="AM9" s="312" t="s">
        <v>1165</v>
      </c>
      <c r="AO9" s="259"/>
    </row>
    <row r="10" spans="1:41" ht="16.5">
      <c r="A10" s="313" t="s">
        <v>1167</v>
      </c>
      <c r="B10" s="314" t="s">
        <v>1168</v>
      </c>
      <c r="C10" s="314" t="s">
        <v>1169</v>
      </c>
      <c r="D10" s="314" t="s">
        <v>1170</v>
      </c>
      <c r="E10" s="314" t="s">
        <v>1171</v>
      </c>
      <c r="F10" s="314" t="s">
        <v>1172</v>
      </c>
      <c r="G10" s="315" t="s">
        <v>1173</v>
      </c>
      <c r="H10" s="316" t="s">
        <v>1174</v>
      </c>
      <c r="I10" s="314" t="s">
        <v>1175</v>
      </c>
      <c r="J10" s="314" t="s">
        <v>1176</v>
      </c>
      <c r="K10" s="317" t="s">
        <v>1177</v>
      </c>
      <c r="L10" s="314" t="s">
        <v>1178</v>
      </c>
      <c r="M10" s="314" t="s">
        <v>1179</v>
      </c>
      <c r="N10" s="318" t="s">
        <v>1180</v>
      </c>
      <c r="O10" s="319" t="s">
        <v>1181</v>
      </c>
      <c r="P10" s="320" t="s">
        <v>1182</v>
      </c>
      <c r="Q10" s="321" t="s">
        <v>1183</v>
      </c>
      <c r="R10" s="322" t="s">
        <v>1184</v>
      </c>
      <c r="S10" s="323" t="s">
        <v>1185</v>
      </c>
      <c r="T10" s="314" t="s">
        <v>1186</v>
      </c>
      <c r="U10" s="314">
        <v>21</v>
      </c>
      <c r="V10" s="324" t="s">
        <v>1187</v>
      </c>
      <c r="W10" s="325" t="s">
        <v>1188</v>
      </c>
      <c r="X10" s="325" t="s">
        <v>1189</v>
      </c>
      <c r="Y10" s="326" t="s">
        <v>1190</v>
      </c>
      <c r="Z10" s="327" t="s">
        <v>1191</v>
      </c>
      <c r="AA10" s="328" t="s">
        <v>1192</v>
      </c>
      <c r="AB10" s="329" t="s">
        <v>1193</v>
      </c>
      <c r="AC10" s="297" t="s">
        <v>1194</v>
      </c>
      <c r="AD10" s="330" t="s">
        <v>1195</v>
      </c>
      <c r="AE10" s="317" t="s">
        <v>1196</v>
      </c>
      <c r="AF10" s="314" t="s">
        <v>1197</v>
      </c>
      <c r="AG10" s="317" t="s">
        <v>1198</v>
      </c>
      <c r="AH10" s="317" t="s">
        <v>1199</v>
      </c>
      <c r="AI10" s="331" t="s">
        <v>1200</v>
      </c>
      <c r="AJ10" s="332" t="s">
        <v>1201</v>
      </c>
      <c r="AK10" s="297" t="s">
        <v>1202</v>
      </c>
      <c r="AL10" s="333" t="s">
        <v>1203</v>
      </c>
      <c r="AM10" s="334" t="s">
        <v>1204</v>
      </c>
      <c r="AO10" s="259"/>
    </row>
    <row r="11" spans="1:41" ht="16.5">
      <c r="A11" s="313"/>
      <c r="B11" s="314"/>
      <c r="C11" s="314"/>
      <c r="D11" s="314"/>
      <c r="E11" s="314"/>
      <c r="F11" s="314"/>
      <c r="G11" s="330" t="s">
        <v>1205</v>
      </c>
      <c r="H11" s="316"/>
      <c r="I11" s="314"/>
      <c r="J11" s="314"/>
      <c r="K11" s="317"/>
      <c r="L11" s="314"/>
      <c r="M11" s="314"/>
      <c r="N11" s="322"/>
      <c r="O11" s="319" t="s">
        <v>1206</v>
      </c>
      <c r="P11" s="335"/>
      <c r="Q11" s="321"/>
      <c r="R11" s="322"/>
      <c r="S11" s="323"/>
      <c r="T11" s="314"/>
      <c r="U11" s="314" t="s">
        <v>1207</v>
      </c>
      <c r="V11" s="336" t="s">
        <v>1208</v>
      </c>
      <c r="W11" s="325"/>
      <c r="X11" s="325"/>
      <c r="Y11" s="325"/>
      <c r="Z11" s="321"/>
      <c r="AA11" s="337" t="s">
        <v>1209</v>
      </c>
      <c r="AB11" s="330" t="s">
        <v>1210</v>
      </c>
      <c r="AC11" s="329" t="s">
        <v>1211</v>
      </c>
      <c r="AD11" s="330" t="s">
        <v>1212</v>
      </c>
      <c r="AE11" s="317" t="s">
        <v>1213</v>
      </c>
      <c r="AF11" s="314"/>
      <c r="AG11" s="317" t="s">
        <v>1214</v>
      </c>
      <c r="AH11" s="317"/>
      <c r="AI11" s="331" t="s">
        <v>1215</v>
      </c>
      <c r="AJ11" s="338" t="s">
        <v>1216</v>
      </c>
      <c r="AK11" s="331" t="s">
        <v>1217</v>
      </c>
      <c r="AL11" s="333" t="s">
        <v>1218</v>
      </c>
      <c r="AM11" s="339" t="s">
        <v>1219</v>
      </c>
      <c r="AO11" s="259"/>
    </row>
    <row r="12" spans="1:41" ht="16.5">
      <c r="A12" s="313"/>
      <c r="B12" s="319"/>
      <c r="C12" s="314"/>
      <c r="D12" s="314"/>
      <c r="E12" s="314"/>
      <c r="F12" s="314"/>
      <c r="G12" s="330" t="s">
        <v>1220</v>
      </c>
      <c r="H12" s="316"/>
      <c r="I12" s="314"/>
      <c r="J12" s="314"/>
      <c r="K12" s="317" t="s">
        <v>1221</v>
      </c>
      <c r="L12" s="314"/>
      <c r="M12" s="314"/>
      <c r="N12" s="322"/>
      <c r="O12" s="319" t="s">
        <v>1222</v>
      </c>
      <c r="P12" s="335"/>
      <c r="Q12" s="321"/>
      <c r="R12" s="322"/>
      <c r="S12" s="323"/>
      <c r="T12" s="314"/>
      <c r="U12" s="314" t="s">
        <v>1223</v>
      </c>
      <c r="V12" s="324" t="s">
        <v>1224</v>
      </c>
      <c r="W12" s="325"/>
      <c r="X12" s="325"/>
      <c r="Y12" s="325"/>
      <c r="Z12" s="321" t="s">
        <v>1225</v>
      </c>
      <c r="AA12" s="337" t="s">
        <v>1226</v>
      </c>
      <c r="AB12" s="330" t="s">
        <v>1227</v>
      </c>
      <c r="AC12" s="340" t="s">
        <v>1228</v>
      </c>
      <c r="AD12" s="315" t="s">
        <v>1229</v>
      </c>
      <c r="AE12" s="317" t="s">
        <v>1230</v>
      </c>
      <c r="AF12" s="314" t="s">
        <v>1231</v>
      </c>
      <c r="AG12" s="317" t="s">
        <v>1232</v>
      </c>
      <c r="AH12" s="317"/>
      <c r="AI12" s="331" t="s">
        <v>1233</v>
      </c>
      <c r="AJ12" s="341" t="s">
        <v>1234</v>
      </c>
      <c r="AK12" s="331" t="s">
        <v>1235</v>
      </c>
      <c r="AL12" s="342" t="s">
        <v>1236</v>
      </c>
      <c r="AM12" s="343" t="s">
        <v>1237</v>
      </c>
      <c r="AO12" s="259"/>
    </row>
    <row r="13" spans="1:41" ht="16.5">
      <c r="A13" s="313" t="s">
        <v>1238</v>
      </c>
      <c r="B13" s="344" t="s">
        <v>1239</v>
      </c>
      <c r="C13" s="344" t="s">
        <v>1240</v>
      </c>
      <c r="D13" s="314" t="s">
        <v>1241</v>
      </c>
      <c r="E13" s="314" t="s">
        <v>1242</v>
      </c>
      <c r="F13" s="314" t="s">
        <v>1243</v>
      </c>
      <c r="G13" s="330" t="s">
        <v>1244</v>
      </c>
      <c r="H13" s="316" t="s">
        <v>1245</v>
      </c>
      <c r="I13" s="314" t="s">
        <v>1246</v>
      </c>
      <c r="J13" s="314" t="s">
        <v>1247</v>
      </c>
      <c r="K13" s="317" t="s">
        <v>1248</v>
      </c>
      <c r="L13" s="314" t="s">
        <v>1249</v>
      </c>
      <c r="M13" s="314" t="s">
        <v>1250</v>
      </c>
      <c r="N13" s="322" t="s">
        <v>1251</v>
      </c>
      <c r="O13" s="319" t="s">
        <v>1252</v>
      </c>
      <c r="P13" s="320" t="s">
        <v>1253</v>
      </c>
      <c r="Q13" s="321" t="s">
        <v>1254</v>
      </c>
      <c r="R13" s="322" t="s">
        <v>1255</v>
      </c>
      <c r="S13" s="323" t="s">
        <v>1256</v>
      </c>
      <c r="T13" s="314" t="s">
        <v>1257</v>
      </c>
      <c r="U13" s="314" t="s">
        <v>1258</v>
      </c>
      <c r="V13" s="317" t="s">
        <v>1259</v>
      </c>
      <c r="W13" s="325" t="s">
        <v>1260</v>
      </c>
      <c r="X13" s="325" t="s">
        <v>1261</v>
      </c>
      <c r="Y13" s="345" t="s">
        <v>1262</v>
      </c>
      <c r="Z13" s="321" t="s">
        <v>1263</v>
      </c>
      <c r="AA13" s="337"/>
      <c r="AB13" s="330" t="s">
        <v>1264</v>
      </c>
      <c r="AC13" s="340" t="s">
        <v>1265</v>
      </c>
      <c r="AD13" s="330" t="s">
        <v>1266</v>
      </c>
      <c r="AE13" s="317" t="s">
        <v>1267</v>
      </c>
      <c r="AF13" s="314" t="s">
        <v>1268</v>
      </c>
      <c r="AG13" s="317" t="s">
        <v>1269</v>
      </c>
      <c r="AH13" s="317" t="s">
        <v>1270</v>
      </c>
      <c r="AI13" s="331" t="s">
        <v>1271</v>
      </c>
      <c r="AJ13" s="338" t="s">
        <v>1272</v>
      </c>
      <c r="AK13" s="331" t="s">
        <v>1273</v>
      </c>
      <c r="AL13" s="333" t="s">
        <v>1274</v>
      </c>
      <c r="AM13" s="339" t="s">
        <v>1275</v>
      </c>
      <c r="AO13" s="259"/>
    </row>
    <row r="14" spans="1:41" ht="16.5">
      <c r="A14" s="313"/>
      <c r="B14" s="319"/>
      <c r="C14" s="314"/>
      <c r="D14" s="314"/>
      <c r="E14" s="314"/>
      <c r="F14" s="314"/>
      <c r="G14" s="330" t="s">
        <v>1276</v>
      </c>
      <c r="H14" s="316"/>
      <c r="I14" s="314"/>
      <c r="J14" s="314"/>
      <c r="K14" s="317" t="s">
        <v>1277</v>
      </c>
      <c r="L14" s="314"/>
      <c r="M14" s="314"/>
      <c r="N14" s="322"/>
      <c r="O14" s="319" t="s">
        <v>1278</v>
      </c>
      <c r="P14" s="335"/>
      <c r="Q14" s="321"/>
      <c r="R14" s="322"/>
      <c r="S14" s="323"/>
      <c r="T14" s="314"/>
      <c r="U14" s="314" t="s">
        <v>1279</v>
      </c>
      <c r="V14" s="324" t="s">
        <v>1280</v>
      </c>
      <c r="W14" s="325"/>
      <c r="X14" s="325"/>
      <c r="Y14" s="325"/>
      <c r="Z14" s="321" t="s">
        <v>1281</v>
      </c>
      <c r="AA14" s="346" t="s">
        <v>1282</v>
      </c>
      <c r="AB14" s="315" t="s">
        <v>1283</v>
      </c>
      <c r="AC14" s="340" t="s">
        <v>1284</v>
      </c>
      <c r="AD14" s="315" t="s">
        <v>1285</v>
      </c>
      <c r="AE14" s="317" t="s">
        <v>1286</v>
      </c>
      <c r="AF14" s="314" t="s">
        <v>1287</v>
      </c>
      <c r="AG14" s="317" t="s">
        <v>1288</v>
      </c>
      <c r="AH14" s="317"/>
      <c r="AI14" s="331" t="s">
        <v>1289</v>
      </c>
      <c r="AJ14" s="341" t="s">
        <v>1290</v>
      </c>
      <c r="AK14" s="331" t="s">
        <v>1291</v>
      </c>
      <c r="AL14" s="342" t="s">
        <v>1292</v>
      </c>
      <c r="AM14" s="343" t="s">
        <v>1293</v>
      </c>
      <c r="AO14" s="259"/>
    </row>
    <row r="15" spans="1:41" ht="16.5">
      <c r="A15" s="347" t="s">
        <v>1294</v>
      </c>
      <c r="B15" s="314" t="s">
        <v>1295</v>
      </c>
      <c r="C15" s="314" t="s">
        <v>1296</v>
      </c>
      <c r="D15" s="314" t="s">
        <v>1297</v>
      </c>
      <c r="E15" s="314" t="s">
        <v>1298</v>
      </c>
      <c r="F15" s="314" t="s">
        <v>1299</v>
      </c>
      <c r="G15" s="288" t="s">
        <v>1300</v>
      </c>
      <c r="H15" s="316" t="s">
        <v>1301</v>
      </c>
      <c r="I15" s="314" t="s">
        <v>1302</v>
      </c>
      <c r="J15" s="322" t="s">
        <v>1303</v>
      </c>
      <c r="K15" s="317" t="s">
        <v>1304</v>
      </c>
      <c r="L15" s="314" t="s">
        <v>1305</v>
      </c>
      <c r="M15" s="314" t="s">
        <v>1306</v>
      </c>
      <c r="N15" s="322" t="s">
        <v>1307</v>
      </c>
      <c r="O15" s="319" t="s">
        <v>1308</v>
      </c>
      <c r="P15" s="335" t="s">
        <v>1309</v>
      </c>
      <c r="Q15" s="321" t="s">
        <v>1310</v>
      </c>
      <c r="R15" s="322" t="s">
        <v>1311</v>
      </c>
      <c r="S15" s="323" t="s">
        <v>1312</v>
      </c>
      <c r="T15" s="314" t="s">
        <v>1313</v>
      </c>
      <c r="U15" s="344">
        <v>26</v>
      </c>
      <c r="V15" s="314"/>
      <c r="W15" s="325" t="s">
        <v>1314</v>
      </c>
      <c r="X15" s="325" t="s">
        <v>1315</v>
      </c>
      <c r="Y15" s="345" t="s">
        <v>1316</v>
      </c>
      <c r="Z15" s="321" t="s">
        <v>1317</v>
      </c>
      <c r="AA15" s="337" t="s">
        <v>1318</v>
      </c>
      <c r="AB15" s="329" t="s">
        <v>1319</v>
      </c>
      <c r="AC15" s="288" t="s">
        <v>1300</v>
      </c>
      <c r="AD15" s="315" t="s">
        <v>1320</v>
      </c>
      <c r="AE15" s="278" t="s">
        <v>1321</v>
      </c>
      <c r="AF15" s="314" t="s">
        <v>1322</v>
      </c>
      <c r="AG15" s="317" t="s">
        <v>1323</v>
      </c>
      <c r="AH15" s="317" t="s">
        <v>1324</v>
      </c>
      <c r="AI15" s="288" t="s">
        <v>1300</v>
      </c>
      <c r="AJ15" s="348" t="s">
        <v>1325</v>
      </c>
      <c r="AK15" s="331" t="s">
        <v>1326</v>
      </c>
      <c r="AL15" s="348" t="s">
        <v>1325</v>
      </c>
      <c r="AM15" s="349" t="s">
        <v>1325</v>
      </c>
      <c r="AO15" s="259"/>
    </row>
    <row r="16" spans="1:41" ht="16.5">
      <c r="A16" s="313"/>
      <c r="B16" s="316"/>
      <c r="C16" s="314"/>
      <c r="D16" s="314"/>
      <c r="E16" s="314"/>
      <c r="F16" s="314"/>
      <c r="G16" s="330" t="s">
        <v>1327</v>
      </c>
      <c r="H16" s="316"/>
      <c r="I16" s="314"/>
      <c r="J16" s="314"/>
      <c r="K16" s="350" t="s">
        <v>1321</v>
      </c>
      <c r="L16" s="314"/>
      <c r="M16" s="314"/>
      <c r="N16" s="322"/>
      <c r="O16" s="351"/>
      <c r="P16" s="335"/>
      <c r="Q16" s="321"/>
      <c r="R16" s="322"/>
      <c r="S16" s="323"/>
      <c r="T16" s="314"/>
      <c r="U16" s="278" t="s">
        <v>1328</v>
      </c>
      <c r="V16" s="314"/>
      <c r="W16" s="325"/>
      <c r="X16" s="325"/>
      <c r="Y16" s="325"/>
      <c r="Z16" s="327" t="s">
        <v>1329</v>
      </c>
      <c r="AA16" s="337" t="s">
        <v>1330</v>
      </c>
      <c r="AB16" s="330" t="s">
        <v>1331</v>
      </c>
      <c r="AC16" s="315" t="s">
        <v>1332</v>
      </c>
      <c r="AD16" s="330" t="s">
        <v>1333</v>
      </c>
      <c r="AE16" s="324" t="s">
        <v>1334</v>
      </c>
      <c r="AF16" s="278" t="s">
        <v>1335</v>
      </c>
      <c r="AG16" s="278" t="s">
        <v>1321</v>
      </c>
      <c r="AH16" s="317"/>
      <c r="AI16" s="331" t="s">
        <v>132</v>
      </c>
      <c r="AJ16" s="332" t="s">
        <v>1336</v>
      </c>
      <c r="AK16" s="331" t="s">
        <v>1337</v>
      </c>
      <c r="AL16" s="333" t="s">
        <v>1338</v>
      </c>
      <c r="AM16" s="343" t="s">
        <v>1339</v>
      </c>
      <c r="AO16" s="259"/>
    </row>
    <row r="17" spans="1:41" ht="16.5">
      <c r="A17" s="313" t="s">
        <v>1340</v>
      </c>
      <c r="B17" s="314" t="s">
        <v>1341</v>
      </c>
      <c r="C17" s="314" t="s">
        <v>1342</v>
      </c>
      <c r="D17" s="314" t="s">
        <v>1343</v>
      </c>
      <c r="E17" s="314" t="s">
        <v>1344</v>
      </c>
      <c r="F17" s="314" t="s">
        <v>1345</v>
      </c>
      <c r="G17" s="330" t="s">
        <v>1346</v>
      </c>
      <c r="H17" s="316" t="s">
        <v>1347</v>
      </c>
      <c r="I17" s="314" t="s">
        <v>1348</v>
      </c>
      <c r="J17" s="322" t="s">
        <v>1349</v>
      </c>
      <c r="K17" s="317" t="s">
        <v>1350</v>
      </c>
      <c r="L17" s="335" t="s">
        <v>1351</v>
      </c>
      <c r="M17" s="314" t="s">
        <v>1352</v>
      </c>
      <c r="N17" s="322" t="s">
        <v>1353</v>
      </c>
      <c r="O17" s="352"/>
      <c r="P17" s="335" t="s">
        <v>1354</v>
      </c>
      <c r="Q17" s="321" t="s">
        <v>1355</v>
      </c>
      <c r="R17" s="322" t="s">
        <v>1356</v>
      </c>
      <c r="S17" s="323" t="s">
        <v>1357</v>
      </c>
      <c r="T17" s="314" t="s">
        <v>1358</v>
      </c>
      <c r="U17" s="314" t="s">
        <v>1359</v>
      </c>
      <c r="V17" s="314"/>
      <c r="W17" s="325" t="s">
        <v>1360</v>
      </c>
      <c r="X17" s="325" t="s">
        <v>1361</v>
      </c>
      <c r="Y17" s="345" t="s">
        <v>1362</v>
      </c>
      <c r="Z17" s="314"/>
      <c r="AA17" s="353"/>
      <c r="AB17" s="329" t="s">
        <v>1363</v>
      </c>
      <c r="AC17" s="331" t="s">
        <v>1364</v>
      </c>
      <c r="AD17" s="330" t="s">
        <v>1365</v>
      </c>
      <c r="AE17" s="317" t="s">
        <v>757</v>
      </c>
      <c r="AF17" s="314" t="s">
        <v>1366</v>
      </c>
      <c r="AG17" s="317" t="s">
        <v>1367</v>
      </c>
      <c r="AH17" s="317" t="s">
        <v>1368</v>
      </c>
      <c r="AI17" s="331" t="s">
        <v>1369</v>
      </c>
      <c r="AJ17" s="354" t="s">
        <v>1370</v>
      </c>
      <c r="AK17" s="331" t="s">
        <v>1371</v>
      </c>
      <c r="AL17" s="334" t="s">
        <v>1372</v>
      </c>
      <c r="AM17" s="343" t="s">
        <v>1373</v>
      </c>
    </row>
    <row r="18" spans="1:41" ht="16.5">
      <c r="A18" s="355"/>
      <c r="B18" s="319"/>
      <c r="C18" s="314"/>
      <c r="D18" s="314"/>
      <c r="E18" s="314"/>
      <c r="F18" s="314"/>
      <c r="G18" s="330" t="s">
        <v>1374</v>
      </c>
      <c r="H18" s="316"/>
      <c r="I18" s="314"/>
      <c r="J18" s="314"/>
      <c r="K18" s="317" t="s">
        <v>1375</v>
      </c>
      <c r="L18" s="314"/>
      <c r="M18" s="314"/>
      <c r="N18" s="322"/>
      <c r="O18" s="278" t="s">
        <v>1328</v>
      </c>
      <c r="P18" s="335"/>
      <c r="Q18" s="321"/>
      <c r="R18" s="322"/>
      <c r="S18" s="323"/>
      <c r="T18" s="314"/>
      <c r="U18" s="344" t="s">
        <v>1376</v>
      </c>
      <c r="V18" s="314"/>
      <c r="W18" s="325"/>
      <c r="X18" s="325"/>
      <c r="Y18" s="325"/>
      <c r="Z18" s="314"/>
      <c r="AA18" s="337"/>
      <c r="AB18" s="351"/>
      <c r="AC18" s="331" t="s">
        <v>1377</v>
      </c>
      <c r="AD18" s="331"/>
      <c r="AE18" s="317" t="s">
        <v>758</v>
      </c>
      <c r="AF18" s="314" t="s">
        <v>1378</v>
      </c>
      <c r="AG18" s="317" t="s">
        <v>1379</v>
      </c>
      <c r="AH18" s="316"/>
      <c r="AI18" s="331" t="s">
        <v>1380</v>
      </c>
      <c r="AJ18" s="332" t="s">
        <v>1381</v>
      </c>
      <c r="AK18" s="331" t="s">
        <v>1382</v>
      </c>
      <c r="AL18" s="334" t="s">
        <v>1383</v>
      </c>
      <c r="AM18" s="343" t="s">
        <v>1384</v>
      </c>
    </row>
    <row r="19" spans="1:41" ht="16.5">
      <c r="A19" s="313" t="s">
        <v>1385</v>
      </c>
      <c r="B19" s="314" t="s">
        <v>1386</v>
      </c>
      <c r="C19" s="314" t="s">
        <v>1387</v>
      </c>
      <c r="D19" s="314" t="s">
        <v>1388</v>
      </c>
      <c r="E19" s="314" t="s">
        <v>1389</v>
      </c>
      <c r="F19" s="314" t="s">
        <v>1390</v>
      </c>
      <c r="G19" s="330" t="s">
        <v>1391</v>
      </c>
      <c r="H19" s="316" t="s">
        <v>1392</v>
      </c>
      <c r="I19" s="314" t="s">
        <v>1393</v>
      </c>
      <c r="J19" s="314" t="s">
        <v>1394</v>
      </c>
      <c r="K19" s="317" t="s">
        <v>1395</v>
      </c>
      <c r="L19" s="314" t="s">
        <v>1396</v>
      </c>
      <c r="M19" s="322" t="s">
        <v>1397</v>
      </c>
      <c r="N19" s="322" t="s">
        <v>1398</v>
      </c>
      <c r="O19" s="319" t="s">
        <v>1399</v>
      </c>
      <c r="P19" s="335" t="s">
        <v>1400</v>
      </c>
      <c r="Q19" s="321" t="s">
        <v>1401</v>
      </c>
      <c r="R19" s="322" t="s">
        <v>1402</v>
      </c>
      <c r="S19" s="323" t="s">
        <v>1403</v>
      </c>
      <c r="T19" s="314" t="s">
        <v>1404</v>
      </c>
      <c r="U19" s="344" t="s">
        <v>1405</v>
      </c>
      <c r="V19" s="314"/>
      <c r="W19" s="325" t="s">
        <v>1406</v>
      </c>
      <c r="X19" s="325" t="s">
        <v>1407</v>
      </c>
      <c r="Y19" s="345" t="s">
        <v>1408</v>
      </c>
      <c r="Z19" s="314"/>
      <c r="AA19" s="337"/>
      <c r="AB19" s="351"/>
      <c r="AC19" s="315" t="s">
        <v>1409</v>
      </c>
      <c r="AD19" s="331"/>
      <c r="AE19" s="317" t="s">
        <v>759</v>
      </c>
      <c r="AF19" s="314" t="s">
        <v>1410</v>
      </c>
      <c r="AG19" s="317" t="s">
        <v>1411</v>
      </c>
      <c r="AH19" s="317" t="s">
        <v>1412</v>
      </c>
      <c r="AI19" s="331" t="s">
        <v>1413</v>
      </c>
      <c r="AJ19" s="338" t="s">
        <v>1414</v>
      </c>
      <c r="AK19" s="331" t="s">
        <v>1415</v>
      </c>
      <c r="AL19" s="333" t="s">
        <v>1416</v>
      </c>
      <c r="AM19" s="334" t="s">
        <v>1417</v>
      </c>
    </row>
    <row r="20" spans="1:41" ht="16.5">
      <c r="A20" s="356"/>
      <c r="B20" s="319"/>
      <c r="C20" s="314"/>
      <c r="D20" s="314"/>
      <c r="E20" s="314"/>
      <c r="F20" s="314"/>
      <c r="G20" s="330" t="s">
        <v>1418</v>
      </c>
      <c r="H20" s="316"/>
      <c r="I20" s="314"/>
      <c r="J20" s="314"/>
      <c r="K20" s="302" t="s">
        <v>1419</v>
      </c>
      <c r="L20" s="314"/>
      <c r="M20" s="314"/>
      <c r="N20" s="357"/>
      <c r="O20" s="319" t="s">
        <v>1420</v>
      </c>
      <c r="P20" s="335"/>
      <c r="Q20" s="314"/>
      <c r="R20" s="322"/>
      <c r="S20" s="323"/>
      <c r="T20" s="314"/>
      <c r="U20" s="358">
        <v>34</v>
      </c>
      <c r="V20" s="314"/>
      <c r="W20" s="325"/>
      <c r="X20" s="325"/>
      <c r="Y20" s="325"/>
      <c r="Z20" s="314"/>
      <c r="AA20" s="359"/>
      <c r="AB20" s="352"/>
      <c r="AC20" s="331" t="s">
        <v>1421</v>
      </c>
      <c r="AD20" s="331"/>
      <c r="AE20" s="302" t="s">
        <v>760</v>
      </c>
      <c r="AF20" s="360" t="s">
        <v>1422</v>
      </c>
      <c r="AG20" s="302" t="s">
        <v>1423</v>
      </c>
      <c r="AH20" s="360"/>
      <c r="AI20" s="304" t="s">
        <v>1424</v>
      </c>
      <c r="AJ20" s="328" t="s">
        <v>1425</v>
      </c>
      <c r="AK20" s="331" t="s">
        <v>1426</v>
      </c>
      <c r="AL20" s="342" t="s">
        <v>1427</v>
      </c>
      <c r="AM20" s="343" t="s">
        <v>1428</v>
      </c>
    </row>
    <row r="21" spans="1:41" ht="16.5">
      <c r="A21" s="361" t="s">
        <v>1328</v>
      </c>
      <c r="B21" s="362" t="s">
        <v>1429</v>
      </c>
      <c r="C21" s="363" t="s">
        <v>1430</v>
      </c>
      <c r="D21" s="363" t="s">
        <v>1430</v>
      </c>
      <c r="E21" s="363" t="s">
        <v>1430</v>
      </c>
      <c r="F21" s="363" t="s">
        <v>1430</v>
      </c>
      <c r="G21" s="294" t="s">
        <v>1431</v>
      </c>
      <c r="H21" s="363" t="s">
        <v>1430</v>
      </c>
      <c r="I21" s="363" t="s">
        <v>1430</v>
      </c>
      <c r="J21" s="364" t="s">
        <v>1430</v>
      </c>
      <c r="K21" s="295" t="s">
        <v>1152</v>
      </c>
      <c r="L21" s="365" t="s">
        <v>1430</v>
      </c>
      <c r="M21" s="363" t="s">
        <v>1430</v>
      </c>
      <c r="N21" s="366" t="s">
        <v>1432</v>
      </c>
      <c r="O21" s="319" t="s">
        <v>1433</v>
      </c>
      <c r="P21" s="365" t="s">
        <v>1430</v>
      </c>
      <c r="Q21" s="363" t="s">
        <v>1430</v>
      </c>
      <c r="R21" s="364" t="s">
        <v>1430</v>
      </c>
      <c r="S21" s="367" t="s">
        <v>1430</v>
      </c>
      <c r="T21" s="363" t="s">
        <v>1430</v>
      </c>
      <c r="U21" s="316" t="s">
        <v>1154</v>
      </c>
      <c r="V21" s="363" t="s">
        <v>1430</v>
      </c>
      <c r="W21" s="363" t="s">
        <v>1430</v>
      </c>
      <c r="X21" s="363" t="s">
        <v>1430</v>
      </c>
      <c r="Y21" s="363" t="s">
        <v>1430</v>
      </c>
      <c r="Z21" s="293" t="s">
        <v>1432</v>
      </c>
      <c r="AA21" s="368" t="s">
        <v>1434</v>
      </c>
      <c r="AB21" s="294" t="s">
        <v>1435</v>
      </c>
      <c r="AC21" s="294" t="s">
        <v>1435</v>
      </c>
      <c r="AD21" s="294" t="s">
        <v>1436</v>
      </c>
      <c r="AE21" s="262" t="s">
        <v>1154</v>
      </c>
      <c r="AF21" s="366" t="s">
        <v>1154</v>
      </c>
      <c r="AG21" s="293" t="s">
        <v>1154</v>
      </c>
      <c r="AH21" s="369" t="s">
        <v>1432</v>
      </c>
      <c r="AI21" s="294" t="s">
        <v>1431</v>
      </c>
      <c r="AJ21" s="298" t="s">
        <v>1157</v>
      </c>
      <c r="AK21" s="297" t="s">
        <v>1157</v>
      </c>
      <c r="AL21" s="300"/>
      <c r="AM21" s="300" t="s">
        <v>1157</v>
      </c>
    </row>
    <row r="22" spans="1:41" ht="16.5">
      <c r="A22" s="370" t="s">
        <v>1158</v>
      </c>
      <c r="B22" s="317" t="s">
        <v>1158</v>
      </c>
      <c r="C22" s="371" t="s">
        <v>1437</v>
      </c>
      <c r="D22" s="319" t="s">
        <v>1437</v>
      </c>
      <c r="E22" s="319" t="s">
        <v>1437</v>
      </c>
      <c r="F22" s="319" t="s">
        <v>1437</v>
      </c>
      <c r="G22" s="330" t="s">
        <v>1438</v>
      </c>
      <c r="H22" s="319" t="s">
        <v>1437</v>
      </c>
      <c r="I22" s="319" t="s">
        <v>1437</v>
      </c>
      <c r="J22" s="372" t="s">
        <v>1437</v>
      </c>
      <c r="K22" s="350" t="s">
        <v>1164</v>
      </c>
      <c r="L22" s="373" t="s">
        <v>1437</v>
      </c>
      <c r="M22" s="319" t="s">
        <v>1437</v>
      </c>
      <c r="N22" s="316" t="s">
        <v>1160</v>
      </c>
      <c r="O22" s="319" t="s">
        <v>1439</v>
      </c>
      <c r="P22" s="319" t="s">
        <v>1437</v>
      </c>
      <c r="Q22" s="316" t="s">
        <v>1159</v>
      </c>
      <c r="R22" s="372" t="s">
        <v>1437</v>
      </c>
      <c r="S22" s="374" t="s">
        <v>1437</v>
      </c>
      <c r="T22" s="319" t="s">
        <v>1437</v>
      </c>
      <c r="U22" s="278" t="s">
        <v>1164</v>
      </c>
      <c r="V22" s="319" t="s">
        <v>1437</v>
      </c>
      <c r="W22" s="319" t="s">
        <v>1437</v>
      </c>
      <c r="X22" s="319" t="s">
        <v>1437</v>
      </c>
      <c r="Y22" s="319" t="s">
        <v>1437</v>
      </c>
      <c r="Z22" s="316" t="s">
        <v>1154</v>
      </c>
      <c r="AA22" s="375" t="s">
        <v>1440</v>
      </c>
      <c r="AB22" s="329" t="s">
        <v>1441</v>
      </c>
      <c r="AC22" s="315" t="s">
        <v>1442</v>
      </c>
      <c r="AD22" s="376" t="s">
        <v>1443</v>
      </c>
      <c r="AE22" s="377" t="s">
        <v>1164</v>
      </c>
      <c r="AF22" s="378" t="s">
        <v>1429</v>
      </c>
      <c r="AG22" s="278" t="s">
        <v>1164</v>
      </c>
      <c r="AH22" s="379" t="s">
        <v>1159</v>
      </c>
      <c r="AI22" s="331" t="s">
        <v>1444</v>
      </c>
      <c r="AJ22" s="348" t="s">
        <v>1166</v>
      </c>
      <c r="AK22" s="340" t="s">
        <v>1445</v>
      </c>
      <c r="AL22" s="349"/>
      <c r="AM22" s="349" t="s">
        <v>1166</v>
      </c>
    </row>
    <row r="23" spans="1:41" ht="16.5">
      <c r="A23" s="355"/>
      <c r="B23" s="319"/>
      <c r="C23" s="380"/>
      <c r="D23" s="314"/>
      <c r="E23" s="314"/>
      <c r="F23" s="314"/>
      <c r="G23" s="330" t="s">
        <v>1446</v>
      </c>
      <c r="H23" s="316"/>
      <c r="I23" s="314"/>
      <c r="J23" s="322"/>
      <c r="K23" s="314"/>
      <c r="L23" s="335"/>
      <c r="M23" s="314"/>
      <c r="N23" s="314"/>
      <c r="O23" s="319" t="s">
        <v>1447</v>
      </c>
      <c r="P23" s="314"/>
      <c r="Q23" s="321"/>
      <c r="R23" s="322"/>
      <c r="S23" s="323"/>
      <c r="T23" s="314"/>
      <c r="U23" s="314" t="s">
        <v>1448</v>
      </c>
      <c r="V23" s="314"/>
      <c r="W23" s="325"/>
      <c r="X23" s="325"/>
      <c r="Y23" s="325"/>
      <c r="Z23" s="321" t="s">
        <v>1449</v>
      </c>
      <c r="AA23" s="381" t="s">
        <v>1450</v>
      </c>
      <c r="AB23" s="315" t="s">
        <v>1451</v>
      </c>
      <c r="AC23" s="331" t="s">
        <v>1452</v>
      </c>
      <c r="AD23" s="324" t="s">
        <v>1453</v>
      </c>
      <c r="AE23" s="382" t="s">
        <v>1454</v>
      </c>
      <c r="AF23" s="322" t="s">
        <v>1455</v>
      </c>
      <c r="AG23" s="317" t="s">
        <v>1456</v>
      </c>
      <c r="AH23" s="317"/>
      <c r="AI23" s="331" t="s">
        <v>1457</v>
      </c>
      <c r="AJ23" s="341" t="s">
        <v>1458</v>
      </c>
      <c r="AK23" s="317" t="s">
        <v>1459</v>
      </c>
      <c r="AL23" s="383"/>
      <c r="AM23" s="339" t="s">
        <v>1460</v>
      </c>
    </row>
    <row r="24" spans="1:41" ht="16.5">
      <c r="A24" s="313" t="s">
        <v>1461</v>
      </c>
      <c r="B24" s="314" t="s">
        <v>1462</v>
      </c>
      <c r="C24" s="380" t="s">
        <v>1463</v>
      </c>
      <c r="D24" s="314" t="s">
        <v>1464</v>
      </c>
      <c r="E24" s="314" t="s">
        <v>1465</v>
      </c>
      <c r="F24" s="314" t="s">
        <v>1466</v>
      </c>
      <c r="G24" s="330" t="s">
        <v>1467</v>
      </c>
      <c r="H24" s="316" t="s">
        <v>1468</v>
      </c>
      <c r="I24" s="314" t="s">
        <v>1469</v>
      </c>
      <c r="J24" s="322" t="s">
        <v>1470</v>
      </c>
      <c r="K24" s="317" t="s">
        <v>1471</v>
      </c>
      <c r="L24" s="335"/>
      <c r="M24" s="314" t="s">
        <v>1472</v>
      </c>
      <c r="N24" s="314" t="s">
        <v>1473</v>
      </c>
      <c r="O24" s="319" t="s">
        <v>1474</v>
      </c>
      <c r="P24" s="314" t="s">
        <v>1475</v>
      </c>
      <c r="Q24" s="321" t="s">
        <v>1476</v>
      </c>
      <c r="R24" s="322" t="s">
        <v>1477</v>
      </c>
      <c r="S24" s="323" t="s">
        <v>1478</v>
      </c>
      <c r="T24" s="314" t="s">
        <v>1479</v>
      </c>
      <c r="U24" s="314" t="s">
        <v>1480</v>
      </c>
      <c r="V24" s="314" t="s">
        <v>1481</v>
      </c>
      <c r="W24" s="314" t="s">
        <v>1482</v>
      </c>
      <c r="X24" s="325" t="s">
        <v>1483</v>
      </c>
      <c r="Y24" s="345" t="s">
        <v>1484</v>
      </c>
      <c r="Z24" s="321" t="s">
        <v>1485</v>
      </c>
      <c r="AA24" s="337" t="s">
        <v>1486</v>
      </c>
      <c r="AB24" s="330" t="s">
        <v>1487</v>
      </c>
      <c r="AC24" s="315" t="s">
        <v>1488</v>
      </c>
      <c r="AD24" s="376" t="s">
        <v>1489</v>
      </c>
      <c r="AE24" s="382" t="s">
        <v>1490</v>
      </c>
      <c r="AF24" s="322" t="s">
        <v>1491</v>
      </c>
      <c r="AG24" s="317" t="s">
        <v>1492</v>
      </c>
      <c r="AH24" s="317" t="s">
        <v>1493</v>
      </c>
      <c r="AI24" s="331" t="s">
        <v>150</v>
      </c>
      <c r="AJ24" s="332" t="s">
        <v>1494</v>
      </c>
      <c r="AK24" s="317" t="s">
        <v>1495</v>
      </c>
      <c r="AL24" s="383"/>
      <c r="AM24" s="339" t="s">
        <v>1496</v>
      </c>
    </row>
    <row r="25" spans="1:41" ht="16.5">
      <c r="A25" s="355"/>
      <c r="B25" s="319"/>
      <c r="C25" s="380"/>
      <c r="D25" s="314"/>
      <c r="E25" s="314"/>
      <c r="F25" s="314"/>
      <c r="G25" s="288" t="s">
        <v>1497</v>
      </c>
      <c r="H25" s="316"/>
      <c r="I25" s="314"/>
      <c r="J25" s="322"/>
      <c r="K25" s="317" t="s">
        <v>1498</v>
      </c>
      <c r="L25" s="335"/>
      <c r="M25" s="314"/>
      <c r="N25" s="314"/>
      <c r="O25" s="365" t="s">
        <v>1430</v>
      </c>
      <c r="P25" s="314"/>
      <c r="Q25" s="321"/>
      <c r="R25" s="322"/>
      <c r="S25" s="323"/>
      <c r="T25" s="314"/>
      <c r="U25" s="314" t="s">
        <v>1499</v>
      </c>
      <c r="V25" s="314"/>
      <c r="W25" s="314"/>
      <c r="X25" s="325"/>
      <c r="Y25" s="325"/>
      <c r="Z25" s="321" t="s">
        <v>1500</v>
      </c>
      <c r="AA25" s="384" t="s">
        <v>1501</v>
      </c>
      <c r="AB25" s="330" t="s">
        <v>1502</v>
      </c>
      <c r="AC25" s="331" t="s">
        <v>1503</v>
      </c>
      <c r="AD25" s="324" t="s">
        <v>1504</v>
      </c>
      <c r="AE25" s="382" t="s">
        <v>1505</v>
      </c>
      <c r="AF25" s="322" t="s">
        <v>1506</v>
      </c>
      <c r="AG25" s="317" t="s">
        <v>1507</v>
      </c>
      <c r="AH25" s="317"/>
      <c r="AI25" s="288" t="s">
        <v>1497</v>
      </c>
      <c r="AJ25" s="332" t="s">
        <v>1508</v>
      </c>
      <c r="AK25" s="317" t="s">
        <v>1509</v>
      </c>
      <c r="AL25" s="383"/>
      <c r="AM25" s="329" t="s">
        <v>1510</v>
      </c>
    </row>
    <row r="26" spans="1:41" ht="16.5">
      <c r="A26" s="313" t="s">
        <v>1511</v>
      </c>
      <c r="B26" s="344" t="s">
        <v>1512</v>
      </c>
      <c r="C26" s="380" t="s">
        <v>1513</v>
      </c>
      <c r="D26" s="314" t="s">
        <v>1514</v>
      </c>
      <c r="E26" s="314" t="s">
        <v>1515</v>
      </c>
      <c r="F26" s="314" t="s">
        <v>1516</v>
      </c>
      <c r="G26" s="330" t="s">
        <v>1517</v>
      </c>
      <c r="H26" s="316" t="s">
        <v>1518</v>
      </c>
      <c r="I26" s="314" t="s">
        <v>1519</v>
      </c>
      <c r="J26" s="322" t="s">
        <v>1520</v>
      </c>
      <c r="K26" s="317" t="s">
        <v>1521</v>
      </c>
      <c r="L26" s="335" t="s">
        <v>1522</v>
      </c>
      <c r="M26" s="314" t="s">
        <v>1523</v>
      </c>
      <c r="N26" s="314" t="s">
        <v>1524</v>
      </c>
      <c r="O26" s="319" t="s">
        <v>1154</v>
      </c>
      <c r="P26" s="344" t="s">
        <v>1525</v>
      </c>
      <c r="Q26" s="321" t="s">
        <v>1526</v>
      </c>
      <c r="R26" s="322" t="s">
        <v>1527</v>
      </c>
      <c r="S26" s="323" t="s">
        <v>1528</v>
      </c>
      <c r="T26" s="314" t="s">
        <v>1529</v>
      </c>
      <c r="U26" s="344" t="s">
        <v>1530</v>
      </c>
      <c r="V26" s="314" t="s">
        <v>1531</v>
      </c>
      <c r="W26" s="314" t="s">
        <v>1532</v>
      </c>
      <c r="X26" s="325" t="s">
        <v>1533</v>
      </c>
      <c r="Y26" s="345" t="s">
        <v>1534</v>
      </c>
      <c r="Z26" s="327" t="s">
        <v>1535</v>
      </c>
      <c r="AA26" s="337" t="s">
        <v>1536</v>
      </c>
      <c r="AB26" s="331"/>
      <c r="AC26" s="331" t="s">
        <v>1537</v>
      </c>
      <c r="AD26" s="376" t="s">
        <v>1538</v>
      </c>
      <c r="AE26" s="382" t="s">
        <v>1539</v>
      </c>
      <c r="AF26" s="322" t="s">
        <v>1540</v>
      </c>
      <c r="AG26" s="317" t="s">
        <v>1541</v>
      </c>
      <c r="AH26" s="317" t="s">
        <v>1542</v>
      </c>
      <c r="AI26" s="331" t="s">
        <v>1543</v>
      </c>
      <c r="AJ26" s="338" t="s">
        <v>1544</v>
      </c>
      <c r="AK26" s="324" t="s">
        <v>1545</v>
      </c>
      <c r="AL26" s="383"/>
      <c r="AM26" s="339" t="s">
        <v>1546</v>
      </c>
    </row>
    <row r="27" spans="1:41" ht="16.5">
      <c r="A27" s="313"/>
      <c r="B27" s="319"/>
      <c r="C27" s="380"/>
      <c r="D27" s="314"/>
      <c r="E27" s="314"/>
      <c r="F27" s="314"/>
      <c r="G27" s="330" t="s">
        <v>1547</v>
      </c>
      <c r="H27" s="316"/>
      <c r="I27" s="314"/>
      <c r="J27" s="322"/>
      <c r="K27" s="317" t="s">
        <v>1548</v>
      </c>
      <c r="L27" s="335"/>
      <c r="M27" s="314"/>
      <c r="N27" s="314"/>
      <c r="O27" s="319" t="s">
        <v>1549</v>
      </c>
      <c r="P27" s="314"/>
      <c r="Q27" s="321"/>
      <c r="R27" s="322"/>
      <c r="S27" s="323"/>
      <c r="T27" s="314"/>
      <c r="U27" s="316"/>
      <c r="V27" s="314"/>
      <c r="W27" s="314"/>
      <c r="X27" s="325"/>
      <c r="Y27" s="325"/>
      <c r="Z27" s="321" t="s">
        <v>1550</v>
      </c>
      <c r="AA27" s="337" t="s">
        <v>1551</v>
      </c>
      <c r="AB27" s="331"/>
      <c r="AD27" s="376" t="s">
        <v>1552</v>
      </c>
      <c r="AE27" s="382" t="s">
        <v>1553</v>
      </c>
      <c r="AF27" s="322" t="s">
        <v>1554</v>
      </c>
      <c r="AG27" s="278" t="s">
        <v>1335</v>
      </c>
      <c r="AH27" s="317"/>
      <c r="AI27" s="331" t="s">
        <v>1555</v>
      </c>
      <c r="AJ27" s="338" t="s">
        <v>1556</v>
      </c>
      <c r="AK27" s="317" t="s">
        <v>1557</v>
      </c>
      <c r="AL27" s="383"/>
      <c r="AM27" s="343" t="s">
        <v>1558</v>
      </c>
    </row>
    <row r="28" spans="1:41" ht="16.5">
      <c r="A28" s="313" t="s">
        <v>1559</v>
      </c>
      <c r="B28" s="314" t="s">
        <v>1560</v>
      </c>
      <c r="C28" s="380" t="s">
        <v>1561</v>
      </c>
      <c r="D28" s="314" t="s">
        <v>1562</v>
      </c>
      <c r="E28" s="314" t="s">
        <v>1563</v>
      </c>
      <c r="F28" s="314" t="s">
        <v>1564</v>
      </c>
      <c r="G28" s="288" t="s">
        <v>1565</v>
      </c>
      <c r="H28" s="316" t="s">
        <v>1566</v>
      </c>
      <c r="I28" s="314" t="s">
        <v>1567</v>
      </c>
      <c r="J28" s="322" t="s">
        <v>1568</v>
      </c>
      <c r="K28" s="350" t="s">
        <v>1335</v>
      </c>
      <c r="L28" s="335" t="s">
        <v>1569</v>
      </c>
      <c r="M28" s="314" t="s">
        <v>1570</v>
      </c>
      <c r="N28" s="314" t="s">
        <v>1571</v>
      </c>
      <c r="O28" s="319" t="s">
        <v>1572</v>
      </c>
      <c r="P28" s="344" t="s">
        <v>1573</v>
      </c>
      <c r="Q28" s="321" t="s">
        <v>1574</v>
      </c>
      <c r="R28" s="322" t="s">
        <v>1575</v>
      </c>
      <c r="S28" s="323" t="s">
        <v>1576</v>
      </c>
      <c r="T28" s="314" t="s">
        <v>1577</v>
      </c>
      <c r="U28" s="278" t="s">
        <v>1335</v>
      </c>
      <c r="V28" s="314" t="s">
        <v>1578</v>
      </c>
      <c r="W28" s="314" t="s">
        <v>1579</v>
      </c>
      <c r="X28" s="325" t="s">
        <v>1580</v>
      </c>
      <c r="Y28" s="345" t="s">
        <v>1581</v>
      </c>
      <c r="Z28" s="321" t="s">
        <v>1582</v>
      </c>
      <c r="AA28" s="381" t="s">
        <v>1583</v>
      </c>
      <c r="AB28" s="288" t="s">
        <v>1584</v>
      </c>
      <c r="AC28" s="288" t="s">
        <v>1584</v>
      </c>
      <c r="AD28" s="376" t="s">
        <v>1585</v>
      </c>
      <c r="AE28" s="377" t="s">
        <v>1335</v>
      </c>
      <c r="AF28" s="378" t="s">
        <v>1586</v>
      </c>
      <c r="AG28" s="317" t="s">
        <v>1587</v>
      </c>
      <c r="AH28" s="317" t="s">
        <v>1588</v>
      </c>
      <c r="AI28" s="288" t="s">
        <v>1565</v>
      </c>
      <c r="AJ28" s="348" t="s">
        <v>1326</v>
      </c>
      <c r="AK28" s="331" t="s">
        <v>1589</v>
      </c>
      <c r="AL28" s="343"/>
      <c r="AM28" s="349" t="s">
        <v>1326</v>
      </c>
      <c r="AN28" s="385"/>
      <c r="AO28" s="259"/>
    </row>
    <row r="29" spans="1:41" ht="16.5">
      <c r="A29" s="386"/>
      <c r="B29" s="314"/>
      <c r="C29" s="387"/>
      <c r="D29" s="314"/>
      <c r="E29" s="314"/>
      <c r="F29" s="314"/>
      <c r="G29" s="330" t="s">
        <v>1590</v>
      </c>
      <c r="H29" s="316"/>
      <c r="I29" s="314"/>
      <c r="J29" s="322"/>
      <c r="K29" s="317" t="s">
        <v>1591</v>
      </c>
      <c r="L29" s="335"/>
      <c r="M29" s="314"/>
      <c r="N29" s="314"/>
      <c r="O29" s="319" t="s">
        <v>1592</v>
      </c>
      <c r="P29" s="314"/>
      <c r="Q29" s="321"/>
      <c r="R29" s="322"/>
      <c r="S29" s="323"/>
      <c r="T29" s="314"/>
      <c r="U29" s="314" t="s">
        <v>1593</v>
      </c>
      <c r="V29" s="314"/>
      <c r="W29" s="314"/>
      <c r="X29" s="325"/>
      <c r="Y29" s="325"/>
      <c r="Z29" s="321"/>
      <c r="AA29" s="375"/>
      <c r="AB29" s="376" t="s">
        <v>1594</v>
      </c>
      <c r="AC29" s="315" t="s">
        <v>1595</v>
      </c>
      <c r="AD29" s="376" t="s">
        <v>1596</v>
      </c>
      <c r="AE29" s="382" t="s">
        <v>1597</v>
      </c>
      <c r="AF29" s="322" t="s">
        <v>1598</v>
      </c>
      <c r="AG29" s="324" t="s">
        <v>1599</v>
      </c>
      <c r="AH29" s="317"/>
      <c r="AI29" s="331" t="s">
        <v>1600</v>
      </c>
      <c r="AJ29" s="332" t="s">
        <v>1601</v>
      </c>
      <c r="AK29" s="317" t="s">
        <v>1602</v>
      </c>
      <c r="AL29" s="383"/>
      <c r="AM29" s="334" t="s">
        <v>1603</v>
      </c>
    </row>
    <row r="30" spans="1:41" ht="16.5">
      <c r="A30" s="347" t="s">
        <v>1604</v>
      </c>
      <c r="B30" s="314" t="s">
        <v>1605</v>
      </c>
      <c r="C30" s="380" t="s">
        <v>1606</v>
      </c>
      <c r="D30" s="314" t="s">
        <v>1607</v>
      </c>
      <c r="E30" s="314" t="s">
        <v>1608</v>
      </c>
      <c r="F30" s="314" t="s">
        <v>1609</v>
      </c>
      <c r="G30" s="315" t="s">
        <v>1610</v>
      </c>
      <c r="H30" s="316" t="s">
        <v>1611</v>
      </c>
      <c r="I30" s="314" t="s">
        <v>1612</v>
      </c>
      <c r="J30" s="322" t="s">
        <v>1613</v>
      </c>
      <c r="K30" s="317" t="s">
        <v>1614</v>
      </c>
      <c r="L30" s="335" t="s">
        <v>1615</v>
      </c>
      <c r="M30" s="314" t="s">
        <v>1616</v>
      </c>
      <c r="N30" s="314" t="s">
        <v>1617</v>
      </c>
      <c r="O30" s="319" t="s">
        <v>1618</v>
      </c>
      <c r="P30" s="314" t="s">
        <v>1619</v>
      </c>
      <c r="Q30" s="321" t="s">
        <v>1620</v>
      </c>
      <c r="R30" s="322" t="s">
        <v>1621</v>
      </c>
      <c r="S30" s="323" t="s">
        <v>1622</v>
      </c>
      <c r="T30" s="314" t="s">
        <v>1623</v>
      </c>
      <c r="U30" s="314" t="s">
        <v>1624</v>
      </c>
      <c r="V30" s="314" t="s">
        <v>1625</v>
      </c>
      <c r="W30" s="314" t="s">
        <v>1626</v>
      </c>
      <c r="X30" s="325" t="s">
        <v>1627</v>
      </c>
      <c r="Y30" s="326" t="s">
        <v>1628</v>
      </c>
      <c r="Z30" s="314"/>
      <c r="AA30" s="337"/>
      <c r="AB30" s="324" t="s">
        <v>1629</v>
      </c>
      <c r="AC30" s="331" t="s">
        <v>1630</v>
      </c>
      <c r="AD30" s="331"/>
      <c r="AE30" s="382" t="s">
        <v>1631</v>
      </c>
      <c r="AF30" s="322" t="s">
        <v>1632</v>
      </c>
      <c r="AG30" s="317" t="s">
        <v>1633</v>
      </c>
      <c r="AH30" s="317" t="s">
        <v>1634</v>
      </c>
      <c r="AI30" s="331" t="s">
        <v>1635</v>
      </c>
      <c r="AJ30" s="354" t="s">
        <v>1636</v>
      </c>
      <c r="AK30" s="317" t="s">
        <v>1637</v>
      </c>
      <c r="AL30" s="383"/>
      <c r="AM30" s="343" t="s">
        <v>1638</v>
      </c>
    </row>
    <row r="31" spans="1:41" ht="16.5">
      <c r="A31" s="355"/>
      <c r="B31" s="314"/>
      <c r="C31" s="387"/>
      <c r="D31" s="314"/>
      <c r="E31" s="314"/>
      <c r="F31" s="314"/>
      <c r="G31" s="288" t="s">
        <v>1639</v>
      </c>
      <c r="H31" s="316"/>
      <c r="I31" s="314"/>
      <c r="J31" s="322"/>
      <c r="K31" s="317" t="s">
        <v>1640</v>
      </c>
      <c r="L31" s="335"/>
      <c r="M31" s="314"/>
      <c r="N31" s="314"/>
      <c r="O31" s="319" t="s">
        <v>1641</v>
      </c>
      <c r="P31" s="314"/>
      <c r="Q31" s="314"/>
      <c r="R31" s="322"/>
      <c r="S31" s="323"/>
      <c r="T31" s="314"/>
      <c r="U31" s="344" t="s">
        <v>1642</v>
      </c>
      <c r="V31" s="314"/>
      <c r="W31" s="314"/>
      <c r="X31" s="325"/>
      <c r="Y31" s="325"/>
      <c r="Z31" s="314"/>
      <c r="AA31" s="337"/>
      <c r="AB31" s="329" t="s">
        <v>1643</v>
      </c>
      <c r="AC31" s="331" t="s">
        <v>1644</v>
      </c>
      <c r="AD31" s="288"/>
      <c r="AE31" s="382" t="s">
        <v>1645</v>
      </c>
      <c r="AF31" s="322" t="s">
        <v>1646</v>
      </c>
      <c r="AG31" s="317" t="s">
        <v>1647</v>
      </c>
      <c r="AH31" s="316"/>
      <c r="AI31" s="288" t="s">
        <v>1639</v>
      </c>
      <c r="AJ31" s="332" t="s">
        <v>1648</v>
      </c>
      <c r="AK31" s="317" t="s">
        <v>1649</v>
      </c>
      <c r="AL31" s="383"/>
      <c r="AM31" s="339" t="s">
        <v>1650</v>
      </c>
    </row>
    <row r="32" spans="1:41" ht="16.5">
      <c r="A32" s="313" t="s">
        <v>1651</v>
      </c>
      <c r="B32" s="344" t="s">
        <v>1652</v>
      </c>
      <c r="C32" s="380" t="s">
        <v>1653</v>
      </c>
      <c r="D32" s="314" t="s">
        <v>1654</v>
      </c>
      <c r="E32" s="314" t="s">
        <v>1655</v>
      </c>
      <c r="F32" s="314" t="s">
        <v>1656</v>
      </c>
      <c r="G32" s="330" t="s">
        <v>1657</v>
      </c>
      <c r="H32" s="316" t="s">
        <v>1658</v>
      </c>
      <c r="I32" s="314" t="s">
        <v>1659</v>
      </c>
      <c r="J32" s="322" t="s">
        <v>1660</v>
      </c>
      <c r="K32" s="317" t="s">
        <v>1661</v>
      </c>
      <c r="L32" s="335" t="s">
        <v>1662</v>
      </c>
      <c r="M32" s="314" t="s">
        <v>1663</v>
      </c>
      <c r="N32" s="314" t="s">
        <v>1664</v>
      </c>
      <c r="O32" s="319" t="s">
        <v>1665</v>
      </c>
      <c r="P32" s="314" t="s">
        <v>1666</v>
      </c>
      <c r="Q32" s="321" t="s">
        <v>1667</v>
      </c>
      <c r="R32" s="322" t="s">
        <v>1668</v>
      </c>
      <c r="S32" s="323" t="s">
        <v>1669</v>
      </c>
      <c r="T32" s="314" t="s">
        <v>1670</v>
      </c>
      <c r="U32" s="314" t="s">
        <v>1671</v>
      </c>
      <c r="V32" s="314" t="s">
        <v>1672</v>
      </c>
      <c r="W32" s="314" t="s">
        <v>1673</v>
      </c>
      <c r="X32" s="325" t="s">
        <v>1674</v>
      </c>
      <c r="Y32" s="345" t="s">
        <v>1675</v>
      </c>
      <c r="Z32" s="314"/>
      <c r="AA32" s="337"/>
      <c r="AB32" s="329" t="s">
        <v>1676</v>
      </c>
      <c r="AC32" s="331" t="s">
        <v>1677</v>
      </c>
      <c r="AD32" s="331"/>
      <c r="AE32" s="382" t="s">
        <v>1678</v>
      </c>
      <c r="AF32" s="322" t="s">
        <v>1679</v>
      </c>
      <c r="AG32" s="317" t="s">
        <v>1680</v>
      </c>
      <c r="AH32" s="317" t="s">
        <v>1681</v>
      </c>
      <c r="AI32" s="331" t="s">
        <v>1682</v>
      </c>
      <c r="AJ32" s="341" t="s">
        <v>1683</v>
      </c>
      <c r="AK32" s="317" t="s">
        <v>1684</v>
      </c>
      <c r="AL32" s="383"/>
      <c r="AM32" s="343" t="s">
        <v>1685</v>
      </c>
    </row>
    <row r="33" spans="1:45" ht="16.5">
      <c r="A33" s="313"/>
      <c r="B33" s="314"/>
      <c r="C33" s="314"/>
      <c r="D33" s="314"/>
      <c r="E33" s="314"/>
      <c r="F33" s="314"/>
      <c r="G33" s="330" t="s">
        <v>1686</v>
      </c>
      <c r="H33" s="317"/>
      <c r="I33" s="314"/>
      <c r="J33" s="322"/>
      <c r="K33" s="317" t="s">
        <v>1687</v>
      </c>
      <c r="L33" s="335"/>
      <c r="M33" s="314"/>
      <c r="N33" s="314"/>
      <c r="O33" s="314"/>
      <c r="P33" s="314"/>
      <c r="Q33" s="321"/>
      <c r="R33" s="322"/>
      <c r="S33" s="323"/>
      <c r="T33" s="314"/>
      <c r="U33" s="344">
        <v>39</v>
      </c>
      <c r="V33" s="314"/>
      <c r="W33" s="314"/>
      <c r="X33" s="325"/>
      <c r="Y33" s="325"/>
      <c r="Z33" s="314"/>
      <c r="AA33" s="375"/>
      <c r="AB33" s="331"/>
      <c r="AC33" s="331" t="s">
        <v>1688</v>
      </c>
      <c r="AD33" s="331"/>
      <c r="AE33" s="382" t="s">
        <v>1689</v>
      </c>
      <c r="AF33" s="322"/>
      <c r="AG33" s="317" t="s">
        <v>1690</v>
      </c>
      <c r="AH33" s="383"/>
      <c r="AI33" s="331" t="s">
        <v>1691</v>
      </c>
      <c r="AJ33" s="388" t="s">
        <v>1692</v>
      </c>
      <c r="AK33" s="317" t="s">
        <v>1693</v>
      </c>
      <c r="AL33" s="383"/>
      <c r="AM33" s="339" t="s">
        <v>1694</v>
      </c>
    </row>
    <row r="34" spans="1:45">
      <c r="A34" s="356"/>
      <c r="B34" s="314"/>
      <c r="C34" s="360"/>
      <c r="D34" s="360"/>
      <c r="E34" s="360"/>
      <c r="F34" s="360"/>
      <c r="G34" s="389" t="s">
        <v>1695</v>
      </c>
      <c r="H34" s="302"/>
      <c r="I34" s="360"/>
      <c r="J34" s="357"/>
      <c r="K34" s="302"/>
      <c r="L34" s="390"/>
      <c r="M34" s="360"/>
      <c r="N34" s="360"/>
      <c r="O34" s="360"/>
      <c r="P34" s="360"/>
      <c r="Q34" s="360"/>
      <c r="R34" s="357"/>
      <c r="S34" s="391"/>
      <c r="T34" s="360"/>
      <c r="U34" s="392">
        <v>40</v>
      </c>
      <c r="V34" s="360"/>
      <c r="W34" s="393"/>
      <c r="X34" s="393"/>
      <c r="Y34" s="393"/>
      <c r="Z34" s="360"/>
      <c r="AA34" s="394"/>
      <c r="AB34" s="304"/>
      <c r="AC34" s="360"/>
      <c r="AD34" s="304"/>
      <c r="AE34" s="382"/>
      <c r="AF34" s="357"/>
      <c r="AG34" s="302"/>
      <c r="AH34" s="395"/>
      <c r="AI34" s="331" t="s">
        <v>1696</v>
      </c>
      <c r="AJ34" s="396"/>
      <c r="AK34" s="304"/>
      <c r="AL34" s="397"/>
      <c r="AM34" s="397"/>
    </row>
    <row r="35" spans="1:45" ht="16.5">
      <c r="A35" s="398" t="s">
        <v>1164</v>
      </c>
      <c r="B35" s="292" t="s">
        <v>1697</v>
      </c>
      <c r="C35" s="319" t="s">
        <v>1698</v>
      </c>
      <c r="D35" s="363" t="s">
        <v>1699</v>
      </c>
      <c r="E35" s="314"/>
      <c r="F35" s="319" t="s">
        <v>1698</v>
      </c>
      <c r="G35" s="399"/>
      <c r="H35" s="319" t="s">
        <v>1698</v>
      </c>
      <c r="I35" s="319" t="s">
        <v>1698</v>
      </c>
      <c r="J35" s="319" t="s">
        <v>1698</v>
      </c>
      <c r="K35" s="314"/>
      <c r="L35" s="319" t="s">
        <v>1700</v>
      </c>
      <c r="M35" s="319" t="s">
        <v>1701</v>
      </c>
      <c r="N35" s="363" t="s">
        <v>1702</v>
      </c>
      <c r="O35" s="363" t="s">
        <v>1703</v>
      </c>
      <c r="P35" s="363" t="s">
        <v>1698</v>
      </c>
      <c r="Q35" s="319" t="s">
        <v>1698</v>
      </c>
      <c r="R35" s="372" t="s">
        <v>1698</v>
      </c>
      <c r="S35" s="313"/>
      <c r="T35" s="319" t="s">
        <v>1698</v>
      </c>
      <c r="U35" s="319"/>
      <c r="V35" s="319" t="s">
        <v>1698</v>
      </c>
      <c r="W35" s="319" t="s">
        <v>1698</v>
      </c>
      <c r="X35" s="319" t="s">
        <v>1698</v>
      </c>
      <c r="Y35" s="319" t="s">
        <v>1698</v>
      </c>
      <c r="Z35" s="278" t="s">
        <v>1429</v>
      </c>
      <c r="AA35" s="368" t="s">
        <v>1704</v>
      </c>
      <c r="AB35" s="343"/>
      <c r="AC35" s="294" t="s">
        <v>1705</v>
      </c>
      <c r="AD35" s="399"/>
      <c r="AE35" s="400"/>
      <c r="AF35" s="278"/>
      <c r="AG35" s="278"/>
      <c r="AH35" s="369" t="s">
        <v>1706</v>
      </c>
      <c r="AI35" s="297"/>
      <c r="AJ35" s="401"/>
      <c r="AK35" s="399"/>
      <c r="AL35" s="402"/>
      <c r="AM35" s="402"/>
    </row>
    <row r="36" spans="1:45">
      <c r="A36" s="370" t="s">
        <v>1158</v>
      </c>
      <c r="B36" s="317" t="s">
        <v>1158</v>
      </c>
      <c r="C36" s="319" t="s">
        <v>1437</v>
      </c>
      <c r="D36" s="319" t="s">
        <v>1707</v>
      </c>
      <c r="E36" s="314"/>
      <c r="F36" s="319" t="s">
        <v>1437</v>
      </c>
      <c r="G36" s="351"/>
      <c r="H36" s="319" t="s">
        <v>1437</v>
      </c>
      <c r="I36" s="319" t="s">
        <v>1437</v>
      </c>
      <c r="J36" s="319" t="s">
        <v>1437</v>
      </c>
      <c r="K36" s="314"/>
      <c r="L36" s="319" t="s">
        <v>1159</v>
      </c>
      <c r="M36" s="403" t="s">
        <v>1708</v>
      </c>
      <c r="N36" s="319" t="s">
        <v>1437</v>
      </c>
      <c r="O36" s="319" t="s">
        <v>1154</v>
      </c>
      <c r="P36" s="319" t="s">
        <v>1437</v>
      </c>
      <c r="Q36" s="379" t="s">
        <v>1159</v>
      </c>
      <c r="R36" s="372" t="s">
        <v>1437</v>
      </c>
      <c r="S36" s="313"/>
      <c r="T36" s="319" t="s">
        <v>1437</v>
      </c>
      <c r="U36" s="319"/>
      <c r="V36" s="319" t="s">
        <v>1437</v>
      </c>
      <c r="W36" s="319" t="s">
        <v>1437</v>
      </c>
      <c r="X36" s="319" t="s">
        <v>1437</v>
      </c>
      <c r="Y36" s="319" t="s">
        <v>1437</v>
      </c>
      <c r="Z36" s="404" t="s">
        <v>1158</v>
      </c>
      <c r="AA36" s="375" t="s">
        <v>1440</v>
      </c>
      <c r="AB36" s="405"/>
      <c r="AC36" s="331" t="s">
        <v>1709</v>
      </c>
      <c r="AD36" s="351"/>
      <c r="AE36" s="366"/>
      <c r="AF36" s="404"/>
      <c r="AG36" s="404"/>
      <c r="AH36" s="379" t="s">
        <v>1159</v>
      </c>
      <c r="AI36" s="351"/>
      <c r="AJ36" s="406"/>
      <c r="AK36" s="351"/>
      <c r="AL36" s="351"/>
      <c r="AM36" s="351"/>
    </row>
    <row r="37" spans="1:45" ht="16.5">
      <c r="A37" s="355"/>
      <c r="B37" s="319"/>
      <c r="C37" s="322"/>
      <c r="D37" s="335"/>
      <c r="E37" s="314"/>
      <c r="F37" s="314">
        <v>35</v>
      </c>
      <c r="G37" s="351"/>
      <c r="H37" s="316"/>
      <c r="I37" s="314"/>
      <c r="J37" s="314"/>
      <c r="K37" s="314"/>
      <c r="L37" s="314"/>
      <c r="M37" s="314"/>
      <c r="N37" s="314"/>
      <c r="O37" s="314"/>
      <c r="P37" s="314"/>
      <c r="Q37" s="407"/>
      <c r="R37" s="322" t="s">
        <v>1710</v>
      </c>
      <c r="S37" s="313"/>
      <c r="T37" s="314"/>
      <c r="U37" s="314"/>
      <c r="V37" s="314"/>
      <c r="W37" s="325"/>
      <c r="X37" s="325"/>
      <c r="Y37" s="325"/>
      <c r="Z37" s="408"/>
      <c r="AA37" s="409" t="s">
        <v>1711</v>
      </c>
      <c r="AB37" s="343"/>
      <c r="AC37" s="331" t="s">
        <v>1712</v>
      </c>
      <c r="AD37" s="351"/>
      <c r="AE37" s="410"/>
      <c r="AF37" s="408"/>
      <c r="AG37" s="408"/>
      <c r="AH37" s="317"/>
      <c r="AI37" s="331"/>
      <c r="AJ37" s="411"/>
      <c r="AK37" s="343"/>
      <c r="AL37" s="351"/>
      <c r="AM37" s="351"/>
    </row>
    <row r="38" spans="1:45" ht="16.5">
      <c r="A38" s="313" t="s">
        <v>1713</v>
      </c>
      <c r="B38" s="314" t="s">
        <v>1714</v>
      </c>
      <c r="C38" s="314" t="s">
        <v>1715</v>
      </c>
      <c r="D38" s="314" t="s">
        <v>1716</v>
      </c>
      <c r="E38" s="314"/>
      <c r="F38" s="412">
        <v>36</v>
      </c>
      <c r="G38" s="351"/>
      <c r="H38" s="316" t="s">
        <v>1717</v>
      </c>
      <c r="I38" s="314" t="s">
        <v>1718</v>
      </c>
      <c r="J38" s="314" t="s">
        <v>1719</v>
      </c>
      <c r="K38" s="314"/>
      <c r="L38" s="314" t="s">
        <v>1720</v>
      </c>
      <c r="M38" s="344" t="s">
        <v>1721</v>
      </c>
      <c r="N38" s="314" t="s">
        <v>1722</v>
      </c>
      <c r="O38" s="319" t="s">
        <v>1723</v>
      </c>
      <c r="P38" s="344" t="s">
        <v>1724</v>
      </c>
      <c r="Q38" s="407" t="s">
        <v>1725</v>
      </c>
      <c r="R38" s="322" t="s">
        <v>1726</v>
      </c>
      <c r="S38" s="313"/>
      <c r="T38" s="314" t="s">
        <v>1727</v>
      </c>
      <c r="U38" s="314"/>
      <c r="V38" s="314" t="s">
        <v>1728</v>
      </c>
      <c r="W38" s="325" t="s">
        <v>1729</v>
      </c>
      <c r="X38" s="325" t="s">
        <v>1730</v>
      </c>
      <c r="Y38" s="345" t="s">
        <v>1731</v>
      </c>
      <c r="Z38" s="321" t="s">
        <v>1732</v>
      </c>
      <c r="AA38" s="413" t="s">
        <v>1733</v>
      </c>
      <c r="AB38" s="343"/>
      <c r="AC38" s="329" t="s">
        <v>1734</v>
      </c>
      <c r="AD38" s="351"/>
      <c r="AE38" s="410"/>
      <c r="AF38" s="321"/>
      <c r="AG38" s="321"/>
      <c r="AH38" s="317" t="s">
        <v>1735</v>
      </c>
      <c r="AI38" s="331"/>
      <c r="AJ38" s="414"/>
      <c r="AK38" s="343"/>
      <c r="AL38" s="331"/>
      <c r="AM38" s="351"/>
    </row>
    <row r="39" spans="1:45" ht="18.75" customHeight="1">
      <c r="A39" s="355"/>
      <c r="B39" s="319"/>
      <c r="C39" s="314"/>
      <c r="D39" s="314"/>
      <c r="E39" s="314"/>
      <c r="F39" s="412">
        <v>37</v>
      </c>
      <c r="G39" s="351"/>
      <c r="H39" s="316"/>
      <c r="I39" s="314"/>
      <c r="J39" s="314"/>
      <c r="K39" s="314"/>
      <c r="L39" s="314"/>
      <c r="M39" s="314"/>
      <c r="N39" s="314"/>
      <c r="O39" s="319" t="s">
        <v>1736</v>
      </c>
      <c r="P39" s="314"/>
      <c r="Q39" s="407"/>
      <c r="R39" s="322" t="s">
        <v>1737</v>
      </c>
      <c r="S39" s="313"/>
      <c r="T39" s="314"/>
      <c r="U39" s="314"/>
      <c r="V39" s="314"/>
      <c r="W39" s="325"/>
      <c r="X39" s="325"/>
      <c r="Y39" s="325"/>
      <c r="Z39" s="321" t="s">
        <v>1738</v>
      </c>
      <c r="AA39" s="413" t="s">
        <v>1739</v>
      </c>
      <c r="AB39" s="343"/>
      <c r="AC39" s="315" t="s">
        <v>1740</v>
      </c>
      <c r="AD39" s="351"/>
      <c r="AE39" s="410"/>
      <c r="AF39" s="321"/>
      <c r="AG39" s="321"/>
      <c r="AH39" s="317"/>
      <c r="AI39" s="331"/>
      <c r="AJ39" s="414"/>
      <c r="AK39" s="343"/>
      <c r="AL39" s="331"/>
      <c r="AM39" s="351"/>
      <c r="AR39" s="234"/>
      <c r="AS39" s="234"/>
    </row>
    <row r="40" spans="1:45" ht="16.5">
      <c r="A40" s="313" t="s">
        <v>1741</v>
      </c>
      <c r="B40" s="314" t="s">
        <v>1742</v>
      </c>
      <c r="C40" s="314" t="s">
        <v>1743</v>
      </c>
      <c r="D40" s="314" t="s">
        <v>1744</v>
      </c>
      <c r="E40" s="314"/>
      <c r="F40" s="412">
        <v>38</v>
      </c>
      <c r="G40" s="351"/>
      <c r="H40" s="316" t="s">
        <v>1745</v>
      </c>
      <c r="I40" s="314" t="s">
        <v>1746</v>
      </c>
      <c r="J40" s="314" t="s">
        <v>1747</v>
      </c>
      <c r="K40" s="314"/>
      <c r="L40" s="314" t="s">
        <v>1748</v>
      </c>
      <c r="M40" s="314"/>
      <c r="N40" s="314" t="s">
        <v>1749</v>
      </c>
      <c r="O40" s="319" t="s">
        <v>1750</v>
      </c>
      <c r="P40" s="314" t="s">
        <v>1751</v>
      </c>
      <c r="Q40" s="407" t="s">
        <v>1752</v>
      </c>
      <c r="R40" s="322" t="s">
        <v>1753</v>
      </c>
      <c r="S40" s="313"/>
      <c r="T40" s="314" t="s">
        <v>1754</v>
      </c>
      <c r="U40" s="314"/>
      <c r="V40" s="314" t="s">
        <v>1755</v>
      </c>
      <c r="W40" s="325" t="s">
        <v>1756</v>
      </c>
      <c r="X40" s="325" t="s">
        <v>1757</v>
      </c>
      <c r="Y40" s="345" t="s">
        <v>1758</v>
      </c>
      <c r="Z40" s="321" t="s">
        <v>1759</v>
      </c>
      <c r="AA40" s="415" t="s">
        <v>1760</v>
      </c>
      <c r="AB40" s="343"/>
      <c r="AC40" s="331" t="s">
        <v>1761</v>
      </c>
      <c r="AD40" s="351"/>
      <c r="AE40" s="410"/>
      <c r="AF40" s="321"/>
      <c r="AG40" s="321"/>
      <c r="AH40" s="317" t="s">
        <v>1762</v>
      </c>
      <c r="AI40" s="331"/>
      <c r="AJ40" s="414"/>
      <c r="AK40" s="343"/>
      <c r="AL40" s="331"/>
      <c r="AM40" s="351"/>
      <c r="AR40" s="416"/>
      <c r="AS40" s="416"/>
    </row>
    <row r="41" spans="1:45" ht="16.5">
      <c r="A41" s="355"/>
      <c r="B41" s="314"/>
      <c r="C41" s="314"/>
      <c r="D41" s="314"/>
      <c r="E41" s="314"/>
      <c r="F41" s="314">
        <v>39</v>
      </c>
      <c r="G41" s="351"/>
      <c r="H41" s="316"/>
      <c r="I41" s="314"/>
      <c r="J41" s="314"/>
      <c r="K41" s="314"/>
      <c r="L41" s="314"/>
      <c r="M41" s="314"/>
      <c r="N41" s="314"/>
      <c r="O41" s="319" t="s">
        <v>1763</v>
      </c>
      <c r="P41" s="314"/>
      <c r="Q41" s="407"/>
      <c r="R41" s="322" t="s">
        <v>1764</v>
      </c>
      <c r="S41" s="313"/>
      <c r="T41" s="314"/>
      <c r="U41" s="314"/>
      <c r="V41" s="314"/>
      <c r="W41" s="325"/>
      <c r="X41" s="325"/>
      <c r="Y41" s="325"/>
      <c r="Z41" s="408"/>
      <c r="AA41" s="415" t="s">
        <v>1765</v>
      </c>
      <c r="AB41" s="343"/>
      <c r="AD41" s="417"/>
      <c r="AE41" s="410"/>
      <c r="AF41" s="408"/>
      <c r="AG41" s="408"/>
      <c r="AH41" s="317"/>
      <c r="AI41" s="331"/>
      <c r="AJ41" s="414"/>
      <c r="AK41" s="343"/>
      <c r="AL41" s="331"/>
      <c r="AM41" s="351"/>
      <c r="AR41" s="416"/>
      <c r="AS41" s="416"/>
    </row>
    <row r="42" spans="1:45" ht="16.5">
      <c r="A42" s="313" t="s">
        <v>1766</v>
      </c>
      <c r="B42" s="314" t="s">
        <v>1767</v>
      </c>
      <c r="C42" s="314" t="s">
        <v>1768</v>
      </c>
      <c r="D42" s="344" t="s">
        <v>1769</v>
      </c>
      <c r="E42" s="314"/>
      <c r="F42" s="363" t="s">
        <v>1770</v>
      </c>
      <c r="G42" s="351"/>
      <c r="H42" s="316" t="s">
        <v>1771</v>
      </c>
      <c r="I42" s="314" t="s">
        <v>1772</v>
      </c>
      <c r="J42" s="314" t="s">
        <v>1773</v>
      </c>
      <c r="K42" s="314"/>
      <c r="L42" s="314" t="s">
        <v>1774</v>
      </c>
      <c r="M42" s="314"/>
      <c r="N42" s="314" t="s">
        <v>1775</v>
      </c>
      <c r="O42" s="319" t="s">
        <v>1776</v>
      </c>
      <c r="P42" s="314" t="s">
        <v>1777</v>
      </c>
      <c r="Q42" s="407" t="s">
        <v>1778</v>
      </c>
      <c r="S42" s="313"/>
      <c r="T42" s="314" t="s">
        <v>1779</v>
      </c>
      <c r="U42" s="314"/>
      <c r="V42" s="314" t="s">
        <v>1780</v>
      </c>
      <c r="W42" s="325" t="s">
        <v>1781</v>
      </c>
      <c r="X42" s="325" t="s">
        <v>1782</v>
      </c>
      <c r="Y42" s="345" t="s">
        <v>1783</v>
      </c>
      <c r="Z42" s="278" t="s">
        <v>1586</v>
      </c>
      <c r="AA42" s="418" t="s">
        <v>1784</v>
      </c>
      <c r="AB42" s="343"/>
      <c r="AC42" s="288" t="s">
        <v>1785</v>
      </c>
      <c r="AD42" s="351"/>
      <c r="AE42" s="410"/>
      <c r="AF42" s="278"/>
      <c r="AG42" s="278"/>
      <c r="AH42" s="317" t="s">
        <v>1786</v>
      </c>
      <c r="AI42" s="331"/>
      <c r="AJ42" s="411"/>
      <c r="AK42" s="405"/>
      <c r="AL42" s="351"/>
      <c r="AM42" s="351"/>
    </row>
    <row r="43" spans="1:45" ht="16.5">
      <c r="A43" s="355"/>
      <c r="B43" s="314"/>
      <c r="C43" s="314"/>
      <c r="D43" s="314"/>
      <c r="E43" s="314"/>
      <c r="F43" s="319" t="s">
        <v>1437</v>
      </c>
      <c r="G43" s="351"/>
      <c r="H43" s="316"/>
      <c r="I43" s="314"/>
      <c r="J43" s="314"/>
      <c r="K43" s="314"/>
      <c r="L43" s="314"/>
      <c r="M43" s="314"/>
      <c r="N43" s="314"/>
      <c r="O43" s="319" t="s">
        <v>1787</v>
      </c>
      <c r="P43" s="314"/>
      <c r="Q43" s="407"/>
      <c r="R43" s="372" t="s">
        <v>1770</v>
      </c>
      <c r="S43" s="313"/>
      <c r="T43" s="314"/>
      <c r="U43" s="314"/>
      <c r="V43" s="314"/>
      <c r="W43" s="325"/>
      <c r="X43" s="325"/>
      <c r="Y43" s="325"/>
      <c r="Z43" s="316" t="s">
        <v>1440</v>
      </c>
      <c r="AA43" s="351"/>
      <c r="AB43" s="343"/>
      <c r="AC43" s="315" t="s">
        <v>1788</v>
      </c>
      <c r="AD43" s="351"/>
      <c r="AE43" s="410"/>
      <c r="AF43" s="316"/>
      <c r="AG43" s="316"/>
      <c r="AH43" s="317"/>
      <c r="AI43" s="331"/>
      <c r="AJ43" s="406"/>
      <c r="AK43" s="351"/>
      <c r="AL43" s="351"/>
      <c r="AM43" s="351"/>
    </row>
    <row r="44" spans="1:45" ht="16.5">
      <c r="A44" s="313" t="s">
        <v>1789</v>
      </c>
      <c r="B44" s="314" t="s">
        <v>1790</v>
      </c>
      <c r="C44" s="314" t="s">
        <v>1791</v>
      </c>
      <c r="D44" s="314"/>
      <c r="E44" s="314"/>
      <c r="F44" s="314" t="s">
        <v>1792</v>
      </c>
      <c r="G44" s="351"/>
      <c r="H44" s="316" t="s">
        <v>1793</v>
      </c>
      <c r="I44" s="314" t="s">
        <v>1794</v>
      </c>
      <c r="J44" s="314" t="s">
        <v>1795</v>
      </c>
      <c r="K44" s="314"/>
      <c r="L44" s="335" t="s">
        <v>1796</v>
      </c>
      <c r="M44" s="314"/>
      <c r="N44" s="314" t="s">
        <v>1797</v>
      </c>
      <c r="P44" s="314" t="s">
        <v>1798</v>
      </c>
      <c r="Q44" s="407" t="s">
        <v>1799</v>
      </c>
      <c r="R44" s="372" t="s">
        <v>1437</v>
      </c>
      <c r="S44" s="313"/>
      <c r="T44" s="314" t="s">
        <v>1800</v>
      </c>
      <c r="U44" s="314"/>
      <c r="V44" s="314" t="s">
        <v>1801</v>
      </c>
      <c r="W44" s="325" t="s">
        <v>1802</v>
      </c>
      <c r="X44" s="325" t="s">
        <v>1803</v>
      </c>
      <c r="Y44" s="345" t="s">
        <v>1804</v>
      </c>
      <c r="Z44" s="327" t="s">
        <v>1805</v>
      </c>
      <c r="AA44" s="288" t="s">
        <v>1806</v>
      </c>
      <c r="AB44" s="343"/>
      <c r="AC44" s="331" t="s">
        <v>1807</v>
      </c>
      <c r="AD44" s="351"/>
      <c r="AE44" s="410"/>
      <c r="AF44" s="321"/>
      <c r="AG44" s="321"/>
      <c r="AH44" s="317" t="s">
        <v>1808</v>
      </c>
      <c r="AI44" s="331"/>
      <c r="AJ44" s="406"/>
      <c r="AK44" s="351"/>
      <c r="AL44" s="405"/>
      <c r="AM44" s="405"/>
    </row>
    <row r="45" spans="1:45" ht="16.5">
      <c r="A45" s="419"/>
      <c r="B45" s="314"/>
      <c r="C45" s="314"/>
      <c r="D45" s="314"/>
      <c r="E45" s="314"/>
      <c r="F45" s="314" t="s">
        <v>1809</v>
      </c>
      <c r="G45" s="351"/>
      <c r="H45" s="316"/>
      <c r="I45" s="314"/>
      <c r="J45" s="314"/>
      <c r="K45" s="314"/>
      <c r="L45" s="314"/>
      <c r="M45" s="314"/>
      <c r="N45" s="420"/>
      <c r="O45" s="314"/>
      <c r="P45" s="314"/>
      <c r="Q45" s="407"/>
      <c r="R45" s="322" t="s">
        <v>1810</v>
      </c>
      <c r="S45" s="313"/>
      <c r="T45" s="314"/>
      <c r="U45" s="314"/>
      <c r="V45" s="314"/>
      <c r="W45" s="325"/>
      <c r="X45" s="325"/>
      <c r="Y45" s="325"/>
      <c r="Z45" s="321" t="s">
        <v>1811</v>
      </c>
      <c r="AA45" s="331" t="s">
        <v>1812</v>
      </c>
      <c r="AB45" s="343"/>
      <c r="AC45" s="331" t="s">
        <v>1813</v>
      </c>
      <c r="AD45" s="351"/>
      <c r="AE45" s="410"/>
      <c r="AF45" s="321"/>
      <c r="AG45" s="321"/>
      <c r="AH45" s="316"/>
      <c r="AI45" s="331"/>
      <c r="AJ45" s="406"/>
      <c r="AK45" s="351"/>
      <c r="AL45" s="405"/>
      <c r="AM45" s="405"/>
    </row>
    <row r="46" spans="1:45" ht="16.5">
      <c r="A46" s="313" t="s">
        <v>1814</v>
      </c>
      <c r="B46" s="314" t="s">
        <v>1815</v>
      </c>
      <c r="C46" s="314" t="s">
        <v>1816</v>
      </c>
      <c r="D46" s="314"/>
      <c r="E46" s="314"/>
      <c r="F46" s="314" t="s">
        <v>1817</v>
      </c>
      <c r="G46" s="351"/>
      <c r="H46" s="316" t="s">
        <v>1818</v>
      </c>
      <c r="I46" s="314" t="s">
        <v>1819</v>
      </c>
      <c r="J46" s="314" t="s">
        <v>1820</v>
      </c>
      <c r="K46" s="314"/>
      <c r="L46" s="314"/>
      <c r="M46" s="314"/>
      <c r="N46" s="314" t="s">
        <v>1821</v>
      </c>
      <c r="O46" s="319"/>
      <c r="P46" s="314" t="s">
        <v>1822</v>
      </c>
      <c r="Q46" s="407" t="s">
        <v>1823</v>
      </c>
      <c r="R46" s="322" t="s">
        <v>1824</v>
      </c>
      <c r="S46" s="313"/>
      <c r="T46" s="314" t="s">
        <v>1825</v>
      </c>
      <c r="U46" s="314"/>
      <c r="V46" s="314" t="s">
        <v>1826</v>
      </c>
      <c r="W46" s="325" t="s">
        <v>1827</v>
      </c>
      <c r="X46" s="325" t="s">
        <v>1828</v>
      </c>
      <c r="Y46" s="326" t="s">
        <v>1829</v>
      </c>
      <c r="Z46" s="327" t="s">
        <v>1830</v>
      </c>
      <c r="AA46" s="351"/>
      <c r="AB46" s="343"/>
      <c r="AC46" s="331" t="s">
        <v>1831</v>
      </c>
      <c r="AD46" s="351"/>
      <c r="AE46" s="410"/>
      <c r="AF46" s="321"/>
      <c r="AG46" s="321"/>
      <c r="AH46" s="317" t="s">
        <v>1832</v>
      </c>
      <c r="AI46" s="331"/>
      <c r="AJ46" s="406"/>
      <c r="AK46" s="351"/>
      <c r="AL46" s="405"/>
      <c r="AM46" s="405"/>
    </row>
    <row r="47" spans="1:45" ht="16.5">
      <c r="A47" s="313"/>
      <c r="B47" s="314"/>
      <c r="D47" s="314"/>
      <c r="E47" s="314"/>
      <c r="F47" s="314" t="s">
        <v>1833</v>
      </c>
      <c r="G47" s="351"/>
      <c r="I47" s="351"/>
      <c r="K47" s="314"/>
      <c r="L47" s="314"/>
      <c r="M47" s="322"/>
      <c r="N47" s="420"/>
      <c r="O47" s="335"/>
      <c r="P47" s="351"/>
      <c r="R47" s="322" t="s">
        <v>1834</v>
      </c>
      <c r="S47" s="313"/>
      <c r="T47" s="314"/>
      <c r="U47" s="314"/>
      <c r="V47" s="314"/>
      <c r="W47" s="325"/>
      <c r="X47" s="325"/>
      <c r="Y47" s="325"/>
      <c r="Z47" s="408"/>
      <c r="AA47" s="351"/>
      <c r="AB47" s="343"/>
      <c r="AC47" s="331" t="s">
        <v>1835</v>
      </c>
      <c r="AD47" s="351"/>
      <c r="AE47" s="410"/>
      <c r="AF47" s="408"/>
      <c r="AG47" s="408"/>
      <c r="AH47" s="383"/>
      <c r="AI47" s="331"/>
      <c r="AJ47" s="406"/>
      <c r="AK47" s="351"/>
      <c r="AL47" s="405"/>
      <c r="AM47" s="405"/>
    </row>
    <row r="48" spans="1:45" ht="16.5">
      <c r="A48" s="313"/>
      <c r="B48" s="316"/>
      <c r="D48" s="314"/>
      <c r="E48" s="314"/>
      <c r="F48" s="314" t="s">
        <v>1836</v>
      </c>
      <c r="G48" s="351"/>
      <c r="I48" s="314"/>
      <c r="K48" s="314"/>
      <c r="L48" s="314"/>
      <c r="M48" s="314"/>
      <c r="N48" s="314"/>
      <c r="O48" s="314"/>
      <c r="P48" s="351"/>
      <c r="R48" s="322" t="s">
        <v>1837</v>
      </c>
      <c r="S48" s="313"/>
      <c r="T48" s="314"/>
      <c r="U48" s="314"/>
      <c r="V48" s="314"/>
      <c r="W48" s="325"/>
      <c r="X48" s="325"/>
      <c r="Y48" s="325"/>
      <c r="Z48" s="408"/>
      <c r="AA48" s="351"/>
      <c r="AB48" s="343"/>
      <c r="AC48" s="314"/>
      <c r="AD48" s="351"/>
      <c r="AE48" s="410"/>
      <c r="AF48" s="408"/>
      <c r="AG48" s="408"/>
      <c r="AH48" s="316"/>
      <c r="AI48" s="331"/>
      <c r="AJ48" s="406"/>
      <c r="AK48" s="351"/>
      <c r="AL48" s="405"/>
      <c r="AM48" s="405"/>
    </row>
    <row r="49" spans="1:255" ht="16.5">
      <c r="A49" s="421"/>
      <c r="B49" s="303"/>
      <c r="C49" s="422"/>
      <c r="D49" s="360"/>
      <c r="E49" s="360"/>
      <c r="F49" s="360"/>
      <c r="G49" s="352"/>
      <c r="H49" s="422"/>
      <c r="I49" s="352"/>
      <c r="J49" s="422"/>
      <c r="K49" s="360"/>
      <c r="L49" s="360"/>
      <c r="M49" s="360"/>
      <c r="N49" s="360"/>
      <c r="O49" s="360"/>
      <c r="P49" s="352"/>
      <c r="Q49" s="422"/>
      <c r="R49" s="357" t="s">
        <v>1838</v>
      </c>
      <c r="S49" s="421"/>
      <c r="T49" s="360"/>
      <c r="U49" s="360"/>
      <c r="V49" s="360"/>
      <c r="W49" s="393"/>
      <c r="X49" s="393"/>
      <c r="Y49" s="423"/>
      <c r="Z49" s="352"/>
      <c r="AA49" s="352"/>
      <c r="AB49" s="352"/>
      <c r="AC49" s="422"/>
      <c r="AD49" s="422"/>
      <c r="AE49" s="422"/>
      <c r="AF49" s="422"/>
      <c r="AG49" s="424"/>
      <c r="AH49" s="352"/>
      <c r="AI49" s="304"/>
      <c r="AJ49" s="425"/>
      <c r="AK49" s="352"/>
      <c r="AL49" s="426"/>
      <c r="AM49" s="426"/>
    </row>
    <row r="50" spans="1:255" ht="16.5">
      <c r="A50" s="427" t="s">
        <v>1839</v>
      </c>
      <c r="B50" s="428" t="s">
        <v>1840</v>
      </c>
      <c r="C50" s="429" t="s">
        <v>1841</v>
      </c>
      <c r="D50" s="946" t="s">
        <v>1842</v>
      </c>
      <c r="E50" s="946"/>
      <c r="F50" s="946"/>
      <c r="G50" s="428" t="s">
        <v>1843</v>
      </c>
      <c r="H50" s="428"/>
      <c r="I50" s="428" t="s">
        <v>1844</v>
      </c>
      <c r="J50" s="428"/>
      <c r="K50" s="428" t="s">
        <v>1845</v>
      </c>
      <c r="L50" s="428"/>
      <c r="M50" s="428"/>
      <c r="N50" s="428"/>
      <c r="O50" s="430">
        <v>69</v>
      </c>
      <c r="Q50" s="431" t="s">
        <v>1846</v>
      </c>
      <c r="R50" s="428"/>
      <c r="S50" s="432">
        <v>69</v>
      </c>
      <c r="T50" s="433"/>
      <c r="U50" s="433" t="s">
        <v>1847</v>
      </c>
      <c r="V50" s="433"/>
      <c r="W50" s="262"/>
      <c r="X50" s="261"/>
      <c r="Y50" s="434"/>
      <c r="Z50" s="435" t="s">
        <v>1848</v>
      </c>
      <c r="AA50" s="234"/>
      <c r="AB50" s="436"/>
      <c r="AC50" s="437" t="s">
        <v>1849</v>
      </c>
      <c r="AE50" s="234"/>
      <c r="AF50" s="234"/>
      <c r="AG50" s="433"/>
      <c r="AH50" s="260"/>
      <c r="AI50" s="438"/>
      <c r="AJ50" s="438"/>
      <c r="AK50" s="438"/>
      <c r="AM50" s="406"/>
      <c r="AO50" s="439"/>
      <c r="AP50" s="935"/>
      <c r="AQ50" s="935"/>
      <c r="AR50" s="935"/>
      <c r="AS50" s="935"/>
    </row>
    <row r="51" spans="1:255" ht="16.5">
      <c r="A51" s="440"/>
      <c r="B51" s="431" t="s">
        <v>1850</v>
      </c>
      <c r="C51" s="429" t="s">
        <v>1841</v>
      </c>
      <c r="D51" s="936" t="s">
        <v>1851</v>
      </c>
      <c r="E51" s="936"/>
      <c r="F51" s="936"/>
      <c r="G51" s="428" t="s">
        <v>1852</v>
      </c>
      <c r="H51" s="428"/>
      <c r="I51" s="428"/>
      <c r="J51" s="441">
        <v>161</v>
      </c>
      <c r="K51" s="428" t="s">
        <v>1853</v>
      </c>
      <c r="L51" s="428"/>
      <c r="M51" s="441">
        <v>161</v>
      </c>
      <c r="N51" s="442" t="s">
        <v>1854</v>
      </c>
      <c r="P51" s="433"/>
      <c r="Q51" s="433" t="s">
        <v>1855</v>
      </c>
      <c r="R51" s="430">
        <v>161</v>
      </c>
      <c r="S51" s="433"/>
      <c r="T51" s="433"/>
      <c r="U51" s="433" t="s">
        <v>1856</v>
      </c>
      <c r="V51" s="433"/>
      <c r="W51" s="262"/>
      <c r="X51" s="261"/>
      <c r="Y51" s="443"/>
      <c r="Z51" s="444" t="s">
        <v>1857</v>
      </c>
      <c r="AA51" s="416"/>
      <c r="AB51" s="416"/>
      <c r="AC51" s="416"/>
      <c r="AD51" s="416"/>
      <c r="AE51" s="416"/>
      <c r="AF51" s="416"/>
      <c r="AG51" s="433"/>
      <c r="AH51" s="260"/>
      <c r="AI51" s="438"/>
      <c r="AJ51" s="438"/>
      <c r="AK51" s="438"/>
      <c r="AM51" s="406"/>
      <c r="AO51" s="445"/>
      <c r="AP51" s="445"/>
      <c r="AQ51" s="445"/>
      <c r="AR51" s="445"/>
      <c r="AS51" s="445"/>
    </row>
    <row r="52" spans="1:255" ht="17.25" thickBot="1">
      <c r="A52" s="446"/>
      <c r="B52" s="447" t="s">
        <v>1858</v>
      </c>
      <c r="C52" s="448" t="s">
        <v>1859</v>
      </c>
      <c r="D52" s="937" t="s">
        <v>1860</v>
      </c>
      <c r="E52" s="937"/>
      <c r="F52" s="937"/>
      <c r="G52" s="449" t="s">
        <v>1861</v>
      </c>
      <c r="H52" s="447"/>
      <c r="I52" s="450"/>
      <c r="J52" s="451">
        <v>161</v>
      </c>
      <c r="K52" s="447" t="s">
        <v>1862</v>
      </c>
      <c r="L52" s="447"/>
      <c r="M52" s="452">
        <v>161</v>
      </c>
      <c r="N52" s="449" t="s">
        <v>1863</v>
      </c>
      <c r="O52" s="450"/>
      <c r="P52" s="450"/>
      <c r="Q52" s="447" t="s">
        <v>1864</v>
      </c>
      <c r="R52" s="453">
        <v>161</v>
      </c>
      <c r="S52" s="447" t="s">
        <v>1865</v>
      </c>
      <c r="T52" s="452">
        <v>69</v>
      </c>
      <c r="U52" s="447" t="s">
        <v>1866</v>
      </c>
      <c r="V52" s="454">
        <v>69</v>
      </c>
      <c r="W52" s="447" t="s">
        <v>1867</v>
      </c>
      <c r="X52" s="455">
        <v>69</v>
      </c>
      <c r="Y52" s="415"/>
      <c r="Z52" s="435" t="s">
        <v>1868</v>
      </c>
      <c r="AA52" s="450"/>
      <c r="AB52" s="450"/>
      <c r="AC52" s="450"/>
      <c r="AD52" s="450"/>
      <c r="AE52" s="450"/>
      <c r="AF52" s="456"/>
      <c r="AG52" s="450"/>
      <c r="AH52" s="450"/>
      <c r="AI52" s="457"/>
      <c r="AJ52" s="457"/>
      <c r="AK52" s="457"/>
      <c r="AL52" s="458"/>
      <c r="AM52" s="459"/>
      <c r="AN52" s="460"/>
      <c r="AO52" s="461"/>
      <c r="AP52" s="461"/>
      <c r="AQ52" s="462"/>
      <c r="AR52" s="462"/>
      <c r="AS52" s="462"/>
      <c r="AT52" s="462"/>
      <c r="AU52" s="462"/>
      <c r="AV52" s="462"/>
      <c r="AW52" s="462"/>
      <c r="AX52" s="462"/>
      <c r="AY52" s="462"/>
      <c r="AZ52" s="462"/>
      <c r="BA52" s="462"/>
      <c r="BB52" s="462"/>
      <c r="BC52" s="462"/>
      <c r="BD52" s="462"/>
      <c r="BE52" s="462"/>
      <c r="BF52" s="462"/>
      <c r="BG52" s="462"/>
      <c r="BH52" s="462"/>
      <c r="BI52" s="462"/>
      <c r="BJ52" s="462"/>
      <c r="BK52" s="462"/>
      <c r="BL52" s="462"/>
      <c r="BM52" s="462"/>
      <c r="BN52" s="462"/>
      <c r="BO52" s="462"/>
      <c r="BP52" s="462"/>
      <c r="BQ52" s="462"/>
      <c r="BR52" s="462"/>
      <c r="BS52" s="462"/>
      <c r="BT52" s="462"/>
      <c r="BU52" s="462"/>
      <c r="BV52" s="462"/>
      <c r="BW52" s="462"/>
      <c r="BX52" s="462"/>
      <c r="BY52" s="462"/>
      <c r="BZ52" s="462"/>
      <c r="CA52" s="462"/>
      <c r="CB52" s="462"/>
      <c r="CC52" s="462"/>
      <c r="CD52" s="462"/>
      <c r="CE52" s="462"/>
      <c r="CF52" s="462"/>
      <c r="CG52" s="462"/>
      <c r="CH52" s="462"/>
      <c r="CI52" s="462"/>
      <c r="CJ52" s="462"/>
      <c r="CK52" s="462"/>
      <c r="CL52" s="462"/>
      <c r="CM52" s="462"/>
      <c r="CN52" s="462"/>
      <c r="CO52" s="462"/>
      <c r="CP52" s="462"/>
      <c r="CQ52" s="462"/>
      <c r="CR52" s="462"/>
      <c r="CS52" s="462"/>
      <c r="CT52" s="462"/>
      <c r="CU52" s="462"/>
      <c r="CV52" s="462"/>
      <c r="CW52" s="462"/>
      <c r="CX52" s="462"/>
      <c r="CY52" s="462"/>
      <c r="CZ52" s="462"/>
      <c r="DA52" s="462"/>
      <c r="DB52" s="462"/>
      <c r="DC52" s="462"/>
      <c r="DD52" s="462"/>
      <c r="DE52" s="462"/>
      <c r="DF52" s="462"/>
      <c r="DG52" s="462"/>
      <c r="DH52" s="462"/>
      <c r="DI52" s="462"/>
      <c r="DJ52" s="462"/>
      <c r="DK52" s="462"/>
      <c r="DL52" s="462"/>
      <c r="DM52" s="462"/>
      <c r="DN52" s="462"/>
      <c r="DO52" s="462"/>
      <c r="DP52" s="462"/>
      <c r="DQ52" s="462"/>
      <c r="DR52" s="462"/>
      <c r="DS52" s="462"/>
      <c r="DT52" s="462"/>
      <c r="DU52" s="462"/>
      <c r="DV52" s="462"/>
      <c r="DW52" s="462"/>
      <c r="DX52" s="462"/>
      <c r="DY52" s="462"/>
      <c r="DZ52" s="462"/>
      <c r="EA52" s="462"/>
      <c r="EB52" s="462"/>
      <c r="EC52" s="462"/>
      <c r="ED52" s="462"/>
      <c r="EE52" s="462"/>
      <c r="EF52" s="462"/>
      <c r="EG52" s="462"/>
      <c r="EH52" s="462"/>
      <c r="EI52" s="462"/>
      <c r="EJ52" s="462"/>
      <c r="EK52" s="462"/>
      <c r="EL52" s="462"/>
      <c r="EM52" s="462"/>
      <c r="EN52" s="462"/>
      <c r="EO52" s="462"/>
      <c r="EP52" s="462"/>
      <c r="EQ52" s="462"/>
      <c r="ER52" s="462"/>
      <c r="ES52" s="462"/>
      <c r="ET52" s="462"/>
      <c r="EU52" s="462"/>
      <c r="EV52" s="462"/>
      <c r="EW52" s="462"/>
      <c r="EX52" s="462"/>
      <c r="EY52" s="462"/>
      <c r="EZ52" s="462"/>
      <c r="FA52" s="462"/>
      <c r="FB52" s="462"/>
      <c r="FC52" s="462"/>
      <c r="FD52" s="462"/>
      <c r="FE52" s="462"/>
      <c r="FF52" s="462"/>
      <c r="FG52" s="462"/>
      <c r="FH52" s="462"/>
      <c r="FI52" s="462"/>
      <c r="FJ52" s="462"/>
      <c r="FK52" s="462"/>
      <c r="FL52" s="462"/>
      <c r="FM52" s="462"/>
      <c r="FN52" s="462"/>
      <c r="FO52" s="462"/>
      <c r="FP52" s="462"/>
      <c r="FQ52" s="462"/>
      <c r="FR52" s="462"/>
      <c r="FS52" s="462"/>
      <c r="FT52" s="462"/>
      <c r="FU52" s="462"/>
      <c r="FV52" s="462"/>
      <c r="FW52" s="462"/>
      <c r="FX52" s="462"/>
      <c r="FY52" s="462"/>
      <c r="FZ52" s="462"/>
      <c r="GA52" s="462"/>
      <c r="GB52" s="462"/>
      <c r="GC52" s="462"/>
      <c r="GD52" s="462"/>
      <c r="GE52" s="462"/>
      <c r="GF52" s="462"/>
      <c r="GG52" s="462"/>
      <c r="GH52" s="462"/>
      <c r="GI52" s="462"/>
      <c r="GJ52" s="462"/>
      <c r="GK52" s="462"/>
      <c r="GL52" s="462"/>
      <c r="GM52" s="462"/>
      <c r="GN52" s="462"/>
      <c r="GO52" s="462"/>
      <c r="GP52" s="462"/>
      <c r="GQ52" s="462"/>
      <c r="GR52" s="462"/>
      <c r="GS52" s="462"/>
      <c r="GT52" s="462"/>
      <c r="GU52" s="462"/>
      <c r="GV52" s="462"/>
      <c r="GW52" s="462"/>
      <c r="GX52" s="462"/>
      <c r="GY52" s="462"/>
      <c r="GZ52" s="462"/>
      <c r="HA52" s="462"/>
      <c r="HB52" s="462"/>
      <c r="HC52" s="462"/>
      <c r="HD52" s="462"/>
      <c r="HE52" s="462"/>
      <c r="HF52" s="462"/>
      <c r="HG52" s="462"/>
      <c r="HH52" s="462"/>
      <c r="HI52" s="462"/>
      <c r="HJ52" s="462"/>
      <c r="HK52" s="462"/>
      <c r="HL52" s="462"/>
      <c r="HM52" s="462"/>
      <c r="HN52" s="462"/>
      <c r="HO52" s="462"/>
      <c r="HP52" s="462"/>
      <c r="HQ52" s="462"/>
      <c r="HR52" s="462"/>
      <c r="HS52" s="462"/>
      <c r="HT52" s="462"/>
      <c r="HU52" s="462"/>
      <c r="HV52" s="462"/>
      <c r="HW52" s="462"/>
      <c r="HX52" s="462"/>
      <c r="HY52" s="462"/>
      <c r="HZ52" s="462"/>
      <c r="IA52" s="462"/>
      <c r="IB52" s="462"/>
      <c r="IC52" s="462"/>
      <c r="ID52" s="462"/>
      <c r="IE52" s="462"/>
      <c r="IF52" s="462"/>
      <c r="IG52" s="462"/>
      <c r="IH52" s="462"/>
      <c r="II52" s="462"/>
      <c r="IJ52" s="462"/>
      <c r="IK52" s="462"/>
      <c r="IL52" s="462"/>
      <c r="IM52" s="462"/>
      <c r="IN52" s="462"/>
      <c r="IO52" s="462"/>
      <c r="IP52" s="462"/>
      <c r="IQ52" s="462"/>
      <c r="IR52" s="462"/>
      <c r="IS52" s="462"/>
      <c r="IT52" s="462"/>
      <c r="IU52" s="462"/>
    </row>
    <row r="53" spans="1:255" ht="16.5" thickTop="1">
      <c r="AM53" s="462"/>
      <c r="AN53" s="460"/>
      <c r="AO53" s="462"/>
      <c r="AP53" s="462"/>
      <c r="AQ53" s="462"/>
      <c r="AR53" s="462"/>
      <c r="AS53" s="462"/>
      <c r="AT53" s="462"/>
      <c r="AU53" s="462"/>
      <c r="AV53" s="462"/>
      <c r="AW53" s="462"/>
      <c r="AX53" s="462"/>
      <c r="AY53" s="462"/>
      <c r="AZ53" s="462"/>
      <c r="BA53" s="462"/>
      <c r="BB53" s="462"/>
      <c r="BC53" s="462"/>
      <c r="BD53" s="462"/>
      <c r="BE53" s="462"/>
      <c r="BF53" s="462"/>
      <c r="BG53" s="462"/>
      <c r="BH53" s="462"/>
      <c r="BI53" s="462"/>
      <c r="BJ53" s="462"/>
      <c r="BK53" s="462"/>
      <c r="BL53" s="462"/>
      <c r="BM53" s="462"/>
      <c r="BN53" s="462"/>
      <c r="BO53" s="462"/>
      <c r="BP53" s="462"/>
      <c r="BQ53" s="462"/>
      <c r="BR53" s="462"/>
      <c r="BS53" s="462"/>
      <c r="BT53" s="462"/>
      <c r="BU53" s="462"/>
      <c r="BV53" s="462"/>
      <c r="BW53" s="462"/>
      <c r="BX53" s="462"/>
      <c r="BY53" s="462"/>
      <c r="BZ53" s="462"/>
      <c r="CA53" s="462"/>
      <c r="CB53" s="462"/>
      <c r="CC53" s="462"/>
      <c r="CD53" s="462"/>
      <c r="CE53" s="462"/>
      <c r="CF53" s="462"/>
      <c r="CG53" s="462"/>
      <c r="CH53" s="462"/>
      <c r="CI53" s="462"/>
      <c r="CJ53" s="462"/>
      <c r="CK53" s="462"/>
      <c r="CL53" s="462"/>
      <c r="CM53" s="462"/>
      <c r="CN53" s="462"/>
      <c r="CO53" s="462"/>
      <c r="CP53" s="462"/>
      <c r="CQ53" s="462"/>
      <c r="CR53" s="462"/>
      <c r="CS53" s="462"/>
      <c r="CT53" s="462"/>
      <c r="CU53" s="462"/>
      <c r="CV53" s="462"/>
      <c r="CW53" s="462"/>
      <c r="CX53" s="462"/>
      <c r="CY53" s="462"/>
      <c r="CZ53" s="462"/>
      <c r="DA53" s="462"/>
      <c r="DB53" s="462"/>
      <c r="DC53" s="462"/>
      <c r="DD53" s="462"/>
      <c r="DE53" s="462"/>
      <c r="DF53" s="462"/>
      <c r="DG53" s="462"/>
      <c r="DH53" s="462"/>
      <c r="DI53" s="462"/>
      <c r="DJ53" s="462"/>
      <c r="DK53" s="462"/>
      <c r="DL53" s="462"/>
      <c r="DM53" s="462"/>
      <c r="DN53" s="462"/>
      <c r="DO53" s="462"/>
      <c r="DP53" s="462"/>
      <c r="DQ53" s="462"/>
      <c r="DR53" s="462"/>
      <c r="DS53" s="462"/>
      <c r="DT53" s="462"/>
      <c r="DU53" s="462"/>
      <c r="DV53" s="462"/>
      <c r="DW53" s="462"/>
      <c r="DX53" s="462"/>
      <c r="DY53" s="462"/>
      <c r="DZ53" s="462"/>
      <c r="EA53" s="462"/>
      <c r="EB53" s="462"/>
      <c r="EC53" s="462"/>
      <c r="ED53" s="462"/>
      <c r="EE53" s="462"/>
      <c r="EF53" s="462"/>
      <c r="EG53" s="462"/>
      <c r="EH53" s="462"/>
      <c r="EI53" s="462"/>
      <c r="EJ53" s="462"/>
      <c r="EK53" s="462"/>
      <c r="EL53" s="462"/>
      <c r="EM53" s="462"/>
      <c r="EN53" s="462"/>
      <c r="EO53" s="462"/>
      <c r="EP53" s="462"/>
      <c r="EQ53" s="462"/>
      <c r="ER53" s="462"/>
      <c r="ES53" s="462"/>
      <c r="ET53" s="462"/>
      <c r="EU53" s="462"/>
      <c r="EV53" s="462"/>
      <c r="EW53" s="462"/>
      <c r="EX53" s="462"/>
      <c r="EY53" s="462"/>
      <c r="EZ53" s="462"/>
      <c r="FA53" s="462"/>
      <c r="FB53" s="462"/>
      <c r="FC53" s="462"/>
      <c r="FD53" s="462"/>
      <c r="FE53" s="462"/>
      <c r="FF53" s="462"/>
      <c r="FG53" s="462"/>
      <c r="FH53" s="462"/>
      <c r="FI53" s="462"/>
      <c r="FJ53" s="462"/>
      <c r="FK53" s="462"/>
      <c r="FL53" s="462"/>
      <c r="FM53" s="462"/>
      <c r="FN53" s="462"/>
      <c r="FO53" s="462"/>
      <c r="FP53" s="462"/>
      <c r="FQ53" s="462"/>
      <c r="FR53" s="462"/>
      <c r="FS53" s="462"/>
      <c r="FT53" s="462"/>
      <c r="FU53" s="462"/>
      <c r="FV53" s="462"/>
      <c r="FW53" s="462"/>
      <c r="FX53" s="462"/>
      <c r="FY53" s="462"/>
      <c r="FZ53" s="462"/>
      <c r="GA53" s="462"/>
      <c r="GB53" s="462"/>
      <c r="GC53" s="462"/>
      <c r="GD53" s="462"/>
      <c r="GE53" s="462"/>
      <c r="GF53" s="462"/>
      <c r="GG53" s="462"/>
      <c r="GH53" s="462"/>
      <c r="GI53" s="462"/>
      <c r="GJ53" s="462"/>
      <c r="GK53" s="462"/>
      <c r="GL53" s="462"/>
      <c r="GM53" s="462"/>
      <c r="GN53" s="462"/>
      <c r="GO53" s="462"/>
      <c r="GP53" s="462"/>
      <c r="GQ53" s="462"/>
      <c r="GR53" s="462"/>
      <c r="GS53" s="462"/>
      <c r="GT53" s="462"/>
      <c r="GU53" s="462"/>
      <c r="GV53" s="462"/>
      <c r="GW53" s="462"/>
      <c r="GX53" s="462"/>
      <c r="GY53" s="462"/>
      <c r="GZ53" s="462"/>
      <c r="HA53" s="462"/>
      <c r="HB53" s="462"/>
      <c r="HC53" s="462"/>
      <c r="HD53" s="462"/>
      <c r="HE53" s="462"/>
      <c r="HF53" s="462"/>
      <c r="HG53" s="462"/>
      <c r="HH53" s="462"/>
      <c r="HI53" s="462"/>
      <c r="HJ53" s="462"/>
      <c r="HK53" s="462"/>
      <c r="HL53" s="462"/>
      <c r="HM53" s="462"/>
      <c r="HN53" s="462"/>
      <c r="HO53" s="462"/>
      <c r="HP53" s="462"/>
      <c r="HQ53" s="462"/>
      <c r="HR53" s="462"/>
      <c r="HS53" s="462"/>
      <c r="HT53" s="462"/>
      <c r="HU53" s="462"/>
      <c r="HV53" s="462"/>
      <c r="HW53" s="462"/>
      <c r="HX53" s="462"/>
      <c r="HY53" s="462"/>
      <c r="HZ53" s="462"/>
      <c r="IA53" s="462"/>
      <c r="IB53" s="462"/>
      <c r="IC53" s="462"/>
      <c r="ID53" s="462"/>
      <c r="IE53" s="462"/>
      <c r="IF53" s="462"/>
      <c r="IG53" s="462"/>
      <c r="IH53" s="462"/>
      <c r="II53" s="462"/>
      <c r="IJ53" s="462"/>
      <c r="IK53" s="462"/>
      <c r="IL53" s="462"/>
      <c r="IM53" s="462"/>
      <c r="IN53" s="462"/>
      <c r="IO53" s="462"/>
      <c r="IP53" s="462"/>
      <c r="IQ53" s="462"/>
      <c r="IR53" s="462"/>
      <c r="IS53" s="462"/>
      <c r="IT53" s="462"/>
      <c r="IU53" s="462"/>
    </row>
    <row r="54" spans="1:255">
      <c r="AM54" s="462"/>
      <c r="AN54" s="460"/>
      <c r="AO54" s="462"/>
      <c r="AP54" s="462"/>
      <c r="AQ54" s="462"/>
      <c r="AR54" s="462"/>
      <c r="AS54" s="462"/>
      <c r="AT54" s="462"/>
      <c r="AU54" s="462"/>
      <c r="AV54" s="462"/>
      <c r="AW54" s="462"/>
      <c r="AX54" s="462"/>
      <c r="AY54" s="462"/>
      <c r="AZ54" s="462"/>
      <c r="BA54" s="462"/>
      <c r="BB54" s="462"/>
      <c r="BC54" s="462"/>
      <c r="BD54" s="462"/>
      <c r="BE54" s="462"/>
      <c r="BF54" s="462"/>
      <c r="BG54" s="462"/>
      <c r="BH54" s="462"/>
      <c r="BI54" s="462"/>
      <c r="BJ54" s="462"/>
      <c r="BK54" s="462"/>
      <c r="BL54" s="462"/>
      <c r="BM54" s="462"/>
      <c r="BN54" s="462"/>
      <c r="BO54" s="462"/>
      <c r="BP54" s="462"/>
      <c r="BQ54" s="462"/>
      <c r="BR54" s="462"/>
      <c r="BS54" s="462"/>
      <c r="BT54" s="462"/>
      <c r="BU54" s="462"/>
      <c r="BV54" s="462"/>
      <c r="BW54" s="462"/>
      <c r="BX54" s="462"/>
      <c r="BY54" s="462"/>
      <c r="BZ54" s="462"/>
      <c r="CA54" s="462"/>
      <c r="CB54" s="462"/>
      <c r="CC54" s="462"/>
      <c r="CD54" s="462"/>
      <c r="CE54" s="462"/>
      <c r="CF54" s="462"/>
      <c r="CG54" s="462"/>
      <c r="CH54" s="462"/>
      <c r="CI54" s="462"/>
      <c r="CJ54" s="462"/>
      <c r="CK54" s="462"/>
      <c r="CL54" s="462"/>
      <c r="CM54" s="462"/>
      <c r="CN54" s="462"/>
      <c r="CO54" s="462"/>
      <c r="CP54" s="462"/>
      <c r="CQ54" s="462"/>
      <c r="CR54" s="462"/>
      <c r="CS54" s="462"/>
      <c r="CT54" s="462"/>
      <c r="CU54" s="462"/>
      <c r="CV54" s="462"/>
      <c r="CW54" s="462"/>
      <c r="CX54" s="462"/>
      <c r="CY54" s="462"/>
      <c r="CZ54" s="462"/>
      <c r="DA54" s="462"/>
      <c r="DB54" s="462"/>
      <c r="DC54" s="462"/>
      <c r="DD54" s="462"/>
      <c r="DE54" s="462"/>
      <c r="DF54" s="462"/>
      <c r="DG54" s="462"/>
      <c r="DH54" s="462"/>
      <c r="DI54" s="462"/>
      <c r="DJ54" s="462"/>
      <c r="DK54" s="462"/>
      <c r="DL54" s="462"/>
      <c r="DM54" s="462"/>
      <c r="DN54" s="462"/>
      <c r="DO54" s="462"/>
      <c r="DP54" s="462"/>
      <c r="DQ54" s="462"/>
      <c r="DR54" s="462"/>
      <c r="DS54" s="462"/>
      <c r="DT54" s="462"/>
      <c r="DU54" s="462"/>
      <c r="DV54" s="462"/>
      <c r="DW54" s="462"/>
      <c r="DX54" s="462"/>
      <c r="DY54" s="462"/>
      <c r="DZ54" s="462"/>
      <c r="EA54" s="462"/>
      <c r="EB54" s="462"/>
      <c r="EC54" s="462"/>
      <c r="ED54" s="462"/>
      <c r="EE54" s="462"/>
      <c r="EF54" s="462"/>
      <c r="EG54" s="462"/>
      <c r="EH54" s="462"/>
      <c r="EI54" s="462"/>
      <c r="EJ54" s="462"/>
      <c r="EK54" s="462"/>
      <c r="EL54" s="462"/>
      <c r="EM54" s="462"/>
      <c r="EN54" s="462"/>
      <c r="EO54" s="462"/>
      <c r="EP54" s="462"/>
      <c r="EQ54" s="462"/>
      <c r="ER54" s="462"/>
      <c r="ES54" s="462"/>
      <c r="ET54" s="462"/>
      <c r="EU54" s="462"/>
      <c r="EV54" s="462"/>
      <c r="EW54" s="462"/>
      <c r="EX54" s="462"/>
      <c r="EY54" s="462"/>
      <c r="EZ54" s="462"/>
      <c r="FA54" s="462"/>
      <c r="FB54" s="462"/>
      <c r="FC54" s="462"/>
      <c r="FD54" s="462"/>
      <c r="FE54" s="462"/>
      <c r="FF54" s="462"/>
      <c r="FG54" s="462"/>
      <c r="FH54" s="462"/>
      <c r="FI54" s="462"/>
      <c r="FJ54" s="462"/>
      <c r="FK54" s="462"/>
      <c r="FL54" s="462"/>
      <c r="FM54" s="462"/>
      <c r="FN54" s="462"/>
      <c r="FO54" s="462"/>
      <c r="FP54" s="462"/>
      <c r="FQ54" s="462"/>
      <c r="FR54" s="462"/>
      <c r="FS54" s="462"/>
      <c r="FT54" s="462"/>
      <c r="FU54" s="462"/>
      <c r="FV54" s="462"/>
      <c r="FW54" s="462"/>
      <c r="FX54" s="462"/>
      <c r="FY54" s="462"/>
      <c r="FZ54" s="462"/>
      <c r="GA54" s="462"/>
      <c r="GB54" s="462"/>
      <c r="GC54" s="462"/>
      <c r="GD54" s="462"/>
      <c r="GE54" s="462"/>
      <c r="GF54" s="462"/>
      <c r="GG54" s="462"/>
      <c r="GH54" s="462"/>
      <c r="GI54" s="462"/>
      <c r="GJ54" s="462"/>
      <c r="GK54" s="462"/>
      <c r="GL54" s="462"/>
      <c r="GM54" s="462"/>
      <c r="GN54" s="462"/>
      <c r="GO54" s="462"/>
      <c r="GP54" s="462"/>
      <c r="GQ54" s="462"/>
      <c r="GR54" s="462"/>
      <c r="GS54" s="462"/>
      <c r="GT54" s="462"/>
      <c r="GU54" s="462"/>
      <c r="GV54" s="462"/>
      <c r="GW54" s="462"/>
      <c r="GX54" s="462"/>
      <c r="GY54" s="462"/>
      <c r="GZ54" s="462"/>
      <c r="HA54" s="462"/>
      <c r="HB54" s="462"/>
      <c r="HC54" s="462"/>
      <c r="HD54" s="462"/>
      <c r="HE54" s="462"/>
      <c r="HF54" s="462"/>
      <c r="HG54" s="462"/>
      <c r="HH54" s="462"/>
      <c r="HI54" s="462"/>
      <c r="HJ54" s="462"/>
      <c r="HK54" s="462"/>
      <c r="HL54" s="462"/>
      <c r="HM54" s="462"/>
      <c r="HN54" s="462"/>
      <c r="HO54" s="462"/>
      <c r="HP54" s="462"/>
      <c r="HQ54" s="462"/>
      <c r="HR54" s="462"/>
      <c r="HS54" s="462"/>
      <c r="HT54" s="462"/>
      <c r="HU54" s="462"/>
      <c r="HV54" s="462"/>
      <c r="HW54" s="462"/>
      <c r="HX54" s="462"/>
      <c r="HY54" s="462"/>
      <c r="HZ54" s="462"/>
      <c r="IA54" s="462"/>
      <c r="IB54" s="462"/>
      <c r="IC54" s="462"/>
      <c r="ID54" s="462"/>
      <c r="IE54" s="462"/>
      <c r="IF54" s="462"/>
      <c r="IG54" s="462"/>
      <c r="IH54" s="462"/>
      <c r="II54" s="462"/>
      <c r="IJ54" s="462"/>
      <c r="IK54" s="462"/>
      <c r="IL54" s="462"/>
      <c r="IM54" s="462"/>
      <c r="IN54" s="462"/>
      <c r="IO54" s="462"/>
      <c r="IP54" s="462"/>
      <c r="IQ54" s="462"/>
      <c r="IR54" s="462"/>
      <c r="IS54" s="462"/>
      <c r="IT54" s="462"/>
      <c r="IU54" s="462"/>
    </row>
    <row r="55" spans="1:255">
      <c r="AM55" s="462"/>
      <c r="AN55" s="460"/>
      <c r="AO55" s="462"/>
      <c r="AP55" s="462"/>
      <c r="AQ55" s="462"/>
      <c r="AR55" s="462"/>
      <c r="AS55" s="462"/>
      <c r="AT55" s="462"/>
      <c r="AU55" s="462"/>
      <c r="AV55" s="462"/>
      <c r="AW55" s="462"/>
      <c r="AX55" s="462"/>
      <c r="AY55" s="462"/>
      <c r="AZ55" s="462"/>
      <c r="BA55" s="462"/>
      <c r="BB55" s="462"/>
      <c r="BC55" s="462"/>
      <c r="BD55" s="462"/>
      <c r="BE55" s="462"/>
      <c r="BF55" s="462"/>
      <c r="BG55" s="462"/>
      <c r="BH55" s="462"/>
      <c r="BI55" s="462"/>
      <c r="BJ55" s="462"/>
      <c r="BK55" s="462"/>
      <c r="BL55" s="462"/>
      <c r="BM55" s="462"/>
      <c r="BN55" s="462"/>
      <c r="BO55" s="462"/>
      <c r="BP55" s="462"/>
      <c r="BQ55" s="462"/>
      <c r="BR55" s="462"/>
      <c r="BS55" s="462"/>
      <c r="BT55" s="462"/>
      <c r="BU55" s="462"/>
      <c r="BV55" s="462"/>
      <c r="BW55" s="462"/>
      <c r="BX55" s="462"/>
      <c r="BY55" s="462"/>
      <c r="BZ55" s="462"/>
      <c r="CA55" s="462"/>
      <c r="CB55" s="462"/>
      <c r="CC55" s="462"/>
      <c r="CD55" s="462"/>
      <c r="CE55" s="462"/>
      <c r="CF55" s="462"/>
      <c r="CG55" s="462"/>
      <c r="CH55" s="462"/>
      <c r="CI55" s="462"/>
      <c r="CJ55" s="462"/>
      <c r="CK55" s="462"/>
      <c r="CL55" s="462"/>
      <c r="CM55" s="462"/>
      <c r="CN55" s="462"/>
      <c r="CO55" s="462"/>
      <c r="CP55" s="462"/>
      <c r="CQ55" s="462"/>
      <c r="CR55" s="462"/>
      <c r="CS55" s="462"/>
      <c r="CT55" s="462"/>
      <c r="CU55" s="462"/>
      <c r="CV55" s="462"/>
      <c r="CW55" s="462"/>
      <c r="CX55" s="462"/>
      <c r="CY55" s="462"/>
      <c r="CZ55" s="462"/>
      <c r="DA55" s="462"/>
      <c r="DB55" s="462"/>
      <c r="DC55" s="462"/>
      <c r="DD55" s="462"/>
      <c r="DE55" s="462"/>
      <c r="DF55" s="462"/>
      <c r="DG55" s="462"/>
      <c r="DH55" s="462"/>
      <c r="DI55" s="462"/>
      <c r="DJ55" s="462"/>
      <c r="DK55" s="462"/>
      <c r="DL55" s="462"/>
      <c r="DM55" s="462"/>
      <c r="DN55" s="462"/>
      <c r="DO55" s="462"/>
      <c r="DP55" s="462"/>
      <c r="DQ55" s="462"/>
      <c r="DR55" s="462"/>
      <c r="DS55" s="462"/>
      <c r="DT55" s="462"/>
      <c r="DU55" s="462"/>
      <c r="DV55" s="462"/>
      <c r="DW55" s="462"/>
      <c r="DX55" s="462"/>
      <c r="DY55" s="462"/>
      <c r="DZ55" s="462"/>
      <c r="EA55" s="462"/>
      <c r="EB55" s="462"/>
      <c r="EC55" s="462"/>
      <c r="ED55" s="462"/>
      <c r="EE55" s="462"/>
      <c r="EF55" s="462"/>
      <c r="EG55" s="462"/>
      <c r="EH55" s="462"/>
      <c r="EI55" s="462"/>
      <c r="EJ55" s="462"/>
      <c r="EK55" s="462"/>
      <c r="EL55" s="462"/>
      <c r="EM55" s="462"/>
      <c r="EN55" s="462"/>
      <c r="EO55" s="462"/>
      <c r="EP55" s="462"/>
      <c r="EQ55" s="462"/>
      <c r="ER55" s="462"/>
      <c r="ES55" s="462"/>
      <c r="ET55" s="462"/>
      <c r="EU55" s="462"/>
      <c r="EV55" s="462"/>
      <c r="EW55" s="462"/>
      <c r="EX55" s="462"/>
      <c r="EY55" s="462"/>
      <c r="EZ55" s="462"/>
      <c r="FA55" s="462"/>
      <c r="FB55" s="462"/>
      <c r="FC55" s="462"/>
      <c r="FD55" s="462"/>
      <c r="FE55" s="462"/>
      <c r="FF55" s="462"/>
      <c r="FG55" s="462"/>
      <c r="FH55" s="462"/>
      <c r="FI55" s="462"/>
      <c r="FJ55" s="462"/>
      <c r="FK55" s="462"/>
      <c r="FL55" s="462"/>
      <c r="FM55" s="462"/>
      <c r="FN55" s="462"/>
      <c r="FO55" s="462"/>
      <c r="FP55" s="462"/>
      <c r="FQ55" s="462"/>
      <c r="FR55" s="462"/>
      <c r="FS55" s="462"/>
      <c r="FT55" s="462"/>
      <c r="FU55" s="462"/>
      <c r="FV55" s="462"/>
      <c r="FW55" s="462"/>
      <c r="FX55" s="462"/>
      <c r="FY55" s="462"/>
      <c r="FZ55" s="462"/>
      <c r="GA55" s="462"/>
      <c r="GB55" s="462"/>
      <c r="GC55" s="462"/>
      <c r="GD55" s="462"/>
      <c r="GE55" s="462"/>
      <c r="GF55" s="462"/>
      <c r="GG55" s="462"/>
      <c r="GH55" s="462"/>
      <c r="GI55" s="462"/>
      <c r="GJ55" s="462"/>
      <c r="GK55" s="462"/>
      <c r="GL55" s="462"/>
      <c r="GM55" s="462"/>
      <c r="GN55" s="462"/>
      <c r="GO55" s="462"/>
      <c r="GP55" s="462"/>
      <c r="GQ55" s="462"/>
      <c r="GR55" s="462"/>
      <c r="GS55" s="462"/>
      <c r="GT55" s="462"/>
      <c r="GU55" s="462"/>
      <c r="GV55" s="462"/>
      <c r="GW55" s="462"/>
      <c r="GX55" s="462"/>
      <c r="GY55" s="462"/>
      <c r="GZ55" s="462"/>
      <c r="HA55" s="462"/>
      <c r="HB55" s="462"/>
      <c r="HC55" s="462"/>
      <c r="HD55" s="462"/>
      <c r="HE55" s="462"/>
      <c r="HF55" s="462"/>
      <c r="HG55" s="462"/>
      <c r="HH55" s="462"/>
      <c r="HI55" s="462"/>
      <c r="HJ55" s="462"/>
      <c r="HK55" s="462"/>
      <c r="HL55" s="462"/>
      <c r="HM55" s="462"/>
      <c r="HN55" s="462"/>
      <c r="HO55" s="462"/>
      <c r="HP55" s="462"/>
      <c r="HQ55" s="462"/>
      <c r="HR55" s="462"/>
      <c r="HS55" s="462"/>
      <c r="HT55" s="462"/>
      <c r="HU55" s="462"/>
      <c r="HV55" s="462"/>
      <c r="HW55" s="462"/>
      <c r="HX55" s="462"/>
      <c r="HY55" s="462"/>
      <c r="HZ55" s="462"/>
      <c r="IA55" s="462"/>
      <c r="IB55" s="462"/>
      <c r="IC55" s="462"/>
      <c r="ID55" s="462"/>
      <c r="IE55" s="462"/>
      <c r="IF55" s="462"/>
      <c r="IG55" s="462"/>
      <c r="IH55" s="462"/>
      <c r="II55" s="462"/>
      <c r="IJ55" s="462"/>
      <c r="IK55" s="462"/>
      <c r="IL55" s="462"/>
      <c r="IM55" s="462"/>
      <c r="IN55" s="462"/>
      <c r="IO55" s="462"/>
      <c r="IP55" s="462"/>
      <c r="IQ55" s="462"/>
      <c r="IR55" s="462"/>
      <c r="IS55" s="462"/>
      <c r="IT55" s="462"/>
      <c r="IU55" s="462"/>
    </row>
    <row r="56" spans="1:255" ht="16.5" customHeight="1"/>
    <row r="57" spans="1:255" ht="16.5" customHeight="1"/>
    <row r="58" spans="1:255" ht="17.25" customHeight="1"/>
    <row r="59" spans="1:255" ht="16.5" customHeight="1"/>
    <row r="60" spans="1:255" ht="15.75" customHeight="1">
      <c r="AM60" s="463"/>
    </row>
    <row r="61" spans="1:255" ht="15.75" customHeight="1"/>
    <row r="62" spans="1:255" ht="15.75" customHeight="1"/>
    <row r="63" spans="1:255" ht="15.75" customHeight="1"/>
    <row r="64" spans="1:255"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6.5" customHeight="1"/>
    <row r="77" ht="16.5" customHeight="1"/>
    <row r="78" ht="15.75" customHeight="1"/>
    <row r="79" ht="15.75" customHeight="1"/>
    <row r="80" ht="16.149999999999999" customHeight="1"/>
  </sheetData>
  <mergeCells count="8">
    <mergeCell ref="AP50:AQ50"/>
    <mergeCell ref="AR50:AS50"/>
    <mergeCell ref="D51:F51"/>
    <mergeCell ref="D52:F52"/>
    <mergeCell ref="A1:AF2"/>
    <mergeCell ref="AG3:AL3"/>
    <mergeCell ref="A4:B7"/>
    <mergeCell ref="D50:F50"/>
  </mergeCells>
  <phoneticPr fontId="1" type="noConversion"/>
  <printOptions horizontalCentered="1" verticalCentered="1" gridLinesSet="0"/>
  <pageMargins left="0.19685039370078741" right="0.19685039370078741" top="0.19685039370078741" bottom="0.19685039370078741" header="0.23622047244094491" footer="0.11811023622047245"/>
  <pageSetup paperSize="8" scale="67"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10"/>
  <dimension ref="A1:Z68"/>
  <sheetViews>
    <sheetView workbookViewId="0"/>
  </sheetViews>
  <sheetFormatPr defaultRowHeight="16.5"/>
  <cols>
    <col min="1" max="1" width="12.5" customWidth="1"/>
    <col min="2" max="6" width="12.25" bestFit="1" customWidth="1"/>
  </cols>
  <sheetData>
    <row r="1" spans="1:26">
      <c r="A1" s="478" t="s">
        <v>3</v>
      </c>
      <c r="B1" s="254">
        <v>44398</v>
      </c>
    </row>
    <row r="2" spans="1:26">
      <c r="A2" t="s">
        <v>763</v>
      </c>
      <c r="B2" t="s">
        <v>87</v>
      </c>
    </row>
    <row r="4" spans="1:26">
      <c r="A4" s="950" t="s">
        <v>771</v>
      </c>
      <c r="B4" s="947" t="s">
        <v>359</v>
      </c>
      <c r="C4" s="948"/>
      <c r="D4" s="948"/>
      <c r="E4" s="948"/>
      <c r="F4" s="949"/>
      <c r="G4" s="947" t="s">
        <v>93</v>
      </c>
      <c r="H4" s="948"/>
      <c r="I4" s="948"/>
      <c r="J4" s="948"/>
      <c r="K4" s="949"/>
      <c r="L4" s="947" t="s">
        <v>94</v>
      </c>
      <c r="M4" s="948"/>
      <c r="N4" s="948"/>
      <c r="O4" s="948"/>
      <c r="P4" s="949"/>
      <c r="Q4" s="947" t="s">
        <v>95</v>
      </c>
      <c r="R4" s="948"/>
      <c r="S4" s="948"/>
      <c r="T4" s="948"/>
      <c r="U4" s="949"/>
      <c r="V4" s="947" t="s">
        <v>96</v>
      </c>
      <c r="W4" s="948"/>
      <c r="X4" s="948"/>
      <c r="Y4" s="948"/>
      <c r="Z4" s="949"/>
    </row>
    <row r="5" spans="1:26">
      <c r="A5" s="951"/>
      <c r="B5" s="255" t="s">
        <v>773</v>
      </c>
      <c r="C5" s="255" t="s">
        <v>774</v>
      </c>
      <c r="D5" s="255" t="s">
        <v>775</v>
      </c>
      <c r="E5" s="255" t="s">
        <v>776</v>
      </c>
      <c r="F5" s="255" t="s">
        <v>772</v>
      </c>
      <c r="G5" s="255" t="s">
        <v>773</v>
      </c>
      <c r="H5" s="255" t="s">
        <v>774</v>
      </c>
      <c r="I5" s="255" t="s">
        <v>775</v>
      </c>
      <c r="J5" s="255" t="s">
        <v>776</v>
      </c>
      <c r="K5" s="255" t="s">
        <v>772</v>
      </c>
      <c r="L5" s="255" t="s">
        <v>773</v>
      </c>
      <c r="M5" s="255" t="s">
        <v>774</v>
      </c>
      <c r="N5" s="255" t="s">
        <v>775</v>
      </c>
      <c r="O5" s="255" t="s">
        <v>776</v>
      </c>
      <c r="P5" s="255" t="s">
        <v>772</v>
      </c>
      <c r="Q5" s="255" t="s">
        <v>773</v>
      </c>
      <c r="R5" s="255" t="s">
        <v>774</v>
      </c>
      <c r="S5" s="255" t="s">
        <v>775</v>
      </c>
      <c r="T5" s="255" t="s">
        <v>776</v>
      </c>
      <c r="U5" s="255" t="s">
        <v>772</v>
      </c>
      <c r="V5" s="255" t="s">
        <v>773</v>
      </c>
      <c r="W5" s="255" t="s">
        <v>774</v>
      </c>
      <c r="X5" s="255" t="s">
        <v>775</v>
      </c>
      <c r="Y5" s="255" t="s">
        <v>776</v>
      </c>
      <c r="Z5" s="255" t="s">
        <v>764</v>
      </c>
    </row>
    <row r="6" spans="1:26">
      <c r="A6">
        <v>1</v>
      </c>
      <c r="B6">
        <v>-1</v>
      </c>
      <c r="C6">
        <v>0</v>
      </c>
      <c r="D6">
        <v>-1</v>
      </c>
      <c r="E6">
        <v>-1</v>
      </c>
      <c r="F6">
        <v>30</v>
      </c>
      <c r="G6">
        <v>5</v>
      </c>
      <c r="H6">
        <v>6</v>
      </c>
      <c r="I6">
        <v>6</v>
      </c>
      <c r="J6">
        <v>0</v>
      </c>
      <c r="K6">
        <v>86</v>
      </c>
      <c r="L6">
        <v>6</v>
      </c>
      <c r="M6">
        <v>6</v>
      </c>
      <c r="N6">
        <v>6</v>
      </c>
      <c r="O6">
        <v>0</v>
      </c>
      <c r="P6">
        <v>71</v>
      </c>
      <c r="Q6">
        <v>5</v>
      </c>
      <c r="R6">
        <v>5</v>
      </c>
      <c r="S6">
        <v>5</v>
      </c>
      <c r="T6">
        <v>0</v>
      </c>
      <c r="U6">
        <v>89</v>
      </c>
      <c r="V6">
        <v>7</v>
      </c>
      <c r="W6">
        <v>7</v>
      </c>
      <c r="X6">
        <v>7</v>
      </c>
      <c r="Y6">
        <v>1</v>
      </c>
      <c r="Z6">
        <v>0</v>
      </c>
    </row>
    <row r="7" spans="1:26">
      <c r="A7">
        <v>2</v>
      </c>
      <c r="B7">
        <v>-1</v>
      </c>
      <c r="C7">
        <v>-1</v>
      </c>
      <c r="D7">
        <v>-1</v>
      </c>
      <c r="E7">
        <v>-1</v>
      </c>
      <c r="F7">
        <v>31</v>
      </c>
      <c r="G7">
        <v>5</v>
      </c>
      <c r="H7">
        <v>6</v>
      </c>
      <c r="I7">
        <v>6</v>
      </c>
      <c r="J7">
        <v>0</v>
      </c>
      <c r="K7">
        <v>90</v>
      </c>
      <c r="L7">
        <v>7</v>
      </c>
      <c r="M7">
        <v>7</v>
      </c>
      <c r="N7">
        <v>6</v>
      </c>
      <c r="O7">
        <v>0</v>
      </c>
      <c r="P7">
        <v>70</v>
      </c>
      <c r="Q7">
        <v>8</v>
      </c>
      <c r="R7">
        <v>7</v>
      </c>
      <c r="S7">
        <v>7</v>
      </c>
      <c r="T7">
        <v>0</v>
      </c>
      <c r="U7">
        <v>182</v>
      </c>
      <c r="V7">
        <v>7</v>
      </c>
      <c r="W7">
        <v>7</v>
      </c>
      <c r="X7">
        <v>7</v>
      </c>
      <c r="Y7">
        <v>1</v>
      </c>
      <c r="Z7">
        <v>0</v>
      </c>
    </row>
    <row r="8" spans="1:26">
      <c r="A8">
        <v>3</v>
      </c>
      <c r="B8">
        <v>-1</v>
      </c>
      <c r="C8">
        <v>-1</v>
      </c>
      <c r="D8">
        <v>-1</v>
      </c>
      <c r="E8">
        <v>-1</v>
      </c>
      <c r="F8">
        <v>31</v>
      </c>
      <c r="G8">
        <v>5</v>
      </c>
      <c r="H8">
        <v>6</v>
      </c>
      <c r="I8">
        <v>6</v>
      </c>
      <c r="J8">
        <v>0</v>
      </c>
      <c r="K8">
        <v>78</v>
      </c>
      <c r="L8">
        <v>7</v>
      </c>
      <c r="M8">
        <v>7</v>
      </c>
      <c r="N8">
        <v>6</v>
      </c>
      <c r="O8">
        <v>0</v>
      </c>
      <c r="P8">
        <v>65</v>
      </c>
      <c r="Q8">
        <v>5</v>
      </c>
      <c r="R8">
        <v>5</v>
      </c>
      <c r="S8">
        <v>5</v>
      </c>
      <c r="T8">
        <v>0</v>
      </c>
      <c r="U8">
        <v>63</v>
      </c>
      <c r="V8">
        <v>6</v>
      </c>
      <c r="W8">
        <v>6</v>
      </c>
      <c r="X8">
        <v>6</v>
      </c>
      <c r="Y8">
        <v>1</v>
      </c>
      <c r="Z8">
        <v>0</v>
      </c>
    </row>
    <row r="9" spans="1:26">
      <c r="A9">
        <v>4</v>
      </c>
      <c r="B9">
        <v>-1</v>
      </c>
      <c r="C9">
        <v>-1</v>
      </c>
      <c r="D9">
        <v>-1</v>
      </c>
      <c r="E9">
        <v>-1</v>
      </c>
      <c r="F9">
        <v>31</v>
      </c>
      <c r="G9">
        <v>5</v>
      </c>
      <c r="H9">
        <v>6</v>
      </c>
      <c r="I9">
        <v>6</v>
      </c>
      <c r="J9">
        <v>0</v>
      </c>
      <c r="K9">
        <v>75</v>
      </c>
      <c r="L9">
        <v>7</v>
      </c>
      <c r="M9">
        <v>7</v>
      </c>
      <c r="N9">
        <v>7</v>
      </c>
      <c r="O9">
        <v>0</v>
      </c>
      <c r="P9">
        <v>56</v>
      </c>
      <c r="Q9">
        <v>5</v>
      </c>
      <c r="R9">
        <v>5</v>
      </c>
      <c r="S9">
        <v>5</v>
      </c>
      <c r="T9">
        <v>0</v>
      </c>
      <c r="U9">
        <v>63</v>
      </c>
      <c r="V9">
        <v>6</v>
      </c>
      <c r="W9">
        <v>6</v>
      </c>
      <c r="X9">
        <v>6</v>
      </c>
      <c r="Y9">
        <v>1</v>
      </c>
      <c r="Z9">
        <v>0</v>
      </c>
    </row>
    <row r="10" spans="1:26">
      <c r="A10">
        <v>5</v>
      </c>
      <c r="B10">
        <v>0</v>
      </c>
      <c r="C10">
        <v>-1</v>
      </c>
      <c r="D10">
        <v>-1</v>
      </c>
      <c r="E10">
        <v>-1</v>
      </c>
      <c r="F10">
        <v>31</v>
      </c>
      <c r="G10">
        <v>5</v>
      </c>
      <c r="H10">
        <v>6</v>
      </c>
      <c r="I10">
        <v>6</v>
      </c>
      <c r="J10">
        <v>0</v>
      </c>
      <c r="K10">
        <v>77</v>
      </c>
      <c r="L10">
        <v>7</v>
      </c>
      <c r="M10">
        <v>7</v>
      </c>
      <c r="N10">
        <v>7</v>
      </c>
      <c r="O10">
        <v>0</v>
      </c>
      <c r="P10">
        <v>66</v>
      </c>
      <c r="Q10">
        <v>5</v>
      </c>
      <c r="R10">
        <v>5</v>
      </c>
      <c r="S10">
        <v>5</v>
      </c>
      <c r="T10">
        <v>0</v>
      </c>
      <c r="U10">
        <v>61</v>
      </c>
      <c r="V10">
        <v>6</v>
      </c>
      <c r="W10">
        <v>6</v>
      </c>
      <c r="X10">
        <v>6</v>
      </c>
      <c r="Y10">
        <v>1</v>
      </c>
      <c r="Z10">
        <v>0</v>
      </c>
    </row>
    <row r="11" spans="1:26">
      <c r="A11">
        <v>6</v>
      </c>
      <c r="B11">
        <v>-1</v>
      </c>
      <c r="C11">
        <v>-1</v>
      </c>
      <c r="D11">
        <v>-1</v>
      </c>
      <c r="E11">
        <v>-1</v>
      </c>
      <c r="F11">
        <v>32</v>
      </c>
      <c r="G11">
        <v>6</v>
      </c>
      <c r="H11">
        <v>7</v>
      </c>
      <c r="I11">
        <v>7</v>
      </c>
      <c r="J11">
        <v>0</v>
      </c>
      <c r="K11">
        <v>127</v>
      </c>
      <c r="L11">
        <v>8</v>
      </c>
      <c r="M11">
        <v>8</v>
      </c>
      <c r="N11">
        <v>8</v>
      </c>
      <c r="O11">
        <v>0</v>
      </c>
      <c r="P11">
        <v>203</v>
      </c>
      <c r="Q11">
        <v>6</v>
      </c>
      <c r="R11">
        <v>6</v>
      </c>
      <c r="S11">
        <v>5</v>
      </c>
      <c r="T11">
        <v>0</v>
      </c>
      <c r="U11">
        <v>108</v>
      </c>
      <c r="V11">
        <v>15</v>
      </c>
      <c r="W11">
        <v>15</v>
      </c>
      <c r="X11">
        <v>15</v>
      </c>
      <c r="Y11">
        <v>1</v>
      </c>
      <c r="Z11">
        <v>0</v>
      </c>
    </row>
    <row r="12" spans="1:26">
      <c r="A12">
        <v>7</v>
      </c>
      <c r="B12">
        <v>-1</v>
      </c>
      <c r="C12">
        <v>0</v>
      </c>
      <c r="D12">
        <v>-1</v>
      </c>
      <c r="E12">
        <v>-1</v>
      </c>
      <c r="F12">
        <v>31</v>
      </c>
      <c r="G12">
        <v>27</v>
      </c>
      <c r="H12">
        <v>26</v>
      </c>
      <c r="I12">
        <v>27</v>
      </c>
      <c r="J12">
        <v>0</v>
      </c>
      <c r="K12">
        <v>1231</v>
      </c>
      <c r="L12">
        <v>45</v>
      </c>
      <c r="M12">
        <v>45</v>
      </c>
      <c r="N12">
        <v>45</v>
      </c>
      <c r="O12">
        <v>0</v>
      </c>
      <c r="P12">
        <v>1872</v>
      </c>
      <c r="Q12">
        <v>67</v>
      </c>
      <c r="R12">
        <v>66</v>
      </c>
      <c r="S12">
        <v>66</v>
      </c>
      <c r="T12">
        <v>0</v>
      </c>
      <c r="U12">
        <v>1100</v>
      </c>
      <c r="V12">
        <v>107</v>
      </c>
      <c r="W12">
        <v>107</v>
      </c>
      <c r="X12">
        <v>106</v>
      </c>
      <c r="Y12">
        <v>1</v>
      </c>
      <c r="Z12">
        <v>2020</v>
      </c>
    </row>
    <row r="13" spans="1:26">
      <c r="A13">
        <v>8</v>
      </c>
      <c r="B13">
        <v>-1</v>
      </c>
      <c r="C13">
        <v>-1</v>
      </c>
      <c r="D13">
        <v>-1</v>
      </c>
      <c r="E13">
        <v>-1</v>
      </c>
      <c r="F13">
        <v>31</v>
      </c>
      <c r="G13">
        <v>11</v>
      </c>
      <c r="H13">
        <v>11</v>
      </c>
      <c r="I13">
        <v>12</v>
      </c>
      <c r="J13">
        <v>0</v>
      </c>
      <c r="K13">
        <v>1044</v>
      </c>
      <c r="L13">
        <v>31</v>
      </c>
      <c r="M13">
        <v>30</v>
      </c>
      <c r="N13">
        <v>31</v>
      </c>
      <c r="O13">
        <v>0</v>
      </c>
      <c r="P13">
        <v>1714</v>
      </c>
      <c r="Q13">
        <v>63</v>
      </c>
      <c r="R13">
        <v>62</v>
      </c>
      <c r="S13">
        <v>62</v>
      </c>
      <c r="T13">
        <v>0</v>
      </c>
      <c r="U13">
        <v>1768</v>
      </c>
      <c r="V13">
        <v>47</v>
      </c>
      <c r="W13">
        <v>46</v>
      </c>
      <c r="X13">
        <v>46</v>
      </c>
      <c r="Y13">
        <v>1</v>
      </c>
      <c r="Z13">
        <v>2433</v>
      </c>
    </row>
    <row r="14" spans="1:26">
      <c r="A14">
        <v>9</v>
      </c>
      <c r="B14">
        <v>-1</v>
      </c>
      <c r="C14">
        <v>-1</v>
      </c>
      <c r="D14">
        <v>-1</v>
      </c>
      <c r="E14">
        <v>-1</v>
      </c>
      <c r="F14">
        <v>31</v>
      </c>
      <c r="G14">
        <v>8</v>
      </c>
      <c r="H14">
        <v>9</v>
      </c>
      <c r="I14">
        <v>9</v>
      </c>
      <c r="J14">
        <v>0</v>
      </c>
      <c r="K14">
        <v>593</v>
      </c>
      <c r="L14">
        <v>23</v>
      </c>
      <c r="M14">
        <v>23</v>
      </c>
      <c r="N14">
        <v>23</v>
      </c>
      <c r="O14">
        <v>0</v>
      </c>
      <c r="P14">
        <v>1026</v>
      </c>
      <c r="Q14">
        <v>21</v>
      </c>
      <c r="R14">
        <v>21</v>
      </c>
      <c r="S14">
        <v>21</v>
      </c>
      <c r="T14">
        <v>0</v>
      </c>
      <c r="U14">
        <v>1325</v>
      </c>
      <c r="V14">
        <v>41</v>
      </c>
      <c r="W14">
        <v>42</v>
      </c>
      <c r="X14">
        <v>41</v>
      </c>
      <c r="Y14">
        <v>1</v>
      </c>
      <c r="Z14">
        <v>1180</v>
      </c>
    </row>
    <row r="15" spans="1:26">
      <c r="A15">
        <v>10</v>
      </c>
      <c r="B15">
        <v>0</v>
      </c>
      <c r="C15">
        <v>-1</v>
      </c>
      <c r="D15">
        <v>-1</v>
      </c>
      <c r="E15">
        <v>-1</v>
      </c>
      <c r="F15">
        <v>30</v>
      </c>
      <c r="G15">
        <v>98</v>
      </c>
      <c r="H15">
        <v>99</v>
      </c>
      <c r="I15">
        <v>101</v>
      </c>
      <c r="J15">
        <v>0</v>
      </c>
      <c r="K15">
        <v>2102</v>
      </c>
      <c r="L15">
        <v>150</v>
      </c>
      <c r="M15">
        <v>151</v>
      </c>
      <c r="N15">
        <v>150</v>
      </c>
      <c r="O15">
        <v>0</v>
      </c>
      <c r="P15">
        <v>3283</v>
      </c>
      <c r="Q15">
        <v>85</v>
      </c>
      <c r="R15">
        <v>86</v>
      </c>
      <c r="S15">
        <v>85</v>
      </c>
      <c r="T15">
        <v>0</v>
      </c>
      <c r="U15">
        <v>2045</v>
      </c>
      <c r="V15">
        <v>200</v>
      </c>
      <c r="W15">
        <v>202</v>
      </c>
      <c r="X15">
        <v>201</v>
      </c>
      <c r="Y15">
        <v>1</v>
      </c>
      <c r="Z15">
        <v>4533</v>
      </c>
    </row>
    <row r="16" spans="1:26">
      <c r="A16">
        <v>11</v>
      </c>
      <c r="B16">
        <v>-1</v>
      </c>
      <c r="C16">
        <v>-1</v>
      </c>
      <c r="D16">
        <v>-1</v>
      </c>
      <c r="E16">
        <v>-1</v>
      </c>
      <c r="F16">
        <v>29</v>
      </c>
      <c r="G16">
        <v>100</v>
      </c>
      <c r="H16">
        <v>101</v>
      </c>
      <c r="I16">
        <v>101</v>
      </c>
      <c r="J16">
        <v>0</v>
      </c>
      <c r="K16">
        <v>3916</v>
      </c>
      <c r="L16">
        <v>150</v>
      </c>
      <c r="M16">
        <v>151</v>
      </c>
      <c r="N16">
        <v>151</v>
      </c>
      <c r="O16">
        <v>0</v>
      </c>
      <c r="P16">
        <v>5889</v>
      </c>
      <c r="Q16">
        <v>150</v>
      </c>
      <c r="R16">
        <v>152</v>
      </c>
      <c r="S16">
        <v>151</v>
      </c>
      <c r="T16">
        <v>0</v>
      </c>
      <c r="U16">
        <v>5341</v>
      </c>
      <c r="V16">
        <v>200</v>
      </c>
      <c r="W16">
        <v>202</v>
      </c>
      <c r="X16">
        <v>201</v>
      </c>
      <c r="Y16">
        <v>1</v>
      </c>
      <c r="Z16">
        <v>6533</v>
      </c>
    </row>
    <row r="17" spans="1:26">
      <c r="A17">
        <v>12</v>
      </c>
      <c r="B17">
        <v>-1</v>
      </c>
      <c r="C17">
        <v>-1</v>
      </c>
      <c r="D17">
        <v>-1</v>
      </c>
      <c r="E17">
        <v>-1</v>
      </c>
      <c r="F17">
        <v>29</v>
      </c>
      <c r="G17">
        <v>47</v>
      </c>
      <c r="H17">
        <v>48</v>
      </c>
      <c r="I17">
        <v>48</v>
      </c>
      <c r="J17">
        <v>0</v>
      </c>
      <c r="K17">
        <v>3095</v>
      </c>
      <c r="L17">
        <v>148</v>
      </c>
      <c r="M17">
        <v>149</v>
      </c>
      <c r="N17">
        <v>149</v>
      </c>
      <c r="O17">
        <v>0</v>
      </c>
      <c r="P17">
        <v>5574</v>
      </c>
      <c r="Q17">
        <v>97</v>
      </c>
      <c r="R17">
        <v>99</v>
      </c>
      <c r="S17">
        <v>97</v>
      </c>
      <c r="T17">
        <v>0</v>
      </c>
      <c r="U17">
        <v>5507</v>
      </c>
      <c r="V17">
        <v>144</v>
      </c>
      <c r="W17">
        <v>146</v>
      </c>
      <c r="X17">
        <v>145</v>
      </c>
      <c r="Y17">
        <v>1</v>
      </c>
      <c r="Z17">
        <v>6187</v>
      </c>
    </row>
    <row r="18" spans="1:26">
      <c r="A18">
        <v>13</v>
      </c>
      <c r="B18">
        <v>-1</v>
      </c>
      <c r="C18">
        <v>-1</v>
      </c>
      <c r="D18">
        <v>-1</v>
      </c>
      <c r="E18">
        <v>-1</v>
      </c>
      <c r="F18">
        <v>30</v>
      </c>
      <c r="G18">
        <v>99</v>
      </c>
      <c r="H18">
        <v>100</v>
      </c>
      <c r="I18">
        <v>98</v>
      </c>
      <c r="J18">
        <v>0</v>
      </c>
      <c r="K18">
        <v>3196</v>
      </c>
      <c r="L18">
        <v>146</v>
      </c>
      <c r="M18">
        <v>147</v>
      </c>
      <c r="N18">
        <v>146</v>
      </c>
      <c r="O18">
        <v>0</v>
      </c>
      <c r="P18">
        <v>5834</v>
      </c>
      <c r="Q18">
        <v>149</v>
      </c>
      <c r="R18">
        <v>150</v>
      </c>
      <c r="S18">
        <v>149</v>
      </c>
      <c r="T18">
        <v>0</v>
      </c>
      <c r="U18">
        <v>5254</v>
      </c>
      <c r="V18">
        <v>142</v>
      </c>
      <c r="W18">
        <v>144</v>
      </c>
      <c r="X18">
        <v>143</v>
      </c>
      <c r="Y18">
        <v>1</v>
      </c>
      <c r="Z18">
        <v>5683</v>
      </c>
    </row>
    <row r="19" spans="1:26">
      <c r="A19">
        <v>14</v>
      </c>
      <c r="B19">
        <v>0</v>
      </c>
      <c r="C19">
        <v>-1</v>
      </c>
      <c r="D19">
        <v>-1</v>
      </c>
      <c r="E19">
        <v>-1</v>
      </c>
      <c r="F19">
        <v>29</v>
      </c>
      <c r="G19">
        <v>97</v>
      </c>
      <c r="H19">
        <v>98</v>
      </c>
      <c r="I19">
        <v>98</v>
      </c>
      <c r="J19">
        <v>0</v>
      </c>
      <c r="K19">
        <v>2481</v>
      </c>
      <c r="L19">
        <v>146</v>
      </c>
      <c r="M19">
        <v>148</v>
      </c>
      <c r="N19">
        <v>147</v>
      </c>
      <c r="O19">
        <v>0</v>
      </c>
      <c r="P19">
        <v>5748</v>
      </c>
      <c r="Q19">
        <v>97</v>
      </c>
      <c r="R19">
        <v>97</v>
      </c>
      <c r="S19">
        <v>96</v>
      </c>
      <c r="T19">
        <v>0</v>
      </c>
      <c r="U19">
        <v>5187</v>
      </c>
      <c r="V19">
        <v>143</v>
      </c>
      <c r="W19">
        <v>145</v>
      </c>
      <c r="X19">
        <v>144</v>
      </c>
      <c r="Y19">
        <v>1</v>
      </c>
      <c r="Z19">
        <v>5639</v>
      </c>
    </row>
    <row r="20" spans="1:26">
      <c r="A20">
        <v>15</v>
      </c>
      <c r="B20">
        <v>0</v>
      </c>
      <c r="C20">
        <v>0</v>
      </c>
      <c r="D20">
        <v>0</v>
      </c>
      <c r="E20">
        <v>-1</v>
      </c>
      <c r="F20">
        <v>29</v>
      </c>
      <c r="G20">
        <v>100</v>
      </c>
      <c r="H20">
        <v>101</v>
      </c>
      <c r="I20">
        <v>101</v>
      </c>
      <c r="J20">
        <v>0</v>
      </c>
      <c r="K20">
        <v>2497</v>
      </c>
      <c r="L20">
        <v>146</v>
      </c>
      <c r="M20">
        <v>148</v>
      </c>
      <c r="N20">
        <v>147</v>
      </c>
      <c r="O20">
        <v>0</v>
      </c>
      <c r="P20">
        <v>5733</v>
      </c>
      <c r="Q20">
        <v>49</v>
      </c>
      <c r="R20">
        <v>49</v>
      </c>
      <c r="S20">
        <v>49</v>
      </c>
      <c r="T20">
        <v>0</v>
      </c>
      <c r="U20">
        <v>4300</v>
      </c>
      <c r="V20">
        <v>142</v>
      </c>
      <c r="W20">
        <v>144</v>
      </c>
      <c r="X20">
        <v>142</v>
      </c>
      <c r="Y20">
        <v>1</v>
      </c>
      <c r="Z20">
        <v>5633</v>
      </c>
    </row>
    <row r="21" spans="1:26">
      <c r="A21">
        <v>16</v>
      </c>
      <c r="B21">
        <v>-1</v>
      </c>
      <c r="C21">
        <v>0</v>
      </c>
      <c r="D21">
        <v>-1</v>
      </c>
      <c r="E21">
        <v>-1</v>
      </c>
      <c r="F21">
        <v>29</v>
      </c>
      <c r="G21">
        <v>5</v>
      </c>
      <c r="H21">
        <v>5</v>
      </c>
      <c r="I21">
        <v>5</v>
      </c>
      <c r="J21">
        <v>0</v>
      </c>
      <c r="K21">
        <v>2541</v>
      </c>
      <c r="L21">
        <v>146</v>
      </c>
      <c r="M21">
        <v>147</v>
      </c>
      <c r="N21">
        <v>146</v>
      </c>
      <c r="O21">
        <v>0</v>
      </c>
      <c r="P21">
        <v>5730</v>
      </c>
      <c r="Q21">
        <v>49</v>
      </c>
      <c r="R21">
        <v>49</v>
      </c>
      <c r="S21">
        <v>49</v>
      </c>
      <c r="T21">
        <v>0</v>
      </c>
      <c r="U21">
        <v>3173</v>
      </c>
      <c r="V21">
        <v>143</v>
      </c>
      <c r="W21">
        <v>145</v>
      </c>
      <c r="X21">
        <v>144</v>
      </c>
      <c r="Y21">
        <v>1</v>
      </c>
      <c r="Z21">
        <v>5636</v>
      </c>
    </row>
    <row r="22" spans="1:26">
      <c r="A22">
        <v>17</v>
      </c>
      <c r="B22">
        <v>-1</v>
      </c>
      <c r="C22">
        <v>-1</v>
      </c>
      <c r="D22">
        <v>-1</v>
      </c>
      <c r="E22">
        <v>-1</v>
      </c>
      <c r="F22">
        <v>28</v>
      </c>
      <c r="G22">
        <v>49</v>
      </c>
      <c r="H22">
        <v>50</v>
      </c>
      <c r="I22">
        <v>50</v>
      </c>
      <c r="J22">
        <v>0</v>
      </c>
      <c r="K22">
        <v>1315</v>
      </c>
      <c r="L22">
        <v>146</v>
      </c>
      <c r="M22">
        <v>147</v>
      </c>
      <c r="N22">
        <v>146</v>
      </c>
      <c r="O22">
        <v>0</v>
      </c>
      <c r="P22">
        <v>5773</v>
      </c>
      <c r="Q22">
        <v>99</v>
      </c>
      <c r="R22">
        <v>100</v>
      </c>
      <c r="S22">
        <v>99</v>
      </c>
      <c r="T22">
        <v>0</v>
      </c>
      <c r="U22">
        <v>3399</v>
      </c>
      <c r="V22">
        <v>142</v>
      </c>
      <c r="W22">
        <v>143</v>
      </c>
      <c r="X22">
        <v>143</v>
      </c>
      <c r="Y22">
        <v>1</v>
      </c>
      <c r="Z22">
        <v>5658</v>
      </c>
    </row>
    <row r="23" spans="1:26">
      <c r="A23">
        <v>18</v>
      </c>
      <c r="B23">
        <v>-1</v>
      </c>
      <c r="C23">
        <v>-1</v>
      </c>
      <c r="D23">
        <v>0</v>
      </c>
      <c r="E23">
        <v>-1</v>
      </c>
      <c r="F23">
        <v>28</v>
      </c>
      <c r="G23">
        <v>74</v>
      </c>
      <c r="H23">
        <v>75</v>
      </c>
      <c r="I23">
        <v>75</v>
      </c>
      <c r="J23">
        <v>0</v>
      </c>
      <c r="K23">
        <v>1658</v>
      </c>
      <c r="L23">
        <v>170</v>
      </c>
      <c r="M23">
        <v>172</v>
      </c>
      <c r="N23">
        <v>171</v>
      </c>
      <c r="O23">
        <v>0</v>
      </c>
      <c r="P23">
        <v>6456</v>
      </c>
      <c r="Q23">
        <v>74</v>
      </c>
      <c r="R23">
        <v>74</v>
      </c>
      <c r="S23">
        <v>74</v>
      </c>
      <c r="T23">
        <v>0</v>
      </c>
      <c r="U23">
        <v>3502</v>
      </c>
      <c r="V23">
        <v>144</v>
      </c>
      <c r="W23">
        <v>146</v>
      </c>
      <c r="X23">
        <v>145</v>
      </c>
      <c r="Y23">
        <v>1</v>
      </c>
      <c r="Z23">
        <v>5470</v>
      </c>
    </row>
    <row r="24" spans="1:26">
      <c r="A24">
        <v>19</v>
      </c>
      <c r="B24">
        <v>-1</v>
      </c>
      <c r="C24">
        <v>-1</v>
      </c>
      <c r="D24">
        <v>-1</v>
      </c>
      <c r="E24">
        <v>-1</v>
      </c>
      <c r="F24">
        <v>29</v>
      </c>
      <c r="G24">
        <v>74</v>
      </c>
      <c r="H24">
        <v>75</v>
      </c>
      <c r="I24">
        <v>75</v>
      </c>
      <c r="J24">
        <v>0</v>
      </c>
      <c r="K24">
        <v>2605</v>
      </c>
      <c r="L24">
        <v>172</v>
      </c>
      <c r="M24">
        <v>173</v>
      </c>
      <c r="N24">
        <v>172</v>
      </c>
      <c r="O24">
        <v>0</v>
      </c>
      <c r="P24">
        <v>6783</v>
      </c>
      <c r="Q24">
        <v>100</v>
      </c>
      <c r="R24">
        <v>100</v>
      </c>
      <c r="S24">
        <v>99</v>
      </c>
      <c r="T24">
        <v>0</v>
      </c>
      <c r="U24">
        <v>3743</v>
      </c>
      <c r="V24">
        <v>143</v>
      </c>
      <c r="W24">
        <v>144</v>
      </c>
      <c r="X24">
        <v>143</v>
      </c>
      <c r="Y24">
        <v>1</v>
      </c>
      <c r="Z24">
        <v>5728</v>
      </c>
    </row>
    <row r="25" spans="1:26">
      <c r="A25">
        <v>20</v>
      </c>
      <c r="B25">
        <v>0</v>
      </c>
      <c r="C25">
        <v>0</v>
      </c>
      <c r="D25">
        <v>-1</v>
      </c>
      <c r="E25">
        <v>-1</v>
      </c>
      <c r="F25">
        <v>29</v>
      </c>
      <c r="G25">
        <v>74</v>
      </c>
      <c r="H25">
        <v>75</v>
      </c>
      <c r="I25">
        <v>75</v>
      </c>
      <c r="J25">
        <v>0</v>
      </c>
      <c r="K25">
        <v>2961</v>
      </c>
      <c r="L25">
        <v>173</v>
      </c>
      <c r="M25">
        <v>174</v>
      </c>
      <c r="N25">
        <v>173</v>
      </c>
      <c r="O25">
        <v>0</v>
      </c>
      <c r="P25">
        <v>6843</v>
      </c>
      <c r="Q25">
        <v>99</v>
      </c>
      <c r="R25">
        <v>99</v>
      </c>
      <c r="S25">
        <v>98</v>
      </c>
      <c r="T25">
        <v>0</v>
      </c>
      <c r="U25">
        <v>4149</v>
      </c>
      <c r="V25">
        <v>147</v>
      </c>
      <c r="W25">
        <v>148</v>
      </c>
      <c r="X25">
        <v>147</v>
      </c>
      <c r="Y25">
        <v>1</v>
      </c>
      <c r="Z25">
        <v>5798</v>
      </c>
    </row>
    <row r="26" spans="1:26">
      <c r="A26">
        <v>21</v>
      </c>
      <c r="B26">
        <v>-1</v>
      </c>
      <c r="C26">
        <v>0</v>
      </c>
      <c r="D26">
        <v>-1</v>
      </c>
      <c r="E26">
        <v>-1</v>
      </c>
      <c r="F26">
        <v>30</v>
      </c>
      <c r="G26">
        <v>74</v>
      </c>
      <c r="H26">
        <v>75</v>
      </c>
      <c r="I26">
        <v>75</v>
      </c>
      <c r="J26">
        <v>0</v>
      </c>
      <c r="K26">
        <v>2961</v>
      </c>
      <c r="L26">
        <v>173</v>
      </c>
      <c r="M26">
        <v>173</v>
      </c>
      <c r="N26">
        <v>173</v>
      </c>
      <c r="O26">
        <v>0</v>
      </c>
      <c r="P26">
        <v>6850</v>
      </c>
      <c r="Q26">
        <v>95</v>
      </c>
      <c r="R26">
        <v>95</v>
      </c>
      <c r="S26">
        <v>95</v>
      </c>
      <c r="T26">
        <v>0</v>
      </c>
      <c r="U26">
        <v>3737</v>
      </c>
      <c r="V26">
        <v>149</v>
      </c>
      <c r="W26">
        <v>150</v>
      </c>
      <c r="X26">
        <v>149</v>
      </c>
      <c r="Y26">
        <v>1</v>
      </c>
      <c r="Z26">
        <v>5485</v>
      </c>
    </row>
    <row r="27" spans="1:26">
      <c r="A27">
        <v>22</v>
      </c>
      <c r="B27">
        <v>-1</v>
      </c>
      <c r="C27">
        <v>0</v>
      </c>
      <c r="D27">
        <v>-1</v>
      </c>
      <c r="E27">
        <v>-1</v>
      </c>
      <c r="F27">
        <v>29</v>
      </c>
      <c r="G27">
        <v>74</v>
      </c>
      <c r="H27">
        <v>74</v>
      </c>
      <c r="I27">
        <v>75</v>
      </c>
      <c r="J27">
        <v>0</v>
      </c>
      <c r="K27">
        <v>2959</v>
      </c>
      <c r="L27">
        <v>168</v>
      </c>
      <c r="M27">
        <v>168</v>
      </c>
      <c r="N27">
        <v>167</v>
      </c>
      <c r="O27">
        <v>0</v>
      </c>
      <c r="P27">
        <v>6834</v>
      </c>
      <c r="Q27">
        <v>100</v>
      </c>
      <c r="R27">
        <v>100</v>
      </c>
      <c r="S27">
        <v>99</v>
      </c>
      <c r="T27">
        <v>0</v>
      </c>
      <c r="U27">
        <v>3672</v>
      </c>
      <c r="V27">
        <v>148</v>
      </c>
      <c r="W27">
        <v>148</v>
      </c>
      <c r="X27">
        <v>147</v>
      </c>
      <c r="Y27">
        <v>1</v>
      </c>
      <c r="Z27">
        <v>5872</v>
      </c>
    </row>
    <row r="28" spans="1:26">
      <c r="A28">
        <v>23</v>
      </c>
      <c r="B28">
        <v>-1</v>
      </c>
      <c r="C28">
        <v>0</v>
      </c>
      <c r="D28">
        <v>-1</v>
      </c>
      <c r="E28">
        <v>-1</v>
      </c>
      <c r="F28">
        <v>29</v>
      </c>
      <c r="G28">
        <v>75</v>
      </c>
      <c r="H28">
        <v>75</v>
      </c>
      <c r="I28">
        <v>75</v>
      </c>
      <c r="J28">
        <v>0</v>
      </c>
      <c r="K28">
        <v>2960</v>
      </c>
      <c r="L28">
        <v>174</v>
      </c>
      <c r="M28">
        <v>174</v>
      </c>
      <c r="N28">
        <v>173</v>
      </c>
      <c r="O28">
        <v>0</v>
      </c>
      <c r="P28">
        <v>6745</v>
      </c>
      <c r="Q28">
        <v>85</v>
      </c>
      <c r="R28">
        <v>84</v>
      </c>
      <c r="S28">
        <v>84</v>
      </c>
      <c r="T28">
        <v>0</v>
      </c>
      <c r="U28">
        <v>3758</v>
      </c>
      <c r="V28">
        <v>143</v>
      </c>
      <c r="W28">
        <v>143</v>
      </c>
      <c r="X28">
        <v>143</v>
      </c>
      <c r="Y28">
        <v>1</v>
      </c>
      <c r="Z28">
        <v>5642</v>
      </c>
    </row>
    <row r="29" spans="1:26">
      <c r="A29">
        <v>24</v>
      </c>
      <c r="B29">
        <v>-1</v>
      </c>
      <c r="C29">
        <v>-1</v>
      </c>
      <c r="D29">
        <v>-1</v>
      </c>
      <c r="E29">
        <v>0</v>
      </c>
      <c r="F29">
        <v>29</v>
      </c>
      <c r="G29">
        <v>49</v>
      </c>
      <c r="H29">
        <v>49</v>
      </c>
      <c r="I29">
        <v>50</v>
      </c>
      <c r="J29">
        <v>0</v>
      </c>
      <c r="K29">
        <v>2956</v>
      </c>
      <c r="L29">
        <v>176</v>
      </c>
      <c r="M29">
        <v>176</v>
      </c>
      <c r="N29">
        <v>176</v>
      </c>
      <c r="O29">
        <v>0</v>
      </c>
      <c r="P29">
        <v>6804</v>
      </c>
      <c r="Q29">
        <v>101</v>
      </c>
      <c r="R29">
        <v>100</v>
      </c>
      <c r="S29">
        <v>100</v>
      </c>
      <c r="T29">
        <v>0</v>
      </c>
      <c r="U29">
        <v>3591</v>
      </c>
      <c r="V29">
        <v>150</v>
      </c>
      <c r="W29">
        <v>151</v>
      </c>
      <c r="X29">
        <v>150</v>
      </c>
      <c r="Y29">
        <v>1</v>
      </c>
      <c r="Z29">
        <v>5834</v>
      </c>
    </row>
    <row r="30" spans="1:26">
      <c r="A30" t="s">
        <v>777</v>
      </c>
      <c r="B30" t="s">
        <v>358</v>
      </c>
      <c r="C30" t="s">
        <v>358</v>
      </c>
      <c r="D30" t="s">
        <v>358</v>
      </c>
      <c r="E30" t="s">
        <v>358</v>
      </c>
      <c r="F30">
        <v>714</v>
      </c>
      <c r="G30" t="s">
        <v>358</v>
      </c>
      <c r="H30" t="s">
        <v>358</v>
      </c>
      <c r="I30" t="s">
        <v>358</v>
      </c>
      <c r="J30" t="s">
        <v>358</v>
      </c>
      <c r="K30">
        <v>43605</v>
      </c>
      <c r="L30" t="s">
        <v>358</v>
      </c>
      <c r="M30" t="s">
        <v>358</v>
      </c>
      <c r="N30" t="s">
        <v>358</v>
      </c>
      <c r="O30" t="s">
        <v>358</v>
      </c>
      <c r="P30">
        <v>96022</v>
      </c>
      <c r="Q30" t="s">
        <v>358</v>
      </c>
      <c r="R30" t="s">
        <v>358</v>
      </c>
      <c r="S30" t="s">
        <v>358</v>
      </c>
      <c r="T30" t="s">
        <v>358</v>
      </c>
      <c r="U30">
        <v>65119</v>
      </c>
      <c r="V30" t="s">
        <v>358</v>
      </c>
      <c r="W30" t="s">
        <v>358</v>
      </c>
      <c r="X30" t="s">
        <v>358</v>
      </c>
      <c r="Y30" t="s">
        <v>358</v>
      </c>
      <c r="Z30">
        <v>90962</v>
      </c>
    </row>
    <row r="31" spans="1:26">
      <c r="A31" t="s">
        <v>778</v>
      </c>
      <c r="B31">
        <v>-1</v>
      </c>
      <c r="C31">
        <v>-1</v>
      </c>
      <c r="D31">
        <v>-1</v>
      </c>
      <c r="E31">
        <v>-1</v>
      </c>
      <c r="F31">
        <v>30</v>
      </c>
      <c r="G31">
        <v>49</v>
      </c>
      <c r="H31">
        <v>49</v>
      </c>
      <c r="I31">
        <v>49</v>
      </c>
      <c r="J31">
        <v>0</v>
      </c>
      <c r="K31">
        <v>1817</v>
      </c>
      <c r="L31">
        <v>105</v>
      </c>
      <c r="M31">
        <v>106</v>
      </c>
      <c r="N31">
        <v>105</v>
      </c>
      <c r="O31">
        <v>0</v>
      </c>
      <c r="P31">
        <v>4001</v>
      </c>
      <c r="Q31">
        <v>67</v>
      </c>
      <c r="R31">
        <v>67</v>
      </c>
      <c r="S31">
        <v>67</v>
      </c>
      <c r="T31">
        <v>0</v>
      </c>
      <c r="U31">
        <v>2713</v>
      </c>
      <c r="V31">
        <v>105</v>
      </c>
      <c r="W31">
        <v>106</v>
      </c>
      <c r="X31">
        <v>105</v>
      </c>
      <c r="Y31">
        <v>1</v>
      </c>
      <c r="Z31">
        <v>3790</v>
      </c>
    </row>
    <row r="32" spans="1:26">
      <c r="A32" t="s">
        <v>779</v>
      </c>
      <c r="B32">
        <v>-1</v>
      </c>
      <c r="C32">
        <v>-1</v>
      </c>
      <c r="D32">
        <v>-1</v>
      </c>
      <c r="E32">
        <v>-1</v>
      </c>
      <c r="F32">
        <v>32</v>
      </c>
      <c r="G32">
        <v>100</v>
      </c>
      <c r="H32">
        <v>101</v>
      </c>
      <c r="I32">
        <v>101</v>
      </c>
      <c r="J32">
        <v>0</v>
      </c>
      <c r="K32">
        <v>3916</v>
      </c>
      <c r="L32">
        <v>176</v>
      </c>
      <c r="M32">
        <v>176</v>
      </c>
      <c r="N32">
        <v>176</v>
      </c>
      <c r="O32">
        <v>0</v>
      </c>
      <c r="P32">
        <v>6850</v>
      </c>
      <c r="Q32">
        <v>150</v>
      </c>
      <c r="R32">
        <v>152</v>
      </c>
      <c r="S32">
        <v>151</v>
      </c>
      <c r="T32">
        <v>0</v>
      </c>
      <c r="U32">
        <v>5507</v>
      </c>
      <c r="V32">
        <v>200</v>
      </c>
      <c r="W32">
        <v>202</v>
      </c>
      <c r="X32">
        <v>201</v>
      </c>
      <c r="Y32">
        <v>1</v>
      </c>
      <c r="Z32">
        <v>6533</v>
      </c>
    </row>
    <row r="33" spans="1:26">
      <c r="A33" t="s">
        <v>780</v>
      </c>
      <c r="B33">
        <v>1</v>
      </c>
      <c r="C33">
        <v>2</v>
      </c>
      <c r="D33">
        <v>1</v>
      </c>
      <c r="E33">
        <v>1</v>
      </c>
      <c r="F33">
        <v>6</v>
      </c>
      <c r="G33">
        <v>11</v>
      </c>
      <c r="H33">
        <v>11</v>
      </c>
      <c r="I33">
        <v>10</v>
      </c>
      <c r="J33">
        <v>1</v>
      </c>
      <c r="K33">
        <v>11</v>
      </c>
      <c r="L33">
        <v>24</v>
      </c>
      <c r="M33">
        <v>24</v>
      </c>
      <c r="N33">
        <v>24</v>
      </c>
      <c r="O33">
        <v>1</v>
      </c>
      <c r="P33">
        <v>21</v>
      </c>
      <c r="Q33">
        <v>11</v>
      </c>
      <c r="R33">
        <v>11</v>
      </c>
      <c r="S33">
        <v>11</v>
      </c>
      <c r="T33">
        <v>1</v>
      </c>
      <c r="U33">
        <v>12</v>
      </c>
      <c r="V33">
        <v>10</v>
      </c>
      <c r="W33">
        <v>10</v>
      </c>
      <c r="X33">
        <v>10</v>
      </c>
      <c r="Y33">
        <v>1</v>
      </c>
      <c r="Z33">
        <v>11</v>
      </c>
    </row>
    <row r="34" spans="1:26">
      <c r="A34" t="s">
        <v>781</v>
      </c>
      <c r="B34">
        <v>-1</v>
      </c>
      <c r="C34">
        <v>0</v>
      </c>
      <c r="D34">
        <v>-1</v>
      </c>
      <c r="E34">
        <v>-1</v>
      </c>
      <c r="F34">
        <v>28</v>
      </c>
      <c r="G34">
        <v>5</v>
      </c>
      <c r="H34">
        <v>5</v>
      </c>
      <c r="I34">
        <v>5</v>
      </c>
      <c r="J34">
        <v>0</v>
      </c>
      <c r="K34">
        <v>75</v>
      </c>
      <c r="L34">
        <v>6</v>
      </c>
      <c r="M34">
        <v>6</v>
      </c>
      <c r="N34">
        <v>6</v>
      </c>
      <c r="O34">
        <v>0</v>
      </c>
      <c r="P34">
        <v>56</v>
      </c>
      <c r="Q34">
        <v>5</v>
      </c>
      <c r="R34">
        <v>5</v>
      </c>
      <c r="S34">
        <v>5</v>
      </c>
      <c r="T34">
        <v>0</v>
      </c>
      <c r="U34">
        <v>61</v>
      </c>
      <c r="V34">
        <v>6</v>
      </c>
      <c r="W34">
        <v>6</v>
      </c>
      <c r="X34">
        <v>6</v>
      </c>
      <c r="Y34">
        <v>1</v>
      </c>
      <c r="Z34">
        <v>0</v>
      </c>
    </row>
    <row r="35" spans="1:26">
      <c r="A35" t="s">
        <v>782</v>
      </c>
      <c r="B35">
        <v>1</v>
      </c>
      <c r="C35">
        <v>1</v>
      </c>
      <c r="D35">
        <v>1</v>
      </c>
      <c r="E35">
        <v>1</v>
      </c>
      <c r="F35">
        <v>17</v>
      </c>
      <c r="G35">
        <v>16</v>
      </c>
      <c r="H35">
        <v>16</v>
      </c>
      <c r="I35">
        <v>16</v>
      </c>
      <c r="J35">
        <v>1</v>
      </c>
      <c r="K35">
        <v>4</v>
      </c>
      <c r="L35">
        <v>1</v>
      </c>
      <c r="M35">
        <v>1</v>
      </c>
      <c r="N35">
        <v>1</v>
      </c>
      <c r="O35">
        <v>1</v>
      </c>
      <c r="P35">
        <v>4</v>
      </c>
      <c r="Q35">
        <v>3</v>
      </c>
      <c r="R35">
        <v>3</v>
      </c>
      <c r="S35">
        <v>3</v>
      </c>
      <c r="T35">
        <v>1</v>
      </c>
      <c r="U35">
        <v>5</v>
      </c>
      <c r="V35">
        <v>3</v>
      </c>
      <c r="W35">
        <v>3</v>
      </c>
      <c r="X35">
        <v>3</v>
      </c>
      <c r="Y35">
        <v>1</v>
      </c>
      <c r="Z35">
        <v>1</v>
      </c>
    </row>
    <row r="37" spans="1:26">
      <c r="A37" s="950" t="s">
        <v>771</v>
      </c>
      <c r="B37" s="947" t="s">
        <v>359</v>
      </c>
      <c r="C37" s="948"/>
      <c r="D37" s="948"/>
      <c r="E37" s="948"/>
      <c r="F37" s="949"/>
      <c r="G37" s="947" t="s">
        <v>93</v>
      </c>
      <c r="H37" s="948"/>
      <c r="I37" s="948"/>
      <c r="J37" s="948"/>
      <c r="K37" s="949"/>
      <c r="L37" s="947" t="s">
        <v>94</v>
      </c>
      <c r="M37" s="948"/>
      <c r="N37" s="948"/>
      <c r="O37" s="948"/>
      <c r="P37" s="949"/>
      <c r="Q37" s="947" t="s">
        <v>95</v>
      </c>
      <c r="R37" s="948"/>
      <c r="S37" s="948"/>
      <c r="T37" s="948"/>
      <c r="U37" s="949"/>
      <c r="V37" s="947" t="s">
        <v>96</v>
      </c>
      <c r="W37" s="948"/>
      <c r="X37" s="948"/>
      <c r="Y37" s="948"/>
      <c r="Z37" s="949"/>
    </row>
    <row r="38" spans="1:26">
      <c r="A38" s="951"/>
      <c r="B38" s="255" t="s">
        <v>773</v>
      </c>
      <c r="C38" s="255" t="s">
        <v>774</v>
      </c>
      <c r="D38" s="255" t="s">
        <v>775</v>
      </c>
      <c r="E38" s="255" t="s">
        <v>776</v>
      </c>
      <c r="F38" s="255" t="s">
        <v>772</v>
      </c>
      <c r="G38" s="255" t="s">
        <v>773</v>
      </c>
      <c r="H38" s="255" t="s">
        <v>774</v>
      </c>
      <c r="I38" s="255" t="s">
        <v>775</v>
      </c>
      <c r="J38" s="255" t="s">
        <v>776</v>
      </c>
      <c r="K38" s="255" t="s">
        <v>772</v>
      </c>
      <c r="L38" s="255" t="s">
        <v>773</v>
      </c>
      <c r="M38" s="255" t="s">
        <v>774</v>
      </c>
      <c r="N38" s="255" t="s">
        <v>775</v>
      </c>
      <c r="O38" s="255" t="s">
        <v>776</v>
      </c>
      <c r="P38" s="255" t="s">
        <v>772</v>
      </c>
      <c r="Q38" s="255" t="s">
        <v>773</v>
      </c>
      <c r="R38" s="255" t="s">
        <v>774</v>
      </c>
      <c r="S38" s="255" t="s">
        <v>775</v>
      </c>
      <c r="T38" s="255" t="s">
        <v>776</v>
      </c>
      <c r="U38" s="255" t="s">
        <v>772</v>
      </c>
      <c r="V38" s="255" t="s">
        <v>773</v>
      </c>
      <c r="W38" s="255" t="s">
        <v>774</v>
      </c>
      <c r="X38" s="255" t="s">
        <v>775</v>
      </c>
      <c r="Y38" s="255" t="s">
        <v>776</v>
      </c>
      <c r="Z38" s="255" t="s">
        <v>764</v>
      </c>
    </row>
    <row r="39" spans="1:26">
      <c r="A39">
        <v>1</v>
      </c>
      <c r="B39">
        <v>10</v>
      </c>
      <c r="C39">
        <v>10</v>
      </c>
      <c r="D39">
        <v>9</v>
      </c>
      <c r="E39">
        <v>1</v>
      </c>
      <c r="F39">
        <v>123</v>
      </c>
      <c r="G39">
        <v>13</v>
      </c>
      <c r="H39">
        <v>12</v>
      </c>
      <c r="I39">
        <v>12</v>
      </c>
      <c r="J39">
        <v>1</v>
      </c>
      <c r="K39">
        <v>126</v>
      </c>
      <c r="L39">
        <v>1</v>
      </c>
      <c r="M39">
        <v>1</v>
      </c>
      <c r="N39">
        <v>1</v>
      </c>
      <c r="O39">
        <v>1</v>
      </c>
      <c r="P39">
        <v>47</v>
      </c>
      <c r="Q39" t="s">
        <v>85</v>
      </c>
      <c r="R39" t="s">
        <v>85</v>
      </c>
      <c r="S39" t="s">
        <v>85</v>
      </c>
      <c r="T39" t="s">
        <v>85</v>
      </c>
      <c r="U39" t="s">
        <v>85</v>
      </c>
      <c r="V39" t="s">
        <v>85</v>
      </c>
      <c r="W39" t="s">
        <v>85</v>
      </c>
      <c r="X39" t="s">
        <v>85</v>
      </c>
      <c r="Y39" t="s">
        <v>85</v>
      </c>
      <c r="Z39" t="s">
        <v>85</v>
      </c>
    </row>
    <row r="40" spans="1:26">
      <c r="A40">
        <v>2</v>
      </c>
      <c r="B40">
        <v>11</v>
      </c>
      <c r="C40">
        <v>11</v>
      </c>
      <c r="D40">
        <v>11</v>
      </c>
      <c r="E40">
        <v>1</v>
      </c>
      <c r="F40">
        <v>238</v>
      </c>
      <c r="G40">
        <v>13</v>
      </c>
      <c r="H40">
        <v>13</v>
      </c>
      <c r="I40">
        <v>13</v>
      </c>
      <c r="J40">
        <v>1</v>
      </c>
      <c r="K40">
        <v>242</v>
      </c>
      <c r="L40">
        <v>1</v>
      </c>
      <c r="M40">
        <v>1</v>
      </c>
      <c r="N40">
        <v>1</v>
      </c>
      <c r="O40">
        <v>1</v>
      </c>
      <c r="P40">
        <v>47</v>
      </c>
      <c r="Q40" t="s">
        <v>85</v>
      </c>
      <c r="R40" t="s">
        <v>85</v>
      </c>
      <c r="S40" t="s">
        <v>85</v>
      </c>
      <c r="T40" t="s">
        <v>85</v>
      </c>
      <c r="U40" t="s">
        <v>85</v>
      </c>
      <c r="V40" t="s">
        <v>85</v>
      </c>
      <c r="W40" t="s">
        <v>85</v>
      </c>
      <c r="X40" t="s">
        <v>85</v>
      </c>
      <c r="Y40" t="s">
        <v>85</v>
      </c>
      <c r="Z40" t="s">
        <v>85</v>
      </c>
    </row>
    <row r="41" spans="1:26">
      <c r="A41">
        <v>3</v>
      </c>
      <c r="B41">
        <v>10</v>
      </c>
      <c r="C41">
        <v>10</v>
      </c>
      <c r="D41">
        <v>10</v>
      </c>
      <c r="E41">
        <v>1</v>
      </c>
      <c r="F41">
        <v>111</v>
      </c>
      <c r="G41">
        <v>12</v>
      </c>
      <c r="H41">
        <v>12</v>
      </c>
      <c r="I41">
        <v>12</v>
      </c>
      <c r="J41">
        <v>1</v>
      </c>
      <c r="K41">
        <v>133</v>
      </c>
      <c r="L41">
        <v>1</v>
      </c>
      <c r="M41">
        <v>1</v>
      </c>
      <c r="N41">
        <v>1</v>
      </c>
      <c r="O41">
        <v>1</v>
      </c>
      <c r="P41">
        <v>48</v>
      </c>
      <c r="Q41" t="s">
        <v>85</v>
      </c>
      <c r="R41" t="s">
        <v>85</v>
      </c>
      <c r="S41" t="s">
        <v>85</v>
      </c>
      <c r="T41" t="s">
        <v>85</v>
      </c>
      <c r="U41" t="s">
        <v>85</v>
      </c>
      <c r="V41" t="s">
        <v>85</v>
      </c>
      <c r="W41" t="s">
        <v>85</v>
      </c>
      <c r="X41" t="s">
        <v>85</v>
      </c>
      <c r="Y41" t="s">
        <v>85</v>
      </c>
      <c r="Z41" t="s">
        <v>85</v>
      </c>
    </row>
    <row r="42" spans="1:26">
      <c r="A42">
        <v>4</v>
      </c>
      <c r="B42">
        <v>10</v>
      </c>
      <c r="C42">
        <v>10</v>
      </c>
      <c r="D42">
        <v>10</v>
      </c>
      <c r="E42">
        <v>1</v>
      </c>
      <c r="F42">
        <v>102</v>
      </c>
      <c r="G42">
        <v>12</v>
      </c>
      <c r="H42">
        <v>12</v>
      </c>
      <c r="I42">
        <v>12</v>
      </c>
      <c r="J42">
        <v>1</v>
      </c>
      <c r="K42">
        <v>104</v>
      </c>
      <c r="L42">
        <v>1</v>
      </c>
      <c r="M42">
        <v>1</v>
      </c>
      <c r="N42">
        <v>1</v>
      </c>
      <c r="O42">
        <v>1</v>
      </c>
      <c r="P42">
        <v>48</v>
      </c>
      <c r="Q42" t="s">
        <v>85</v>
      </c>
      <c r="R42" t="s">
        <v>85</v>
      </c>
      <c r="S42" t="s">
        <v>85</v>
      </c>
      <c r="T42" t="s">
        <v>85</v>
      </c>
      <c r="U42" t="s">
        <v>85</v>
      </c>
      <c r="V42" t="s">
        <v>85</v>
      </c>
      <c r="W42" t="s">
        <v>85</v>
      </c>
      <c r="X42" t="s">
        <v>85</v>
      </c>
      <c r="Y42" t="s">
        <v>85</v>
      </c>
      <c r="Z42" t="s">
        <v>85</v>
      </c>
    </row>
    <row r="43" spans="1:26">
      <c r="A43">
        <v>5</v>
      </c>
      <c r="B43">
        <v>11</v>
      </c>
      <c r="C43">
        <v>11</v>
      </c>
      <c r="D43">
        <v>10</v>
      </c>
      <c r="E43">
        <v>1</v>
      </c>
      <c r="F43">
        <v>103</v>
      </c>
      <c r="G43">
        <v>12</v>
      </c>
      <c r="H43">
        <v>12</v>
      </c>
      <c r="I43">
        <v>12</v>
      </c>
      <c r="J43">
        <v>1</v>
      </c>
      <c r="K43">
        <v>110</v>
      </c>
      <c r="L43">
        <v>1</v>
      </c>
      <c r="M43">
        <v>1</v>
      </c>
      <c r="N43">
        <v>1</v>
      </c>
      <c r="O43">
        <v>1</v>
      </c>
      <c r="P43">
        <v>48</v>
      </c>
      <c r="Q43" t="s">
        <v>85</v>
      </c>
      <c r="R43" t="s">
        <v>85</v>
      </c>
      <c r="S43" t="s">
        <v>85</v>
      </c>
      <c r="T43" t="s">
        <v>85</v>
      </c>
      <c r="U43" t="s">
        <v>85</v>
      </c>
      <c r="V43" t="s">
        <v>85</v>
      </c>
      <c r="W43" t="s">
        <v>85</v>
      </c>
      <c r="X43" t="s">
        <v>85</v>
      </c>
      <c r="Y43" t="s">
        <v>85</v>
      </c>
      <c r="Z43" t="s">
        <v>85</v>
      </c>
    </row>
    <row r="44" spans="1:26">
      <c r="A44">
        <v>6</v>
      </c>
      <c r="B44">
        <v>12</v>
      </c>
      <c r="C44">
        <v>12</v>
      </c>
      <c r="D44">
        <v>12</v>
      </c>
      <c r="E44">
        <v>1</v>
      </c>
      <c r="F44">
        <v>163</v>
      </c>
      <c r="G44">
        <v>12</v>
      </c>
      <c r="H44">
        <v>13</v>
      </c>
      <c r="I44">
        <v>13</v>
      </c>
      <c r="J44">
        <v>1</v>
      </c>
      <c r="K44">
        <v>130</v>
      </c>
      <c r="L44">
        <v>1</v>
      </c>
      <c r="M44">
        <v>1</v>
      </c>
      <c r="N44">
        <v>1</v>
      </c>
      <c r="O44">
        <v>1</v>
      </c>
      <c r="P44">
        <v>48</v>
      </c>
      <c r="Q44" t="s">
        <v>85</v>
      </c>
      <c r="R44" t="s">
        <v>85</v>
      </c>
      <c r="S44" t="s">
        <v>85</v>
      </c>
      <c r="T44" t="s">
        <v>85</v>
      </c>
      <c r="U44" t="s">
        <v>85</v>
      </c>
      <c r="V44" t="s">
        <v>85</v>
      </c>
      <c r="W44" t="s">
        <v>85</v>
      </c>
      <c r="X44" t="s">
        <v>85</v>
      </c>
      <c r="Y44" t="s">
        <v>85</v>
      </c>
      <c r="Z44" t="s">
        <v>85</v>
      </c>
    </row>
    <row r="45" spans="1:26">
      <c r="A45">
        <v>7</v>
      </c>
      <c r="B45">
        <v>41</v>
      </c>
      <c r="C45">
        <v>41</v>
      </c>
      <c r="D45">
        <v>41</v>
      </c>
      <c r="E45">
        <v>1</v>
      </c>
      <c r="F45">
        <v>2232</v>
      </c>
      <c r="G45">
        <v>45</v>
      </c>
      <c r="H45">
        <v>45</v>
      </c>
      <c r="I45">
        <v>45</v>
      </c>
      <c r="J45">
        <v>1</v>
      </c>
      <c r="K45">
        <v>1745</v>
      </c>
      <c r="L45">
        <v>1</v>
      </c>
      <c r="M45">
        <v>1</v>
      </c>
      <c r="N45">
        <v>1</v>
      </c>
      <c r="O45">
        <v>1</v>
      </c>
      <c r="P45">
        <v>48</v>
      </c>
      <c r="Q45" t="s">
        <v>85</v>
      </c>
      <c r="R45" t="s">
        <v>85</v>
      </c>
      <c r="S45" t="s">
        <v>85</v>
      </c>
      <c r="T45" t="s">
        <v>85</v>
      </c>
      <c r="U45" t="s">
        <v>85</v>
      </c>
      <c r="V45" t="s">
        <v>85</v>
      </c>
      <c r="W45" t="s">
        <v>85</v>
      </c>
      <c r="X45" t="s">
        <v>85</v>
      </c>
      <c r="Y45" t="s">
        <v>85</v>
      </c>
      <c r="Z45" t="s">
        <v>85</v>
      </c>
    </row>
    <row r="46" spans="1:26">
      <c r="A46">
        <v>8</v>
      </c>
      <c r="B46">
        <v>45</v>
      </c>
      <c r="C46">
        <v>44</v>
      </c>
      <c r="D46">
        <v>44</v>
      </c>
      <c r="E46">
        <v>1</v>
      </c>
      <c r="F46">
        <v>2477</v>
      </c>
      <c r="G46">
        <v>29</v>
      </c>
      <c r="H46">
        <v>28</v>
      </c>
      <c r="I46">
        <v>29</v>
      </c>
      <c r="J46">
        <v>1</v>
      </c>
      <c r="K46">
        <v>1656</v>
      </c>
      <c r="L46">
        <v>1</v>
      </c>
      <c r="M46">
        <v>1</v>
      </c>
      <c r="N46">
        <v>1</v>
      </c>
      <c r="O46">
        <v>1</v>
      </c>
      <c r="P46">
        <v>47</v>
      </c>
      <c r="Q46" t="s">
        <v>85</v>
      </c>
      <c r="R46" t="s">
        <v>85</v>
      </c>
      <c r="S46" t="s">
        <v>85</v>
      </c>
      <c r="T46" t="s">
        <v>85</v>
      </c>
      <c r="U46" t="s">
        <v>85</v>
      </c>
      <c r="V46" t="s">
        <v>85</v>
      </c>
      <c r="W46" t="s">
        <v>85</v>
      </c>
      <c r="X46" t="s">
        <v>85</v>
      </c>
      <c r="Y46" t="s">
        <v>85</v>
      </c>
      <c r="Z46" t="s">
        <v>85</v>
      </c>
    </row>
    <row r="47" spans="1:26">
      <c r="A47">
        <v>9</v>
      </c>
      <c r="B47">
        <v>24</v>
      </c>
      <c r="C47">
        <v>23</v>
      </c>
      <c r="D47">
        <v>23</v>
      </c>
      <c r="E47">
        <v>1</v>
      </c>
      <c r="F47">
        <v>1416</v>
      </c>
      <c r="G47">
        <v>14</v>
      </c>
      <c r="H47">
        <v>14</v>
      </c>
      <c r="I47">
        <v>14</v>
      </c>
      <c r="J47">
        <v>1</v>
      </c>
      <c r="K47">
        <v>769</v>
      </c>
      <c r="L47">
        <v>1</v>
      </c>
      <c r="M47">
        <v>1</v>
      </c>
      <c r="N47">
        <v>1</v>
      </c>
      <c r="O47">
        <v>1</v>
      </c>
      <c r="P47">
        <v>48</v>
      </c>
      <c r="Q47" t="s">
        <v>85</v>
      </c>
      <c r="R47" t="s">
        <v>85</v>
      </c>
      <c r="S47" t="s">
        <v>85</v>
      </c>
      <c r="T47" t="s">
        <v>85</v>
      </c>
      <c r="U47" t="s">
        <v>85</v>
      </c>
      <c r="V47" t="s">
        <v>85</v>
      </c>
      <c r="W47" t="s">
        <v>85</v>
      </c>
      <c r="X47" t="s">
        <v>85</v>
      </c>
      <c r="Y47" t="s">
        <v>85</v>
      </c>
      <c r="Z47" t="s">
        <v>85</v>
      </c>
    </row>
    <row r="48" spans="1:26">
      <c r="A48">
        <v>10</v>
      </c>
      <c r="B48">
        <v>198</v>
      </c>
      <c r="C48">
        <v>200</v>
      </c>
      <c r="D48">
        <v>199</v>
      </c>
      <c r="E48">
        <v>2</v>
      </c>
      <c r="F48">
        <v>4298</v>
      </c>
      <c r="G48">
        <v>98</v>
      </c>
      <c r="H48">
        <v>99</v>
      </c>
      <c r="I48">
        <v>98</v>
      </c>
      <c r="J48">
        <v>1</v>
      </c>
      <c r="K48">
        <v>2044</v>
      </c>
      <c r="L48">
        <v>1</v>
      </c>
      <c r="M48">
        <v>1</v>
      </c>
      <c r="N48">
        <v>1</v>
      </c>
      <c r="O48">
        <v>1</v>
      </c>
      <c r="P48">
        <v>47</v>
      </c>
      <c r="Q48" t="s">
        <v>85</v>
      </c>
      <c r="R48" t="s">
        <v>85</v>
      </c>
      <c r="S48" t="s">
        <v>85</v>
      </c>
      <c r="T48" t="s">
        <v>85</v>
      </c>
      <c r="U48" t="s">
        <v>85</v>
      </c>
      <c r="V48" t="s">
        <v>85</v>
      </c>
      <c r="W48" t="s">
        <v>85</v>
      </c>
      <c r="X48" t="s">
        <v>85</v>
      </c>
      <c r="Y48" t="s">
        <v>85</v>
      </c>
      <c r="Z48" t="s">
        <v>85</v>
      </c>
    </row>
    <row r="49" spans="1:26">
      <c r="A49">
        <v>11</v>
      </c>
      <c r="B49">
        <v>201</v>
      </c>
      <c r="C49">
        <v>203</v>
      </c>
      <c r="D49">
        <v>202</v>
      </c>
      <c r="E49">
        <v>2</v>
      </c>
      <c r="F49">
        <v>7928</v>
      </c>
      <c r="G49">
        <v>44</v>
      </c>
      <c r="H49">
        <v>45</v>
      </c>
      <c r="I49">
        <v>44</v>
      </c>
      <c r="J49">
        <v>1</v>
      </c>
      <c r="K49">
        <v>2714</v>
      </c>
      <c r="L49">
        <v>1</v>
      </c>
      <c r="M49">
        <v>1</v>
      </c>
      <c r="N49">
        <v>1</v>
      </c>
      <c r="O49">
        <v>1</v>
      </c>
      <c r="P49">
        <v>47</v>
      </c>
      <c r="Q49" t="s">
        <v>85</v>
      </c>
      <c r="R49" t="s">
        <v>85</v>
      </c>
      <c r="S49" t="s">
        <v>85</v>
      </c>
      <c r="T49" t="s">
        <v>85</v>
      </c>
      <c r="U49" t="s">
        <v>85</v>
      </c>
      <c r="V49" t="s">
        <v>85</v>
      </c>
      <c r="W49" t="s">
        <v>85</v>
      </c>
      <c r="X49" t="s">
        <v>85</v>
      </c>
      <c r="Y49" t="s">
        <v>85</v>
      </c>
      <c r="Z49" t="s">
        <v>85</v>
      </c>
    </row>
    <row r="50" spans="1:26">
      <c r="A50">
        <v>12</v>
      </c>
      <c r="B50">
        <v>194</v>
      </c>
      <c r="C50">
        <v>197</v>
      </c>
      <c r="D50">
        <v>195</v>
      </c>
      <c r="E50">
        <v>2</v>
      </c>
      <c r="F50">
        <v>7853</v>
      </c>
      <c r="G50">
        <v>42</v>
      </c>
      <c r="H50">
        <v>42</v>
      </c>
      <c r="I50">
        <v>42</v>
      </c>
      <c r="J50">
        <v>1</v>
      </c>
      <c r="K50">
        <v>1294</v>
      </c>
      <c r="L50">
        <v>1</v>
      </c>
      <c r="M50">
        <v>1</v>
      </c>
      <c r="N50">
        <v>1</v>
      </c>
      <c r="O50">
        <v>1</v>
      </c>
      <c r="P50">
        <v>47</v>
      </c>
      <c r="Q50" t="s">
        <v>85</v>
      </c>
      <c r="R50" t="s">
        <v>85</v>
      </c>
      <c r="S50" t="s">
        <v>85</v>
      </c>
      <c r="T50" t="s">
        <v>85</v>
      </c>
      <c r="U50" t="s">
        <v>85</v>
      </c>
      <c r="V50" t="s">
        <v>85</v>
      </c>
      <c r="W50" t="s">
        <v>85</v>
      </c>
      <c r="X50" t="s">
        <v>85</v>
      </c>
      <c r="Y50" t="s">
        <v>85</v>
      </c>
      <c r="Z50" t="s">
        <v>85</v>
      </c>
    </row>
    <row r="51" spans="1:26">
      <c r="A51">
        <v>13</v>
      </c>
      <c r="B51">
        <v>193</v>
      </c>
      <c r="C51">
        <v>195</v>
      </c>
      <c r="D51">
        <v>193</v>
      </c>
      <c r="E51">
        <v>2</v>
      </c>
      <c r="F51">
        <v>7662</v>
      </c>
      <c r="G51">
        <v>12</v>
      </c>
      <c r="H51">
        <v>12</v>
      </c>
      <c r="I51">
        <v>12</v>
      </c>
      <c r="J51">
        <v>1</v>
      </c>
      <c r="K51">
        <v>1079</v>
      </c>
      <c r="L51">
        <v>1</v>
      </c>
      <c r="M51">
        <v>1</v>
      </c>
      <c r="N51">
        <v>1</v>
      </c>
      <c r="O51">
        <v>1</v>
      </c>
      <c r="P51">
        <v>48</v>
      </c>
      <c r="Q51" t="s">
        <v>85</v>
      </c>
      <c r="R51" t="s">
        <v>85</v>
      </c>
      <c r="S51" t="s">
        <v>85</v>
      </c>
      <c r="T51" t="s">
        <v>85</v>
      </c>
      <c r="U51" t="s">
        <v>85</v>
      </c>
      <c r="V51" t="s">
        <v>85</v>
      </c>
      <c r="W51" t="s">
        <v>85</v>
      </c>
      <c r="X51" t="s">
        <v>85</v>
      </c>
      <c r="Y51" t="s">
        <v>85</v>
      </c>
      <c r="Z51" t="s">
        <v>85</v>
      </c>
    </row>
    <row r="52" spans="1:26">
      <c r="A52">
        <v>14</v>
      </c>
      <c r="B52">
        <v>144</v>
      </c>
      <c r="C52">
        <v>145</v>
      </c>
      <c r="D52">
        <v>144</v>
      </c>
      <c r="E52">
        <v>2</v>
      </c>
      <c r="F52">
        <v>7529</v>
      </c>
      <c r="G52">
        <v>12</v>
      </c>
      <c r="H52">
        <v>12</v>
      </c>
      <c r="I52">
        <v>12</v>
      </c>
      <c r="J52">
        <v>1</v>
      </c>
      <c r="K52">
        <v>2070</v>
      </c>
      <c r="L52">
        <v>1</v>
      </c>
      <c r="M52">
        <v>1</v>
      </c>
      <c r="N52">
        <v>1</v>
      </c>
      <c r="O52">
        <v>1</v>
      </c>
      <c r="P52">
        <v>47</v>
      </c>
      <c r="Q52" t="s">
        <v>85</v>
      </c>
      <c r="R52" t="s">
        <v>85</v>
      </c>
      <c r="S52" t="s">
        <v>85</v>
      </c>
      <c r="T52" t="s">
        <v>85</v>
      </c>
      <c r="U52" t="s">
        <v>85</v>
      </c>
      <c r="V52" t="s">
        <v>85</v>
      </c>
      <c r="W52" t="s">
        <v>85</v>
      </c>
      <c r="X52" t="s">
        <v>85</v>
      </c>
      <c r="Y52" t="s">
        <v>85</v>
      </c>
      <c r="Z52" t="s">
        <v>85</v>
      </c>
    </row>
    <row r="53" spans="1:26">
      <c r="A53">
        <v>15</v>
      </c>
      <c r="B53">
        <v>145</v>
      </c>
      <c r="C53">
        <v>146</v>
      </c>
      <c r="D53">
        <v>145</v>
      </c>
      <c r="E53">
        <v>1</v>
      </c>
      <c r="F53">
        <v>5662</v>
      </c>
      <c r="G53">
        <v>51</v>
      </c>
      <c r="H53">
        <v>51</v>
      </c>
      <c r="I53">
        <v>51</v>
      </c>
      <c r="J53">
        <v>1</v>
      </c>
      <c r="K53">
        <v>992</v>
      </c>
      <c r="L53">
        <v>1</v>
      </c>
      <c r="M53">
        <v>1</v>
      </c>
      <c r="N53">
        <v>1</v>
      </c>
      <c r="O53">
        <v>1</v>
      </c>
      <c r="P53">
        <v>47</v>
      </c>
      <c r="Q53" t="s">
        <v>85</v>
      </c>
      <c r="R53" t="s">
        <v>85</v>
      </c>
      <c r="S53" t="s">
        <v>85</v>
      </c>
      <c r="T53" t="s">
        <v>85</v>
      </c>
      <c r="U53" t="s">
        <v>85</v>
      </c>
      <c r="V53" t="s">
        <v>85</v>
      </c>
      <c r="W53" t="s">
        <v>85</v>
      </c>
      <c r="X53" t="s">
        <v>85</v>
      </c>
      <c r="Y53" t="s">
        <v>85</v>
      </c>
      <c r="Z53" t="s">
        <v>85</v>
      </c>
    </row>
    <row r="54" spans="1:26">
      <c r="A54">
        <v>16</v>
      </c>
      <c r="B54">
        <v>143</v>
      </c>
      <c r="C54">
        <v>145</v>
      </c>
      <c r="D54">
        <v>144</v>
      </c>
      <c r="E54">
        <v>1</v>
      </c>
      <c r="F54">
        <v>5688</v>
      </c>
      <c r="G54">
        <v>51</v>
      </c>
      <c r="H54">
        <v>51</v>
      </c>
      <c r="I54">
        <v>51</v>
      </c>
      <c r="J54">
        <v>1</v>
      </c>
      <c r="K54">
        <v>1990</v>
      </c>
      <c r="L54">
        <v>1</v>
      </c>
      <c r="M54">
        <v>1</v>
      </c>
      <c r="N54">
        <v>1</v>
      </c>
      <c r="O54">
        <v>1</v>
      </c>
      <c r="P54">
        <v>47</v>
      </c>
      <c r="Q54" t="s">
        <v>85</v>
      </c>
      <c r="R54" t="s">
        <v>85</v>
      </c>
      <c r="S54" t="s">
        <v>85</v>
      </c>
      <c r="T54" t="s">
        <v>85</v>
      </c>
      <c r="U54" t="s">
        <v>85</v>
      </c>
      <c r="V54" t="s">
        <v>85</v>
      </c>
      <c r="W54" t="s">
        <v>85</v>
      </c>
      <c r="X54" t="s">
        <v>85</v>
      </c>
      <c r="Y54" t="s">
        <v>85</v>
      </c>
      <c r="Z54" t="s">
        <v>85</v>
      </c>
    </row>
    <row r="55" spans="1:26">
      <c r="A55">
        <v>17</v>
      </c>
      <c r="B55">
        <v>194</v>
      </c>
      <c r="C55">
        <v>196</v>
      </c>
      <c r="D55">
        <v>194</v>
      </c>
      <c r="E55">
        <v>2</v>
      </c>
      <c r="F55">
        <v>5963</v>
      </c>
      <c r="G55">
        <v>88</v>
      </c>
      <c r="H55">
        <v>88</v>
      </c>
      <c r="I55">
        <v>88</v>
      </c>
      <c r="J55">
        <v>1</v>
      </c>
      <c r="K55">
        <v>3141</v>
      </c>
      <c r="L55">
        <v>1</v>
      </c>
      <c r="M55">
        <v>1</v>
      </c>
      <c r="N55">
        <v>1</v>
      </c>
      <c r="O55">
        <v>1</v>
      </c>
      <c r="P55">
        <v>47</v>
      </c>
      <c r="Q55" t="s">
        <v>85</v>
      </c>
      <c r="R55" t="s">
        <v>85</v>
      </c>
      <c r="S55" t="s">
        <v>85</v>
      </c>
      <c r="T55" t="s">
        <v>85</v>
      </c>
      <c r="U55" t="s">
        <v>85</v>
      </c>
      <c r="V55" t="s">
        <v>85</v>
      </c>
      <c r="W55" t="s">
        <v>85</v>
      </c>
      <c r="X55" t="s">
        <v>85</v>
      </c>
      <c r="Y55" t="s">
        <v>85</v>
      </c>
      <c r="Z55" t="s">
        <v>85</v>
      </c>
    </row>
    <row r="56" spans="1:26">
      <c r="A56">
        <v>18</v>
      </c>
      <c r="B56">
        <v>170</v>
      </c>
      <c r="C56">
        <v>172</v>
      </c>
      <c r="D56">
        <v>170</v>
      </c>
      <c r="E56">
        <v>1</v>
      </c>
      <c r="F56">
        <v>6888</v>
      </c>
      <c r="G56">
        <v>89</v>
      </c>
      <c r="H56">
        <v>89</v>
      </c>
      <c r="I56">
        <v>89</v>
      </c>
      <c r="J56">
        <v>1</v>
      </c>
      <c r="K56">
        <v>2002</v>
      </c>
      <c r="L56">
        <v>1</v>
      </c>
      <c r="M56">
        <v>1</v>
      </c>
      <c r="N56">
        <v>1</v>
      </c>
      <c r="O56">
        <v>1</v>
      </c>
      <c r="P56">
        <v>48</v>
      </c>
      <c r="Q56" t="s">
        <v>85</v>
      </c>
      <c r="R56" t="s">
        <v>85</v>
      </c>
      <c r="S56" t="s">
        <v>85</v>
      </c>
      <c r="T56" t="s">
        <v>85</v>
      </c>
      <c r="U56" t="s">
        <v>85</v>
      </c>
      <c r="V56" t="s">
        <v>85</v>
      </c>
      <c r="W56" t="s">
        <v>85</v>
      </c>
      <c r="X56" t="s">
        <v>85</v>
      </c>
      <c r="Y56" t="s">
        <v>85</v>
      </c>
      <c r="Z56" t="s">
        <v>85</v>
      </c>
    </row>
    <row r="57" spans="1:26">
      <c r="A57">
        <v>19</v>
      </c>
      <c r="B57">
        <v>171</v>
      </c>
      <c r="C57">
        <v>173</v>
      </c>
      <c r="D57">
        <v>172</v>
      </c>
      <c r="E57">
        <v>2</v>
      </c>
      <c r="F57">
        <v>6746</v>
      </c>
      <c r="G57">
        <v>95</v>
      </c>
      <c r="H57">
        <v>96</v>
      </c>
      <c r="I57">
        <v>95</v>
      </c>
      <c r="J57">
        <v>1</v>
      </c>
      <c r="K57">
        <v>3762</v>
      </c>
      <c r="L57">
        <v>1</v>
      </c>
      <c r="M57">
        <v>1</v>
      </c>
      <c r="N57">
        <v>1</v>
      </c>
      <c r="O57">
        <v>1</v>
      </c>
      <c r="P57">
        <v>48</v>
      </c>
      <c r="Q57" t="s">
        <v>85</v>
      </c>
      <c r="R57" t="s">
        <v>85</v>
      </c>
      <c r="S57" t="s">
        <v>85</v>
      </c>
      <c r="T57" t="s">
        <v>85</v>
      </c>
      <c r="U57" t="s">
        <v>85</v>
      </c>
      <c r="V57" t="s">
        <v>85</v>
      </c>
      <c r="W57" t="s">
        <v>85</v>
      </c>
      <c r="X57" t="s">
        <v>85</v>
      </c>
      <c r="Y57" t="s">
        <v>85</v>
      </c>
      <c r="Z57" t="s">
        <v>85</v>
      </c>
    </row>
    <row r="58" spans="1:26">
      <c r="A58">
        <v>20</v>
      </c>
      <c r="B58">
        <v>170</v>
      </c>
      <c r="C58">
        <v>171</v>
      </c>
      <c r="D58">
        <v>169</v>
      </c>
      <c r="E58">
        <v>2</v>
      </c>
      <c r="F58">
        <v>6748</v>
      </c>
      <c r="G58">
        <v>70</v>
      </c>
      <c r="H58">
        <v>70</v>
      </c>
      <c r="I58">
        <v>70</v>
      </c>
      <c r="J58">
        <v>1</v>
      </c>
      <c r="K58">
        <v>2857</v>
      </c>
      <c r="L58">
        <v>1</v>
      </c>
      <c r="M58">
        <v>1</v>
      </c>
      <c r="N58">
        <v>1</v>
      </c>
      <c r="O58">
        <v>1</v>
      </c>
      <c r="P58">
        <v>48</v>
      </c>
      <c r="Q58" t="s">
        <v>85</v>
      </c>
      <c r="R58" t="s">
        <v>85</v>
      </c>
      <c r="S58" t="s">
        <v>85</v>
      </c>
      <c r="T58" t="s">
        <v>85</v>
      </c>
      <c r="U58" t="s">
        <v>85</v>
      </c>
      <c r="V58" t="s">
        <v>85</v>
      </c>
      <c r="W58" t="s">
        <v>85</v>
      </c>
      <c r="X58" t="s">
        <v>85</v>
      </c>
      <c r="Y58" t="s">
        <v>85</v>
      </c>
      <c r="Z58" t="s">
        <v>85</v>
      </c>
    </row>
    <row r="59" spans="1:26">
      <c r="A59">
        <v>21</v>
      </c>
      <c r="B59">
        <v>171</v>
      </c>
      <c r="C59">
        <v>171</v>
      </c>
      <c r="D59">
        <v>171</v>
      </c>
      <c r="E59">
        <v>2</v>
      </c>
      <c r="F59">
        <v>6743</v>
      </c>
      <c r="G59">
        <v>70</v>
      </c>
      <c r="H59">
        <v>70</v>
      </c>
      <c r="I59">
        <v>70</v>
      </c>
      <c r="J59">
        <v>1</v>
      </c>
      <c r="K59">
        <v>2732</v>
      </c>
      <c r="L59">
        <v>1</v>
      </c>
      <c r="M59">
        <v>1</v>
      </c>
      <c r="N59">
        <v>1</v>
      </c>
      <c r="O59">
        <v>1</v>
      </c>
      <c r="P59">
        <v>48</v>
      </c>
      <c r="Q59" t="s">
        <v>85</v>
      </c>
      <c r="R59" t="s">
        <v>85</v>
      </c>
      <c r="S59" t="s">
        <v>85</v>
      </c>
      <c r="T59" t="s">
        <v>85</v>
      </c>
      <c r="U59" t="s">
        <v>85</v>
      </c>
      <c r="V59" t="s">
        <v>85</v>
      </c>
      <c r="W59" t="s">
        <v>85</v>
      </c>
      <c r="X59" t="s">
        <v>85</v>
      </c>
      <c r="Y59" t="s">
        <v>85</v>
      </c>
      <c r="Z59" t="s">
        <v>85</v>
      </c>
    </row>
    <row r="60" spans="1:26">
      <c r="A60">
        <v>22</v>
      </c>
      <c r="B60">
        <v>170</v>
      </c>
      <c r="C60">
        <v>170</v>
      </c>
      <c r="D60">
        <v>170</v>
      </c>
      <c r="E60">
        <v>2</v>
      </c>
      <c r="F60">
        <v>6737</v>
      </c>
      <c r="G60">
        <v>95</v>
      </c>
      <c r="H60">
        <v>94</v>
      </c>
      <c r="I60">
        <v>94</v>
      </c>
      <c r="J60">
        <v>1</v>
      </c>
      <c r="K60">
        <v>2845</v>
      </c>
      <c r="L60">
        <v>1</v>
      </c>
      <c r="M60">
        <v>1</v>
      </c>
      <c r="N60">
        <v>1</v>
      </c>
      <c r="O60">
        <v>1</v>
      </c>
      <c r="P60">
        <v>48</v>
      </c>
      <c r="Q60" t="s">
        <v>85</v>
      </c>
      <c r="R60" t="s">
        <v>85</v>
      </c>
      <c r="S60" t="s">
        <v>85</v>
      </c>
      <c r="T60" t="s">
        <v>85</v>
      </c>
      <c r="U60" t="s">
        <v>85</v>
      </c>
      <c r="V60" t="s">
        <v>85</v>
      </c>
      <c r="W60" t="s">
        <v>85</v>
      </c>
      <c r="X60" t="s">
        <v>85</v>
      </c>
      <c r="Y60" t="s">
        <v>85</v>
      </c>
      <c r="Z60" t="s">
        <v>85</v>
      </c>
    </row>
    <row r="61" spans="1:26">
      <c r="A61">
        <v>23</v>
      </c>
      <c r="B61">
        <v>170</v>
      </c>
      <c r="C61">
        <v>170</v>
      </c>
      <c r="D61">
        <v>169</v>
      </c>
      <c r="E61">
        <v>1</v>
      </c>
      <c r="F61">
        <v>6721</v>
      </c>
      <c r="G61">
        <v>95</v>
      </c>
      <c r="H61">
        <v>94</v>
      </c>
      <c r="I61">
        <v>94</v>
      </c>
      <c r="J61">
        <v>1</v>
      </c>
      <c r="K61">
        <v>3716</v>
      </c>
      <c r="L61">
        <v>1</v>
      </c>
      <c r="M61">
        <v>1</v>
      </c>
      <c r="N61">
        <v>1</v>
      </c>
      <c r="O61">
        <v>1</v>
      </c>
      <c r="P61">
        <v>47</v>
      </c>
      <c r="Q61" t="s">
        <v>85</v>
      </c>
      <c r="R61" t="s">
        <v>85</v>
      </c>
      <c r="S61" t="s">
        <v>85</v>
      </c>
      <c r="T61" t="s">
        <v>85</v>
      </c>
      <c r="U61" t="s">
        <v>85</v>
      </c>
      <c r="V61" t="s">
        <v>85</v>
      </c>
      <c r="W61" t="s">
        <v>85</v>
      </c>
      <c r="X61" t="s">
        <v>85</v>
      </c>
      <c r="Y61" t="s">
        <v>85</v>
      </c>
      <c r="Z61" t="s">
        <v>85</v>
      </c>
    </row>
    <row r="62" spans="1:26">
      <c r="A62">
        <v>24</v>
      </c>
      <c r="B62">
        <v>169</v>
      </c>
      <c r="C62">
        <v>170</v>
      </c>
      <c r="D62">
        <v>169</v>
      </c>
      <c r="E62">
        <v>2</v>
      </c>
      <c r="F62">
        <v>6786</v>
      </c>
      <c r="G62">
        <v>103</v>
      </c>
      <c r="H62">
        <v>103</v>
      </c>
      <c r="I62">
        <v>103</v>
      </c>
      <c r="J62">
        <v>1</v>
      </c>
      <c r="K62">
        <v>3352</v>
      </c>
      <c r="L62">
        <v>1</v>
      </c>
      <c r="M62">
        <v>1</v>
      </c>
      <c r="N62">
        <v>1</v>
      </c>
      <c r="O62">
        <v>1</v>
      </c>
      <c r="P62">
        <v>47</v>
      </c>
      <c r="Q62" t="s">
        <v>85</v>
      </c>
      <c r="R62" t="s">
        <v>85</v>
      </c>
      <c r="S62" t="s">
        <v>85</v>
      </c>
      <c r="T62" t="s">
        <v>85</v>
      </c>
      <c r="U62" t="s">
        <v>85</v>
      </c>
      <c r="V62" t="s">
        <v>85</v>
      </c>
      <c r="W62" t="s">
        <v>85</v>
      </c>
      <c r="X62" t="s">
        <v>85</v>
      </c>
      <c r="Y62" t="s">
        <v>85</v>
      </c>
      <c r="Z62" t="s">
        <v>85</v>
      </c>
    </row>
    <row r="63" spans="1:26">
      <c r="A63" t="s">
        <v>765</v>
      </c>
      <c r="B63" t="s">
        <v>85</v>
      </c>
      <c r="C63" t="s">
        <v>85</v>
      </c>
      <c r="D63" t="s">
        <v>85</v>
      </c>
      <c r="E63" t="s">
        <v>85</v>
      </c>
      <c r="F63">
        <v>106917</v>
      </c>
      <c r="G63" t="s">
        <v>85</v>
      </c>
      <c r="H63" t="s">
        <v>85</v>
      </c>
      <c r="I63" t="s">
        <v>85</v>
      </c>
      <c r="J63" t="s">
        <v>85</v>
      </c>
      <c r="K63">
        <v>41604</v>
      </c>
      <c r="L63" t="s">
        <v>85</v>
      </c>
      <c r="M63" t="s">
        <v>85</v>
      </c>
      <c r="N63" t="s">
        <v>85</v>
      </c>
      <c r="O63" t="s">
        <v>85</v>
      </c>
      <c r="P63">
        <v>1139</v>
      </c>
      <c r="Q63" t="s">
        <v>85</v>
      </c>
      <c r="R63" t="s">
        <v>85</v>
      </c>
      <c r="S63" t="s">
        <v>85</v>
      </c>
      <c r="T63" t="s">
        <v>85</v>
      </c>
      <c r="U63" t="s">
        <v>85</v>
      </c>
      <c r="V63" t="s">
        <v>85</v>
      </c>
      <c r="W63" t="s">
        <v>85</v>
      </c>
      <c r="X63" t="s">
        <v>85</v>
      </c>
      <c r="Y63" t="s">
        <v>85</v>
      </c>
      <c r="Z63" t="s">
        <v>85</v>
      </c>
    </row>
    <row r="64" spans="1:26">
      <c r="A64" t="s">
        <v>766</v>
      </c>
      <c r="B64">
        <v>116</v>
      </c>
      <c r="C64">
        <v>116</v>
      </c>
      <c r="D64">
        <v>116</v>
      </c>
      <c r="E64">
        <v>1</v>
      </c>
      <c r="F64">
        <v>4455</v>
      </c>
      <c r="G64">
        <v>49</v>
      </c>
      <c r="H64">
        <v>49</v>
      </c>
      <c r="I64">
        <v>49</v>
      </c>
      <c r="J64">
        <v>1</v>
      </c>
      <c r="K64">
        <v>1734</v>
      </c>
      <c r="L64">
        <v>1</v>
      </c>
      <c r="M64">
        <v>1</v>
      </c>
      <c r="N64">
        <v>1</v>
      </c>
      <c r="O64">
        <v>1</v>
      </c>
      <c r="P64">
        <v>47</v>
      </c>
      <c r="Q64" t="s">
        <v>85</v>
      </c>
      <c r="R64" t="s">
        <v>85</v>
      </c>
      <c r="S64" t="s">
        <v>85</v>
      </c>
      <c r="T64" t="s">
        <v>85</v>
      </c>
      <c r="U64" t="s">
        <v>85</v>
      </c>
      <c r="V64" t="s">
        <v>85</v>
      </c>
      <c r="W64" t="s">
        <v>85</v>
      </c>
      <c r="X64" t="s">
        <v>85</v>
      </c>
      <c r="Y64" t="s">
        <v>85</v>
      </c>
      <c r="Z64" t="s">
        <v>85</v>
      </c>
    </row>
    <row r="65" spans="1:26">
      <c r="A65" t="s">
        <v>767</v>
      </c>
      <c r="B65">
        <v>201</v>
      </c>
      <c r="C65">
        <v>203</v>
      </c>
      <c r="D65">
        <v>202</v>
      </c>
      <c r="E65">
        <v>2</v>
      </c>
      <c r="F65">
        <v>7928</v>
      </c>
      <c r="G65">
        <v>103</v>
      </c>
      <c r="H65">
        <v>103</v>
      </c>
      <c r="I65">
        <v>103</v>
      </c>
      <c r="J65">
        <v>1</v>
      </c>
      <c r="K65">
        <v>3762</v>
      </c>
      <c r="L65">
        <v>1</v>
      </c>
      <c r="M65">
        <v>1</v>
      </c>
      <c r="N65">
        <v>1</v>
      </c>
      <c r="O65">
        <v>1</v>
      </c>
      <c r="P65">
        <v>48</v>
      </c>
      <c r="Q65" t="s">
        <v>85</v>
      </c>
      <c r="R65" t="s">
        <v>85</v>
      </c>
      <c r="S65" t="s">
        <v>85</v>
      </c>
      <c r="T65" t="s">
        <v>85</v>
      </c>
      <c r="U65" t="s">
        <v>85</v>
      </c>
      <c r="V65" t="s">
        <v>85</v>
      </c>
      <c r="W65" t="s">
        <v>85</v>
      </c>
      <c r="X65" t="s">
        <v>85</v>
      </c>
      <c r="Y65" t="s">
        <v>85</v>
      </c>
      <c r="Z65" t="s">
        <v>85</v>
      </c>
    </row>
    <row r="66" spans="1:26">
      <c r="A66" t="s">
        <v>768</v>
      </c>
      <c r="B66">
        <v>11</v>
      </c>
      <c r="C66">
        <v>11</v>
      </c>
      <c r="D66">
        <v>11</v>
      </c>
      <c r="E66">
        <v>10</v>
      </c>
      <c r="F66">
        <v>11</v>
      </c>
      <c r="G66">
        <v>24</v>
      </c>
      <c r="H66">
        <v>24</v>
      </c>
      <c r="I66">
        <v>24</v>
      </c>
      <c r="J66">
        <v>1</v>
      </c>
      <c r="K66">
        <v>19</v>
      </c>
      <c r="L66">
        <v>1</v>
      </c>
      <c r="M66">
        <v>1</v>
      </c>
      <c r="N66">
        <v>1</v>
      </c>
      <c r="O66">
        <v>1</v>
      </c>
      <c r="P66">
        <v>9</v>
      </c>
      <c r="Q66" t="s">
        <v>85</v>
      </c>
      <c r="R66" t="s">
        <v>85</v>
      </c>
      <c r="S66" t="s">
        <v>85</v>
      </c>
      <c r="T66" t="s">
        <v>85</v>
      </c>
      <c r="U66" t="s">
        <v>85</v>
      </c>
      <c r="V66" t="s">
        <v>85</v>
      </c>
      <c r="W66" t="s">
        <v>85</v>
      </c>
      <c r="X66" t="s">
        <v>85</v>
      </c>
      <c r="Y66" t="s">
        <v>85</v>
      </c>
      <c r="Z66" t="s">
        <v>85</v>
      </c>
    </row>
    <row r="67" spans="1:26">
      <c r="A67" t="s">
        <v>769</v>
      </c>
      <c r="B67">
        <v>10</v>
      </c>
      <c r="C67">
        <v>10</v>
      </c>
      <c r="D67">
        <v>9</v>
      </c>
      <c r="E67">
        <v>1</v>
      </c>
      <c r="F67">
        <v>102</v>
      </c>
      <c r="G67">
        <v>12</v>
      </c>
      <c r="H67">
        <v>12</v>
      </c>
      <c r="I67">
        <v>12</v>
      </c>
      <c r="J67">
        <v>1</v>
      </c>
      <c r="K67">
        <v>104</v>
      </c>
      <c r="L67">
        <v>1</v>
      </c>
      <c r="M67">
        <v>1</v>
      </c>
      <c r="N67">
        <v>1</v>
      </c>
      <c r="O67">
        <v>1</v>
      </c>
      <c r="P67">
        <v>47</v>
      </c>
      <c r="Q67" t="s">
        <v>85</v>
      </c>
      <c r="R67" t="s">
        <v>85</v>
      </c>
      <c r="S67" t="s">
        <v>85</v>
      </c>
      <c r="T67" t="s">
        <v>85</v>
      </c>
      <c r="U67" t="s">
        <v>85</v>
      </c>
      <c r="V67" t="s">
        <v>85</v>
      </c>
      <c r="W67" t="s">
        <v>85</v>
      </c>
      <c r="X67" t="s">
        <v>85</v>
      </c>
      <c r="Y67" t="s">
        <v>85</v>
      </c>
      <c r="Z67" t="s">
        <v>85</v>
      </c>
    </row>
    <row r="68" spans="1:26">
      <c r="A68" t="s">
        <v>770</v>
      </c>
      <c r="B68">
        <v>1</v>
      </c>
      <c r="C68">
        <v>1</v>
      </c>
      <c r="D68">
        <v>1</v>
      </c>
      <c r="E68">
        <v>1</v>
      </c>
      <c r="F68">
        <v>4</v>
      </c>
      <c r="G68">
        <v>13</v>
      </c>
      <c r="H68">
        <v>3</v>
      </c>
      <c r="I68">
        <v>3</v>
      </c>
      <c r="J68">
        <v>1</v>
      </c>
      <c r="K68">
        <v>4</v>
      </c>
      <c r="L68">
        <v>1</v>
      </c>
      <c r="M68">
        <v>1</v>
      </c>
      <c r="N68">
        <v>1</v>
      </c>
      <c r="O68">
        <v>1</v>
      </c>
      <c r="P68">
        <v>24</v>
      </c>
      <c r="Q68" t="s">
        <v>85</v>
      </c>
      <c r="R68" t="s">
        <v>85</v>
      </c>
      <c r="S68" t="s">
        <v>85</v>
      </c>
      <c r="T68" t="s">
        <v>85</v>
      </c>
      <c r="U68" t="s">
        <v>85</v>
      </c>
      <c r="V68" t="s">
        <v>85</v>
      </c>
      <c r="W68" t="s">
        <v>85</v>
      </c>
      <c r="X68" t="s">
        <v>85</v>
      </c>
      <c r="Y68" t="s">
        <v>85</v>
      </c>
      <c r="Z68" t="s">
        <v>85</v>
      </c>
    </row>
  </sheetData>
  <mergeCells count="12">
    <mergeCell ref="V37:Z37"/>
    <mergeCell ref="A4:A5"/>
    <mergeCell ref="B4:F4"/>
    <mergeCell ref="G4:K4"/>
    <mergeCell ref="L4:P4"/>
    <mergeCell ref="Q4:U4"/>
    <mergeCell ref="V4:Z4"/>
    <mergeCell ref="A37:A38"/>
    <mergeCell ref="B37:F37"/>
    <mergeCell ref="G37:K37"/>
    <mergeCell ref="L37:P37"/>
    <mergeCell ref="Q37:U37"/>
  </mergeCells>
  <phoneticPr fontId="1"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變電所別!$A$2:$A$41</xm:f>
          </x14:formula1>
          <xm:sqref>B2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X92"/>
  <sheetViews>
    <sheetView workbookViewId="0">
      <selection activeCell="C5" sqref="C5"/>
    </sheetView>
  </sheetViews>
  <sheetFormatPr defaultRowHeight="16.5"/>
  <cols>
    <col min="1" max="1" width="18.625" customWidth="1"/>
    <col min="2" max="2" width="31.875" customWidth="1"/>
    <col min="3" max="3" width="18.875" customWidth="1"/>
    <col min="6" max="6" width="10.875" bestFit="1" customWidth="1"/>
    <col min="11" max="11" width="8.875" style="467"/>
    <col min="12" max="12" width="12.875" bestFit="1" customWidth="1"/>
    <col min="13" max="13" width="21.625" style="467" bestFit="1" customWidth="1"/>
    <col min="14" max="14" width="26.5" customWidth="1"/>
    <col min="15" max="15" width="18.875" customWidth="1"/>
    <col min="16" max="17" width="18.5" customWidth="1"/>
    <col min="18" max="18" width="18.75" customWidth="1"/>
    <col min="19" max="19" width="17.75" customWidth="1"/>
    <col min="20" max="21" width="17.625" bestFit="1" customWidth="1"/>
    <col min="22" max="22" width="15.375" bestFit="1" customWidth="1"/>
    <col min="23" max="23" width="9.5" bestFit="1" customWidth="1"/>
  </cols>
  <sheetData>
    <row r="1" spans="1:24" ht="47.25">
      <c r="A1" t="s">
        <v>771</v>
      </c>
      <c r="C1" t="s">
        <v>3289</v>
      </c>
      <c r="F1" t="s">
        <v>1869</v>
      </c>
      <c r="K1" s="467" t="s">
        <v>2041</v>
      </c>
      <c r="L1" t="s">
        <v>763</v>
      </c>
      <c r="M1" s="467" t="s">
        <v>2042</v>
      </c>
      <c r="O1" t="s">
        <v>3289</v>
      </c>
      <c r="W1" s="468" t="s">
        <v>2632</v>
      </c>
      <c r="X1" s="468" t="s">
        <v>2633</v>
      </c>
    </row>
    <row r="2" spans="1:24">
      <c r="A2" t="s">
        <v>4</v>
      </c>
      <c r="B2" t="s">
        <v>9414</v>
      </c>
      <c r="C2">
        <v>4</v>
      </c>
      <c r="F2" t="s">
        <v>1873</v>
      </c>
      <c r="G2" t="s">
        <v>2037</v>
      </c>
      <c r="K2" s="467" t="str">
        <f>RIGHT(A2,2)</f>
        <v>9A</v>
      </c>
      <c r="L2" t="str">
        <f t="shared" ref="L2:L41" si="0">LEFT(A2,2) &amp; MID(A2,3,1) &amp;"/"&amp;MID(A2,4,1)</f>
        <v>彰濱E/S</v>
      </c>
      <c r="M2" s="467" t="str">
        <f t="shared" ref="M2:M41" si="1">MID(A2,3,2)</f>
        <v>ES</v>
      </c>
      <c r="N2" t="s">
        <v>1</v>
      </c>
      <c r="O2">
        <v>4</v>
      </c>
      <c r="W2" s="464" t="str">
        <f>IFERROR(VLOOKUP(#REF!,變電所別!$F$2:$G$147,2,0),"有啟動")</f>
        <v>有啟動</v>
      </c>
      <c r="X2" s="464" t="str">
        <f>IFERROR(VLOOKUP(#REF!,變電所別!$F$2:$G$147,2,0),"有啟動")</f>
        <v>有啟動</v>
      </c>
    </row>
    <row r="3" spans="1:24">
      <c r="A3" t="s">
        <v>5</v>
      </c>
      <c r="B3" t="s">
        <v>9415</v>
      </c>
      <c r="C3">
        <v>3</v>
      </c>
      <c r="F3" t="s">
        <v>1871</v>
      </c>
      <c r="G3" t="s">
        <v>2037</v>
      </c>
      <c r="K3" s="467" t="str">
        <f t="shared" ref="K3:K41" si="2">RIGHT(A3,2)</f>
        <v>9B</v>
      </c>
      <c r="L3" t="str">
        <f t="shared" si="0"/>
        <v>線西D/S</v>
      </c>
      <c r="M3" s="467" t="str">
        <f t="shared" si="1"/>
        <v>DS</v>
      </c>
      <c r="N3" t="s">
        <v>0</v>
      </c>
      <c r="O3">
        <v>3</v>
      </c>
      <c r="W3" s="464" t="str">
        <f>IFERROR(VLOOKUP(#REF!,變電所別!$F$2:$G$147,2,0),"有啟動")</f>
        <v>有啟動</v>
      </c>
      <c r="X3" s="464" t="str">
        <f>IFERROR(VLOOKUP(#REF!,變電所別!$F$2:$G$147,2,0),"有啟動")</f>
        <v>有啟動</v>
      </c>
    </row>
    <row r="4" spans="1:24">
      <c r="A4" t="s">
        <v>6</v>
      </c>
      <c r="B4" t="s">
        <v>2</v>
      </c>
      <c r="C4">
        <v>8</v>
      </c>
      <c r="F4" t="s">
        <v>1952</v>
      </c>
      <c r="G4" t="s">
        <v>2037</v>
      </c>
      <c r="K4" s="467" t="str">
        <f t="shared" si="2"/>
        <v>9C</v>
      </c>
      <c r="L4" t="str">
        <f t="shared" si="0"/>
        <v>員林D/S</v>
      </c>
      <c r="M4" s="467" t="str">
        <f t="shared" si="1"/>
        <v>DS</v>
      </c>
      <c r="N4" t="s">
        <v>2</v>
      </c>
      <c r="O4">
        <v>8</v>
      </c>
      <c r="W4" s="464" t="str">
        <f>IFERROR(VLOOKUP(#REF!,變電所別!$F$2:$G$147,2,0),"有啟動")</f>
        <v>有啟動</v>
      </c>
      <c r="X4" s="464" t="str">
        <f>IFERROR(VLOOKUP(#REF!,變電所別!$F$2:$G$147,2,0),"有啟動")</f>
        <v>有啟動</v>
      </c>
    </row>
    <row r="5" spans="1:24">
      <c r="A5" t="s">
        <v>8</v>
      </c>
      <c r="B5" t="s">
        <v>7</v>
      </c>
      <c r="C5">
        <v>3</v>
      </c>
      <c r="F5" t="s">
        <v>1954</v>
      </c>
      <c r="G5" t="s">
        <v>2037</v>
      </c>
      <c r="K5" s="467" t="str">
        <f t="shared" si="2"/>
        <v>9F</v>
      </c>
      <c r="L5" t="str">
        <f t="shared" si="0"/>
        <v>鹿西D/S</v>
      </c>
      <c r="M5" s="467" t="str">
        <f t="shared" si="1"/>
        <v>DS</v>
      </c>
      <c r="N5" t="s">
        <v>7</v>
      </c>
      <c r="O5">
        <v>3</v>
      </c>
      <c r="W5" s="464" t="str">
        <f>IFERROR(VLOOKUP(#REF!,變電所別!$F$2:$G$147,2,0),"有啟動")</f>
        <v>有啟動</v>
      </c>
      <c r="X5" s="464" t="str">
        <f>IFERROR(VLOOKUP(#REF!,變電所別!$F$2:$G$147,2,0),"有啟動")</f>
        <v>有啟動</v>
      </c>
    </row>
    <row r="6" spans="1:24">
      <c r="A6" t="s">
        <v>10</v>
      </c>
      <c r="B6" t="s">
        <v>9</v>
      </c>
      <c r="C6">
        <v>6</v>
      </c>
      <c r="F6" t="s">
        <v>1956</v>
      </c>
      <c r="G6" t="s">
        <v>2037</v>
      </c>
      <c r="K6" s="467" t="str">
        <f t="shared" si="2"/>
        <v>9G</v>
      </c>
      <c r="L6" t="str">
        <f t="shared" si="0"/>
        <v>漢寶D/S</v>
      </c>
      <c r="M6" s="467" t="str">
        <f t="shared" si="1"/>
        <v>DS</v>
      </c>
      <c r="N6" t="s">
        <v>9</v>
      </c>
      <c r="O6">
        <v>6</v>
      </c>
      <c r="W6" s="464" t="str">
        <f>IFERROR(VLOOKUP(#REF!,變電所別!$F$2:$G$147,2,0),"有啟動")</f>
        <v>有啟動</v>
      </c>
      <c r="X6" s="464" t="str">
        <f>IFERROR(VLOOKUP(#REF!,變電所別!$F$2:$G$147,2,0),"有啟動")</f>
        <v>有啟動</v>
      </c>
    </row>
    <row r="7" spans="1:24">
      <c r="A7" t="s">
        <v>18</v>
      </c>
      <c r="B7" t="s">
        <v>11</v>
      </c>
      <c r="C7">
        <v>4</v>
      </c>
      <c r="F7" t="s">
        <v>1875</v>
      </c>
      <c r="G7" t="s">
        <v>2037</v>
      </c>
      <c r="K7" s="467" t="str">
        <f t="shared" si="2"/>
        <v>9H</v>
      </c>
      <c r="L7" t="str">
        <f t="shared" si="0"/>
        <v>草港D/S</v>
      </c>
      <c r="M7" s="467" t="str">
        <f t="shared" si="1"/>
        <v>DS</v>
      </c>
      <c r="N7" t="s">
        <v>11</v>
      </c>
      <c r="O7">
        <v>4</v>
      </c>
    </row>
    <row r="8" spans="1:24">
      <c r="A8" t="s">
        <v>17</v>
      </c>
      <c r="B8" t="s">
        <v>12</v>
      </c>
      <c r="C8">
        <v>4</v>
      </c>
      <c r="F8" t="s">
        <v>1958</v>
      </c>
      <c r="G8" t="s">
        <v>2037</v>
      </c>
      <c r="K8" s="467" t="str">
        <f t="shared" si="2"/>
        <v>9I</v>
      </c>
      <c r="L8" t="str">
        <f t="shared" si="0"/>
        <v>福興D/S</v>
      </c>
      <c r="M8" s="467" t="str">
        <f t="shared" si="1"/>
        <v>DS</v>
      </c>
      <c r="N8" t="s">
        <v>12</v>
      </c>
      <c r="O8">
        <v>4</v>
      </c>
    </row>
    <row r="9" spans="1:24">
      <c r="A9" t="s">
        <v>2634</v>
      </c>
      <c r="B9" t="s">
        <v>13</v>
      </c>
      <c r="C9">
        <v>3</v>
      </c>
      <c r="F9" t="s">
        <v>1877</v>
      </c>
      <c r="G9" t="s">
        <v>2037</v>
      </c>
      <c r="K9" s="467" t="str">
        <f t="shared" si="2"/>
        <v>9J</v>
      </c>
      <c r="L9" t="str">
        <f t="shared" si="0"/>
        <v>埔鹽S/S</v>
      </c>
      <c r="M9" s="467" t="str">
        <f t="shared" si="1"/>
        <v>SS</v>
      </c>
      <c r="N9" t="s">
        <v>13</v>
      </c>
      <c r="O9">
        <v>3</v>
      </c>
    </row>
    <row r="10" spans="1:24">
      <c r="A10" t="s">
        <v>15</v>
      </c>
      <c r="B10" t="s">
        <v>14</v>
      </c>
      <c r="C10">
        <v>4</v>
      </c>
      <c r="F10" t="s">
        <v>1883</v>
      </c>
      <c r="G10" t="s">
        <v>2037</v>
      </c>
      <c r="K10" s="467" t="str">
        <f t="shared" si="2"/>
        <v>9K</v>
      </c>
      <c r="L10" t="str">
        <f t="shared" si="0"/>
        <v>大霞D/S</v>
      </c>
      <c r="M10" s="467" t="str">
        <f t="shared" si="1"/>
        <v>DS</v>
      </c>
      <c r="N10" t="s">
        <v>14</v>
      </c>
      <c r="O10">
        <v>4</v>
      </c>
    </row>
    <row r="11" spans="1:24">
      <c r="A11" t="s">
        <v>20</v>
      </c>
      <c r="B11" t="s">
        <v>19</v>
      </c>
      <c r="C11">
        <v>4</v>
      </c>
      <c r="F11" t="s">
        <v>1960</v>
      </c>
      <c r="G11" t="s">
        <v>2037</v>
      </c>
      <c r="K11" s="467" t="str">
        <f t="shared" si="2"/>
        <v>9L</v>
      </c>
      <c r="L11" t="str">
        <f t="shared" si="0"/>
        <v>大城D/S</v>
      </c>
      <c r="M11" s="467" t="str">
        <f t="shared" si="1"/>
        <v>DS</v>
      </c>
      <c r="N11" t="s">
        <v>19</v>
      </c>
      <c r="O11">
        <v>4</v>
      </c>
    </row>
    <row r="12" spans="1:24">
      <c r="A12" t="s">
        <v>40</v>
      </c>
      <c r="B12" t="s">
        <v>21</v>
      </c>
      <c r="C12">
        <v>7</v>
      </c>
      <c r="F12" t="s">
        <v>1887</v>
      </c>
      <c r="G12" t="s">
        <v>2037</v>
      </c>
      <c r="K12" s="467" t="str">
        <f t="shared" si="2"/>
        <v>9M</v>
      </c>
      <c r="L12" t="str">
        <f t="shared" si="0"/>
        <v>彰林E/S</v>
      </c>
      <c r="M12" s="467" t="str">
        <f t="shared" si="1"/>
        <v>ES</v>
      </c>
      <c r="N12" t="s">
        <v>21</v>
      </c>
      <c r="O12">
        <v>7</v>
      </c>
    </row>
    <row r="13" spans="1:24">
      <c r="A13" t="s">
        <v>41</v>
      </c>
      <c r="B13" t="s">
        <v>22</v>
      </c>
      <c r="C13">
        <v>2</v>
      </c>
      <c r="F13" t="s">
        <v>1889</v>
      </c>
      <c r="G13" t="s">
        <v>2037</v>
      </c>
      <c r="K13" s="467" t="str">
        <f t="shared" si="2"/>
        <v>9N</v>
      </c>
      <c r="L13" t="str">
        <f t="shared" si="0"/>
        <v>彰竹D/S</v>
      </c>
      <c r="M13" s="467" t="str">
        <f t="shared" si="1"/>
        <v>DS</v>
      </c>
      <c r="N13" t="s">
        <v>22</v>
      </c>
      <c r="O13">
        <v>2</v>
      </c>
    </row>
    <row r="14" spans="1:24">
      <c r="A14" t="s">
        <v>42</v>
      </c>
      <c r="B14" t="s">
        <v>23</v>
      </c>
      <c r="C14">
        <v>4</v>
      </c>
      <c r="F14" t="s">
        <v>1890</v>
      </c>
      <c r="G14" t="s">
        <v>2037</v>
      </c>
      <c r="K14" s="467" t="str">
        <f t="shared" si="2"/>
        <v>9P</v>
      </c>
      <c r="L14" t="str">
        <f t="shared" si="0"/>
        <v>花壇D/S</v>
      </c>
      <c r="M14" s="467" t="str">
        <f t="shared" si="1"/>
        <v>DS</v>
      </c>
      <c r="N14" t="s">
        <v>23</v>
      </c>
      <c r="O14">
        <v>4</v>
      </c>
    </row>
    <row r="15" spans="1:24">
      <c r="A15" t="s">
        <v>43</v>
      </c>
      <c r="B15" t="s">
        <v>24</v>
      </c>
      <c r="C15">
        <v>6</v>
      </c>
      <c r="F15" t="s">
        <v>1962</v>
      </c>
      <c r="G15" t="s">
        <v>2037</v>
      </c>
      <c r="K15" s="467" t="str">
        <f t="shared" si="2"/>
        <v>IA</v>
      </c>
      <c r="L15" t="str">
        <f t="shared" si="0"/>
        <v>彰新D/S</v>
      </c>
      <c r="M15" s="467" t="str">
        <f t="shared" si="1"/>
        <v>DS</v>
      </c>
      <c r="N15" t="s">
        <v>24</v>
      </c>
      <c r="O15">
        <v>6</v>
      </c>
    </row>
    <row r="16" spans="1:24">
      <c r="A16" t="s">
        <v>44</v>
      </c>
      <c r="B16" t="s">
        <v>25</v>
      </c>
      <c r="C16">
        <v>3</v>
      </c>
      <c r="F16" t="s">
        <v>1963</v>
      </c>
      <c r="G16" t="s">
        <v>2037</v>
      </c>
      <c r="K16" s="467" t="str">
        <f t="shared" si="2"/>
        <v>IB</v>
      </c>
      <c r="L16" t="str">
        <f t="shared" si="0"/>
        <v>鹿港S/S</v>
      </c>
      <c r="M16" s="467" t="str">
        <f t="shared" si="1"/>
        <v>SS</v>
      </c>
      <c r="N16" t="s">
        <v>25</v>
      </c>
      <c r="O16">
        <v>3</v>
      </c>
    </row>
    <row r="17" spans="1:15">
      <c r="A17" t="s">
        <v>45</v>
      </c>
      <c r="B17" t="s">
        <v>26</v>
      </c>
      <c r="C17">
        <v>2</v>
      </c>
      <c r="F17" t="s">
        <v>1965</v>
      </c>
      <c r="G17" t="s">
        <v>2037</v>
      </c>
      <c r="K17" s="467" t="str">
        <f t="shared" si="2"/>
        <v>IC</v>
      </c>
      <c r="L17" t="str">
        <f t="shared" si="0"/>
        <v>員林S/S</v>
      </c>
      <c r="M17" s="467" t="str">
        <f t="shared" si="1"/>
        <v>SS</v>
      </c>
      <c r="N17" t="s">
        <v>26</v>
      </c>
      <c r="O17">
        <v>2</v>
      </c>
    </row>
    <row r="18" spans="1:15">
      <c r="A18" t="s">
        <v>46</v>
      </c>
      <c r="B18" t="s">
        <v>27</v>
      </c>
      <c r="C18">
        <v>3</v>
      </c>
      <c r="F18" t="s">
        <v>1892</v>
      </c>
      <c r="G18" t="s">
        <v>2037</v>
      </c>
      <c r="K18" s="467" t="str">
        <f t="shared" si="2"/>
        <v>ID</v>
      </c>
      <c r="L18" t="str">
        <f t="shared" si="0"/>
        <v>溪湖S/S</v>
      </c>
      <c r="M18" s="467" t="str">
        <f t="shared" si="1"/>
        <v>SS</v>
      </c>
      <c r="N18" t="s">
        <v>27</v>
      </c>
      <c r="O18">
        <v>3</v>
      </c>
    </row>
    <row r="19" spans="1:15">
      <c r="A19" t="s">
        <v>47</v>
      </c>
      <c r="B19" t="s">
        <v>28</v>
      </c>
      <c r="C19">
        <v>2</v>
      </c>
      <c r="F19" t="s">
        <v>1896</v>
      </c>
      <c r="G19" t="s">
        <v>2037</v>
      </c>
      <c r="K19" s="467" t="str">
        <f t="shared" si="2"/>
        <v>IE</v>
      </c>
      <c r="L19" t="str">
        <f t="shared" si="0"/>
        <v>二林S/S</v>
      </c>
      <c r="M19" s="467" t="str">
        <f t="shared" si="1"/>
        <v>SS</v>
      </c>
      <c r="N19" t="s">
        <v>28</v>
      </c>
      <c r="O19">
        <v>2</v>
      </c>
    </row>
    <row r="20" spans="1:15">
      <c r="A20" t="s">
        <v>48</v>
      </c>
      <c r="B20" t="s">
        <v>29</v>
      </c>
      <c r="C20">
        <v>4</v>
      </c>
      <c r="F20" t="s">
        <v>1898</v>
      </c>
      <c r="G20" t="s">
        <v>2037</v>
      </c>
      <c r="K20" s="467" t="str">
        <f t="shared" si="2"/>
        <v>IF</v>
      </c>
      <c r="L20" t="str">
        <f t="shared" si="0"/>
        <v>溪州S/S</v>
      </c>
      <c r="M20" s="467" t="str">
        <f t="shared" si="1"/>
        <v>SS</v>
      </c>
      <c r="N20" t="s">
        <v>29</v>
      </c>
      <c r="O20">
        <v>4</v>
      </c>
    </row>
    <row r="21" spans="1:15">
      <c r="A21" t="s">
        <v>49</v>
      </c>
      <c r="B21" t="s">
        <v>30</v>
      </c>
      <c r="C21">
        <v>6</v>
      </c>
      <c r="F21" t="s">
        <v>1899</v>
      </c>
      <c r="G21" t="s">
        <v>2037</v>
      </c>
      <c r="K21" s="467" t="str">
        <f t="shared" si="2"/>
        <v>IG</v>
      </c>
      <c r="L21" t="str">
        <f t="shared" si="0"/>
        <v>田中D/S</v>
      </c>
      <c r="M21" s="467" t="str">
        <f t="shared" si="1"/>
        <v>DS</v>
      </c>
      <c r="N21" t="s">
        <v>30</v>
      </c>
      <c r="O21">
        <v>6</v>
      </c>
    </row>
    <row r="22" spans="1:15">
      <c r="A22" t="s">
        <v>50</v>
      </c>
      <c r="B22" t="s">
        <v>31</v>
      </c>
      <c r="C22">
        <v>3</v>
      </c>
      <c r="F22" t="s">
        <v>1967</v>
      </c>
      <c r="G22" t="s">
        <v>2037</v>
      </c>
      <c r="K22" s="467" t="str">
        <f t="shared" si="2"/>
        <v>IH</v>
      </c>
      <c r="L22" t="str">
        <f t="shared" si="0"/>
        <v>彰西S/S</v>
      </c>
      <c r="M22" s="467" t="str">
        <f t="shared" si="1"/>
        <v>SS</v>
      </c>
      <c r="N22" t="s">
        <v>31</v>
      </c>
      <c r="O22">
        <v>3</v>
      </c>
    </row>
    <row r="23" spans="1:15">
      <c r="A23" t="s">
        <v>51</v>
      </c>
      <c r="B23" t="s">
        <v>32</v>
      </c>
      <c r="C23">
        <v>3</v>
      </c>
      <c r="F23" t="s">
        <v>1969</v>
      </c>
      <c r="G23" t="s">
        <v>2037</v>
      </c>
      <c r="K23" s="467" t="str">
        <f t="shared" si="2"/>
        <v>II</v>
      </c>
      <c r="L23" t="str">
        <f t="shared" si="0"/>
        <v>彰南S/S</v>
      </c>
      <c r="M23" s="467" t="str">
        <f t="shared" si="1"/>
        <v>SS</v>
      </c>
      <c r="N23" t="s">
        <v>32</v>
      </c>
      <c r="O23">
        <v>3</v>
      </c>
    </row>
    <row r="24" spans="1:15">
      <c r="A24" t="s">
        <v>52</v>
      </c>
      <c r="B24" t="s">
        <v>33</v>
      </c>
      <c r="C24">
        <v>3</v>
      </c>
      <c r="F24" t="s">
        <v>1971</v>
      </c>
      <c r="G24" t="s">
        <v>2037</v>
      </c>
      <c r="K24" s="467" t="str">
        <f t="shared" si="2"/>
        <v>IJ</v>
      </c>
      <c r="L24" t="str">
        <f t="shared" si="0"/>
        <v>和美S/S</v>
      </c>
      <c r="M24" s="467" t="str">
        <f t="shared" si="1"/>
        <v>SS</v>
      </c>
      <c r="N24" t="s">
        <v>33</v>
      </c>
      <c r="O24">
        <v>3</v>
      </c>
    </row>
    <row r="25" spans="1:15">
      <c r="A25" t="s">
        <v>53</v>
      </c>
      <c r="B25" t="s">
        <v>34</v>
      </c>
      <c r="C25">
        <v>4</v>
      </c>
      <c r="F25" t="s">
        <v>1972</v>
      </c>
      <c r="G25" t="s">
        <v>2037</v>
      </c>
      <c r="K25" s="467" t="str">
        <f t="shared" si="2"/>
        <v>IK</v>
      </c>
      <c r="L25" t="str">
        <f t="shared" si="0"/>
        <v>彰化D/S</v>
      </c>
      <c r="M25" s="467" t="str">
        <f t="shared" si="1"/>
        <v>DS</v>
      </c>
      <c r="N25" t="s">
        <v>34</v>
      </c>
      <c r="O25">
        <v>4</v>
      </c>
    </row>
    <row r="26" spans="1:15">
      <c r="A26" t="s">
        <v>54</v>
      </c>
      <c r="B26" t="s">
        <v>35</v>
      </c>
      <c r="C26">
        <v>4</v>
      </c>
      <c r="F26" t="s">
        <v>1901</v>
      </c>
      <c r="G26" t="s">
        <v>2037</v>
      </c>
      <c r="K26" s="467" t="str">
        <f t="shared" si="2"/>
        <v>IK</v>
      </c>
      <c r="L26" t="str">
        <f t="shared" si="0"/>
        <v>彰化P/S</v>
      </c>
      <c r="M26" s="467" t="str">
        <f t="shared" si="1"/>
        <v>PS</v>
      </c>
      <c r="N26" t="s">
        <v>35</v>
      </c>
      <c r="O26">
        <v>4</v>
      </c>
    </row>
    <row r="27" spans="1:15">
      <c r="A27" t="s">
        <v>55</v>
      </c>
      <c r="B27" t="s">
        <v>36</v>
      </c>
      <c r="C27">
        <v>3</v>
      </c>
      <c r="F27" t="s">
        <v>1902</v>
      </c>
      <c r="G27" t="s">
        <v>2037</v>
      </c>
      <c r="K27" s="467" t="str">
        <f t="shared" si="2"/>
        <v>IL</v>
      </c>
      <c r="L27" t="str">
        <f t="shared" si="0"/>
        <v>員南S/S</v>
      </c>
      <c r="M27" s="467" t="str">
        <f t="shared" si="1"/>
        <v>SS</v>
      </c>
      <c r="N27" t="s">
        <v>36</v>
      </c>
      <c r="O27">
        <v>3</v>
      </c>
    </row>
    <row r="28" spans="1:15">
      <c r="A28" t="s">
        <v>56</v>
      </c>
      <c r="B28" t="s">
        <v>37</v>
      </c>
      <c r="C28">
        <v>3</v>
      </c>
      <c r="F28" t="s">
        <v>1903</v>
      </c>
      <c r="G28" t="s">
        <v>2037</v>
      </c>
      <c r="K28" s="467" t="str">
        <f t="shared" si="2"/>
        <v>IM</v>
      </c>
      <c r="L28" t="str">
        <f t="shared" si="0"/>
        <v>大竹S/S</v>
      </c>
      <c r="M28" s="467" t="str">
        <f t="shared" si="1"/>
        <v>SS</v>
      </c>
      <c r="N28" t="s">
        <v>37</v>
      </c>
      <c r="O28">
        <v>3</v>
      </c>
    </row>
    <row r="29" spans="1:15">
      <c r="A29" t="s">
        <v>57</v>
      </c>
      <c r="B29" t="s">
        <v>38</v>
      </c>
      <c r="C29">
        <v>3</v>
      </c>
      <c r="F29" t="s">
        <v>1905</v>
      </c>
      <c r="G29" t="s">
        <v>2037</v>
      </c>
      <c r="K29" s="467" t="str">
        <f t="shared" si="2"/>
        <v>IN</v>
      </c>
      <c r="L29" t="str">
        <f t="shared" si="0"/>
        <v>大村S/S</v>
      </c>
      <c r="M29" s="467" t="str">
        <f t="shared" si="1"/>
        <v>SS</v>
      </c>
      <c r="N29" t="s">
        <v>38</v>
      </c>
      <c r="O29">
        <v>3</v>
      </c>
    </row>
    <row r="30" spans="1:15">
      <c r="A30" t="s">
        <v>58</v>
      </c>
      <c r="B30" t="s">
        <v>39</v>
      </c>
      <c r="C30">
        <v>4</v>
      </c>
      <c r="F30" t="s">
        <v>1976</v>
      </c>
      <c r="G30" t="s">
        <v>2037</v>
      </c>
      <c r="K30" s="467" t="str">
        <f t="shared" si="2"/>
        <v>IO</v>
      </c>
      <c r="L30" t="str">
        <f t="shared" si="0"/>
        <v>鹿東D/S</v>
      </c>
      <c r="M30" s="467" t="str">
        <f t="shared" si="1"/>
        <v>DS</v>
      </c>
      <c r="N30" t="s">
        <v>39</v>
      </c>
      <c r="O30">
        <v>4</v>
      </c>
    </row>
    <row r="31" spans="1:15">
      <c r="A31" t="s">
        <v>68</v>
      </c>
      <c r="B31" t="s">
        <v>59</v>
      </c>
      <c r="C31">
        <v>3</v>
      </c>
      <c r="F31" t="s">
        <v>1982</v>
      </c>
      <c r="G31" t="s">
        <v>2037</v>
      </c>
      <c r="K31" s="467" t="str">
        <f t="shared" si="2"/>
        <v>IP</v>
      </c>
      <c r="L31" t="str">
        <f t="shared" si="0"/>
        <v>福工S/S</v>
      </c>
      <c r="M31" s="467" t="str">
        <f t="shared" si="1"/>
        <v>SS</v>
      </c>
      <c r="N31" t="s">
        <v>59</v>
      </c>
      <c r="O31">
        <v>3</v>
      </c>
    </row>
    <row r="32" spans="1:15">
      <c r="A32" t="s">
        <v>67</v>
      </c>
      <c r="B32" t="s">
        <v>60</v>
      </c>
      <c r="C32">
        <v>3</v>
      </c>
      <c r="F32" t="s">
        <v>1984</v>
      </c>
      <c r="G32" t="s">
        <v>2037</v>
      </c>
      <c r="K32" s="467" t="str">
        <f t="shared" si="2"/>
        <v>IQ</v>
      </c>
      <c r="L32" t="str">
        <f t="shared" si="0"/>
        <v>彰東S/S</v>
      </c>
      <c r="M32" s="467" t="str">
        <f t="shared" si="1"/>
        <v>SS</v>
      </c>
      <c r="N32" t="s">
        <v>60</v>
      </c>
      <c r="O32">
        <v>3</v>
      </c>
    </row>
    <row r="33" spans="1:15">
      <c r="A33" t="s">
        <v>66</v>
      </c>
      <c r="B33" t="s">
        <v>61</v>
      </c>
      <c r="C33">
        <v>4</v>
      </c>
      <c r="F33" t="s">
        <v>1986</v>
      </c>
      <c r="G33" t="s">
        <v>2037</v>
      </c>
      <c r="K33" s="467" t="str">
        <f t="shared" si="2"/>
        <v>IR</v>
      </c>
      <c r="L33" t="str">
        <f t="shared" si="0"/>
        <v>社頭S/S</v>
      </c>
      <c r="M33" s="467" t="str">
        <f t="shared" si="1"/>
        <v>SS</v>
      </c>
      <c r="N33" t="s">
        <v>61</v>
      </c>
      <c r="O33">
        <v>4</v>
      </c>
    </row>
    <row r="34" spans="1:15">
      <c r="A34" t="s">
        <v>65</v>
      </c>
      <c r="B34" t="s">
        <v>62</v>
      </c>
      <c r="C34">
        <v>2</v>
      </c>
      <c r="F34" t="s">
        <v>1911</v>
      </c>
      <c r="G34" t="s">
        <v>2037</v>
      </c>
      <c r="K34" s="467" t="str">
        <f t="shared" si="2"/>
        <v>IS</v>
      </c>
      <c r="L34" t="str">
        <f t="shared" si="0"/>
        <v>草湖S/S</v>
      </c>
      <c r="M34" s="467" t="str">
        <f t="shared" si="1"/>
        <v>SS</v>
      </c>
      <c r="N34" t="s">
        <v>62</v>
      </c>
      <c r="O34">
        <v>2</v>
      </c>
    </row>
    <row r="35" spans="1:15">
      <c r="A35" t="s">
        <v>63</v>
      </c>
      <c r="B35" t="s">
        <v>64</v>
      </c>
      <c r="C35">
        <v>3</v>
      </c>
      <c r="F35" t="s">
        <v>1913</v>
      </c>
      <c r="G35" t="s">
        <v>2037</v>
      </c>
      <c r="K35" s="467" t="str">
        <f t="shared" si="2"/>
        <v>IT</v>
      </c>
      <c r="L35" t="str">
        <f t="shared" si="0"/>
        <v>溝墘S/S</v>
      </c>
      <c r="M35" s="467" t="str">
        <f t="shared" si="1"/>
        <v>SS</v>
      </c>
      <c r="N35" t="s">
        <v>64</v>
      </c>
      <c r="O35">
        <v>3</v>
      </c>
    </row>
    <row r="36" spans="1:15">
      <c r="A36" t="s">
        <v>70</v>
      </c>
      <c r="B36" t="s">
        <v>69</v>
      </c>
      <c r="C36">
        <v>4</v>
      </c>
      <c r="F36" t="s">
        <v>1988</v>
      </c>
      <c r="G36" t="s">
        <v>2037</v>
      </c>
      <c r="K36" s="467" t="str">
        <f t="shared" si="2"/>
        <v>IU</v>
      </c>
      <c r="L36" t="str">
        <f t="shared" si="0"/>
        <v>員東D/S</v>
      </c>
      <c r="M36" s="467" t="str">
        <f t="shared" si="1"/>
        <v>DS</v>
      </c>
      <c r="N36" t="s">
        <v>69</v>
      </c>
      <c r="O36">
        <v>4</v>
      </c>
    </row>
    <row r="37" spans="1:15">
      <c r="A37" t="s">
        <v>72</v>
      </c>
      <c r="B37" t="s">
        <v>71</v>
      </c>
      <c r="C37">
        <v>3</v>
      </c>
      <c r="F37" t="s">
        <v>1990</v>
      </c>
      <c r="G37" t="s">
        <v>2037</v>
      </c>
      <c r="K37" s="467" t="str">
        <f t="shared" si="2"/>
        <v>IV</v>
      </c>
      <c r="L37" t="str">
        <f t="shared" si="0"/>
        <v>伸港S/S</v>
      </c>
      <c r="M37" s="467" t="str">
        <f t="shared" si="1"/>
        <v>SS</v>
      </c>
      <c r="N37" t="s">
        <v>71</v>
      </c>
      <c r="O37">
        <v>3</v>
      </c>
    </row>
    <row r="38" spans="1:15">
      <c r="A38" t="s">
        <v>74</v>
      </c>
      <c r="B38" t="s">
        <v>73</v>
      </c>
      <c r="C38">
        <v>3</v>
      </c>
      <c r="F38" t="s">
        <v>1992</v>
      </c>
      <c r="G38" t="s">
        <v>2037</v>
      </c>
      <c r="K38" s="467" t="str">
        <f t="shared" si="2"/>
        <v>IW</v>
      </c>
      <c r="L38" t="str">
        <f t="shared" si="0"/>
        <v>二水S/S</v>
      </c>
      <c r="M38" s="467" t="str">
        <f t="shared" si="1"/>
        <v>SS</v>
      </c>
      <c r="N38" t="s">
        <v>73</v>
      </c>
      <c r="O38">
        <v>3</v>
      </c>
    </row>
    <row r="39" spans="1:15">
      <c r="A39" t="s">
        <v>75</v>
      </c>
      <c r="B39" t="s">
        <v>76</v>
      </c>
      <c r="C39">
        <v>3</v>
      </c>
      <c r="F39" t="s">
        <v>1994</v>
      </c>
      <c r="G39" t="s">
        <v>2037</v>
      </c>
      <c r="K39" s="467" t="str">
        <f t="shared" si="2"/>
        <v>IX</v>
      </c>
      <c r="L39" t="str">
        <f t="shared" si="0"/>
        <v>北斗S/S</v>
      </c>
      <c r="M39" s="467" t="str">
        <f t="shared" si="1"/>
        <v>SS</v>
      </c>
      <c r="N39" t="s">
        <v>76</v>
      </c>
      <c r="O39">
        <v>3</v>
      </c>
    </row>
    <row r="40" spans="1:15">
      <c r="A40" t="s">
        <v>77</v>
      </c>
      <c r="B40" t="s">
        <v>78</v>
      </c>
      <c r="C40">
        <v>3</v>
      </c>
      <c r="F40" t="s">
        <v>1995</v>
      </c>
      <c r="G40" t="s">
        <v>2037</v>
      </c>
      <c r="K40" s="467" t="str">
        <f t="shared" si="2"/>
        <v>IY</v>
      </c>
      <c r="L40" t="str">
        <f t="shared" si="0"/>
        <v>芳苑S/S</v>
      </c>
      <c r="M40" s="467" t="str">
        <f t="shared" si="1"/>
        <v>SS</v>
      </c>
      <c r="N40" t="s">
        <v>78</v>
      </c>
      <c r="O40">
        <v>3</v>
      </c>
    </row>
    <row r="41" spans="1:15">
      <c r="A41" t="s">
        <v>79</v>
      </c>
      <c r="B41" t="s">
        <v>80</v>
      </c>
      <c r="C41">
        <v>4</v>
      </c>
      <c r="F41" t="s">
        <v>1915</v>
      </c>
      <c r="G41" t="s">
        <v>2037</v>
      </c>
      <c r="K41" s="467" t="str">
        <f t="shared" si="2"/>
        <v>IZ</v>
      </c>
      <c r="L41" t="str">
        <f t="shared" si="0"/>
        <v>全興E/S</v>
      </c>
      <c r="M41" s="467" t="str">
        <f t="shared" si="1"/>
        <v>ES</v>
      </c>
      <c r="N41" t="s">
        <v>80</v>
      </c>
      <c r="O41">
        <v>4</v>
      </c>
    </row>
    <row r="42" spans="1:15">
      <c r="F42" t="s">
        <v>1997</v>
      </c>
      <c r="G42" t="s">
        <v>2038</v>
      </c>
    </row>
    <row r="43" spans="1:15">
      <c r="F43" t="s">
        <v>1998</v>
      </c>
      <c r="G43" t="s">
        <v>2038</v>
      </c>
    </row>
    <row r="44" spans="1:15">
      <c r="F44" t="s">
        <v>1917</v>
      </c>
      <c r="G44" t="s">
        <v>2038</v>
      </c>
    </row>
    <row r="45" spans="1:15">
      <c r="F45" t="s">
        <v>1283</v>
      </c>
      <c r="G45" t="s">
        <v>2037</v>
      </c>
    </row>
    <row r="46" spans="1:15">
      <c r="F46" t="s">
        <v>1918</v>
      </c>
      <c r="G46" t="s">
        <v>2038</v>
      </c>
    </row>
    <row r="47" spans="1:15">
      <c r="F47" t="s">
        <v>1919</v>
      </c>
      <c r="G47" t="s">
        <v>2038</v>
      </c>
    </row>
    <row r="48" spans="1:15">
      <c r="F48" t="s">
        <v>2000</v>
      </c>
      <c r="G48" t="s">
        <v>2038</v>
      </c>
    </row>
    <row r="49" spans="6:7">
      <c r="F49" t="s">
        <v>1451</v>
      </c>
      <c r="G49" t="s">
        <v>2037</v>
      </c>
    </row>
    <row r="50" spans="6:7">
      <c r="F50" t="s">
        <v>1629</v>
      </c>
      <c r="G50" t="s">
        <v>2037</v>
      </c>
    </row>
    <row r="51" spans="6:7">
      <c r="F51" t="s">
        <v>2002</v>
      </c>
      <c r="G51" t="s">
        <v>2038</v>
      </c>
    </row>
    <row r="52" spans="6:7">
      <c r="F52" t="s">
        <v>2003</v>
      </c>
      <c r="G52" t="s">
        <v>2038</v>
      </c>
    </row>
    <row r="53" spans="6:7">
      <c r="F53" t="s">
        <v>1921</v>
      </c>
      <c r="G53" t="s">
        <v>2038</v>
      </c>
    </row>
    <row r="54" spans="6:7">
      <c r="F54" t="s">
        <v>1923</v>
      </c>
      <c r="G54" t="s">
        <v>2037</v>
      </c>
    </row>
    <row r="55" spans="6:7">
      <c r="F55" t="s">
        <v>1925</v>
      </c>
      <c r="G55" t="s">
        <v>2037</v>
      </c>
    </row>
    <row r="56" spans="6:7">
      <c r="F56" t="s">
        <v>2004</v>
      </c>
      <c r="G56" t="s">
        <v>2037</v>
      </c>
    </row>
    <row r="57" spans="6:7">
      <c r="F57" t="s">
        <v>2005</v>
      </c>
      <c r="G57" t="s">
        <v>2037</v>
      </c>
    </row>
    <row r="58" spans="6:7">
      <c r="F58" t="s">
        <v>2006</v>
      </c>
      <c r="G58" t="s">
        <v>2037</v>
      </c>
    </row>
    <row r="59" spans="6:7">
      <c r="F59" t="s">
        <v>2008</v>
      </c>
      <c r="G59" t="s">
        <v>2038</v>
      </c>
    </row>
    <row r="60" spans="6:7">
      <c r="F60" t="s">
        <v>2009</v>
      </c>
      <c r="G60" t="s">
        <v>2037</v>
      </c>
    </row>
    <row r="61" spans="6:7">
      <c r="F61" t="s">
        <v>2011</v>
      </c>
      <c r="G61" t="s">
        <v>2037</v>
      </c>
    </row>
    <row r="62" spans="6:7">
      <c r="F62" t="s">
        <v>1927</v>
      </c>
      <c r="G62" t="s">
        <v>2037</v>
      </c>
    </row>
    <row r="63" spans="6:7">
      <c r="F63" t="s">
        <v>1929</v>
      </c>
      <c r="G63" t="s">
        <v>2037</v>
      </c>
    </row>
    <row r="64" spans="6:7">
      <c r="F64" t="s">
        <v>1320</v>
      </c>
      <c r="G64" t="s">
        <v>2037</v>
      </c>
    </row>
    <row r="65" spans="6:7">
      <c r="F65" t="s">
        <v>1453</v>
      </c>
      <c r="G65" t="s">
        <v>2037</v>
      </c>
    </row>
    <row r="66" spans="6:7">
      <c r="F66" t="s">
        <v>1504</v>
      </c>
      <c r="G66" t="s">
        <v>2037</v>
      </c>
    </row>
    <row r="67" spans="6:7">
      <c r="F67" t="s">
        <v>753</v>
      </c>
      <c r="G67" t="s">
        <v>2037</v>
      </c>
    </row>
    <row r="68" spans="6:7">
      <c r="F68" t="s">
        <v>2039</v>
      </c>
      <c r="G68" t="s">
        <v>2037</v>
      </c>
    </row>
    <row r="69" spans="6:7">
      <c r="F69" t="s">
        <v>1933</v>
      </c>
      <c r="G69" t="s">
        <v>2037</v>
      </c>
    </row>
    <row r="70" spans="6:7">
      <c r="F70" t="s">
        <v>1935</v>
      </c>
      <c r="G70" t="s">
        <v>2037</v>
      </c>
    </row>
    <row r="71" spans="6:7">
      <c r="F71" t="s">
        <v>1937</v>
      </c>
      <c r="G71" t="s">
        <v>2037</v>
      </c>
    </row>
    <row r="72" spans="6:7">
      <c r="F72" t="s">
        <v>1938</v>
      </c>
      <c r="G72" t="s">
        <v>2037</v>
      </c>
    </row>
    <row r="73" spans="6:7">
      <c r="F73" t="s">
        <v>1940</v>
      </c>
      <c r="G73" t="s">
        <v>2037</v>
      </c>
    </row>
    <row r="74" spans="6:7">
      <c r="F74" t="s">
        <v>1942</v>
      </c>
      <c r="G74" t="s">
        <v>2037</v>
      </c>
    </row>
    <row r="75" spans="6:7">
      <c r="F75" t="s">
        <v>2018</v>
      </c>
      <c r="G75" t="s">
        <v>2037</v>
      </c>
    </row>
    <row r="76" spans="6:7">
      <c r="F76" t="s">
        <v>2019</v>
      </c>
      <c r="G76" t="s">
        <v>2037</v>
      </c>
    </row>
    <row r="77" spans="6:7">
      <c r="F77" t="s">
        <v>2020</v>
      </c>
      <c r="G77" t="s">
        <v>2037</v>
      </c>
    </row>
    <row r="78" spans="6:7">
      <c r="F78" t="s">
        <v>2023</v>
      </c>
      <c r="G78" t="s">
        <v>2037</v>
      </c>
    </row>
    <row r="79" spans="6:7">
      <c r="F79" t="s">
        <v>2025</v>
      </c>
      <c r="G79" t="s">
        <v>2037</v>
      </c>
    </row>
    <row r="80" spans="6:7">
      <c r="F80" t="s">
        <v>2026</v>
      </c>
      <c r="G80" t="s">
        <v>2037</v>
      </c>
    </row>
    <row r="81" spans="6:7">
      <c r="F81" t="s">
        <v>2028</v>
      </c>
      <c r="G81" t="s">
        <v>2037</v>
      </c>
    </row>
    <row r="82" spans="6:7">
      <c r="F82" t="s">
        <v>1944</v>
      </c>
      <c r="G82" t="s">
        <v>2038</v>
      </c>
    </row>
    <row r="83" spans="6:7">
      <c r="F83" t="s">
        <v>1945</v>
      </c>
      <c r="G83" t="s">
        <v>2038</v>
      </c>
    </row>
    <row r="84" spans="6:7">
      <c r="F84" t="s">
        <v>1947</v>
      </c>
      <c r="G84" t="s">
        <v>2038</v>
      </c>
    </row>
    <row r="85" spans="6:7">
      <c r="F85" t="s">
        <v>1949</v>
      </c>
      <c r="G85" t="s">
        <v>2038</v>
      </c>
    </row>
    <row r="86" spans="6:7">
      <c r="F86" t="s">
        <v>1950</v>
      </c>
      <c r="G86" t="s">
        <v>2037</v>
      </c>
    </row>
    <row r="87" spans="6:7">
      <c r="F87" t="s">
        <v>1383</v>
      </c>
      <c r="G87" t="s">
        <v>2037</v>
      </c>
    </row>
    <row r="88" spans="6:7">
      <c r="F88" t="s">
        <v>1416</v>
      </c>
      <c r="G88" t="s">
        <v>2038</v>
      </c>
    </row>
    <row r="89" spans="6:7">
      <c r="F89" t="s">
        <v>2030</v>
      </c>
      <c r="G89" t="s">
        <v>2037</v>
      </c>
    </row>
    <row r="90" spans="6:7">
      <c r="F90" t="s">
        <v>2032</v>
      </c>
      <c r="G90" t="s">
        <v>2037</v>
      </c>
    </row>
    <row r="91" spans="6:7">
      <c r="F91" t="s">
        <v>2034</v>
      </c>
      <c r="G91" t="s">
        <v>2038</v>
      </c>
    </row>
    <row r="92" spans="6:7">
      <c r="F92" t="s">
        <v>2036</v>
      </c>
      <c r="G92" t="s">
        <v>2037</v>
      </c>
    </row>
  </sheetData>
  <phoneticPr fontId="1" type="noConversion"/>
  <conditionalFormatting sqref="W2:W6">
    <cfRule type="containsText" dxfId="5" priority="6" operator="containsText" text="有啟動">
      <formula>NOT(ISERROR(SEARCH("有啟動",W2)))</formula>
    </cfRule>
  </conditionalFormatting>
  <conditionalFormatting sqref="W2:W6">
    <cfRule type="containsText" dxfId="4" priority="5" operator="containsText" text="無啟動">
      <formula>NOT(ISERROR(SEARCH("無啟動",W2)))</formula>
    </cfRule>
  </conditionalFormatting>
  <conditionalFormatting sqref="W2:W6">
    <cfRule type="containsText" dxfId="3" priority="4" operator="containsText" text="未供電">
      <formula>NOT(ISERROR(SEARCH("未供電",W2)))</formula>
    </cfRule>
  </conditionalFormatting>
  <conditionalFormatting sqref="X2:X6">
    <cfRule type="containsText" dxfId="2" priority="3" operator="containsText" text="有啟動">
      <formula>NOT(ISERROR(SEARCH("有啟動",X2)))</formula>
    </cfRule>
  </conditionalFormatting>
  <conditionalFormatting sqref="X2:X6">
    <cfRule type="containsText" dxfId="1" priority="2" operator="containsText" text="無啟動">
      <formula>NOT(ISERROR(SEARCH("無啟動",X2)))</formula>
    </cfRule>
  </conditionalFormatting>
  <conditionalFormatting sqref="X2:X6">
    <cfRule type="containsText" dxfId="0" priority="1" operator="containsText" text="未供電">
      <formula>NOT(ISERROR(SEARCH("未供電",X2)))</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8">
    <tabColor rgb="FFFF0000"/>
  </sheetPr>
  <dimension ref="A1:BL829"/>
  <sheetViews>
    <sheetView topLeftCell="AU808" zoomScale="85" zoomScaleNormal="85" workbookViewId="0">
      <selection activeCell="BJ824" sqref="BJ824:BJ829"/>
    </sheetView>
  </sheetViews>
  <sheetFormatPr defaultRowHeight="16.5"/>
  <cols>
    <col min="1" max="1" width="10.5" style="220" customWidth="1"/>
    <col min="2" max="2" width="19.5" style="220" customWidth="1"/>
    <col min="3" max="11" width="9" style="220"/>
    <col min="12" max="12" width="12.375" style="220" customWidth="1"/>
    <col min="13" max="13" width="6.5" style="220" customWidth="1"/>
    <col min="14" max="14" width="10.625" style="220" customWidth="1"/>
    <col min="15" max="15" width="13" style="220" customWidth="1"/>
    <col min="16" max="16" width="15.625" style="221" customWidth="1"/>
    <col min="17" max="17" width="9.875" style="221" customWidth="1"/>
    <col min="18" max="18" width="10.75" style="222" customWidth="1"/>
    <col min="19" max="20" width="9.875" style="221" customWidth="1"/>
    <col min="21" max="21" width="11.625" style="221" customWidth="1"/>
    <col min="22" max="22" width="12.875" style="220" customWidth="1"/>
    <col min="23" max="23" width="10.375" style="220" bestFit="1" customWidth="1"/>
    <col min="24" max="27" width="9" style="220"/>
    <col min="28" max="28" width="13.25" style="220" customWidth="1"/>
    <col min="29" max="29" width="12.75" style="220" customWidth="1"/>
    <col min="30" max="30" width="9" style="220"/>
    <col min="31" max="31" width="18.625" customWidth="1"/>
    <col min="32" max="32" width="26.5" customWidth="1"/>
    <col min="36" max="36" width="10.875" bestFit="1" customWidth="1"/>
    <col min="39" max="39" width="9" style="467"/>
    <col min="40" max="40" width="12.875" bestFit="1" customWidth="1"/>
    <col min="41" max="41" width="21.625" style="467" bestFit="1" customWidth="1"/>
    <col min="42" max="42" width="9" style="220"/>
    <col min="43" max="43" width="8.75" style="220" bestFit="1" customWidth="1"/>
    <col min="44" max="44" width="11.5" style="220" bestFit="1" customWidth="1"/>
    <col min="45" max="45" width="8.25" style="220" customWidth="1"/>
    <col min="46" max="46" width="11.5" style="220" bestFit="1" customWidth="1"/>
    <col min="47" max="48" width="17.625" style="220" bestFit="1" customWidth="1"/>
    <col min="49" max="49" width="15.375" style="220" bestFit="1" customWidth="1"/>
    <col min="50" max="50" width="18.5" style="220" customWidth="1"/>
    <col min="51" max="53" width="9" style="220"/>
    <col min="54" max="54" width="12.875" style="220" bestFit="1" customWidth="1"/>
    <col min="55" max="55" width="20.25" style="220" bestFit="1" customWidth="1"/>
    <col min="56" max="56" width="17.875" style="220" bestFit="1" customWidth="1"/>
    <col min="57" max="57" width="12.875" style="220" bestFit="1" customWidth="1"/>
    <col min="58" max="58" width="9" style="220"/>
    <col min="59" max="59" width="12" style="220" bestFit="1" customWidth="1"/>
    <col min="60" max="60" width="14" style="220" bestFit="1" customWidth="1"/>
    <col min="61" max="62" width="13.25" style="220" bestFit="1" customWidth="1"/>
    <col min="63" max="63" width="9" style="220"/>
    <col min="64" max="64" width="11.625" style="220" bestFit="1" customWidth="1"/>
    <col min="65" max="268" width="9" style="220"/>
    <col min="269" max="269" width="10.5" style="220" customWidth="1"/>
    <col min="270" max="270" width="19.5" style="220" customWidth="1"/>
    <col min="271" max="279" width="9" style="220"/>
    <col min="280" max="280" width="12.375" style="220" customWidth="1"/>
    <col min="281" max="281" width="6.5" style="220" customWidth="1"/>
    <col min="282" max="282" width="10.625" style="220" customWidth="1"/>
    <col min="283" max="283" width="13" style="220" customWidth="1"/>
    <col min="284" max="284" width="15.625" style="220" customWidth="1"/>
    <col min="285" max="285" width="9.875" style="220" customWidth="1"/>
    <col min="286" max="286" width="10.75" style="220" customWidth="1"/>
    <col min="287" max="288" width="9.875" style="220" customWidth="1"/>
    <col min="289" max="289" width="11.625" style="220" customWidth="1"/>
    <col min="290" max="290" width="12.875" style="220" customWidth="1"/>
    <col min="291" max="291" width="10.375" style="220" bestFit="1" customWidth="1"/>
    <col min="292" max="294" width="9" style="220"/>
    <col min="295" max="295" width="9.625" style="220" bestFit="1" customWidth="1"/>
    <col min="296" max="524" width="9" style="220"/>
    <col min="525" max="525" width="10.5" style="220" customWidth="1"/>
    <col min="526" max="526" width="19.5" style="220" customWidth="1"/>
    <col min="527" max="535" width="9" style="220"/>
    <col min="536" max="536" width="12.375" style="220" customWidth="1"/>
    <col min="537" max="537" width="6.5" style="220" customWidth="1"/>
    <col min="538" max="538" width="10.625" style="220" customWidth="1"/>
    <col min="539" max="539" width="13" style="220" customWidth="1"/>
    <col min="540" max="540" width="15.625" style="220" customWidth="1"/>
    <col min="541" max="541" width="9.875" style="220" customWidth="1"/>
    <col min="542" max="542" width="10.75" style="220" customWidth="1"/>
    <col min="543" max="544" width="9.875" style="220" customWidth="1"/>
    <col min="545" max="545" width="11.625" style="220" customWidth="1"/>
    <col min="546" max="546" width="12.875" style="220" customWidth="1"/>
    <col min="547" max="547" width="10.375" style="220" bestFit="1" customWidth="1"/>
    <col min="548" max="550" width="9" style="220"/>
    <col min="551" max="551" width="9.625" style="220" bestFit="1" customWidth="1"/>
    <col min="552" max="780" width="9" style="220"/>
    <col min="781" max="781" width="10.5" style="220" customWidth="1"/>
    <col min="782" max="782" width="19.5" style="220" customWidth="1"/>
    <col min="783" max="791" width="9" style="220"/>
    <col min="792" max="792" width="12.375" style="220" customWidth="1"/>
    <col min="793" max="793" width="6.5" style="220" customWidth="1"/>
    <col min="794" max="794" width="10.625" style="220" customWidth="1"/>
    <col min="795" max="795" width="13" style="220" customWidth="1"/>
    <col min="796" max="796" width="15.625" style="220" customWidth="1"/>
    <col min="797" max="797" width="9.875" style="220" customWidth="1"/>
    <col min="798" max="798" width="10.75" style="220" customWidth="1"/>
    <col min="799" max="800" width="9.875" style="220" customWidth="1"/>
    <col min="801" max="801" width="11.625" style="220" customWidth="1"/>
    <col min="802" max="802" width="12.875" style="220" customWidth="1"/>
    <col min="803" max="803" width="10.375" style="220" bestFit="1" customWidth="1"/>
    <col min="804" max="806" width="9" style="220"/>
    <col min="807" max="807" width="9.625" style="220" bestFit="1" customWidth="1"/>
    <col min="808" max="1036" width="9" style="220"/>
    <col min="1037" max="1037" width="10.5" style="220" customWidth="1"/>
    <col min="1038" max="1038" width="19.5" style="220" customWidth="1"/>
    <col min="1039" max="1047" width="9" style="220"/>
    <col min="1048" max="1048" width="12.375" style="220" customWidth="1"/>
    <col min="1049" max="1049" width="6.5" style="220" customWidth="1"/>
    <col min="1050" max="1050" width="10.625" style="220" customWidth="1"/>
    <col min="1051" max="1051" width="13" style="220" customWidth="1"/>
    <col min="1052" max="1052" width="15.625" style="220" customWidth="1"/>
    <col min="1053" max="1053" width="9.875" style="220" customWidth="1"/>
    <col min="1054" max="1054" width="10.75" style="220" customWidth="1"/>
    <col min="1055" max="1056" width="9.875" style="220" customWidth="1"/>
    <col min="1057" max="1057" width="11.625" style="220" customWidth="1"/>
    <col min="1058" max="1058" width="12.875" style="220" customWidth="1"/>
    <col min="1059" max="1059" width="10.375" style="220" bestFit="1" customWidth="1"/>
    <col min="1060" max="1062" width="9" style="220"/>
    <col min="1063" max="1063" width="9.625" style="220" bestFit="1" customWidth="1"/>
    <col min="1064" max="1292" width="9" style="220"/>
    <col min="1293" max="1293" width="10.5" style="220" customWidth="1"/>
    <col min="1294" max="1294" width="19.5" style="220" customWidth="1"/>
    <col min="1295" max="1303" width="9" style="220"/>
    <col min="1304" max="1304" width="12.375" style="220" customWidth="1"/>
    <col min="1305" max="1305" width="6.5" style="220" customWidth="1"/>
    <col min="1306" max="1306" width="10.625" style="220" customWidth="1"/>
    <col min="1307" max="1307" width="13" style="220" customWidth="1"/>
    <col min="1308" max="1308" width="15.625" style="220" customWidth="1"/>
    <col min="1309" max="1309" width="9.875" style="220" customWidth="1"/>
    <col min="1310" max="1310" width="10.75" style="220" customWidth="1"/>
    <col min="1311" max="1312" width="9.875" style="220" customWidth="1"/>
    <col min="1313" max="1313" width="11.625" style="220" customWidth="1"/>
    <col min="1314" max="1314" width="12.875" style="220" customWidth="1"/>
    <col min="1315" max="1315" width="10.375" style="220" bestFit="1" customWidth="1"/>
    <col min="1316" max="1318" width="9" style="220"/>
    <col min="1319" max="1319" width="9.625" style="220" bestFit="1" customWidth="1"/>
    <col min="1320" max="1548" width="9" style="220"/>
    <col min="1549" max="1549" width="10.5" style="220" customWidth="1"/>
    <col min="1550" max="1550" width="19.5" style="220" customWidth="1"/>
    <col min="1551" max="1559" width="9" style="220"/>
    <col min="1560" max="1560" width="12.375" style="220" customWidth="1"/>
    <col min="1561" max="1561" width="6.5" style="220" customWidth="1"/>
    <col min="1562" max="1562" width="10.625" style="220" customWidth="1"/>
    <col min="1563" max="1563" width="13" style="220" customWidth="1"/>
    <col min="1564" max="1564" width="15.625" style="220" customWidth="1"/>
    <col min="1565" max="1565" width="9.875" style="220" customWidth="1"/>
    <col min="1566" max="1566" width="10.75" style="220" customWidth="1"/>
    <col min="1567" max="1568" width="9.875" style="220" customWidth="1"/>
    <col min="1569" max="1569" width="11.625" style="220" customWidth="1"/>
    <col min="1570" max="1570" width="12.875" style="220" customWidth="1"/>
    <col min="1571" max="1571" width="10.375" style="220" bestFit="1" customWidth="1"/>
    <col min="1572" max="1574" width="9" style="220"/>
    <col min="1575" max="1575" width="9.625" style="220" bestFit="1" customWidth="1"/>
    <col min="1576" max="1804" width="9" style="220"/>
    <col min="1805" max="1805" width="10.5" style="220" customWidth="1"/>
    <col min="1806" max="1806" width="19.5" style="220" customWidth="1"/>
    <col min="1807" max="1815" width="9" style="220"/>
    <col min="1816" max="1816" width="12.375" style="220" customWidth="1"/>
    <col min="1817" max="1817" width="6.5" style="220" customWidth="1"/>
    <col min="1818" max="1818" width="10.625" style="220" customWidth="1"/>
    <col min="1819" max="1819" width="13" style="220" customWidth="1"/>
    <col min="1820" max="1820" width="15.625" style="220" customWidth="1"/>
    <col min="1821" max="1821" width="9.875" style="220" customWidth="1"/>
    <col min="1822" max="1822" width="10.75" style="220" customWidth="1"/>
    <col min="1823" max="1824" width="9.875" style="220" customWidth="1"/>
    <col min="1825" max="1825" width="11.625" style="220" customWidth="1"/>
    <col min="1826" max="1826" width="12.875" style="220" customWidth="1"/>
    <col min="1827" max="1827" width="10.375" style="220" bestFit="1" customWidth="1"/>
    <col min="1828" max="1830" width="9" style="220"/>
    <col min="1831" max="1831" width="9.625" style="220" bestFit="1" customWidth="1"/>
    <col min="1832" max="2060" width="9" style="220"/>
    <col min="2061" max="2061" width="10.5" style="220" customWidth="1"/>
    <col min="2062" max="2062" width="19.5" style="220" customWidth="1"/>
    <col min="2063" max="2071" width="9" style="220"/>
    <col min="2072" max="2072" width="12.375" style="220" customWidth="1"/>
    <col min="2073" max="2073" width="6.5" style="220" customWidth="1"/>
    <col min="2074" max="2074" width="10.625" style="220" customWidth="1"/>
    <col min="2075" max="2075" width="13" style="220" customWidth="1"/>
    <col min="2076" max="2076" width="15.625" style="220" customWidth="1"/>
    <col min="2077" max="2077" width="9.875" style="220" customWidth="1"/>
    <col min="2078" max="2078" width="10.75" style="220" customWidth="1"/>
    <col min="2079" max="2080" width="9.875" style="220" customWidth="1"/>
    <col min="2081" max="2081" width="11.625" style="220" customWidth="1"/>
    <col min="2082" max="2082" width="12.875" style="220" customWidth="1"/>
    <col min="2083" max="2083" width="10.375" style="220" bestFit="1" customWidth="1"/>
    <col min="2084" max="2086" width="9" style="220"/>
    <col min="2087" max="2087" width="9.625" style="220" bestFit="1" customWidth="1"/>
    <col min="2088" max="2316" width="9" style="220"/>
    <col min="2317" max="2317" width="10.5" style="220" customWidth="1"/>
    <col min="2318" max="2318" width="19.5" style="220" customWidth="1"/>
    <col min="2319" max="2327" width="9" style="220"/>
    <col min="2328" max="2328" width="12.375" style="220" customWidth="1"/>
    <col min="2329" max="2329" width="6.5" style="220" customWidth="1"/>
    <col min="2330" max="2330" width="10.625" style="220" customWidth="1"/>
    <col min="2331" max="2331" width="13" style="220" customWidth="1"/>
    <col min="2332" max="2332" width="15.625" style="220" customWidth="1"/>
    <col min="2333" max="2333" width="9.875" style="220" customWidth="1"/>
    <col min="2334" max="2334" width="10.75" style="220" customWidth="1"/>
    <col min="2335" max="2336" width="9.875" style="220" customWidth="1"/>
    <col min="2337" max="2337" width="11.625" style="220" customWidth="1"/>
    <col min="2338" max="2338" width="12.875" style="220" customWidth="1"/>
    <col min="2339" max="2339" width="10.375" style="220" bestFit="1" customWidth="1"/>
    <col min="2340" max="2342" width="9" style="220"/>
    <col min="2343" max="2343" width="9.625" style="220" bestFit="1" customWidth="1"/>
    <col min="2344" max="2572" width="9" style="220"/>
    <col min="2573" max="2573" width="10.5" style="220" customWidth="1"/>
    <col min="2574" max="2574" width="19.5" style="220" customWidth="1"/>
    <col min="2575" max="2583" width="9" style="220"/>
    <col min="2584" max="2584" width="12.375" style="220" customWidth="1"/>
    <col min="2585" max="2585" width="6.5" style="220" customWidth="1"/>
    <col min="2586" max="2586" width="10.625" style="220" customWidth="1"/>
    <col min="2587" max="2587" width="13" style="220" customWidth="1"/>
    <col min="2588" max="2588" width="15.625" style="220" customWidth="1"/>
    <col min="2589" max="2589" width="9.875" style="220" customWidth="1"/>
    <col min="2590" max="2590" width="10.75" style="220" customWidth="1"/>
    <col min="2591" max="2592" width="9.875" style="220" customWidth="1"/>
    <col min="2593" max="2593" width="11.625" style="220" customWidth="1"/>
    <col min="2594" max="2594" width="12.875" style="220" customWidth="1"/>
    <col min="2595" max="2595" width="10.375" style="220" bestFit="1" customWidth="1"/>
    <col min="2596" max="2598" width="9" style="220"/>
    <col min="2599" max="2599" width="9.625" style="220" bestFit="1" customWidth="1"/>
    <col min="2600" max="2828" width="9" style="220"/>
    <col min="2829" max="2829" width="10.5" style="220" customWidth="1"/>
    <col min="2830" max="2830" width="19.5" style="220" customWidth="1"/>
    <col min="2831" max="2839" width="9" style="220"/>
    <col min="2840" max="2840" width="12.375" style="220" customWidth="1"/>
    <col min="2841" max="2841" width="6.5" style="220" customWidth="1"/>
    <col min="2842" max="2842" width="10.625" style="220" customWidth="1"/>
    <col min="2843" max="2843" width="13" style="220" customWidth="1"/>
    <col min="2844" max="2844" width="15.625" style="220" customWidth="1"/>
    <col min="2845" max="2845" width="9.875" style="220" customWidth="1"/>
    <col min="2846" max="2846" width="10.75" style="220" customWidth="1"/>
    <col min="2847" max="2848" width="9.875" style="220" customWidth="1"/>
    <col min="2849" max="2849" width="11.625" style="220" customWidth="1"/>
    <col min="2850" max="2850" width="12.875" style="220" customWidth="1"/>
    <col min="2851" max="2851" width="10.375" style="220" bestFit="1" customWidth="1"/>
    <col min="2852" max="2854" width="9" style="220"/>
    <col min="2855" max="2855" width="9.625" style="220" bestFit="1" customWidth="1"/>
    <col min="2856" max="3084" width="9" style="220"/>
    <col min="3085" max="3085" width="10.5" style="220" customWidth="1"/>
    <col min="3086" max="3086" width="19.5" style="220" customWidth="1"/>
    <col min="3087" max="3095" width="9" style="220"/>
    <col min="3096" max="3096" width="12.375" style="220" customWidth="1"/>
    <col min="3097" max="3097" width="6.5" style="220" customWidth="1"/>
    <col min="3098" max="3098" width="10.625" style="220" customWidth="1"/>
    <col min="3099" max="3099" width="13" style="220" customWidth="1"/>
    <col min="3100" max="3100" width="15.625" style="220" customWidth="1"/>
    <col min="3101" max="3101" width="9.875" style="220" customWidth="1"/>
    <col min="3102" max="3102" width="10.75" style="220" customWidth="1"/>
    <col min="3103" max="3104" width="9.875" style="220" customWidth="1"/>
    <col min="3105" max="3105" width="11.625" style="220" customWidth="1"/>
    <col min="3106" max="3106" width="12.875" style="220" customWidth="1"/>
    <col min="3107" max="3107" width="10.375" style="220" bestFit="1" customWidth="1"/>
    <col min="3108" max="3110" width="9" style="220"/>
    <col min="3111" max="3111" width="9.625" style="220" bestFit="1" customWidth="1"/>
    <col min="3112" max="3340" width="9" style="220"/>
    <col min="3341" max="3341" width="10.5" style="220" customWidth="1"/>
    <col min="3342" max="3342" width="19.5" style="220" customWidth="1"/>
    <col min="3343" max="3351" width="9" style="220"/>
    <col min="3352" max="3352" width="12.375" style="220" customWidth="1"/>
    <col min="3353" max="3353" width="6.5" style="220" customWidth="1"/>
    <col min="3354" max="3354" width="10.625" style="220" customWidth="1"/>
    <col min="3355" max="3355" width="13" style="220" customWidth="1"/>
    <col min="3356" max="3356" width="15.625" style="220" customWidth="1"/>
    <col min="3357" max="3357" width="9.875" style="220" customWidth="1"/>
    <col min="3358" max="3358" width="10.75" style="220" customWidth="1"/>
    <col min="3359" max="3360" width="9.875" style="220" customWidth="1"/>
    <col min="3361" max="3361" width="11.625" style="220" customWidth="1"/>
    <col min="3362" max="3362" width="12.875" style="220" customWidth="1"/>
    <col min="3363" max="3363" width="10.375" style="220" bestFit="1" customWidth="1"/>
    <col min="3364" max="3366" width="9" style="220"/>
    <col min="3367" max="3367" width="9.625" style="220" bestFit="1" customWidth="1"/>
    <col min="3368" max="3596" width="9" style="220"/>
    <col min="3597" max="3597" width="10.5" style="220" customWidth="1"/>
    <col min="3598" max="3598" width="19.5" style="220" customWidth="1"/>
    <col min="3599" max="3607" width="9" style="220"/>
    <col min="3608" max="3608" width="12.375" style="220" customWidth="1"/>
    <col min="3609" max="3609" width="6.5" style="220" customWidth="1"/>
    <col min="3610" max="3610" width="10.625" style="220" customWidth="1"/>
    <col min="3611" max="3611" width="13" style="220" customWidth="1"/>
    <col min="3612" max="3612" width="15.625" style="220" customWidth="1"/>
    <col min="3613" max="3613" width="9.875" style="220" customWidth="1"/>
    <col min="3614" max="3614" width="10.75" style="220" customWidth="1"/>
    <col min="3615" max="3616" width="9.875" style="220" customWidth="1"/>
    <col min="3617" max="3617" width="11.625" style="220" customWidth="1"/>
    <col min="3618" max="3618" width="12.875" style="220" customWidth="1"/>
    <col min="3619" max="3619" width="10.375" style="220" bestFit="1" customWidth="1"/>
    <col min="3620" max="3622" width="9" style="220"/>
    <col min="3623" max="3623" width="9.625" style="220" bestFit="1" customWidth="1"/>
    <col min="3624" max="3852" width="9" style="220"/>
    <col min="3853" max="3853" width="10.5" style="220" customWidth="1"/>
    <col min="3854" max="3854" width="19.5" style="220" customWidth="1"/>
    <col min="3855" max="3863" width="9" style="220"/>
    <col min="3864" max="3864" width="12.375" style="220" customWidth="1"/>
    <col min="3865" max="3865" width="6.5" style="220" customWidth="1"/>
    <col min="3866" max="3866" width="10.625" style="220" customWidth="1"/>
    <col min="3867" max="3867" width="13" style="220" customWidth="1"/>
    <col min="3868" max="3868" width="15.625" style="220" customWidth="1"/>
    <col min="3869" max="3869" width="9.875" style="220" customWidth="1"/>
    <col min="3870" max="3870" width="10.75" style="220" customWidth="1"/>
    <col min="3871" max="3872" width="9.875" style="220" customWidth="1"/>
    <col min="3873" max="3873" width="11.625" style="220" customWidth="1"/>
    <col min="3874" max="3874" width="12.875" style="220" customWidth="1"/>
    <col min="3875" max="3875" width="10.375" style="220" bestFit="1" customWidth="1"/>
    <col min="3876" max="3878" width="9" style="220"/>
    <col min="3879" max="3879" width="9.625" style="220" bestFit="1" customWidth="1"/>
    <col min="3880" max="4108" width="9" style="220"/>
    <col min="4109" max="4109" width="10.5" style="220" customWidth="1"/>
    <col min="4110" max="4110" width="19.5" style="220" customWidth="1"/>
    <col min="4111" max="4119" width="9" style="220"/>
    <col min="4120" max="4120" width="12.375" style="220" customWidth="1"/>
    <col min="4121" max="4121" width="6.5" style="220" customWidth="1"/>
    <col min="4122" max="4122" width="10.625" style="220" customWidth="1"/>
    <col min="4123" max="4123" width="13" style="220" customWidth="1"/>
    <col min="4124" max="4124" width="15.625" style="220" customWidth="1"/>
    <col min="4125" max="4125" width="9.875" style="220" customWidth="1"/>
    <col min="4126" max="4126" width="10.75" style="220" customWidth="1"/>
    <col min="4127" max="4128" width="9.875" style="220" customWidth="1"/>
    <col min="4129" max="4129" width="11.625" style="220" customWidth="1"/>
    <col min="4130" max="4130" width="12.875" style="220" customWidth="1"/>
    <col min="4131" max="4131" width="10.375" style="220" bestFit="1" customWidth="1"/>
    <col min="4132" max="4134" width="9" style="220"/>
    <col min="4135" max="4135" width="9.625" style="220" bestFit="1" customWidth="1"/>
    <col min="4136" max="4364" width="9" style="220"/>
    <col min="4365" max="4365" width="10.5" style="220" customWidth="1"/>
    <col min="4366" max="4366" width="19.5" style="220" customWidth="1"/>
    <col min="4367" max="4375" width="9" style="220"/>
    <col min="4376" max="4376" width="12.375" style="220" customWidth="1"/>
    <col min="4377" max="4377" width="6.5" style="220" customWidth="1"/>
    <col min="4378" max="4378" width="10.625" style="220" customWidth="1"/>
    <col min="4379" max="4379" width="13" style="220" customWidth="1"/>
    <col min="4380" max="4380" width="15.625" style="220" customWidth="1"/>
    <col min="4381" max="4381" width="9.875" style="220" customWidth="1"/>
    <col min="4382" max="4382" width="10.75" style="220" customWidth="1"/>
    <col min="4383" max="4384" width="9.875" style="220" customWidth="1"/>
    <col min="4385" max="4385" width="11.625" style="220" customWidth="1"/>
    <col min="4386" max="4386" width="12.875" style="220" customWidth="1"/>
    <col min="4387" max="4387" width="10.375" style="220" bestFit="1" customWidth="1"/>
    <col min="4388" max="4390" width="9" style="220"/>
    <col min="4391" max="4391" width="9.625" style="220" bestFit="1" customWidth="1"/>
    <col min="4392" max="4620" width="9" style="220"/>
    <col min="4621" max="4621" width="10.5" style="220" customWidth="1"/>
    <col min="4622" max="4622" width="19.5" style="220" customWidth="1"/>
    <col min="4623" max="4631" width="9" style="220"/>
    <col min="4632" max="4632" width="12.375" style="220" customWidth="1"/>
    <col min="4633" max="4633" width="6.5" style="220" customWidth="1"/>
    <col min="4634" max="4634" width="10.625" style="220" customWidth="1"/>
    <col min="4635" max="4635" width="13" style="220" customWidth="1"/>
    <col min="4636" max="4636" width="15.625" style="220" customWidth="1"/>
    <col min="4637" max="4637" width="9.875" style="220" customWidth="1"/>
    <col min="4638" max="4638" width="10.75" style="220" customWidth="1"/>
    <col min="4639" max="4640" width="9.875" style="220" customWidth="1"/>
    <col min="4641" max="4641" width="11.625" style="220" customWidth="1"/>
    <col min="4642" max="4642" width="12.875" style="220" customWidth="1"/>
    <col min="4643" max="4643" width="10.375" style="220" bestFit="1" customWidth="1"/>
    <col min="4644" max="4646" width="9" style="220"/>
    <col min="4647" max="4647" width="9.625" style="220" bestFit="1" customWidth="1"/>
    <col min="4648" max="4876" width="9" style="220"/>
    <col min="4877" max="4877" width="10.5" style="220" customWidth="1"/>
    <col min="4878" max="4878" width="19.5" style="220" customWidth="1"/>
    <col min="4879" max="4887" width="9" style="220"/>
    <col min="4888" max="4888" width="12.375" style="220" customWidth="1"/>
    <col min="4889" max="4889" width="6.5" style="220" customWidth="1"/>
    <col min="4890" max="4890" width="10.625" style="220" customWidth="1"/>
    <col min="4891" max="4891" width="13" style="220" customWidth="1"/>
    <col min="4892" max="4892" width="15.625" style="220" customWidth="1"/>
    <col min="4893" max="4893" width="9.875" style="220" customWidth="1"/>
    <col min="4894" max="4894" width="10.75" style="220" customWidth="1"/>
    <col min="4895" max="4896" width="9.875" style="220" customWidth="1"/>
    <col min="4897" max="4897" width="11.625" style="220" customWidth="1"/>
    <col min="4898" max="4898" width="12.875" style="220" customWidth="1"/>
    <col min="4899" max="4899" width="10.375" style="220" bestFit="1" customWidth="1"/>
    <col min="4900" max="4902" width="9" style="220"/>
    <col min="4903" max="4903" width="9.625" style="220" bestFit="1" customWidth="1"/>
    <col min="4904" max="5132" width="9" style="220"/>
    <col min="5133" max="5133" width="10.5" style="220" customWidth="1"/>
    <col min="5134" max="5134" width="19.5" style="220" customWidth="1"/>
    <col min="5135" max="5143" width="9" style="220"/>
    <col min="5144" max="5144" width="12.375" style="220" customWidth="1"/>
    <col min="5145" max="5145" width="6.5" style="220" customWidth="1"/>
    <col min="5146" max="5146" width="10.625" style="220" customWidth="1"/>
    <col min="5147" max="5147" width="13" style="220" customWidth="1"/>
    <col min="5148" max="5148" width="15.625" style="220" customWidth="1"/>
    <col min="5149" max="5149" width="9.875" style="220" customWidth="1"/>
    <col min="5150" max="5150" width="10.75" style="220" customWidth="1"/>
    <col min="5151" max="5152" width="9.875" style="220" customWidth="1"/>
    <col min="5153" max="5153" width="11.625" style="220" customWidth="1"/>
    <col min="5154" max="5154" width="12.875" style="220" customWidth="1"/>
    <col min="5155" max="5155" width="10.375" style="220" bestFit="1" customWidth="1"/>
    <col min="5156" max="5158" width="9" style="220"/>
    <col min="5159" max="5159" width="9.625" style="220" bestFit="1" customWidth="1"/>
    <col min="5160" max="5388" width="9" style="220"/>
    <col min="5389" max="5389" width="10.5" style="220" customWidth="1"/>
    <col min="5390" max="5390" width="19.5" style="220" customWidth="1"/>
    <col min="5391" max="5399" width="9" style="220"/>
    <col min="5400" max="5400" width="12.375" style="220" customWidth="1"/>
    <col min="5401" max="5401" width="6.5" style="220" customWidth="1"/>
    <col min="5402" max="5402" width="10.625" style="220" customWidth="1"/>
    <col min="5403" max="5403" width="13" style="220" customWidth="1"/>
    <col min="5404" max="5404" width="15.625" style="220" customWidth="1"/>
    <col min="5405" max="5405" width="9.875" style="220" customWidth="1"/>
    <col min="5406" max="5406" width="10.75" style="220" customWidth="1"/>
    <col min="5407" max="5408" width="9.875" style="220" customWidth="1"/>
    <col min="5409" max="5409" width="11.625" style="220" customWidth="1"/>
    <col min="5410" max="5410" width="12.875" style="220" customWidth="1"/>
    <col min="5411" max="5411" width="10.375" style="220" bestFit="1" customWidth="1"/>
    <col min="5412" max="5414" width="9" style="220"/>
    <col min="5415" max="5415" width="9.625" style="220" bestFit="1" customWidth="1"/>
    <col min="5416" max="5644" width="9" style="220"/>
    <col min="5645" max="5645" width="10.5" style="220" customWidth="1"/>
    <col min="5646" max="5646" width="19.5" style="220" customWidth="1"/>
    <col min="5647" max="5655" width="9" style="220"/>
    <col min="5656" max="5656" width="12.375" style="220" customWidth="1"/>
    <col min="5657" max="5657" width="6.5" style="220" customWidth="1"/>
    <col min="5658" max="5658" width="10.625" style="220" customWidth="1"/>
    <col min="5659" max="5659" width="13" style="220" customWidth="1"/>
    <col min="5660" max="5660" width="15.625" style="220" customWidth="1"/>
    <col min="5661" max="5661" width="9.875" style="220" customWidth="1"/>
    <col min="5662" max="5662" width="10.75" style="220" customWidth="1"/>
    <col min="5663" max="5664" width="9.875" style="220" customWidth="1"/>
    <col min="5665" max="5665" width="11.625" style="220" customWidth="1"/>
    <col min="5666" max="5666" width="12.875" style="220" customWidth="1"/>
    <col min="5667" max="5667" width="10.375" style="220" bestFit="1" customWidth="1"/>
    <col min="5668" max="5670" width="9" style="220"/>
    <col min="5671" max="5671" width="9.625" style="220" bestFit="1" customWidth="1"/>
    <col min="5672" max="5900" width="9" style="220"/>
    <col min="5901" max="5901" width="10.5" style="220" customWidth="1"/>
    <col min="5902" max="5902" width="19.5" style="220" customWidth="1"/>
    <col min="5903" max="5911" width="9" style="220"/>
    <col min="5912" max="5912" width="12.375" style="220" customWidth="1"/>
    <col min="5913" max="5913" width="6.5" style="220" customWidth="1"/>
    <col min="5914" max="5914" width="10.625" style="220" customWidth="1"/>
    <col min="5915" max="5915" width="13" style="220" customWidth="1"/>
    <col min="5916" max="5916" width="15.625" style="220" customWidth="1"/>
    <col min="5917" max="5917" width="9.875" style="220" customWidth="1"/>
    <col min="5918" max="5918" width="10.75" style="220" customWidth="1"/>
    <col min="5919" max="5920" width="9.875" style="220" customWidth="1"/>
    <col min="5921" max="5921" width="11.625" style="220" customWidth="1"/>
    <col min="5922" max="5922" width="12.875" style="220" customWidth="1"/>
    <col min="5923" max="5923" width="10.375" style="220" bestFit="1" customWidth="1"/>
    <col min="5924" max="5926" width="9" style="220"/>
    <col min="5927" max="5927" width="9.625" style="220" bestFit="1" customWidth="1"/>
    <col min="5928" max="6156" width="9" style="220"/>
    <col min="6157" max="6157" width="10.5" style="220" customWidth="1"/>
    <col min="6158" max="6158" width="19.5" style="220" customWidth="1"/>
    <col min="6159" max="6167" width="9" style="220"/>
    <col min="6168" max="6168" width="12.375" style="220" customWidth="1"/>
    <col min="6169" max="6169" width="6.5" style="220" customWidth="1"/>
    <col min="6170" max="6170" width="10.625" style="220" customWidth="1"/>
    <col min="6171" max="6171" width="13" style="220" customWidth="1"/>
    <col min="6172" max="6172" width="15.625" style="220" customWidth="1"/>
    <col min="6173" max="6173" width="9.875" style="220" customWidth="1"/>
    <col min="6174" max="6174" width="10.75" style="220" customWidth="1"/>
    <col min="6175" max="6176" width="9.875" style="220" customWidth="1"/>
    <col min="6177" max="6177" width="11.625" style="220" customWidth="1"/>
    <col min="6178" max="6178" width="12.875" style="220" customWidth="1"/>
    <col min="6179" max="6179" width="10.375" style="220" bestFit="1" customWidth="1"/>
    <col min="6180" max="6182" width="9" style="220"/>
    <col min="6183" max="6183" width="9.625" style="220" bestFit="1" customWidth="1"/>
    <col min="6184" max="6412" width="9" style="220"/>
    <col min="6413" max="6413" width="10.5" style="220" customWidth="1"/>
    <col min="6414" max="6414" width="19.5" style="220" customWidth="1"/>
    <col min="6415" max="6423" width="9" style="220"/>
    <col min="6424" max="6424" width="12.375" style="220" customWidth="1"/>
    <col min="6425" max="6425" width="6.5" style="220" customWidth="1"/>
    <col min="6426" max="6426" width="10.625" style="220" customWidth="1"/>
    <col min="6427" max="6427" width="13" style="220" customWidth="1"/>
    <col min="6428" max="6428" width="15.625" style="220" customWidth="1"/>
    <col min="6429" max="6429" width="9.875" style="220" customWidth="1"/>
    <col min="6430" max="6430" width="10.75" style="220" customWidth="1"/>
    <col min="6431" max="6432" width="9.875" style="220" customWidth="1"/>
    <col min="6433" max="6433" width="11.625" style="220" customWidth="1"/>
    <col min="6434" max="6434" width="12.875" style="220" customWidth="1"/>
    <col min="6435" max="6435" width="10.375" style="220" bestFit="1" customWidth="1"/>
    <col min="6436" max="6438" width="9" style="220"/>
    <col min="6439" max="6439" width="9.625" style="220" bestFit="1" customWidth="1"/>
    <col min="6440" max="6668" width="9" style="220"/>
    <col min="6669" max="6669" width="10.5" style="220" customWidth="1"/>
    <col min="6670" max="6670" width="19.5" style="220" customWidth="1"/>
    <col min="6671" max="6679" width="9" style="220"/>
    <col min="6680" max="6680" width="12.375" style="220" customWidth="1"/>
    <col min="6681" max="6681" width="6.5" style="220" customWidth="1"/>
    <col min="6682" max="6682" width="10.625" style="220" customWidth="1"/>
    <col min="6683" max="6683" width="13" style="220" customWidth="1"/>
    <col min="6684" max="6684" width="15.625" style="220" customWidth="1"/>
    <col min="6685" max="6685" width="9.875" style="220" customWidth="1"/>
    <col min="6686" max="6686" width="10.75" style="220" customWidth="1"/>
    <col min="6687" max="6688" width="9.875" style="220" customWidth="1"/>
    <col min="6689" max="6689" width="11.625" style="220" customWidth="1"/>
    <col min="6690" max="6690" width="12.875" style="220" customWidth="1"/>
    <col min="6691" max="6691" width="10.375" style="220" bestFit="1" customWidth="1"/>
    <col min="6692" max="6694" width="9" style="220"/>
    <col min="6695" max="6695" width="9.625" style="220" bestFit="1" customWidth="1"/>
    <col min="6696" max="6924" width="9" style="220"/>
    <col min="6925" max="6925" width="10.5" style="220" customWidth="1"/>
    <col min="6926" max="6926" width="19.5" style="220" customWidth="1"/>
    <col min="6927" max="6935" width="9" style="220"/>
    <col min="6936" max="6936" width="12.375" style="220" customWidth="1"/>
    <col min="6937" max="6937" width="6.5" style="220" customWidth="1"/>
    <col min="6938" max="6938" width="10.625" style="220" customWidth="1"/>
    <col min="6939" max="6939" width="13" style="220" customWidth="1"/>
    <col min="6940" max="6940" width="15.625" style="220" customWidth="1"/>
    <col min="6941" max="6941" width="9.875" style="220" customWidth="1"/>
    <col min="6942" max="6942" width="10.75" style="220" customWidth="1"/>
    <col min="6943" max="6944" width="9.875" style="220" customWidth="1"/>
    <col min="6945" max="6945" width="11.625" style="220" customWidth="1"/>
    <col min="6946" max="6946" width="12.875" style="220" customWidth="1"/>
    <col min="6947" max="6947" width="10.375" style="220" bestFit="1" customWidth="1"/>
    <col min="6948" max="6950" width="9" style="220"/>
    <col min="6951" max="6951" width="9.625" style="220" bestFit="1" customWidth="1"/>
    <col min="6952" max="7180" width="9" style="220"/>
    <col min="7181" max="7181" width="10.5" style="220" customWidth="1"/>
    <col min="7182" max="7182" width="19.5" style="220" customWidth="1"/>
    <col min="7183" max="7191" width="9" style="220"/>
    <col min="7192" max="7192" width="12.375" style="220" customWidth="1"/>
    <col min="7193" max="7193" width="6.5" style="220" customWidth="1"/>
    <col min="7194" max="7194" width="10.625" style="220" customWidth="1"/>
    <col min="7195" max="7195" width="13" style="220" customWidth="1"/>
    <col min="7196" max="7196" width="15.625" style="220" customWidth="1"/>
    <col min="7197" max="7197" width="9.875" style="220" customWidth="1"/>
    <col min="7198" max="7198" width="10.75" style="220" customWidth="1"/>
    <col min="7199" max="7200" width="9.875" style="220" customWidth="1"/>
    <col min="7201" max="7201" width="11.625" style="220" customWidth="1"/>
    <col min="7202" max="7202" width="12.875" style="220" customWidth="1"/>
    <col min="7203" max="7203" width="10.375" style="220" bestFit="1" customWidth="1"/>
    <col min="7204" max="7206" width="9" style="220"/>
    <col min="7207" max="7207" width="9.625" style="220" bestFit="1" customWidth="1"/>
    <col min="7208" max="7436" width="9" style="220"/>
    <col min="7437" max="7437" width="10.5" style="220" customWidth="1"/>
    <col min="7438" max="7438" width="19.5" style="220" customWidth="1"/>
    <col min="7439" max="7447" width="9" style="220"/>
    <col min="7448" max="7448" width="12.375" style="220" customWidth="1"/>
    <col min="7449" max="7449" width="6.5" style="220" customWidth="1"/>
    <col min="7450" max="7450" width="10.625" style="220" customWidth="1"/>
    <col min="7451" max="7451" width="13" style="220" customWidth="1"/>
    <col min="7452" max="7452" width="15.625" style="220" customWidth="1"/>
    <col min="7453" max="7453" width="9.875" style="220" customWidth="1"/>
    <col min="7454" max="7454" width="10.75" style="220" customWidth="1"/>
    <col min="7455" max="7456" width="9.875" style="220" customWidth="1"/>
    <col min="7457" max="7457" width="11.625" style="220" customWidth="1"/>
    <col min="7458" max="7458" width="12.875" style="220" customWidth="1"/>
    <col min="7459" max="7459" width="10.375" style="220" bestFit="1" customWidth="1"/>
    <col min="7460" max="7462" width="9" style="220"/>
    <col min="7463" max="7463" width="9.625" style="220" bestFit="1" customWidth="1"/>
    <col min="7464" max="7692" width="9" style="220"/>
    <col min="7693" max="7693" width="10.5" style="220" customWidth="1"/>
    <col min="7694" max="7694" width="19.5" style="220" customWidth="1"/>
    <col min="7695" max="7703" width="9" style="220"/>
    <col min="7704" max="7704" width="12.375" style="220" customWidth="1"/>
    <col min="7705" max="7705" width="6.5" style="220" customWidth="1"/>
    <col min="7706" max="7706" width="10.625" style="220" customWidth="1"/>
    <col min="7707" max="7707" width="13" style="220" customWidth="1"/>
    <col min="7708" max="7708" width="15.625" style="220" customWidth="1"/>
    <col min="7709" max="7709" width="9.875" style="220" customWidth="1"/>
    <col min="7710" max="7710" width="10.75" style="220" customWidth="1"/>
    <col min="7711" max="7712" width="9.875" style="220" customWidth="1"/>
    <col min="7713" max="7713" width="11.625" style="220" customWidth="1"/>
    <col min="7714" max="7714" width="12.875" style="220" customWidth="1"/>
    <col min="7715" max="7715" width="10.375" style="220" bestFit="1" customWidth="1"/>
    <col min="7716" max="7718" width="9" style="220"/>
    <col min="7719" max="7719" width="9.625" style="220" bestFit="1" customWidth="1"/>
    <col min="7720" max="7948" width="9" style="220"/>
    <col min="7949" max="7949" width="10.5" style="220" customWidth="1"/>
    <col min="7950" max="7950" width="19.5" style="220" customWidth="1"/>
    <col min="7951" max="7959" width="9" style="220"/>
    <col min="7960" max="7960" width="12.375" style="220" customWidth="1"/>
    <col min="7961" max="7961" width="6.5" style="220" customWidth="1"/>
    <col min="7962" max="7962" width="10.625" style="220" customWidth="1"/>
    <col min="7963" max="7963" width="13" style="220" customWidth="1"/>
    <col min="7964" max="7964" width="15.625" style="220" customWidth="1"/>
    <col min="7965" max="7965" width="9.875" style="220" customWidth="1"/>
    <col min="7966" max="7966" width="10.75" style="220" customWidth="1"/>
    <col min="7967" max="7968" width="9.875" style="220" customWidth="1"/>
    <col min="7969" max="7969" width="11.625" style="220" customWidth="1"/>
    <col min="7970" max="7970" width="12.875" style="220" customWidth="1"/>
    <col min="7971" max="7971" width="10.375" style="220" bestFit="1" customWidth="1"/>
    <col min="7972" max="7974" width="9" style="220"/>
    <col min="7975" max="7975" width="9.625" style="220" bestFit="1" customWidth="1"/>
    <col min="7976" max="8204" width="9" style="220"/>
    <col min="8205" max="8205" width="10.5" style="220" customWidth="1"/>
    <col min="8206" max="8206" width="19.5" style="220" customWidth="1"/>
    <col min="8207" max="8215" width="9" style="220"/>
    <col min="8216" max="8216" width="12.375" style="220" customWidth="1"/>
    <col min="8217" max="8217" width="6.5" style="220" customWidth="1"/>
    <col min="8218" max="8218" width="10.625" style="220" customWidth="1"/>
    <col min="8219" max="8219" width="13" style="220" customWidth="1"/>
    <col min="8220" max="8220" width="15.625" style="220" customWidth="1"/>
    <col min="8221" max="8221" width="9.875" style="220" customWidth="1"/>
    <col min="8222" max="8222" width="10.75" style="220" customWidth="1"/>
    <col min="8223" max="8224" width="9.875" style="220" customWidth="1"/>
    <col min="8225" max="8225" width="11.625" style="220" customWidth="1"/>
    <col min="8226" max="8226" width="12.875" style="220" customWidth="1"/>
    <col min="8227" max="8227" width="10.375" style="220" bestFit="1" customWidth="1"/>
    <col min="8228" max="8230" width="9" style="220"/>
    <col min="8231" max="8231" width="9.625" style="220" bestFit="1" customWidth="1"/>
    <col min="8232" max="8460" width="9" style="220"/>
    <col min="8461" max="8461" width="10.5" style="220" customWidth="1"/>
    <col min="8462" max="8462" width="19.5" style="220" customWidth="1"/>
    <col min="8463" max="8471" width="9" style="220"/>
    <col min="8472" max="8472" width="12.375" style="220" customWidth="1"/>
    <col min="8473" max="8473" width="6.5" style="220" customWidth="1"/>
    <col min="8474" max="8474" width="10.625" style="220" customWidth="1"/>
    <col min="8475" max="8475" width="13" style="220" customWidth="1"/>
    <col min="8476" max="8476" width="15.625" style="220" customWidth="1"/>
    <col min="8477" max="8477" width="9.875" style="220" customWidth="1"/>
    <col min="8478" max="8478" width="10.75" style="220" customWidth="1"/>
    <col min="8479" max="8480" width="9.875" style="220" customWidth="1"/>
    <col min="8481" max="8481" width="11.625" style="220" customWidth="1"/>
    <col min="8482" max="8482" width="12.875" style="220" customWidth="1"/>
    <col min="8483" max="8483" width="10.375" style="220" bestFit="1" customWidth="1"/>
    <col min="8484" max="8486" width="9" style="220"/>
    <col min="8487" max="8487" width="9.625" style="220" bestFit="1" customWidth="1"/>
    <col min="8488" max="8716" width="9" style="220"/>
    <col min="8717" max="8717" width="10.5" style="220" customWidth="1"/>
    <col min="8718" max="8718" width="19.5" style="220" customWidth="1"/>
    <col min="8719" max="8727" width="9" style="220"/>
    <col min="8728" max="8728" width="12.375" style="220" customWidth="1"/>
    <col min="8729" max="8729" width="6.5" style="220" customWidth="1"/>
    <col min="8730" max="8730" width="10.625" style="220" customWidth="1"/>
    <col min="8731" max="8731" width="13" style="220" customWidth="1"/>
    <col min="8732" max="8732" width="15.625" style="220" customWidth="1"/>
    <col min="8733" max="8733" width="9.875" style="220" customWidth="1"/>
    <col min="8734" max="8734" width="10.75" style="220" customWidth="1"/>
    <col min="8735" max="8736" width="9.875" style="220" customWidth="1"/>
    <col min="8737" max="8737" width="11.625" style="220" customWidth="1"/>
    <col min="8738" max="8738" width="12.875" style="220" customWidth="1"/>
    <col min="8739" max="8739" width="10.375" style="220" bestFit="1" customWidth="1"/>
    <col min="8740" max="8742" width="9" style="220"/>
    <col min="8743" max="8743" width="9.625" style="220" bestFit="1" customWidth="1"/>
    <col min="8744" max="8972" width="9" style="220"/>
    <col min="8973" max="8973" width="10.5" style="220" customWidth="1"/>
    <col min="8974" max="8974" width="19.5" style="220" customWidth="1"/>
    <col min="8975" max="8983" width="9" style="220"/>
    <col min="8984" max="8984" width="12.375" style="220" customWidth="1"/>
    <col min="8985" max="8985" width="6.5" style="220" customWidth="1"/>
    <col min="8986" max="8986" width="10.625" style="220" customWidth="1"/>
    <col min="8987" max="8987" width="13" style="220" customWidth="1"/>
    <col min="8988" max="8988" width="15.625" style="220" customWidth="1"/>
    <col min="8989" max="8989" width="9.875" style="220" customWidth="1"/>
    <col min="8990" max="8990" width="10.75" style="220" customWidth="1"/>
    <col min="8991" max="8992" width="9.875" style="220" customWidth="1"/>
    <col min="8993" max="8993" width="11.625" style="220" customWidth="1"/>
    <col min="8994" max="8994" width="12.875" style="220" customWidth="1"/>
    <col min="8995" max="8995" width="10.375" style="220" bestFit="1" customWidth="1"/>
    <col min="8996" max="8998" width="9" style="220"/>
    <col min="8999" max="8999" width="9.625" style="220" bestFit="1" customWidth="1"/>
    <col min="9000" max="9228" width="9" style="220"/>
    <col min="9229" max="9229" width="10.5" style="220" customWidth="1"/>
    <col min="9230" max="9230" width="19.5" style="220" customWidth="1"/>
    <col min="9231" max="9239" width="9" style="220"/>
    <col min="9240" max="9240" width="12.375" style="220" customWidth="1"/>
    <col min="9241" max="9241" width="6.5" style="220" customWidth="1"/>
    <col min="9242" max="9242" width="10.625" style="220" customWidth="1"/>
    <col min="9243" max="9243" width="13" style="220" customWidth="1"/>
    <col min="9244" max="9244" width="15.625" style="220" customWidth="1"/>
    <col min="9245" max="9245" width="9.875" style="220" customWidth="1"/>
    <col min="9246" max="9246" width="10.75" style="220" customWidth="1"/>
    <col min="9247" max="9248" width="9.875" style="220" customWidth="1"/>
    <col min="9249" max="9249" width="11.625" style="220" customWidth="1"/>
    <col min="9250" max="9250" width="12.875" style="220" customWidth="1"/>
    <col min="9251" max="9251" width="10.375" style="220" bestFit="1" customWidth="1"/>
    <col min="9252" max="9254" width="9" style="220"/>
    <col min="9255" max="9255" width="9.625" style="220" bestFit="1" customWidth="1"/>
    <col min="9256" max="9484" width="9" style="220"/>
    <col min="9485" max="9485" width="10.5" style="220" customWidth="1"/>
    <col min="9486" max="9486" width="19.5" style="220" customWidth="1"/>
    <col min="9487" max="9495" width="9" style="220"/>
    <col min="9496" max="9496" width="12.375" style="220" customWidth="1"/>
    <col min="9497" max="9497" width="6.5" style="220" customWidth="1"/>
    <col min="9498" max="9498" width="10.625" style="220" customWidth="1"/>
    <col min="9499" max="9499" width="13" style="220" customWidth="1"/>
    <col min="9500" max="9500" width="15.625" style="220" customWidth="1"/>
    <col min="9501" max="9501" width="9.875" style="220" customWidth="1"/>
    <col min="9502" max="9502" width="10.75" style="220" customWidth="1"/>
    <col min="9503" max="9504" width="9.875" style="220" customWidth="1"/>
    <col min="9505" max="9505" width="11.625" style="220" customWidth="1"/>
    <col min="9506" max="9506" width="12.875" style="220" customWidth="1"/>
    <col min="9507" max="9507" width="10.375" style="220" bestFit="1" customWidth="1"/>
    <col min="9508" max="9510" width="9" style="220"/>
    <col min="9511" max="9511" width="9.625" style="220" bestFit="1" customWidth="1"/>
    <col min="9512" max="9740" width="9" style="220"/>
    <col min="9741" max="9741" width="10.5" style="220" customWidth="1"/>
    <col min="9742" max="9742" width="19.5" style="220" customWidth="1"/>
    <col min="9743" max="9751" width="9" style="220"/>
    <col min="9752" max="9752" width="12.375" style="220" customWidth="1"/>
    <col min="9753" max="9753" width="6.5" style="220" customWidth="1"/>
    <col min="9754" max="9754" width="10.625" style="220" customWidth="1"/>
    <col min="9755" max="9755" width="13" style="220" customWidth="1"/>
    <col min="9756" max="9756" width="15.625" style="220" customWidth="1"/>
    <col min="9757" max="9757" width="9.875" style="220" customWidth="1"/>
    <col min="9758" max="9758" width="10.75" style="220" customWidth="1"/>
    <col min="9759" max="9760" width="9.875" style="220" customWidth="1"/>
    <col min="9761" max="9761" width="11.625" style="220" customWidth="1"/>
    <col min="9762" max="9762" width="12.875" style="220" customWidth="1"/>
    <col min="9763" max="9763" width="10.375" style="220" bestFit="1" customWidth="1"/>
    <col min="9764" max="9766" width="9" style="220"/>
    <col min="9767" max="9767" width="9.625" style="220" bestFit="1" customWidth="1"/>
    <col min="9768" max="9996" width="9" style="220"/>
    <col min="9997" max="9997" width="10.5" style="220" customWidth="1"/>
    <col min="9998" max="9998" width="19.5" style="220" customWidth="1"/>
    <col min="9999" max="10007" width="9" style="220"/>
    <col min="10008" max="10008" width="12.375" style="220" customWidth="1"/>
    <col min="10009" max="10009" width="6.5" style="220" customWidth="1"/>
    <col min="10010" max="10010" width="10.625" style="220" customWidth="1"/>
    <col min="10011" max="10011" width="13" style="220" customWidth="1"/>
    <col min="10012" max="10012" width="15.625" style="220" customWidth="1"/>
    <col min="10013" max="10013" width="9.875" style="220" customWidth="1"/>
    <col min="10014" max="10014" width="10.75" style="220" customWidth="1"/>
    <col min="10015" max="10016" width="9.875" style="220" customWidth="1"/>
    <col min="10017" max="10017" width="11.625" style="220" customWidth="1"/>
    <col min="10018" max="10018" width="12.875" style="220" customWidth="1"/>
    <col min="10019" max="10019" width="10.375" style="220" bestFit="1" customWidth="1"/>
    <col min="10020" max="10022" width="9" style="220"/>
    <col min="10023" max="10023" width="9.625" style="220" bestFit="1" customWidth="1"/>
    <col min="10024" max="10252" width="9" style="220"/>
    <col min="10253" max="10253" width="10.5" style="220" customWidth="1"/>
    <col min="10254" max="10254" width="19.5" style="220" customWidth="1"/>
    <col min="10255" max="10263" width="9" style="220"/>
    <col min="10264" max="10264" width="12.375" style="220" customWidth="1"/>
    <col min="10265" max="10265" width="6.5" style="220" customWidth="1"/>
    <col min="10266" max="10266" width="10.625" style="220" customWidth="1"/>
    <col min="10267" max="10267" width="13" style="220" customWidth="1"/>
    <col min="10268" max="10268" width="15.625" style="220" customWidth="1"/>
    <col min="10269" max="10269" width="9.875" style="220" customWidth="1"/>
    <col min="10270" max="10270" width="10.75" style="220" customWidth="1"/>
    <col min="10271" max="10272" width="9.875" style="220" customWidth="1"/>
    <col min="10273" max="10273" width="11.625" style="220" customWidth="1"/>
    <col min="10274" max="10274" width="12.875" style="220" customWidth="1"/>
    <col min="10275" max="10275" width="10.375" style="220" bestFit="1" customWidth="1"/>
    <col min="10276" max="10278" width="9" style="220"/>
    <col min="10279" max="10279" width="9.625" style="220" bestFit="1" customWidth="1"/>
    <col min="10280" max="10508" width="9" style="220"/>
    <col min="10509" max="10509" width="10.5" style="220" customWidth="1"/>
    <col min="10510" max="10510" width="19.5" style="220" customWidth="1"/>
    <col min="10511" max="10519" width="9" style="220"/>
    <col min="10520" max="10520" width="12.375" style="220" customWidth="1"/>
    <col min="10521" max="10521" width="6.5" style="220" customWidth="1"/>
    <col min="10522" max="10522" width="10.625" style="220" customWidth="1"/>
    <col min="10523" max="10523" width="13" style="220" customWidth="1"/>
    <col min="10524" max="10524" width="15.625" style="220" customWidth="1"/>
    <col min="10525" max="10525" width="9.875" style="220" customWidth="1"/>
    <col min="10526" max="10526" width="10.75" style="220" customWidth="1"/>
    <col min="10527" max="10528" width="9.875" style="220" customWidth="1"/>
    <col min="10529" max="10529" width="11.625" style="220" customWidth="1"/>
    <col min="10530" max="10530" width="12.875" style="220" customWidth="1"/>
    <col min="10531" max="10531" width="10.375" style="220" bestFit="1" customWidth="1"/>
    <col min="10532" max="10534" width="9" style="220"/>
    <col min="10535" max="10535" width="9.625" style="220" bestFit="1" customWidth="1"/>
    <col min="10536" max="10764" width="9" style="220"/>
    <col min="10765" max="10765" width="10.5" style="220" customWidth="1"/>
    <col min="10766" max="10766" width="19.5" style="220" customWidth="1"/>
    <col min="10767" max="10775" width="9" style="220"/>
    <col min="10776" max="10776" width="12.375" style="220" customWidth="1"/>
    <col min="10777" max="10777" width="6.5" style="220" customWidth="1"/>
    <col min="10778" max="10778" width="10.625" style="220" customWidth="1"/>
    <col min="10779" max="10779" width="13" style="220" customWidth="1"/>
    <col min="10780" max="10780" width="15.625" style="220" customWidth="1"/>
    <col min="10781" max="10781" width="9.875" style="220" customWidth="1"/>
    <col min="10782" max="10782" width="10.75" style="220" customWidth="1"/>
    <col min="10783" max="10784" width="9.875" style="220" customWidth="1"/>
    <col min="10785" max="10785" width="11.625" style="220" customWidth="1"/>
    <col min="10786" max="10786" width="12.875" style="220" customWidth="1"/>
    <col min="10787" max="10787" width="10.375" style="220" bestFit="1" customWidth="1"/>
    <col min="10788" max="10790" width="9" style="220"/>
    <col min="10791" max="10791" width="9.625" style="220" bestFit="1" customWidth="1"/>
    <col min="10792" max="11020" width="9" style="220"/>
    <col min="11021" max="11021" width="10.5" style="220" customWidth="1"/>
    <col min="11022" max="11022" width="19.5" style="220" customWidth="1"/>
    <col min="11023" max="11031" width="9" style="220"/>
    <col min="11032" max="11032" width="12.375" style="220" customWidth="1"/>
    <col min="11033" max="11033" width="6.5" style="220" customWidth="1"/>
    <col min="11034" max="11034" width="10.625" style="220" customWidth="1"/>
    <col min="11035" max="11035" width="13" style="220" customWidth="1"/>
    <col min="11036" max="11036" width="15.625" style="220" customWidth="1"/>
    <col min="11037" max="11037" width="9.875" style="220" customWidth="1"/>
    <col min="11038" max="11038" width="10.75" style="220" customWidth="1"/>
    <col min="11039" max="11040" width="9.875" style="220" customWidth="1"/>
    <col min="11041" max="11041" width="11.625" style="220" customWidth="1"/>
    <col min="11042" max="11042" width="12.875" style="220" customWidth="1"/>
    <col min="11043" max="11043" width="10.375" style="220" bestFit="1" customWidth="1"/>
    <col min="11044" max="11046" width="9" style="220"/>
    <col min="11047" max="11047" width="9.625" style="220" bestFit="1" customWidth="1"/>
    <col min="11048" max="11276" width="9" style="220"/>
    <col min="11277" max="11277" width="10.5" style="220" customWidth="1"/>
    <col min="11278" max="11278" width="19.5" style="220" customWidth="1"/>
    <col min="11279" max="11287" width="9" style="220"/>
    <col min="11288" max="11288" width="12.375" style="220" customWidth="1"/>
    <col min="11289" max="11289" width="6.5" style="220" customWidth="1"/>
    <col min="11290" max="11290" width="10.625" style="220" customWidth="1"/>
    <col min="11291" max="11291" width="13" style="220" customWidth="1"/>
    <col min="11292" max="11292" width="15.625" style="220" customWidth="1"/>
    <col min="11293" max="11293" width="9.875" style="220" customWidth="1"/>
    <col min="11294" max="11294" width="10.75" style="220" customWidth="1"/>
    <col min="11295" max="11296" width="9.875" style="220" customWidth="1"/>
    <col min="11297" max="11297" width="11.625" style="220" customWidth="1"/>
    <col min="11298" max="11298" width="12.875" style="220" customWidth="1"/>
    <col min="11299" max="11299" width="10.375" style="220" bestFit="1" customWidth="1"/>
    <col min="11300" max="11302" width="9" style="220"/>
    <col min="11303" max="11303" width="9.625" style="220" bestFit="1" customWidth="1"/>
    <col min="11304" max="11532" width="9" style="220"/>
    <col min="11533" max="11533" width="10.5" style="220" customWidth="1"/>
    <col min="11534" max="11534" width="19.5" style="220" customWidth="1"/>
    <col min="11535" max="11543" width="9" style="220"/>
    <col min="11544" max="11544" width="12.375" style="220" customWidth="1"/>
    <col min="11545" max="11545" width="6.5" style="220" customWidth="1"/>
    <col min="11546" max="11546" width="10.625" style="220" customWidth="1"/>
    <col min="11547" max="11547" width="13" style="220" customWidth="1"/>
    <col min="11548" max="11548" width="15.625" style="220" customWidth="1"/>
    <col min="11549" max="11549" width="9.875" style="220" customWidth="1"/>
    <col min="11550" max="11550" width="10.75" style="220" customWidth="1"/>
    <col min="11551" max="11552" width="9.875" style="220" customWidth="1"/>
    <col min="11553" max="11553" width="11.625" style="220" customWidth="1"/>
    <col min="11554" max="11554" width="12.875" style="220" customWidth="1"/>
    <col min="11555" max="11555" width="10.375" style="220" bestFit="1" customWidth="1"/>
    <col min="11556" max="11558" width="9" style="220"/>
    <col min="11559" max="11559" width="9.625" style="220" bestFit="1" customWidth="1"/>
    <col min="11560" max="11788" width="9" style="220"/>
    <col min="11789" max="11789" width="10.5" style="220" customWidth="1"/>
    <col min="11790" max="11790" width="19.5" style="220" customWidth="1"/>
    <col min="11791" max="11799" width="9" style="220"/>
    <col min="11800" max="11800" width="12.375" style="220" customWidth="1"/>
    <col min="11801" max="11801" width="6.5" style="220" customWidth="1"/>
    <col min="11802" max="11802" width="10.625" style="220" customWidth="1"/>
    <col min="11803" max="11803" width="13" style="220" customWidth="1"/>
    <col min="11804" max="11804" width="15.625" style="220" customWidth="1"/>
    <col min="11805" max="11805" width="9.875" style="220" customWidth="1"/>
    <col min="11806" max="11806" width="10.75" style="220" customWidth="1"/>
    <col min="11807" max="11808" width="9.875" style="220" customWidth="1"/>
    <col min="11809" max="11809" width="11.625" style="220" customWidth="1"/>
    <col min="11810" max="11810" width="12.875" style="220" customWidth="1"/>
    <col min="11811" max="11811" width="10.375" style="220" bestFit="1" customWidth="1"/>
    <col min="11812" max="11814" width="9" style="220"/>
    <col min="11815" max="11815" width="9.625" style="220" bestFit="1" customWidth="1"/>
    <col min="11816" max="12044" width="9" style="220"/>
    <col min="12045" max="12045" width="10.5" style="220" customWidth="1"/>
    <col min="12046" max="12046" width="19.5" style="220" customWidth="1"/>
    <col min="12047" max="12055" width="9" style="220"/>
    <col min="12056" max="12056" width="12.375" style="220" customWidth="1"/>
    <col min="12057" max="12057" width="6.5" style="220" customWidth="1"/>
    <col min="12058" max="12058" width="10.625" style="220" customWidth="1"/>
    <col min="12059" max="12059" width="13" style="220" customWidth="1"/>
    <col min="12060" max="12060" width="15.625" style="220" customWidth="1"/>
    <col min="12061" max="12061" width="9.875" style="220" customWidth="1"/>
    <col min="12062" max="12062" width="10.75" style="220" customWidth="1"/>
    <col min="12063" max="12064" width="9.875" style="220" customWidth="1"/>
    <col min="12065" max="12065" width="11.625" style="220" customWidth="1"/>
    <col min="12066" max="12066" width="12.875" style="220" customWidth="1"/>
    <col min="12067" max="12067" width="10.375" style="220" bestFit="1" customWidth="1"/>
    <col min="12068" max="12070" width="9" style="220"/>
    <col min="12071" max="12071" width="9.625" style="220" bestFit="1" customWidth="1"/>
    <col min="12072" max="12300" width="9" style="220"/>
    <col min="12301" max="12301" width="10.5" style="220" customWidth="1"/>
    <col min="12302" max="12302" width="19.5" style="220" customWidth="1"/>
    <col min="12303" max="12311" width="9" style="220"/>
    <col min="12312" max="12312" width="12.375" style="220" customWidth="1"/>
    <col min="12313" max="12313" width="6.5" style="220" customWidth="1"/>
    <col min="12314" max="12314" width="10.625" style="220" customWidth="1"/>
    <col min="12315" max="12315" width="13" style="220" customWidth="1"/>
    <col min="12316" max="12316" width="15.625" style="220" customWidth="1"/>
    <col min="12317" max="12317" width="9.875" style="220" customWidth="1"/>
    <col min="12318" max="12318" width="10.75" style="220" customWidth="1"/>
    <col min="12319" max="12320" width="9.875" style="220" customWidth="1"/>
    <col min="12321" max="12321" width="11.625" style="220" customWidth="1"/>
    <col min="12322" max="12322" width="12.875" style="220" customWidth="1"/>
    <col min="12323" max="12323" width="10.375" style="220" bestFit="1" customWidth="1"/>
    <col min="12324" max="12326" width="9" style="220"/>
    <col min="12327" max="12327" width="9.625" style="220" bestFit="1" customWidth="1"/>
    <col min="12328" max="12556" width="9" style="220"/>
    <col min="12557" max="12557" width="10.5" style="220" customWidth="1"/>
    <col min="12558" max="12558" width="19.5" style="220" customWidth="1"/>
    <col min="12559" max="12567" width="9" style="220"/>
    <col min="12568" max="12568" width="12.375" style="220" customWidth="1"/>
    <col min="12569" max="12569" width="6.5" style="220" customWidth="1"/>
    <col min="12570" max="12570" width="10.625" style="220" customWidth="1"/>
    <col min="12571" max="12571" width="13" style="220" customWidth="1"/>
    <col min="12572" max="12572" width="15.625" style="220" customWidth="1"/>
    <col min="12573" max="12573" width="9.875" style="220" customWidth="1"/>
    <col min="12574" max="12574" width="10.75" style="220" customWidth="1"/>
    <col min="12575" max="12576" width="9.875" style="220" customWidth="1"/>
    <col min="12577" max="12577" width="11.625" style="220" customWidth="1"/>
    <col min="12578" max="12578" width="12.875" style="220" customWidth="1"/>
    <col min="12579" max="12579" width="10.375" style="220" bestFit="1" customWidth="1"/>
    <col min="12580" max="12582" width="9" style="220"/>
    <col min="12583" max="12583" width="9.625" style="220" bestFit="1" customWidth="1"/>
    <col min="12584" max="12812" width="9" style="220"/>
    <col min="12813" max="12813" width="10.5" style="220" customWidth="1"/>
    <col min="12814" max="12814" width="19.5" style="220" customWidth="1"/>
    <col min="12815" max="12823" width="9" style="220"/>
    <col min="12824" max="12824" width="12.375" style="220" customWidth="1"/>
    <col min="12825" max="12825" width="6.5" style="220" customWidth="1"/>
    <col min="12826" max="12826" width="10.625" style="220" customWidth="1"/>
    <col min="12827" max="12827" width="13" style="220" customWidth="1"/>
    <col min="12828" max="12828" width="15.625" style="220" customWidth="1"/>
    <col min="12829" max="12829" width="9.875" style="220" customWidth="1"/>
    <col min="12830" max="12830" width="10.75" style="220" customWidth="1"/>
    <col min="12831" max="12832" width="9.875" style="220" customWidth="1"/>
    <col min="12833" max="12833" width="11.625" style="220" customWidth="1"/>
    <col min="12834" max="12834" width="12.875" style="220" customWidth="1"/>
    <col min="12835" max="12835" width="10.375" style="220" bestFit="1" customWidth="1"/>
    <col min="12836" max="12838" width="9" style="220"/>
    <col min="12839" max="12839" width="9.625" style="220" bestFit="1" customWidth="1"/>
    <col min="12840" max="13068" width="9" style="220"/>
    <col min="13069" max="13069" width="10.5" style="220" customWidth="1"/>
    <col min="13070" max="13070" width="19.5" style="220" customWidth="1"/>
    <col min="13071" max="13079" width="9" style="220"/>
    <col min="13080" max="13080" width="12.375" style="220" customWidth="1"/>
    <col min="13081" max="13081" width="6.5" style="220" customWidth="1"/>
    <col min="13082" max="13082" width="10.625" style="220" customWidth="1"/>
    <col min="13083" max="13083" width="13" style="220" customWidth="1"/>
    <col min="13084" max="13084" width="15.625" style="220" customWidth="1"/>
    <col min="13085" max="13085" width="9.875" style="220" customWidth="1"/>
    <col min="13086" max="13086" width="10.75" style="220" customWidth="1"/>
    <col min="13087" max="13088" width="9.875" style="220" customWidth="1"/>
    <col min="13089" max="13089" width="11.625" style="220" customWidth="1"/>
    <col min="13090" max="13090" width="12.875" style="220" customWidth="1"/>
    <col min="13091" max="13091" width="10.375" style="220" bestFit="1" customWidth="1"/>
    <col min="13092" max="13094" width="9" style="220"/>
    <col min="13095" max="13095" width="9.625" style="220" bestFit="1" customWidth="1"/>
    <col min="13096" max="13324" width="9" style="220"/>
    <col min="13325" max="13325" width="10.5" style="220" customWidth="1"/>
    <col min="13326" max="13326" width="19.5" style="220" customWidth="1"/>
    <col min="13327" max="13335" width="9" style="220"/>
    <col min="13336" max="13336" width="12.375" style="220" customWidth="1"/>
    <col min="13337" max="13337" width="6.5" style="220" customWidth="1"/>
    <col min="13338" max="13338" width="10.625" style="220" customWidth="1"/>
    <col min="13339" max="13339" width="13" style="220" customWidth="1"/>
    <col min="13340" max="13340" width="15.625" style="220" customWidth="1"/>
    <col min="13341" max="13341" width="9.875" style="220" customWidth="1"/>
    <col min="13342" max="13342" width="10.75" style="220" customWidth="1"/>
    <col min="13343" max="13344" width="9.875" style="220" customWidth="1"/>
    <col min="13345" max="13345" width="11.625" style="220" customWidth="1"/>
    <col min="13346" max="13346" width="12.875" style="220" customWidth="1"/>
    <col min="13347" max="13347" width="10.375" style="220" bestFit="1" customWidth="1"/>
    <col min="13348" max="13350" width="9" style="220"/>
    <col min="13351" max="13351" width="9.625" style="220" bestFit="1" customWidth="1"/>
    <col min="13352" max="13580" width="9" style="220"/>
    <col min="13581" max="13581" width="10.5" style="220" customWidth="1"/>
    <col min="13582" max="13582" width="19.5" style="220" customWidth="1"/>
    <col min="13583" max="13591" width="9" style="220"/>
    <col min="13592" max="13592" width="12.375" style="220" customWidth="1"/>
    <col min="13593" max="13593" width="6.5" style="220" customWidth="1"/>
    <col min="13594" max="13594" width="10.625" style="220" customWidth="1"/>
    <col min="13595" max="13595" width="13" style="220" customWidth="1"/>
    <col min="13596" max="13596" width="15.625" style="220" customWidth="1"/>
    <col min="13597" max="13597" width="9.875" style="220" customWidth="1"/>
    <col min="13598" max="13598" width="10.75" style="220" customWidth="1"/>
    <col min="13599" max="13600" width="9.875" style="220" customWidth="1"/>
    <col min="13601" max="13601" width="11.625" style="220" customWidth="1"/>
    <col min="13602" max="13602" width="12.875" style="220" customWidth="1"/>
    <col min="13603" max="13603" width="10.375" style="220" bestFit="1" customWidth="1"/>
    <col min="13604" max="13606" width="9" style="220"/>
    <col min="13607" max="13607" width="9.625" style="220" bestFit="1" customWidth="1"/>
    <col min="13608" max="13836" width="9" style="220"/>
    <col min="13837" max="13837" width="10.5" style="220" customWidth="1"/>
    <col min="13838" max="13838" width="19.5" style="220" customWidth="1"/>
    <col min="13839" max="13847" width="9" style="220"/>
    <col min="13848" max="13848" width="12.375" style="220" customWidth="1"/>
    <col min="13849" max="13849" width="6.5" style="220" customWidth="1"/>
    <col min="13850" max="13850" width="10.625" style="220" customWidth="1"/>
    <col min="13851" max="13851" width="13" style="220" customWidth="1"/>
    <col min="13852" max="13852" width="15.625" style="220" customWidth="1"/>
    <col min="13853" max="13853" width="9.875" style="220" customWidth="1"/>
    <col min="13854" max="13854" width="10.75" style="220" customWidth="1"/>
    <col min="13855" max="13856" width="9.875" style="220" customWidth="1"/>
    <col min="13857" max="13857" width="11.625" style="220" customWidth="1"/>
    <col min="13858" max="13858" width="12.875" style="220" customWidth="1"/>
    <col min="13859" max="13859" width="10.375" style="220" bestFit="1" customWidth="1"/>
    <col min="13860" max="13862" width="9" style="220"/>
    <col min="13863" max="13863" width="9.625" style="220" bestFit="1" customWidth="1"/>
    <col min="13864" max="14092" width="9" style="220"/>
    <col min="14093" max="14093" width="10.5" style="220" customWidth="1"/>
    <col min="14094" max="14094" width="19.5" style="220" customWidth="1"/>
    <col min="14095" max="14103" width="9" style="220"/>
    <col min="14104" max="14104" width="12.375" style="220" customWidth="1"/>
    <col min="14105" max="14105" width="6.5" style="220" customWidth="1"/>
    <col min="14106" max="14106" width="10.625" style="220" customWidth="1"/>
    <col min="14107" max="14107" width="13" style="220" customWidth="1"/>
    <col min="14108" max="14108" width="15.625" style="220" customWidth="1"/>
    <col min="14109" max="14109" width="9.875" style="220" customWidth="1"/>
    <col min="14110" max="14110" width="10.75" style="220" customWidth="1"/>
    <col min="14111" max="14112" width="9.875" style="220" customWidth="1"/>
    <col min="14113" max="14113" width="11.625" style="220" customWidth="1"/>
    <col min="14114" max="14114" width="12.875" style="220" customWidth="1"/>
    <col min="14115" max="14115" width="10.375" style="220" bestFit="1" customWidth="1"/>
    <col min="14116" max="14118" width="9" style="220"/>
    <col min="14119" max="14119" width="9.625" style="220" bestFit="1" customWidth="1"/>
    <col min="14120" max="14348" width="9" style="220"/>
    <col min="14349" max="14349" width="10.5" style="220" customWidth="1"/>
    <col min="14350" max="14350" width="19.5" style="220" customWidth="1"/>
    <col min="14351" max="14359" width="9" style="220"/>
    <col min="14360" max="14360" width="12.375" style="220" customWidth="1"/>
    <col min="14361" max="14361" width="6.5" style="220" customWidth="1"/>
    <col min="14362" max="14362" width="10.625" style="220" customWidth="1"/>
    <col min="14363" max="14363" width="13" style="220" customWidth="1"/>
    <col min="14364" max="14364" width="15.625" style="220" customWidth="1"/>
    <col min="14365" max="14365" width="9.875" style="220" customWidth="1"/>
    <col min="14366" max="14366" width="10.75" style="220" customWidth="1"/>
    <col min="14367" max="14368" width="9.875" style="220" customWidth="1"/>
    <col min="14369" max="14369" width="11.625" style="220" customWidth="1"/>
    <col min="14370" max="14370" width="12.875" style="220" customWidth="1"/>
    <col min="14371" max="14371" width="10.375" style="220" bestFit="1" customWidth="1"/>
    <col min="14372" max="14374" width="9" style="220"/>
    <col min="14375" max="14375" width="9.625" style="220" bestFit="1" customWidth="1"/>
    <col min="14376" max="14604" width="9" style="220"/>
    <col min="14605" max="14605" width="10.5" style="220" customWidth="1"/>
    <col min="14606" max="14606" width="19.5" style="220" customWidth="1"/>
    <col min="14607" max="14615" width="9" style="220"/>
    <col min="14616" max="14616" width="12.375" style="220" customWidth="1"/>
    <col min="14617" max="14617" width="6.5" style="220" customWidth="1"/>
    <col min="14618" max="14618" width="10.625" style="220" customWidth="1"/>
    <col min="14619" max="14619" width="13" style="220" customWidth="1"/>
    <col min="14620" max="14620" width="15.625" style="220" customWidth="1"/>
    <col min="14621" max="14621" width="9.875" style="220" customWidth="1"/>
    <col min="14622" max="14622" width="10.75" style="220" customWidth="1"/>
    <col min="14623" max="14624" width="9.875" style="220" customWidth="1"/>
    <col min="14625" max="14625" width="11.625" style="220" customWidth="1"/>
    <col min="14626" max="14626" width="12.875" style="220" customWidth="1"/>
    <col min="14627" max="14627" width="10.375" style="220" bestFit="1" customWidth="1"/>
    <col min="14628" max="14630" width="9" style="220"/>
    <col min="14631" max="14631" width="9.625" style="220" bestFit="1" customWidth="1"/>
    <col min="14632" max="14860" width="9" style="220"/>
    <col min="14861" max="14861" width="10.5" style="220" customWidth="1"/>
    <col min="14862" max="14862" width="19.5" style="220" customWidth="1"/>
    <col min="14863" max="14871" width="9" style="220"/>
    <col min="14872" max="14872" width="12.375" style="220" customWidth="1"/>
    <col min="14873" max="14873" width="6.5" style="220" customWidth="1"/>
    <col min="14874" max="14874" width="10.625" style="220" customWidth="1"/>
    <col min="14875" max="14875" width="13" style="220" customWidth="1"/>
    <col min="14876" max="14876" width="15.625" style="220" customWidth="1"/>
    <col min="14877" max="14877" width="9.875" style="220" customWidth="1"/>
    <col min="14878" max="14878" width="10.75" style="220" customWidth="1"/>
    <col min="14879" max="14880" width="9.875" style="220" customWidth="1"/>
    <col min="14881" max="14881" width="11.625" style="220" customWidth="1"/>
    <col min="14882" max="14882" width="12.875" style="220" customWidth="1"/>
    <col min="14883" max="14883" width="10.375" style="220" bestFit="1" customWidth="1"/>
    <col min="14884" max="14886" width="9" style="220"/>
    <col min="14887" max="14887" width="9.625" style="220" bestFit="1" customWidth="1"/>
    <col min="14888" max="15116" width="9" style="220"/>
    <col min="15117" max="15117" width="10.5" style="220" customWidth="1"/>
    <col min="15118" max="15118" width="19.5" style="220" customWidth="1"/>
    <col min="15119" max="15127" width="9" style="220"/>
    <col min="15128" max="15128" width="12.375" style="220" customWidth="1"/>
    <col min="15129" max="15129" width="6.5" style="220" customWidth="1"/>
    <col min="15130" max="15130" width="10.625" style="220" customWidth="1"/>
    <col min="15131" max="15131" width="13" style="220" customWidth="1"/>
    <col min="15132" max="15132" width="15.625" style="220" customWidth="1"/>
    <col min="15133" max="15133" width="9.875" style="220" customWidth="1"/>
    <col min="15134" max="15134" width="10.75" style="220" customWidth="1"/>
    <col min="15135" max="15136" width="9.875" style="220" customWidth="1"/>
    <col min="15137" max="15137" width="11.625" style="220" customWidth="1"/>
    <col min="15138" max="15138" width="12.875" style="220" customWidth="1"/>
    <col min="15139" max="15139" width="10.375" style="220" bestFit="1" customWidth="1"/>
    <col min="15140" max="15142" width="9" style="220"/>
    <col min="15143" max="15143" width="9.625" style="220" bestFit="1" customWidth="1"/>
    <col min="15144" max="15372" width="9" style="220"/>
    <col min="15373" max="15373" width="10.5" style="220" customWidth="1"/>
    <col min="15374" max="15374" width="19.5" style="220" customWidth="1"/>
    <col min="15375" max="15383" width="9" style="220"/>
    <col min="15384" max="15384" width="12.375" style="220" customWidth="1"/>
    <col min="15385" max="15385" width="6.5" style="220" customWidth="1"/>
    <col min="15386" max="15386" width="10.625" style="220" customWidth="1"/>
    <col min="15387" max="15387" width="13" style="220" customWidth="1"/>
    <col min="15388" max="15388" width="15.625" style="220" customWidth="1"/>
    <col min="15389" max="15389" width="9.875" style="220" customWidth="1"/>
    <col min="15390" max="15390" width="10.75" style="220" customWidth="1"/>
    <col min="15391" max="15392" width="9.875" style="220" customWidth="1"/>
    <col min="15393" max="15393" width="11.625" style="220" customWidth="1"/>
    <col min="15394" max="15394" width="12.875" style="220" customWidth="1"/>
    <col min="15395" max="15395" width="10.375" style="220" bestFit="1" customWidth="1"/>
    <col min="15396" max="15398" width="9" style="220"/>
    <col min="15399" max="15399" width="9.625" style="220" bestFit="1" customWidth="1"/>
    <col min="15400" max="15628" width="9" style="220"/>
    <col min="15629" max="15629" width="10.5" style="220" customWidth="1"/>
    <col min="15630" max="15630" width="19.5" style="220" customWidth="1"/>
    <col min="15631" max="15639" width="9" style="220"/>
    <col min="15640" max="15640" width="12.375" style="220" customWidth="1"/>
    <col min="15641" max="15641" width="6.5" style="220" customWidth="1"/>
    <col min="15642" max="15642" width="10.625" style="220" customWidth="1"/>
    <col min="15643" max="15643" width="13" style="220" customWidth="1"/>
    <col min="15644" max="15644" width="15.625" style="220" customWidth="1"/>
    <col min="15645" max="15645" width="9.875" style="220" customWidth="1"/>
    <col min="15646" max="15646" width="10.75" style="220" customWidth="1"/>
    <col min="15647" max="15648" width="9.875" style="220" customWidth="1"/>
    <col min="15649" max="15649" width="11.625" style="220" customWidth="1"/>
    <col min="15650" max="15650" width="12.875" style="220" customWidth="1"/>
    <col min="15651" max="15651" width="10.375" style="220" bestFit="1" customWidth="1"/>
    <col min="15652" max="15654" width="9" style="220"/>
    <col min="15655" max="15655" width="9.625" style="220" bestFit="1" customWidth="1"/>
    <col min="15656" max="15884" width="9" style="220"/>
    <col min="15885" max="15885" width="10.5" style="220" customWidth="1"/>
    <col min="15886" max="15886" width="19.5" style="220" customWidth="1"/>
    <col min="15887" max="15895" width="9" style="220"/>
    <col min="15896" max="15896" width="12.375" style="220" customWidth="1"/>
    <col min="15897" max="15897" width="6.5" style="220" customWidth="1"/>
    <col min="15898" max="15898" width="10.625" style="220" customWidth="1"/>
    <col min="15899" max="15899" width="13" style="220" customWidth="1"/>
    <col min="15900" max="15900" width="15.625" style="220" customWidth="1"/>
    <col min="15901" max="15901" width="9.875" style="220" customWidth="1"/>
    <col min="15902" max="15902" width="10.75" style="220" customWidth="1"/>
    <col min="15903" max="15904" width="9.875" style="220" customWidth="1"/>
    <col min="15905" max="15905" width="11.625" style="220" customWidth="1"/>
    <col min="15906" max="15906" width="12.875" style="220" customWidth="1"/>
    <col min="15907" max="15907" width="10.375" style="220" bestFit="1" customWidth="1"/>
    <col min="15908" max="15910" width="9" style="220"/>
    <col min="15911" max="15911" width="9.625" style="220" bestFit="1" customWidth="1"/>
    <col min="15912" max="16140" width="9" style="220"/>
    <col min="16141" max="16141" width="10.5" style="220" customWidth="1"/>
    <col min="16142" max="16142" width="19.5" style="220" customWidth="1"/>
    <col min="16143" max="16151" width="9" style="220"/>
    <col min="16152" max="16152" width="12.375" style="220" customWidth="1"/>
    <col min="16153" max="16153" width="6.5" style="220" customWidth="1"/>
    <col min="16154" max="16154" width="10.625" style="220" customWidth="1"/>
    <col min="16155" max="16155" width="13" style="220" customWidth="1"/>
    <col min="16156" max="16156" width="15.625" style="220" customWidth="1"/>
    <col min="16157" max="16157" width="9.875" style="220" customWidth="1"/>
    <col min="16158" max="16158" width="10.75" style="220" customWidth="1"/>
    <col min="16159" max="16160" width="9.875" style="220" customWidth="1"/>
    <col min="16161" max="16161" width="11.625" style="220" customWidth="1"/>
    <col min="16162" max="16162" width="12.875" style="220" customWidth="1"/>
    <col min="16163" max="16163" width="10.375" style="220" bestFit="1" customWidth="1"/>
    <col min="16164" max="16166" width="9" style="220"/>
    <col min="16167" max="16167" width="9.625" style="220" bestFit="1" customWidth="1"/>
    <col min="16168" max="16384" width="9" style="220"/>
  </cols>
  <sheetData>
    <row r="1" spans="1:64" ht="31.5">
      <c r="A1" s="955" t="s">
        <v>5539</v>
      </c>
      <c r="B1" s="599" t="s">
        <v>351</v>
      </c>
      <c r="C1" s="957" t="s">
        <v>5540</v>
      </c>
      <c r="D1" s="958"/>
      <c r="E1" s="957" t="s">
        <v>5541</v>
      </c>
      <c r="F1" s="958"/>
      <c r="G1" s="957" t="s">
        <v>5542</v>
      </c>
      <c r="H1" s="958"/>
      <c r="I1" s="955" t="s">
        <v>81</v>
      </c>
      <c r="J1" s="957" t="s">
        <v>82</v>
      </c>
      <c r="K1" s="958"/>
      <c r="L1" s="466">
        <v>44428</v>
      </c>
      <c r="AE1" t="s">
        <v>5543</v>
      </c>
      <c r="AJ1" t="s">
        <v>5544</v>
      </c>
      <c r="AM1" s="467" t="s">
        <v>5545</v>
      </c>
      <c r="AN1" t="s">
        <v>5547</v>
      </c>
      <c r="AO1" s="467" t="s">
        <v>2042</v>
      </c>
      <c r="AQ1" s="468" t="s">
        <v>5548</v>
      </c>
      <c r="AR1" s="468" t="s">
        <v>5549</v>
      </c>
      <c r="AS1" s="468" t="s">
        <v>2631</v>
      </c>
      <c r="AT1" s="468" t="s">
        <v>5546</v>
      </c>
      <c r="AU1" s="251" t="s">
        <v>5550</v>
      </c>
      <c r="AV1" s="468" t="s">
        <v>5551</v>
      </c>
      <c r="AW1" s="251" t="s">
        <v>5552</v>
      </c>
      <c r="AX1" s="220" t="s">
        <v>5553</v>
      </c>
      <c r="BB1" s="952" t="s">
        <v>5554</v>
      </c>
      <c r="BC1" s="953"/>
      <c r="BD1" s="953"/>
      <c r="BE1" s="954"/>
      <c r="BG1" s="955" t="s">
        <v>8315</v>
      </c>
      <c r="BH1" s="599" t="s">
        <v>8316</v>
      </c>
      <c r="BI1"/>
      <c r="BJ1"/>
    </row>
    <row r="2" spans="1:64" ht="21">
      <c r="A2" s="956"/>
      <c r="B2" s="600" t="s">
        <v>355</v>
      </c>
      <c r="C2" s="223" t="s">
        <v>5555</v>
      </c>
      <c r="D2" s="223" t="s">
        <v>355</v>
      </c>
      <c r="E2" s="223" t="s">
        <v>356</v>
      </c>
      <c r="F2" s="223" t="s">
        <v>5556</v>
      </c>
      <c r="G2" s="223" t="s">
        <v>356</v>
      </c>
      <c r="H2" s="223" t="s">
        <v>5557</v>
      </c>
      <c r="I2" s="956"/>
      <c r="J2" s="223" t="s">
        <v>83</v>
      </c>
      <c r="K2" s="223" t="s">
        <v>84</v>
      </c>
      <c r="L2" s="52" t="s">
        <v>240</v>
      </c>
      <c r="M2" s="52" t="s">
        <v>5558</v>
      </c>
      <c r="N2" s="52" t="s">
        <v>5559</v>
      </c>
      <c r="O2" s="52" t="s">
        <v>5560</v>
      </c>
      <c r="P2" s="52" t="s">
        <v>5561</v>
      </c>
      <c r="Q2" s="52" t="s">
        <v>5562</v>
      </c>
      <c r="R2" s="224" t="s">
        <v>5563</v>
      </c>
      <c r="S2" s="52" t="s">
        <v>5564</v>
      </c>
      <c r="T2" s="225" t="s">
        <v>5565</v>
      </c>
      <c r="U2" s="226" t="s">
        <v>5566</v>
      </c>
      <c r="V2" s="227" t="s">
        <v>5567</v>
      </c>
      <c r="W2" s="228" t="s">
        <v>5568</v>
      </c>
      <c r="X2" s="228" t="s">
        <v>5569</v>
      </c>
      <c r="AA2" s="225"/>
      <c r="AC2" s="220" t="s">
        <v>5570</v>
      </c>
      <c r="AE2" t="s">
        <v>5571</v>
      </c>
      <c r="AF2" t="s">
        <v>5572</v>
      </c>
      <c r="AJ2" t="s">
        <v>5573</v>
      </c>
      <c r="AK2" t="s">
        <v>2037</v>
      </c>
      <c r="AM2" s="467" t="str">
        <f>RIGHT(AE2,2)</f>
        <v>9A</v>
      </c>
      <c r="AN2" t="str">
        <f t="shared" ref="AN2:AN41" si="0">LEFT(AE2,2) &amp; MID(AE2,3,1) &amp;"/"&amp;MID(AE2,4,1)</f>
        <v>彰濱E/S</v>
      </c>
      <c r="AO2" s="467" t="str">
        <f t="shared" ref="AO2:AO41" si="1">MID(AE2,3,2)</f>
        <v>ES</v>
      </c>
      <c r="AP2" s="220" t="s">
        <v>3213</v>
      </c>
      <c r="AQ2" s="2" t="str">
        <f>VLOOKUP(總表!A8,DATA!$AB$3:$AC$829,2,0)</f>
        <v>東羽線</v>
      </c>
      <c r="AR2" s="2" t="str">
        <f>VLOOKUP(總表!A8,變電所別!$K$2:$L$41,2,1)</f>
        <v>員東D/S</v>
      </c>
      <c r="AS2" s="2" t="str">
        <f>VLOOKUP(總表!B8,DATA!$AB$3:$AC$829,2,0)</f>
        <v>9C48</v>
      </c>
      <c r="AT2" s="2" t="str">
        <f>VLOOKUP(總表!B8,變電所別!$K$2:$L$41,2,1)</f>
        <v>員林D/S</v>
      </c>
      <c r="AU2" s="258" t="s">
        <v>5574</v>
      </c>
      <c r="AV2" s="1" t="s">
        <v>5575</v>
      </c>
      <c r="AW2" s="258" t="s">
        <v>5576</v>
      </c>
      <c r="AX2" s="220" t="str">
        <f>AR2 &amp; " " &amp; AQ2</f>
        <v>員東D/S 東羽線</v>
      </c>
      <c r="BB2" s="514" t="s">
        <v>3213</v>
      </c>
      <c r="BC2" s="514" t="s">
        <v>3214</v>
      </c>
      <c r="BD2" s="514" t="s">
        <v>3215</v>
      </c>
      <c r="BE2" s="514" t="s">
        <v>3216</v>
      </c>
      <c r="BG2" s="956"/>
      <c r="BH2" s="600" t="s">
        <v>8317</v>
      </c>
      <c r="BI2"/>
      <c r="BJ2" t="s">
        <v>5524</v>
      </c>
      <c r="BL2" s="229"/>
    </row>
    <row r="3" spans="1:64" ht="21">
      <c r="A3" s="229" t="s">
        <v>5577</v>
      </c>
      <c r="B3" s="230" t="s">
        <v>5578</v>
      </c>
      <c r="C3" s="230" t="s">
        <v>5579</v>
      </c>
      <c r="D3" s="229" t="s">
        <v>5580</v>
      </c>
      <c r="E3" s="229" t="s">
        <v>5581</v>
      </c>
      <c r="F3" s="229" t="s">
        <v>5580</v>
      </c>
      <c r="G3" s="229" t="s">
        <v>5582</v>
      </c>
      <c r="H3" s="229" t="s">
        <v>5583</v>
      </c>
      <c r="I3" s="229" t="s">
        <v>5584</v>
      </c>
      <c r="J3" s="231" t="s">
        <v>5585</v>
      </c>
      <c r="K3" s="231" t="s">
        <v>5586</v>
      </c>
      <c r="L3" s="220" t="str">
        <f>IF(LEFT(B3,1)="#",IF(LEN(B3)=5,RIGHT(A3,2)&amp;B3,N3&amp;M3),MID(B3,FIND("(",B3)+1,4))</f>
        <v>9A#2DTR</v>
      </c>
      <c r="M3" s="220" t="str">
        <f>IF(LEFT(B3,1)="#",IF(LEN(B3)&lt;&gt;5,"("&amp;MID(B3,3,1)&amp;")",""),"")</f>
        <v/>
      </c>
      <c r="N3" s="220" t="str">
        <f>IF(LEFT(B3,1)="#",IF(LEN(B3)=5,RIGHT(A3,2)&amp;B3,RIGHT(A3,2)&amp;LEFT(B3,2)&amp;"DTR"),"")</f>
        <v>9A#2DTR</v>
      </c>
      <c r="O3" s="220" t="str">
        <f>IF(LEFT(B3,1)="#",IF(LEN(B3)&lt;&gt;5,IF(LEN(B3)&lt;&gt;7,"("&amp;MID(B3,3,1)&amp;")","("&amp;MID(B3,3,2)&amp;")"),""),"")</f>
        <v/>
      </c>
      <c r="P3" s="52" t="str">
        <f>IF(LEFT(B3,1)="#",IF(LEN(B3)=5,RIGHT(A3,2)&amp;B3,N3&amp;M3),MID(B3,FIND("(",B3)+1,4))</f>
        <v>9A#2DTR</v>
      </c>
      <c r="Q3" s="231" t="str">
        <f>I3</f>
        <v>640</v>
      </c>
      <c r="R3" s="224">
        <f>AVERAGE(C3*1,E3*1,G3*1)</f>
        <v>635</v>
      </c>
      <c r="S3" s="52">
        <f>MIN(C3*1,E3*1,G3*1)</f>
        <v>631</v>
      </c>
      <c r="T3" s="221">
        <f ca="1">IF(LEFT(B3,1)="#",ROUND(OFFSET(X3,1,0,1,1)*Q3*SQRT(3)/1000,2),ROUND(Q3*X3*SQRT(3)/1000,2))</f>
        <v>25.27</v>
      </c>
      <c r="U3" s="221">
        <f>IF(ISNUMBER(FIND("#",B3)),ROW(),"")</f>
        <v>3</v>
      </c>
      <c r="V3" s="220" t="str">
        <f t="array" ref="V3">INDEX(P:P,MAX(U$3:U3))</f>
        <v>9A#2DTR</v>
      </c>
      <c r="W3" s="220">
        <f ca="1">IF(LEFT(B3,1)="#",IF(ISNUMBER(FIND("DTR",B3)),IF(MID(OFFSET(P3,1,0,1,1),3,1)*1&lt;5,30,60),25),"")</f>
        <v>60</v>
      </c>
      <c r="X3" s="220" t="str">
        <f>IF(LEFT(B3,1)="#","",IF(MID(P3,3,1)*1&lt;5,11.4,22.8))</f>
        <v/>
      </c>
      <c r="Y3" s="220">
        <f t="shared" ref="Y3:Y66" si="2">SUMIF(L:L,L3,I:I)</f>
        <v>0</v>
      </c>
      <c r="AA3" s="220" t="str">
        <f t="shared" ref="AA3:AA66" si="3">LEFT(A3,2)</f>
        <v>彰濱</v>
      </c>
      <c r="AB3" s="220" t="s">
        <v>2045</v>
      </c>
      <c r="AC3" s="220" t="s">
        <v>2630</v>
      </c>
      <c r="AE3" t="s">
        <v>5587</v>
      </c>
      <c r="AF3" t="s">
        <v>0</v>
      </c>
      <c r="AJ3" t="s">
        <v>5588</v>
      </c>
      <c r="AK3" t="s">
        <v>2037</v>
      </c>
      <c r="AM3" s="467" t="str">
        <f t="shared" ref="AM3:AM41" si="4">RIGHT(AE3,2)</f>
        <v>9B</v>
      </c>
      <c r="AN3" t="str">
        <f t="shared" si="0"/>
        <v>線西D/S</v>
      </c>
      <c r="AO3" s="467" t="str">
        <f t="shared" si="1"/>
        <v>DS</v>
      </c>
      <c r="AQ3" s="2" t="str">
        <f>VLOOKUP(總表!A9,DATA!$AB$3:$AC$829,2,0)</f>
        <v>東北線</v>
      </c>
      <c r="AR3" s="2" t="str">
        <f>VLOOKUP(總表!A9,變電所別!$K$2:$L$41,2,1)</f>
        <v>員東D/S</v>
      </c>
      <c r="AS3" s="2" t="str">
        <f>VLOOKUP(總表!B9,DATA!$AB$3:$AC$829,2,0)</f>
        <v>黃厝線</v>
      </c>
      <c r="AT3" s="2" t="str">
        <f>VLOOKUP(總表!B9,變電所別!$K$2:$L$41,2,1)</f>
        <v>大村S/S</v>
      </c>
      <c r="AU3" s="258" t="s">
        <v>5589</v>
      </c>
      <c r="AV3" s="1" t="s">
        <v>5590</v>
      </c>
      <c r="AW3" s="258" t="s">
        <v>5591</v>
      </c>
      <c r="BB3" s="514" t="s">
        <v>3217</v>
      </c>
      <c r="BC3" s="514" t="s">
        <v>85</v>
      </c>
      <c r="BD3" s="514" t="s">
        <v>85</v>
      </c>
      <c r="BE3" s="514">
        <v>0</v>
      </c>
      <c r="BG3" s="229" t="s">
        <v>4</v>
      </c>
      <c r="BH3" s="230" t="s">
        <v>8318</v>
      </c>
      <c r="BI3" t="s">
        <v>2045</v>
      </c>
      <c r="BJ3" t="s">
        <v>2045</v>
      </c>
    </row>
    <row r="4" spans="1:64" ht="21">
      <c r="A4" s="229" t="s">
        <v>5592</v>
      </c>
      <c r="B4" s="230" t="s">
        <v>5593</v>
      </c>
      <c r="C4" s="230" t="s">
        <v>5594</v>
      </c>
      <c r="D4" s="229" t="s">
        <v>5595</v>
      </c>
      <c r="E4" s="229" t="s">
        <v>5596</v>
      </c>
      <c r="F4" s="229" t="s">
        <v>5598</v>
      </c>
      <c r="G4" s="229" t="s">
        <v>5594</v>
      </c>
      <c r="H4" s="229" t="s">
        <v>5599</v>
      </c>
      <c r="I4" s="229" t="s">
        <v>5596</v>
      </c>
      <c r="J4" s="231" t="s">
        <v>5594</v>
      </c>
      <c r="K4" s="231" t="s">
        <v>5600</v>
      </c>
      <c r="L4" s="220" t="str">
        <f t="shared" ref="L4:L67" si="5">IF(LEFT(B4,1)="#",IF(LEN(B4)=5,RIGHT(A4,2)&amp;B4,N4&amp;M4),MID(B4,FIND("(",B4)+1,4))</f>
        <v>9A70</v>
      </c>
      <c r="M4" s="220" t="str">
        <f t="shared" ref="M4:M67" si="6">IF(LEFT(B4,1)="#",IF(LEN(B4)&lt;&gt;5,"("&amp;MID(B4,3,1)&amp;")",""),"")</f>
        <v/>
      </c>
      <c r="N4" s="220" t="str">
        <f t="shared" ref="N4:N67" si="7">IF(LEFT(B4,1)="#",IF(LEN(B4)=5,RIGHT(A4,2)&amp;B4,RIGHT(A4,2)&amp;LEFT(B4,2)&amp;"DTR"),"")</f>
        <v/>
      </c>
      <c r="O4" s="220" t="str">
        <f t="shared" ref="O4:O67" si="8">IF(LEFT(B4,1)="#",IF(LEN(B4)&lt;&gt;5,IF(LEN(B4)&lt;&gt;7,"("&amp;MID(B4,3,1)&amp;")","("&amp;MID(B4,3,2)&amp;")"),""),"")</f>
        <v/>
      </c>
      <c r="P4" s="52" t="str">
        <f t="shared" ref="P4:P67" si="9">IF(LEFT(B4,1)="#",IF(LEN(B4)=5,RIGHT(A4,2)&amp;B4,N4&amp;M4),MID(B4,FIND("(",B4)+1,4))</f>
        <v>9A70</v>
      </c>
      <c r="Q4" s="231" t="str">
        <f t="shared" ref="Q4:Q67" si="10">I4</f>
        <v>-1</v>
      </c>
      <c r="R4" s="224">
        <f t="shared" ref="R4:R67" si="11">AVERAGE(C4*1,E4*1,G4*1)</f>
        <v>-1</v>
      </c>
      <c r="S4" s="52">
        <f t="shared" ref="S4:S67" si="12">MIN(C4*1,E4*1,G4*1)</f>
        <v>-1</v>
      </c>
      <c r="T4" s="221">
        <f t="shared" ref="T4:T67" ca="1" si="13">IF(LEFT(B4,1)="#",ROUND(OFFSET(X4,1,0,1,1)*Q4*SQRT(3)/1000,2),ROUND(Q4*X4*SQRT(3)/1000,2))</f>
        <v>-0.04</v>
      </c>
      <c r="U4" s="221" t="str">
        <f t="shared" ref="U4:U67" si="14">IF(ISNUMBER(FIND("#",B4)),ROW(),"")</f>
        <v/>
      </c>
      <c r="V4" s="220" t="str">
        <f t="array" ref="V4">INDEX(P:P,MAX(U$3:U4))</f>
        <v>9A#2DTR</v>
      </c>
      <c r="W4" s="220" t="str">
        <f t="shared" ref="W4:W67" ca="1" si="15">IF(LEFT(B4,1)="#",IF(ISNUMBER(FIND("DTR",B4)),IF(MID(OFFSET(P4,1,0,1,1),3,1)*1&lt;5,30,60),25),"")</f>
        <v/>
      </c>
      <c r="X4" s="220">
        <f t="shared" ref="X4:X67" si="16">IF(LEFT(B4,1)="#","",IF(MID(P4,3,1)*1&lt;5,11.4,22.8))</f>
        <v>22.8</v>
      </c>
      <c r="Y4" s="220">
        <f t="shared" si="2"/>
        <v>0</v>
      </c>
      <c r="AA4" s="220" t="str">
        <f t="shared" si="3"/>
        <v>彰濱</v>
      </c>
      <c r="AB4" s="220" t="s">
        <v>2046</v>
      </c>
      <c r="AC4" s="220" t="str">
        <f t="shared" ref="AC4:AC11" si="17">LEFT(B4,4)</f>
        <v>9A70</v>
      </c>
      <c r="AE4" t="s">
        <v>5601</v>
      </c>
      <c r="AF4" t="s">
        <v>5602</v>
      </c>
      <c r="AJ4" t="s">
        <v>5603</v>
      </c>
      <c r="AK4" t="s">
        <v>5604</v>
      </c>
      <c r="AM4" s="467" t="str">
        <f t="shared" si="4"/>
        <v>9C</v>
      </c>
      <c r="AN4" t="str">
        <f t="shared" si="0"/>
        <v>員林D/S</v>
      </c>
      <c r="AO4" s="467" t="str">
        <f t="shared" si="1"/>
        <v>DS</v>
      </c>
      <c r="AQ4" s="2" t="str">
        <f>VLOOKUP(總表!A10,DATA!$AB$3:$AC$829,2,0)</f>
        <v>東北線</v>
      </c>
      <c r="AR4" s="2" t="str">
        <f>VLOOKUP(總表!A10,變電所別!$K$2:$L$41,2,1)</f>
        <v>員東D/S</v>
      </c>
      <c r="AS4" s="2" t="str">
        <f>VLOOKUP(總表!B10,DATA!$AB$3:$AC$829,2,0)</f>
        <v>9C48</v>
      </c>
      <c r="AT4" s="2" t="str">
        <f>VLOOKUP(總表!B10,變電所別!$K$2:$L$41,2,1)</f>
        <v>員林D/S</v>
      </c>
      <c r="AU4" s="258" t="s">
        <v>5605</v>
      </c>
      <c r="AV4" s="1" t="s">
        <v>5606</v>
      </c>
      <c r="AW4" s="258" t="s">
        <v>5607</v>
      </c>
      <c r="BB4" s="514" t="s">
        <v>3218</v>
      </c>
      <c r="BC4" s="514" t="s">
        <v>85</v>
      </c>
      <c r="BD4" s="514" t="s">
        <v>85</v>
      </c>
      <c r="BE4" s="514">
        <v>0</v>
      </c>
      <c r="BG4" s="229" t="s">
        <v>8319</v>
      </c>
      <c r="BH4" s="230" t="s">
        <v>8320</v>
      </c>
      <c r="BI4" t="s">
        <v>2046</v>
      </c>
      <c r="BJ4" t="s">
        <v>2045</v>
      </c>
    </row>
    <row r="5" spans="1:64" ht="21">
      <c r="A5" s="229" t="s">
        <v>5608</v>
      </c>
      <c r="B5" s="230" t="s">
        <v>5609</v>
      </c>
      <c r="C5" s="230" t="s">
        <v>5610</v>
      </c>
      <c r="D5" s="229" t="s">
        <v>5611</v>
      </c>
      <c r="E5" s="229" t="s">
        <v>5612</v>
      </c>
      <c r="F5" s="229" t="s">
        <v>5611</v>
      </c>
      <c r="G5" s="229" t="s">
        <v>5612</v>
      </c>
      <c r="H5" s="229" t="s">
        <v>5613</v>
      </c>
      <c r="I5" s="229" t="s">
        <v>5612</v>
      </c>
      <c r="J5" s="231" t="s">
        <v>5615</v>
      </c>
      <c r="K5" s="231" t="s">
        <v>5616</v>
      </c>
      <c r="L5" s="220" t="str">
        <f t="shared" si="5"/>
        <v>9A71</v>
      </c>
      <c r="M5" s="220" t="str">
        <f t="shared" si="6"/>
        <v/>
      </c>
      <c r="N5" s="220" t="str">
        <f t="shared" si="7"/>
        <v/>
      </c>
      <c r="O5" s="220" t="str">
        <f t="shared" si="8"/>
        <v/>
      </c>
      <c r="P5" s="52" t="str">
        <f t="shared" si="9"/>
        <v>9A71</v>
      </c>
      <c r="Q5" s="231" t="str">
        <f t="shared" si="10"/>
        <v>47</v>
      </c>
      <c r="R5" s="224">
        <f t="shared" si="11"/>
        <v>46.666666666666664</v>
      </c>
      <c r="S5" s="52">
        <f t="shared" si="12"/>
        <v>46</v>
      </c>
      <c r="T5" s="221">
        <f t="shared" ca="1" si="13"/>
        <v>1.86</v>
      </c>
      <c r="U5" s="221" t="str">
        <f t="shared" si="14"/>
        <v/>
      </c>
      <c r="V5" s="220" t="str">
        <f t="array" ref="V5">INDEX(P:P,MAX(U$3:U5))</f>
        <v>9A#2DTR</v>
      </c>
      <c r="W5" s="220" t="str">
        <f t="shared" ca="1" si="15"/>
        <v/>
      </c>
      <c r="X5" s="220">
        <f t="shared" si="16"/>
        <v>22.8</v>
      </c>
      <c r="Y5" s="220">
        <f t="shared" si="2"/>
        <v>0</v>
      </c>
      <c r="AA5" s="220" t="str">
        <f t="shared" si="3"/>
        <v>彰濱</v>
      </c>
      <c r="AB5" s="220" t="s">
        <v>2047</v>
      </c>
      <c r="AC5" s="220" t="str">
        <f t="shared" si="17"/>
        <v>9A71</v>
      </c>
      <c r="AE5" t="s">
        <v>5617</v>
      </c>
      <c r="AF5" t="s">
        <v>5618</v>
      </c>
      <c r="AJ5" t="s">
        <v>5619</v>
      </c>
      <c r="AK5" t="s">
        <v>5604</v>
      </c>
      <c r="AM5" s="467" t="str">
        <f t="shared" si="4"/>
        <v>9F</v>
      </c>
      <c r="AN5" t="str">
        <f t="shared" si="0"/>
        <v>鹿西D/S</v>
      </c>
      <c r="AO5" s="467" t="str">
        <f t="shared" si="1"/>
        <v>DS</v>
      </c>
      <c r="AQ5" s="2" t="str">
        <f>VLOOKUP(總表!A11,DATA!$AB$3:$AC$829,2,0)</f>
        <v>三條線</v>
      </c>
      <c r="AR5" s="2" t="str">
        <f>VLOOKUP(總表!A11,變電所別!$K$2:$L$41,2,1)</f>
        <v>員東D/S</v>
      </c>
      <c r="AS5" s="2" t="str">
        <f>VLOOKUP(總表!B11,DATA!$AB$3:$AC$829,2,0)</f>
        <v>9C43</v>
      </c>
      <c r="AT5" s="2" t="str">
        <f>VLOOKUP(總表!B11,變電所別!$K$2:$L$41,2,1)</f>
        <v>員林D/S</v>
      </c>
      <c r="AU5" s="258" t="s">
        <v>5620</v>
      </c>
      <c r="AV5" s="1" t="s">
        <v>5621</v>
      </c>
      <c r="AW5" s="258" t="s">
        <v>5622</v>
      </c>
      <c r="BB5" s="514" t="s">
        <v>3219</v>
      </c>
      <c r="BC5" s="514" t="s">
        <v>85</v>
      </c>
      <c r="BD5" s="514" t="s">
        <v>85</v>
      </c>
      <c r="BE5" s="514">
        <v>0</v>
      </c>
      <c r="BG5" s="229" t="s">
        <v>8319</v>
      </c>
      <c r="BH5" s="230" t="s">
        <v>8321</v>
      </c>
      <c r="BI5" t="s">
        <v>2047</v>
      </c>
      <c r="BJ5" t="s">
        <v>2045</v>
      </c>
    </row>
    <row r="6" spans="1:64" ht="21">
      <c r="A6" s="229" t="s">
        <v>5592</v>
      </c>
      <c r="B6" s="230" t="s">
        <v>5623</v>
      </c>
      <c r="C6" s="230" t="s">
        <v>5624</v>
      </c>
      <c r="D6" s="229" t="s">
        <v>5625</v>
      </c>
      <c r="E6" s="229" t="s">
        <v>5626</v>
      </c>
      <c r="F6" s="229" t="s">
        <v>5625</v>
      </c>
      <c r="G6" s="229" t="s">
        <v>5627</v>
      </c>
      <c r="H6" s="229" t="s">
        <v>5625</v>
      </c>
      <c r="I6" s="229" t="s">
        <v>5626</v>
      </c>
      <c r="J6" s="231" t="s">
        <v>5615</v>
      </c>
      <c r="K6" s="231" t="s">
        <v>5628</v>
      </c>
      <c r="L6" s="220" t="str">
        <f t="shared" si="5"/>
        <v>9A72</v>
      </c>
      <c r="M6" s="220" t="str">
        <f t="shared" si="6"/>
        <v/>
      </c>
      <c r="N6" s="220" t="str">
        <f t="shared" si="7"/>
        <v/>
      </c>
      <c r="O6" s="220" t="str">
        <f t="shared" si="8"/>
        <v/>
      </c>
      <c r="P6" s="52" t="str">
        <f t="shared" si="9"/>
        <v>9A72</v>
      </c>
      <c r="Q6" s="231" t="str">
        <f t="shared" si="10"/>
        <v>117</v>
      </c>
      <c r="R6" s="224">
        <f t="shared" si="11"/>
        <v>116</v>
      </c>
      <c r="S6" s="52">
        <f t="shared" si="12"/>
        <v>115</v>
      </c>
      <c r="T6" s="221">
        <f t="shared" ca="1" si="13"/>
        <v>4.62</v>
      </c>
      <c r="U6" s="221" t="str">
        <f t="shared" si="14"/>
        <v/>
      </c>
      <c r="V6" s="220" t="str">
        <f t="array" ref="V6">INDEX(P:P,MAX(U$3:U6))</f>
        <v>9A#2DTR</v>
      </c>
      <c r="W6" s="220" t="str">
        <f t="shared" ca="1" si="15"/>
        <v/>
      </c>
      <c r="X6" s="220">
        <f t="shared" si="16"/>
        <v>22.8</v>
      </c>
      <c r="Y6" s="220">
        <f t="shared" si="2"/>
        <v>0</v>
      </c>
      <c r="AA6" s="220" t="str">
        <f t="shared" si="3"/>
        <v>彰濱</v>
      </c>
      <c r="AB6" s="220" t="s">
        <v>2048</v>
      </c>
      <c r="AC6" s="220" t="str">
        <f t="shared" si="17"/>
        <v>9A72</v>
      </c>
      <c r="AE6" t="s">
        <v>10</v>
      </c>
      <c r="AF6" t="s">
        <v>5629</v>
      </c>
      <c r="AJ6" t="s">
        <v>5630</v>
      </c>
      <c r="AK6" t="s">
        <v>2037</v>
      </c>
      <c r="AM6" s="467" t="str">
        <f t="shared" si="4"/>
        <v>9G</v>
      </c>
      <c r="AN6" t="str">
        <f t="shared" si="0"/>
        <v>漢寶D/S</v>
      </c>
      <c r="AO6" s="467" t="str">
        <f t="shared" si="1"/>
        <v>DS</v>
      </c>
      <c r="AQ6" s="2" t="str">
        <f>VLOOKUP(總表!A12,DATA!$AB$3:$AC$829,2,0)</f>
        <v>東水線</v>
      </c>
      <c r="AR6" s="2" t="str">
        <f>VLOOKUP(總表!A12,變電所別!$K$2:$L$41,2,1)</f>
        <v>員東D/S</v>
      </c>
      <c r="AS6" s="2" t="str">
        <f>VLOOKUP(總表!B12,DATA!$AB$3:$AC$829,2,0)</f>
        <v>9C28</v>
      </c>
      <c r="AT6" s="2" t="str">
        <f>VLOOKUP(總表!B12,變電所別!$K$2:$L$41,2,1)</f>
        <v>員林D/S</v>
      </c>
      <c r="AU6" s="258" t="s">
        <v>1064</v>
      </c>
      <c r="AV6" s="1" t="s">
        <v>5631</v>
      </c>
      <c r="AW6" s="258" t="s">
        <v>5632</v>
      </c>
      <c r="BB6" s="514" t="s">
        <v>3220</v>
      </c>
      <c r="BC6" s="514" t="s">
        <v>85</v>
      </c>
      <c r="BD6" s="514" t="s">
        <v>85</v>
      </c>
      <c r="BE6" s="514">
        <v>0</v>
      </c>
      <c r="BG6" s="229" t="s">
        <v>4</v>
      </c>
      <c r="BH6" s="230" t="s">
        <v>361</v>
      </c>
      <c r="BI6" t="s">
        <v>2048</v>
      </c>
      <c r="BJ6" t="s">
        <v>2045</v>
      </c>
    </row>
    <row r="7" spans="1:64" ht="21">
      <c r="A7" s="229" t="s">
        <v>5592</v>
      </c>
      <c r="B7" s="230" t="s">
        <v>362</v>
      </c>
      <c r="C7" s="230" t="s">
        <v>979</v>
      </c>
      <c r="D7" s="229" t="s">
        <v>5625</v>
      </c>
      <c r="E7" s="229" t="s">
        <v>5633</v>
      </c>
      <c r="F7" s="229" t="s">
        <v>5625</v>
      </c>
      <c r="G7" s="229" t="s">
        <v>5634</v>
      </c>
      <c r="H7" s="229" t="s">
        <v>5625</v>
      </c>
      <c r="I7" s="229" t="s">
        <v>788</v>
      </c>
      <c r="J7" s="231" t="s">
        <v>5615</v>
      </c>
      <c r="K7" s="231" t="s">
        <v>5599</v>
      </c>
      <c r="L7" s="220" t="str">
        <f t="shared" si="5"/>
        <v>9A73</v>
      </c>
      <c r="M7" s="220" t="str">
        <f t="shared" si="6"/>
        <v/>
      </c>
      <c r="N7" s="220" t="str">
        <f t="shared" si="7"/>
        <v/>
      </c>
      <c r="O7" s="220" t="str">
        <f t="shared" si="8"/>
        <v/>
      </c>
      <c r="P7" s="52" t="str">
        <f t="shared" si="9"/>
        <v>9A73</v>
      </c>
      <c r="Q7" s="231" t="str">
        <f t="shared" si="10"/>
        <v>151</v>
      </c>
      <c r="R7" s="224">
        <f t="shared" si="11"/>
        <v>149.66666666666666</v>
      </c>
      <c r="S7" s="52">
        <f t="shared" si="12"/>
        <v>149</v>
      </c>
      <c r="T7" s="221">
        <f t="shared" ca="1" si="13"/>
        <v>5.96</v>
      </c>
      <c r="U7" s="221" t="str">
        <f t="shared" si="14"/>
        <v/>
      </c>
      <c r="V7" s="220" t="str">
        <f t="array" ref="V7">INDEX(P:P,MAX(U$3:U7))</f>
        <v>9A#2DTR</v>
      </c>
      <c r="W7" s="220" t="str">
        <f t="shared" ca="1" si="15"/>
        <v/>
      </c>
      <c r="X7" s="220">
        <f t="shared" si="16"/>
        <v>22.8</v>
      </c>
      <c r="Y7" s="220">
        <f t="shared" si="2"/>
        <v>0</v>
      </c>
      <c r="AA7" s="220" t="str">
        <f t="shared" si="3"/>
        <v>彰濱</v>
      </c>
      <c r="AB7" s="220" t="s">
        <v>2049</v>
      </c>
      <c r="AC7" s="220" t="str">
        <f t="shared" si="17"/>
        <v>9A73</v>
      </c>
      <c r="AE7" t="s">
        <v>5635</v>
      </c>
      <c r="AF7" t="s">
        <v>5636</v>
      </c>
      <c r="AJ7" t="s">
        <v>5637</v>
      </c>
      <c r="AK7" t="s">
        <v>2037</v>
      </c>
      <c r="AM7" s="467" t="str">
        <f t="shared" si="4"/>
        <v>9H</v>
      </c>
      <c r="AN7" t="str">
        <f t="shared" si="0"/>
        <v>草港D/S</v>
      </c>
      <c r="AO7" s="467" t="str">
        <f t="shared" si="1"/>
        <v>DS</v>
      </c>
      <c r="AQ7" s="2" t="e">
        <f>VLOOKUP(總表!A13,DATA!$AB$3:$AC$829,2,0)</f>
        <v>#N/A</v>
      </c>
      <c r="AR7" s="2" t="e">
        <f>VLOOKUP(總表!A13,變電所別!$K$2:$L$41,2,1)</f>
        <v>#N/A</v>
      </c>
      <c r="AS7" s="2" t="e">
        <f>VLOOKUP(總表!B13,DATA!$AB$3:$AC$829,2,0)</f>
        <v>#N/A</v>
      </c>
      <c r="AT7" s="2" t="e">
        <f>VLOOKUP(總表!B13,變電所別!$K$2:$L$41,2,1)</f>
        <v>#N/A</v>
      </c>
      <c r="AU7" s="258" t="s">
        <v>2639</v>
      </c>
      <c r="AV7" s="1" t="s">
        <v>2640</v>
      </c>
      <c r="AW7" s="258" t="s">
        <v>2641</v>
      </c>
      <c r="BB7" s="514" t="s">
        <v>1989</v>
      </c>
      <c r="BC7" s="514">
        <v>3</v>
      </c>
      <c r="BD7" s="514">
        <v>1</v>
      </c>
      <c r="BE7" s="514">
        <v>4</v>
      </c>
      <c r="BG7" s="229" t="s">
        <v>8319</v>
      </c>
      <c r="BH7" s="230" t="s">
        <v>362</v>
      </c>
      <c r="BI7" t="s">
        <v>2049</v>
      </c>
      <c r="BJ7" t="s">
        <v>2045</v>
      </c>
    </row>
    <row r="8" spans="1:64" ht="21">
      <c r="A8" s="229" t="s">
        <v>5592</v>
      </c>
      <c r="B8" s="230" t="s">
        <v>5638</v>
      </c>
      <c r="C8" s="230" t="s">
        <v>5639</v>
      </c>
      <c r="D8" s="229" t="s">
        <v>5613</v>
      </c>
      <c r="E8" s="229" t="s">
        <v>5640</v>
      </c>
      <c r="F8" s="229" t="s">
        <v>5641</v>
      </c>
      <c r="G8" s="229" t="s">
        <v>5642</v>
      </c>
      <c r="H8" s="229" t="s">
        <v>5613</v>
      </c>
      <c r="I8" s="229" t="s">
        <v>5643</v>
      </c>
      <c r="J8" s="231" t="s">
        <v>5645</v>
      </c>
      <c r="K8" s="231" t="s">
        <v>5599</v>
      </c>
      <c r="L8" s="220" t="str">
        <f t="shared" si="5"/>
        <v>9A74</v>
      </c>
      <c r="M8" s="220" t="str">
        <f t="shared" si="6"/>
        <v/>
      </c>
      <c r="N8" s="220" t="str">
        <f t="shared" si="7"/>
        <v/>
      </c>
      <c r="O8" s="220" t="str">
        <f t="shared" si="8"/>
        <v/>
      </c>
      <c r="P8" s="52" t="str">
        <f t="shared" si="9"/>
        <v>9A74</v>
      </c>
      <c r="Q8" s="231" t="str">
        <f t="shared" si="10"/>
        <v>130</v>
      </c>
      <c r="R8" s="224">
        <f t="shared" si="11"/>
        <v>129</v>
      </c>
      <c r="S8" s="52">
        <f t="shared" si="12"/>
        <v>128</v>
      </c>
      <c r="T8" s="221">
        <f t="shared" ca="1" si="13"/>
        <v>5.13</v>
      </c>
      <c r="U8" s="221" t="str">
        <f t="shared" si="14"/>
        <v/>
      </c>
      <c r="V8" s="220" t="str">
        <f t="array" ref="V8">INDEX(P:P,MAX(U$3:U8))</f>
        <v>9A#2DTR</v>
      </c>
      <c r="W8" s="220" t="str">
        <f t="shared" ca="1" si="15"/>
        <v/>
      </c>
      <c r="X8" s="220">
        <f t="shared" si="16"/>
        <v>22.8</v>
      </c>
      <c r="Y8" s="220">
        <f t="shared" si="2"/>
        <v>0</v>
      </c>
      <c r="AA8" s="220" t="str">
        <f t="shared" si="3"/>
        <v>彰濱</v>
      </c>
      <c r="AB8" s="220" t="s">
        <v>2050</v>
      </c>
      <c r="AC8" s="220" t="str">
        <f t="shared" si="17"/>
        <v>9A74</v>
      </c>
      <c r="AE8" t="s">
        <v>5646</v>
      </c>
      <c r="AF8" t="s">
        <v>5647</v>
      </c>
      <c r="AJ8" t="s">
        <v>5648</v>
      </c>
      <c r="AK8" t="s">
        <v>2037</v>
      </c>
      <c r="AM8" s="467" t="str">
        <f t="shared" si="4"/>
        <v>9I</v>
      </c>
      <c r="AN8" t="str">
        <f t="shared" si="0"/>
        <v>福興D/S</v>
      </c>
      <c r="AO8" s="467" t="str">
        <f t="shared" si="1"/>
        <v>DS</v>
      </c>
      <c r="AQ8" s="2" t="e">
        <f>VLOOKUP(總表!A14,DATA!$AB$3:$AC$829,2,0)</f>
        <v>#N/A</v>
      </c>
      <c r="AR8" s="2" t="e">
        <f>VLOOKUP(總表!A14,變電所別!$K$2:$L$41,2,1)</f>
        <v>#N/A</v>
      </c>
      <c r="AS8" s="2" t="e">
        <f>VLOOKUP(總表!B14,DATA!$AB$3:$AC$829,2,0)</f>
        <v>#N/A</v>
      </c>
      <c r="AT8" s="2" t="e">
        <f>VLOOKUP(總表!B14,變電所別!$K$2:$L$41,2,1)</f>
        <v>#N/A</v>
      </c>
      <c r="AU8" s="258" t="s">
        <v>2642</v>
      </c>
      <c r="AV8" s="1" t="s">
        <v>2643</v>
      </c>
      <c r="AW8" s="258" t="s">
        <v>2644</v>
      </c>
      <c r="BB8" s="514" t="s">
        <v>2062</v>
      </c>
      <c r="BC8" s="514">
        <v>3</v>
      </c>
      <c r="BD8" s="514">
        <v>7</v>
      </c>
      <c r="BE8" s="514">
        <v>10</v>
      </c>
      <c r="BG8" s="229" t="s">
        <v>8319</v>
      </c>
      <c r="BH8" s="230" t="s">
        <v>363</v>
      </c>
      <c r="BI8" t="s">
        <v>2050</v>
      </c>
      <c r="BJ8" t="s">
        <v>2045</v>
      </c>
    </row>
    <row r="9" spans="1:64" ht="21">
      <c r="A9" s="229" t="s">
        <v>5592</v>
      </c>
      <c r="B9" s="230" t="s">
        <v>364</v>
      </c>
      <c r="C9" s="230" t="s">
        <v>5649</v>
      </c>
      <c r="D9" s="229" t="s">
        <v>5650</v>
      </c>
      <c r="E9" s="229" t="s">
        <v>5652</v>
      </c>
      <c r="F9" s="229" t="s">
        <v>5650</v>
      </c>
      <c r="G9" s="229" t="s">
        <v>5649</v>
      </c>
      <c r="H9" s="229" t="s">
        <v>5653</v>
      </c>
      <c r="I9" s="229" t="s">
        <v>5652</v>
      </c>
      <c r="J9" s="231" t="s">
        <v>5655</v>
      </c>
      <c r="K9" s="231" t="s">
        <v>5653</v>
      </c>
      <c r="L9" s="220" t="str">
        <f t="shared" si="5"/>
        <v>9A75</v>
      </c>
      <c r="M9" s="220" t="str">
        <f t="shared" si="6"/>
        <v/>
      </c>
      <c r="N9" s="220" t="str">
        <f t="shared" si="7"/>
        <v/>
      </c>
      <c r="O9" s="220" t="str">
        <f t="shared" si="8"/>
        <v/>
      </c>
      <c r="P9" s="52" t="str">
        <f t="shared" si="9"/>
        <v>9A75</v>
      </c>
      <c r="Q9" s="231" t="str">
        <f t="shared" si="10"/>
        <v>163</v>
      </c>
      <c r="R9" s="224">
        <f t="shared" si="11"/>
        <v>161.66666666666666</v>
      </c>
      <c r="S9" s="52">
        <f t="shared" si="12"/>
        <v>161</v>
      </c>
      <c r="T9" s="221">
        <f t="shared" ca="1" si="13"/>
        <v>6.44</v>
      </c>
      <c r="U9" s="221" t="str">
        <f t="shared" si="14"/>
        <v/>
      </c>
      <c r="V9" s="220" t="str">
        <f t="array" ref="V9">INDEX(P:P,MAX(U$3:U9))</f>
        <v>9A#2DTR</v>
      </c>
      <c r="W9" s="220" t="str">
        <f t="shared" ca="1" si="15"/>
        <v/>
      </c>
      <c r="X9" s="220">
        <f t="shared" si="16"/>
        <v>22.8</v>
      </c>
      <c r="Y9" s="220">
        <f t="shared" si="2"/>
        <v>0</v>
      </c>
      <c r="AA9" s="220" t="str">
        <f t="shared" si="3"/>
        <v>彰濱</v>
      </c>
      <c r="AB9" s="220" t="s">
        <v>2051</v>
      </c>
      <c r="AC9" s="220" t="str">
        <f t="shared" si="17"/>
        <v>9A75</v>
      </c>
      <c r="AE9" t="s">
        <v>16</v>
      </c>
      <c r="AF9" t="s">
        <v>5656</v>
      </c>
      <c r="AJ9" t="s">
        <v>5657</v>
      </c>
      <c r="AK9" t="s">
        <v>2037</v>
      </c>
      <c r="AM9" s="467" t="str">
        <f t="shared" si="4"/>
        <v>9J</v>
      </c>
      <c r="AN9" t="str">
        <f t="shared" si="0"/>
        <v>埔塩S/S</v>
      </c>
      <c r="AO9" s="467" t="str">
        <f t="shared" si="1"/>
        <v>SS</v>
      </c>
      <c r="AQ9" s="2" t="e">
        <f>VLOOKUP(總表!A15,DATA!$AB$3:$AC$829,2,0)</f>
        <v>#N/A</v>
      </c>
      <c r="AR9" s="2" t="e">
        <f>VLOOKUP(總表!A15,變電所別!$K$2:$L$41,2,1)</f>
        <v>#N/A</v>
      </c>
      <c r="AS9" s="2" t="e">
        <f>VLOOKUP(總表!B15,DATA!$AB$3:$AC$829,2,0)</f>
        <v>#N/A</v>
      </c>
      <c r="AT9" s="2" t="e">
        <f>VLOOKUP(總表!B15,變電所別!$K$2:$L$41,2,1)</f>
        <v>#N/A</v>
      </c>
      <c r="AU9" s="258" t="s">
        <v>2645</v>
      </c>
      <c r="AV9" s="1" t="s">
        <v>2646</v>
      </c>
      <c r="AW9" s="258" t="s">
        <v>2647</v>
      </c>
      <c r="BB9" s="514" t="s">
        <v>2063</v>
      </c>
      <c r="BC9" s="514">
        <v>2</v>
      </c>
      <c r="BD9" s="514">
        <v>5</v>
      </c>
      <c r="BE9" s="514">
        <v>7</v>
      </c>
      <c r="BG9" s="229" t="s">
        <v>4</v>
      </c>
      <c r="BH9" s="230" t="s">
        <v>364</v>
      </c>
      <c r="BI9" t="s">
        <v>2051</v>
      </c>
      <c r="BJ9" t="s">
        <v>2045</v>
      </c>
    </row>
    <row r="10" spans="1:64" ht="21">
      <c r="A10" s="229" t="s">
        <v>5592</v>
      </c>
      <c r="B10" s="230" t="s">
        <v>365</v>
      </c>
      <c r="C10" s="230" t="s">
        <v>5658</v>
      </c>
      <c r="D10" s="229" t="s">
        <v>5625</v>
      </c>
      <c r="E10" s="229" t="s">
        <v>5659</v>
      </c>
      <c r="F10" s="229" t="s">
        <v>5625</v>
      </c>
      <c r="G10" s="229" t="s">
        <v>5658</v>
      </c>
      <c r="H10" s="229" t="s">
        <v>5625</v>
      </c>
      <c r="I10" s="229" t="s">
        <v>5659</v>
      </c>
      <c r="J10" s="231" t="s">
        <v>5660</v>
      </c>
      <c r="K10" s="231" t="s">
        <v>5628</v>
      </c>
      <c r="L10" s="220" t="str">
        <f t="shared" si="5"/>
        <v>9A76</v>
      </c>
      <c r="M10" s="220" t="str">
        <f t="shared" si="6"/>
        <v/>
      </c>
      <c r="N10" s="220" t="str">
        <f t="shared" si="7"/>
        <v/>
      </c>
      <c r="O10" s="220" t="str">
        <f t="shared" si="8"/>
        <v/>
      </c>
      <c r="P10" s="52" t="str">
        <f t="shared" si="9"/>
        <v>9A76</v>
      </c>
      <c r="Q10" s="231" t="str">
        <f t="shared" si="10"/>
        <v>94</v>
      </c>
      <c r="R10" s="224">
        <f t="shared" si="11"/>
        <v>93.333333333333329</v>
      </c>
      <c r="S10" s="52">
        <f t="shared" si="12"/>
        <v>93</v>
      </c>
      <c r="T10" s="221">
        <f t="shared" ca="1" si="13"/>
        <v>3.71</v>
      </c>
      <c r="U10" s="221" t="str">
        <f t="shared" si="14"/>
        <v/>
      </c>
      <c r="V10" s="220" t="str">
        <f t="array" ref="V10">INDEX(P:P,MAX(U$3:U10))</f>
        <v>9A#2DTR</v>
      </c>
      <c r="W10" s="220" t="str">
        <f t="shared" ca="1" si="15"/>
        <v/>
      </c>
      <c r="X10" s="220">
        <f t="shared" si="16"/>
        <v>22.8</v>
      </c>
      <c r="Y10" s="220">
        <f t="shared" si="2"/>
        <v>0</v>
      </c>
      <c r="AA10" s="220" t="str">
        <f t="shared" si="3"/>
        <v>彰濱</v>
      </c>
      <c r="AB10" s="220" t="s">
        <v>2052</v>
      </c>
      <c r="AC10" s="220" t="str">
        <f t="shared" si="17"/>
        <v>9A76</v>
      </c>
      <c r="AE10" t="s">
        <v>5661</v>
      </c>
      <c r="AF10" t="s">
        <v>5662</v>
      </c>
      <c r="AJ10" t="s">
        <v>1883</v>
      </c>
      <c r="AK10" t="s">
        <v>2037</v>
      </c>
      <c r="AM10" s="467" t="str">
        <f t="shared" si="4"/>
        <v>9K</v>
      </c>
      <c r="AN10" t="str">
        <f t="shared" si="0"/>
        <v>大霞D/S</v>
      </c>
      <c r="AO10" s="467" t="str">
        <f t="shared" si="1"/>
        <v>DS</v>
      </c>
      <c r="AQ10" s="2" t="e">
        <f>VLOOKUP(總表!A16,DATA!$AB$3:$AC$829,2,0)</f>
        <v>#N/A</v>
      </c>
      <c r="AR10" s="2" t="e">
        <f>VLOOKUP(總表!A16,變電所別!$K$2:$L$41,2,1)</f>
        <v>#N/A</v>
      </c>
      <c r="AS10" s="2" t="e">
        <f>VLOOKUP(總表!B16,DATA!$AB$3:$AC$829,2,0)</f>
        <v>#N/A</v>
      </c>
      <c r="AT10" s="2" t="e">
        <f>VLOOKUP(總表!B16,變電所別!$K$2:$L$41,2,1)</f>
        <v>#N/A</v>
      </c>
      <c r="AU10" s="258" t="s">
        <v>2648</v>
      </c>
      <c r="AV10" s="1" t="s">
        <v>2649</v>
      </c>
      <c r="AW10" s="258" t="s">
        <v>2650</v>
      </c>
      <c r="AX10" s="598"/>
      <c r="AY10" s="470"/>
      <c r="BB10" s="514" t="s">
        <v>2064</v>
      </c>
      <c r="BC10" s="514" t="s">
        <v>85</v>
      </c>
      <c r="BD10" s="514" t="s">
        <v>85</v>
      </c>
      <c r="BE10" s="514">
        <v>0</v>
      </c>
      <c r="BG10" s="229" t="s">
        <v>4</v>
      </c>
      <c r="BH10" s="230" t="s">
        <v>365</v>
      </c>
      <c r="BI10" t="s">
        <v>2052</v>
      </c>
      <c r="BJ10" t="s">
        <v>2045</v>
      </c>
    </row>
    <row r="11" spans="1:64" ht="21">
      <c r="A11" s="229" t="s">
        <v>5592</v>
      </c>
      <c r="B11" s="230" t="s">
        <v>5663</v>
      </c>
      <c r="C11" s="230" t="s">
        <v>5660</v>
      </c>
      <c r="D11" s="229" t="s">
        <v>5628</v>
      </c>
      <c r="E11" s="229" t="s">
        <v>5660</v>
      </c>
      <c r="F11" s="229" t="s">
        <v>5628</v>
      </c>
      <c r="G11" s="229" t="s">
        <v>5660</v>
      </c>
      <c r="H11" s="229" t="s">
        <v>5628</v>
      </c>
      <c r="I11" s="229" t="s">
        <v>5660</v>
      </c>
      <c r="J11" s="231" t="s">
        <v>5660</v>
      </c>
      <c r="K11" s="231" t="s">
        <v>5628</v>
      </c>
      <c r="L11" s="220" t="str">
        <f t="shared" si="5"/>
        <v>9A77</v>
      </c>
      <c r="M11" s="220" t="str">
        <f t="shared" si="6"/>
        <v/>
      </c>
      <c r="N11" s="220" t="str">
        <f t="shared" si="7"/>
        <v/>
      </c>
      <c r="O11" s="220" t="str">
        <f t="shared" si="8"/>
        <v/>
      </c>
      <c r="P11" s="52" t="str">
        <f t="shared" si="9"/>
        <v>9A77</v>
      </c>
      <c r="Q11" s="231" t="str">
        <f t="shared" si="10"/>
        <v>1</v>
      </c>
      <c r="R11" s="224">
        <f t="shared" si="11"/>
        <v>1</v>
      </c>
      <c r="S11" s="52">
        <f t="shared" si="12"/>
        <v>1</v>
      </c>
      <c r="T11" s="221">
        <f t="shared" ca="1" si="13"/>
        <v>0.04</v>
      </c>
      <c r="U11" s="221" t="str">
        <f t="shared" si="14"/>
        <v/>
      </c>
      <c r="V11" s="220" t="str">
        <f t="array" ref="V11">INDEX(P:P,MAX(U$3:U11))</f>
        <v>9A#2DTR</v>
      </c>
      <c r="W11" s="220" t="str">
        <f t="shared" ca="1" si="15"/>
        <v/>
      </c>
      <c r="X11" s="220">
        <f t="shared" si="16"/>
        <v>22.8</v>
      </c>
      <c r="Y11" s="220">
        <f t="shared" si="2"/>
        <v>0</v>
      </c>
      <c r="AA11" s="220" t="str">
        <f t="shared" si="3"/>
        <v>彰濱</v>
      </c>
      <c r="AB11" s="220" t="s">
        <v>2053</v>
      </c>
      <c r="AC11" s="220" t="str">
        <f t="shared" si="17"/>
        <v>9A77</v>
      </c>
      <c r="AE11" t="s">
        <v>5664</v>
      </c>
      <c r="AF11" t="s">
        <v>5665</v>
      </c>
      <c r="AJ11" t="s">
        <v>5666</v>
      </c>
      <c r="AK11" t="s">
        <v>2037</v>
      </c>
      <c r="AM11" s="467" t="str">
        <f t="shared" si="4"/>
        <v>9L</v>
      </c>
      <c r="AN11" t="str">
        <f t="shared" si="0"/>
        <v>大城D/S</v>
      </c>
      <c r="AO11" s="467" t="str">
        <f t="shared" si="1"/>
        <v>DS</v>
      </c>
      <c r="AQ11" s="2" t="e">
        <f>VLOOKUP(總表!A17,DATA!$AB$3:$AC$829,2,0)</f>
        <v>#N/A</v>
      </c>
      <c r="AR11" s="2" t="e">
        <f>VLOOKUP(總表!A17,變電所別!$K$2:$L$41,2,1)</f>
        <v>#N/A</v>
      </c>
      <c r="AS11" s="2" t="e">
        <f>VLOOKUP(總表!B17,DATA!$AB$3:$AC$829,2,0)</f>
        <v>#N/A</v>
      </c>
      <c r="AT11" s="2" t="e">
        <f>VLOOKUP(總表!B17,變電所別!$K$2:$L$41,2,1)</f>
        <v>#N/A</v>
      </c>
      <c r="AU11" s="258" t="s">
        <v>2651</v>
      </c>
      <c r="AV11" s="1" t="s">
        <v>2652</v>
      </c>
      <c r="AW11" s="258" t="s">
        <v>2653</v>
      </c>
      <c r="AX11" s="245"/>
      <c r="AY11" s="245"/>
      <c r="BB11" s="514" t="s">
        <v>2065</v>
      </c>
      <c r="BC11" s="514" t="s">
        <v>85</v>
      </c>
      <c r="BD11" s="514" t="s">
        <v>85</v>
      </c>
      <c r="BE11" s="514">
        <v>0</v>
      </c>
      <c r="BG11" s="229" t="s">
        <v>8319</v>
      </c>
      <c r="BH11" s="230" t="s">
        <v>8322</v>
      </c>
      <c r="BI11" t="s">
        <v>2053</v>
      </c>
      <c r="BJ11" t="s">
        <v>2045</v>
      </c>
    </row>
    <row r="12" spans="1:64" ht="21">
      <c r="A12" s="229" t="s">
        <v>5667</v>
      </c>
      <c r="B12" s="230" t="s">
        <v>5668</v>
      </c>
      <c r="C12" s="230" t="s">
        <v>5669</v>
      </c>
      <c r="D12" s="229" t="s">
        <v>5670</v>
      </c>
      <c r="E12" s="229" t="s">
        <v>5671</v>
      </c>
      <c r="F12" s="229" t="s">
        <v>5672</v>
      </c>
      <c r="G12" s="229" t="s">
        <v>5673</v>
      </c>
      <c r="H12" s="229" t="s">
        <v>5595</v>
      </c>
      <c r="I12" s="229" t="s">
        <v>5673</v>
      </c>
      <c r="J12" s="231" t="s">
        <v>5674</v>
      </c>
      <c r="K12" s="231" t="s">
        <v>5585</v>
      </c>
      <c r="L12" s="220" t="str">
        <f t="shared" si="5"/>
        <v>9A#3DTR</v>
      </c>
      <c r="M12" s="220" t="str">
        <f t="shared" si="6"/>
        <v/>
      </c>
      <c r="N12" s="220" t="str">
        <f t="shared" si="7"/>
        <v>9A#3DTR</v>
      </c>
      <c r="O12" s="220" t="str">
        <f t="shared" si="8"/>
        <v/>
      </c>
      <c r="P12" s="52" t="str">
        <f t="shared" si="9"/>
        <v>9A#3DTR</v>
      </c>
      <c r="Q12" s="231" t="str">
        <f t="shared" si="10"/>
        <v>29</v>
      </c>
      <c r="R12" s="224">
        <f t="shared" si="11"/>
        <v>28.666666666666668</v>
      </c>
      <c r="S12" s="52">
        <f t="shared" si="12"/>
        <v>28</v>
      </c>
      <c r="T12" s="221">
        <f t="shared" ca="1" si="13"/>
        <v>1.1499999999999999</v>
      </c>
      <c r="U12" s="221">
        <f t="shared" si="14"/>
        <v>12</v>
      </c>
      <c r="V12" s="220" t="str">
        <f t="array" ref="V12">INDEX(P:P,MAX(U$3:U12))</f>
        <v>9A#3DTR</v>
      </c>
      <c r="W12" s="220">
        <f t="shared" ca="1" si="15"/>
        <v>60</v>
      </c>
      <c r="X12" s="220" t="str">
        <f t="shared" si="16"/>
        <v/>
      </c>
      <c r="Y12" s="220">
        <f t="shared" si="2"/>
        <v>0</v>
      </c>
      <c r="AA12" s="220" t="str">
        <f t="shared" si="3"/>
        <v>彰濱</v>
      </c>
      <c r="AB12" s="220" t="s">
        <v>2054</v>
      </c>
      <c r="AC12" s="220" t="s">
        <v>5675</v>
      </c>
      <c r="AE12" t="s">
        <v>5676</v>
      </c>
      <c r="AF12" t="s">
        <v>5677</v>
      </c>
      <c r="AJ12" t="s">
        <v>5678</v>
      </c>
      <c r="AK12" t="s">
        <v>2037</v>
      </c>
      <c r="AM12" s="467" t="str">
        <f t="shared" si="4"/>
        <v>9M</v>
      </c>
      <c r="AN12" t="str">
        <f t="shared" si="0"/>
        <v>彰林E/S</v>
      </c>
      <c r="AO12" s="467" t="str">
        <f t="shared" si="1"/>
        <v>ES</v>
      </c>
      <c r="AQ12" s="2" t="e">
        <f>VLOOKUP(總表!A18,DATA!$AB$3:$AC$829,2,0)</f>
        <v>#N/A</v>
      </c>
      <c r="AR12" s="2" t="e">
        <f>VLOOKUP(總表!A18,變電所別!$K$2:$L$41,2,1)</f>
        <v>#N/A</v>
      </c>
      <c r="AS12" s="2" t="e">
        <f>VLOOKUP(總表!B18,DATA!$AB$3:$AC$829,2,0)</f>
        <v>#N/A</v>
      </c>
      <c r="AT12" s="2" t="e">
        <f>VLOOKUP(總表!B18,變電所別!$K$2:$L$41,2,1)</f>
        <v>#N/A</v>
      </c>
      <c r="AU12" s="258" t="s">
        <v>2654</v>
      </c>
      <c r="AV12" s="1" t="s">
        <v>2655</v>
      </c>
      <c r="AW12" s="258" t="s">
        <v>2656</v>
      </c>
      <c r="AX12" s="256"/>
      <c r="AY12" s="257"/>
      <c r="BB12" s="514" t="s">
        <v>1991</v>
      </c>
      <c r="BC12" s="514" t="s">
        <v>85</v>
      </c>
      <c r="BD12" s="514" t="s">
        <v>85</v>
      </c>
      <c r="BE12" s="514">
        <v>0</v>
      </c>
      <c r="BG12" s="229" t="s">
        <v>4</v>
      </c>
      <c r="BH12" s="230" t="s">
        <v>366</v>
      </c>
      <c r="BI12" t="s">
        <v>2054</v>
      </c>
      <c r="BJ12" t="s">
        <v>2054</v>
      </c>
    </row>
    <row r="13" spans="1:64" ht="21">
      <c r="A13" s="229" t="s">
        <v>5679</v>
      </c>
      <c r="B13" s="230" t="s">
        <v>5680</v>
      </c>
      <c r="C13" s="230" t="s">
        <v>5681</v>
      </c>
      <c r="D13" s="229" t="s">
        <v>5683</v>
      </c>
      <c r="E13" s="229" t="s">
        <v>5684</v>
      </c>
      <c r="F13" s="229" t="s">
        <v>5685</v>
      </c>
      <c r="G13" s="229" t="s">
        <v>5681</v>
      </c>
      <c r="H13" s="229" t="s">
        <v>5686</v>
      </c>
      <c r="I13" s="229" t="s">
        <v>5684</v>
      </c>
      <c r="J13" s="231" t="s">
        <v>5615</v>
      </c>
      <c r="K13" s="231" t="s">
        <v>5687</v>
      </c>
      <c r="L13" s="220" t="str">
        <f t="shared" si="5"/>
        <v>9A61</v>
      </c>
      <c r="M13" s="220" t="str">
        <f t="shared" si="6"/>
        <v/>
      </c>
      <c r="N13" s="220" t="str">
        <f t="shared" si="7"/>
        <v/>
      </c>
      <c r="O13" s="220" t="str">
        <f t="shared" si="8"/>
        <v/>
      </c>
      <c r="P13" s="52" t="str">
        <f t="shared" si="9"/>
        <v>9A61</v>
      </c>
      <c r="Q13" s="231" t="str">
        <f t="shared" si="10"/>
        <v>25</v>
      </c>
      <c r="R13" s="224">
        <f t="shared" si="11"/>
        <v>25</v>
      </c>
      <c r="S13" s="52">
        <f t="shared" si="12"/>
        <v>25</v>
      </c>
      <c r="T13" s="221">
        <f t="shared" ca="1" si="13"/>
        <v>0.99</v>
      </c>
      <c r="U13" s="221" t="str">
        <f t="shared" si="14"/>
        <v/>
      </c>
      <c r="V13" s="220" t="str">
        <f t="array" ref="V13">INDEX(P:P,MAX(U$3:U13))</f>
        <v>9A#3DTR</v>
      </c>
      <c r="W13" s="220" t="str">
        <f t="shared" ca="1" si="15"/>
        <v/>
      </c>
      <c r="X13" s="220">
        <f t="shared" si="16"/>
        <v>22.8</v>
      </c>
      <c r="Y13" s="220">
        <f t="shared" si="2"/>
        <v>0</v>
      </c>
      <c r="AA13" s="220" t="str">
        <f t="shared" si="3"/>
        <v>彰濱</v>
      </c>
      <c r="AB13" s="220" t="s">
        <v>1914</v>
      </c>
      <c r="AC13" s="220" t="str">
        <f>LEFT(B13,4)</f>
        <v>9A61</v>
      </c>
      <c r="AE13" t="s">
        <v>5688</v>
      </c>
      <c r="AF13" t="s">
        <v>5689</v>
      </c>
      <c r="AJ13" t="s">
        <v>5690</v>
      </c>
      <c r="AK13" t="s">
        <v>2037</v>
      </c>
      <c r="AM13" s="467" t="str">
        <f t="shared" si="4"/>
        <v>9N</v>
      </c>
      <c r="AN13" t="str">
        <f t="shared" si="0"/>
        <v>彰竹D/S</v>
      </c>
      <c r="AO13" s="467" t="str">
        <f t="shared" si="1"/>
        <v>DS</v>
      </c>
      <c r="AQ13" s="2" t="e">
        <f>VLOOKUP(總表!A19,DATA!$AB$3:$AC$829,2,0)</f>
        <v>#N/A</v>
      </c>
      <c r="AR13" s="2" t="e">
        <f>VLOOKUP(總表!A19,變電所別!$K$2:$L$41,2,1)</f>
        <v>#N/A</v>
      </c>
      <c r="AS13" s="2" t="e">
        <f>VLOOKUP(總表!B19,DATA!$AB$3:$AC$829,2,0)</f>
        <v>#N/A</v>
      </c>
      <c r="AT13" s="2" t="e">
        <f>VLOOKUP(總表!B19,變電所別!$K$2:$L$41,2,1)</f>
        <v>#N/A</v>
      </c>
      <c r="AU13" s="258" t="s">
        <v>2657</v>
      </c>
      <c r="AV13" s="1" t="s">
        <v>2658</v>
      </c>
      <c r="AW13" s="258" t="s">
        <v>2659</v>
      </c>
      <c r="AX13" s="256"/>
      <c r="AY13" s="257"/>
      <c r="BB13" s="514" t="s">
        <v>1993</v>
      </c>
      <c r="BC13" s="514">
        <v>2</v>
      </c>
      <c r="BD13" s="514">
        <v>4</v>
      </c>
      <c r="BE13" s="514">
        <v>6</v>
      </c>
      <c r="BG13" s="229" t="s">
        <v>8319</v>
      </c>
      <c r="BH13" s="230" t="s">
        <v>367</v>
      </c>
      <c r="BI13" t="s">
        <v>1914</v>
      </c>
      <c r="BJ13" t="s">
        <v>10131</v>
      </c>
    </row>
    <row r="14" spans="1:64" ht="21">
      <c r="A14" s="229" t="s">
        <v>5691</v>
      </c>
      <c r="B14" s="230" t="s">
        <v>5692</v>
      </c>
      <c r="C14" s="230" t="s">
        <v>5693</v>
      </c>
      <c r="D14" s="229" t="s">
        <v>5599</v>
      </c>
      <c r="E14" s="229" t="s">
        <v>5694</v>
      </c>
      <c r="F14" s="229" t="s">
        <v>5599</v>
      </c>
      <c r="G14" s="229" t="s">
        <v>5615</v>
      </c>
      <c r="H14" s="229" t="s">
        <v>5628</v>
      </c>
      <c r="I14" s="229" t="s">
        <v>5655</v>
      </c>
      <c r="J14" s="231" t="s">
        <v>5615</v>
      </c>
      <c r="K14" s="231" t="s">
        <v>5628</v>
      </c>
      <c r="L14" s="220" t="str">
        <f t="shared" si="5"/>
        <v>9A62</v>
      </c>
      <c r="M14" s="220" t="str">
        <f t="shared" si="6"/>
        <v/>
      </c>
      <c r="N14" s="220" t="str">
        <f t="shared" si="7"/>
        <v/>
      </c>
      <c r="O14" s="220" t="str">
        <f t="shared" si="8"/>
        <v/>
      </c>
      <c r="P14" s="52" t="str">
        <f t="shared" si="9"/>
        <v>9A62</v>
      </c>
      <c r="Q14" s="231" t="str">
        <f t="shared" si="10"/>
        <v>2</v>
      </c>
      <c r="R14" s="224">
        <f t="shared" si="11"/>
        <v>0.66666666666666663</v>
      </c>
      <c r="S14" s="52">
        <f t="shared" si="12"/>
        <v>0</v>
      </c>
      <c r="T14" s="221">
        <f t="shared" ca="1" si="13"/>
        <v>0.08</v>
      </c>
      <c r="U14" s="221" t="str">
        <f t="shared" si="14"/>
        <v/>
      </c>
      <c r="V14" s="220" t="str">
        <f t="array" ref="V14">INDEX(P:P,MAX(U$3:U14))</f>
        <v>9A#3DTR</v>
      </c>
      <c r="W14" s="220" t="str">
        <f t="shared" ca="1" si="15"/>
        <v/>
      </c>
      <c r="X14" s="220">
        <f t="shared" si="16"/>
        <v>22.8</v>
      </c>
      <c r="Y14" s="220">
        <f t="shared" si="2"/>
        <v>0</v>
      </c>
      <c r="AA14" s="220" t="str">
        <f t="shared" si="3"/>
        <v>彰濱</v>
      </c>
      <c r="AB14" s="220" t="s">
        <v>2055</v>
      </c>
      <c r="AC14" s="220" t="str">
        <f>LEFT(B14,4)</f>
        <v>9A62</v>
      </c>
      <c r="AE14" t="s">
        <v>5695</v>
      </c>
      <c r="AF14" t="s">
        <v>5696</v>
      </c>
      <c r="AJ14" t="s">
        <v>1890</v>
      </c>
      <c r="AK14" t="s">
        <v>2037</v>
      </c>
      <c r="AM14" s="467" t="str">
        <f t="shared" si="4"/>
        <v>9P</v>
      </c>
      <c r="AN14" t="str">
        <f t="shared" si="0"/>
        <v>花壇D/S</v>
      </c>
      <c r="AO14" s="467" t="str">
        <f t="shared" si="1"/>
        <v>DS</v>
      </c>
      <c r="AQ14" s="2" t="e">
        <f>VLOOKUP(總表!A20,DATA!$AB$3:$AC$829,2,0)</f>
        <v>#N/A</v>
      </c>
      <c r="AR14" s="2" t="e">
        <f>VLOOKUP(總表!A20,變電所別!$K$2:$L$41,2,1)</f>
        <v>#N/A</v>
      </c>
      <c r="AS14" s="2" t="e">
        <f>VLOOKUP(總表!B20,DATA!$AB$3:$AC$829,2,0)</f>
        <v>#N/A</v>
      </c>
      <c r="AT14" s="2" t="e">
        <f>VLOOKUP(總表!B20,變電所別!$K$2:$L$41,2,1)</f>
        <v>#N/A</v>
      </c>
      <c r="AU14" s="258" t="s">
        <v>2660</v>
      </c>
      <c r="AV14" s="1" t="s">
        <v>2661</v>
      </c>
      <c r="AW14" s="258" t="s">
        <v>2662</v>
      </c>
      <c r="AX14" s="256"/>
      <c r="AY14" s="257"/>
      <c r="BB14" s="514" t="s">
        <v>1994</v>
      </c>
      <c r="BC14" s="514">
        <v>1</v>
      </c>
      <c r="BD14" s="514">
        <v>1</v>
      </c>
      <c r="BE14" s="514">
        <v>2</v>
      </c>
      <c r="BG14" s="229" t="s">
        <v>4</v>
      </c>
      <c r="BH14" s="230" t="s">
        <v>368</v>
      </c>
      <c r="BI14" t="s">
        <v>2055</v>
      </c>
      <c r="BJ14" t="s">
        <v>10135</v>
      </c>
    </row>
    <row r="15" spans="1:64" ht="21">
      <c r="A15" s="229" t="s">
        <v>5571</v>
      </c>
      <c r="B15" s="230" t="s">
        <v>5697</v>
      </c>
      <c r="C15" s="230" t="s">
        <v>5615</v>
      </c>
      <c r="D15" s="229" t="s">
        <v>5599</v>
      </c>
      <c r="E15" s="229" t="s">
        <v>5698</v>
      </c>
      <c r="F15" s="229" t="s">
        <v>5628</v>
      </c>
      <c r="G15" s="229" t="s">
        <v>5699</v>
      </c>
      <c r="H15" s="229" t="s">
        <v>5628</v>
      </c>
      <c r="I15" s="229" t="s">
        <v>5615</v>
      </c>
      <c r="J15" s="231" t="s">
        <v>5699</v>
      </c>
      <c r="K15" s="231" t="s">
        <v>5628</v>
      </c>
      <c r="L15" s="220" t="str">
        <f t="shared" si="5"/>
        <v>9A63</v>
      </c>
      <c r="M15" s="220" t="str">
        <f t="shared" si="6"/>
        <v/>
      </c>
      <c r="N15" s="220" t="str">
        <f t="shared" si="7"/>
        <v/>
      </c>
      <c r="O15" s="220" t="str">
        <f t="shared" si="8"/>
        <v/>
      </c>
      <c r="P15" s="52" t="str">
        <f t="shared" si="9"/>
        <v>9A63</v>
      </c>
      <c r="Q15" s="231" t="str">
        <f t="shared" si="10"/>
        <v>0</v>
      </c>
      <c r="R15" s="224">
        <f t="shared" si="11"/>
        <v>0</v>
      </c>
      <c r="S15" s="52">
        <f t="shared" si="12"/>
        <v>0</v>
      </c>
      <c r="T15" s="221">
        <f t="shared" ca="1" si="13"/>
        <v>0</v>
      </c>
      <c r="U15" s="221" t="str">
        <f t="shared" si="14"/>
        <v/>
      </c>
      <c r="V15" s="220" t="str">
        <f t="array" ref="V15">INDEX(P:P,MAX(U$3:U15))</f>
        <v>9A#3DTR</v>
      </c>
      <c r="W15" s="220" t="str">
        <f t="shared" ca="1" si="15"/>
        <v/>
      </c>
      <c r="X15" s="220">
        <f t="shared" si="16"/>
        <v>22.8</v>
      </c>
      <c r="Y15" s="220">
        <f t="shared" si="2"/>
        <v>0</v>
      </c>
      <c r="AA15" s="220" t="str">
        <f t="shared" si="3"/>
        <v>彰濱</v>
      </c>
      <c r="AB15" s="220" t="s">
        <v>2056</v>
      </c>
      <c r="AC15" s="220" t="str">
        <f>LEFT(B15,4)</f>
        <v>9A63</v>
      </c>
      <c r="AE15" t="s">
        <v>5700</v>
      </c>
      <c r="AF15" t="s">
        <v>5701</v>
      </c>
      <c r="AJ15" t="s">
        <v>5702</v>
      </c>
      <c r="AK15" t="s">
        <v>2037</v>
      </c>
      <c r="AM15" s="467" t="str">
        <f t="shared" si="4"/>
        <v>IA</v>
      </c>
      <c r="AN15" t="str">
        <f t="shared" si="0"/>
        <v>彰新D/S</v>
      </c>
      <c r="AO15" s="467" t="str">
        <f t="shared" si="1"/>
        <v>DS</v>
      </c>
      <c r="AQ15" s="2" t="e">
        <f>VLOOKUP(總表!A21,DATA!$AB$3:$AC$829,2,0)</f>
        <v>#N/A</v>
      </c>
      <c r="AR15" s="2" t="e">
        <f>VLOOKUP(總表!A21,變電所別!$K$2:$L$41,2,1)</f>
        <v>#N/A</v>
      </c>
      <c r="AS15" s="2" t="e">
        <f>VLOOKUP(總表!B21,DATA!$AB$3:$AC$829,2,0)</f>
        <v>#N/A</v>
      </c>
      <c r="AT15" s="2" t="e">
        <f>VLOOKUP(總表!B21,變電所別!$K$2:$L$41,2,1)</f>
        <v>#N/A</v>
      </c>
      <c r="AU15" s="258" t="s">
        <v>2663</v>
      </c>
      <c r="AV15" s="1" t="s">
        <v>2664</v>
      </c>
      <c r="AW15" s="258" t="s">
        <v>2665</v>
      </c>
      <c r="AX15" s="256"/>
      <c r="AY15" s="257"/>
      <c r="BB15" s="514" t="s">
        <v>1995</v>
      </c>
      <c r="BC15" s="514">
        <v>27</v>
      </c>
      <c r="BD15" s="514">
        <v>5</v>
      </c>
      <c r="BE15" s="514">
        <v>32</v>
      </c>
      <c r="BG15" s="229" t="s">
        <v>8323</v>
      </c>
      <c r="BH15" s="230" t="s">
        <v>369</v>
      </c>
      <c r="BI15" t="s">
        <v>2056</v>
      </c>
      <c r="BJ15" t="s">
        <v>10132</v>
      </c>
    </row>
    <row r="16" spans="1:64" ht="21">
      <c r="A16" s="229" t="s">
        <v>5703</v>
      </c>
      <c r="B16" s="230" t="s">
        <v>5704</v>
      </c>
      <c r="C16" s="230" t="s">
        <v>5694</v>
      </c>
      <c r="D16" s="229" t="s">
        <v>5628</v>
      </c>
      <c r="E16" s="229" t="s">
        <v>5614</v>
      </c>
      <c r="F16" s="229" t="s">
        <v>5628</v>
      </c>
      <c r="G16" s="229" t="s">
        <v>5614</v>
      </c>
      <c r="H16" s="229" t="s">
        <v>5628</v>
      </c>
      <c r="I16" s="229" t="s">
        <v>5614</v>
      </c>
      <c r="J16" s="231" t="s">
        <v>5614</v>
      </c>
      <c r="K16" s="231" t="s">
        <v>5628</v>
      </c>
      <c r="L16" s="220" t="str">
        <f t="shared" si="5"/>
        <v>9A64</v>
      </c>
      <c r="M16" s="220" t="str">
        <f t="shared" si="6"/>
        <v/>
      </c>
      <c r="N16" s="220" t="str">
        <f t="shared" si="7"/>
        <v/>
      </c>
      <c r="O16" s="220" t="str">
        <f t="shared" si="8"/>
        <v/>
      </c>
      <c r="P16" s="52" t="str">
        <f t="shared" si="9"/>
        <v>9A64</v>
      </c>
      <c r="Q16" s="231" t="str">
        <f t="shared" si="10"/>
        <v>0</v>
      </c>
      <c r="R16" s="224">
        <f t="shared" si="11"/>
        <v>0</v>
      </c>
      <c r="S16" s="52">
        <f t="shared" si="12"/>
        <v>0</v>
      </c>
      <c r="T16" s="221">
        <f t="shared" ca="1" si="13"/>
        <v>0</v>
      </c>
      <c r="U16" s="221" t="str">
        <f t="shared" si="14"/>
        <v/>
      </c>
      <c r="V16" s="220" t="str">
        <f t="array" ref="V16">INDEX(P:P,MAX(U$3:U16))</f>
        <v>9A#3DTR</v>
      </c>
      <c r="W16" s="220" t="str">
        <f t="shared" ca="1" si="15"/>
        <v/>
      </c>
      <c r="X16" s="220">
        <f t="shared" si="16"/>
        <v>22.8</v>
      </c>
      <c r="Y16" s="220">
        <f t="shared" si="2"/>
        <v>0</v>
      </c>
      <c r="AA16" s="220" t="str">
        <f t="shared" si="3"/>
        <v>彰濱</v>
      </c>
      <c r="AB16" s="220" t="s">
        <v>2057</v>
      </c>
      <c r="AC16" s="220" t="str">
        <f>LEFT(B16,4)</f>
        <v>9A64</v>
      </c>
      <c r="AE16" t="s">
        <v>44</v>
      </c>
      <c r="AF16" t="s">
        <v>5705</v>
      </c>
      <c r="AJ16" t="s">
        <v>1963</v>
      </c>
      <c r="AK16" t="s">
        <v>2037</v>
      </c>
      <c r="AM16" s="467" t="str">
        <f t="shared" si="4"/>
        <v>IB</v>
      </c>
      <c r="AN16" t="str">
        <f t="shared" si="0"/>
        <v>鹿港S/S</v>
      </c>
      <c r="AO16" s="467" t="str">
        <f t="shared" si="1"/>
        <v>SS</v>
      </c>
      <c r="AQ16" s="2" t="e">
        <f>VLOOKUP(總表!A22,DATA!$AB$3:$AC$829,2,0)</f>
        <v>#N/A</v>
      </c>
      <c r="AR16" s="2" t="e">
        <f>VLOOKUP(總表!A22,變電所別!$K$2:$L$41,2,1)</f>
        <v>#N/A</v>
      </c>
      <c r="AS16" s="2" t="e">
        <f>VLOOKUP(總表!B22,DATA!$AB$3:$AC$829,2,0)</f>
        <v>#N/A</v>
      </c>
      <c r="AT16" s="2" t="e">
        <f>VLOOKUP(總表!B22,變電所別!$K$2:$L$41,2,1)</f>
        <v>#N/A</v>
      </c>
      <c r="AU16" s="258" t="s">
        <v>2666</v>
      </c>
      <c r="AV16" s="1" t="s">
        <v>2667</v>
      </c>
      <c r="AW16" s="258" t="s">
        <v>2668</v>
      </c>
      <c r="AX16" s="256"/>
      <c r="AY16" s="257"/>
      <c r="BB16" s="514" t="s">
        <v>1914</v>
      </c>
      <c r="BC16" s="514">
        <v>0</v>
      </c>
      <c r="BD16" s="514">
        <v>1</v>
      </c>
      <c r="BE16" s="514">
        <v>1</v>
      </c>
      <c r="BG16" s="229" t="s">
        <v>4</v>
      </c>
      <c r="BH16" s="230" t="s">
        <v>370</v>
      </c>
      <c r="BI16" t="s">
        <v>2057</v>
      </c>
      <c r="BJ16" t="s">
        <v>10134</v>
      </c>
    </row>
    <row r="17" spans="1:62" ht="21">
      <c r="A17" s="229" t="s">
        <v>5592</v>
      </c>
      <c r="B17" s="230" t="s">
        <v>371</v>
      </c>
      <c r="C17" s="230" t="s">
        <v>5615</v>
      </c>
      <c r="D17" s="229" t="s">
        <v>784</v>
      </c>
      <c r="E17" s="229" t="s">
        <v>5699</v>
      </c>
      <c r="F17" s="229" t="s">
        <v>5599</v>
      </c>
      <c r="G17" s="229" t="s">
        <v>5615</v>
      </c>
      <c r="H17" s="229" t="s">
        <v>5599</v>
      </c>
      <c r="I17" s="229" t="s">
        <v>5614</v>
      </c>
      <c r="J17" s="231" t="s">
        <v>5615</v>
      </c>
      <c r="K17" s="231" t="s">
        <v>5599</v>
      </c>
      <c r="L17" s="220" t="str">
        <f t="shared" si="5"/>
        <v>9A65</v>
      </c>
      <c r="M17" s="220" t="str">
        <f t="shared" si="6"/>
        <v/>
      </c>
      <c r="N17" s="220" t="str">
        <f t="shared" si="7"/>
        <v/>
      </c>
      <c r="O17" s="220" t="str">
        <f t="shared" si="8"/>
        <v/>
      </c>
      <c r="P17" s="52" t="str">
        <f t="shared" si="9"/>
        <v>9A65</v>
      </c>
      <c r="Q17" s="231" t="str">
        <f t="shared" si="10"/>
        <v>0</v>
      </c>
      <c r="R17" s="224">
        <f t="shared" si="11"/>
        <v>0</v>
      </c>
      <c r="S17" s="52">
        <f t="shared" si="12"/>
        <v>0</v>
      </c>
      <c r="T17" s="221">
        <f t="shared" ca="1" si="13"/>
        <v>0</v>
      </c>
      <c r="U17" s="221" t="str">
        <f t="shared" si="14"/>
        <v/>
      </c>
      <c r="V17" s="220" t="str">
        <f t="array" ref="V17">INDEX(P:P,MAX(U$3:U17))</f>
        <v>9A#3DTR</v>
      </c>
      <c r="W17" s="220" t="str">
        <f t="shared" ca="1" si="15"/>
        <v/>
      </c>
      <c r="X17" s="220">
        <f t="shared" si="16"/>
        <v>22.8</v>
      </c>
      <c r="Y17" s="220">
        <f t="shared" si="2"/>
        <v>0</v>
      </c>
      <c r="AA17" s="220" t="str">
        <f t="shared" si="3"/>
        <v>彰濱</v>
      </c>
      <c r="AB17" s="220" t="s">
        <v>2058</v>
      </c>
      <c r="AC17" s="220" t="str">
        <f>LEFT(B17,4)</f>
        <v>9A65</v>
      </c>
      <c r="AE17" t="s">
        <v>5706</v>
      </c>
      <c r="AF17" t="s">
        <v>5707</v>
      </c>
      <c r="AJ17" t="s">
        <v>5708</v>
      </c>
      <c r="AK17" t="s">
        <v>2037</v>
      </c>
      <c r="AM17" s="467" t="str">
        <f t="shared" si="4"/>
        <v>IC</v>
      </c>
      <c r="AN17" t="str">
        <f t="shared" si="0"/>
        <v>員林S/S</v>
      </c>
      <c r="AO17" s="467" t="str">
        <f t="shared" si="1"/>
        <v>SS</v>
      </c>
      <c r="AQ17" s="2" t="e">
        <f>VLOOKUP(總表!A23,DATA!$AB$3:$AC$829,2,0)</f>
        <v>#N/A</v>
      </c>
      <c r="AR17" s="2" t="e">
        <f>VLOOKUP(總表!A23,變電所別!$K$2:$L$41,2,1)</f>
        <v>#N/A</v>
      </c>
      <c r="AS17" s="2" t="e">
        <f>VLOOKUP(總表!B23,DATA!$AB$3:$AC$829,2,0)</f>
        <v>#N/A</v>
      </c>
      <c r="AT17" s="2" t="e">
        <f>VLOOKUP(總表!B23,變電所別!$K$2:$L$41,2,1)</f>
        <v>#N/A</v>
      </c>
      <c r="AU17" s="258" t="s">
        <v>2669</v>
      </c>
      <c r="AV17" s="1" t="s">
        <v>2670</v>
      </c>
      <c r="AW17" s="258" t="s">
        <v>2671</v>
      </c>
      <c r="BB17" s="514" t="s">
        <v>2055</v>
      </c>
      <c r="BC17" s="514">
        <v>7</v>
      </c>
      <c r="BD17" s="514">
        <v>5</v>
      </c>
      <c r="BE17" s="514">
        <v>12</v>
      </c>
      <c r="BG17" s="229" t="s">
        <v>8319</v>
      </c>
      <c r="BH17" s="230" t="s">
        <v>371</v>
      </c>
      <c r="BI17" t="s">
        <v>2058</v>
      </c>
      <c r="BJ17" t="s">
        <v>10134</v>
      </c>
    </row>
    <row r="18" spans="1:62" ht="21">
      <c r="A18" s="229" t="s">
        <v>5592</v>
      </c>
      <c r="B18" s="230" t="s">
        <v>5709</v>
      </c>
      <c r="C18" s="230" t="s">
        <v>5710</v>
      </c>
      <c r="D18" s="229" t="s">
        <v>5710</v>
      </c>
      <c r="E18" s="229" t="s">
        <v>5710</v>
      </c>
      <c r="F18" s="229" t="s">
        <v>5710</v>
      </c>
      <c r="G18" s="229" t="s">
        <v>5711</v>
      </c>
      <c r="H18" s="229" t="s">
        <v>5710</v>
      </c>
      <c r="I18" s="229" t="s">
        <v>5710</v>
      </c>
      <c r="J18" s="231" t="s">
        <v>5585</v>
      </c>
      <c r="K18" s="231" t="s">
        <v>5710</v>
      </c>
      <c r="L18" s="220" t="str">
        <f t="shared" si="5"/>
        <v>9APV</v>
      </c>
      <c r="M18" s="220" t="str">
        <f t="shared" si="6"/>
        <v/>
      </c>
      <c r="N18" s="220" t="str">
        <f t="shared" si="7"/>
        <v/>
      </c>
      <c r="O18" s="220" t="str">
        <f t="shared" si="8"/>
        <v/>
      </c>
      <c r="P18" s="52" t="str">
        <f t="shared" si="9"/>
        <v>9APV</v>
      </c>
      <c r="Q18" s="231" t="str">
        <f t="shared" si="10"/>
        <v xml:space="preserve"> </v>
      </c>
      <c r="R18" s="224" t="e">
        <f t="shared" si="11"/>
        <v>#VALUE!</v>
      </c>
      <c r="S18" s="52" t="e">
        <f t="shared" si="12"/>
        <v>#VALUE!</v>
      </c>
      <c r="T18" s="221" t="e">
        <f t="shared" ca="1" si="13"/>
        <v>#VALUE!</v>
      </c>
      <c r="U18" s="221" t="str">
        <f t="shared" si="14"/>
        <v/>
      </c>
      <c r="V18" s="220" t="str">
        <f t="array" ref="V18">INDEX(P:P,MAX(U$3:U18))</f>
        <v>9A#3DTR</v>
      </c>
      <c r="W18" s="220" t="str">
        <f t="shared" ca="1" si="15"/>
        <v/>
      </c>
      <c r="X18" s="220" t="e">
        <f t="shared" si="16"/>
        <v>#VALUE!</v>
      </c>
      <c r="Y18" s="220">
        <f t="shared" si="2"/>
        <v>0</v>
      </c>
      <c r="AA18" s="220" t="str">
        <f t="shared" si="3"/>
        <v>彰濱</v>
      </c>
      <c r="AB18" s="220" t="s">
        <v>2059</v>
      </c>
      <c r="AC18" s="220" t="s">
        <v>2059</v>
      </c>
      <c r="AE18" t="s">
        <v>5712</v>
      </c>
      <c r="AF18" t="s">
        <v>5713</v>
      </c>
      <c r="AJ18" t="s">
        <v>5714</v>
      </c>
      <c r="AK18" t="s">
        <v>2037</v>
      </c>
      <c r="AM18" s="467" t="str">
        <f t="shared" si="4"/>
        <v>ID</v>
      </c>
      <c r="AN18" t="str">
        <f t="shared" si="0"/>
        <v>溪湖S/S</v>
      </c>
      <c r="AO18" s="467" t="str">
        <f t="shared" si="1"/>
        <v>SS</v>
      </c>
      <c r="AQ18" s="2" t="e">
        <f>VLOOKUP(總表!A24,DATA!$AB$3:$AC$829,2,0)</f>
        <v>#N/A</v>
      </c>
      <c r="AR18" s="2" t="e">
        <f>VLOOKUP(總表!A24,變電所別!$K$2:$L$41,2,1)</f>
        <v>#N/A</v>
      </c>
      <c r="AS18" s="2" t="e">
        <f>VLOOKUP(總表!B24,DATA!$AB$3:$AC$829,2,0)</f>
        <v>#N/A</v>
      </c>
      <c r="AT18" s="2" t="e">
        <f>VLOOKUP(總表!B24,變電所別!$K$2:$L$41,2,1)</f>
        <v>#N/A</v>
      </c>
      <c r="AU18" s="258" t="s">
        <v>2672</v>
      </c>
      <c r="AV18" s="1" t="s">
        <v>2673</v>
      </c>
      <c r="AW18" s="258" t="s">
        <v>2674</v>
      </c>
      <c r="BB18" s="514" t="s">
        <v>2056</v>
      </c>
      <c r="BC18" s="514">
        <v>8</v>
      </c>
      <c r="BD18" s="514">
        <v>2</v>
      </c>
      <c r="BE18" s="514">
        <v>10</v>
      </c>
      <c r="BG18" s="229" t="s">
        <v>8319</v>
      </c>
      <c r="BH18" s="230" t="s">
        <v>372</v>
      </c>
      <c r="BI18" t="s">
        <v>2059</v>
      </c>
      <c r="BJ18" t="s">
        <v>2054</v>
      </c>
    </row>
    <row r="19" spans="1:62" ht="21">
      <c r="A19" s="229" t="s">
        <v>5571</v>
      </c>
      <c r="B19" s="230" t="s">
        <v>5715</v>
      </c>
      <c r="C19" s="230" t="s">
        <v>5716</v>
      </c>
      <c r="D19" s="229" t="s">
        <v>5599</v>
      </c>
      <c r="E19" s="229" t="s">
        <v>5716</v>
      </c>
      <c r="F19" s="229" t="s">
        <v>5628</v>
      </c>
      <c r="G19" s="229" t="s">
        <v>5655</v>
      </c>
      <c r="H19" s="229" t="s">
        <v>5628</v>
      </c>
      <c r="I19" s="229" t="s">
        <v>5716</v>
      </c>
      <c r="J19" s="231" t="s">
        <v>5615</v>
      </c>
      <c r="K19" s="231" t="s">
        <v>5628</v>
      </c>
      <c r="L19" s="220" t="str">
        <f t="shared" si="5"/>
        <v>9A66</v>
      </c>
      <c r="M19" s="220" t="str">
        <f t="shared" si="6"/>
        <v/>
      </c>
      <c r="N19" s="220" t="str">
        <f t="shared" si="7"/>
        <v/>
      </c>
      <c r="O19" s="220" t="str">
        <f t="shared" si="8"/>
        <v/>
      </c>
      <c r="P19" s="52" t="str">
        <f t="shared" si="9"/>
        <v>9A66</v>
      </c>
      <c r="Q19" s="231" t="str">
        <f t="shared" si="10"/>
        <v>2</v>
      </c>
      <c r="R19" s="224">
        <f t="shared" si="11"/>
        <v>2</v>
      </c>
      <c r="S19" s="52">
        <f t="shared" si="12"/>
        <v>2</v>
      </c>
      <c r="T19" s="221">
        <f t="shared" ca="1" si="13"/>
        <v>0.08</v>
      </c>
      <c r="U19" s="221" t="str">
        <f t="shared" si="14"/>
        <v/>
      </c>
      <c r="V19" s="220" t="str">
        <f t="array" ref="V19">INDEX(P:P,MAX(U$3:U19))</f>
        <v>9A#3DTR</v>
      </c>
      <c r="W19" s="220" t="str">
        <f t="shared" ca="1" si="15"/>
        <v/>
      </c>
      <c r="X19" s="220">
        <f t="shared" si="16"/>
        <v>22.8</v>
      </c>
      <c r="Y19" s="220">
        <f t="shared" si="2"/>
        <v>0</v>
      </c>
      <c r="AA19" s="220" t="str">
        <f t="shared" si="3"/>
        <v>彰濱</v>
      </c>
      <c r="AB19" s="220" t="s">
        <v>2060</v>
      </c>
      <c r="AC19" s="220" t="str">
        <f>LEFT(B19,4)</f>
        <v>9A66</v>
      </c>
      <c r="AE19" t="s">
        <v>5717</v>
      </c>
      <c r="AF19" t="s">
        <v>5718</v>
      </c>
      <c r="AJ19" t="s">
        <v>5719</v>
      </c>
      <c r="AK19" t="s">
        <v>2037</v>
      </c>
      <c r="AM19" s="467" t="str">
        <f t="shared" si="4"/>
        <v>IE</v>
      </c>
      <c r="AN19" t="str">
        <f t="shared" si="0"/>
        <v>二林S/S</v>
      </c>
      <c r="AO19" s="467" t="str">
        <f t="shared" si="1"/>
        <v>SS</v>
      </c>
      <c r="AQ19" s="2" t="e">
        <f>VLOOKUP(總表!A25,DATA!$AB$3:$AC$829,2,0)</f>
        <v>#N/A</v>
      </c>
      <c r="AR19" s="2" t="e">
        <f>VLOOKUP(總表!A25,變電所別!$K$2:$L$41,2,1)</f>
        <v>#N/A</v>
      </c>
      <c r="AS19" s="2" t="e">
        <f>VLOOKUP(總表!B25,DATA!$AB$3:$AC$829,2,0)</f>
        <v>#N/A</v>
      </c>
      <c r="AT19" s="2" t="e">
        <f>VLOOKUP(總表!B25,變電所別!$K$2:$L$41,2,1)</f>
        <v>#N/A</v>
      </c>
      <c r="AU19" s="258" t="s">
        <v>2675</v>
      </c>
      <c r="AV19" s="1" t="s">
        <v>2676</v>
      </c>
      <c r="AW19" s="258" t="s">
        <v>2677</v>
      </c>
      <c r="BB19" s="514" t="s">
        <v>2057</v>
      </c>
      <c r="BC19" s="514">
        <v>33</v>
      </c>
      <c r="BD19" s="514">
        <v>6</v>
      </c>
      <c r="BE19" s="514">
        <v>39</v>
      </c>
      <c r="BG19" s="229" t="s">
        <v>4</v>
      </c>
      <c r="BH19" s="230" t="s">
        <v>8324</v>
      </c>
      <c r="BI19" t="s">
        <v>2060</v>
      </c>
      <c r="BJ19" t="s">
        <v>10133</v>
      </c>
    </row>
    <row r="20" spans="1:62" ht="21">
      <c r="A20" s="229" t="s">
        <v>5592</v>
      </c>
      <c r="B20" s="230" t="s">
        <v>5720</v>
      </c>
      <c r="C20" s="230" t="s">
        <v>5721</v>
      </c>
      <c r="D20" s="229" t="s">
        <v>5722</v>
      </c>
      <c r="E20" s="229" t="s">
        <v>5723</v>
      </c>
      <c r="F20" s="229" t="s">
        <v>5722</v>
      </c>
      <c r="G20" s="229" t="s">
        <v>5721</v>
      </c>
      <c r="H20" s="229" t="s">
        <v>5722</v>
      </c>
      <c r="I20" s="229" t="s">
        <v>5723</v>
      </c>
      <c r="J20" s="231" t="s">
        <v>5585</v>
      </c>
      <c r="K20" s="231" t="s">
        <v>5585</v>
      </c>
      <c r="L20" s="220" t="str">
        <f t="shared" si="5"/>
        <v>9A#4DTR(A)</v>
      </c>
      <c r="M20" s="220" t="str">
        <f t="shared" si="6"/>
        <v>(A)</v>
      </c>
      <c r="N20" s="220" t="str">
        <f t="shared" si="7"/>
        <v>9A#4DTR</v>
      </c>
      <c r="O20" s="220" t="str">
        <f t="shared" si="8"/>
        <v>(A)</v>
      </c>
      <c r="P20" s="52" t="str">
        <f t="shared" si="9"/>
        <v>9A#4DTR(A)</v>
      </c>
      <c r="Q20" s="231" t="str">
        <f t="shared" si="10"/>
        <v>259</v>
      </c>
      <c r="R20" s="224">
        <f t="shared" si="11"/>
        <v>257.66666666666669</v>
      </c>
      <c r="S20" s="52">
        <f t="shared" si="12"/>
        <v>257</v>
      </c>
      <c r="T20" s="221">
        <f t="shared" ca="1" si="13"/>
        <v>10.23</v>
      </c>
      <c r="U20" s="221">
        <f t="shared" si="14"/>
        <v>20</v>
      </c>
      <c r="V20" s="220" t="str">
        <f t="array" ref="V20">INDEX(P:P,MAX(U$3:U20))</f>
        <v>9A#4DTR(A)</v>
      </c>
      <c r="W20" s="220">
        <f t="shared" ca="1" si="15"/>
        <v>60</v>
      </c>
      <c r="X20" s="220" t="str">
        <f t="shared" si="16"/>
        <v/>
      </c>
      <c r="Y20" s="220">
        <f t="shared" si="2"/>
        <v>0</v>
      </c>
      <c r="AA20" s="220" t="str">
        <f t="shared" si="3"/>
        <v>彰濱</v>
      </c>
      <c r="AB20" s="220" t="s">
        <v>2061</v>
      </c>
      <c r="AC20" s="220" t="s">
        <v>5724</v>
      </c>
      <c r="AE20" t="s">
        <v>5725</v>
      </c>
      <c r="AF20" t="s">
        <v>5726</v>
      </c>
      <c r="AJ20" t="s">
        <v>1898</v>
      </c>
      <c r="AK20" t="s">
        <v>2037</v>
      </c>
      <c r="AM20" s="467" t="str">
        <f t="shared" si="4"/>
        <v>IF</v>
      </c>
      <c r="AN20" t="str">
        <f t="shared" si="0"/>
        <v>溪州S/S</v>
      </c>
      <c r="AO20" s="467" t="str">
        <f t="shared" si="1"/>
        <v>SS</v>
      </c>
      <c r="AQ20" s="2" t="e">
        <f>VLOOKUP(總表!A26,DATA!$AB$3:$AC$829,2,0)</f>
        <v>#N/A</v>
      </c>
      <c r="AR20" s="2" t="e">
        <f>VLOOKUP(總表!A26,變電所別!$K$2:$L$41,2,1)</f>
        <v>#N/A</v>
      </c>
      <c r="AS20" s="2" t="e">
        <f>VLOOKUP(總表!B26,DATA!$AB$3:$AC$829,2,0)</f>
        <v>#N/A</v>
      </c>
      <c r="AT20" s="2" t="e">
        <f>VLOOKUP(總表!B26,變電所別!$K$2:$L$41,2,1)</f>
        <v>#N/A</v>
      </c>
      <c r="AU20" s="258" t="s">
        <v>2678</v>
      </c>
      <c r="AV20" s="1" t="s">
        <v>2679</v>
      </c>
      <c r="AW20" s="258" t="s">
        <v>2680</v>
      </c>
      <c r="BB20" s="514" t="s">
        <v>2058</v>
      </c>
      <c r="BC20" s="514">
        <v>1</v>
      </c>
      <c r="BD20" s="514">
        <v>2</v>
      </c>
      <c r="BE20" s="514">
        <v>3</v>
      </c>
      <c r="BG20" s="229" t="s">
        <v>8319</v>
      </c>
      <c r="BH20" s="230" t="s">
        <v>373</v>
      </c>
      <c r="BI20" t="s">
        <v>2061</v>
      </c>
      <c r="BJ20" t="s">
        <v>10130</v>
      </c>
    </row>
    <row r="21" spans="1:62" ht="21">
      <c r="A21" s="229" t="s">
        <v>5577</v>
      </c>
      <c r="B21" s="230" t="s">
        <v>374</v>
      </c>
      <c r="C21" s="230" t="s">
        <v>1037</v>
      </c>
      <c r="D21" s="229" t="s">
        <v>5727</v>
      </c>
      <c r="E21" s="229" t="s">
        <v>5728</v>
      </c>
      <c r="F21" s="229" t="s">
        <v>797</v>
      </c>
      <c r="G21" s="229" t="s">
        <v>902</v>
      </c>
      <c r="H21" s="229" t="s">
        <v>5727</v>
      </c>
      <c r="I21" s="229" t="s">
        <v>863</v>
      </c>
      <c r="J21" s="231" t="s">
        <v>5729</v>
      </c>
      <c r="K21" s="231" t="s">
        <v>784</v>
      </c>
      <c r="L21" s="220" t="str">
        <f t="shared" si="5"/>
        <v>9A51</v>
      </c>
      <c r="M21" s="220" t="str">
        <f t="shared" si="6"/>
        <v/>
      </c>
      <c r="N21" s="220" t="str">
        <f t="shared" si="7"/>
        <v/>
      </c>
      <c r="O21" s="220" t="str">
        <f t="shared" si="8"/>
        <v/>
      </c>
      <c r="P21" s="52" t="str">
        <f t="shared" si="9"/>
        <v>9A51</v>
      </c>
      <c r="Q21" s="231" t="str">
        <f t="shared" si="10"/>
        <v>230</v>
      </c>
      <c r="R21" s="224">
        <f t="shared" si="11"/>
        <v>227.33333333333334</v>
      </c>
      <c r="S21" s="52">
        <f t="shared" si="12"/>
        <v>224</v>
      </c>
      <c r="T21" s="221">
        <f t="shared" ca="1" si="13"/>
        <v>9.08</v>
      </c>
      <c r="U21" s="221" t="str">
        <f t="shared" si="14"/>
        <v/>
      </c>
      <c r="V21" s="220" t="str">
        <f t="array" ref="V21">INDEX(P:P,MAX(U$3:U21))</f>
        <v>9A#4DTR(A)</v>
      </c>
      <c r="W21" s="220" t="str">
        <f t="shared" ca="1" si="15"/>
        <v/>
      </c>
      <c r="X21" s="220">
        <f t="shared" si="16"/>
        <v>22.8</v>
      </c>
      <c r="Y21" s="220">
        <f t="shared" si="2"/>
        <v>0</v>
      </c>
      <c r="AA21" s="220" t="str">
        <f t="shared" si="3"/>
        <v>彰濱</v>
      </c>
      <c r="AB21" s="220" t="s">
        <v>1989</v>
      </c>
      <c r="AC21" s="220" t="str">
        <f t="shared" ref="AC21:AC26" si="18">LEFT(B21,4)</f>
        <v>9A51</v>
      </c>
      <c r="AE21" t="s">
        <v>49</v>
      </c>
      <c r="AF21" t="s">
        <v>5730</v>
      </c>
      <c r="AJ21" t="s">
        <v>1899</v>
      </c>
      <c r="AK21" t="s">
        <v>2037</v>
      </c>
      <c r="AM21" s="467" t="str">
        <f t="shared" si="4"/>
        <v>IG</v>
      </c>
      <c r="AN21" t="str">
        <f t="shared" si="0"/>
        <v>田中D/S</v>
      </c>
      <c r="AO21" s="467" t="str">
        <f t="shared" si="1"/>
        <v>DS</v>
      </c>
      <c r="AQ21" s="2" t="e">
        <f>VLOOKUP(總表!A27,DATA!$AB$3:$AC$829,2,0)</f>
        <v>#N/A</v>
      </c>
      <c r="AR21" s="2" t="e">
        <f>VLOOKUP(總表!A27,變電所別!$K$2:$L$41,2,1)</f>
        <v>#N/A</v>
      </c>
      <c r="AS21" s="2" t="e">
        <f>VLOOKUP(總表!B27,DATA!$AB$3:$AC$829,2,0)</f>
        <v>#N/A</v>
      </c>
      <c r="AT21" s="2" t="e">
        <f>VLOOKUP(總表!B27,變電所別!$K$2:$L$41,2,1)</f>
        <v>#N/A</v>
      </c>
      <c r="AU21" s="258" t="s">
        <v>2681</v>
      </c>
      <c r="AV21" s="1" t="s">
        <v>2682</v>
      </c>
      <c r="AW21" s="258" t="s">
        <v>2683</v>
      </c>
      <c r="BB21" s="514" t="s">
        <v>3221</v>
      </c>
      <c r="BC21" s="514" t="s">
        <v>85</v>
      </c>
      <c r="BD21" s="514" t="s">
        <v>85</v>
      </c>
      <c r="BE21" s="514">
        <v>0</v>
      </c>
      <c r="BG21" s="229" t="s">
        <v>8323</v>
      </c>
      <c r="BH21" s="230" t="s">
        <v>8325</v>
      </c>
      <c r="BI21" t="s">
        <v>1989</v>
      </c>
      <c r="BJ21" t="s">
        <v>2061</v>
      </c>
    </row>
    <row r="22" spans="1:62" ht="21">
      <c r="A22" s="229" t="s">
        <v>5577</v>
      </c>
      <c r="B22" s="230" t="s">
        <v>5731</v>
      </c>
      <c r="C22" s="230" t="s">
        <v>5732</v>
      </c>
      <c r="D22" s="229" t="s">
        <v>5734</v>
      </c>
      <c r="E22" s="229" t="s">
        <v>5736</v>
      </c>
      <c r="F22" s="229" t="s">
        <v>5734</v>
      </c>
      <c r="G22" s="229" t="s">
        <v>5737</v>
      </c>
      <c r="H22" s="229" t="s">
        <v>5734</v>
      </c>
      <c r="I22" s="229" t="s">
        <v>5732</v>
      </c>
      <c r="J22" s="231" t="s">
        <v>5729</v>
      </c>
      <c r="K22" s="231" t="s">
        <v>5687</v>
      </c>
      <c r="L22" s="220" t="str">
        <f t="shared" si="5"/>
        <v>9A52</v>
      </c>
      <c r="M22" s="220" t="str">
        <f t="shared" si="6"/>
        <v/>
      </c>
      <c r="N22" s="220" t="str">
        <f t="shared" si="7"/>
        <v/>
      </c>
      <c r="O22" s="220" t="str">
        <f t="shared" si="8"/>
        <v/>
      </c>
      <c r="P22" s="52" t="str">
        <f t="shared" si="9"/>
        <v>9A52</v>
      </c>
      <c r="Q22" s="231" t="str">
        <f t="shared" si="10"/>
        <v>33</v>
      </c>
      <c r="R22" s="224">
        <f t="shared" si="11"/>
        <v>32.333333333333336</v>
      </c>
      <c r="S22" s="52">
        <f t="shared" si="12"/>
        <v>32</v>
      </c>
      <c r="T22" s="221">
        <f t="shared" ca="1" si="13"/>
        <v>1.3</v>
      </c>
      <c r="U22" s="221" t="str">
        <f t="shared" si="14"/>
        <v/>
      </c>
      <c r="V22" s="220" t="str">
        <f t="array" ref="V22">INDEX(P:P,MAX(U$3:U22))</f>
        <v>9A#4DTR(A)</v>
      </c>
      <c r="W22" s="220" t="str">
        <f t="shared" ca="1" si="15"/>
        <v/>
      </c>
      <c r="X22" s="220">
        <f t="shared" si="16"/>
        <v>22.8</v>
      </c>
      <c r="Y22" s="220">
        <f t="shared" si="2"/>
        <v>0</v>
      </c>
      <c r="AA22" s="220" t="str">
        <f t="shared" si="3"/>
        <v>彰濱</v>
      </c>
      <c r="AB22" s="220" t="s">
        <v>2062</v>
      </c>
      <c r="AC22" s="220" t="str">
        <f t="shared" si="18"/>
        <v>9A52</v>
      </c>
      <c r="AE22" t="s">
        <v>5738</v>
      </c>
      <c r="AF22" t="s">
        <v>5739</v>
      </c>
      <c r="AJ22" t="s">
        <v>5740</v>
      </c>
      <c r="AK22" t="s">
        <v>2037</v>
      </c>
      <c r="AM22" s="467" t="str">
        <f t="shared" si="4"/>
        <v>IH</v>
      </c>
      <c r="AN22" t="str">
        <f t="shared" si="0"/>
        <v>彰西S/S</v>
      </c>
      <c r="AO22" s="467" t="str">
        <f t="shared" si="1"/>
        <v>SS</v>
      </c>
      <c r="AQ22" s="2" t="e">
        <f>VLOOKUP(總表!A28,DATA!$AB$3:$AC$829,2,0)</f>
        <v>#N/A</v>
      </c>
      <c r="AR22" s="2" t="e">
        <f>VLOOKUP(總表!A28,變電所別!$K$2:$L$41,2,1)</f>
        <v>#N/A</v>
      </c>
      <c r="AS22" s="2" t="e">
        <f>VLOOKUP(總表!B28,DATA!$AB$3:$AC$829,2,0)</f>
        <v>#N/A</v>
      </c>
      <c r="AT22" s="2" t="e">
        <f>VLOOKUP(總表!B28,變電所別!$K$2:$L$41,2,1)</f>
        <v>#N/A</v>
      </c>
      <c r="AU22" s="258" t="s">
        <v>2684</v>
      </c>
      <c r="AV22" s="1" t="s">
        <v>2685</v>
      </c>
      <c r="AW22" s="258" t="s">
        <v>2686</v>
      </c>
      <c r="BB22" s="514" t="s">
        <v>2067</v>
      </c>
      <c r="BC22" s="514" t="s">
        <v>85</v>
      </c>
      <c r="BD22" s="514" t="s">
        <v>85</v>
      </c>
      <c r="BE22" s="514">
        <v>0</v>
      </c>
      <c r="BG22" s="229" t="s">
        <v>8323</v>
      </c>
      <c r="BH22" s="230" t="s">
        <v>8326</v>
      </c>
      <c r="BI22" t="s">
        <v>2062</v>
      </c>
      <c r="BJ22" t="s">
        <v>2061</v>
      </c>
    </row>
    <row r="23" spans="1:62" ht="21">
      <c r="A23" s="229" t="s">
        <v>5577</v>
      </c>
      <c r="B23" s="230" t="s">
        <v>5741</v>
      </c>
      <c r="C23" s="230" t="s">
        <v>5742</v>
      </c>
      <c r="D23" s="229" t="s">
        <v>5743</v>
      </c>
      <c r="E23" s="229" t="s">
        <v>5744</v>
      </c>
      <c r="F23" s="229" t="s">
        <v>5743</v>
      </c>
      <c r="G23" s="229" t="s">
        <v>5745</v>
      </c>
      <c r="H23" s="229" t="s">
        <v>5743</v>
      </c>
      <c r="I23" s="229" t="s">
        <v>5746</v>
      </c>
      <c r="J23" s="231" t="s">
        <v>5699</v>
      </c>
      <c r="K23" s="231" t="s">
        <v>5687</v>
      </c>
      <c r="L23" s="220" t="str">
        <f t="shared" si="5"/>
        <v>9A53</v>
      </c>
      <c r="M23" s="220" t="str">
        <f t="shared" si="6"/>
        <v/>
      </c>
      <c r="N23" s="220" t="str">
        <f t="shared" si="7"/>
        <v/>
      </c>
      <c r="O23" s="220" t="str">
        <f t="shared" si="8"/>
        <v/>
      </c>
      <c r="P23" s="52" t="str">
        <f t="shared" si="9"/>
        <v>9A53</v>
      </c>
      <c r="Q23" s="231" t="str">
        <f t="shared" si="10"/>
        <v>21</v>
      </c>
      <c r="R23" s="224">
        <f t="shared" si="11"/>
        <v>20</v>
      </c>
      <c r="S23" s="52">
        <f t="shared" si="12"/>
        <v>19</v>
      </c>
      <c r="T23" s="221">
        <f t="shared" ca="1" si="13"/>
        <v>0.83</v>
      </c>
      <c r="U23" s="221" t="str">
        <f t="shared" si="14"/>
        <v/>
      </c>
      <c r="V23" s="220" t="str">
        <f t="array" ref="V23">INDEX(P:P,MAX(U$3:U23))</f>
        <v>9A#4DTR(A)</v>
      </c>
      <c r="W23" s="220" t="str">
        <f t="shared" ca="1" si="15"/>
        <v/>
      </c>
      <c r="X23" s="220">
        <f t="shared" si="16"/>
        <v>22.8</v>
      </c>
      <c r="Y23" s="220">
        <f t="shared" si="2"/>
        <v>0</v>
      </c>
      <c r="AA23" s="220" t="str">
        <f t="shared" si="3"/>
        <v>彰濱</v>
      </c>
      <c r="AB23" s="220" t="s">
        <v>2063</v>
      </c>
      <c r="AC23" s="220" t="str">
        <f t="shared" si="18"/>
        <v>9A53</v>
      </c>
      <c r="AE23" t="s">
        <v>5747</v>
      </c>
      <c r="AF23" t="s">
        <v>5748</v>
      </c>
      <c r="AJ23" t="s">
        <v>5749</v>
      </c>
      <c r="AK23" t="s">
        <v>2037</v>
      </c>
      <c r="AM23" s="467" t="str">
        <f t="shared" si="4"/>
        <v>II</v>
      </c>
      <c r="AN23" t="str">
        <f t="shared" si="0"/>
        <v>彰南S/S</v>
      </c>
      <c r="AO23" s="467" t="str">
        <f t="shared" si="1"/>
        <v>SS</v>
      </c>
      <c r="AQ23" s="2" t="e">
        <f>VLOOKUP(總表!A29,DATA!$AB$3:$AC$829,2,0)</f>
        <v>#N/A</v>
      </c>
      <c r="AR23" s="2" t="e">
        <f>VLOOKUP(總表!A29,變電所別!$K$2:$L$41,2,1)</f>
        <v>#N/A</v>
      </c>
      <c r="AS23" s="2" t="e">
        <f>VLOOKUP(總表!B29,DATA!$AB$3:$AC$829,2,0)</f>
        <v>#N/A</v>
      </c>
      <c r="AT23" s="2" t="e">
        <f>VLOOKUP(總表!B29,變電所別!$K$2:$L$41,2,1)</f>
        <v>#N/A</v>
      </c>
      <c r="AU23" s="258" t="s">
        <v>2687</v>
      </c>
      <c r="AV23" s="1" t="s">
        <v>2688</v>
      </c>
      <c r="AW23" s="258" t="s">
        <v>2689</v>
      </c>
      <c r="BB23" s="514" t="s">
        <v>1210</v>
      </c>
      <c r="BC23" s="514">
        <v>9</v>
      </c>
      <c r="BD23" s="514">
        <v>9</v>
      </c>
      <c r="BE23" s="514">
        <v>18</v>
      </c>
      <c r="BG23" s="229" t="s">
        <v>8319</v>
      </c>
      <c r="BH23" s="230" t="s">
        <v>375</v>
      </c>
      <c r="BI23" t="s">
        <v>2063</v>
      </c>
      <c r="BJ23" t="s">
        <v>2061</v>
      </c>
    </row>
    <row r="24" spans="1:62" ht="21">
      <c r="A24" s="229" t="s">
        <v>5577</v>
      </c>
      <c r="B24" s="230" t="s">
        <v>5750</v>
      </c>
      <c r="C24" s="230" t="s">
        <v>5729</v>
      </c>
      <c r="D24" s="229" t="s">
        <v>5687</v>
      </c>
      <c r="E24" s="229" t="s">
        <v>5729</v>
      </c>
      <c r="F24" s="229" t="s">
        <v>5628</v>
      </c>
      <c r="G24" s="229" t="s">
        <v>5729</v>
      </c>
      <c r="H24" s="229" t="s">
        <v>5628</v>
      </c>
      <c r="I24" s="229" t="s">
        <v>5699</v>
      </c>
      <c r="J24" s="231" t="s">
        <v>5729</v>
      </c>
      <c r="K24" s="231" t="s">
        <v>5628</v>
      </c>
      <c r="L24" s="220" t="str">
        <f t="shared" si="5"/>
        <v>9A54</v>
      </c>
      <c r="M24" s="220" t="str">
        <f t="shared" si="6"/>
        <v/>
      </c>
      <c r="N24" s="220" t="str">
        <f t="shared" si="7"/>
        <v/>
      </c>
      <c r="O24" s="220" t="str">
        <f t="shared" si="8"/>
        <v/>
      </c>
      <c r="P24" s="52" t="str">
        <f t="shared" si="9"/>
        <v>9A54</v>
      </c>
      <c r="Q24" s="231" t="str">
        <f t="shared" si="10"/>
        <v>0</v>
      </c>
      <c r="R24" s="224">
        <f t="shared" si="11"/>
        <v>0</v>
      </c>
      <c r="S24" s="52">
        <f t="shared" si="12"/>
        <v>0</v>
      </c>
      <c r="T24" s="221">
        <f t="shared" ca="1" si="13"/>
        <v>0</v>
      </c>
      <c r="U24" s="221" t="str">
        <f t="shared" si="14"/>
        <v/>
      </c>
      <c r="V24" s="220" t="str">
        <f t="array" ref="V24">INDEX(P:P,MAX(U$3:U24))</f>
        <v>9A#4DTR(A)</v>
      </c>
      <c r="W24" s="220" t="str">
        <f t="shared" ca="1" si="15"/>
        <v/>
      </c>
      <c r="X24" s="220">
        <f t="shared" si="16"/>
        <v>22.8</v>
      </c>
      <c r="Y24" s="220">
        <f t="shared" si="2"/>
        <v>0</v>
      </c>
      <c r="AA24" s="220" t="str">
        <f t="shared" si="3"/>
        <v>彰濱</v>
      </c>
      <c r="AB24" s="220" t="s">
        <v>2064</v>
      </c>
      <c r="AC24" s="220" t="str">
        <f t="shared" si="18"/>
        <v>9A54</v>
      </c>
      <c r="AE24" t="s">
        <v>5751</v>
      </c>
      <c r="AF24" t="s">
        <v>5752</v>
      </c>
      <c r="AJ24" t="s">
        <v>5753</v>
      </c>
      <c r="AK24" t="s">
        <v>2037</v>
      </c>
      <c r="AM24" s="467" t="str">
        <f t="shared" si="4"/>
        <v>IJ</v>
      </c>
      <c r="AN24" t="str">
        <f t="shared" si="0"/>
        <v>和美S/S</v>
      </c>
      <c r="AO24" s="467" t="str">
        <f t="shared" si="1"/>
        <v>SS</v>
      </c>
      <c r="AQ24" s="2" t="e">
        <f>VLOOKUP(總表!A30,DATA!$AB$3:$AC$829,2,0)</f>
        <v>#N/A</v>
      </c>
      <c r="AR24" s="2" t="e">
        <f>VLOOKUP(總表!A30,變電所別!$K$2:$L$41,2,1)</f>
        <v>#N/A</v>
      </c>
      <c r="AS24" s="2" t="e">
        <f>VLOOKUP(總表!B30,DATA!$AB$3:$AC$829,2,0)</f>
        <v>#N/A</v>
      </c>
      <c r="AT24" s="2" t="e">
        <f>VLOOKUP(總表!B30,變電所別!$K$2:$L$41,2,1)</f>
        <v>#N/A</v>
      </c>
      <c r="AU24" s="258" t="s">
        <v>2690</v>
      </c>
      <c r="AV24" s="1" t="s">
        <v>2691</v>
      </c>
      <c r="AW24" s="258" t="s">
        <v>2692</v>
      </c>
      <c r="BB24" s="514" t="s">
        <v>1227</v>
      </c>
      <c r="BC24" s="514">
        <v>49</v>
      </c>
      <c r="BD24" s="514">
        <v>12</v>
      </c>
      <c r="BE24" s="514">
        <v>61</v>
      </c>
      <c r="BG24" s="229" t="s">
        <v>8319</v>
      </c>
      <c r="BH24" s="230" t="s">
        <v>376</v>
      </c>
      <c r="BI24" t="s">
        <v>2064</v>
      </c>
      <c r="BJ24" t="s">
        <v>2061</v>
      </c>
    </row>
    <row r="25" spans="1:62" ht="21">
      <c r="A25" s="229" t="s">
        <v>5608</v>
      </c>
      <c r="B25" s="230" t="s">
        <v>5754</v>
      </c>
      <c r="C25" s="230" t="s">
        <v>5755</v>
      </c>
      <c r="D25" s="229" t="s">
        <v>5595</v>
      </c>
      <c r="E25" s="229" t="s">
        <v>5755</v>
      </c>
      <c r="F25" s="229" t="s">
        <v>5616</v>
      </c>
      <c r="G25" s="229" t="s">
        <v>5755</v>
      </c>
      <c r="H25" s="229" t="s">
        <v>5628</v>
      </c>
      <c r="I25" s="229" t="s">
        <v>5755</v>
      </c>
      <c r="J25" s="231" t="s">
        <v>5755</v>
      </c>
      <c r="K25" s="231" t="s">
        <v>5616</v>
      </c>
      <c r="L25" s="220" t="str">
        <f t="shared" si="5"/>
        <v>9A55</v>
      </c>
      <c r="M25" s="220" t="str">
        <f t="shared" si="6"/>
        <v/>
      </c>
      <c r="N25" s="220" t="str">
        <f t="shared" si="7"/>
        <v/>
      </c>
      <c r="O25" s="220" t="str">
        <f t="shared" si="8"/>
        <v/>
      </c>
      <c r="P25" s="52" t="str">
        <f t="shared" si="9"/>
        <v>9A55</v>
      </c>
      <c r="Q25" s="231" t="str">
        <f t="shared" si="10"/>
        <v>0</v>
      </c>
      <c r="R25" s="224">
        <f t="shared" si="11"/>
        <v>0</v>
      </c>
      <c r="S25" s="52">
        <f t="shared" si="12"/>
        <v>0</v>
      </c>
      <c r="T25" s="221">
        <f t="shared" ca="1" si="13"/>
        <v>0</v>
      </c>
      <c r="U25" s="221" t="str">
        <f t="shared" si="14"/>
        <v/>
      </c>
      <c r="V25" s="220" t="str">
        <f t="array" ref="V25">INDEX(P:P,MAX(U$3:U25))</f>
        <v>9A#4DTR(A)</v>
      </c>
      <c r="W25" s="220" t="str">
        <f t="shared" ca="1" si="15"/>
        <v/>
      </c>
      <c r="X25" s="220">
        <f t="shared" si="16"/>
        <v>22.8</v>
      </c>
      <c r="Y25" s="220">
        <f t="shared" si="2"/>
        <v>0</v>
      </c>
      <c r="AA25" s="220" t="str">
        <f t="shared" si="3"/>
        <v>彰濱</v>
      </c>
      <c r="AB25" s="220" t="s">
        <v>2065</v>
      </c>
      <c r="AC25" s="220" t="str">
        <f t="shared" si="18"/>
        <v>9A55</v>
      </c>
      <c r="AE25" t="s">
        <v>5756</v>
      </c>
      <c r="AF25" t="s">
        <v>5757</v>
      </c>
      <c r="AJ25" t="s">
        <v>1972</v>
      </c>
      <c r="AK25" t="s">
        <v>2037</v>
      </c>
      <c r="AM25" s="467" t="str">
        <f t="shared" si="4"/>
        <v>IK</v>
      </c>
      <c r="AN25" t="str">
        <f t="shared" si="0"/>
        <v>彰化D/S</v>
      </c>
      <c r="AO25" s="467" t="str">
        <f t="shared" si="1"/>
        <v>DS</v>
      </c>
      <c r="AQ25" s="2" t="e">
        <f>VLOOKUP(總表!A31,DATA!$AB$3:$AC$829,2,0)</f>
        <v>#N/A</v>
      </c>
      <c r="AR25" s="2" t="e">
        <f>VLOOKUP(總表!A31,變電所別!$K$2:$L$41,2,1)</f>
        <v>#N/A</v>
      </c>
      <c r="AS25" s="2" t="e">
        <f>VLOOKUP(總表!B31,DATA!$AB$3:$AC$829,2,0)</f>
        <v>#N/A</v>
      </c>
      <c r="AT25" s="2" t="e">
        <f>VLOOKUP(總表!B31,變電所別!$K$2:$L$41,2,1)</f>
        <v>#N/A</v>
      </c>
      <c r="AU25" s="258" t="s">
        <v>2693</v>
      </c>
      <c r="AV25" s="1" t="s">
        <v>2694</v>
      </c>
      <c r="AW25" s="258" t="s">
        <v>2695</v>
      </c>
      <c r="BB25" s="514" t="s">
        <v>1264</v>
      </c>
      <c r="BC25" s="514">
        <v>14</v>
      </c>
      <c r="BD25" s="514">
        <v>9</v>
      </c>
      <c r="BE25" s="514">
        <v>23</v>
      </c>
      <c r="BG25" s="229" t="s">
        <v>8319</v>
      </c>
      <c r="BH25" s="230" t="s">
        <v>8327</v>
      </c>
      <c r="BI25" t="s">
        <v>2065</v>
      </c>
      <c r="BJ25" t="s">
        <v>2061</v>
      </c>
    </row>
    <row r="26" spans="1:62" ht="21">
      <c r="A26" s="229" t="s">
        <v>5703</v>
      </c>
      <c r="B26" s="230" t="s">
        <v>5758</v>
      </c>
      <c r="C26" s="230" t="s">
        <v>5755</v>
      </c>
      <c r="D26" s="229" t="s">
        <v>5616</v>
      </c>
      <c r="E26" s="229" t="s">
        <v>5699</v>
      </c>
      <c r="F26" s="229" t="s">
        <v>5628</v>
      </c>
      <c r="G26" s="229" t="s">
        <v>5755</v>
      </c>
      <c r="H26" s="229" t="s">
        <v>5628</v>
      </c>
      <c r="I26" s="229" t="s">
        <v>5699</v>
      </c>
      <c r="J26" s="231" t="s">
        <v>5699</v>
      </c>
      <c r="K26" s="231" t="s">
        <v>5628</v>
      </c>
      <c r="L26" s="220" t="str">
        <f t="shared" si="5"/>
        <v>9A56</v>
      </c>
      <c r="M26" s="220" t="str">
        <f t="shared" si="6"/>
        <v/>
      </c>
      <c r="N26" s="220" t="str">
        <f t="shared" si="7"/>
        <v/>
      </c>
      <c r="O26" s="220" t="str">
        <f t="shared" si="8"/>
        <v/>
      </c>
      <c r="P26" s="52" t="str">
        <f t="shared" si="9"/>
        <v>9A56</v>
      </c>
      <c r="Q26" s="231" t="str">
        <f t="shared" si="10"/>
        <v>0</v>
      </c>
      <c r="R26" s="224">
        <f t="shared" si="11"/>
        <v>0</v>
      </c>
      <c r="S26" s="52">
        <f t="shared" si="12"/>
        <v>0</v>
      </c>
      <c r="T26" s="221">
        <f t="shared" ca="1" si="13"/>
        <v>0</v>
      </c>
      <c r="U26" s="221" t="str">
        <f t="shared" si="14"/>
        <v/>
      </c>
      <c r="V26" s="220" t="str">
        <f t="array" ref="V26">INDEX(P:P,MAX(U$3:U26))</f>
        <v>9A#4DTR(A)</v>
      </c>
      <c r="W26" s="220" t="str">
        <f t="shared" ca="1" si="15"/>
        <v/>
      </c>
      <c r="X26" s="220">
        <f t="shared" si="16"/>
        <v>22.8</v>
      </c>
      <c r="Y26" s="220">
        <f t="shared" si="2"/>
        <v>0</v>
      </c>
      <c r="AA26" s="220" t="str">
        <f t="shared" si="3"/>
        <v>彰濱</v>
      </c>
      <c r="AB26" s="220" t="s">
        <v>1991</v>
      </c>
      <c r="AC26" s="220" t="str">
        <f t="shared" si="18"/>
        <v>9A56</v>
      </c>
      <c r="AE26" t="s">
        <v>5759</v>
      </c>
      <c r="AF26" t="s">
        <v>5760</v>
      </c>
      <c r="AJ26" t="s">
        <v>5761</v>
      </c>
      <c r="AK26" t="s">
        <v>2037</v>
      </c>
      <c r="AM26" s="467" t="str">
        <f t="shared" si="4"/>
        <v>IK</v>
      </c>
      <c r="AN26" t="str">
        <f t="shared" si="0"/>
        <v>彰化P/S</v>
      </c>
      <c r="AO26" s="467" t="str">
        <f t="shared" si="1"/>
        <v>PS</v>
      </c>
      <c r="AQ26" s="2" t="e">
        <f>VLOOKUP(總表!A32,DATA!$AB$3:$AC$829,2,0)</f>
        <v>#N/A</v>
      </c>
      <c r="AR26" s="2" t="e">
        <f>VLOOKUP(總表!A32,變電所別!$K$2:$L$41,2,1)</f>
        <v>#N/A</v>
      </c>
      <c r="AS26" s="2" t="e">
        <f>VLOOKUP(總表!B32,DATA!$AB$3:$AC$829,2,0)</f>
        <v>#N/A</v>
      </c>
      <c r="AT26" s="2" t="e">
        <f>VLOOKUP(總表!B32,變電所別!$K$2:$L$41,2,1)</f>
        <v>#N/A</v>
      </c>
      <c r="AU26" s="258" t="s">
        <v>2696</v>
      </c>
      <c r="AV26" s="1" t="s">
        <v>2697</v>
      </c>
      <c r="AW26" s="258" t="s">
        <v>2698</v>
      </c>
      <c r="BB26" s="514" t="s">
        <v>1283</v>
      </c>
      <c r="BC26" s="514">
        <v>13</v>
      </c>
      <c r="BD26" s="514">
        <v>5</v>
      </c>
      <c r="BE26" s="514">
        <v>18</v>
      </c>
      <c r="BG26" s="229" t="s">
        <v>8319</v>
      </c>
      <c r="BH26" s="230" t="s">
        <v>8328</v>
      </c>
      <c r="BI26" t="s">
        <v>1991</v>
      </c>
      <c r="BJ26" t="s">
        <v>2061</v>
      </c>
    </row>
    <row r="27" spans="1:62" ht="21">
      <c r="A27" s="229" t="s">
        <v>5703</v>
      </c>
      <c r="B27" s="230" t="s">
        <v>5762</v>
      </c>
      <c r="C27" s="230" t="s">
        <v>5763</v>
      </c>
      <c r="D27" s="229" t="s">
        <v>5764</v>
      </c>
      <c r="E27" s="229" t="s">
        <v>5765</v>
      </c>
      <c r="F27" s="229" t="s">
        <v>5766</v>
      </c>
      <c r="G27" s="229" t="s">
        <v>5767</v>
      </c>
      <c r="H27" s="229" t="s">
        <v>5764</v>
      </c>
      <c r="I27" s="229" t="s">
        <v>5768</v>
      </c>
      <c r="J27" s="231" t="s">
        <v>5585</v>
      </c>
      <c r="K27" s="231" t="s">
        <v>5585</v>
      </c>
      <c r="L27" s="220" t="str">
        <f t="shared" si="5"/>
        <v>9A#4DTR(B)</v>
      </c>
      <c r="M27" s="220" t="str">
        <f t="shared" si="6"/>
        <v>(B)</v>
      </c>
      <c r="N27" s="220" t="str">
        <f t="shared" si="7"/>
        <v>9A#4DTR</v>
      </c>
      <c r="O27" s="220" t="str">
        <f t="shared" si="8"/>
        <v>(B)</v>
      </c>
      <c r="P27" s="52" t="str">
        <f t="shared" si="9"/>
        <v>9A#4DTR(B)</v>
      </c>
      <c r="Q27" s="231" t="str">
        <f t="shared" si="10"/>
        <v>201</v>
      </c>
      <c r="R27" s="224">
        <f t="shared" si="11"/>
        <v>198.66666666666666</v>
      </c>
      <c r="S27" s="52">
        <f t="shared" si="12"/>
        <v>196</v>
      </c>
      <c r="T27" s="221" t="e">
        <f t="shared" ca="1" si="13"/>
        <v>#VALUE!</v>
      </c>
      <c r="U27" s="221">
        <f t="shared" si="14"/>
        <v>27</v>
      </c>
      <c r="V27" s="220" t="str">
        <f t="array" ref="V27">INDEX(P:P,MAX(U$3:U27))</f>
        <v>9A#4DTR(B)</v>
      </c>
      <c r="W27" s="220" t="e">
        <f t="shared" ca="1" si="15"/>
        <v>#VALUE!</v>
      </c>
      <c r="X27" s="220" t="str">
        <f t="shared" si="16"/>
        <v/>
      </c>
      <c r="Y27" s="220">
        <f t="shared" si="2"/>
        <v>0</v>
      </c>
      <c r="AA27" s="220" t="str">
        <f t="shared" si="3"/>
        <v>彰濱</v>
      </c>
      <c r="AB27" s="220" t="s">
        <v>2066</v>
      </c>
      <c r="AC27" s="220" t="s">
        <v>5769</v>
      </c>
      <c r="AE27" t="s">
        <v>5770</v>
      </c>
      <c r="AF27" t="s">
        <v>5771</v>
      </c>
      <c r="AJ27" t="s">
        <v>5772</v>
      </c>
      <c r="AK27" t="s">
        <v>2037</v>
      </c>
      <c r="AM27" s="467" t="str">
        <f t="shared" si="4"/>
        <v>IL</v>
      </c>
      <c r="AN27" t="str">
        <f t="shared" si="0"/>
        <v>員南S/S</v>
      </c>
      <c r="AO27" s="467" t="str">
        <f t="shared" si="1"/>
        <v>SS</v>
      </c>
      <c r="AQ27" s="2" t="e">
        <f>VLOOKUP(總表!A33,DATA!$AB$3:$AC$829,2,0)</f>
        <v>#N/A</v>
      </c>
      <c r="AR27" s="2" t="e">
        <f>VLOOKUP(總表!A33,變電所別!$K$2:$L$41,2,1)</f>
        <v>#N/A</v>
      </c>
      <c r="AS27" s="2" t="e">
        <f>VLOOKUP(總表!B33,DATA!$AB$3:$AC$829,2,0)</f>
        <v>#N/A</v>
      </c>
      <c r="AT27" s="2" t="e">
        <f>VLOOKUP(總表!B33,變電所別!$K$2:$L$41,2,1)</f>
        <v>#N/A</v>
      </c>
      <c r="AU27" s="258" t="s">
        <v>2699</v>
      </c>
      <c r="AV27" s="1" t="s">
        <v>2700</v>
      </c>
      <c r="AW27" s="258" t="s">
        <v>2701</v>
      </c>
      <c r="BB27" s="514" t="s">
        <v>1331</v>
      </c>
      <c r="BC27" s="514">
        <v>9</v>
      </c>
      <c r="BD27" s="514">
        <v>11</v>
      </c>
      <c r="BE27" s="514">
        <v>20</v>
      </c>
      <c r="BG27" s="229" t="s">
        <v>8319</v>
      </c>
      <c r="BH27" s="230" t="s">
        <v>377</v>
      </c>
      <c r="BI27" t="s">
        <v>2066</v>
      </c>
      <c r="BJ27" t="s">
        <v>2066</v>
      </c>
    </row>
    <row r="28" spans="1:62" ht="21">
      <c r="A28" s="229" t="s">
        <v>5608</v>
      </c>
      <c r="B28" s="230" t="s">
        <v>5773</v>
      </c>
      <c r="C28" s="230" t="s">
        <v>5774</v>
      </c>
      <c r="D28" s="229" t="s">
        <v>5775</v>
      </c>
      <c r="E28" s="229" t="s">
        <v>5776</v>
      </c>
      <c r="F28" s="229" t="s">
        <v>5777</v>
      </c>
      <c r="G28" s="229" t="s">
        <v>5778</v>
      </c>
      <c r="H28" s="229" t="s">
        <v>5777</v>
      </c>
      <c r="I28" s="229" t="s">
        <v>5776</v>
      </c>
      <c r="J28" s="231" t="s">
        <v>5699</v>
      </c>
      <c r="K28" s="231" t="s">
        <v>5616</v>
      </c>
      <c r="L28" s="220" t="str">
        <f t="shared" si="5"/>
        <v>9AE0</v>
      </c>
      <c r="M28" s="220" t="str">
        <f t="shared" si="6"/>
        <v/>
      </c>
      <c r="N28" s="220" t="str">
        <f t="shared" si="7"/>
        <v/>
      </c>
      <c r="O28" s="220" t="str">
        <f t="shared" si="8"/>
        <v/>
      </c>
      <c r="P28" s="52" t="str">
        <f t="shared" si="9"/>
        <v>9AE0</v>
      </c>
      <c r="Q28" s="231" t="str">
        <f t="shared" si="10"/>
        <v>144</v>
      </c>
      <c r="R28" s="224">
        <f t="shared" si="11"/>
        <v>143.33333333333334</v>
      </c>
      <c r="S28" s="52">
        <f t="shared" si="12"/>
        <v>143</v>
      </c>
      <c r="T28" s="221" t="e">
        <f t="shared" ca="1" si="13"/>
        <v>#VALUE!</v>
      </c>
      <c r="U28" s="221" t="str">
        <f t="shared" si="14"/>
        <v/>
      </c>
      <c r="V28" s="220" t="str">
        <f t="array" ref="V28">INDEX(P:P,MAX(U$3:U28))</f>
        <v>9A#4DTR(B)</v>
      </c>
      <c r="W28" s="220" t="str">
        <f t="shared" ca="1" si="15"/>
        <v/>
      </c>
      <c r="X28" s="220" t="e">
        <f t="shared" si="16"/>
        <v>#VALUE!</v>
      </c>
      <c r="Y28" s="220">
        <f t="shared" si="2"/>
        <v>0</v>
      </c>
      <c r="AA28" s="220" t="str">
        <f t="shared" si="3"/>
        <v>彰濱</v>
      </c>
      <c r="AB28" s="220" t="s">
        <v>2067</v>
      </c>
      <c r="AC28" s="220" t="str">
        <f t="shared" ref="AC28:AC33" si="19">LEFT(B28,4)</f>
        <v>9AE0</v>
      </c>
      <c r="AE28" t="s">
        <v>5779</v>
      </c>
      <c r="AF28" t="s">
        <v>5780</v>
      </c>
      <c r="AJ28" t="s">
        <v>5781</v>
      </c>
      <c r="AK28" t="s">
        <v>2037</v>
      </c>
      <c r="AM28" s="467" t="str">
        <f t="shared" si="4"/>
        <v>IM</v>
      </c>
      <c r="AN28" t="str">
        <f t="shared" si="0"/>
        <v>大竹S/S</v>
      </c>
      <c r="AO28" s="467" t="str">
        <f t="shared" si="1"/>
        <v>SS</v>
      </c>
      <c r="AQ28" s="2" t="e">
        <f>VLOOKUP(總表!A34,DATA!$AB$3:$AC$829,2,0)</f>
        <v>#N/A</v>
      </c>
      <c r="AR28" s="2" t="e">
        <f>VLOOKUP(總表!A34,變電所別!$K$2:$L$41,2,1)</f>
        <v>#N/A</v>
      </c>
      <c r="AS28" s="2" t="e">
        <f>VLOOKUP(總表!B34,DATA!$AB$3:$AC$829,2,0)</f>
        <v>#N/A</v>
      </c>
      <c r="AT28" s="2" t="e">
        <f>VLOOKUP(總表!B34,變電所別!$K$2:$L$41,2,1)</f>
        <v>#N/A</v>
      </c>
      <c r="AU28" s="258" t="s">
        <v>2702</v>
      </c>
      <c r="AV28" s="1" t="s">
        <v>2703</v>
      </c>
      <c r="AW28" s="258" t="s">
        <v>2704</v>
      </c>
      <c r="BB28" s="514" t="s">
        <v>1451</v>
      </c>
      <c r="BC28" s="514">
        <v>4</v>
      </c>
      <c r="BD28" s="514">
        <v>2</v>
      </c>
      <c r="BE28" s="514">
        <v>6</v>
      </c>
      <c r="BG28" s="229" t="s">
        <v>8319</v>
      </c>
      <c r="BH28" s="230" t="s">
        <v>8329</v>
      </c>
      <c r="BI28" t="s">
        <v>2067</v>
      </c>
      <c r="BJ28" t="s">
        <v>2066</v>
      </c>
    </row>
    <row r="29" spans="1:62" ht="21">
      <c r="A29" s="229" t="s">
        <v>5571</v>
      </c>
      <c r="B29" s="230" t="s">
        <v>5782</v>
      </c>
      <c r="C29" s="230" t="s">
        <v>5755</v>
      </c>
      <c r="D29" s="229" t="s">
        <v>5616</v>
      </c>
      <c r="E29" s="229" t="s">
        <v>5699</v>
      </c>
      <c r="F29" s="229" t="s">
        <v>5616</v>
      </c>
      <c r="G29" s="229" t="s">
        <v>5699</v>
      </c>
      <c r="H29" s="229" t="s">
        <v>5595</v>
      </c>
      <c r="I29" s="229" t="s">
        <v>5699</v>
      </c>
      <c r="J29" s="231" t="s">
        <v>5755</v>
      </c>
      <c r="K29" s="231" t="s">
        <v>5628</v>
      </c>
      <c r="L29" s="220" t="str">
        <f t="shared" si="5"/>
        <v>9A68</v>
      </c>
      <c r="M29" s="220" t="str">
        <f t="shared" si="6"/>
        <v/>
      </c>
      <c r="N29" s="220" t="str">
        <f t="shared" si="7"/>
        <v/>
      </c>
      <c r="O29" s="220" t="str">
        <f t="shared" si="8"/>
        <v/>
      </c>
      <c r="P29" s="52" t="str">
        <f t="shared" si="9"/>
        <v>9A68</v>
      </c>
      <c r="Q29" s="231" t="str">
        <f t="shared" si="10"/>
        <v>0</v>
      </c>
      <c r="R29" s="224">
        <f t="shared" si="11"/>
        <v>0</v>
      </c>
      <c r="S29" s="52">
        <f t="shared" si="12"/>
        <v>0</v>
      </c>
      <c r="T29" s="221">
        <f t="shared" ca="1" si="13"/>
        <v>0</v>
      </c>
      <c r="U29" s="221" t="str">
        <f t="shared" si="14"/>
        <v/>
      </c>
      <c r="V29" s="220" t="str">
        <f t="array" ref="V29">INDEX(P:P,MAX(U$3:U29))</f>
        <v>9A#4DTR(B)</v>
      </c>
      <c r="W29" s="220" t="str">
        <f t="shared" ca="1" si="15"/>
        <v/>
      </c>
      <c r="X29" s="220">
        <f t="shared" si="16"/>
        <v>22.8</v>
      </c>
      <c r="Y29" s="220">
        <f t="shared" si="2"/>
        <v>0</v>
      </c>
      <c r="AA29" s="220" t="str">
        <f t="shared" si="3"/>
        <v>彰濱</v>
      </c>
      <c r="AB29" s="220" t="s">
        <v>1998</v>
      </c>
      <c r="AC29" s="220" t="str">
        <f t="shared" si="19"/>
        <v>9A68</v>
      </c>
      <c r="AE29" t="s">
        <v>5783</v>
      </c>
      <c r="AF29" t="s">
        <v>5784</v>
      </c>
      <c r="AJ29" t="s">
        <v>5785</v>
      </c>
      <c r="AK29" t="s">
        <v>2037</v>
      </c>
      <c r="AM29" s="467" t="str">
        <f t="shared" si="4"/>
        <v>IN</v>
      </c>
      <c r="AN29" t="str">
        <f t="shared" si="0"/>
        <v>大村S/S</v>
      </c>
      <c r="AO29" s="467" t="str">
        <f t="shared" si="1"/>
        <v>SS</v>
      </c>
      <c r="AQ29" s="2" t="e">
        <f>VLOOKUP(總表!A35,DATA!$AB$3:$AC$829,2,0)</f>
        <v>#N/A</v>
      </c>
      <c r="AR29" s="2" t="e">
        <f>VLOOKUP(總表!A35,變電所別!$K$2:$L$41,2,1)</f>
        <v>#N/A</v>
      </c>
      <c r="AS29" s="2" t="e">
        <f>VLOOKUP(總表!B35,DATA!$AB$3:$AC$829,2,0)</f>
        <v>#N/A</v>
      </c>
      <c r="AT29" s="2" t="e">
        <f>VLOOKUP(總表!B35,變電所別!$K$2:$L$41,2,1)</f>
        <v>#N/A</v>
      </c>
      <c r="AU29" s="258" t="s">
        <v>2705</v>
      </c>
      <c r="AV29" s="1" t="s">
        <v>2706</v>
      </c>
      <c r="AW29" s="258" t="s">
        <v>2707</v>
      </c>
      <c r="BB29" s="514" t="s">
        <v>1487</v>
      </c>
      <c r="BC29" s="514">
        <v>21</v>
      </c>
      <c r="BD29" s="514">
        <v>15</v>
      </c>
      <c r="BE29" s="514">
        <v>36</v>
      </c>
      <c r="BG29" s="229" t="s">
        <v>4</v>
      </c>
      <c r="BH29" s="230" t="s">
        <v>378</v>
      </c>
      <c r="BI29" t="s">
        <v>1998</v>
      </c>
      <c r="BJ29" t="s">
        <v>2066</v>
      </c>
    </row>
    <row r="30" spans="1:62" ht="21">
      <c r="A30" s="229" t="s">
        <v>5571</v>
      </c>
      <c r="B30" s="230" t="s">
        <v>5786</v>
      </c>
      <c r="C30" s="230" t="s">
        <v>5755</v>
      </c>
      <c r="D30" s="229" t="s">
        <v>5628</v>
      </c>
      <c r="E30" s="229" t="s">
        <v>5755</v>
      </c>
      <c r="F30" s="229" t="s">
        <v>5628</v>
      </c>
      <c r="G30" s="229" t="s">
        <v>5755</v>
      </c>
      <c r="H30" s="229" t="s">
        <v>5616</v>
      </c>
      <c r="I30" s="229" t="s">
        <v>5755</v>
      </c>
      <c r="J30" s="231" t="s">
        <v>5699</v>
      </c>
      <c r="K30" s="231" t="s">
        <v>5628</v>
      </c>
      <c r="L30" s="220" t="str">
        <f t="shared" si="5"/>
        <v>9A67</v>
      </c>
      <c r="M30" s="220" t="str">
        <f t="shared" si="6"/>
        <v/>
      </c>
      <c r="N30" s="220" t="str">
        <f t="shared" si="7"/>
        <v/>
      </c>
      <c r="O30" s="220" t="str">
        <f t="shared" si="8"/>
        <v/>
      </c>
      <c r="P30" s="52" t="str">
        <f t="shared" si="9"/>
        <v>9A67</v>
      </c>
      <c r="Q30" s="231" t="str">
        <f t="shared" si="10"/>
        <v>0</v>
      </c>
      <c r="R30" s="224">
        <f t="shared" si="11"/>
        <v>0</v>
      </c>
      <c r="S30" s="52">
        <f t="shared" si="12"/>
        <v>0</v>
      </c>
      <c r="T30" s="221">
        <f t="shared" ca="1" si="13"/>
        <v>0</v>
      </c>
      <c r="U30" s="221" t="str">
        <f t="shared" si="14"/>
        <v/>
      </c>
      <c r="V30" s="220" t="str">
        <f t="array" ref="V30">INDEX(P:P,MAX(U$3:U30))</f>
        <v>9A#4DTR(B)</v>
      </c>
      <c r="W30" s="220" t="str">
        <f t="shared" ca="1" si="15"/>
        <v/>
      </c>
      <c r="X30" s="220">
        <f t="shared" si="16"/>
        <v>22.8</v>
      </c>
      <c r="Y30" s="220">
        <f t="shared" si="2"/>
        <v>0</v>
      </c>
      <c r="AA30" s="220" t="str">
        <f t="shared" si="3"/>
        <v>彰濱</v>
      </c>
      <c r="AB30" s="220" t="s">
        <v>1996</v>
      </c>
      <c r="AC30" s="220" t="str">
        <f t="shared" si="19"/>
        <v>9A67</v>
      </c>
      <c r="AE30" t="s">
        <v>5787</v>
      </c>
      <c r="AF30" t="s">
        <v>5788</v>
      </c>
      <c r="AJ30" t="s">
        <v>1976</v>
      </c>
      <c r="AK30" t="s">
        <v>2037</v>
      </c>
      <c r="AM30" s="467" t="str">
        <f t="shared" si="4"/>
        <v>IO</v>
      </c>
      <c r="AN30" t="str">
        <f t="shared" si="0"/>
        <v>鹿東D/S</v>
      </c>
      <c r="AO30" s="467" t="str">
        <f t="shared" si="1"/>
        <v>DS</v>
      </c>
      <c r="AQ30" s="2" t="e">
        <f>VLOOKUP(總表!A36,DATA!$AB$3:$AC$829,2,0)</f>
        <v>#N/A</v>
      </c>
      <c r="AR30" s="2" t="e">
        <f>VLOOKUP(總表!A36,變電所別!$K$2:$L$41,2,1)</f>
        <v>#N/A</v>
      </c>
      <c r="AS30" s="2" t="e">
        <f>VLOOKUP(總表!B36,DATA!$AB$3:$AC$829,2,0)</f>
        <v>#N/A</v>
      </c>
      <c r="AT30" s="2" t="e">
        <f>VLOOKUP(總表!B36,變電所別!$K$2:$L$41,2,1)</f>
        <v>#N/A</v>
      </c>
      <c r="AU30" s="258" t="s">
        <v>2708</v>
      </c>
      <c r="AV30" s="1" t="s">
        <v>2709</v>
      </c>
      <c r="AW30" s="258" t="s">
        <v>2710</v>
      </c>
      <c r="BB30" s="514" t="s">
        <v>1502</v>
      </c>
      <c r="BC30" s="514">
        <v>6</v>
      </c>
      <c r="BD30" s="514">
        <v>5</v>
      </c>
      <c r="BE30" s="514">
        <v>11</v>
      </c>
      <c r="BG30" s="229" t="s">
        <v>4</v>
      </c>
      <c r="BH30" s="230" t="s">
        <v>8330</v>
      </c>
      <c r="BI30" t="s">
        <v>1996</v>
      </c>
      <c r="BJ30" t="s">
        <v>2066</v>
      </c>
    </row>
    <row r="31" spans="1:62" ht="21">
      <c r="A31" s="229" t="s">
        <v>5608</v>
      </c>
      <c r="B31" s="230" t="s">
        <v>5789</v>
      </c>
      <c r="C31" s="230" t="s">
        <v>5790</v>
      </c>
      <c r="D31" s="229" t="s">
        <v>5792</v>
      </c>
      <c r="E31" s="229" t="s">
        <v>5793</v>
      </c>
      <c r="F31" s="229" t="s">
        <v>5792</v>
      </c>
      <c r="G31" s="229" t="s">
        <v>5794</v>
      </c>
      <c r="H31" s="229" t="s">
        <v>5792</v>
      </c>
      <c r="I31" s="229" t="s">
        <v>5794</v>
      </c>
      <c r="J31" s="231" t="s">
        <v>5755</v>
      </c>
      <c r="K31" s="231" t="s">
        <v>5616</v>
      </c>
      <c r="L31" s="220" t="str">
        <f t="shared" si="5"/>
        <v>9A59</v>
      </c>
      <c r="M31" s="220" t="str">
        <f t="shared" si="6"/>
        <v/>
      </c>
      <c r="N31" s="220" t="str">
        <f t="shared" si="7"/>
        <v/>
      </c>
      <c r="O31" s="220" t="str">
        <f t="shared" si="8"/>
        <v/>
      </c>
      <c r="P31" s="52" t="str">
        <f t="shared" si="9"/>
        <v>9A59</v>
      </c>
      <c r="Q31" s="231" t="str">
        <f t="shared" si="10"/>
        <v>77</v>
      </c>
      <c r="R31" s="224">
        <f t="shared" si="11"/>
        <v>75.333333333333329</v>
      </c>
      <c r="S31" s="52">
        <f t="shared" si="12"/>
        <v>74</v>
      </c>
      <c r="T31" s="221">
        <f t="shared" ca="1" si="13"/>
        <v>3.04</v>
      </c>
      <c r="U31" s="221" t="str">
        <f t="shared" si="14"/>
        <v/>
      </c>
      <c r="V31" s="220" t="str">
        <f t="array" ref="V31">INDEX(P:P,MAX(U$3:U31))</f>
        <v>9A#4DTR(B)</v>
      </c>
      <c r="W31" s="220" t="str">
        <f t="shared" ca="1" si="15"/>
        <v/>
      </c>
      <c r="X31" s="220">
        <f t="shared" si="16"/>
        <v>22.8</v>
      </c>
      <c r="Y31" s="220">
        <f t="shared" si="2"/>
        <v>0</v>
      </c>
      <c r="AA31" s="220" t="str">
        <f t="shared" si="3"/>
        <v>彰濱</v>
      </c>
      <c r="AB31" s="220" t="s">
        <v>1995</v>
      </c>
      <c r="AC31" s="220" t="str">
        <f t="shared" si="19"/>
        <v>9A59</v>
      </c>
      <c r="AE31" t="s">
        <v>5795</v>
      </c>
      <c r="AF31" t="s">
        <v>5796</v>
      </c>
      <c r="AJ31" t="s">
        <v>1982</v>
      </c>
      <c r="AK31" t="s">
        <v>2037</v>
      </c>
      <c r="AM31" s="467" t="str">
        <f t="shared" si="4"/>
        <v>IP</v>
      </c>
      <c r="AN31" t="str">
        <f t="shared" si="0"/>
        <v>福工S/S</v>
      </c>
      <c r="AO31" s="467" t="str">
        <f t="shared" si="1"/>
        <v>SS</v>
      </c>
      <c r="AQ31" s="2" t="e">
        <f>VLOOKUP(總表!A37,DATA!$AB$3:$AC$829,2,0)</f>
        <v>#N/A</v>
      </c>
      <c r="AR31" s="2" t="e">
        <f>VLOOKUP(總表!A37,變電所別!$K$2:$L$41,2,1)</f>
        <v>#N/A</v>
      </c>
      <c r="AS31" s="2" t="e">
        <f>VLOOKUP(總表!B37,DATA!$AB$3:$AC$829,2,0)</f>
        <v>#N/A</v>
      </c>
      <c r="AT31" s="2" t="e">
        <f>VLOOKUP(總表!B37,變電所別!$K$2:$L$41,2,1)</f>
        <v>#N/A</v>
      </c>
      <c r="AU31" s="258" t="s">
        <v>2711</v>
      </c>
      <c r="AV31" s="1" t="s">
        <v>2712</v>
      </c>
      <c r="AW31" s="258" t="s">
        <v>2713</v>
      </c>
      <c r="BB31" s="514" t="s">
        <v>2001</v>
      </c>
      <c r="BC31" s="514">
        <v>28</v>
      </c>
      <c r="BD31" s="514">
        <v>13</v>
      </c>
      <c r="BE31" s="514">
        <v>41</v>
      </c>
      <c r="BG31" s="229" t="s">
        <v>8319</v>
      </c>
      <c r="BH31" s="230" t="s">
        <v>379</v>
      </c>
      <c r="BI31" t="s">
        <v>1995</v>
      </c>
      <c r="BJ31" t="s">
        <v>2066</v>
      </c>
    </row>
    <row r="32" spans="1:62" ht="21">
      <c r="A32" s="229" t="s">
        <v>5571</v>
      </c>
      <c r="B32" s="230" t="s">
        <v>5797</v>
      </c>
      <c r="C32" s="230" t="s">
        <v>5798</v>
      </c>
      <c r="D32" s="229" t="s">
        <v>5611</v>
      </c>
      <c r="E32" s="229" t="s">
        <v>5799</v>
      </c>
      <c r="F32" s="229" t="s">
        <v>5611</v>
      </c>
      <c r="G32" s="229" t="s">
        <v>5800</v>
      </c>
      <c r="H32" s="229" t="s">
        <v>5611</v>
      </c>
      <c r="I32" s="229" t="s">
        <v>5798</v>
      </c>
      <c r="J32" s="231" t="s">
        <v>5755</v>
      </c>
      <c r="K32" s="231" t="s">
        <v>5628</v>
      </c>
      <c r="L32" s="220" t="str">
        <f t="shared" si="5"/>
        <v>9A58</v>
      </c>
      <c r="M32" s="220" t="str">
        <f t="shared" si="6"/>
        <v/>
      </c>
      <c r="N32" s="220" t="str">
        <f t="shared" si="7"/>
        <v/>
      </c>
      <c r="O32" s="220" t="str">
        <f t="shared" si="8"/>
        <v/>
      </c>
      <c r="P32" s="52" t="str">
        <f t="shared" si="9"/>
        <v>9A58</v>
      </c>
      <c r="Q32" s="231" t="str">
        <f t="shared" si="10"/>
        <v>33</v>
      </c>
      <c r="R32" s="224">
        <f t="shared" si="11"/>
        <v>31.333333333333332</v>
      </c>
      <c r="S32" s="52">
        <f t="shared" si="12"/>
        <v>29</v>
      </c>
      <c r="T32" s="221">
        <f t="shared" ca="1" si="13"/>
        <v>1.3</v>
      </c>
      <c r="U32" s="221" t="str">
        <f t="shared" si="14"/>
        <v/>
      </c>
      <c r="V32" s="220" t="str">
        <f t="array" ref="V32">INDEX(P:P,MAX(U$3:U32))</f>
        <v>9A#4DTR(B)</v>
      </c>
      <c r="W32" s="220" t="str">
        <f t="shared" ca="1" si="15"/>
        <v/>
      </c>
      <c r="X32" s="220">
        <f t="shared" si="16"/>
        <v>22.8</v>
      </c>
      <c r="Y32" s="220">
        <f t="shared" si="2"/>
        <v>0</v>
      </c>
      <c r="AA32" s="220" t="str">
        <f t="shared" si="3"/>
        <v>彰濱</v>
      </c>
      <c r="AB32" s="220" t="s">
        <v>1994</v>
      </c>
      <c r="AC32" s="220" t="str">
        <f t="shared" si="19"/>
        <v>9A58</v>
      </c>
      <c r="AE32" t="s">
        <v>5801</v>
      </c>
      <c r="AF32" t="s">
        <v>5802</v>
      </c>
      <c r="AJ32" t="s">
        <v>5803</v>
      </c>
      <c r="AK32" t="s">
        <v>2037</v>
      </c>
      <c r="AM32" s="467" t="str">
        <f t="shared" si="4"/>
        <v>IQ</v>
      </c>
      <c r="AN32" t="str">
        <f t="shared" si="0"/>
        <v>彰東S/S</v>
      </c>
      <c r="AO32" s="467" t="str">
        <f t="shared" si="1"/>
        <v>SS</v>
      </c>
      <c r="AQ32" s="2" t="e">
        <f>VLOOKUP(總表!A38,DATA!$AB$3:$AC$829,2,0)</f>
        <v>#N/A</v>
      </c>
      <c r="AR32" s="2" t="e">
        <f>VLOOKUP(總表!A38,變電所別!$K$2:$L$41,2,1)</f>
        <v>#N/A</v>
      </c>
      <c r="AS32" s="2" t="e">
        <f>VLOOKUP(總表!B38,DATA!$AB$3:$AC$829,2,0)</f>
        <v>#N/A</v>
      </c>
      <c r="AT32" s="2" t="e">
        <f>VLOOKUP(總表!B38,變電所別!$K$2:$L$41,2,1)</f>
        <v>#N/A</v>
      </c>
      <c r="AU32" s="258" t="s">
        <v>2714</v>
      </c>
      <c r="AV32" s="1" t="s">
        <v>2715</v>
      </c>
      <c r="AW32" s="258" t="s">
        <v>2716</v>
      </c>
      <c r="BB32" s="514" t="s">
        <v>1629</v>
      </c>
      <c r="BC32" s="514" t="s">
        <v>85</v>
      </c>
      <c r="BD32" s="514" t="s">
        <v>85</v>
      </c>
      <c r="BE32" s="514">
        <v>0</v>
      </c>
      <c r="BG32" s="229" t="s">
        <v>4</v>
      </c>
      <c r="BH32" s="230" t="s">
        <v>380</v>
      </c>
      <c r="BI32" t="s">
        <v>1994</v>
      </c>
      <c r="BJ32" t="s">
        <v>2066</v>
      </c>
    </row>
    <row r="33" spans="1:62" ht="21">
      <c r="A33" s="229" t="s">
        <v>5608</v>
      </c>
      <c r="B33" s="230" t="s">
        <v>5804</v>
      </c>
      <c r="C33" s="230" t="s">
        <v>5805</v>
      </c>
      <c r="D33" s="229" t="s">
        <v>5806</v>
      </c>
      <c r="E33" s="229" t="s">
        <v>5807</v>
      </c>
      <c r="F33" s="229" t="s">
        <v>5806</v>
      </c>
      <c r="G33" s="229" t="s">
        <v>5808</v>
      </c>
      <c r="H33" s="229" t="s">
        <v>5806</v>
      </c>
      <c r="I33" s="229" t="s">
        <v>5807</v>
      </c>
      <c r="J33" s="231" t="s">
        <v>5755</v>
      </c>
      <c r="K33" s="231" t="s">
        <v>5616</v>
      </c>
      <c r="L33" s="220" t="str">
        <f t="shared" si="5"/>
        <v>9A57</v>
      </c>
      <c r="M33" s="220" t="str">
        <f t="shared" si="6"/>
        <v/>
      </c>
      <c r="N33" s="220" t="str">
        <f t="shared" si="7"/>
        <v/>
      </c>
      <c r="O33" s="220" t="str">
        <f t="shared" si="8"/>
        <v/>
      </c>
      <c r="P33" s="52" t="str">
        <f t="shared" si="9"/>
        <v>9A57</v>
      </c>
      <c r="Q33" s="231" t="str">
        <f t="shared" si="10"/>
        <v>101</v>
      </c>
      <c r="R33" s="224">
        <f t="shared" si="11"/>
        <v>98.333333333333329</v>
      </c>
      <c r="S33" s="52">
        <f t="shared" si="12"/>
        <v>96</v>
      </c>
      <c r="T33" s="221">
        <f t="shared" ca="1" si="13"/>
        <v>3.99</v>
      </c>
      <c r="U33" s="221" t="str">
        <f t="shared" si="14"/>
        <v/>
      </c>
      <c r="V33" s="220" t="str">
        <f t="array" ref="V33">INDEX(P:P,MAX(U$3:U33))</f>
        <v>9A#4DTR(B)</v>
      </c>
      <c r="W33" s="220" t="str">
        <f t="shared" ca="1" si="15"/>
        <v/>
      </c>
      <c r="X33" s="220">
        <f t="shared" si="16"/>
        <v>22.8</v>
      </c>
      <c r="Y33" s="220">
        <f t="shared" si="2"/>
        <v>0</v>
      </c>
      <c r="AA33" s="220" t="str">
        <f t="shared" si="3"/>
        <v>彰濱</v>
      </c>
      <c r="AB33" s="220" t="s">
        <v>1993</v>
      </c>
      <c r="AC33" s="220" t="str">
        <f t="shared" si="19"/>
        <v>9A57</v>
      </c>
      <c r="AE33" t="s">
        <v>5809</v>
      </c>
      <c r="AF33" t="s">
        <v>5810</v>
      </c>
      <c r="AJ33" t="s">
        <v>5811</v>
      </c>
      <c r="AK33" t="s">
        <v>2037</v>
      </c>
      <c r="AM33" s="467" t="str">
        <f t="shared" si="4"/>
        <v>IR</v>
      </c>
      <c r="AN33" t="str">
        <f t="shared" si="0"/>
        <v>社頭S/S</v>
      </c>
      <c r="AO33" s="467" t="str">
        <f t="shared" si="1"/>
        <v>SS</v>
      </c>
      <c r="AQ33" s="2" t="e">
        <f>VLOOKUP(總表!A39,DATA!$AB$3:$AC$829,2,0)</f>
        <v>#N/A</v>
      </c>
      <c r="AR33" s="2" t="e">
        <f>VLOOKUP(總表!A39,變電所別!$K$2:$L$41,2,1)</f>
        <v>#N/A</v>
      </c>
      <c r="AS33" s="2" t="e">
        <f>VLOOKUP(總表!B39,DATA!$AB$3:$AC$829,2,0)</f>
        <v>#N/A</v>
      </c>
      <c r="AT33" s="2" t="e">
        <f>VLOOKUP(總表!B39,變電所別!$K$2:$L$41,2,1)</f>
        <v>#N/A</v>
      </c>
      <c r="AU33" s="258" t="s">
        <v>2717</v>
      </c>
      <c r="AV33" s="1" t="s">
        <v>2718</v>
      </c>
      <c r="AW33" s="258" t="s">
        <v>2719</v>
      </c>
      <c r="BB33" s="514" t="s">
        <v>2073</v>
      </c>
      <c r="BC33" s="514">
        <v>858</v>
      </c>
      <c r="BD33" s="514">
        <v>2</v>
      </c>
      <c r="BE33" s="514">
        <v>860</v>
      </c>
      <c r="BG33" s="229" t="s">
        <v>8319</v>
      </c>
      <c r="BH33" s="230" t="s">
        <v>381</v>
      </c>
      <c r="BI33" t="s">
        <v>1993</v>
      </c>
      <c r="BJ33" t="s">
        <v>2066</v>
      </c>
    </row>
    <row r="34" spans="1:62" ht="21">
      <c r="A34" s="229" t="s">
        <v>5812</v>
      </c>
      <c r="B34" s="230" t="s">
        <v>5813</v>
      </c>
      <c r="C34" s="230" t="s">
        <v>5814</v>
      </c>
      <c r="D34" s="229" t="s">
        <v>5616</v>
      </c>
      <c r="E34" s="229" t="s">
        <v>5815</v>
      </c>
      <c r="F34" s="229" t="s">
        <v>5616</v>
      </c>
      <c r="G34" s="229" t="s">
        <v>5816</v>
      </c>
      <c r="H34" s="229" t="s">
        <v>5616</v>
      </c>
      <c r="I34" s="229" t="s">
        <v>5816</v>
      </c>
      <c r="J34" s="231" t="s">
        <v>5710</v>
      </c>
      <c r="K34" s="231" t="s">
        <v>5711</v>
      </c>
      <c r="L34" s="220" t="str">
        <f t="shared" si="5"/>
        <v>9B#1DTR</v>
      </c>
      <c r="M34" s="220" t="str">
        <f t="shared" si="6"/>
        <v/>
      </c>
      <c r="N34" s="220" t="str">
        <f t="shared" si="7"/>
        <v>9B#1DTR</v>
      </c>
      <c r="O34" s="220" t="str">
        <f t="shared" si="8"/>
        <v/>
      </c>
      <c r="P34" s="52" t="str">
        <f t="shared" si="9"/>
        <v>9B#1DTR</v>
      </c>
      <c r="Q34" s="231" t="str">
        <f t="shared" si="10"/>
        <v>615</v>
      </c>
      <c r="R34" s="224">
        <f t="shared" si="11"/>
        <v>610.66666666666663</v>
      </c>
      <c r="S34" s="52">
        <f t="shared" si="12"/>
        <v>606</v>
      </c>
      <c r="T34" s="221">
        <f t="shared" ca="1" si="13"/>
        <v>24.29</v>
      </c>
      <c r="U34" s="221">
        <f t="shared" si="14"/>
        <v>34</v>
      </c>
      <c r="V34" s="220" t="str">
        <f t="array" ref="V34">INDEX(P:P,MAX(U$3:U34))</f>
        <v>9B#1DTR</v>
      </c>
      <c r="W34" s="220">
        <f t="shared" ca="1" si="15"/>
        <v>60</v>
      </c>
      <c r="X34" s="220" t="str">
        <f t="shared" si="16"/>
        <v/>
      </c>
      <c r="Y34" s="220">
        <f t="shared" si="2"/>
        <v>0</v>
      </c>
      <c r="AA34" s="220" t="str">
        <f t="shared" si="3"/>
        <v>線西</v>
      </c>
      <c r="AB34" s="220" t="s">
        <v>2068</v>
      </c>
      <c r="AC34" s="220" t="s">
        <v>5817</v>
      </c>
      <c r="AE34" t="s">
        <v>5818</v>
      </c>
      <c r="AF34" t="s">
        <v>5819</v>
      </c>
      <c r="AJ34" t="s">
        <v>5820</v>
      </c>
      <c r="AK34" t="s">
        <v>2037</v>
      </c>
      <c r="AM34" s="467" t="str">
        <f t="shared" si="4"/>
        <v>IS</v>
      </c>
      <c r="AN34" t="str">
        <f t="shared" si="0"/>
        <v>草湖S/S</v>
      </c>
      <c r="AO34" s="467" t="str">
        <f t="shared" si="1"/>
        <v>SS</v>
      </c>
      <c r="AQ34" s="2" t="e">
        <f>VLOOKUP(總表!A40,DATA!$AB$3:$AC$829,2,0)</f>
        <v>#N/A</v>
      </c>
      <c r="AR34" s="2" t="e">
        <f>VLOOKUP(總表!A40,變電所別!$K$2:$L$41,2,1)</f>
        <v>#N/A</v>
      </c>
      <c r="AS34" s="2" t="e">
        <f>VLOOKUP(總表!B40,DATA!$AB$3:$AC$829,2,0)</f>
        <v>#N/A</v>
      </c>
      <c r="AT34" s="2" t="e">
        <f>VLOOKUP(總表!B40,變電所別!$K$2:$L$41,2,1)</f>
        <v>#N/A</v>
      </c>
      <c r="AU34" s="258" t="s">
        <v>2720</v>
      </c>
      <c r="AV34" s="1" t="s">
        <v>2721</v>
      </c>
      <c r="AW34" s="258" t="s">
        <v>2722</v>
      </c>
      <c r="BB34" s="514" t="s">
        <v>1920</v>
      </c>
      <c r="BC34" s="514" t="s">
        <v>85</v>
      </c>
      <c r="BD34" s="514" t="s">
        <v>85</v>
      </c>
      <c r="BE34" s="514">
        <v>0</v>
      </c>
      <c r="BG34" s="229" t="s">
        <v>8331</v>
      </c>
      <c r="BH34" s="230" t="s">
        <v>382</v>
      </c>
      <c r="BI34" t="s">
        <v>2068</v>
      </c>
      <c r="BJ34" t="s">
        <v>2068</v>
      </c>
    </row>
    <row r="35" spans="1:62" ht="21">
      <c r="A35" s="229" t="s">
        <v>5812</v>
      </c>
      <c r="B35" s="230" t="s">
        <v>5821</v>
      </c>
      <c r="C35" s="230" t="s">
        <v>5755</v>
      </c>
      <c r="D35" s="229" t="s">
        <v>5595</v>
      </c>
      <c r="E35" s="229" t="s">
        <v>5755</v>
      </c>
      <c r="F35" s="229" t="s">
        <v>5599</v>
      </c>
      <c r="G35" s="229" t="s">
        <v>5615</v>
      </c>
      <c r="H35" s="229" t="s">
        <v>5616</v>
      </c>
      <c r="I35" s="229" t="s">
        <v>5755</v>
      </c>
      <c r="J35" s="231" t="s">
        <v>5615</v>
      </c>
      <c r="K35" s="231" t="s">
        <v>5599</v>
      </c>
      <c r="L35" s="220" t="str">
        <f t="shared" si="5"/>
        <v>9B51</v>
      </c>
      <c r="M35" s="220" t="str">
        <f t="shared" si="6"/>
        <v/>
      </c>
      <c r="N35" s="220" t="str">
        <f t="shared" si="7"/>
        <v/>
      </c>
      <c r="O35" s="220" t="str">
        <f t="shared" si="8"/>
        <v/>
      </c>
      <c r="P35" s="52" t="str">
        <f t="shared" si="9"/>
        <v>9B51</v>
      </c>
      <c r="Q35" s="231" t="str">
        <f t="shared" si="10"/>
        <v>0</v>
      </c>
      <c r="R35" s="224">
        <f t="shared" si="11"/>
        <v>0</v>
      </c>
      <c r="S35" s="52">
        <f t="shared" si="12"/>
        <v>0</v>
      </c>
      <c r="T35" s="221">
        <f t="shared" ca="1" si="13"/>
        <v>0</v>
      </c>
      <c r="U35" s="221" t="str">
        <f t="shared" si="14"/>
        <v/>
      </c>
      <c r="V35" s="220" t="str">
        <f t="array" ref="V35">INDEX(P:P,MAX(U$3:U35))</f>
        <v>9B#1DTR</v>
      </c>
      <c r="W35" s="220" t="str">
        <f t="shared" ca="1" si="15"/>
        <v/>
      </c>
      <c r="X35" s="220">
        <f t="shared" si="16"/>
        <v>22.8</v>
      </c>
      <c r="Y35" s="220">
        <f t="shared" si="2"/>
        <v>0</v>
      </c>
      <c r="AA35" s="220" t="str">
        <f t="shared" si="3"/>
        <v>線西</v>
      </c>
      <c r="AB35" s="220" t="s">
        <v>1916</v>
      </c>
      <c r="AC35" s="220" t="str">
        <f t="shared" ref="AC35:AC42" si="20">LEFT(B35,4)</f>
        <v>9B51</v>
      </c>
      <c r="AE35" t="s">
        <v>5822</v>
      </c>
      <c r="AF35" t="s">
        <v>5823</v>
      </c>
      <c r="AJ35" t="s">
        <v>5824</v>
      </c>
      <c r="AK35" t="s">
        <v>2037</v>
      </c>
      <c r="AM35" s="467" t="str">
        <f t="shared" si="4"/>
        <v>IT</v>
      </c>
      <c r="AN35" t="str">
        <f t="shared" si="0"/>
        <v>溝墘S/S</v>
      </c>
      <c r="AO35" s="467" t="str">
        <f t="shared" si="1"/>
        <v>SS</v>
      </c>
      <c r="AQ35" s="2" t="e">
        <f>VLOOKUP(總表!A41,DATA!$AB$3:$AC$829,2,0)</f>
        <v>#N/A</v>
      </c>
      <c r="AR35" s="2" t="e">
        <f>VLOOKUP(總表!A41,變電所別!$K$2:$L$41,2,1)</f>
        <v>#N/A</v>
      </c>
      <c r="AS35" s="2" t="e">
        <f>VLOOKUP(總表!B41,DATA!$AB$3:$AC$829,2,0)</f>
        <v>#N/A</v>
      </c>
      <c r="AT35" s="2" t="e">
        <f>VLOOKUP(總表!B41,變電所別!$K$2:$L$41,2,1)</f>
        <v>#N/A</v>
      </c>
      <c r="AU35" s="258" t="s">
        <v>2723</v>
      </c>
      <c r="AV35" s="1" t="s">
        <v>2724</v>
      </c>
      <c r="AW35" s="258" t="s">
        <v>2725</v>
      </c>
      <c r="BB35" s="514" t="s">
        <v>2074</v>
      </c>
      <c r="BC35" s="514">
        <v>2085</v>
      </c>
      <c r="BD35" s="514">
        <v>1</v>
      </c>
      <c r="BE35" s="514">
        <v>2086</v>
      </c>
      <c r="BG35" s="229" t="s">
        <v>5</v>
      </c>
      <c r="BH35" s="230" t="s">
        <v>8332</v>
      </c>
      <c r="BI35" t="s">
        <v>1916</v>
      </c>
      <c r="BJ35" t="s">
        <v>2068</v>
      </c>
    </row>
    <row r="36" spans="1:62" ht="21">
      <c r="A36" s="229" t="s">
        <v>5825</v>
      </c>
      <c r="B36" s="230" t="s">
        <v>5826</v>
      </c>
      <c r="C36" s="230" t="s">
        <v>5827</v>
      </c>
      <c r="D36" s="229" t="s">
        <v>5828</v>
      </c>
      <c r="E36" s="229" t="s">
        <v>5829</v>
      </c>
      <c r="F36" s="229" t="s">
        <v>5764</v>
      </c>
      <c r="G36" s="229" t="s">
        <v>5829</v>
      </c>
      <c r="H36" s="229" t="s">
        <v>5722</v>
      </c>
      <c r="I36" s="229" t="s">
        <v>5627</v>
      </c>
      <c r="J36" s="231" t="s">
        <v>5755</v>
      </c>
      <c r="K36" s="231" t="s">
        <v>5595</v>
      </c>
      <c r="L36" s="220" t="str">
        <f t="shared" si="5"/>
        <v>9B52</v>
      </c>
      <c r="M36" s="220" t="str">
        <f t="shared" si="6"/>
        <v/>
      </c>
      <c r="N36" s="220" t="str">
        <f t="shared" si="7"/>
        <v/>
      </c>
      <c r="O36" s="220" t="str">
        <f t="shared" si="8"/>
        <v/>
      </c>
      <c r="P36" s="52" t="str">
        <f t="shared" si="9"/>
        <v>9B52</v>
      </c>
      <c r="Q36" s="231" t="str">
        <f t="shared" si="10"/>
        <v>116</v>
      </c>
      <c r="R36" s="224">
        <f t="shared" si="11"/>
        <v>114.33333333333333</v>
      </c>
      <c r="S36" s="52">
        <f t="shared" si="12"/>
        <v>111</v>
      </c>
      <c r="T36" s="221">
        <f t="shared" ca="1" si="13"/>
        <v>4.58</v>
      </c>
      <c r="U36" s="221" t="str">
        <f t="shared" si="14"/>
        <v/>
      </c>
      <c r="V36" s="220" t="str">
        <f t="array" ref="V36">INDEX(P:P,MAX(U$3:U36))</f>
        <v>9B#1DTR</v>
      </c>
      <c r="W36" s="220" t="str">
        <f t="shared" ca="1" si="15"/>
        <v/>
      </c>
      <c r="X36" s="220">
        <f t="shared" si="16"/>
        <v>22.8</v>
      </c>
      <c r="Y36" s="220">
        <f t="shared" si="2"/>
        <v>0</v>
      </c>
      <c r="AA36" s="220" t="str">
        <f t="shared" si="3"/>
        <v>線西</v>
      </c>
      <c r="AB36" s="220" t="s">
        <v>1210</v>
      </c>
      <c r="AC36" s="220" t="str">
        <f t="shared" si="20"/>
        <v>9B52</v>
      </c>
      <c r="AE36" t="s">
        <v>5830</v>
      </c>
      <c r="AF36" t="s">
        <v>5831</v>
      </c>
      <c r="AJ36" t="s">
        <v>5832</v>
      </c>
      <c r="AK36" t="s">
        <v>2037</v>
      </c>
      <c r="AM36" s="467" t="str">
        <f t="shared" si="4"/>
        <v>IU</v>
      </c>
      <c r="AN36" t="str">
        <f t="shared" si="0"/>
        <v>員東D/S</v>
      </c>
      <c r="AO36" s="467" t="str">
        <f t="shared" si="1"/>
        <v>DS</v>
      </c>
      <c r="AQ36" s="2" t="e">
        <f>VLOOKUP(總表!A42,DATA!$AB$3:$AC$829,2,0)</f>
        <v>#N/A</v>
      </c>
      <c r="AR36" s="2" t="e">
        <f>VLOOKUP(總表!A42,變電所別!$K$2:$L$41,2,1)</f>
        <v>#N/A</v>
      </c>
      <c r="AS36" s="2" t="e">
        <f>VLOOKUP(總表!B42,DATA!$AB$3:$AC$829,2,0)</f>
        <v>#N/A</v>
      </c>
      <c r="AT36" s="2" t="e">
        <f>VLOOKUP(總表!B42,變電所別!$K$2:$L$41,2,1)</f>
        <v>#N/A</v>
      </c>
      <c r="AU36" s="258" t="s">
        <v>2726</v>
      </c>
      <c r="AV36" s="1" t="s">
        <v>2727</v>
      </c>
      <c r="AW36" s="258" t="s">
        <v>2728</v>
      </c>
      <c r="BB36" s="514" t="s">
        <v>1265</v>
      </c>
      <c r="BC36" s="514">
        <v>5885</v>
      </c>
      <c r="BD36" s="514">
        <v>5</v>
      </c>
      <c r="BE36" s="514">
        <v>5890</v>
      </c>
      <c r="BG36" s="229" t="s">
        <v>5</v>
      </c>
      <c r="BH36" s="230" t="s">
        <v>8333</v>
      </c>
      <c r="BI36" t="s">
        <v>1210</v>
      </c>
      <c r="BJ36" t="s">
        <v>2068</v>
      </c>
    </row>
    <row r="37" spans="1:62" ht="21">
      <c r="A37" s="229" t="s">
        <v>5833</v>
      </c>
      <c r="B37" s="230" t="s">
        <v>5834</v>
      </c>
      <c r="C37" s="230" t="s">
        <v>5835</v>
      </c>
      <c r="D37" s="229" t="s">
        <v>5836</v>
      </c>
      <c r="E37" s="229" t="s">
        <v>5837</v>
      </c>
      <c r="F37" s="229" t="s">
        <v>5836</v>
      </c>
      <c r="G37" s="229" t="s">
        <v>5838</v>
      </c>
      <c r="H37" s="229" t="s">
        <v>5836</v>
      </c>
      <c r="I37" s="229" t="s">
        <v>5835</v>
      </c>
      <c r="J37" s="231" t="s">
        <v>5839</v>
      </c>
      <c r="K37" s="231" t="s">
        <v>5840</v>
      </c>
      <c r="L37" s="220" t="str">
        <f t="shared" si="5"/>
        <v>9B53</v>
      </c>
      <c r="M37" s="220" t="str">
        <f t="shared" si="6"/>
        <v/>
      </c>
      <c r="N37" s="220" t="str">
        <f t="shared" si="7"/>
        <v/>
      </c>
      <c r="O37" s="220" t="str">
        <f t="shared" si="8"/>
        <v/>
      </c>
      <c r="P37" s="52" t="str">
        <f t="shared" si="9"/>
        <v>9B53</v>
      </c>
      <c r="Q37" s="231" t="str">
        <f t="shared" si="10"/>
        <v>175</v>
      </c>
      <c r="R37" s="224">
        <f t="shared" si="11"/>
        <v>174.33333333333334</v>
      </c>
      <c r="S37" s="52">
        <f t="shared" si="12"/>
        <v>173</v>
      </c>
      <c r="T37" s="221">
        <f t="shared" ca="1" si="13"/>
        <v>6.91</v>
      </c>
      <c r="U37" s="221" t="str">
        <f t="shared" si="14"/>
        <v/>
      </c>
      <c r="V37" s="220" t="str">
        <f t="array" ref="V37">INDEX(P:P,MAX(U$3:U37))</f>
        <v>9B#1DTR</v>
      </c>
      <c r="W37" s="220" t="str">
        <f t="shared" ca="1" si="15"/>
        <v/>
      </c>
      <c r="X37" s="220">
        <f t="shared" si="16"/>
        <v>22.8</v>
      </c>
      <c r="Y37" s="220">
        <f t="shared" si="2"/>
        <v>0</v>
      </c>
      <c r="AA37" s="220" t="str">
        <f t="shared" si="3"/>
        <v>線西</v>
      </c>
      <c r="AB37" s="220" t="s">
        <v>1227</v>
      </c>
      <c r="AC37" s="220" t="str">
        <f t="shared" si="20"/>
        <v>9B53</v>
      </c>
      <c r="AE37" t="s">
        <v>5842</v>
      </c>
      <c r="AF37" t="s">
        <v>5843</v>
      </c>
      <c r="AJ37" t="s">
        <v>5844</v>
      </c>
      <c r="AK37" t="s">
        <v>2037</v>
      </c>
      <c r="AM37" s="467" t="str">
        <f t="shared" si="4"/>
        <v>IV</v>
      </c>
      <c r="AN37" t="str">
        <f t="shared" si="0"/>
        <v>伸港S/S</v>
      </c>
      <c r="AO37" s="467" t="str">
        <f t="shared" si="1"/>
        <v>SS</v>
      </c>
      <c r="AQ37" s="2" t="e">
        <f>VLOOKUP(總表!A43,DATA!$AB$3:$AC$829,2,0)</f>
        <v>#N/A</v>
      </c>
      <c r="AR37" s="2" t="e">
        <f>VLOOKUP(總表!A43,變電所別!$K$2:$L$41,2,1)</f>
        <v>#N/A</v>
      </c>
      <c r="AS37" s="2" t="e">
        <f>VLOOKUP(總表!B43,DATA!$AB$3:$AC$829,2,0)</f>
        <v>#N/A</v>
      </c>
      <c r="AT37" s="2" t="e">
        <f>VLOOKUP(總表!B43,變電所別!$K$2:$L$41,2,1)</f>
        <v>#N/A</v>
      </c>
      <c r="AU37" s="258" t="s">
        <v>2729</v>
      </c>
      <c r="AV37" s="1" t="s">
        <v>2730</v>
      </c>
      <c r="AW37" s="258" t="s">
        <v>2731</v>
      </c>
      <c r="BB37" s="514" t="s">
        <v>1284</v>
      </c>
      <c r="BC37" s="514">
        <v>3584</v>
      </c>
      <c r="BD37" s="514">
        <v>3</v>
      </c>
      <c r="BE37" s="514">
        <v>3587</v>
      </c>
      <c r="BG37" s="229" t="s">
        <v>8331</v>
      </c>
      <c r="BH37" s="230" t="s">
        <v>8334</v>
      </c>
      <c r="BI37" t="s">
        <v>1227</v>
      </c>
      <c r="BJ37" t="s">
        <v>2068</v>
      </c>
    </row>
    <row r="38" spans="1:62" ht="21">
      <c r="A38" s="229" t="s">
        <v>5833</v>
      </c>
      <c r="B38" s="230" t="s">
        <v>5845</v>
      </c>
      <c r="C38" s="230" t="s">
        <v>5846</v>
      </c>
      <c r="D38" s="229" t="s">
        <v>5847</v>
      </c>
      <c r="E38" s="229" t="s">
        <v>5846</v>
      </c>
      <c r="F38" s="229" t="s">
        <v>5847</v>
      </c>
      <c r="G38" s="229" t="s">
        <v>5848</v>
      </c>
      <c r="H38" s="229" t="s">
        <v>5849</v>
      </c>
      <c r="I38" s="229" t="s">
        <v>5848</v>
      </c>
      <c r="J38" s="231" t="s">
        <v>5694</v>
      </c>
      <c r="K38" s="231" t="s">
        <v>5599</v>
      </c>
      <c r="L38" s="220" t="str">
        <f t="shared" si="5"/>
        <v>9B54</v>
      </c>
      <c r="M38" s="220" t="str">
        <f t="shared" si="6"/>
        <v/>
      </c>
      <c r="N38" s="220" t="str">
        <f t="shared" si="7"/>
        <v/>
      </c>
      <c r="O38" s="220" t="str">
        <f t="shared" si="8"/>
        <v/>
      </c>
      <c r="P38" s="52" t="str">
        <f t="shared" si="9"/>
        <v>9B54</v>
      </c>
      <c r="Q38" s="231" t="str">
        <f t="shared" si="10"/>
        <v>265</v>
      </c>
      <c r="R38" s="224">
        <f t="shared" si="11"/>
        <v>263.66666666666669</v>
      </c>
      <c r="S38" s="52">
        <f t="shared" si="12"/>
        <v>263</v>
      </c>
      <c r="T38" s="221">
        <f t="shared" ca="1" si="13"/>
        <v>10.47</v>
      </c>
      <c r="U38" s="221" t="str">
        <f t="shared" si="14"/>
        <v/>
      </c>
      <c r="V38" s="220" t="str">
        <f t="array" ref="V38">INDEX(P:P,MAX(U$3:U38))</f>
        <v>9B#1DTR</v>
      </c>
      <c r="W38" s="220" t="str">
        <f t="shared" ca="1" si="15"/>
        <v/>
      </c>
      <c r="X38" s="220">
        <f t="shared" si="16"/>
        <v>22.8</v>
      </c>
      <c r="Y38" s="220">
        <f t="shared" si="2"/>
        <v>0</v>
      </c>
      <c r="AA38" s="220" t="str">
        <f t="shared" si="3"/>
        <v>線西</v>
      </c>
      <c r="AB38" s="220" t="s">
        <v>1264</v>
      </c>
      <c r="AC38" s="220" t="str">
        <f t="shared" si="20"/>
        <v>9B54</v>
      </c>
      <c r="AE38" t="s">
        <v>5850</v>
      </c>
      <c r="AF38" t="s">
        <v>5851</v>
      </c>
      <c r="AJ38" t="s">
        <v>5852</v>
      </c>
      <c r="AK38" t="s">
        <v>2037</v>
      </c>
      <c r="AM38" s="467" t="str">
        <f t="shared" si="4"/>
        <v>IW</v>
      </c>
      <c r="AN38" t="str">
        <f t="shared" si="0"/>
        <v>二水S/S</v>
      </c>
      <c r="AO38" s="467" t="str">
        <f t="shared" si="1"/>
        <v>SS</v>
      </c>
      <c r="AQ38" s="2" t="e">
        <f>VLOOKUP(總表!A44,DATA!$AB$3:$AC$829,2,0)</f>
        <v>#N/A</v>
      </c>
      <c r="AR38" s="2" t="e">
        <f>VLOOKUP(總表!A44,變電所別!$K$2:$L$41,2,1)</f>
        <v>#N/A</v>
      </c>
      <c r="AS38" s="2" t="e">
        <f>VLOOKUP(總表!B44,DATA!$AB$3:$AC$829,2,0)</f>
        <v>#N/A</v>
      </c>
      <c r="AT38" s="2" t="e">
        <f>VLOOKUP(總表!B44,變電所別!$K$2:$L$41,2,1)</f>
        <v>#N/A</v>
      </c>
      <c r="AU38" s="258" t="s">
        <v>2732</v>
      </c>
      <c r="AV38" s="1" t="s">
        <v>2733</v>
      </c>
      <c r="AW38" s="258" t="s">
        <v>2734</v>
      </c>
      <c r="BB38" s="514" t="s">
        <v>1922</v>
      </c>
      <c r="BC38" s="514">
        <v>140</v>
      </c>
      <c r="BD38" s="514" t="s">
        <v>85</v>
      </c>
      <c r="BE38" s="514">
        <v>140</v>
      </c>
      <c r="BG38" s="229" t="s">
        <v>8331</v>
      </c>
      <c r="BH38" s="230" t="s">
        <v>8335</v>
      </c>
      <c r="BI38" t="s">
        <v>1264</v>
      </c>
      <c r="BJ38" t="s">
        <v>2068</v>
      </c>
    </row>
    <row r="39" spans="1:62" ht="21">
      <c r="A39" s="229" t="s">
        <v>5812</v>
      </c>
      <c r="B39" s="230" t="s">
        <v>5853</v>
      </c>
      <c r="C39" s="230" t="s">
        <v>5854</v>
      </c>
      <c r="D39" s="229" t="s">
        <v>5855</v>
      </c>
      <c r="E39" s="229" t="s">
        <v>5857</v>
      </c>
      <c r="F39" s="229" t="s">
        <v>5858</v>
      </c>
      <c r="G39" s="229" t="s">
        <v>5857</v>
      </c>
      <c r="H39" s="229" t="s">
        <v>5859</v>
      </c>
      <c r="I39" s="229" t="s">
        <v>5860</v>
      </c>
      <c r="J39" s="231" t="s">
        <v>5861</v>
      </c>
      <c r="K39" s="231" t="s">
        <v>5625</v>
      </c>
      <c r="L39" s="220" t="str">
        <f t="shared" si="5"/>
        <v>9B55</v>
      </c>
      <c r="M39" s="220" t="str">
        <f t="shared" si="6"/>
        <v/>
      </c>
      <c r="N39" s="220" t="str">
        <f t="shared" si="7"/>
        <v/>
      </c>
      <c r="O39" s="220" t="str">
        <f t="shared" si="8"/>
        <v/>
      </c>
      <c r="P39" s="52" t="str">
        <f t="shared" si="9"/>
        <v>9B55</v>
      </c>
      <c r="Q39" s="231" t="str">
        <f t="shared" si="10"/>
        <v>27</v>
      </c>
      <c r="R39" s="224">
        <f t="shared" si="11"/>
        <v>26.333333333333332</v>
      </c>
      <c r="S39" s="52">
        <f t="shared" si="12"/>
        <v>26</v>
      </c>
      <c r="T39" s="221">
        <f t="shared" ca="1" si="13"/>
        <v>1.07</v>
      </c>
      <c r="U39" s="221" t="str">
        <f t="shared" si="14"/>
        <v/>
      </c>
      <c r="V39" s="220" t="str">
        <f t="array" ref="V39">INDEX(P:P,MAX(U$3:U39))</f>
        <v>9B#1DTR</v>
      </c>
      <c r="W39" s="220" t="str">
        <f t="shared" ca="1" si="15"/>
        <v/>
      </c>
      <c r="X39" s="220">
        <f t="shared" si="16"/>
        <v>22.8</v>
      </c>
      <c r="Y39" s="220">
        <f t="shared" si="2"/>
        <v>0</v>
      </c>
      <c r="AA39" s="220" t="str">
        <f t="shared" si="3"/>
        <v>線西</v>
      </c>
      <c r="AB39" s="220" t="s">
        <v>1283</v>
      </c>
      <c r="AC39" s="220" t="str">
        <f t="shared" si="20"/>
        <v>9B55</v>
      </c>
      <c r="AE39" t="s">
        <v>5862</v>
      </c>
      <c r="AF39" t="s">
        <v>5863</v>
      </c>
      <c r="AJ39" t="s">
        <v>1994</v>
      </c>
      <c r="AK39" t="s">
        <v>2037</v>
      </c>
      <c r="AM39" s="467" t="str">
        <f t="shared" si="4"/>
        <v>IX</v>
      </c>
      <c r="AN39" t="str">
        <f t="shared" si="0"/>
        <v>北斗S/S</v>
      </c>
      <c r="AO39" s="467" t="str">
        <f t="shared" si="1"/>
        <v>SS</v>
      </c>
      <c r="AQ39" s="2" t="e">
        <f>VLOOKUP(總表!A45,DATA!$AB$3:$AC$829,2,0)</f>
        <v>#N/A</v>
      </c>
      <c r="AR39" s="2" t="e">
        <f>VLOOKUP(總表!A45,變電所別!$K$2:$L$41,2,1)</f>
        <v>#N/A</v>
      </c>
      <c r="AS39" s="2" t="e">
        <f>VLOOKUP(總表!B45,DATA!$AB$3:$AC$829,2,0)</f>
        <v>#N/A</v>
      </c>
      <c r="AT39" s="2" t="e">
        <f>VLOOKUP(總表!B45,變電所別!$K$2:$L$41,2,1)</f>
        <v>#N/A</v>
      </c>
      <c r="AU39" s="258" t="s">
        <v>2735</v>
      </c>
      <c r="AV39" s="1" t="s">
        <v>2736</v>
      </c>
      <c r="AW39" s="258" t="s">
        <v>2737</v>
      </c>
      <c r="BB39" s="514" t="s">
        <v>2076</v>
      </c>
      <c r="BC39" s="514">
        <v>6148</v>
      </c>
      <c r="BD39" s="514">
        <v>4</v>
      </c>
      <c r="BE39" s="514">
        <v>6152</v>
      </c>
      <c r="BG39" s="229" t="s">
        <v>8331</v>
      </c>
      <c r="BH39" s="230" t="s">
        <v>383</v>
      </c>
      <c r="BI39" t="s">
        <v>1283</v>
      </c>
      <c r="BJ39" t="s">
        <v>2068</v>
      </c>
    </row>
    <row r="40" spans="1:62" ht="21">
      <c r="A40" s="229" t="s">
        <v>5812</v>
      </c>
      <c r="B40" s="230" t="s">
        <v>5864</v>
      </c>
      <c r="C40" s="230" t="s">
        <v>5615</v>
      </c>
      <c r="D40" s="229" t="s">
        <v>5628</v>
      </c>
      <c r="E40" s="229" t="s">
        <v>5615</v>
      </c>
      <c r="F40" s="229" t="s">
        <v>5628</v>
      </c>
      <c r="G40" s="229" t="s">
        <v>5699</v>
      </c>
      <c r="H40" s="229" t="s">
        <v>5599</v>
      </c>
      <c r="I40" s="229" t="s">
        <v>5615</v>
      </c>
      <c r="J40" s="231" t="s">
        <v>5699</v>
      </c>
      <c r="K40" s="231" t="s">
        <v>5595</v>
      </c>
      <c r="L40" s="220" t="str">
        <f t="shared" si="5"/>
        <v>9B56</v>
      </c>
      <c r="M40" s="220" t="str">
        <f t="shared" si="6"/>
        <v/>
      </c>
      <c r="N40" s="220" t="str">
        <f t="shared" si="7"/>
        <v/>
      </c>
      <c r="O40" s="220" t="str">
        <f t="shared" si="8"/>
        <v/>
      </c>
      <c r="P40" s="52" t="str">
        <f t="shared" si="9"/>
        <v>9B56</v>
      </c>
      <c r="Q40" s="231" t="str">
        <f t="shared" si="10"/>
        <v>0</v>
      </c>
      <c r="R40" s="224">
        <f t="shared" si="11"/>
        <v>0</v>
      </c>
      <c r="S40" s="52">
        <f t="shared" si="12"/>
        <v>0</v>
      </c>
      <c r="T40" s="221">
        <f t="shared" ca="1" si="13"/>
        <v>0</v>
      </c>
      <c r="U40" s="221" t="str">
        <f t="shared" si="14"/>
        <v/>
      </c>
      <c r="V40" s="220" t="str">
        <f t="array" ref="V40">INDEX(P:P,MAX(U$3:U40))</f>
        <v>9B#1DTR</v>
      </c>
      <c r="W40" s="220" t="str">
        <f t="shared" ca="1" si="15"/>
        <v/>
      </c>
      <c r="X40" s="220">
        <f t="shared" si="16"/>
        <v>22.8</v>
      </c>
      <c r="Y40" s="220">
        <f t="shared" si="2"/>
        <v>0</v>
      </c>
      <c r="AA40" s="220" t="str">
        <f t="shared" si="3"/>
        <v>線西</v>
      </c>
      <c r="AB40" s="220" t="s">
        <v>1918</v>
      </c>
      <c r="AC40" s="220" t="str">
        <f t="shared" si="20"/>
        <v>9B56</v>
      </c>
      <c r="AE40" t="s">
        <v>5865</v>
      </c>
      <c r="AF40" t="s">
        <v>5866</v>
      </c>
      <c r="AJ40" t="s">
        <v>1995</v>
      </c>
      <c r="AK40" t="s">
        <v>2037</v>
      </c>
      <c r="AM40" s="467" t="str">
        <f t="shared" si="4"/>
        <v>IY</v>
      </c>
      <c r="AN40" t="str">
        <f t="shared" si="0"/>
        <v>芳苑S/S</v>
      </c>
      <c r="AO40" s="467" t="str">
        <f t="shared" si="1"/>
        <v>SS</v>
      </c>
      <c r="AQ40" s="2" t="e">
        <f>VLOOKUP(總表!A46,DATA!$AB$3:$AC$829,2,0)</f>
        <v>#N/A</v>
      </c>
      <c r="AR40" s="2" t="e">
        <f>VLOOKUP(總表!A46,變電所別!$K$2:$L$41,2,1)</f>
        <v>#N/A</v>
      </c>
      <c r="AS40" s="2" t="e">
        <f>VLOOKUP(總表!B46,DATA!$AB$3:$AC$829,2,0)</f>
        <v>#N/A</v>
      </c>
      <c r="AT40" s="2" t="e">
        <f>VLOOKUP(總表!B46,變電所別!$K$2:$L$41,2,1)</f>
        <v>#N/A</v>
      </c>
      <c r="AU40" s="258" t="s">
        <v>2738</v>
      </c>
      <c r="AV40" s="1" t="s">
        <v>2739</v>
      </c>
      <c r="AW40" s="258" t="s">
        <v>2740</v>
      </c>
      <c r="BB40" s="514" t="s">
        <v>2077</v>
      </c>
      <c r="BC40" s="514">
        <v>827</v>
      </c>
      <c r="BD40" s="514">
        <v>8</v>
      </c>
      <c r="BE40" s="514">
        <v>835</v>
      </c>
      <c r="BG40" s="229" t="s">
        <v>8336</v>
      </c>
      <c r="BH40" s="230" t="s">
        <v>8337</v>
      </c>
      <c r="BI40" t="s">
        <v>1918</v>
      </c>
      <c r="BJ40" t="s">
        <v>2068</v>
      </c>
    </row>
    <row r="41" spans="1:62" ht="21">
      <c r="A41" s="229" t="s">
        <v>5833</v>
      </c>
      <c r="B41" s="230" t="s">
        <v>5867</v>
      </c>
      <c r="C41" s="230" t="s">
        <v>5868</v>
      </c>
      <c r="D41" s="229" t="s">
        <v>5869</v>
      </c>
      <c r="E41" s="229" t="s">
        <v>5870</v>
      </c>
      <c r="F41" s="229" t="s">
        <v>5869</v>
      </c>
      <c r="G41" s="229" t="s">
        <v>5871</v>
      </c>
      <c r="H41" s="229" t="s">
        <v>5869</v>
      </c>
      <c r="I41" s="229" t="s">
        <v>5872</v>
      </c>
      <c r="J41" s="231" t="s">
        <v>5615</v>
      </c>
      <c r="K41" s="231" t="s">
        <v>5628</v>
      </c>
      <c r="L41" s="220" t="str">
        <f t="shared" si="5"/>
        <v>9B57</v>
      </c>
      <c r="M41" s="220" t="str">
        <f t="shared" si="6"/>
        <v/>
      </c>
      <c r="N41" s="220" t="str">
        <f t="shared" si="7"/>
        <v/>
      </c>
      <c r="O41" s="220" t="str">
        <f t="shared" si="8"/>
        <v/>
      </c>
      <c r="P41" s="52" t="str">
        <f t="shared" si="9"/>
        <v>9B57</v>
      </c>
      <c r="Q41" s="231" t="str">
        <f t="shared" si="10"/>
        <v>141</v>
      </c>
      <c r="R41" s="224">
        <f t="shared" si="11"/>
        <v>136.33333333333334</v>
      </c>
      <c r="S41" s="52">
        <f t="shared" si="12"/>
        <v>131</v>
      </c>
      <c r="T41" s="221">
        <f t="shared" ca="1" si="13"/>
        <v>5.57</v>
      </c>
      <c r="U41" s="221" t="str">
        <f t="shared" si="14"/>
        <v/>
      </c>
      <c r="V41" s="220" t="str">
        <f t="array" ref="V41">INDEX(P:P,MAX(U$3:U41))</f>
        <v>9B#1DTR</v>
      </c>
      <c r="W41" s="220" t="str">
        <f t="shared" ca="1" si="15"/>
        <v/>
      </c>
      <c r="X41" s="220">
        <f t="shared" si="16"/>
        <v>22.8</v>
      </c>
      <c r="Y41" s="220">
        <f t="shared" si="2"/>
        <v>0</v>
      </c>
      <c r="AA41" s="220" t="str">
        <f t="shared" si="3"/>
        <v>線西</v>
      </c>
      <c r="AB41" s="220" t="s">
        <v>1331</v>
      </c>
      <c r="AC41" s="220" t="str">
        <f t="shared" si="20"/>
        <v>9B57</v>
      </c>
      <c r="AE41" t="s">
        <v>5873</v>
      </c>
      <c r="AF41" t="s">
        <v>5874</v>
      </c>
      <c r="AJ41" t="s">
        <v>5875</v>
      </c>
      <c r="AK41" t="s">
        <v>2037</v>
      </c>
      <c r="AM41" s="467" t="str">
        <f t="shared" si="4"/>
        <v>IZ</v>
      </c>
      <c r="AN41" t="str">
        <f t="shared" si="0"/>
        <v>全興E/S</v>
      </c>
      <c r="AO41" s="467" t="str">
        <f t="shared" si="1"/>
        <v>ES</v>
      </c>
      <c r="AQ41" s="2" t="e">
        <f>VLOOKUP(總表!A47,DATA!$AB$3:$AC$829,2,0)</f>
        <v>#N/A</v>
      </c>
      <c r="AR41" s="2" t="e">
        <f>VLOOKUP(總表!A47,變電所別!$K$2:$L$41,2,1)</f>
        <v>#N/A</v>
      </c>
      <c r="AS41" s="2" t="e">
        <f>VLOOKUP(總表!B47,DATA!$AB$3:$AC$829,2,0)</f>
        <v>#N/A</v>
      </c>
      <c r="AT41" s="2" t="e">
        <f>VLOOKUP(總表!B47,變電所別!$K$2:$L$41,2,1)</f>
        <v>#N/A</v>
      </c>
      <c r="AU41" s="258" t="s">
        <v>2741</v>
      </c>
      <c r="AV41" s="1" t="s">
        <v>2742</v>
      </c>
      <c r="AW41" s="258" t="s">
        <v>2743</v>
      </c>
      <c r="BB41" s="514" t="s">
        <v>1924</v>
      </c>
      <c r="BC41" s="514">
        <v>3097</v>
      </c>
      <c r="BD41" s="514">
        <v>1</v>
      </c>
      <c r="BE41" s="514">
        <v>3098</v>
      </c>
      <c r="BG41" s="229" t="s">
        <v>8336</v>
      </c>
      <c r="BH41" s="230" t="s">
        <v>384</v>
      </c>
      <c r="BI41" t="s">
        <v>1331</v>
      </c>
      <c r="BJ41" t="s">
        <v>2068</v>
      </c>
    </row>
    <row r="42" spans="1:62" ht="21">
      <c r="A42" s="229" t="s">
        <v>5</v>
      </c>
      <c r="B42" s="230" t="s">
        <v>5876</v>
      </c>
      <c r="C42" s="230" t="s">
        <v>5615</v>
      </c>
      <c r="D42" s="229" t="s">
        <v>5599</v>
      </c>
      <c r="E42" s="229" t="s">
        <v>5694</v>
      </c>
      <c r="F42" s="229" t="s">
        <v>5599</v>
      </c>
      <c r="G42" s="229" t="s">
        <v>5614</v>
      </c>
      <c r="H42" s="229" t="s">
        <v>5599</v>
      </c>
      <c r="I42" s="229" t="s">
        <v>5615</v>
      </c>
      <c r="J42" s="231" t="s">
        <v>5615</v>
      </c>
      <c r="K42" s="231" t="s">
        <v>784</v>
      </c>
      <c r="L42" s="220" t="str">
        <f t="shared" si="5"/>
        <v>9B58</v>
      </c>
      <c r="M42" s="220" t="str">
        <f t="shared" si="6"/>
        <v/>
      </c>
      <c r="N42" s="220" t="str">
        <f t="shared" si="7"/>
        <v/>
      </c>
      <c r="O42" s="220" t="str">
        <f t="shared" si="8"/>
        <v/>
      </c>
      <c r="P42" s="52" t="str">
        <f t="shared" si="9"/>
        <v>9B58</v>
      </c>
      <c r="Q42" s="231" t="str">
        <f t="shared" si="10"/>
        <v>0</v>
      </c>
      <c r="R42" s="224">
        <f t="shared" si="11"/>
        <v>0</v>
      </c>
      <c r="S42" s="52">
        <f t="shared" si="12"/>
        <v>0</v>
      </c>
      <c r="T42" s="221">
        <f t="shared" ca="1" si="13"/>
        <v>0</v>
      </c>
      <c r="U42" s="221" t="str">
        <f t="shared" si="14"/>
        <v/>
      </c>
      <c r="V42" s="220" t="str">
        <f t="array" ref="V42">INDEX(P:P,MAX(U$3:U42))</f>
        <v>9B#1DTR</v>
      </c>
      <c r="W42" s="220" t="str">
        <f t="shared" ca="1" si="15"/>
        <v/>
      </c>
      <c r="X42" s="220">
        <f t="shared" si="16"/>
        <v>22.8</v>
      </c>
      <c r="Y42" s="220">
        <f t="shared" si="2"/>
        <v>0</v>
      </c>
      <c r="AA42" s="220" t="str">
        <f t="shared" si="3"/>
        <v>線西</v>
      </c>
      <c r="AB42" s="220" t="s">
        <v>1919</v>
      </c>
      <c r="AC42" s="220" t="str">
        <f t="shared" si="20"/>
        <v>9B58</v>
      </c>
      <c r="AJ42" t="s">
        <v>5877</v>
      </c>
      <c r="AK42" t="s">
        <v>5878</v>
      </c>
      <c r="AQ42" s="250"/>
      <c r="AR42" s="250"/>
      <c r="AS42" s="250"/>
      <c r="AT42" s="250"/>
      <c r="AU42" s="483"/>
      <c r="AV42" s="250"/>
      <c r="AW42" s="483"/>
      <c r="BB42" s="514" t="s">
        <v>2078</v>
      </c>
      <c r="BC42" s="514">
        <v>2973</v>
      </c>
      <c r="BD42" s="514">
        <v>5</v>
      </c>
      <c r="BE42" s="514">
        <v>2978</v>
      </c>
      <c r="BG42" s="229" t="s">
        <v>5</v>
      </c>
      <c r="BH42" s="230" t="s">
        <v>385</v>
      </c>
      <c r="BI42" t="s">
        <v>1919</v>
      </c>
      <c r="BJ42" t="s">
        <v>2068</v>
      </c>
    </row>
    <row r="43" spans="1:62">
      <c r="A43" s="229" t="s">
        <v>5825</v>
      </c>
      <c r="B43" s="230" t="s">
        <v>5879</v>
      </c>
      <c r="C43" s="230" t="s">
        <v>5880</v>
      </c>
      <c r="D43" s="229" t="s">
        <v>5766</v>
      </c>
      <c r="E43" s="229" t="s">
        <v>5881</v>
      </c>
      <c r="F43" s="229" t="s">
        <v>5722</v>
      </c>
      <c r="G43" s="229" t="s">
        <v>5882</v>
      </c>
      <c r="H43" s="229" t="s">
        <v>5722</v>
      </c>
      <c r="I43" s="229" t="s">
        <v>5883</v>
      </c>
      <c r="J43" s="231" t="s">
        <v>5710</v>
      </c>
      <c r="K43" s="231" t="s">
        <v>5585</v>
      </c>
      <c r="L43" s="220" t="str">
        <f t="shared" si="5"/>
        <v>9B#2DTR(A)</v>
      </c>
      <c r="M43" s="220" t="str">
        <f t="shared" si="6"/>
        <v>(A)</v>
      </c>
      <c r="N43" s="220" t="str">
        <f t="shared" si="7"/>
        <v>9B#2DTR</v>
      </c>
      <c r="O43" s="220" t="str">
        <f t="shared" si="8"/>
        <v>(A)</v>
      </c>
      <c r="P43" s="52" t="str">
        <f t="shared" si="9"/>
        <v>9B#2DTR(A)</v>
      </c>
      <c r="Q43" s="231" t="str">
        <f t="shared" si="10"/>
        <v>480</v>
      </c>
      <c r="R43" s="224">
        <f t="shared" si="11"/>
        <v>477.33333333333331</v>
      </c>
      <c r="S43" s="52">
        <f t="shared" si="12"/>
        <v>473</v>
      </c>
      <c r="T43" s="221">
        <f t="shared" ca="1" si="13"/>
        <v>18.96</v>
      </c>
      <c r="U43" s="221">
        <f t="shared" si="14"/>
        <v>43</v>
      </c>
      <c r="V43" s="220" t="str">
        <f t="array" ref="V43">INDEX(P:P,MAX(U$3:U43))</f>
        <v>9B#2DTR(A)</v>
      </c>
      <c r="W43" s="220">
        <f t="shared" ca="1" si="15"/>
        <v>60</v>
      </c>
      <c r="X43" s="220" t="str">
        <f t="shared" si="16"/>
        <v/>
      </c>
      <c r="Y43" s="220">
        <f t="shared" si="2"/>
        <v>0</v>
      </c>
      <c r="AA43" s="220" t="str">
        <f t="shared" si="3"/>
        <v>線西</v>
      </c>
      <c r="AB43" s="220" t="s">
        <v>2069</v>
      </c>
      <c r="AC43" s="220" t="s">
        <v>2069</v>
      </c>
      <c r="AJ43" t="s">
        <v>1998</v>
      </c>
      <c r="AK43" t="s">
        <v>2038</v>
      </c>
      <c r="BB43" s="514" t="s">
        <v>1442</v>
      </c>
      <c r="BC43" s="514">
        <v>1495</v>
      </c>
      <c r="BD43" s="514">
        <v>1</v>
      </c>
      <c r="BE43" s="514">
        <v>1496</v>
      </c>
      <c r="BG43" s="229" t="s">
        <v>8338</v>
      </c>
      <c r="BH43" s="230" t="s">
        <v>386</v>
      </c>
      <c r="BI43" t="s">
        <v>2069</v>
      </c>
      <c r="BJ43" t="s">
        <v>2069</v>
      </c>
    </row>
    <row r="44" spans="1:62">
      <c r="A44" s="229" t="s">
        <v>5833</v>
      </c>
      <c r="B44" s="230" t="s">
        <v>5884</v>
      </c>
      <c r="C44" s="230" t="s">
        <v>5699</v>
      </c>
      <c r="D44" s="229" t="s">
        <v>5599</v>
      </c>
      <c r="E44" s="229" t="s">
        <v>5615</v>
      </c>
      <c r="F44" s="229" t="s">
        <v>5599</v>
      </c>
      <c r="G44" s="229" t="s">
        <v>5615</v>
      </c>
      <c r="H44" s="229" t="s">
        <v>5599</v>
      </c>
      <c r="I44" s="229" t="s">
        <v>5699</v>
      </c>
      <c r="J44" s="231" t="s">
        <v>5694</v>
      </c>
      <c r="K44" s="231" t="s">
        <v>5628</v>
      </c>
      <c r="L44" s="220" t="str">
        <f t="shared" si="5"/>
        <v>9B61</v>
      </c>
      <c r="M44" s="220" t="str">
        <f t="shared" si="6"/>
        <v/>
      </c>
      <c r="N44" s="220" t="str">
        <f t="shared" si="7"/>
        <v/>
      </c>
      <c r="O44" s="220" t="str">
        <f t="shared" si="8"/>
        <v/>
      </c>
      <c r="P44" s="52" t="str">
        <f t="shared" si="9"/>
        <v>9B61</v>
      </c>
      <c r="Q44" s="231" t="str">
        <f t="shared" si="10"/>
        <v>0</v>
      </c>
      <c r="R44" s="224">
        <f t="shared" si="11"/>
        <v>0</v>
      </c>
      <c r="S44" s="52">
        <f t="shared" si="12"/>
        <v>0</v>
      </c>
      <c r="T44" s="221">
        <f t="shared" ca="1" si="13"/>
        <v>0</v>
      </c>
      <c r="U44" s="221" t="str">
        <f t="shared" si="14"/>
        <v/>
      </c>
      <c r="V44" s="220" t="str">
        <f t="array" ref="V44">INDEX(P:P,MAX(U$3:U44))</f>
        <v>9B#2DTR(A)</v>
      </c>
      <c r="W44" s="220" t="str">
        <f t="shared" ca="1" si="15"/>
        <v/>
      </c>
      <c r="X44" s="220">
        <f t="shared" si="16"/>
        <v>22.8</v>
      </c>
      <c r="Y44" s="220">
        <f t="shared" si="2"/>
        <v>0</v>
      </c>
      <c r="AA44" s="220" t="str">
        <f t="shared" si="3"/>
        <v>線西</v>
      </c>
      <c r="AB44" s="220" t="s">
        <v>1999</v>
      </c>
      <c r="AC44" s="220" t="str">
        <f>LEFT(B44,4)</f>
        <v>9B61</v>
      </c>
      <c r="AJ44" t="s">
        <v>5885</v>
      </c>
      <c r="AK44" t="s">
        <v>2038</v>
      </c>
      <c r="BB44" s="514" t="s">
        <v>1452</v>
      </c>
      <c r="BC44" s="514">
        <v>2421</v>
      </c>
      <c r="BD44" s="514" t="s">
        <v>85</v>
      </c>
      <c r="BE44" s="514">
        <v>2421</v>
      </c>
      <c r="BG44" s="229" t="s">
        <v>8331</v>
      </c>
      <c r="BH44" s="230" t="s">
        <v>8339</v>
      </c>
      <c r="BI44" t="s">
        <v>1999</v>
      </c>
      <c r="BJ44" t="s">
        <v>2069</v>
      </c>
    </row>
    <row r="45" spans="1:62">
      <c r="A45" s="229" t="s">
        <v>5825</v>
      </c>
      <c r="B45" s="230" t="s">
        <v>5886</v>
      </c>
      <c r="C45" s="230" t="s">
        <v>5887</v>
      </c>
      <c r="D45" s="229" t="s">
        <v>5580</v>
      </c>
      <c r="E45" s="229" t="s">
        <v>5652</v>
      </c>
      <c r="F45" s="229" t="s">
        <v>5625</v>
      </c>
      <c r="G45" s="229" t="s">
        <v>5889</v>
      </c>
      <c r="H45" s="229" t="s">
        <v>5625</v>
      </c>
      <c r="I45" s="229" t="s">
        <v>5652</v>
      </c>
      <c r="J45" s="231" t="s">
        <v>5694</v>
      </c>
      <c r="K45" s="231" t="s">
        <v>5595</v>
      </c>
      <c r="L45" s="220" t="str">
        <f t="shared" si="5"/>
        <v>9B62</v>
      </c>
      <c r="M45" s="220" t="str">
        <f t="shared" si="6"/>
        <v/>
      </c>
      <c r="N45" s="220" t="str">
        <f t="shared" si="7"/>
        <v/>
      </c>
      <c r="O45" s="220" t="str">
        <f t="shared" si="8"/>
        <v/>
      </c>
      <c r="P45" s="52" t="str">
        <f t="shared" si="9"/>
        <v>9B62</v>
      </c>
      <c r="Q45" s="231" t="str">
        <f t="shared" si="10"/>
        <v>163</v>
      </c>
      <c r="R45" s="224">
        <f t="shared" si="11"/>
        <v>160</v>
      </c>
      <c r="S45" s="52">
        <f t="shared" si="12"/>
        <v>157</v>
      </c>
      <c r="T45" s="221">
        <f t="shared" ca="1" si="13"/>
        <v>6.44</v>
      </c>
      <c r="U45" s="221" t="str">
        <f t="shared" si="14"/>
        <v/>
      </c>
      <c r="V45" s="220" t="str">
        <f t="array" ref="V45">INDEX(P:P,MAX(U$3:U45))</f>
        <v>9B#2DTR(A)</v>
      </c>
      <c r="W45" s="220" t="str">
        <f t="shared" ca="1" si="15"/>
        <v/>
      </c>
      <c r="X45" s="220">
        <f t="shared" si="16"/>
        <v>22.8</v>
      </c>
      <c r="Y45" s="220">
        <f t="shared" si="2"/>
        <v>0</v>
      </c>
      <c r="AA45" s="220" t="str">
        <f t="shared" si="3"/>
        <v>線西</v>
      </c>
      <c r="AB45" s="220" t="s">
        <v>1451</v>
      </c>
      <c r="AC45" s="220" t="str">
        <f>LEFT(B45,4)</f>
        <v>9B62</v>
      </c>
      <c r="AJ45" t="s">
        <v>1283</v>
      </c>
      <c r="AK45" t="s">
        <v>2037</v>
      </c>
      <c r="BB45" s="514" t="s">
        <v>1488</v>
      </c>
      <c r="BC45" s="514">
        <v>2778</v>
      </c>
      <c r="BD45" s="514">
        <v>1</v>
      </c>
      <c r="BE45" s="514">
        <v>2779</v>
      </c>
      <c r="BG45" s="229" t="s">
        <v>5</v>
      </c>
      <c r="BH45" s="230" t="s">
        <v>8340</v>
      </c>
      <c r="BI45" t="s">
        <v>1451</v>
      </c>
      <c r="BJ45" t="s">
        <v>2069</v>
      </c>
    </row>
    <row r="46" spans="1:62">
      <c r="A46" s="229" t="s">
        <v>5833</v>
      </c>
      <c r="B46" s="230" t="s">
        <v>5890</v>
      </c>
      <c r="C46" s="230" t="s">
        <v>5891</v>
      </c>
      <c r="D46" s="229" t="s">
        <v>797</v>
      </c>
      <c r="E46" s="229" t="s">
        <v>5892</v>
      </c>
      <c r="F46" s="229" t="s">
        <v>5722</v>
      </c>
      <c r="G46" s="229" t="s">
        <v>5893</v>
      </c>
      <c r="H46" s="229" t="s">
        <v>5764</v>
      </c>
      <c r="I46" s="229" t="s">
        <v>5894</v>
      </c>
      <c r="J46" s="231" t="s">
        <v>5861</v>
      </c>
      <c r="K46" s="231" t="s">
        <v>5895</v>
      </c>
      <c r="L46" s="220" t="str">
        <f t="shared" si="5"/>
        <v>9B63</v>
      </c>
      <c r="M46" s="220" t="str">
        <f t="shared" si="6"/>
        <v/>
      </c>
      <c r="N46" s="220" t="str">
        <f t="shared" si="7"/>
        <v/>
      </c>
      <c r="O46" s="220" t="str">
        <f t="shared" si="8"/>
        <v/>
      </c>
      <c r="P46" s="52" t="str">
        <f t="shared" si="9"/>
        <v>9B63</v>
      </c>
      <c r="Q46" s="231" t="str">
        <f t="shared" si="10"/>
        <v>146</v>
      </c>
      <c r="R46" s="224">
        <f t="shared" si="11"/>
        <v>144.33333333333334</v>
      </c>
      <c r="S46" s="52">
        <f t="shared" si="12"/>
        <v>142</v>
      </c>
      <c r="T46" s="221">
        <f t="shared" ca="1" si="13"/>
        <v>5.77</v>
      </c>
      <c r="U46" s="221" t="str">
        <f t="shared" si="14"/>
        <v/>
      </c>
      <c r="V46" s="220" t="str">
        <f t="array" ref="V46">INDEX(P:P,MAX(U$3:U46))</f>
        <v>9B#2DTR(A)</v>
      </c>
      <c r="W46" s="220" t="str">
        <f t="shared" ca="1" si="15"/>
        <v/>
      </c>
      <c r="X46" s="220">
        <f t="shared" si="16"/>
        <v>22.8</v>
      </c>
      <c r="Y46" s="220">
        <f t="shared" si="2"/>
        <v>0</v>
      </c>
      <c r="AA46" s="220" t="str">
        <f t="shared" si="3"/>
        <v>線西</v>
      </c>
      <c r="AB46" s="220" t="s">
        <v>1487</v>
      </c>
      <c r="AC46" s="220" t="str">
        <f>LEFT(B46,4)</f>
        <v>9B63</v>
      </c>
      <c r="AJ46" t="s">
        <v>1918</v>
      </c>
      <c r="AK46" t="s">
        <v>5896</v>
      </c>
      <c r="BB46" s="514" t="s">
        <v>1503</v>
      </c>
      <c r="BC46" s="514">
        <v>1129</v>
      </c>
      <c r="BD46" s="514" t="s">
        <v>85</v>
      </c>
      <c r="BE46" s="514">
        <v>1129</v>
      </c>
      <c r="BG46" s="229" t="s">
        <v>5</v>
      </c>
      <c r="BH46" s="230" t="s">
        <v>8341</v>
      </c>
      <c r="BI46" t="s">
        <v>1487</v>
      </c>
      <c r="BJ46" t="s">
        <v>2069</v>
      </c>
    </row>
    <row r="47" spans="1:62">
      <c r="A47" s="229" t="s">
        <v>5825</v>
      </c>
      <c r="B47" s="230" t="s">
        <v>5897</v>
      </c>
      <c r="C47" s="230" t="s">
        <v>5898</v>
      </c>
      <c r="D47" s="229" t="s">
        <v>797</v>
      </c>
      <c r="E47" s="229" t="s">
        <v>5898</v>
      </c>
      <c r="F47" s="229" t="s">
        <v>5764</v>
      </c>
      <c r="G47" s="229" t="s">
        <v>5899</v>
      </c>
      <c r="H47" s="229" t="s">
        <v>5766</v>
      </c>
      <c r="I47" s="229" t="s">
        <v>5900</v>
      </c>
      <c r="J47" s="231" t="s">
        <v>5901</v>
      </c>
      <c r="K47" s="231" t="s">
        <v>5902</v>
      </c>
      <c r="L47" s="220" t="str">
        <f t="shared" si="5"/>
        <v>9B64</v>
      </c>
      <c r="M47" s="220" t="str">
        <f t="shared" si="6"/>
        <v/>
      </c>
      <c r="N47" s="220" t="str">
        <f t="shared" si="7"/>
        <v/>
      </c>
      <c r="O47" s="220" t="str">
        <f t="shared" si="8"/>
        <v/>
      </c>
      <c r="P47" s="52" t="str">
        <f t="shared" si="9"/>
        <v>9B64</v>
      </c>
      <c r="Q47" s="231" t="str">
        <f t="shared" si="10"/>
        <v>291</v>
      </c>
      <c r="R47" s="224">
        <f t="shared" si="11"/>
        <v>290.33333333333331</v>
      </c>
      <c r="S47" s="52">
        <f t="shared" si="12"/>
        <v>289</v>
      </c>
      <c r="T47" s="221">
        <f t="shared" ca="1" si="13"/>
        <v>11.49</v>
      </c>
      <c r="U47" s="221" t="str">
        <f t="shared" si="14"/>
        <v/>
      </c>
      <c r="V47" s="220" t="str">
        <f t="array" ref="V47">INDEX(P:P,MAX(U$3:U47))</f>
        <v>9B#2DTR(A)</v>
      </c>
      <c r="W47" s="220" t="str">
        <f t="shared" ca="1" si="15"/>
        <v/>
      </c>
      <c r="X47" s="220">
        <f t="shared" si="16"/>
        <v>22.8</v>
      </c>
      <c r="Y47" s="220">
        <f t="shared" si="2"/>
        <v>0</v>
      </c>
      <c r="AA47" s="220" t="str">
        <f t="shared" si="3"/>
        <v>線西</v>
      </c>
      <c r="AB47" s="220" t="s">
        <v>1502</v>
      </c>
      <c r="AC47" s="220" t="str">
        <f>LEFT(B47,4)</f>
        <v>9B64</v>
      </c>
      <c r="AJ47" t="s">
        <v>1919</v>
      </c>
      <c r="AK47" t="s">
        <v>5896</v>
      </c>
      <c r="BB47" s="514" t="s">
        <v>1537</v>
      </c>
      <c r="BC47" s="514">
        <v>1357</v>
      </c>
      <c r="BD47" s="514">
        <v>6</v>
      </c>
      <c r="BE47" s="514">
        <v>1363</v>
      </c>
      <c r="BG47" s="229" t="s">
        <v>8338</v>
      </c>
      <c r="BH47" s="230" t="s">
        <v>8342</v>
      </c>
      <c r="BI47" t="s">
        <v>1502</v>
      </c>
      <c r="BJ47" t="s">
        <v>2069</v>
      </c>
    </row>
    <row r="48" spans="1:62">
      <c r="A48" s="229" t="s">
        <v>5833</v>
      </c>
      <c r="B48" s="230" t="s">
        <v>5903</v>
      </c>
      <c r="C48" s="230" t="s">
        <v>5710</v>
      </c>
      <c r="D48" s="229" t="s">
        <v>5585</v>
      </c>
      <c r="E48" s="229" t="s">
        <v>5710</v>
      </c>
      <c r="F48" s="229" t="s">
        <v>5710</v>
      </c>
      <c r="G48" s="229" t="s">
        <v>5585</v>
      </c>
      <c r="H48" s="229" t="s">
        <v>5585</v>
      </c>
      <c r="I48" s="229" t="s">
        <v>5585</v>
      </c>
      <c r="J48" s="231" t="s">
        <v>5585</v>
      </c>
      <c r="K48" s="231" t="s">
        <v>5585</v>
      </c>
      <c r="L48" s="220" t="str">
        <f t="shared" si="5"/>
        <v>9BPV</v>
      </c>
      <c r="M48" s="220" t="str">
        <f t="shared" si="6"/>
        <v/>
      </c>
      <c r="N48" s="220" t="str">
        <f t="shared" si="7"/>
        <v/>
      </c>
      <c r="O48" s="220" t="str">
        <f t="shared" si="8"/>
        <v/>
      </c>
      <c r="P48" s="52" t="str">
        <f t="shared" si="9"/>
        <v>9BPV</v>
      </c>
      <c r="Q48" s="231" t="str">
        <f t="shared" si="10"/>
        <v xml:space="preserve"> </v>
      </c>
      <c r="R48" s="224" t="e">
        <f t="shared" si="11"/>
        <v>#VALUE!</v>
      </c>
      <c r="S48" s="52" t="e">
        <f t="shared" si="12"/>
        <v>#VALUE!</v>
      </c>
      <c r="T48" s="221" t="e">
        <f t="shared" ca="1" si="13"/>
        <v>#VALUE!</v>
      </c>
      <c r="U48" s="221" t="str">
        <f t="shared" si="14"/>
        <v/>
      </c>
      <c r="V48" s="220" t="str">
        <f t="array" ref="V48">INDEX(P:P,MAX(U$3:U48))</f>
        <v>9B#2DTR(A)</v>
      </c>
      <c r="W48" s="220" t="str">
        <f t="shared" ca="1" si="15"/>
        <v/>
      </c>
      <c r="X48" s="220" t="e">
        <f t="shared" si="16"/>
        <v>#VALUE!</v>
      </c>
      <c r="Y48" s="220">
        <f t="shared" si="2"/>
        <v>0</v>
      </c>
      <c r="AA48" s="220" t="str">
        <f t="shared" si="3"/>
        <v>線西</v>
      </c>
      <c r="AB48" s="220" t="s">
        <v>2070</v>
      </c>
      <c r="AC48" s="220" t="s">
        <v>2070</v>
      </c>
      <c r="AJ48" t="s">
        <v>5904</v>
      </c>
      <c r="AK48" t="s">
        <v>5896</v>
      </c>
      <c r="BB48" s="514" t="s">
        <v>1595</v>
      </c>
      <c r="BC48" s="514">
        <v>336</v>
      </c>
      <c r="BD48" s="514">
        <v>3</v>
      </c>
      <c r="BE48" s="514">
        <v>339</v>
      </c>
      <c r="BG48" s="229" t="s">
        <v>8338</v>
      </c>
      <c r="BH48" s="230" t="s">
        <v>387</v>
      </c>
      <c r="BI48" t="s">
        <v>2070</v>
      </c>
      <c r="BJ48" t="s">
        <v>2069</v>
      </c>
    </row>
    <row r="49" spans="1:62">
      <c r="A49" s="229" t="s">
        <v>5825</v>
      </c>
      <c r="B49" s="230" t="s">
        <v>5905</v>
      </c>
      <c r="C49" s="230" t="s">
        <v>5906</v>
      </c>
      <c r="D49" s="229" t="s">
        <v>5580</v>
      </c>
      <c r="E49" s="229" t="s">
        <v>5906</v>
      </c>
      <c r="F49" s="229" t="s">
        <v>5580</v>
      </c>
      <c r="G49" s="229" t="s">
        <v>5906</v>
      </c>
      <c r="H49" s="229" t="s">
        <v>5580</v>
      </c>
      <c r="I49" s="229" t="s">
        <v>5906</v>
      </c>
      <c r="J49" s="231" t="s">
        <v>5585</v>
      </c>
      <c r="K49" s="231" t="s">
        <v>5585</v>
      </c>
      <c r="L49" s="220" t="str">
        <f t="shared" si="5"/>
        <v>9B#2DTR(B)</v>
      </c>
      <c r="M49" s="220" t="str">
        <f t="shared" si="6"/>
        <v>(B)</v>
      </c>
      <c r="N49" s="220" t="str">
        <f t="shared" si="7"/>
        <v>9B#2DTR</v>
      </c>
      <c r="O49" s="220" t="str">
        <f t="shared" si="8"/>
        <v>(B)</v>
      </c>
      <c r="P49" s="52" t="str">
        <f t="shared" si="9"/>
        <v>9B#2DTR(B)</v>
      </c>
      <c r="Q49" s="231" t="str">
        <f t="shared" si="10"/>
        <v>111</v>
      </c>
      <c r="R49" s="224">
        <f t="shared" si="11"/>
        <v>111</v>
      </c>
      <c r="S49" s="52">
        <f t="shared" si="12"/>
        <v>111</v>
      </c>
      <c r="T49" s="221">
        <f t="shared" ca="1" si="13"/>
        <v>4.38</v>
      </c>
      <c r="U49" s="221">
        <f t="shared" si="14"/>
        <v>49</v>
      </c>
      <c r="V49" s="220" t="str">
        <f t="array" ref="V49">INDEX(P:P,MAX(U$3:U49))</f>
        <v>9B#2DTR(B)</v>
      </c>
      <c r="W49" s="220">
        <f t="shared" ca="1" si="15"/>
        <v>60</v>
      </c>
      <c r="X49" s="220" t="str">
        <f t="shared" si="16"/>
        <v/>
      </c>
      <c r="Y49" s="220">
        <f t="shared" si="2"/>
        <v>0</v>
      </c>
      <c r="AA49" s="220" t="str">
        <f t="shared" si="3"/>
        <v>線西</v>
      </c>
      <c r="AB49" s="220" t="s">
        <v>2071</v>
      </c>
      <c r="AC49" s="220" t="s">
        <v>2071</v>
      </c>
      <c r="AJ49" t="s">
        <v>1451</v>
      </c>
      <c r="AK49" t="s">
        <v>2037</v>
      </c>
      <c r="BB49" s="514" t="s">
        <v>1630</v>
      </c>
      <c r="BC49" s="514">
        <v>2526</v>
      </c>
      <c r="BD49" s="514" t="s">
        <v>85</v>
      </c>
      <c r="BE49" s="514">
        <v>2526</v>
      </c>
      <c r="BG49" s="229" t="s">
        <v>8338</v>
      </c>
      <c r="BH49" s="230" t="s">
        <v>388</v>
      </c>
      <c r="BI49" t="s">
        <v>2071</v>
      </c>
      <c r="BJ49" t="s">
        <v>2071</v>
      </c>
    </row>
    <row r="50" spans="1:62">
      <c r="A50" s="229" t="s">
        <v>5907</v>
      </c>
      <c r="B50" s="230" t="s">
        <v>5908</v>
      </c>
      <c r="C50" s="230" t="s">
        <v>5909</v>
      </c>
      <c r="D50" s="229" t="s">
        <v>5722</v>
      </c>
      <c r="E50" s="229" t="s">
        <v>5910</v>
      </c>
      <c r="F50" s="229" t="s">
        <v>5722</v>
      </c>
      <c r="G50" s="229" t="s">
        <v>5911</v>
      </c>
      <c r="H50" s="229" t="s">
        <v>5722</v>
      </c>
      <c r="I50" s="229" t="s">
        <v>5910</v>
      </c>
      <c r="J50" s="231" t="s">
        <v>5615</v>
      </c>
      <c r="K50" s="231" t="s">
        <v>5599</v>
      </c>
      <c r="L50" s="220" t="str">
        <f t="shared" si="5"/>
        <v>9B65</v>
      </c>
      <c r="M50" s="220" t="str">
        <f t="shared" si="6"/>
        <v/>
      </c>
      <c r="N50" s="220" t="str">
        <f t="shared" si="7"/>
        <v/>
      </c>
      <c r="O50" s="220" t="str">
        <f t="shared" si="8"/>
        <v/>
      </c>
      <c r="P50" s="52" t="str">
        <f t="shared" si="9"/>
        <v>9B65</v>
      </c>
      <c r="Q50" s="231" t="str">
        <f t="shared" si="10"/>
        <v>200</v>
      </c>
      <c r="R50" s="224">
        <f t="shared" si="11"/>
        <v>194.66666666666666</v>
      </c>
      <c r="S50" s="52">
        <f t="shared" si="12"/>
        <v>191</v>
      </c>
      <c r="T50" s="221">
        <f t="shared" ca="1" si="13"/>
        <v>7.9</v>
      </c>
      <c r="U50" s="221" t="str">
        <f t="shared" si="14"/>
        <v/>
      </c>
      <c r="V50" s="220" t="str">
        <f t="array" ref="V50">INDEX(P:P,MAX(U$3:U50))</f>
        <v>9B#2DTR(B)</v>
      </c>
      <c r="W50" s="220" t="str">
        <f t="shared" ca="1" si="15"/>
        <v/>
      </c>
      <c r="X50" s="220">
        <f t="shared" si="16"/>
        <v>22.8</v>
      </c>
      <c r="Y50" s="220">
        <f t="shared" si="2"/>
        <v>0</v>
      </c>
      <c r="AA50" s="220" t="str">
        <f t="shared" si="3"/>
        <v>線西</v>
      </c>
      <c r="AB50" s="220" t="s">
        <v>2001</v>
      </c>
      <c r="AC50" s="220" t="str">
        <f>LEFT(B50,4)</f>
        <v>9B65</v>
      </c>
      <c r="AJ50" t="s">
        <v>1629</v>
      </c>
      <c r="AK50" t="s">
        <v>2037</v>
      </c>
      <c r="BB50" s="514" t="s">
        <v>1644</v>
      </c>
      <c r="BC50" s="514">
        <v>1798</v>
      </c>
      <c r="BD50" s="514">
        <v>4</v>
      </c>
      <c r="BE50" s="514">
        <v>1802</v>
      </c>
      <c r="BG50" s="229" t="s">
        <v>8338</v>
      </c>
      <c r="BH50" s="230" t="s">
        <v>8343</v>
      </c>
      <c r="BI50" t="s">
        <v>2001</v>
      </c>
      <c r="BJ50" t="s">
        <v>2071</v>
      </c>
    </row>
    <row r="51" spans="1:62">
      <c r="A51" s="229" t="s">
        <v>5</v>
      </c>
      <c r="B51" s="230" t="s">
        <v>389</v>
      </c>
      <c r="C51" s="230" t="s">
        <v>5912</v>
      </c>
      <c r="D51" s="229" t="s">
        <v>797</v>
      </c>
      <c r="E51" s="229" t="s">
        <v>5913</v>
      </c>
      <c r="F51" s="229" t="s">
        <v>797</v>
      </c>
      <c r="G51" s="229" t="s">
        <v>947</v>
      </c>
      <c r="H51" s="229" t="s">
        <v>5914</v>
      </c>
      <c r="I51" s="229" t="s">
        <v>916</v>
      </c>
      <c r="J51" s="231" t="s">
        <v>5614</v>
      </c>
      <c r="K51" s="231" t="s">
        <v>784</v>
      </c>
      <c r="L51" s="220" t="str">
        <f t="shared" si="5"/>
        <v>9B66</v>
      </c>
      <c r="M51" s="220" t="str">
        <f t="shared" si="6"/>
        <v/>
      </c>
      <c r="N51" s="220" t="str">
        <f t="shared" si="7"/>
        <v/>
      </c>
      <c r="O51" s="220" t="str">
        <f t="shared" si="8"/>
        <v/>
      </c>
      <c r="P51" s="52" t="str">
        <f t="shared" si="9"/>
        <v>9B66</v>
      </c>
      <c r="Q51" s="231" t="str">
        <f t="shared" si="10"/>
        <v>200</v>
      </c>
      <c r="R51" s="224">
        <f t="shared" si="11"/>
        <v>198</v>
      </c>
      <c r="S51" s="52">
        <f t="shared" si="12"/>
        <v>197</v>
      </c>
      <c r="T51" s="221">
        <f t="shared" ca="1" si="13"/>
        <v>7.9</v>
      </c>
      <c r="U51" s="221" t="str">
        <f t="shared" si="14"/>
        <v/>
      </c>
      <c r="V51" s="220" t="str">
        <f t="array" ref="V51">INDEX(P:P,MAX(U$3:U51))</f>
        <v>9B#2DTR(B)</v>
      </c>
      <c r="W51" s="220" t="str">
        <f t="shared" ca="1" si="15"/>
        <v/>
      </c>
      <c r="X51" s="220">
        <f t="shared" si="16"/>
        <v>22.8</v>
      </c>
      <c r="Y51" s="220">
        <f t="shared" si="2"/>
        <v>0</v>
      </c>
      <c r="AA51" s="220" t="str">
        <f t="shared" si="3"/>
        <v>線西</v>
      </c>
      <c r="AB51" s="220" t="s">
        <v>1629</v>
      </c>
      <c r="AC51" s="220" t="str">
        <f>LEFT(B51,4)</f>
        <v>9B66</v>
      </c>
      <c r="AJ51" t="s">
        <v>2002</v>
      </c>
      <c r="AK51" t="s">
        <v>5915</v>
      </c>
      <c r="BB51" s="514" t="s">
        <v>1677</v>
      </c>
      <c r="BC51" s="514">
        <v>730</v>
      </c>
      <c r="BD51" s="514">
        <v>2</v>
      </c>
      <c r="BE51" s="514">
        <v>732</v>
      </c>
      <c r="BG51" s="229" t="s">
        <v>5</v>
      </c>
      <c r="BH51" s="230" t="s">
        <v>389</v>
      </c>
      <c r="BI51" t="s">
        <v>1629</v>
      </c>
      <c r="BJ51" t="s">
        <v>2071</v>
      </c>
    </row>
    <row r="52" spans="1:62">
      <c r="A52" s="229" t="s">
        <v>5587</v>
      </c>
      <c r="B52" s="230" t="s">
        <v>390</v>
      </c>
      <c r="C52" s="230" t="s">
        <v>5698</v>
      </c>
      <c r="D52" s="229" t="s">
        <v>5670</v>
      </c>
      <c r="E52" s="229" t="s">
        <v>5699</v>
      </c>
      <c r="F52" s="229" t="s">
        <v>5670</v>
      </c>
      <c r="G52" s="229" t="s">
        <v>5614</v>
      </c>
      <c r="H52" s="229" t="s">
        <v>5628</v>
      </c>
      <c r="I52" s="229" t="s">
        <v>5699</v>
      </c>
      <c r="J52" s="231" t="s">
        <v>5698</v>
      </c>
      <c r="K52" s="231" t="s">
        <v>5628</v>
      </c>
      <c r="L52" s="220" t="str">
        <f t="shared" si="5"/>
        <v>9B67</v>
      </c>
      <c r="M52" s="220" t="str">
        <f t="shared" si="6"/>
        <v/>
      </c>
      <c r="N52" s="220" t="str">
        <f t="shared" si="7"/>
        <v/>
      </c>
      <c r="O52" s="220" t="str">
        <f t="shared" si="8"/>
        <v/>
      </c>
      <c r="P52" s="52" t="str">
        <f t="shared" si="9"/>
        <v>9B67</v>
      </c>
      <c r="Q52" s="231" t="str">
        <f t="shared" si="10"/>
        <v>0</v>
      </c>
      <c r="R52" s="224">
        <f t="shared" si="11"/>
        <v>0</v>
      </c>
      <c r="S52" s="52">
        <f t="shared" si="12"/>
        <v>0</v>
      </c>
      <c r="T52" s="221">
        <f t="shared" ca="1" si="13"/>
        <v>0</v>
      </c>
      <c r="U52" s="221" t="str">
        <f t="shared" si="14"/>
        <v/>
      </c>
      <c r="V52" s="220" t="str">
        <f t="array" ref="V52">INDEX(P:P,MAX(U$3:U52))</f>
        <v>9B#2DTR(B)</v>
      </c>
      <c r="W52" s="220" t="str">
        <f t="shared" ca="1" si="15"/>
        <v/>
      </c>
      <c r="X52" s="220">
        <f t="shared" si="16"/>
        <v>22.8</v>
      </c>
      <c r="Y52" s="220">
        <f t="shared" si="2"/>
        <v>0</v>
      </c>
      <c r="AA52" s="220" t="str">
        <f t="shared" si="3"/>
        <v>線西</v>
      </c>
      <c r="AB52" s="220" t="s">
        <v>2002</v>
      </c>
      <c r="AC52" s="220" t="str">
        <f>LEFT(B52,4)</f>
        <v>9B67</v>
      </c>
      <c r="AJ52" t="s">
        <v>2003</v>
      </c>
      <c r="AK52" t="s">
        <v>5896</v>
      </c>
      <c r="BB52" s="514" t="s">
        <v>1688</v>
      </c>
      <c r="BC52" s="514">
        <v>2608</v>
      </c>
      <c r="BD52" s="514">
        <v>1</v>
      </c>
      <c r="BE52" s="514">
        <v>2609</v>
      </c>
      <c r="BG52" s="229" t="s">
        <v>8331</v>
      </c>
      <c r="BH52" s="230" t="s">
        <v>390</v>
      </c>
      <c r="BI52" t="s">
        <v>2002</v>
      </c>
      <c r="BJ52" t="s">
        <v>2071</v>
      </c>
    </row>
    <row r="53" spans="1:62">
      <c r="A53" s="229" t="s">
        <v>5</v>
      </c>
      <c r="B53" s="230" t="s">
        <v>5916</v>
      </c>
      <c r="C53" s="230" t="s">
        <v>5614</v>
      </c>
      <c r="D53" s="229" t="s">
        <v>5628</v>
      </c>
      <c r="E53" s="229" t="s">
        <v>5614</v>
      </c>
      <c r="F53" s="229" t="s">
        <v>784</v>
      </c>
      <c r="G53" s="229" t="s">
        <v>5614</v>
      </c>
      <c r="H53" s="229" t="s">
        <v>5628</v>
      </c>
      <c r="I53" s="229" t="s">
        <v>5614</v>
      </c>
      <c r="J53" s="231" t="s">
        <v>5699</v>
      </c>
      <c r="K53" s="231" t="s">
        <v>5628</v>
      </c>
      <c r="L53" s="220" t="str">
        <f t="shared" si="5"/>
        <v>9B68</v>
      </c>
      <c r="M53" s="220" t="str">
        <f t="shared" si="6"/>
        <v/>
      </c>
      <c r="N53" s="220" t="str">
        <f t="shared" si="7"/>
        <v/>
      </c>
      <c r="O53" s="220" t="str">
        <f t="shared" si="8"/>
        <v/>
      </c>
      <c r="P53" s="52" t="str">
        <f t="shared" si="9"/>
        <v>9B68</v>
      </c>
      <c r="Q53" s="231" t="str">
        <f t="shared" si="10"/>
        <v>0</v>
      </c>
      <c r="R53" s="224">
        <f t="shared" si="11"/>
        <v>0</v>
      </c>
      <c r="S53" s="52">
        <f t="shared" si="12"/>
        <v>0</v>
      </c>
      <c r="T53" s="221">
        <f t="shared" ca="1" si="13"/>
        <v>0</v>
      </c>
      <c r="U53" s="221" t="str">
        <f t="shared" si="14"/>
        <v/>
      </c>
      <c r="V53" s="220" t="str">
        <f t="array" ref="V53">INDEX(P:P,MAX(U$3:U53))</f>
        <v>9B#2DTR(B)</v>
      </c>
      <c r="W53" s="220" t="str">
        <f t="shared" ca="1" si="15"/>
        <v/>
      </c>
      <c r="X53" s="220">
        <f t="shared" si="16"/>
        <v>22.8</v>
      </c>
      <c r="Y53" s="220">
        <f t="shared" si="2"/>
        <v>0</v>
      </c>
      <c r="AA53" s="220" t="str">
        <f t="shared" si="3"/>
        <v>線西</v>
      </c>
      <c r="AB53" s="220" t="s">
        <v>2003</v>
      </c>
      <c r="AC53" s="220" t="str">
        <f>LEFT(B53,4)</f>
        <v>9B68</v>
      </c>
      <c r="AJ53" t="s">
        <v>5917</v>
      </c>
      <c r="AK53" t="s">
        <v>2038</v>
      </c>
      <c r="BB53" s="514" t="s">
        <v>2082</v>
      </c>
      <c r="BC53" s="514">
        <v>954</v>
      </c>
      <c r="BD53" s="514">
        <v>3</v>
      </c>
      <c r="BE53" s="514">
        <v>957</v>
      </c>
      <c r="BG53" s="229" t="s">
        <v>8338</v>
      </c>
      <c r="BH53" s="230" t="s">
        <v>8344</v>
      </c>
      <c r="BI53" t="s">
        <v>2003</v>
      </c>
      <c r="BJ53" t="s">
        <v>2071</v>
      </c>
    </row>
    <row r="54" spans="1:62">
      <c r="A54" s="229" t="s">
        <v>5918</v>
      </c>
      <c r="B54" s="230" t="s">
        <v>5919</v>
      </c>
      <c r="C54" s="230" t="s">
        <v>5920</v>
      </c>
      <c r="D54" s="229" t="s">
        <v>804</v>
      </c>
      <c r="E54" s="229" t="s">
        <v>5921</v>
      </c>
      <c r="F54" s="229" t="s">
        <v>5922</v>
      </c>
      <c r="G54" s="229" t="s">
        <v>5923</v>
      </c>
      <c r="H54" s="229" t="s">
        <v>5924</v>
      </c>
      <c r="I54" s="229" t="s">
        <v>5925</v>
      </c>
      <c r="J54" s="231" t="s">
        <v>358</v>
      </c>
      <c r="K54" s="231" t="s">
        <v>5926</v>
      </c>
      <c r="L54" s="220" t="str">
        <f t="shared" si="5"/>
        <v>9C#1DTR(A)</v>
      </c>
      <c r="M54" s="220" t="str">
        <f t="shared" si="6"/>
        <v>(A)</v>
      </c>
      <c r="N54" s="220" t="str">
        <f t="shared" si="7"/>
        <v>9C#1DTR</v>
      </c>
      <c r="O54" s="220" t="str">
        <f t="shared" si="8"/>
        <v>(A)</v>
      </c>
      <c r="P54" s="52" t="str">
        <f t="shared" si="9"/>
        <v>9C#1DTR(A)</v>
      </c>
      <c r="Q54" s="231" t="str">
        <f t="shared" si="10"/>
        <v>858</v>
      </c>
      <c r="R54" s="224">
        <f t="shared" si="11"/>
        <v>807.66666666666663</v>
      </c>
      <c r="S54" s="52">
        <f t="shared" si="12"/>
        <v>765</v>
      </c>
      <c r="T54" s="221">
        <f t="shared" ca="1" si="13"/>
        <v>16.940000000000001</v>
      </c>
      <c r="U54" s="221">
        <f t="shared" si="14"/>
        <v>54</v>
      </c>
      <c r="V54" s="220" t="str">
        <f t="array" ref="V54">INDEX(P:P,MAX(U$3:U54))</f>
        <v>9C#1DTR(A)</v>
      </c>
      <c r="W54" s="220">
        <f t="shared" ca="1" si="15"/>
        <v>30</v>
      </c>
      <c r="X54" s="220" t="str">
        <f t="shared" si="16"/>
        <v/>
      </c>
      <c r="Y54" s="220">
        <f t="shared" si="2"/>
        <v>0</v>
      </c>
      <c r="AA54" s="220" t="str">
        <f t="shared" si="3"/>
        <v>員林</v>
      </c>
      <c r="AB54" s="220" t="s">
        <v>2072</v>
      </c>
      <c r="AC54" s="220" t="s">
        <v>2072</v>
      </c>
      <c r="AJ54" t="s">
        <v>5927</v>
      </c>
      <c r="AK54" t="s">
        <v>2037</v>
      </c>
      <c r="BB54" s="514" t="s">
        <v>2083</v>
      </c>
      <c r="BC54" s="514">
        <v>2823</v>
      </c>
      <c r="BD54" s="514">
        <v>4</v>
      </c>
      <c r="BE54" s="514">
        <v>2827</v>
      </c>
      <c r="BG54" s="229" t="s">
        <v>8345</v>
      </c>
      <c r="BH54" s="230" t="s">
        <v>8346</v>
      </c>
      <c r="BI54" t="s">
        <v>2072</v>
      </c>
      <c r="BJ54" t="s">
        <v>2072</v>
      </c>
    </row>
    <row r="55" spans="1:62">
      <c r="A55" s="229" t="s">
        <v>5928</v>
      </c>
      <c r="B55" s="230" t="s">
        <v>5929</v>
      </c>
      <c r="C55" s="230" t="s">
        <v>5930</v>
      </c>
      <c r="D55" s="229" t="s">
        <v>5931</v>
      </c>
      <c r="E55" s="229" t="s">
        <v>5932</v>
      </c>
      <c r="F55" s="229" t="s">
        <v>5933</v>
      </c>
      <c r="G55" s="229" t="s">
        <v>5934</v>
      </c>
      <c r="H55" s="229" t="s">
        <v>5836</v>
      </c>
      <c r="I55" s="229" t="s">
        <v>5935</v>
      </c>
      <c r="J55" s="231" t="s">
        <v>5936</v>
      </c>
      <c r="K55" s="231" t="s">
        <v>5937</v>
      </c>
      <c r="L55" s="220" t="str">
        <f t="shared" si="5"/>
        <v>9C20</v>
      </c>
      <c r="M55" s="220" t="str">
        <f t="shared" si="6"/>
        <v/>
      </c>
      <c r="N55" s="220" t="str">
        <f t="shared" si="7"/>
        <v/>
      </c>
      <c r="O55" s="220" t="str">
        <f t="shared" si="8"/>
        <v/>
      </c>
      <c r="P55" s="52" t="str">
        <f t="shared" si="9"/>
        <v>9C20</v>
      </c>
      <c r="Q55" s="231" t="str">
        <f t="shared" si="10"/>
        <v>134</v>
      </c>
      <c r="R55" s="224">
        <f t="shared" si="11"/>
        <v>109.33333333333333</v>
      </c>
      <c r="S55" s="52">
        <f t="shared" si="12"/>
        <v>82</v>
      </c>
      <c r="T55" s="221">
        <f t="shared" ca="1" si="13"/>
        <v>2.65</v>
      </c>
      <c r="U55" s="221" t="str">
        <f t="shared" si="14"/>
        <v/>
      </c>
      <c r="V55" s="220" t="str">
        <f t="array" ref="V55">INDEX(P:P,MAX(U$3:U55))</f>
        <v>9C#1DTR(A)</v>
      </c>
      <c r="W55" s="220" t="str">
        <f t="shared" ca="1" si="15"/>
        <v/>
      </c>
      <c r="X55" s="220">
        <f t="shared" si="16"/>
        <v>11.4</v>
      </c>
      <c r="Y55" s="220">
        <f t="shared" si="2"/>
        <v>0</v>
      </c>
      <c r="AA55" s="220" t="str">
        <f t="shared" si="3"/>
        <v>員林</v>
      </c>
      <c r="AB55" s="220" t="s">
        <v>2073</v>
      </c>
      <c r="AC55" s="220" t="str">
        <f>LEFT(B55,4)</f>
        <v>9C20</v>
      </c>
      <c r="AJ55" t="s">
        <v>5938</v>
      </c>
      <c r="AK55" t="s">
        <v>2037</v>
      </c>
      <c r="BB55" s="514" t="s">
        <v>2007</v>
      </c>
      <c r="BC55" s="514" t="s">
        <v>85</v>
      </c>
      <c r="BD55" s="514" t="s">
        <v>85</v>
      </c>
      <c r="BE55" s="514">
        <v>0</v>
      </c>
      <c r="BG55" s="229" t="s">
        <v>8345</v>
      </c>
      <c r="BH55" s="230" t="s">
        <v>8347</v>
      </c>
      <c r="BI55" t="s">
        <v>2073</v>
      </c>
      <c r="BJ55" t="s">
        <v>2072</v>
      </c>
    </row>
    <row r="56" spans="1:62">
      <c r="A56" s="229" t="s">
        <v>5939</v>
      </c>
      <c r="B56" s="230" t="s">
        <v>5940</v>
      </c>
      <c r="C56" s="230" t="s">
        <v>5698</v>
      </c>
      <c r="D56" s="229" t="s">
        <v>5670</v>
      </c>
      <c r="E56" s="229" t="s">
        <v>5698</v>
      </c>
      <c r="F56" s="229" t="s">
        <v>5670</v>
      </c>
      <c r="G56" s="229" t="s">
        <v>5698</v>
      </c>
      <c r="H56" s="229" t="s">
        <v>5670</v>
      </c>
      <c r="I56" s="229" t="s">
        <v>5698</v>
      </c>
      <c r="J56" s="231" t="s">
        <v>5698</v>
      </c>
      <c r="K56" s="231" t="s">
        <v>5670</v>
      </c>
      <c r="L56" s="220" t="str">
        <f t="shared" si="5"/>
        <v>9C21</v>
      </c>
      <c r="M56" s="220" t="str">
        <f t="shared" si="6"/>
        <v/>
      </c>
      <c r="N56" s="220" t="str">
        <f t="shared" si="7"/>
        <v/>
      </c>
      <c r="O56" s="220" t="str">
        <f t="shared" si="8"/>
        <v/>
      </c>
      <c r="P56" s="52" t="str">
        <f t="shared" si="9"/>
        <v>9C21</v>
      </c>
      <c r="Q56" s="231" t="str">
        <f t="shared" si="10"/>
        <v>0</v>
      </c>
      <c r="R56" s="224">
        <f t="shared" si="11"/>
        <v>0</v>
      </c>
      <c r="S56" s="52">
        <f t="shared" si="12"/>
        <v>0</v>
      </c>
      <c r="T56" s="221">
        <f t="shared" ca="1" si="13"/>
        <v>0</v>
      </c>
      <c r="U56" s="221" t="str">
        <f t="shared" si="14"/>
        <v/>
      </c>
      <c r="V56" s="220" t="str">
        <f t="array" ref="V56">INDEX(P:P,MAX(U$3:U56))</f>
        <v>9C#1DTR(A)</v>
      </c>
      <c r="W56" s="220" t="str">
        <f t="shared" ca="1" si="15"/>
        <v/>
      </c>
      <c r="X56" s="220">
        <f t="shared" si="16"/>
        <v>11.4</v>
      </c>
      <c r="Y56" s="220">
        <f t="shared" si="2"/>
        <v>0</v>
      </c>
      <c r="AA56" s="220" t="str">
        <f t="shared" si="3"/>
        <v>員林</v>
      </c>
      <c r="AB56" s="220" t="s">
        <v>1920</v>
      </c>
      <c r="AC56" s="220" t="str">
        <f>LEFT(B56,4)</f>
        <v>9C21</v>
      </c>
      <c r="AJ56" t="s">
        <v>5941</v>
      </c>
      <c r="AK56" t="s">
        <v>2037</v>
      </c>
      <c r="BB56" s="514" t="s">
        <v>2009</v>
      </c>
      <c r="BC56" s="514">
        <v>2199</v>
      </c>
      <c r="BD56" s="514">
        <v>6</v>
      </c>
      <c r="BE56" s="514">
        <v>2205</v>
      </c>
      <c r="BG56" s="229" t="s">
        <v>6</v>
      </c>
      <c r="BH56" s="230" t="s">
        <v>8348</v>
      </c>
      <c r="BI56" t="s">
        <v>1920</v>
      </c>
      <c r="BJ56" t="s">
        <v>2072</v>
      </c>
    </row>
    <row r="57" spans="1:62">
      <c r="A57" s="229" t="s">
        <v>5939</v>
      </c>
      <c r="B57" s="230" t="s">
        <v>5942</v>
      </c>
      <c r="C57" s="230" t="s">
        <v>5943</v>
      </c>
      <c r="D57" s="229" t="s">
        <v>5944</v>
      </c>
      <c r="E57" s="229" t="s">
        <v>5945</v>
      </c>
      <c r="F57" s="229" t="s">
        <v>5944</v>
      </c>
      <c r="G57" s="229" t="s">
        <v>5947</v>
      </c>
      <c r="H57" s="229" t="s">
        <v>5944</v>
      </c>
      <c r="I57" s="229" t="s">
        <v>5943</v>
      </c>
      <c r="J57" s="231" t="s">
        <v>5948</v>
      </c>
      <c r="K57" s="231" t="s">
        <v>5950</v>
      </c>
      <c r="L57" s="220" t="str">
        <f t="shared" si="5"/>
        <v>9C22</v>
      </c>
      <c r="M57" s="220" t="str">
        <f t="shared" si="6"/>
        <v/>
      </c>
      <c r="N57" s="220" t="str">
        <f t="shared" si="7"/>
        <v/>
      </c>
      <c r="O57" s="220" t="str">
        <f t="shared" si="8"/>
        <v/>
      </c>
      <c r="P57" s="52" t="str">
        <f t="shared" si="9"/>
        <v>9C22</v>
      </c>
      <c r="Q57" s="231" t="str">
        <f t="shared" si="10"/>
        <v>161</v>
      </c>
      <c r="R57" s="224">
        <f t="shared" si="11"/>
        <v>153.33333333333334</v>
      </c>
      <c r="S57" s="52">
        <f t="shared" si="12"/>
        <v>147</v>
      </c>
      <c r="T57" s="221">
        <f t="shared" ca="1" si="13"/>
        <v>3.18</v>
      </c>
      <c r="U57" s="221" t="str">
        <f t="shared" si="14"/>
        <v/>
      </c>
      <c r="V57" s="220" t="str">
        <f t="array" ref="V57">INDEX(P:P,MAX(U$3:U57))</f>
        <v>9C#1DTR(A)</v>
      </c>
      <c r="W57" s="220" t="str">
        <f t="shared" ca="1" si="15"/>
        <v/>
      </c>
      <c r="X57" s="220">
        <f t="shared" si="16"/>
        <v>11.4</v>
      </c>
      <c r="Y57" s="220">
        <f t="shared" si="2"/>
        <v>0</v>
      </c>
      <c r="AA57" s="220" t="str">
        <f t="shared" si="3"/>
        <v>員林</v>
      </c>
      <c r="AB57" s="220" t="s">
        <v>2074</v>
      </c>
      <c r="AC57" s="220" t="str">
        <f>LEFT(B57,4)</f>
        <v>9C22</v>
      </c>
      <c r="AJ57" t="s">
        <v>5951</v>
      </c>
      <c r="AK57" t="s">
        <v>2037</v>
      </c>
      <c r="BB57" s="514" t="s">
        <v>1761</v>
      </c>
      <c r="BC57" s="514">
        <v>2887</v>
      </c>
      <c r="BD57" s="514">
        <v>6</v>
      </c>
      <c r="BE57" s="514">
        <v>2893</v>
      </c>
      <c r="BG57" s="229" t="s">
        <v>8345</v>
      </c>
      <c r="BH57" s="230" t="s">
        <v>8349</v>
      </c>
      <c r="BI57" t="s">
        <v>2074</v>
      </c>
      <c r="BJ57" t="s">
        <v>2072</v>
      </c>
    </row>
    <row r="58" spans="1:62">
      <c r="A58" s="229" t="s">
        <v>5939</v>
      </c>
      <c r="B58" s="230" t="s">
        <v>5952</v>
      </c>
      <c r="C58" s="230" t="s">
        <v>5953</v>
      </c>
      <c r="D58" s="229" t="s">
        <v>5944</v>
      </c>
      <c r="E58" s="229" t="s">
        <v>5954</v>
      </c>
      <c r="F58" s="229" t="s">
        <v>5944</v>
      </c>
      <c r="G58" s="229" t="s">
        <v>5955</v>
      </c>
      <c r="H58" s="229" t="s">
        <v>5641</v>
      </c>
      <c r="I58" s="229" t="s">
        <v>5955</v>
      </c>
      <c r="J58" s="231" t="s">
        <v>5956</v>
      </c>
      <c r="K58" s="231" t="s">
        <v>5950</v>
      </c>
      <c r="L58" s="220" t="str">
        <f t="shared" si="5"/>
        <v>9C23</v>
      </c>
      <c r="M58" s="220" t="str">
        <f t="shared" si="6"/>
        <v/>
      </c>
      <c r="N58" s="220" t="str">
        <f t="shared" si="7"/>
        <v/>
      </c>
      <c r="O58" s="220" t="str">
        <f t="shared" si="8"/>
        <v/>
      </c>
      <c r="P58" s="52" t="str">
        <f t="shared" si="9"/>
        <v>9C23</v>
      </c>
      <c r="Q58" s="231" t="str">
        <f t="shared" si="10"/>
        <v>362</v>
      </c>
      <c r="R58" s="224">
        <f t="shared" si="11"/>
        <v>339.33333333333331</v>
      </c>
      <c r="S58" s="52">
        <f t="shared" si="12"/>
        <v>313</v>
      </c>
      <c r="T58" s="221">
        <f t="shared" ca="1" si="13"/>
        <v>7.15</v>
      </c>
      <c r="U58" s="221" t="str">
        <f t="shared" si="14"/>
        <v/>
      </c>
      <c r="V58" s="220" t="str">
        <f t="array" ref="V58">INDEX(P:P,MAX(U$3:U58))</f>
        <v>9C#1DTR(A)</v>
      </c>
      <c r="W58" s="220" t="str">
        <f t="shared" ca="1" si="15"/>
        <v/>
      </c>
      <c r="X58" s="220">
        <f t="shared" si="16"/>
        <v>11.4</v>
      </c>
      <c r="Y58" s="220">
        <f t="shared" si="2"/>
        <v>0</v>
      </c>
      <c r="AA58" s="220" t="str">
        <f t="shared" si="3"/>
        <v>員林</v>
      </c>
      <c r="AB58" s="220" t="s">
        <v>1265</v>
      </c>
      <c r="AC58" s="220" t="str">
        <f>LEFT(B58,4)</f>
        <v>9C23</v>
      </c>
      <c r="AJ58" t="s">
        <v>5957</v>
      </c>
      <c r="AK58" t="s">
        <v>2037</v>
      </c>
      <c r="BB58" s="514" t="s">
        <v>2010</v>
      </c>
      <c r="BC58" s="514">
        <v>383</v>
      </c>
      <c r="BD58" s="514" t="s">
        <v>85</v>
      </c>
      <c r="BE58" s="514">
        <v>383</v>
      </c>
      <c r="BG58" s="229" t="s">
        <v>8345</v>
      </c>
      <c r="BH58" s="230" t="s">
        <v>8350</v>
      </c>
      <c r="BI58" t="s">
        <v>1265</v>
      </c>
      <c r="BJ58" t="s">
        <v>2072</v>
      </c>
    </row>
    <row r="59" spans="1:62">
      <c r="A59" s="229" t="s">
        <v>5939</v>
      </c>
      <c r="B59" s="230" t="s">
        <v>5958</v>
      </c>
      <c r="C59" s="230" t="s">
        <v>5959</v>
      </c>
      <c r="D59" s="229" t="s">
        <v>5944</v>
      </c>
      <c r="E59" s="229" t="s">
        <v>5960</v>
      </c>
      <c r="F59" s="229" t="s">
        <v>5961</v>
      </c>
      <c r="G59" s="229" t="s">
        <v>5962</v>
      </c>
      <c r="H59" s="229" t="s">
        <v>5961</v>
      </c>
      <c r="I59" s="229" t="s">
        <v>5962</v>
      </c>
      <c r="J59" s="231" t="s">
        <v>5963</v>
      </c>
      <c r="K59" s="231" t="s">
        <v>5964</v>
      </c>
      <c r="L59" s="220" t="str">
        <f t="shared" si="5"/>
        <v>9C24</v>
      </c>
      <c r="M59" s="220" t="str">
        <f t="shared" si="6"/>
        <v/>
      </c>
      <c r="N59" s="220" t="str">
        <f t="shared" si="7"/>
        <v/>
      </c>
      <c r="O59" s="220" t="str">
        <f t="shared" si="8"/>
        <v/>
      </c>
      <c r="P59" s="52" t="str">
        <f t="shared" si="9"/>
        <v>9C24</v>
      </c>
      <c r="Q59" s="231" t="str">
        <f t="shared" si="10"/>
        <v>252</v>
      </c>
      <c r="R59" s="224">
        <f t="shared" si="11"/>
        <v>220.66666666666666</v>
      </c>
      <c r="S59" s="52">
        <f t="shared" si="12"/>
        <v>198</v>
      </c>
      <c r="T59" s="221">
        <f t="shared" ca="1" si="13"/>
        <v>4.9800000000000004</v>
      </c>
      <c r="U59" s="221" t="str">
        <f t="shared" si="14"/>
        <v/>
      </c>
      <c r="V59" s="220" t="str">
        <f t="array" ref="V59">INDEX(P:P,MAX(U$3:U59))</f>
        <v>9C#1DTR(A)</v>
      </c>
      <c r="W59" s="220" t="str">
        <f t="shared" ca="1" si="15"/>
        <v/>
      </c>
      <c r="X59" s="220">
        <f t="shared" si="16"/>
        <v>11.4</v>
      </c>
      <c r="Y59" s="220">
        <f t="shared" si="2"/>
        <v>0</v>
      </c>
      <c r="AA59" s="220" t="str">
        <f t="shared" si="3"/>
        <v>員林</v>
      </c>
      <c r="AB59" s="220" t="s">
        <v>1284</v>
      </c>
      <c r="AC59" s="220" t="str">
        <f>LEFT(B59,4)</f>
        <v>9C24</v>
      </c>
      <c r="AJ59" t="s">
        <v>5965</v>
      </c>
      <c r="AK59" t="s">
        <v>5915</v>
      </c>
      <c r="BB59" s="514" t="s">
        <v>2085</v>
      </c>
      <c r="BC59" s="514">
        <v>1533</v>
      </c>
      <c r="BD59" s="514">
        <v>3</v>
      </c>
      <c r="BE59" s="514">
        <v>1536</v>
      </c>
      <c r="BG59" s="229" t="s">
        <v>8345</v>
      </c>
      <c r="BH59" s="230" t="s">
        <v>8351</v>
      </c>
      <c r="BI59" t="s">
        <v>1284</v>
      </c>
      <c r="BJ59" t="s">
        <v>2072</v>
      </c>
    </row>
    <row r="60" spans="1:62">
      <c r="A60" s="229" t="s">
        <v>5928</v>
      </c>
      <c r="B60" s="230" t="s">
        <v>5966</v>
      </c>
      <c r="C60" s="230" t="s">
        <v>5967</v>
      </c>
      <c r="D60" s="229" t="s">
        <v>5968</v>
      </c>
      <c r="E60" s="229" t="s">
        <v>5969</v>
      </c>
      <c r="F60" s="229" t="s">
        <v>5968</v>
      </c>
      <c r="G60" s="229" t="s">
        <v>5970</v>
      </c>
      <c r="H60" s="229" t="s">
        <v>5580</v>
      </c>
      <c r="I60" s="229" t="s">
        <v>5971</v>
      </c>
      <c r="J60" s="231" t="s">
        <v>5972</v>
      </c>
      <c r="K60" s="231" t="s">
        <v>5585</v>
      </c>
      <c r="L60" s="220" t="str">
        <f t="shared" si="5"/>
        <v>9C#1DTR(B)</v>
      </c>
      <c r="M60" s="220" t="str">
        <f t="shared" si="6"/>
        <v>(B)</v>
      </c>
      <c r="N60" s="220" t="str">
        <f t="shared" si="7"/>
        <v>9C#1DTR</v>
      </c>
      <c r="O60" s="220" t="str">
        <f t="shared" si="8"/>
        <v>(B)</v>
      </c>
      <c r="P60" s="52" t="str">
        <f t="shared" si="9"/>
        <v>9C#1DTR(B)</v>
      </c>
      <c r="Q60" s="231" t="str">
        <f t="shared" si="10"/>
        <v>954</v>
      </c>
      <c r="R60" s="224">
        <f t="shared" si="11"/>
        <v>924.33333333333337</v>
      </c>
      <c r="S60" s="52">
        <f t="shared" si="12"/>
        <v>878</v>
      </c>
      <c r="T60" s="221">
        <f t="shared" ca="1" si="13"/>
        <v>18.84</v>
      </c>
      <c r="U60" s="221">
        <f t="shared" si="14"/>
        <v>60</v>
      </c>
      <c r="V60" s="220" t="str">
        <f t="array" ref="V60">INDEX(P:P,MAX(U$3:U60))</f>
        <v>9C#1DTR(B)</v>
      </c>
      <c r="W60" s="220">
        <f t="shared" ca="1" si="15"/>
        <v>30</v>
      </c>
      <c r="X60" s="220" t="str">
        <f t="shared" si="16"/>
        <v/>
      </c>
      <c r="Y60" s="220">
        <f t="shared" si="2"/>
        <v>0</v>
      </c>
      <c r="AA60" s="220" t="str">
        <f t="shared" si="3"/>
        <v>員林</v>
      </c>
      <c r="AB60" s="220" t="s">
        <v>2075</v>
      </c>
      <c r="AC60" s="220" t="s">
        <v>2075</v>
      </c>
      <c r="AJ60" t="s">
        <v>2009</v>
      </c>
      <c r="AK60" t="s">
        <v>2037</v>
      </c>
      <c r="BB60" s="514" t="s">
        <v>2086</v>
      </c>
      <c r="BC60" s="514">
        <v>4841</v>
      </c>
      <c r="BD60" s="514">
        <v>1</v>
      </c>
      <c r="BE60" s="514">
        <v>4842</v>
      </c>
      <c r="BG60" s="229" t="s">
        <v>8345</v>
      </c>
      <c r="BH60" s="230" t="s">
        <v>8352</v>
      </c>
      <c r="BI60" t="s">
        <v>2075</v>
      </c>
      <c r="BJ60" t="s">
        <v>2075</v>
      </c>
    </row>
    <row r="61" spans="1:62">
      <c r="A61" s="229" t="s">
        <v>5928</v>
      </c>
      <c r="B61" s="230" t="s">
        <v>5973</v>
      </c>
      <c r="C61" s="230" t="s">
        <v>5974</v>
      </c>
      <c r="D61" s="229" t="s">
        <v>5976</v>
      </c>
      <c r="E61" s="229" t="s">
        <v>5977</v>
      </c>
      <c r="F61" s="229" t="s">
        <v>5764</v>
      </c>
      <c r="G61" s="229" t="s">
        <v>5698</v>
      </c>
      <c r="H61" s="229" t="s">
        <v>5670</v>
      </c>
      <c r="I61" s="229" t="s">
        <v>5978</v>
      </c>
      <c r="J61" s="231" t="s">
        <v>5979</v>
      </c>
      <c r="K61" s="231" t="s">
        <v>5976</v>
      </c>
      <c r="L61" s="220" t="str">
        <f t="shared" si="5"/>
        <v>9C25</v>
      </c>
      <c r="M61" s="220" t="str">
        <f t="shared" si="6"/>
        <v/>
      </c>
      <c r="N61" s="220" t="str">
        <f t="shared" si="7"/>
        <v/>
      </c>
      <c r="O61" s="220" t="str">
        <f t="shared" si="8"/>
        <v/>
      </c>
      <c r="P61" s="52" t="str">
        <f t="shared" si="9"/>
        <v>9C25</v>
      </c>
      <c r="Q61" s="231" t="str">
        <f t="shared" si="10"/>
        <v>13</v>
      </c>
      <c r="R61" s="224">
        <f t="shared" si="11"/>
        <v>7.333333333333333</v>
      </c>
      <c r="S61" s="52">
        <f t="shared" si="12"/>
        <v>0</v>
      </c>
      <c r="T61" s="221">
        <f t="shared" ca="1" si="13"/>
        <v>0.26</v>
      </c>
      <c r="U61" s="221" t="str">
        <f t="shared" si="14"/>
        <v/>
      </c>
      <c r="V61" s="220" t="str">
        <f t="array" ref="V61">INDEX(P:P,MAX(U$3:U61))</f>
        <v>9C#1DTR(B)</v>
      </c>
      <c r="W61" s="220" t="str">
        <f t="shared" ca="1" si="15"/>
        <v/>
      </c>
      <c r="X61" s="220">
        <f t="shared" si="16"/>
        <v>11.4</v>
      </c>
      <c r="Y61" s="220">
        <f t="shared" si="2"/>
        <v>0</v>
      </c>
      <c r="AA61" s="220" t="str">
        <f t="shared" si="3"/>
        <v>員林</v>
      </c>
      <c r="AB61" s="220" t="s">
        <v>1922</v>
      </c>
      <c r="AC61" s="220" t="str">
        <f>LEFT(B61,4)</f>
        <v>9C25</v>
      </c>
      <c r="AJ61" t="s">
        <v>5980</v>
      </c>
      <c r="AK61" t="s">
        <v>2037</v>
      </c>
      <c r="BB61" s="514" t="s">
        <v>2087</v>
      </c>
      <c r="BC61" s="514">
        <v>692</v>
      </c>
      <c r="BD61" s="514">
        <v>6</v>
      </c>
      <c r="BE61" s="514">
        <v>698</v>
      </c>
      <c r="BG61" s="229" t="s">
        <v>8353</v>
      </c>
      <c r="BH61" s="230" t="s">
        <v>8354</v>
      </c>
      <c r="BI61" t="s">
        <v>1922</v>
      </c>
      <c r="BJ61" t="s">
        <v>2075</v>
      </c>
    </row>
    <row r="62" spans="1:62">
      <c r="A62" s="229" t="s">
        <v>5939</v>
      </c>
      <c r="B62" s="230" t="s">
        <v>5981</v>
      </c>
      <c r="C62" s="230" t="s">
        <v>5982</v>
      </c>
      <c r="D62" s="229" t="s">
        <v>5641</v>
      </c>
      <c r="E62" s="229" t="s">
        <v>5983</v>
      </c>
      <c r="F62" s="229" t="s">
        <v>5580</v>
      </c>
      <c r="G62" s="229" t="s">
        <v>5984</v>
      </c>
      <c r="H62" s="229" t="s">
        <v>5944</v>
      </c>
      <c r="I62" s="229" t="s">
        <v>5984</v>
      </c>
      <c r="J62" s="231" t="s">
        <v>5985</v>
      </c>
      <c r="K62" s="231" t="s">
        <v>5986</v>
      </c>
      <c r="L62" s="220" t="str">
        <f t="shared" si="5"/>
        <v>9C26</v>
      </c>
      <c r="M62" s="220" t="str">
        <f t="shared" si="6"/>
        <v/>
      </c>
      <c r="N62" s="220" t="str">
        <f t="shared" si="7"/>
        <v/>
      </c>
      <c r="O62" s="220" t="str">
        <f t="shared" si="8"/>
        <v/>
      </c>
      <c r="P62" s="52" t="str">
        <f t="shared" si="9"/>
        <v>9C26</v>
      </c>
      <c r="Q62" s="231" t="str">
        <f t="shared" si="10"/>
        <v>342</v>
      </c>
      <c r="R62" s="224">
        <f t="shared" si="11"/>
        <v>327.33333333333331</v>
      </c>
      <c r="S62" s="52">
        <f t="shared" si="12"/>
        <v>305</v>
      </c>
      <c r="T62" s="221">
        <f t="shared" ca="1" si="13"/>
        <v>6.75</v>
      </c>
      <c r="U62" s="221" t="str">
        <f t="shared" si="14"/>
        <v/>
      </c>
      <c r="V62" s="220" t="str">
        <f t="array" ref="V62">INDEX(P:P,MAX(U$3:U62))</f>
        <v>9C#1DTR(B)</v>
      </c>
      <c r="W62" s="220" t="str">
        <f t="shared" ca="1" si="15"/>
        <v/>
      </c>
      <c r="X62" s="220">
        <f t="shared" si="16"/>
        <v>11.4</v>
      </c>
      <c r="Y62" s="220">
        <f t="shared" si="2"/>
        <v>0</v>
      </c>
      <c r="AA62" s="220" t="str">
        <f t="shared" si="3"/>
        <v>員林</v>
      </c>
      <c r="AB62" s="220" t="s">
        <v>2076</v>
      </c>
      <c r="AC62" s="220" t="str">
        <f>LEFT(B62,4)</f>
        <v>9C26</v>
      </c>
      <c r="AJ62" t="s">
        <v>1927</v>
      </c>
      <c r="AK62" t="s">
        <v>2037</v>
      </c>
      <c r="BB62" s="514" t="s">
        <v>2088</v>
      </c>
      <c r="BC62" s="514">
        <v>832</v>
      </c>
      <c r="BD62" s="514">
        <v>2</v>
      </c>
      <c r="BE62" s="514">
        <v>834</v>
      </c>
      <c r="BG62" s="229" t="s">
        <v>8353</v>
      </c>
      <c r="BH62" s="230" t="s">
        <v>8355</v>
      </c>
      <c r="BI62" t="s">
        <v>2076</v>
      </c>
      <c r="BJ62" t="s">
        <v>2075</v>
      </c>
    </row>
    <row r="63" spans="1:62">
      <c r="A63" s="229" t="s">
        <v>5939</v>
      </c>
      <c r="B63" s="230" t="s">
        <v>5987</v>
      </c>
      <c r="C63" s="230" t="s">
        <v>5988</v>
      </c>
      <c r="D63" s="229" t="s">
        <v>5944</v>
      </c>
      <c r="E63" s="229" t="s">
        <v>5990</v>
      </c>
      <c r="F63" s="229" t="s">
        <v>5991</v>
      </c>
      <c r="G63" s="229" t="s">
        <v>5992</v>
      </c>
      <c r="H63" s="229" t="s">
        <v>5944</v>
      </c>
      <c r="I63" s="229" t="s">
        <v>5992</v>
      </c>
      <c r="J63" s="231" t="s">
        <v>5993</v>
      </c>
      <c r="K63" s="231" t="s">
        <v>5944</v>
      </c>
      <c r="L63" s="220" t="str">
        <f t="shared" si="5"/>
        <v>9C27</v>
      </c>
      <c r="M63" s="220" t="str">
        <f t="shared" si="6"/>
        <v/>
      </c>
      <c r="N63" s="220" t="str">
        <f t="shared" si="7"/>
        <v/>
      </c>
      <c r="O63" s="220" t="str">
        <f t="shared" si="8"/>
        <v/>
      </c>
      <c r="P63" s="52" t="str">
        <f t="shared" si="9"/>
        <v>9C27</v>
      </c>
      <c r="Q63" s="231" t="str">
        <f t="shared" si="10"/>
        <v>243</v>
      </c>
      <c r="R63" s="224">
        <f t="shared" si="11"/>
        <v>216</v>
      </c>
      <c r="S63" s="52">
        <f t="shared" si="12"/>
        <v>189</v>
      </c>
      <c r="T63" s="221">
        <f t="shared" ca="1" si="13"/>
        <v>4.8</v>
      </c>
      <c r="U63" s="221" t="str">
        <f t="shared" si="14"/>
        <v/>
      </c>
      <c r="V63" s="220" t="str">
        <f t="array" ref="V63">INDEX(P:P,MAX(U$3:U63))</f>
        <v>9C#1DTR(B)</v>
      </c>
      <c r="W63" s="220" t="str">
        <f t="shared" ca="1" si="15"/>
        <v/>
      </c>
      <c r="X63" s="220">
        <f t="shared" si="16"/>
        <v>11.4</v>
      </c>
      <c r="Y63" s="220">
        <f t="shared" si="2"/>
        <v>0</v>
      </c>
      <c r="AA63" s="220" t="str">
        <f t="shared" si="3"/>
        <v>員林</v>
      </c>
      <c r="AB63" s="220" t="s">
        <v>2077</v>
      </c>
      <c r="AC63" s="220" t="str">
        <f>LEFT(B63,4)</f>
        <v>9C27</v>
      </c>
      <c r="AJ63" t="s">
        <v>1929</v>
      </c>
      <c r="AK63" t="s">
        <v>2037</v>
      </c>
      <c r="BB63" s="514" t="s">
        <v>1926</v>
      </c>
      <c r="BC63" s="514">
        <v>3</v>
      </c>
      <c r="BD63" s="514">
        <v>8</v>
      </c>
      <c r="BE63" s="514">
        <v>11</v>
      </c>
      <c r="BG63" s="229" t="s">
        <v>6</v>
      </c>
      <c r="BH63" s="230" t="s">
        <v>393</v>
      </c>
      <c r="BI63" t="s">
        <v>2077</v>
      </c>
      <c r="BJ63" t="s">
        <v>2075</v>
      </c>
    </row>
    <row r="64" spans="1:62">
      <c r="A64" s="229" t="s">
        <v>5939</v>
      </c>
      <c r="B64" s="230" t="s">
        <v>5994</v>
      </c>
      <c r="C64" s="230" t="s">
        <v>5995</v>
      </c>
      <c r="D64" s="229" t="s">
        <v>5914</v>
      </c>
      <c r="E64" s="229" t="s">
        <v>5996</v>
      </c>
      <c r="F64" s="229" t="s">
        <v>5914</v>
      </c>
      <c r="G64" s="229" t="s">
        <v>5997</v>
      </c>
      <c r="H64" s="229" t="s">
        <v>5998</v>
      </c>
      <c r="I64" s="229" t="s">
        <v>5995</v>
      </c>
      <c r="J64" s="231" t="s">
        <v>5999</v>
      </c>
      <c r="K64" s="231" t="s">
        <v>5964</v>
      </c>
      <c r="L64" s="220" t="str">
        <f t="shared" si="5"/>
        <v>9C28</v>
      </c>
      <c r="M64" s="220" t="str">
        <f t="shared" si="6"/>
        <v/>
      </c>
      <c r="N64" s="220" t="str">
        <f t="shared" si="7"/>
        <v/>
      </c>
      <c r="O64" s="220" t="str">
        <f t="shared" si="8"/>
        <v/>
      </c>
      <c r="P64" s="52" t="str">
        <f t="shared" si="9"/>
        <v>9C28</v>
      </c>
      <c r="Q64" s="231" t="str">
        <f t="shared" si="10"/>
        <v>193</v>
      </c>
      <c r="R64" s="224">
        <f t="shared" si="11"/>
        <v>179</v>
      </c>
      <c r="S64" s="52">
        <f t="shared" si="12"/>
        <v>170</v>
      </c>
      <c r="T64" s="221">
        <f t="shared" ca="1" si="13"/>
        <v>3.81</v>
      </c>
      <c r="U64" s="221" t="str">
        <f t="shared" si="14"/>
        <v/>
      </c>
      <c r="V64" s="220" t="str">
        <f t="array" ref="V64">INDEX(P:P,MAX(U$3:U64))</f>
        <v>9C#1DTR(B)</v>
      </c>
      <c r="W64" s="220" t="str">
        <f t="shared" ca="1" si="15"/>
        <v/>
      </c>
      <c r="X64" s="220">
        <f t="shared" si="16"/>
        <v>11.4</v>
      </c>
      <c r="Y64" s="220">
        <f t="shared" si="2"/>
        <v>0</v>
      </c>
      <c r="AA64" s="220" t="str">
        <f t="shared" si="3"/>
        <v>員林</v>
      </c>
      <c r="AB64" s="220" t="s">
        <v>1924</v>
      </c>
      <c r="AC64" s="220" t="str">
        <f>LEFT(B64,4)</f>
        <v>9C28</v>
      </c>
      <c r="AJ64" t="s">
        <v>1320</v>
      </c>
      <c r="AK64" t="s">
        <v>2037</v>
      </c>
      <c r="BB64" s="514" t="s">
        <v>1212</v>
      </c>
      <c r="BC64" s="514">
        <v>25</v>
      </c>
      <c r="BD64" s="514">
        <v>17</v>
      </c>
      <c r="BE64" s="514">
        <v>42</v>
      </c>
      <c r="BG64" s="229" t="s">
        <v>8345</v>
      </c>
      <c r="BH64" s="230" t="s">
        <v>8356</v>
      </c>
      <c r="BI64" t="s">
        <v>1924</v>
      </c>
      <c r="BJ64" t="s">
        <v>2075</v>
      </c>
    </row>
    <row r="65" spans="1:62">
      <c r="A65" s="229" t="s">
        <v>5939</v>
      </c>
      <c r="B65" s="230" t="s">
        <v>6000</v>
      </c>
      <c r="C65" s="230" t="s">
        <v>6002</v>
      </c>
      <c r="D65" s="229" t="s">
        <v>5968</v>
      </c>
      <c r="E65" s="229" t="s">
        <v>6003</v>
      </c>
      <c r="F65" s="229" t="s">
        <v>5968</v>
      </c>
      <c r="G65" s="229" t="s">
        <v>6004</v>
      </c>
      <c r="H65" s="229" t="s">
        <v>5968</v>
      </c>
      <c r="I65" s="229" t="s">
        <v>6002</v>
      </c>
      <c r="J65" s="231" t="s">
        <v>6005</v>
      </c>
      <c r="K65" s="231" t="s">
        <v>6006</v>
      </c>
      <c r="L65" s="220" t="str">
        <f t="shared" si="5"/>
        <v>9C29</v>
      </c>
      <c r="M65" s="220" t="str">
        <f t="shared" si="6"/>
        <v/>
      </c>
      <c r="N65" s="220" t="str">
        <f t="shared" si="7"/>
        <v/>
      </c>
      <c r="O65" s="220" t="str">
        <f t="shared" si="8"/>
        <v/>
      </c>
      <c r="P65" s="52" t="str">
        <f t="shared" si="9"/>
        <v>9C29</v>
      </c>
      <c r="Q65" s="231" t="str">
        <f t="shared" si="10"/>
        <v>250</v>
      </c>
      <c r="R65" s="224">
        <f t="shared" si="11"/>
        <v>238.66666666666666</v>
      </c>
      <c r="S65" s="52">
        <f t="shared" si="12"/>
        <v>226</v>
      </c>
      <c r="T65" s="221">
        <f t="shared" ca="1" si="13"/>
        <v>4.9400000000000004</v>
      </c>
      <c r="U65" s="221" t="str">
        <f t="shared" si="14"/>
        <v/>
      </c>
      <c r="V65" s="220" t="str">
        <f t="array" ref="V65">INDEX(P:P,MAX(U$3:U65))</f>
        <v>9C#1DTR(B)</v>
      </c>
      <c r="W65" s="220" t="str">
        <f t="shared" ca="1" si="15"/>
        <v/>
      </c>
      <c r="X65" s="220">
        <f t="shared" si="16"/>
        <v>11.4</v>
      </c>
      <c r="Y65" s="220">
        <f t="shared" si="2"/>
        <v>0</v>
      </c>
      <c r="AA65" s="220" t="str">
        <f t="shared" si="3"/>
        <v>員林</v>
      </c>
      <c r="AB65" s="220" t="s">
        <v>2078</v>
      </c>
      <c r="AC65" s="220" t="str">
        <f>LEFT(B65,4)</f>
        <v>9C29</v>
      </c>
      <c r="AJ65" t="s">
        <v>1453</v>
      </c>
      <c r="AK65" t="s">
        <v>2037</v>
      </c>
      <c r="BB65" s="514" t="s">
        <v>1927</v>
      </c>
      <c r="BC65" s="514">
        <v>29</v>
      </c>
      <c r="BD65" s="514">
        <v>18</v>
      </c>
      <c r="BE65" s="514">
        <v>47</v>
      </c>
      <c r="BG65" s="229" t="s">
        <v>6</v>
      </c>
      <c r="BH65" s="230" t="s">
        <v>8357</v>
      </c>
      <c r="BI65" t="s">
        <v>2078</v>
      </c>
      <c r="BJ65" t="s">
        <v>2075</v>
      </c>
    </row>
    <row r="66" spans="1:62">
      <c r="A66" s="229" t="s">
        <v>5939</v>
      </c>
      <c r="B66" s="230" t="s">
        <v>6007</v>
      </c>
      <c r="C66" s="230" t="s">
        <v>6008</v>
      </c>
      <c r="D66" s="229" t="s">
        <v>5998</v>
      </c>
      <c r="E66" s="229" t="s">
        <v>6009</v>
      </c>
      <c r="F66" s="229" t="s">
        <v>5914</v>
      </c>
      <c r="G66" s="229" t="s">
        <v>6010</v>
      </c>
      <c r="H66" s="229" t="s">
        <v>5976</v>
      </c>
      <c r="I66" s="229" t="s">
        <v>6009</v>
      </c>
      <c r="J66" s="231" t="s">
        <v>5972</v>
      </c>
      <c r="K66" s="231" t="s">
        <v>5585</v>
      </c>
      <c r="L66" s="220" t="str">
        <f t="shared" si="5"/>
        <v>9C#2DTR(A)</v>
      </c>
      <c r="M66" s="220" t="str">
        <f t="shared" si="6"/>
        <v>(A)</v>
      </c>
      <c r="N66" s="220" t="str">
        <f t="shared" si="7"/>
        <v>9C#2DTR</v>
      </c>
      <c r="O66" s="220" t="str">
        <f t="shared" si="8"/>
        <v>(A1)</v>
      </c>
      <c r="P66" s="52" t="str">
        <f t="shared" si="9"/>
        <v>9C#2DTR(A)</v>
      </c>
      <c r="Q66" s="231" t="str">
        <f t="shared" si="10"/>
        <v>264</v>
      </c>
      <c r="R66" s="224">
        <f t="shared" si="11"/>
        <v>235.33333333333334</v>
      </c>
      <c r="S66" s="52">
        <f t="shared" si="12"/>
        <v>203</v>
      </c>
      <c r="T66" s="221">
        <f t="shared" ca="1" si="13"/>
        <v>5.21</v>
      </c>
      <c r="U66" s="221">
        <f t="shared" si="14"/>
        <v>66</v>
      </c>
      <c r="V66" s="220" t="str">
        <f t="array" ref="V66">INDEX(P:P,MAX(U$3:U66))</f>
        <v>9C#2DTR(A)</v>
      </c>
      <c r="W66" s="220">
        <f t="shared" ca="1" si="15"/>
        <v>30</v>
      </c>
      <c r="X66" s="220" t="str">
        <f t="shared" si="16"/>
        <v/>
      </c>
      <c r="Y66" s="220">
        <f t="shared" si="2"/>
        <v>0</v>
      </c>
      <c r="AA66" s="220" t="str">
        <f t="shared" si="3"/>
        <v>員林</v>
      </c>
      <c r="AB66" s="220" t="s">
        <v>2079</v>
      </c>
      <c r="AC66" s="220" t="s">
        <v>2079</v>
      </c>
      <c r="AJ66" t="s">
        <v>1504</v>
      </c>
      <c r="AK66" t="s">
        <v>2037</v>
      </c>
      <c r="BB66" s="514" t="s">
        <v>1928</v>
      </c>
      <c r="BC66" s="514">
        <v>7</v>
      </c>
      <c r="BD66" s="514">
        <v>5</v>
      </c>
      <c r="BE66" s="514">
        <v>12</v>
      </c>
      <c r="BG66" s="229" t="s">
        <v>8353</v>
      </c>
      <c r="BH66" s="230" t="s">
        <v>8358</v>
      </c>
      <c r="BI66" t="s">
        <v>2079</v>
      </c>
      <c r="BJ66" t="s">
        <v>2079</v>
      </c>
    </row>
    <row r="67" spans="1:62">
      <c r="A67" s="229" t="s">
        <v>5939</v>
      </c>
      <c r="B67" s="230" t="s">
        <v>6011</v>
      </c>
      <c r="C67" s="230" t="s">
        <v>6012</v>
      </c>
      <c r="D67" s="229" t="s">
        <v>5968</v>
      </c>
      <c r="E67" s="229" t="s">
        <v>6013</v>
      </c>
      <c r="F67" s="229" t="s">
        <v>6014</v>
      </c>
      <c r="G67" s="229" t="s">
        <v>6015</v>
      </c>
      <c r="H67" s="229" t="s">
        <v>6014</v>
      </c>
      <c r="I67" s="229" t="s">
        <v>6012</v>
      </c>
      <c r="J67" s="231" t="s">
        <v>6016</v>
      </c>
      <c r="K67" s="231" t="s">
        <v>5998</v>
      </c>
      <c r="L67" s="220" t="str">
        <f t="shared" si="5"/>
        <v>9C30</v>
      </c>
      <c r="M67" s="220" t="str">
        <f t="shared" si="6"/>
        <v/>
      </c>
      <c r="N67" s="220" t="str">
        <f t="shared" si="7"/>
        <v/>
      </c>
      <c r="O67" s="220" t="str">
        <f t="shared" si="8"/>
        <v/>
      </c>
      <c r="P67" s="52" t="str">
        <f t="shared" si="9"/>
        <v>9C30</v>
      </c>
      <c r="Q67" s="231" t="str">
        <f t="shared" si="10"/>
        <v>97</v>
      </c>
      <c r="R67" s="224">
        <f t="shared" si="11"/>
        <v>84.333333333333329</v>
      </c>
      <c r="S67" s="52">
        <f t="shared" si="12"/>
        <v>65</v>
      </c>
      <c r="T67" s="221">
        <f t="shared" ca="1" si="13"/>
        <v>1.92</v>
      </c>
      <c r="U67" s="221" t="str">
        <f t="shared" si="14"/>
        <v/>
      </c>
      <c r="V67" s="220" t="str">
        <f t="array" ref="V67">INDEX(P:P,MAX(U$3:U67))</f>
        <v>9C#2DTR(A)</v>
      </c>
      <c r="W67" s="220" t="str">
        <f t="shared" ca="1" si="15"/>
        <v/>
      </c>
      <c r="X67" s="220">
        <f t="shared" si="16"/>
        <v>11.4</v>
      </c>
      <c r="Y67" s="220">
        <f t="shared" ref="Y67:Y130" si="21">SUMIF(L:L,L67,I:I)</f>
        <v>0</v>
      </c>
      <c r="AA67" s="220" t="str">
        <f t="shared" ref="AA67:AA130" si="22">LEFT(A67,2)</f>
        <v>員林</v>
      </c>
      <c r="AB67" s="220" t="s">
        <v>1442</v>
      </c>
      <c r="AC67" s="220" t="str">
        <f>LEFT(B67,4)</f>
        <v>9C30</v>
      </c>
      <c r="AJ67" t="s">
        <v>6017</v>
      </c>
      <c r="AK67" t="s">
        <v>2037</v>
      </c>
      <c r="BB67" s="514" t="s">
        <v>1929</v>
      </c>
      <c r="BC67" s="514">
        <v>5</v>
      </c>
      <c r="BD67" s="514">
        <v>1</v>
      </c>
      <c r="BE67" s="514">
        <v>6</v>
      </c>
      <c r="BG67" s="229" t="s">
        <v>8345</v>
      </c>
      <c r="BH67" s="230" t="s">
        <v>8359</v>
      </c>
      <c r="BI67" t="s">
        <v>1442</v>
      </c>
      <c r="BJ67" t="s">
        <v>2079</v>
      </c>
    </row>
    <row r="68" spans="1:62">
      <c r="A68" s="229" t="s">
        <v>5939</v>
      </c>
      <c r="B68" s="230" t="s">
        <v>6018</v>
      </c>
      <c r="C68" s="230" t="s">
        <v>6019</v>
      </c>
      <c r="D68" s="229" t="s">
        <v>5998</v>
      </c>
      <c r="E68" s="229" t="s">
        <v>6020</v>
      </c>
      <c r="F68" s="229" t="s">
        <v>5976</v>
      </c>
      <c r="G68" s="229" t="s">
        <v>6021</v>
      </c>
      <c r="H68" s="229" t="s">
        <v>5976</v>
      </c>
      <c r="I68" s="229" t="s">
        <v>6020</v>
      </c>
      <c r="J68" s="231" t="s">
        <v>6022</v>
      </c>
      <c r="K68" s="231" t="s">
        <v>5950</v>
      </c>
      <c r="L68" s="220" t="str">
        <f t="shared" ref="L68:L131" si="23">IF(LEFT(B68,1)="#",IF(LEN(B68)=5,RIGHT(A68,2)&amp;B68,N68&amp;M68),MID(B68,FIND("(",B68)+1,4))</f>
        <v>9C31</v>
      </c>
      <c r="M68" s="220" t="str">
        <f t="shared" ref="M68:M131" si="24">IF(LEFT(B68,1)="#",IF(LEN(B68)&lt;&gt;5,"("&amp;MID(B68,3,1)&amp;")",""),"")</f>
        <v/>
      </c>
      <c r="N68" s="220" t="str">
        <f t="shared" ref="N68:N131" si="25">IF(LEFT(B68,1)="#",IF(LEN(B68)=5,RIGHT(A68,2)&amp;B68,RIGHT(A68,2)&amp;LEFT(B68,2)&amp;"DTR"),"")</f>
        <v/>
      </c>
      <c r="O68" s="220" t="str">
        <f t="shared" ref="O68:O131" si="26">IF(LEFT(B68,1)="#",IF(LEN(B68)&lt;&gt;5,IF(LEN(B68)&lt;&gt;7,"("&amp;MID(B68,3,1)&amp;")","("&amp;MID(B68,3,2)&amp;")"),""),"")</f>
        <v/>
      </c>
      <c r="P68" s="52" t="str">
        <f t="shared" ref="P68:P131" si="27">IF(LEFT(B68,1)="#",IF(LEN(B68)=5,RIGHT(A68,2)&amp;B68,N68&amp;M68),MID(B68,FIND("(",B68)+1,4))</f>
        <v>9C31</v>
      </c>
      <c r="Q68" s="231" t="str">
        <f t="shared" ref="Q68:Q131" si="28">I68</f>
        <v>139</v>
      </c>
      <c r="R68" s="224">
        <f t="shared" ref="R68:R131" si="29">AVERAGE(C68*1,E68*1,G68*1)</f>
        <v>127</v>
      </c>
      <c r="S68" s="52">
        <f t="shared" ref="S68:S131" si="30">MIN(C68*1,E68*1,G68*1)</f>
        <v>119</v>
      </c>
      <c r="T68" s="221">
        <f t="shared" ref="T68:T131" ca="1" si="31">IF(LEFT(B68,1)="#",ROUND(OFFSET(X68,1,0,1,1)*Q68*SQRT(3)/1000,2),ROUND(Q68*X68*SQRT(3)/1000,2))</f>
        <v>2.74</v>
      </c>
      <c r="U68" s="221" t="str">
        <f t="shared" ref="U68:U131" si="32">IF(ISNUMBER(FIND("#",B68)),ROW(),"")</f>
        <v/>
      </c>
      <c r="V68" s="220" t="str">
        <f t="array" ref="V68">INDEX(P:P,MAX(U$3:U68))</f>
        <v>9C#2DTR(A)</v>
      </c>
      <c r="W68" s="220" t="str">
        <f t="shared" ref="W68:W131" ca="1" si="33">IF(LEFT(B68,1)="#",IF(ISNUMBER(FIND("DTR",B68)),IF(MID(OFFSET(P68,1,0,1,1),3,1)*1&lt;5,30,60),25),"")</f>
        <v/>
      </c>
      <c r="X68" s="220">
        <f t="shared" ref="X68:X131" si="34">IF(LEFT(B68,1)="#","",IF(MID(P68,3,1)*1&lt;5,11.4,22.8))</f>
        <v>11.4</v>
      </c>
      <c r="Y68" s="220">
        <f t="shared" si="21"/>
        <v>0</v>
      </c>
      <c r="AA68" s="220" t="str">
        <f t="shared" si="22"/>
        <v>員林</v>
      </c>
      <c r="AB68" s="220" t="s">
        <v>1452</v>
      </c>
      <c r="AC68" s="220" t="str">
        <f>LEFT(B68,4)</f>
        <v>9C31</v>
      </c>
      <c r="AJ68" t="s">
        <v>6023</v>
      </c>
      <c r="AK68" t="s">
        <v>2037</v>
      </c>
      <c r="BB68" s="514" t="s">
        <v>1320</v>
      </c>
      <c r="BC68" s="514">
        <v>7</v>
      </c>
      <c r="BD68" s="514">
        <v>7</v>
      </c>
      <c r="BE68" s="514">
        <v>14</v>
      </c>
      <c r="BG68" s="229" t="s">
        <v>8353</v>
      </c>
      <c r="BH68" s="230" t="s">
        <v>8360</v>
      </c>
      <c r="BI68" t="s">
        <v>1452</v>
      </c>
      <c r="BJ68" t="s">
        <v>2079</v>
      </c>
    </row>
    <row r="69" spans="1:62">
      <c r="A69" s="229" t="s">
        <v>5939</v>
      </c>
      <c r="B69" s="230" t="s">
        <v>6024</v>
      </c>
      <c r="C69" s="230" t="s">
        <v>6025</v>
      </c>
      <c r="D69" s="229" t="s">
        <v>5998</v>
      </c>
      <c r="E69" s="229" t="s">
        <v>6026</v>
      </c>
      <c r="F69" s="229" t="s">
        <v>5968</v>
      </c>
      <c r="G69" s="229" t="s">
        <v>6027</v>
      </c>
      <c r="H69" s="229" t="s">
        <v>5998</v>
      </c>
      <c r="I69" s="229" t="s">
        <v>6026</v>
      </c>
      <c r="J69" s="231" t="s">
        <v>6028</v>
      </c>
      <c r="K69" s="231" t="s">
        <v>6029</v>
      </c>
      <c r="L69" s="220" t="str">
        <f t="shared" si="23"/>
        <v>9C32</v>
      </c>
      <c r="M69" s="220" t="str">
        <f t="shared" si="24"/>
        <v/>
      </c>
      <c r="N69" s="220" t="str">
        <f t="shared" si="25"/>
        <v/>
      </c>
      <c r="O69" s="220" t="str">
        <f t="shared" si="26"/>
        <v/>
      </c>
      <c r="P69" s="52" t="str">
        <f t="shared" si="27"/>
        <v>9C32</v>
      </c>
      <c r="Q69" s="231" t="str">
        <f t="shared" si="28"/>
        <v>172</v>
      </c>
      <c r="R69" s="224">
        <f t="shared" si="29"/>
        <v>149.66666666666666</v>
      </c>
      <c r="S69" s="52">
        <f t="shared" si="30"/>
        <v>132</v>
      </c>
      <c r="T69" s="221">
        <f t="shared" ca="1" si="31"/>
        <v>3.4</v>
      </c>
      <c r="U69" s="221" t="str">
        <f t="shared" si="32"/>
        <v/>
      </c>
      <c r="V69" s="220" t="str">
        <f t="array" ref="V69">INDEX(P:P,MAX(U$3:U69))</f>
        <v>9C#2DTR(A)</v>
      </c>
      <c r="W69" s="220" t="str">
        <f t="shared" ca="1" si="33"/>
        <v/>
      </c>
      <c r="X69" s="220">
        <f t="shared" si="34"/>
        <v>11.4</v>
      </c>
      <c r="Y69" s="220">
        <f t="shared" si="21"/>
        <v>0</v>
      </c>
      <c r="AA69" s="220" t="str">
        <f t="shared" si="22"/>
        <v>員林</v>
      </c>
      <c r="AB69" s="220" t="s">
        <v>1488</v>
      </c>
      <c r="AC69" s="220" t="str">
        <f>LEFT(B69,4)</f>
        <v>9C32</v>
      </c>
      <c r="AJ69" t="s">
        <v>6030</v>
      </c>
      <c r="AK69" t="s">
        <v>2037</v>
      </c>
      <c r="BB69" s="514" t="s">
        <v>1930</v>
      </c>
      <c r="BC69" s="514">
        <v>1</v>
      </c>
      <c r="BD69" s="514">
        <v>10</v>
      </c>
      <c r="BE69" s="514">
        <v>11</v>
      </c>
      <c r="BG69" s="229" t="s">
        <v>8345</v>
      </c>
      <c r="BH69" s="230" t="s">
        <v>8361</v>
      </c>
      <c r="BI69" t="s">
        <v>1488</v>
      </c>
      <c r="BJ69" t="s">
        <v>2079</v>
      </c>
    </row>
    <row r="70" spans="1:62">
      <c r="A70" s="229" t="s">
        <v>5939</v>
      </c>
      <c r="B70" s="230" t="s">
        <v>6031</v>
      </c>
      <c r="C70" s="230" t="s">
        <v>6032</v>
      </c>
      <c r="D70" s="229" t="s">
        <v>5944</v>
      </c>
      <c r="E70" s="229" t="s">
        <v>6033</v>
      </c>
      <c r="F70" s="229" t="s">
        <v>5961</v>
      </c>
      <c r="G70" s="229" t="s">
        <v>6010</v>
      </c>
      <c r="H70" s="229" t="s">
        <v>5961</v>
      </c>
      <c r="I70" s="229" t="s">
        <v>6010</v>
      </c>
      <c r="J70" s="231" t="s">
        <v>5972</v>
      </c>
      <c r="K70" s="231" t="s">
        <v>5972</v>
      </c>
      <c r="L70" s="220" t="str">
        <f t="shared" si="23"/>
        <v>9C#2DTR(A)</v>
      </c>
      <c r="M70" s="220" t="str">
        <f t="shared" si="24"/>
        <v>(A)</v>
      </c>
      <c r="N70" s="220" t="str">
        <f t="shared" si="25"/>
        <v>9C#2DTR</v>
      </c>
      <c r="O70" s="220" t="str">
        <f t="shared" si="26"/>
        <v>(A2)</v>
      </c>
      <c r="P70" s="52" t="str">
        <f t="shared" si="27"/>
        <v>9C#2DTR(A)</v>
      </c>
      <c r="Q70" s="231" t="str">
        <f t="shared" si="28"/>
        <v>203</v>
      </c>
      <c r="R70" s="224">
        <f t="shared" si="29"/>
        <v>185.66666666666666</v>
      </c>
      <c r="S70" s="52">
        <f t="shared" si="30"/>
        <v>171</v>
      </c>
      <c r="T70" s="221">
        <f t="shared" ca="1" si="31"/>
        <v>4.01</v>
      </c>
      <c r="U70" s="221">
        <f t="shared" si="32"/>
        <v>70</v>
      </c>
      <c r="V70" s="220" t="str">
        <f t="array" ref="V70">INDEX(P:P,MAX(U$3:U70))</f>
        <v>9C#2DTR(A)</v>
      </c>
      <c r="W70" s="220">
        <f t="shared" ca="1" si="33"/>
        <v>30</v>
      </c>
      <c r="X70" s="220" t="str">
        <f t="shared" si="34"/>
        <v/>
      </c>
      <c r="Y70" s="220">
        <f t="shared" si="21"/>
        <v>0</v>
      </c>
      <c r="AA70" s="220" t="str">
        <f t="shared" si="22"/>
        <v>員林</v>
      </c>
      <c r="AB70" s="220" t="s">
        <v>2079</v>
      </c>
      <c r="AC70" s="220" t="s">
        <v>2079</v>
      </c>
      <c r="AJ70" t="s">
        <v>1935</v>
      </c>
      <c r="AK70" t="s">
        <v>2037</v>
      </c>
      <c r="BB70" s="514" t="s">
        <v>1931</v>
      </c>
      <c r="BC70" s="514">
        <v>7</v>
      </c>
      <c r="BD70" s="514">
        <v>10</v>
      </c>
      <c r="BE70" s="514">
        <v>17</v>
      </c>
      <c r="BG70" s="229" t="s">
        <v>8345</v>
      </c>
      <c r="BH70" s="230" t="s">
        <v>8362</v>
      </c>
      <c r="BI70" t="s">
        <v>2079</v>
      </c>
      <c r="BJ70" t="s">
        <v>2079</v>
      </c>
    </row>
    <row r="71" spans="1:62">
      <c r="A71" s="229" t="s">
        <v>5939</v>
      </c>
      <c r="B71" s="230" t="s">
        <v>6034</v>
      </c>
      <c r="C71" s="230" t="s">
        <v>6036</v>
      </c>
      <c r="D71" s="229" t="s">
        <v>5976</v>
      </c>
      <c r="E71" s="229" t="s">
        <v>5999</v>
      </c>
      <c r="F71" s="229" t="s">
        <v>6029</v>
      </c>
      <c r="G71" s="229" t="s">
        <v>6037</v>
      </c>
      <c r="H71" s="229" t="s">
        <v>5998</v>
      </c>
      <c r="I71" s="229" t="s">
        <v>6037</v>
      </c>
      <c r="J71" s="231" t="s">
        <v>6038</v>
      </c>
      <c r="K71" s="231" t="s">
        <v>5950</v>
      </c>
      <c r="L71" s="220" t="str">
        <f t="shared" si="23"/>
        <v>9C33</v>
      </c>
      <c r="M71" s="220" t="str">
        <f t="shared" si="24"/>
        <v/>
      </c>
      <c r="N71" s="220" t="str">
        <f t="shared" si="25"/>
        <v/>
      </c>
      <c r="O71" s="220" t="str">
        <f t="shared" si="26"/>
        <v/>
      </c>
      <c r="P71" s="52" t="str">
        <f t="shared" si="27"/>
        <v>9C33</v>
      </c>
      <c r="Q71" s="231" t="str">
        <f t="shared" si="28"/>
        <v>63</v>
      </c>
      <c r="R71" s="224">
        <f t="shared" si="29"/>
        <v>49.666666666666664</v>
      </c>
      <c r="S71" s="52">
        <f t="shared" si="30"/>
        <v>38</v>
      </c>
      <c r="T71" s="221">
        <f t="shared" ca="1" si="31"/>
        <v>1.24</v>
      </c>
      <c r="U71" s="221" t="str">
        <f t="shared" si="32"/>
        <v/>
      </c>
      <c r="V71" s="220" t="str">
        <f t="array" ref="V71">INDEX(P:P,MAX(U$3:U71))</f>
        <v>9C#2DTR(A)</v>
      </c>
      <c r="W71" s="220" t="str">
        <f t="shared" ca="1" si="33"/>
        <v/>
      </c>
      <c r="X71" s="220">
        <f t="shared" si="34"/>
        <v>11.4</v>
      </c>
      <c r="Y71" s="220">
        <f t="shared" si="21"/>
        <v>0</v>
      </c>
      <c r="AA71" s="220" t="str">
        <f t="shared" si="22"/>
        <v>員林</v>
      </c>
      <c r="AB71" s="220" t="s">
        <v>1503</v>
      </c>
      <c r="AC71" s="220" t="str">
        <f>LEFT(B71,4)</f>
        <v>9C33</v>
      </c>
      <c r="AJ71" t="s">
        <v>1937</v>
      </c>
      <c r="AK71" t="s">
        <v>2037</v>
      </c>
      <c r="BB71" s="514" t="s">
        <v>2012</v>
      </c>
      <c r="BC71" s="514" t="s">
        <v>85</v>
      </c>
      <c r="BD71" s="514">
        <v>1</v>
      </c>
      <c r="BE71" s="514">
        <v>1</v>
      </c>
      <c r="BG71" s="229" t="s">
        <v>8345</v>
      </c>
      <c r="BH71" s="230" t="s">
        <v>8363</v>
      </c>
      <c r="BI71" t="s">
        <v>1503</v>
      </c>
      <c r="BJ71" t="s">
        <v>2079</v>
      </c>
    </row>
    <row r="72" spans="1:62">
      <c r="A72" s="229" t="s">
        <v>6039</v>
      </c>
      <c r="B72" s="230" t="s">
        <v>6040</v>
      </c>
      <c r="C72" s="230" t="s">
        <v>6041</v>
      </c>
      <c r="D72" s="229" t="s">
        <v>6042</v>
      </c>
      <c r="E72" s="229" t="s">
        <v>6043</v>
      </c>
      <c r="F72" s="229" t="s">
        <v>6044</v>
      </c>
      <c r="G72" s="229" t="s">
        <v>6045</v>
      </c>
      <c r="H72" s="229" t="s">
        <v>6046</v>
      </c>
      <c r="I72" s="229" t="s">
        <v>6045</v>
      </c>
      <c r="J72" s="231" t="s">
        <v>6047</v>
      </c>
      <c r="K72" s="231" t="s">
        <v>6048</v>
      </c>
      <c r="L72" s="220" t="str">
        <f t="shared" si="23"/>
        <v>9C34</v>
      </c>
      <c r="M72" s="220" t="str">
        <f t="shared" si="24"/>
        <v/>
      </c>
      <c r="N72" s="220" t="str">
        <f t="shared" si="25"/>
        <v/>
      </c>
      <c r="O72" s="220" t="str">
        <f t="shared" si="26"/>
        <v/>
      </c>
      <c r="P72" s="52" t="str">
        <f t="shared" si="27"/>
        <v>9C34</v>
      </c>
      <c r="Q72" s="231" t="str">
        <f t="shared" si="28"/>
        <v>251</v>
      </c>
      <c r="R72" s="224">
        <f t="shared" si="29"/>
        <v>237.33333333333334</v>
      </c>
      <c r="S72" s="52">
        <f t="shared" si="30"/>
        <v>230</v>
      </c>
      <c r="T72" s="221">
        <f t="shared" ca="1" si="31"/>
        <v>4.96</v>
      </c>
      <c r="U72" s="221" t="str">
        <f t="shared" si="32"/>
        <v/>
      </c>
      <c r="V72" s="220" t="str">
        <f t="array" ref="V72">INDEX(P:P,MAX(U$3:U72))</f>
        <v>9C#2DTR(A)</v>
      </c>
      <c r="W72" s="220" t="str">
        <f t="shared" ca="1" si="33"/>
        <v/>
      </c>
      <c r="X72" s="220">
        <f t="shared" si="34"/>
        <v>11.4</v>
      </c>
      <c r="Y72" s="220">
        <f t="shared" si="21"/>
        <v>0</v>
      </c>
      <c r="AA72" s="220" t="str">
        <f t="shared" si="22"/>
        <v>員林</v>
      </c>
      <c r="AB72" s="220" t="s">
        <v>1537</v>
      </c>
      <c r="AC72" s="220" t="str">
        <f>LEFT(B72,4)</f>
        <v>9C34</v>
      </c>
      <c r="AJ72" t="s">
        <v>1938</v>
      </c>
      <c r="AK72" t="s">
        <v>2037</v>
      </c>
      <c r="BB72" s="514" t="s">
        <v>1453</v>
      </c>
      <c r="BC72" s="514" t="s">
        <v>85</v>
      </c>
      <c r="BD72" s="514">
        <v>1</v>
      </c>
      <c r="BE72" s="514">
        <v>1</v>
      </c>
      <c r="BG72" s="229" t="s">
        <v>6</v>
      </c>
      <c r="BH72" s="230" t="s">
        <v>8364</v>
      </c>
      <c r="BI72" t="s">
        <v>1537</v>
      </c>
      <c r="BJ72" t="s">
        <v>2079</v>
      </c>
    </row>
    <row r="73" spans="1:62">
      <c r="A73" s="229" t="s">
        <v>6039</v>
      </c>
      <c r="B73" s="230" t="s">
        <v>6049</v>
      </c>
      <c r="C73" s="230" t="s">
        <v>6050</v>
      </c>
      <c r="D73" s="229" t="s">
        <v>6051</v>
      </c>
      <c r="E73" s="229" t="s">
        <v>6052</v>
      </c>
      <c r="F73" s="229" t="s">
        <v>6042</v>
      </c>
      <c r="G73" s="229" t="s">
        <v>6053</v>
      </c>
      <c r="H73" s="229" t="s">
        <v>6054</v>
      </c>
      <c r="I73" s="229" t="s">
        <v>6053</v>
      </c>
      <c r="J73" s="231" t="s">
        <v>6055</v>
      </c>
      <c r="K73" s="231" t="s">
        <v>6055</v>
      </c>
      <c r="L73" s="220" t="str">
        <f t="shared" si="23"/>
        <v>9C#2DTR(B)</v>
      </c>
      <c r="M73" s="220" t="str">
        <f t="shared" si="24"/>
        <v>(B)</v>
      </c>
      <c r="N73" s="220" t="str">
        <f t="shared" si="25"/>
        <v>9C#2DTR</v>
      </c>
      <c r="O73" s="220" t="str">
        <f t="shared" si="26"/>
        <v>(B1)</v>
      </c>
      <c r="P73" s="52" t="str">
        <f t="shared" si="27"/>
        <v>9C#2DTR(B)</v>
      </c>
      <c r="Q73" s="231" t="str">
        <f t="shared" si="28"/>
        <v>110</v>
      </c>
      <c r="R73" s="224">
        <f t="shared" si="29"/>
        <v>98.333333333333329</v>
      </c>
      <c r="S73" s="52">
        <f t="shared" si="30"/>
        <v>86</v>
      </c>
      <c r="T73" s="221">
        <f t="shared" ca="1" si="31"/>
        <v>2.17</v>
      </c>
      <c r="U73" s="221">
        <f t="shared" si="32"/>
        <v>73</v>
      </c>
      <c r="V73" s="220" t="str">
        <f t="array" ref="V73">INDEX(P:P,MAX(U$3:U73))</f>
        <v>9C#2DTR(B)</v>
      </c>
      <c r="W73" s="220">
        <f t="shared" ca="1" si="33"/>
        <v>30</v>
      </c>
      <c r="X73" s="220" t="str">
        <f t="shared" si="34"/>
        <v/>
      </c>
      <c r="Y73" s="220">
        <f t="shared" si="21"/>
        <v>0</v>
      </c>
      <c r="AA73" s="220" t="str">
        <f t="shared" si="22"/>
        <v>員林</v>
      </c>
      <c r="AB73" s="220" t="s">
        <v>2080</v>
      </c>
      <c r="AC73" s="220" t="s">
        <v>2080</v>
      </c>
      <c r="AJ73" t="s">
        <v>1940</v>
      </c>
      <c r="AK73" t="s">
        <v>2037</v>
      </c>
      <c r="BB73" s="514" t="s">
        <v>2013</v>
      </c>
      <c r="BC73" s="514">
        <v>3</v>
      </c>
      <c r="BD73" s="514">
        <v>6</v>
      </c>
      <c r="BE73" s="514">
        <v>9</v>
      </c>
      <c r="BG73" s="229" t="s">
        <v>6</v>
      </c>
      <c r="BH73" s="230" t="s">
        <v>8365</v>
      </c>
      <c r="BI73" t="s">
        <v>2080</v>
      </c>
      <c r="BJ73" t="s">
        <v>2080</v>
      </c>
    </row>
    <row r="74" spans="1:62">
      <c r="A74" s="229" t="s">
        <v>6056</v>
      </c>
      <c r="B74" s="230" t="s">
        <v>6057</v>
      </c>
      <c r="C74" s="230" t="s">
        <v>6058</v>
      </c>
      <c r="D74" s="229" t="s">
        <v>6059</v>
      </c>
      <c r="E74" s="229" t="s">
        <v>6060</v>
      </c>
      <c r="F74" s="229" t="s">
        <v>6061</v>
      </c>
      <c r="G74" s="229" t="s">
        <v>6062</v>
      </c>
      <c r="H74" s="229" t="s">
        <v>6061</v>
      </c>
      <c r="I74" s="229" t="s">
        <v>6060</v>
      </c>
      <c r="J74" s="231" t="s">
        <v>6063</v>
      </c>
      <c r="K74" s="231" t="s">
        <v>6061</v>
      </c>
      <c r="L74" s="220" t="str">
        <f t="shared" si="23"/>
        <v>9C35</v>
      </c>
      <c r="M74" s="220" t="str">
        <f t="shared" si="24"/>
        <v/>
      </c>
      <c r="N74" s="220" t="str">
        <f t="shared" si="25"/>
        <v/>
      </c>
      <c r="O74" s="220" t="str">
        <f t="shared" si="26"/>
        <v/>
      </c>
      <c r="P74" s="52" t="str">
        <f t="shared" si="27"/>
        <v>9C35</v>
      </c>
      <c r="Q74" s="231" t="str">
        <f t="shared" si="28"/>
        <v>73</v>
      </c>
      <c r="R74" s="224">
        <f t="shared" si="29"/>
        <v>59.333333333333336</v>
      </c>
      <c r="S74" s="52">
        <f t="shared" si="30"/>
        <v>47</v>
      </c>
      <c r="T74" s="221">
        <f t="shared" ca="1" si="31"/>
        <v>1.44</v>
      </c>
      <c r="U74" s="221" t="str">
        <f t="shared" si="32"/>
        <v/>
      </c>
      <c r="V74" s="220" t="str">
        <f t="array" ref="V74">INDEX(P:P,MAX(U$3:U74))</f>
        <v>9C#2DTR(B)</v>
      </c>
      <c r="W74" s="220" t="str">
        <f t="shared" ca="1" si="33"/>
        <v/>
      </c>
      <c r="X74" s="220">
        <f t="shared" si="34"/>
        <v>11.4</v>
      </c>
      <c r="Y74" s="220">
        <f t="shared" si="21"/>
        <v>0</v>
      </c>
      <c r="AA74" s="220" t="str">
        <f t="shared" si="22"/>
        <v>員林</v>
      </c>
      <c r="AB74" s="220" t="s">
        <v>1595</v>
      </c>
      <c r="AC74" s="220" t="str">
        <f>LEFT(B74,4)</f>
        <v>9C35</v>
      </c>
      <c r="AJ74" t="s">
        <v>1942</v>
      </c>
      <c r="AK74" t="s">
        <v>2037</v>
      </c>
      <c r="BB74" s="514" t="s">
        <v>1504</v>
      </c>
      <c r="BC74" s="514">
        <v>7</v>
      </c>
      <c r="BD74" s="514">
        <v>6</v>
      </c>
      <c r="BE74" s="514">
        <v>13</v>
      </c>
      <c r="BG74" s="229" t="s">
        <v>8353</v>
      </c>
      <c r="BH74" s="230" t="s">
        <v>8366</v>
      </c>
      <c r="BI74" t="s">
        <v>1595</v>
      </c>
      <c r="BJ74" t="s">
        <v>2080</v>
      </c>
    </row>
    <row r="75" spans="1:62">
      <c r="A75" s="229" t="s">
        <v>6064</v>
      </c>
      <c r="B75" s="230" t="s">
        <v>6065</v>
      </c>
      <c r="C75" s="230" t="s">
        <v>6066</v>
      </c>
      <c r="D75" s="229" t="s">
        <v>6067</v>
      </c>
      <c r="E75" s="229" t="s">
        <v>6068</v>
      </c>
      <c r="F75" s="229" t="s">
        <v>6069</v>
      </c>
      <c r="G75" s="229" t="s">
        <v>6070</v>
      </c>
      <c r="H75" s="229" t="s">
        <v>6069</v>
      </c>
      <c r="I75" s="229" t="s">
        <v>6071</v>
      </c>
      <c r="J75" s="231" t="s">
        <v>6072</v>
      </c>
      <c r="K75" s="231" t="s">
        <v>6073</v>
      </c>
      <c r="L75" s="220" t="str">
        <f t="shared" si="23"/>
        <v>9C36</v>
      </c>
      <c r="M75" s="220" t="str">
        <f t="shared" si="24"/>
        <v/>
      </c>
      <c r="N75" s="220" t="str">
        <f t="shared" si="25"/>
        <v/>
      </c>
      <c r="O75" s="220" t="str">
        <f t="shared" si="26"/>
        <v/>
      </c>
      <c r="P75" s="52" t="str">
        <f t="shared" si="27"/>
        <v>9C36</v>
      </c>
      <c r="Q75" s="231" t="str">
        <f t="shared" si="28"/>
        <v>143</v>
      </c>
      <c r="R75" s="224">
        <f t="shared" si="29"/>
        <v>107.33333333333333</v>
      </c>
      <c r="S75" s="52">
        <f t="shared" si="30"/>
        <v>82</v>
      </c>
      <c r="T75" s="221">
        <f t="shared" ca="1" si="31"/>
        <v>2.82</v>
      </c>
      <c r="U75" s="221" t="str">
        <f t="shared" si="32"/>
        <v/>
      </c>
      <c r="V75" s="220" t="str">
        <f t="array" ref="V75">INDEX(P:P,MAX(U$3:U75))</f>
        <v>9C#2DTR(B)</v>
      </c>
      <c r="W75" s="220" t="str">
        <f t="shared" ca="1" si="33"/>
        <v/>
      </c>
      <c r="X75" s="220">
        <f t="shared" si="34"/>
        <v>11.4</v>
      </c>
      <c r="Y75" s="220">
        <f t="shared" si="21"/>
        <v>0</v>
      </c>
      <c r="AA75" s="220" t="str">
        <f t="shared" si="22"/>
        <v>員林</v>
      </c>
      <c r="AB75" s="220" t="s">
        <v>1630</v>
      </c>
      <c r="AC75" s="220" t="str">
        <f>LEFT(B75,4)</f>
        <v>9C36</v>
      </c>
      <c r="AJ75" t="s">
        <v>6074</v>
      </c>
      <c r="AK75" t="s">
        <v>2037</v>
      </c>
      <c r="BB75" s="514" t="s">
        <v>2014</v>
      </c>
      <c r="BC75" s="514">
        <v>0</v>
      </c>
      <c r="BD75" s="514">
        <v>2</v>
      </c>
      <c r="BE75" s="514">
        <v>2</v>
      </c>
      <c r="BG75" s="229" t="s">
        <v>8353</v>
      </c>
      <c r="BH75" s="230" t="s">
        <v>397</v>
      </c>
      <c r="BI75" t="s">
        <v>1630</v>
      </c>
      <c r="BJ75" t="s">
        <v>2080</v>
      </c>
    </row>
    <row r="76" spans="1:62">
      <c r="A76" s="229" t="s">
        <v>6075</v>
      </c>
      <c r="B76" s="230" t="s">
        <v>6076</v>
      </c>
      <c r="C76" s="230" t="s">
        <v>6077</v>
      </c>
      <c r="D76" s="229" t="s">
        <v>6078</v>
      </c>
      <c r="E76" s="229" t="s">
        <v>6079</v>
      </c>
      <c r="F76" s="229" t="s">
        <v>6080</v>
      </c>
      <c r="G76" s="229" t="s">
        <v>6082</v>
      </c>
      <c r="H76" s="229" t="s">
        <v>6083</v>
      </c>
      <c r="I76" s="229" t="s">
        <v>6084</v>
      </c>
      <c r="J76" s="231" t="s">
        <v>6085</v>
      </c>
      <c r="K76" s="231" t="s">
        <v>6086</v>
      </c>
      <c r="L76" s="220" t="str">
        <f t="shared" si="23"/>
        <v>9C#2DTR(B)</v>
      </c>
      <c r="M76" s="220" t="str">
        <f t="shared" si="24"/>
        <v>(B)</v>
      </c>
      <c r="N76" s="220" t="str">
        <f t="shared" si="25"/>
        <v>9C#2DTR</v>
      </c>
      <c r="O76" s="220" t="str">
        <f t="shared" si="26"/>
        <v>(B2)</v>
      </c>
      <c r="P76" s="52" t="str">
        <f t="shared" si="27"/>
        <v>9C#2DTR(B)</v>
      </c>
      <c r="Q76" s="231" t="str">
        <f t="shared" si="28"/>
        <v>176</v>
      </c>
      <c r="R76" s="224">
        <f t="shared" si="29"/>
        <v>172</v>
      </c>
      <c r="S76" s="52">
        <f t="shared" si="30"/>
        <v>165</v>
      </c>
      <c r="T76" s="221">
        <f t="shared" ca="1" si="31"/>
        <v>3.48</v>
      </c>
      <c r="U76" s="221">
        <f t="shared" si="32"/>
        <v>76</v>
      </c>
      <c r="V76" s="220" t="str">
        <f t="array" ref="V76">INDEX(P:P,MAX(U$3:U76))</f>
        <v>9C#2DTR(B)</v>
      </c>
      <c r="W76" s="220">
        <f t="shared" ca="1" si="33"/>
        <v>30</v>
      </c>
      <c r="X76" s="220" t="str">
        <f t="shared" si="34"/>
        <v/>
      </c>
      <c r="Y76" s="220">
        <f t="shared" si="21"/>
        <v>0</v>
      </c>
      <c r="AA76" s="220" t="str">
        <f t="shared" si="22"/>
        <v>員林</v>
      </c>
      <c r="AB76" s="220" t="s">
        <v>2080</v>
      </c>
      <c r="AC76" s="220" t="s">
        <v>2080</v>
      </c>
      <c r="AJ76" t="s">
        <v>2019</v>
      </c>
      <c r="AK76" t="s">
        <v>2037</v>
      </c>
      <c r="BB76" s="514" t="s">
        <v>1552</v>
      </c>
      <c r="BC76" s="514">
        <v>21</v>
      </c>
      <c r="BD76" s="514">
        <v>3</v>
      </c>
      <c r="BE76" s="514">
        <v>24</v>
      </c>
      <c r="BG76" s="229" t="s">
        <v>6</v>
      </c>
      <c r="BH76" s="230" t="s">
        <v>398</v>
      </c>
      <c r="BI76" t="s">
        <v>2080</v>
      </c>
      <c r="BJ76" t="s">
        <v>2080</v>
      </c>
    </row>
    <row r="77" spans="1:62">
      <c r="A77" s="229" t="s">
        <v>6087</v>
      </c>
      <c r="B77" s="230" t="s">
        <v>6088</v>
      </c>
      <c r="C77" s="230" t="s">
        <v>6089</v>
      </c>
      <c r="D77" s="229" t="s">
        <v>6090</v>
      </c>
      <c r="E77" s="229" t="s">
        <v>6091</v>
      </c>
      <c r="F77" s="229" t="s">
        <v>6073</v>
      </c>
      <c r="G77" s="229" t="s">
        <v>6092</v>
      </c>
      <c r="H77" s="229" t="s">
        <v>6093</v>
      </c>
      <c r="I77" s="229" t="s">
        <v>6092</v>
      </c>
      <c r="J77" s="231" t="s">
        <v>6094</v>
      </c>
      <c r="K77" s="231" t="s">
        <v>6095</v>
      </c>
      <c r="L77" s="220" t="str">
        <f t="shared" si="23"/>
        <v>9C37</v>
      </c>
      <c r="M77" s="220" t="str">
        <f t="shared" si="24"/>
        <v/>
      </c>
      <c r="N77" s="220" t="str">
        <f t="shared" si="25"/>
        <v/>
      </c>
      <c r="O77" s="220" t="str">
        <f t="shared" si="26"/>
        <v/>
      </c>
      <c r="P77" s="52" t="str">
        <f t="shared" si="27"/>
        <v>9C37</v>
      </c>
      <c r="Q77" s="231" t="str">
        <f t="shared" si="28"/>
        <v>127</v>
      </c>
      <c r="R77" s="224">
        <f t="shared" si="29"/>
        <v>116</v>
      </c>
      <c r="S77" s="52">
        <f t="shared" si="30"/>
        <v>97</v>
      </c>
      <c r="T77" s="221">
        <f t="shared" ca="1" si="31"/>
        <v>2.5099999999999998</v>
      </c>
      <c r="U77" s="221" t="str">
        <f t="shared" si="32"/>
        <v/>
      </c>
      <c r="V77" s="220" t="str">
        <f t="array" ref="V77">INDEX(P:P,MAX(U$3:U77))</f>
        <v>9C#2DTR(B)</v>
      </c>
      <c r="W77" s="220" t="str">
        <f t="shared" ca="1" si="33"/>
        <v/>
      </c>
      <c r="X77" s="220">
        <f t="shared" si="34"/>
        <v>11.4</v>
      </c>
      <c r="Y77" s="220">
        <f t="shared" si="21"/>
        <v>0</v>
      </c>
      <c r="AA77" s="220" t="str">
        <f t="shared" si="22"/>
        <v>員林</v>
      </c>
      <c r="AB77" s="220" t="s">
        <v>1644</v>
      </c>
      <c r="AC77" s="220" t="str">
        <f>LEFT(B77,4)</f>
        <v>9C37</v>
      </c>
      <c r="AJ77" t="s">
        <v>2020</v>
      </c>
      <c r="AK77" t="s">
        <v>2037</v>
      </c>
      <c r="BB77" s="514" t="s">
        <v>2015</v>
      </c>
      <c r="BC77" s="514">
        <v>0</v>
      </c>
      <c r="BD77" s="514">
        <v>2</v>
      </c>
      <c r="BE77" s="514">
        <v>2</v>
      </c>
      <c r="BG77" s="229" t="s">
        <v>6</v>
      </c>
      <c r="BH77" s="230" t="s">
        <v>8367</v>
      </c>
      <c r="BI77" t="s">
        <v>1644</v>
      </c>
      <c r="BJ77" t="s">
        <v>2080</v>
      </c>
    </row>
    <row r="78" spans="1:62">
      <c r="A78" s="229" t="s">
        <v>6087</v>
      </c>
      <c r="B78" s="230" t="s">
        <v>6096</v>
      </c>
      <c r="C78" s="230" t="s">
        <v>6097</v>
      </c>
      <c r="D78" s="229" t="s">
        <v>6051</v>
      </c>
      <c r="E78" s="229" t="s">
        <v>6098</v>
      </c>
      <c r="F78" s="229" t="s">
        <v>6099</v>
      </c>
      <c r="G78" s="229" t="s">
        <v>6101</v>
      </c>
      <c r="H78" s="229" t="s">
        <v>6102</v>
      </c>
      <c r="I78" s="229" t="s">
        <v>6103</v>
      </c>
      <c r="J78" s="231" t="s">
        <v>6104</v>
      </c>
      <c r="K78" s="231" t="s">
        <v>6105</v>
      </c>
      <c r="L78" s="220" t="str">
        <f t="shared" si="23"/>
        <v>9C38</v>
      </c>
      <c r="M78" s="220" t="str">
        <f t="shared" si="24"/>
        <v/>
      </c>
      <c r="N78" s="220" t="str">
        <f t="shared" si="25"/>
        <v/>
      </c>
      <c r="O78" s="220" t="str">
        <f t="shared" si="26"/>
        <v/>
      </c>
      <c r="P78" s="52" t="str">
        <f t="shared" si="27"/>
        <v>9C38</v>
      </c>
      <c r="Q78" s="231" t="str">
        <f t="shared" si="28"/>
        <v>59</v>
      </c>
      <c r="R78" s="224">
        <f t="shared" si="29"/>
        <v>41.666666666666664</v>
      </c>
      <c r="S78" s="52">
        <f t="shared" si="30"/>
        <v>27</v>
      </c>
      <c r="T78" s="221">
        <f t="shared" ca="1" si="31"/>
        <v>1.1599999999999999</v>
      </c>
      <c r="U78" s="221" t="str">
        <f t="shared" si="32"/>
        <v/>
      </c>
      <c r="V78" s="220" t="str">
        <f t="array" ref="V78">INDEX(P:P,MAX(U$3:U78))</f>
        <v>9C#2DTR(B)</v>
      </c>
      <c r="W78" s="220" t="str">
        <f t="shared" ca="1" si="33"/>
        <v/>
      </c>
      <c r="X78" s="220">
        <f t="shared" si="34"/>
        <v>11.4</v>
      </c>
      <c r="Y78" s="220">
        <f t="shared" si="21"/>
        <v>0</v>
      </c>
      <c r="AA78" s="220" t="str">
        <f t="shared" si="22"/>
        <v>員林</v>
      </c>
      <c r="AB78" s="220" t="s">
        <v>1677</v>
      </c>
      <c r="AC78" s="220" t="str">
        <f>LEFT(B78,4)</f>
        <v>9C38</v>
      </c>
      <c r="AJ78" t="s">
        <v>2023</v>
      </c>
      <c r="AK78" t="s">
        <v>2037</v>
      </c>
      <c r="BB78" s="514" t="s">
        <v>2016</v>
      </c>
      <c r="BC78" s="514">
        <v>4</v>
      </c>
      <c r="BD78" s="514">
        <v>2</v>
      </c>
      <c r="BE78" s="514">
        <v>6</v>
      </c>
      <c r="BG78" s="229" t="s">
        <v>8353</v>
      </c>
      <c r="BH78" s="230" t="s">
        <v>8368</v>
      </c>
      <c r="BI78" t="s">
        <v>1677</v>
      </c>
      <c r="BJ78" t="s">
        <v>2080</v>
      </c>
    </row>
    <row r="79" spans="1:62">
      <c r="A79" s="229" t="s">
        <v>6106</v>
      </c>
      <c r="B79" s="230" t="s">
        <v>6107</v>
      </c>
      <c r="C79" s="230" t="s">
        <v>6108</v>
      </c>
      <c r="D79" s="229" t="s">
        <v>6054</v>
      </c>
      <c r="E79" s="229" t="s">
        <v>6109</v>
      </c>
      <c r="F79" s="229" t="s">
        <v>6054</v>
      </c>
      <c r="G79" s="229" t="s">
        <v>6110</v>
      </c>
      <c r="H79" s="229" t="s">
        <v>5847</v>
      </c>
      <c r="I79" s="229" t="s">
        <v>6108</v>
      </c>
      <c r="J79" s="231" t="s">
        <v>6111</v>
      </c>
      <c r="K79" s="231" t="s">
        <v>6042</v>
      </c>
      <c r="L79" s="220" t="str">
        <f t="shared" si="23"/>
        <v>9C39</v>
      </c>
      <c r="M79" s="220" t="str">
        <f t="shared" si="24"/>
        <v/>
      </c>
      <c r="N79" s="220" t="str">
        <f t="shared" si="25"/>
        <v/>
      </c>
      <c r="O79" s="220" t="str">
        <f t="shared" si="26"/>
        <v/>
      </c>
      <c r="P79" s="52" t="str">
        <f t="shared" si="27"/>
        <v>9C39</v>
      </c>
      <c r="Q79" s="231" t="str">
        <f t="shared" si="28"/>
        <v>123</v>
      </c>
      <c r="R79" s="224">
        <f t="shared" si="29"/>
        <v>108.66666666666667</v>
      </c>
      <c r="S79" s="52">
        <f t="shared" si="30"/>
        <v>95</v>
      </c>
      <c r="T79" s="221">
        <f t="shared" ca="1" si="31"/>
        <v>2.4300000000000002</v>
      </c>
      <c r="U79" s="221" t="str">
        <f t="shared" si="32"/>
        <v/>
      </c>
      <c r="V79" s="220" t="str">
        <f t="array" ref="V79">INDEX(P:P,MAX(U$3:U79))</f>
        <v>9C#2DTR(B)</v>
      </c>
      <c r="W79" s="220" t="str">
        <f t="shared" ca="1" si="33"/>
        <v/>
      </c>
      <c r="X79" s="220">
        <f t="shared" si="34"/>
        <v>11.4</v>
      </c>
      <c r="Y79" s="220">
        <f t="shared" si="21"/>
        <v>0</v>
      </c>
      <c r="AA79" s="220" t="str">
        <f t="shared" si="22"/>
        <v>員林</v>
      </c>
      <c r="AB79" s="220" t="s">
        <v>1688</v>
      </c>
      <c r="AC79" s="220" t="str">
        <f>LEFT(B79,4)</f>
        <v>9C39</v>
      </c>
      <c r="AJ79" t="s">
        <v>2025</v>
      </c>
      <c r="AK79" t="s">
        <v>2037</v>
      </c>
      <c r="BB79" s="514" t="s">
        <v>2093</v>
      </c>
      <c r="BC79" s="514">
        <v>497</v>
      </c>
      <c r="BD79" s="514">
        <v>1</v>
      </c>
      <c r="BE79" s="514">
        <v>498</v>
      </c>
      <c r="BG79" s="229" t="s">
        <v>8345</v>
      </c>
      <c r="BH79" s="230" t="s">
        <v>8369</v>
      </c>
      <c r="BI79" t="s">
        <v>1688</v>
      </c>
      <c r="BJ79" t="s">
        <v>2080</v>
      </c>
    </row>
    <row r="80" spans="1:62">
      <c r="A80" s="229" t="s">
        <v>6106</v>
      </c>
      <c r="B80" s="230" t="s">
        <v>6112</v>
      </c>
      <c r="C80" s="230" t="s">
        <v>6113</v>
      </c>
      <c r="D80" s="229" t="s">
        <v>6114</v>
      </c>
      <c r="E80" s="229" t="s">
        <v>6115</v>
      </c>
      <c r="F80" s="229" t="s">
        <v>5766</v>
      </c>
      <c r="G80" s="229" t="s">
        <v>6116</v>
      </c>
      <c r="H80" s="229" t="s">
        <v>5766</v>
      </c>
      <c r="I80" s="229" t="s">
        <v>6117</v>
      </c>
      <c r="J80" s="231" t="s">
        <v>5674</v>
      </c>
      <c r="K80" s="231" t="s">
        <v>5674</v>
      </c>
      <c r="L80" s="220" t="str">
        <f t="shared" si="23"/>
        <v>9C#3DTR(A)</v>
      </c>
      <c r="M80" s="220" t="str">
        <f t="shared" si="24"/>
        <v>(A)</v>
      </c>
      <c r="N80" s="220" t="str">
        <f t="shared" si="25"/>
        <v>9C#3DTR</v>
      </c>
      <c r="O80" s="220" t="str">
        <f t="shared" si="26"/>
        <v>(A)</v>
      </c>
      <c r="P80" s="52" t="str">
        <f t="shared" si="27"/>
        <v>9C#3DTR(A)</v>
      </c>
      <c r="Q80" s="231" t="str">
        <f t="shared" si="28"/>
        <v>732</v>
      </c>
      <c r="R80" s="224">
        <f t="shared" si="29"/>
        <v>721</v>
      </c>
      <c r="S80" s="52">
        <f t="shared" si="30"/>
        <v>714</v>
      </c>
      <c r="T80" s="221">
        <f t="shared" ca="1" si="31"/>
        <v>14.45</v>
      </c>
      <c r="U80" s="221">
        <f t="shared" si="32"/>
        <v>80</v>
      </c>
      <c r="V80" s="220" t="str">
        <f t="array" ref="V80">INDEX(P:P,MAX(U$3:U80))</f>
        <v>9C#3DTR(A)</v>
      </c>
      <c r="W80" s="220">
        <f t="shared" ca="1" si="33"/>
        <v>30</v>
      </c>
      <c r="X80" s="220" t="str">
        <f t="shared" si="34"/>
        <v/>
      </c>
      <c r="Y80" s="220">
        <f t="shared" si="21"/>
        <v>0</v>
      </c>
      <c r="AA80" s="220" t="str">
        <f t="shared" si="22"/>
        <v>員林</v>
      </c>
      <c r="AB80" s="220" t="s">
        <v>2081</v>
      </c>
      <c r="AC80" s="220" t="s">
        <v>2081</v>
      </c>
      <c r="AJ80" t="s">
        <v>2026</v>
      </c>
      <c r="AK80" t="s">
        <v>2037</v>
      </c>
      <c r="BB80" s="514" t="s">
        <v>1213</v>
      </c>
      <c r="BC80" s="514">
        <v>878</v>
      </c>
      <c r="BD80" s="514">
        <v>1</v>
      </c>
      <c r="BE80" s="514">
        <v>879</v>
      </c>
      <c r="BG80" s="229" t="s">
        <v>8353</v>
      </c>
      <c r="BH80" s="230" t="s">
        <v>8370</v>
      </c>
      <c r="BI80" t="s">
        <v>2081</v>
      </c>
      <c r="BJ80" t="s">
        <v>2081</v>
      </c>
    </row>
    <row r="81" spans="1:62">
      <c r="A81" s="229" t="s">
        <v>6118</v>
      </c>
      <c r="B81" s="230" t="s">
        <v>6119</v>
      </c>
      <c r="C81" s="230" t="s">
        <v>6120</v>
      </c>
      <c r="D81" s="229" t="s">
        <v>6121</v>
      </c>
      <c r="E81" s="229" t="s">
        <v>6122</v>
      </c>
      <c r="F81" s="229" t="s">
        <v>6123</v>
      </c>
      <c r="G81" s="229" t="s">
        <v>6124</v>
      </c>
      <c r="H81" s="229" t="s">
        <v>6121</v>
      </c>
      <c r="I81" s="229" t="s">
        <v>6124</v>
      </c>
      <c r="J81" s="231" t="s">
        <v>6125</v>
      </c>
      <c r="K81" s="231" t="s">
        <v>6121</v>
      </c>
      <c r="L81" s="220" t="str">
        <f t="shared" si="23"/>
        <v>9C40</v>
      </c>
      <c r="M81" s="220" t="str">
        <f t="shared" si="24"/>
        <v/>
      </c>
      <c r="N81" s="220" t="str">
        <f t="shared" si="25"/>
        <v/>
      </c>
      <c r="O81" s="220" t="str">
        <f t="shared" si="26"/>
        <v/>
      </c>
      <c r="P81" s="52" t="str">
        <f t="shared" si="27"/>
        <v>9C40</v>
      </c>
      <c r="Q81" s="231" t="str">
        <f t="shared" si="28"/>
        <v>95</v>
      </c>
      <c r="R81" s="224">
        <f t="shared" si="29"/>
        <v>81.666666666666671</v>
      </c>
      <c r="S81" s="52">
        <f t="shared" si="30"/>
        <v>66</v>
      </c>
      <c r="T81" s="221">
        <f t="shared" ca="1" si="31"/>
        <v>1.88</v>
      </c>
      <c r="U81" s="221" t="str">
        <f t="shared" si="32"/>
        <v/>
      </c>
      <c r="V81" s="220" t="str">
        <f t="array" ref="V81">INDEX(P:P,MAX(U$3:U81))</f>
        <v>9C#3DTR(A)</v>
      </c>
      <c r="W81" s="220" t="str">
        <f t="shared" ca="1" si="33"/>
        <v/>
      </c>
      <c r="X81" s="220">
        <f t="shared" si="34"/>
        <v>11.4</v>
      </c>
      <c r="Y81" s="220">
        <f t="shared" si="21"/>
        <v>0</v>
      </c>
      <c r="AA81" s="220" t="str">
        <f t="shared" si="22"/>
        <v>員林</v>
      </c>
      <c r="AB81" s="220" t="s">
        <v>2082</v>
      </c>
      <c r="AC81" s="220" t="str">
        <f>LEFT(B81,4)</f>
        <v>9C40</v>
      </c>
      <c r="AJ81" t="s">
        <v>6126</v>
      </c>
      <c r="AK81" t="s">
        <v>2037</v>
      </c>
      <c r="BB81" s="514" t="s">
        <v>1230</v>
      </c>
      <c r="BC81" s="514">
        <v>1674</v>
      </c>
      <c r="BD81" s="514">
        <v>1</v>
      </c>
      <c r="BE81" s="514">
        <v>1675</v>
      </c>
      <c r="BG81" s="229" t="s">
        <v>8345</v>
      </c>
      <c r="BH81" s="230" t="s">
        <v>8371</v>
      </c>
      <c r="BI81" t="s">
        <v>2082</v>
      </c>
      <c r="BJ81" t="s">
        <v>2081</v>
      </c>
    </row>
    <row r="82" spans="1:62">
      <c r="A82" s="229" t="s">
        <v>6127</v>
      </c>
      <c r="B82" s="230" t="s">
        <v>6128</v>
      </c>
      <c r="C82" s="230" t="s">
        <v>6129</v>
      </c>
      <c r="D82" s="229" t="s">
        <v>5766</v>
      </c>
      <c r="E82" s="229" t="s">
        <v>6130</v>
      </c>
      <c r="F82" s="229" t="s">
        <v>6131</v>
      </c>
      <c r="G82" s="229" t="s">
        <v>6132</v>
      </c>
      <c r="H82" s="229" t="s">
        <v>5766</v>
      </c>
      <c r="I82" s="229" t="s">
        <v>6133</v>
      </c>
      <c r="J82" s="231" t="s">
        <v>6134</v>
      </c>
      <c r="K82" s="231" t="s">
        <v>6135</v>
      </c>
      <c r="L82" s="220" t="str">
        <f t="shared" si="23"/>
        <v>9C41</v>
      </c>
      <c r="M82" s="220" t="str">
        <f t="shared" si="24"/>
        <v/>
      </c>
      <c r="N82" s="220" t="str">
        <f t="shared" si="25"/>
        <v/>
      </c>
      <c r="O82" s="220" t="str">
        <f t="shared" si="26"/>
        <v/>
      </c>
      <c r="P82" s="52" t="str">
        <f t="shared" si="27"/>
        <v>9C41</v>
      </c>
      <c r="Q82" s="231" t="str">
        <f t="shared" si="28"/>
        <v>303</v>
      </c>
      <c r="R82" s="224">
        <f t="shared" si="29"/>
        <v>298.33333333333331</v>
      </c>
      <c r="S82" s="52">
        <f t="shared" si="30"/>
        <v>293</v>
      </c>
      <c r="T82" s="221">
        <f t="shared" ca="1" si="31"/>
        <v>5.98</v>
      </c>
      <c r="U82" s="221" t="str">
        <f t="shared" si="32"/>
        <v/>
      </c>
      <c r="V82" s="220" t="str">
        <f t="array" ref="V82">INDEX(P:P,MAX(U$3:U82))</f>
        <v>9C#3DTR(A)</v>
      </c>
      <c r="W82" s="220" t="str">
        <f t="shared" ca="1" si="33"/>
        <v/>
      </c>
      <c r="X82" s="220">
        <f t="shared" si="34"/>
        <v>11.4</v>
      </c>
      <c r="Y82" s="220">
        <f t="shared" si="21"/>
        <v>0</v>
      </c>
      <c r="AA82" s="220" t="str">
        <f t="shared" si="22"/>
        <v>員林</v>
      </c>
      <c r="AB82" s="220" t="s">
        <v>2083</v>
      </c>
      <c r="AC82" s="220" t="str">
        <f>LEFT(B82,4)</f>
        <v>9C41</v>
      </c>
      <c r="AJ82" t="s">
        <v>6136</v>
      </c>
      <c r="AK82" t="s">
        <v>6137</v>
      </c>
      <c r="BB82" s="514" t="s">
        <v>1267</v>
      </c>
      <c r="BC82" s="514">
        <v>1825</v>
      </c>
      <c r="BD82" s="514" t="s">
        <v>85</v>
      </c>
      <c r="BE82" s="514">
        <v>1825</v>
      </c>
      <c r="BG82" s="229" t="s">
        <v>8353</v>
      </c>
      <c r="BH82" s="230" t="s">
        <v>8372</v>
      </c>
      <c r="BI82" t="s">
        <v>2083</v>
      </c>
      <c r="BJ82" t="s">
        <v>2081</v>
      </c>
    </row>
    <row r="83" spans="1:62">
      <c r="A83" s="229" t="s">
        <v>6106</v>
      </c>
      <c r="B83" s="230" t="s">
        <v>6138</v>
      </c>
      <c r="C83" s="230" t="s">
        <v>5694</v>
      </c>
      <c r="D83" s="229" t="s">
        <v>5595</v>
      </c>
      <c r="E83" s="229" t="s">
        <v>5694</v>
      </c>
      <c r="F83" s="229" t="s">
        <v>5595</v>
      </c>
      <c r="G83" s="229" t="s">
        <v>5694</v>
      </c>
      <c r="H83" s="229" t="s">
        <v>6139</v>
      </c>
      <c r="I83" s="229" t="s">
        <v>5699</v>
      </c>
      <c r="J83" s="231" t="s">
        <v>5699</v>
      </c>
      <c r="K83" s="231" t="s">
        <v>5628</v>
      </c>
      <c r="L83" s="220" t="str">
        <f t="shared" si="23"/>
        <v>9C42</v>
      </c>
      <c r="M83" s="220" t="str">
        <f t="shared" si="24"/>
        <v/>
      </c>
      <c r="N83" s="220" t="str">
        <f t="shared" si="25"/>
        <v/>
      </c>
      <c r="O83" s="220" t="str">
        <f t="shared" si="26"/>
        <v/>
      </c>
      <c r="P83" s="52" t="str">
        <f t="shared" si="27"/>
        <v>9C42</v>
      </c>
      <c r="Q83" s="231" t="str">
        <f t="shared" si="28"/>
        <v>0</v>
      </c>
      <c r="R83" s="224">
        <f t="shared" si="29"/>
        <v>0</v>
      </c>
      <c r="S83" s="52">
        <f t="shared" si="30"/>
        <v>0</v>
      </c>
      <c r="T83" s="221">
        <f t="shared" ca="1" si="31"/>
        <v>0</v>
      </c>
      <c r="U83" s="221" t="str">
        <f t="shared" si="32"/>
        <v/>
      </c>
      <c r="V83" s="220" t="str">
        <f t="array" ref="V83">INDEX(P:P,MAX(U$3:U83))</f>
        <v>9C#3DTR(A)</v>
      </c>
      <c r="W83" s="220" t="str">
        <f t="shared" ca="1" si="33"/>
        <v/>
      </c>
      <c r="X83" s="220">
        <f t="shared" si="34"/>
        <v>11.4</v>
      </c>
      <c r="Y83" s="220">
        <f t="shared" si="21"/>
        <v>0</v>
      </c>
      <c r="AA83" s="220" t="str">
        <f t="shared" si="22"/>
        <v>員林</v>
      </c>
      <c r="AB83" s="220" t="s">
        <v>2007</v>
      </c>
      <c r="AC83" s="220" t="str">
        <f>LEFT(B83,4)</f>
        <v>9C42</v>
      </c>
      <c r="AJ83" t="s">
        <v>1945</v>
      </c>
      <c r="AK83" t="s">
        <v>6137</v>
      </c>
      <c r="BB83" s="514" t="s">
        <v>1286</v>
      </c>
      <c r="BC83" s="514">
        <v>403</v>
      </c>
      <c r="BD83" s="514" t="s">
        <v>85</v>
      </c>
      <c r="BE83" s="514">
        <v>403</v>
      </c>
      <c r="BG83" s="229" t="s">
        <v>8353</v>
      </c>
      <c r="BH83" s="230" t="s">
        <v>8373</v>
      </c>
      <c r="BI83" t="s">
        <v>2007</v>
      </c>
      <c r="BJ83" t="s">
        <v>2081</v>
      </c>
    </row>
    <row r="84" spans="1:62">
      <c r="A84" s="229" t="s">
        <v>6106</v>
      </c>
      <c r="B84" s="230" t="s">
        <v>6140</v>
      </c>
      <c r="C84" s="230" t="s">
        <v>6141</v>
      </c>
      <c r="D84" s="229" t="s">
        <v>6142</v>
      </c>
      <c r="E84" s="229" t="s">
        <v>6144</v>
      </c>
      <c r="F84" s="229" t="s">
        <v>6142</v>
      </c>
      <c r="G84" s="229" t="s">
        <v>6145</v>
      </c>
      <c r="H84" s="229" t="s">
        <v>6146</v>
      </c>
      <c r="I84" s="229" t="s">
        <v>6147</v>
      </c>
      <c r="J84" s="231" t="s">
        <v>6148</v>
      </c>
      <c r="K84" s="231" t="s">
        <v>6149</v>
      </c>
      <c r="L84" s="220" t="str">
        <f t="shared" si="23"/>
        <v>9C43</v>
      </c>
      <c r="M84" s="220" t="str">
        <f t="shared" si="24"/>
        <v/>
      </c>
      <c r="N84" s="220" t="str">
        <f t="shared" si="25"/>
        <v/>
      </c>
      <c r="O84" s="220" t="str">
        <f t="shared" si="26"/>
        <v/>
      </c>
      <c r="P84" s="52" t="str">
        <f t="shared" si="27"/>
        <v>9C43</v>
      </c>
      <c r="Q84" s="231" t="str">
        <f t="shared" si="28"/>
        <v>179</v>
      </c>
      <c r="R84" s="224">
        <f t="shared" si="29"/>
        <v>176</v>
      </c>
      <c r="S84" s="52">
        <f t="shared" si="30"/>
        <v>171</v>
      </c>
      <c r="T84" s="221">
        <f t="shared" ca="1" si="31"/>
        <v>3.53</v>
      </c>
      <c r="U84" s="221" t="str">
        <f t="shared" si="32"/>
        <v/>
      </c>
      <c r="V84" s="220" t="str">
        <f t="array" ref="V84">INDEX(P:P,MAX(U$3:U84))</f>
        <v>9C#3DTR(A)</v>
      </c>
      <c r="W84" s="220" t="str">
        <f t="shared" ca="1" si="33"/>
        <v/>
      </c>
      <c r="X84" s="220">
        <f t="shared" si="34"/>
        <v>11.4</v>
      </c>
      <c r="Y84" s="220">
        <f t="shared" si="21"/>
        <v>0</v>
      </c>
      <c r="AA84" s="220" t="str">
        <f t="shared" si="22"/>
        <v>員林</v>
      </c>
      <c r="AB84" s="220" t="s">
        <v>2009</v>
      </c>
      <c r="AC84" s="220" t="str">
        <f>LEFT(B84,4)</f>
        <v>9C43</v>
      </c>
      <c r="AJ84" t="s">
        <v>1947</v>
      </c>
      <c r="AK84" t="s">
        <v>6137</v>
      </c>
      <c r="BB84" s="514" t="s">
        <v>1334</v>
      </c>
      <c r="BC84" s="514">
        <v>47</v>
      </c>
      <c r="BD84" s="514">
        <v>1</v>
      </c>
      <c r="BE84" s="514">
        <v>48</v>
      </c>
      <c r="BG84" s="229" t="s">
        <v>8345</v>
      </c>
      <c r="BH84" s="230" t="s">
        <v>400</v>
      </c>
      <c r="BI84" t="s">
        <v>2009</v>
      </c>
      <c r="BJ84" t="s">
        <v>2081</v>
      </c>
    </row>
    <row r="85" spans="1:62">
      <c r="A85" s="229" t="s">
        <v>6106</v>
      </c>
      <c r="B85" s="230" t="s">
        <v>6150</v>
      </c>
      <c r="C85" s="230" t="s">
        <v>6151</v>
      </c>
      <c r="D85" s="229" t="s">
        <v>5766</v>
      </c>
      <c r="E85" s="229" t="s">
        <v>6152</v>
      </c>
      <c r="F85" s="229" t="s">
        <v>5766</v>
      </c>
      <c r="G85" s="229" t="s">
        <v>6153</v>
      </c>
      <c r="H85" s="229" t="s">
        <v>5766</v>
      </c>
      <c r="I85" s="229" t="s">
        <v>6154</v>
      </c>
      <c r="J85" s="231" t="s">
        <v>6155</v>
      </c>
      <c r="K85" s="231" t="s">
        <v>6135</v>
      </c>
      <c r="L85" s="220" t="str">
        <f t="shared" si="23"/>
        <v>9C44</v>
      </c>
      <c r="M85" s="220" t="str">
        <f t="shared" si="24"/>
        <v/>
      </c>
      <c r="N85" s="220" t="str">
        <f t="shared" si="25"/>
        <v/>
      </c>
      <c r="O85" s="220" t="str">
        <f t="shared" si="26"/>
        <v/>
      </c>
      <c r="P85" s="52" t="str">
        <f t="shared" si="27"/>
        <v>9C44</v>
      </c>
      <c r="Q85" s="231" t="str">
        <f t="shared" si="28"/>
        <v>220</v>
      </c>
      <c r="R85" s="224">
        <f t="shared" si="29"/>
        <v>200.33333333333334</v>
      </c>
      <c r="S85" s="52">
        <f t="shared" si="30"/>
        <v>177</v>
      </c>
      <c r="T85" s="221">
        <f t="shared" ca="1" si="31"/>
        <v>4.34</v>
      </c>
      <c r="U85" s="221" t="str">
        <f t="shared" si="32"/>
        <v/>
      </c>
      <c r="V85" s="220" t="str">
        <f t="array" ref="V85">INDEX(P:P,MAX(U$3:U85))</f>
        <v>9C#3DTR(A)</v>
      </c>
      <c r="W85" s="220" t="str">
        <f t="shared" ca="1" si="33"/>
        <v/>
      </c>
      <c r="X85" s="220">
        <f t="shared" si="34"/>
        <v>11.4</v>
      </c>
      <c r="Y85" s="220">
        <f t="shared" si="21"/>
        <v>0</v>
      </c>
      <c r="AA85" s="220" t="str">
        <f t="shared" si="22"/>
        <v>員林</v>
      </c>
      <c r="AB85" s="220" t="s">
        <v>1761</v>
      </c>
      <c r="AC85" s="220" t="str">
        <f>LEFT(B85,4)</f>
        <v>9C44</v>
      </c>
      <c r="AJ85" t="s">
        <v>1949</v>
      </c>
      <c r="AK85" t="s">
        <v>6156</v>
      </c>
      <c r="BB85" s="514" t="s">
        <v>757</v>
      </c>
      <c r="BC85" s="514">
        <v>1682</v>
      </c>
      <c r="BD85" s="514" t="s">
        <v>85</v>
      </c>
      <c r="BE85" s="514">
        <v>1682</v>
      </c>
      <c r="BG85" s="229" t="s">
        <v>8345</v>
      </c>
      <c r="BH85" s="230" t="s">
        <v>8374</v>
      </c>
      <c r="BI85" t="s">
        <v>1761</v>
      </c>
      <c r="BJ85" t="s">
        <v>2081</v>
      </c>
    </row>
    <row r="86" spans="1:62">
      <c r="A86" s="229" t="s">
        <v>6039</v>
      </c>
      <c r="B86" s="230" t="s">
        <v>6157</v>
      </c>
      <c r="C86" s="230" t="s">
        <v>6158</v>
      </c>
      <c r="D86" s="229" t="s">
        <v>6159</v>
      </c>
      <c r="E86" s="229" t="s">
        <v>6160</v>
      </c>
      <c r="F86" s="229" t="s">
        <v>6159</v>
      </c>
      <c r="G86" s="229" t="s">
        <v>6161</v>
      </c>
      <c r="H86" s="229" t="s">
        <v>6159</v>
      </c>
      <c r="I86" s="229" t="s">
        <v>6162</v>
      </c>
      <c r="J86" s="231" t="s">
        <v>5674</v>
      </c>
      <c r="K86" s="231" t="s">
        <v>6163</v>
      </c>
      <c r="L86" s="220" t="str">
        <f t="shared" si="23"/>
        <v>9C#3DTR(B)</v>
      </c>
      <c r="M86" s="220" t="str">
        <f t="shared" si="24"/>
        <v>(B)</v>
      </c>
      <c r="N86" s="220" t="str">
        <f t="shared" si="25"/>
        <v>9C#3DTR</v>
      </c>
      <c r="O86" s="220" t="str">
        <f t="shared" si="26"/>
        <v>(B)</v>
      </c>
      <c r="P86" s="52" t="str">
        <f t="shared" si="27"/>
        <v>9C#3DTR(B)</v>
      </c>
      <c r="Q86" s="231" t="str">
        <f t="shared" si="28"/>
        <v>747</v>
      </c>
      <c r="R86" s="224">
        <f t="shared" si="29"/>
        <v>731</v>
      </c>
      <c r="S86" s="52">
        <f t="shared" si="30"/>
        <v>708</v>
      </c>
      <c r="T86" s="221">
        <f t="shared" ca="1" si="31"/>
        <v>14.75</v>
      </c>
      <c r="U86" s="221">
        <f t="shared" si="32"/>
        <v>86</v>
      </c>
      <c r="V86" s="220" t="str">
        <f t="array" ref="V86">INDEX(P:P,MAX(U$3:U86))</f>
        <v>9C#3DTR(B)</v>
      </c>
      <c r="W86" s="220">
        <f t="shared" ca="1" si="33"/>
        <v>30</v>
      </c>
      <c r="X86" s="220" t="str">
        <f t="shared" si="34"/>
        <v/>
      </c>
      <c r="Y86" s="220">
        <f t="shared" si="21"/>
        <v>0</v>
      </c>
      <c r="AA86" s="220" t="str">
        <f t="shared" si="22"/>
        <v>員林</v>
      </c>
      <c r="AB86" s="220" t="s">
        <v>2084</v>
      </c>
      <c r="AC86" s="220" t="s">
        <v>2084</v>
      </c>
      <c r="AJ86" t="s">
        <v>1950</v>
      </c>
      <c r="AK86" t="s">
        <v>2037</v>
      </c>
      <c r="BB86" s="514" t="s">
        <v>758</v>
      </c>
      <c r="BC86" s="514">
        <v>58</v>
      </c>
      <c r="BD86" s="514" t="s">
        <v>85</v>
      </c>
      <c r="BE86" s="514">
        <v>58</v>
      </c>
      <c r="BG86" s="229" t="s">
        <v>6</v>
      </c>
      <c r="BH86" s="230" t="s">
        <v>8375</v>
      </c>
      <c r="BI86" t="s">
        <v>2084</v>
      </c>
      <c r="BJ86" t="s">
        <v>2084</v>
      </c>
    </row>
    <row r="87" spans="1:62">
      <c r="A87" s="229" t="s">
        <v>6106</v>
      </c>
      <c r="B87" s="230" t="s">
        <v>6164</v>
      </c>
      <c r="C87" s="230" t="s">
        <v>6165</v>
      </c>
      <c r="D87" s="229" t="s">
        <v>6166</v>
      </c>
      <c r="E87" s="229" t="s">
        <v>6167</v>
      </c>
      <c r="F87" s="229" t="s">
        <v>6159</v>
      </c>
      <c r="G87" s="229" t="s">
        <v>6168</v>
      </c>
      <c r="H87" s="229" t="s">
        <v>6169</v>
      </c>
      <c r="I87" s="229" t="s">
        <v>6170</v>
      </c>
      <c r="J87" s="231" t="s">
        <v>6171</v>
      </c>
      <c r="K87" s="231" t="s">
        <v>6166</v>
      </c>
      <c r="L87" s="220" t="str">
        <f t="shared" si="23"/>
        <v>9C45</v>
      </c>
      <c r="M87" s="220" t="str">
        <f t="shared" si="24"/>
        <v/>
      </c>
      <c r="N87" s="220" t="str">
        <f t="shared" si="25"/>
        <v/>
      </c>
      <c r="O87" s="220" t="str">
        <f t="shared" si="26"/>
        <v/>
      </c>
      <c r="P87" s="52" t="str">
        <f t="shared" si="27"/>
        <v>9C45</v>
      </c>
      <c r="Q87" s="231" t="str">
        <f t="shared" si="28"/>
        <v>18</v>
      </c>
      <c r="R87" s="224">
        <f t="shared" si="29"/>
        <v>16.333333333333332</v>
      </c>
      <c r="S87" s="52">
        <f t="shared" si="30"/>
        <v>15</v>
      </c>
      <c r="T87" s="221">
        <f t="shared" ca="1" si="31"/>
        <v>0.36</v>
      </c>
      <c r="U87" s="221" t="str">
        <f t="shared" si="32"/>
        <v/>
      </c>
      <c r="V87" s="220" t="str">
        <f t="array" ref="V87">INDEX(P:P,MAX(U$3:U87))</f>
        <v>9C#3DTR(B)</v>
      </c>
      <c r="W87" s="220" t="str">
        <f t="shared" ca="1" si="33"/>
        <v/>
      </c>
      <c r="X87" s="220">
        <f t="shared" si="34"/>
        <v>11.4</v>
      </c>
      <c r="Y87" s="220">
        <f t="shared" si="21"/>
        <v>0</v>
      </c>
      <c r="AA87" s="220" t="str">
        <f t="shared" si="22"/>
        <v>員林</v>
      </c>
      <c r="AB87" s="220" t="s">
        <v>2010</v>
      </c>
      <c r="AC87" s="220" t="str">
        <f>LEFT(B87,4)</f>
        <v>9C45</v>
      </c>
      <c r="AJ87" t="s">
        <v>1383</v>
      </c>
      <c r="AK87" t="s">
        <v>2037</v>
      </c>
      <c r="BB87" s="514" t="s">
        <v>759</v>
      </c>
      <c r="BC87" s="514">
        <v>948</v>
      </c>
      <c r="BD87" s="514" t="s">
        <v>85</v>
      </c>
      <c r="BE87" s="514">
        <v>948</v>
      </c>
      <c r="BG87" s="229" t="s">
        <v>8353</v>
      </c>
      <c r="BH87" s="230" t="s">
        <v>8376</v>
      </c>
      <c r="BI87" t="s">
        <v>2010</v>
      </c>
      <c r="BJ87" t="s">
        <v>2084</v>
      </c>
    </row>
    <row r="88" spans="1:62">
      <c r="A88" s="229" t="s">
        <v>6106</v>
      </c>
      <c r="B88" s="230" t="s">
        <v>6172</v>
      </c>
      <c r="C88" s="230" t="s">
        <v>6173</v>
      </c>
      <c r="D88" s="229" t="s">
        <v>6159</v>
      </c>
      <c r="E88" s="229" t="s">
        <v>6174</v>
      </c>
      <c r="F88" s="229" t="s">
        <v>6175</v>
      </c>
      <c r="G88" s="229" t="s">
        <v>6176</v>
      </c>
      <c r="H88" s="229" t="s">
        <v>6175</v>
      </c>
      <c r="I88" s="229" t="s">
        <v>6177</v>
      </c>
      <c r="J88" s="231" t="s">
        <v>6178</v>
      </c>
      <c r="K88" s="231" t="s">
        <v>6179</v>
      </c>
      <c r="L88" s="220" t="str">
        <f t="shared" si="23"/>
        <v>9C46</v>
      </c>
      <c r="M88" s="220" t="str">
        <f t="shared" si="24"/>
        <v/>
      </c>
      <c r="N88" s="220" t="str">
        <f t="shared" si="25"/>
        <v/>
      </c>
      <c r="O88" s="220" t="str">
        <f t="shared" si="26"/>
        <v/>
      </c>
      <c r="P88" s="52" t="str">
        <f t="shared" si="27"/>
        <v>9C46</v>
      </c>
      <c r="Q88" s="231" t="str">
        <f t="shared" si="28"/>
        <v>214</v>
      </c>
      <c r="R88" s="224">
        <f t="shared" si="29"/>
        <v>210.33333333333334</v>
      </c>
      <c r="S88" s="52">
        <f t="shared" si="30"/>
        <v>206</v>
      </c>
      <c r="T88" s="221">
        <f t="shared" ca="1" si="31"/>
        <v>4.2300000000000004</v>
      </c>
      <c r="U88" s="221" t="str">
        <f t="shared" si="32"/>
        <v/>
      </c>
      <c r="V88" s="220" t="str">
        <f t="array" ref="V88">INDEX(P:P,MAX(U$3:U88))</f>
        <v>9C#3DTR(B)</v>
      </c>
      <c r="W88" s="220" t="str">
        <f t="shared" ca="1" si="33"/>
        <v/>
      </c>
      <c r="X88" s="220">
        <f t="shared" si="34"/>
        <v>11.4</v>
      </c>
      <c r="Y88" s="220">
        <f t="shared" si="21"/>
        <v>0</v>
      </c>
      <c r="AA88" s="220" t="str">
        <f t="shared" si="22"/>
        <v>員林</v>
      </c>
      <c r="AB88" s="220" t="s">
        <v>2085</v>
      </c>
      <c r="AC88" s="220" t="str">
        <f>LEFT(B88,4)</f>
        <v>9C46</v>
      </c>
      <c r="AJ88" t="s">
        <v>1416</v>
      </c>
      <c r="AK88" t="s">
        <v>5896</v>
      </c>
      <c r="BB88" s="514" t="s">
        <v>760</v>
      </c>
      <c r="BC88" s="514">
        <v>877</v>
      </c>
      <c r="BD88" s="514" t="s">
        <v>85</v>
      </c>
      <c r="BE88" s="514">
        <v>877</v>
      </c>
      <c r="BG88" s="229" t="s">
        <v>8345</v>
      </c>
      <c r="BH88" s="230" t="s">
        <v>8377</v>
      </c>
      <c r="BI88" t="s">
        <v>2085</v>
      </c>
      <c r="BJ88" t="s">
        <v>2084</v>
      </c>
    </row>
    <row r="89" spans="1:62">
      <c r="A89" s="229" t="s">
        <v>5928</v>
      </c>
      <c r="B89" s="230" t="s">
        <v>6180</v>
      </c>
      <c r="C89" s="230" t="s">
        <v>6181</v>
      </c>
      <c r="D89" s="229" t="s">
        <v>6149</v>
      </c>
      <c r="E89" s="229" t="s">
        <v>6182</v>
      </c>
      <c r="F89" s="229" t="s">
        <v>5611</v>
      </c>
      <c r="G89" s="229" t="s">
        <v>6183</v>
      </c>
      <c r="H89" s="229" t="s">
        <v>5611</v>
      </c>
      <c r="I89" s="229" t="s">
        <v>6184</v>
      </c>
      <c r="J89" s="231" t="s">
        <v>6185</v>
      </c>
      <c r="K89" s="231" t="s">
        <v>6186</v>
      </c>
      <c r="L89" s="220" t="str">
        <f t="shared" si="23"/>
        <v>9C47</v>
      </c>
      <c r="M89" s="220" t="str">
        <f t="shared" si="24"/>
        <v/>
      </c>
      <c r="N89" s="220" t="str">
        <f t="shared" si="25"/>
        <v/>
      </c>
      <c r="O89" s="220" t="str">
        <f t="shared" si="26"/>
        <v/>
      </c>
      <c r="P89" s="52" t="str">
        <f t="shared" si="27"/>
        <v>9C47</v>
      </c>
      <c r="Q89" s="231" t="str">
        <f t="shared" si="28"/>
        <v>301</v>
      </c>
      <c r="R89" s="224">
        <f t="shared" si="29"/>
        <v>279</v>
      </c>
      <c r="S89" s="52">
        <f t="shared" si="30"/>
        <v>264</v>
      </c>
      <c r="T89" s="221">
        <f t="shared" ca="1" si="31"/>
        <v>5.94</v>
      </c>
      <c r="U89" s="221" t="str">
        <f t="shared" si="32"/>
        <v/>
      </c>
      <c r="V89" s="220" t="str">
        <f t="array" ref="V89">INDEX(P:P,MAX(U$3:U89))</f>
        <v>9C#3DTR(B)</v>
      </c>
      <c r="W89" s="220" t="str">
        <f t="shared" ca="1" si="33"/>
        <v/>
      </c>
      <c r="X89" s="220">
        <f t="shared" si="34"/>
        <v>11.4</v>
      </c>
      <c r="Y89" s="220">
        <f t="shared" si="21"/>
        <v>0</v>
      </c>
      <c r="AA89" s="220" t="str">
        <f t="shared" si="22"/>
        <v>員林</v>
      </c>
      <c r="AB89" s="220" t="s">
        <v>2086</v>
      </c>
      <c r="AC89" s="220" t="str">
        <f>LEFT(B89,4)</f>
        <v>9C47</v>
      </c>
      <c r="AJ89" t="s">
        <v>6187</v>
      </c>
      <c r="AK89" t="s">
        <v>2037</v>
      </c>
      <c r="BB89" s="514" t="s">
        <v>1454</v>
      </c>
      <c r="BC89" s="514">
        <v>639</v>
      </c>
      <c r="BD89" s="514" t="s">
        <v>85</v>
      </c>
      <c r="BE89" s="514">
        <v>639</v>
      </c>
      <c r="BG89" s="229" t="s">
        <v>6</v>
      </c>
      <c r="BH89" s="230" t="s">
        <v>402</v>
      </c>
      <c r="BI89" t="s">
        <v>2086</v>
      </c>
      <c r="BJ89" t="s">
        <v>2084</v>
      </c>
    </row>
    <row r="90" spans="1:62">
      <c r="A90" s="229" t="s">
        <v>6106</v>
      </c>
      <c r="B90" s="230" t="s">
        <v>6188</v>
      </c>
      <c r="C90" s="230" t="s">
        <v>6189</v>
      </c>
      <c r="D90" s="229" t="s">
        <v>6190</v>
      </c>
      <c r="E90" s="229" t="s">
        <v>6191</v>
      </c>
      <c r="F90" s="229" t="s">
        <v>6190</v>
      </c>
      <c r="G90" s="229" t="s">
        <v>6192</v>
      </c>
      <c r="H90" s="229" t="s">
        <v>6190</v>
      </c>
      <c r="I90" s="229" t="s">
        <v>6189</v>
      </c>
      <c r="J90" s="231" t="s">
        <v>6193</v>
      </c>
      <c r="K90" s="231" t="s">
        <v>5766</v>
      </c>
      <c r="L90" s="220" t="str">
        <f t="shared" si="23"/>
        <v>9C48</v>
      </c>
      <c r="M90" s="220" t="str">
        <f t="shared" si="24"/>
        <v/>
      </c>
      <c r="N90" s="220" t="str">
        <f t="shared" si="25"/>
        <v/>
      </c>
      <c r="O90" s="220" t="str">
        <f t="shared" si="26"/>
        <v/>
      </c>
      <c r="P90" s="52" t="str">
        <f t="shared" si="27"/>
        <v>9C48</v>
      </c>
      <c r="Q90" s="231" t="str">
        <f t="shared" si="28"/>
        <v>152</v>
      </c>
      <c r="R90" s="224">
        <f t="shared" si="29"/>
        <v>140.66666666666666</v>
      </c>
      <c r="S90" s="52">
        <f t="shared" si="30"/>
        <v>120</v>
      </c>
      <c r="T90" s="221">
        <f t="shared" ca="1" si="31"/>
        <v>3</v>
      </c>
      <c r="U90" s="221" t="str">
        <f t="shared" si="32"/>
        <v/>
      </c>
      <c r="V90" s="220" t="str">
        <f t="array" ref="V90">INDEX(P:P,MAX(U$3:U90))</f>
        <v>9C#3DTR(B)</v>
      </c>
      <c r="W90" s="220" t="str">
        <f t="shared" ca="1" si="33"/>
        <v/>
      </c>
      <c r="X90" s="220">
        <f t="shared" si="34"/>
        <v>11.4</v>
      </c>
      <c r="Y90" s="220">
        <f t="shared" si="21"/>
        <v>0</v>
      </c>
      <c r="AA90" s="220" t="str">
        <f t="shared" si="22"/>
        <v>員林</v>
      </c>
      <c r="AB90" s="220" t="s">
        <v>2087</v>
      </c>
      <c r="AC90" s="220" t="str">
        <f>LEFT(B90,4)</f>
        <v>9C48</v>
      </c>
      <c r="AJ90" t="s">
        <v>6194</v>
      </c>
      <c r="AK90" t="s">
        <v>2037</v>
      </c>
      <c r="BB90" s="514" t="s">
        <v>1490</v>
      </c>
      <c r="BC90" s="514">
        <v>320</v>
      </c>
      <c r="BD90" s="514" t="s">
        <v>85</v>
      </c>
      <c r="BE90" s="514">
        <v>320</v>
      </c>
      <c r="BG90" s="229" t="s">
        <v>8345</v>
      </c>
      <c r="BH90" s="230" t="s">
        <v>8378</v>
      </c>
      <c r="BI90" t="s">
        <v>2087</v>
      </c>
      <c r="BJ90" t="s">
        <v>2084</v>
      </c>
    </row>
    <row r="91" spans="1:62">
      <c r="A91" s="229" t="s">
        <v>6118</v>
      </c>
      <c r="B91" s="230" t="s">
        <v>6195</v>
      </c>
      <c r="C91" s="230" t="s">
        <v>6196</v>
      </c>
      <c r="D91" s="229" t="s">
        <v>6159</v>
      </c>
      <c r="E91" s="229" t="s">
        <v>6197</v>
      </c>
      <c r="F91" s="229" t="s">
        <v>6198</v>
      </c>
      <c r="G91" s="229" t="s">
        <v>6199</v>
      </c>
      <c r="H91" s="229" t="s">
        <v>6200</v>
      </c>
      <c r="I91" s="229" t="s">
        <v>6201</v>
      </c>
      <c r="J91" s="231" t="s">
        <v>6202</v>
      </c>
      <c r="K91" s="231" t="s">
        <v>6121</v>
      </c>
      <c r="L91" s="220" t="str">
        <f t="shared" si="23"/>
        <v>9C49</v>
      </c>
      <c r="M91" s="220" t="str">
        <f t="shared" si="24"/>
        <v/>
      </c>
      <c r="N91" s="220" t="str">
        <f t="shared" si="25"/>
        <v/>
      </c>
      <c r="O91" s="220" t="str">
        <f t="shared" si="26"/>
        <v/>
      </c>
      <c r="P91" s="52" t="str">
        <f t="shared" si="27"/>
        <v>9C49</v>
      </c>
      <c r="Q91" s="231" t="str">
        <f t="shared" si="28"/>
        <v>117</v>
      </c>
      <c r="R91" s="224">
        <f t="shared" si="29"/>
        <v>99.333333333333329</v>
      </c>
      <c r="S91" s="52">
        <f t="shared" si="30"/>
        <v>83</v>
      </c>
      <c r="T91" s="221">
        <f t="shared" ca="1" si="31"/>
        <v>2.31</v>
      </c>
      <c r="U91" s="221" t="str">
        <f t="shared" si="32"/>
        <v/>
      </c>
      <c r="V91" s="220" t="str">
        <f t="array" ref="V91">INDEX(P:P,MAX(U$3:U91))</f>
        <v>9C#3DTR(B)</v>
      </c>
      <c r="W91" s="220" t="str">
        <f t="shared" ca="1" si="33"/>
        <v/>
      </c>
      <c r="X91" s="220">
        <f t="shared" si="34"/>
        <v>11.4</v>
      </c>
      <c r="Y91" s="220">
        <f t="shared" si="21"/>
        <v>0</v>
      </c>
      <c r="AA91" s="220" t="str">
        <f t="shared" si="22"/>
        <v>員林</v>
      </c>
      <c r="AB91" s="220" t="s">
        <v>2088</v>
      </c>
      <c r="AC91" s="220" t="str">
        <f>LEFT(B91,4)</f>
        <v>9C49</v>
      </c>
      <c r="AJ91" t="s">
        <v>6203</v>
      </c>
      <c r="AK91" t="s">
        <v>6137</v>
      </c>
      <c r="BB91" s="514" t="s">
        <v>1505</v>
      </c>
      <c r="BC91" s="514">
        <v>1269</v>
      </c>
      <c r="BD91" s="514">
        <v>2</v>
      </c>
      <c r="BE91" s="514">
        <v>1271</v>
      </c>
      <c r="BG91" s="229" t="s">
        <v>8345</v>
      </c>
      <c r="BH91" s="230" t="s">
        <v>8379</v>
      </c>
      <c r="BI91" t="s">
        <v>2088</v>
      </c>
      <c r="BJ91" t="s">
        <v>2084</v>
      </c>
    </row>
    <row r="92" spans="1:62">
      <c r="A92" s="229" t="s">
        <v>6204</v>
      </c>
      <c r="B92" s="230" t="s">
        <v>6205</v>
      </c>
      <c r="C92" s="230" t="s">
        <v>6206</v>
      </c>
      <c r="D92" s="229" t="s">
        <v>5766</v>
      </c>
      <c r="E92" s="229" t="s">
        <v>6207</v>
      </c>
      <c r="F92" s="229" t="s">
        <v>789</v>
      </c>
      <c r="G92" s="229" t="s">
        <v>4658</v>
      </c>
      <c r="H92" s="229" t="s">
        <v>5766</v>
      </c>
      <c r="I92" s="229" t="s">
        <v>6208</v>
      </c>
      <c r="J92" s="231" t="s">
        <v>5674</v>
      </c>
      <c r="K92" s="231" t="s">
        <v>6209</v>
      </c>
      <c r="L92" s="220" t="str">
        <f t="shared" si="23"/>
        <v>9F#1DTR</v>
      </c>
      <c r="M92" s="220" t="str">
        <f t="shared" si="24"/>
        <v/>
      </c>
      <c r="N92" s="220" t="str">
        <f t="shared" si="25"/>
        <v>9F#1DTR</v>
      </c>
      <c r="O92" s="220" t="str">
        <f t="shared" si="26"/>
        <v/>
      </c>
      <c r="P92" s="52" t="str">
        <f t="shared" si="27"/>
        <v>9F#1DTR</v>
      </c>
      <c r="Q92" s="231" t="str">
        <f t="shared" si="28"/>
        <v>1047</v>
      </c>
      <c r="R92" s="224">
        <f t="shared" si="29"/>
        <v>1043.6666666666667</v>
      </c>
      <c r="S92" s="52">
        <f t="shared" si="30"/>
        <v>1038</v>
      </c>
      <c r="T92" s="221">
        <f t="shared" ca="1" si="31"/>
        <v>41.35</v>
      </c>
      <c r="U92" s="221">
        <f t="shared" si="32"/>
        <v>92</v>
      </c>
      <c r="V92" s="220" t="str">
        <f t="array" ref="V92">INDEX(P:P,MAX(U$3:U92))</f>
        <v>9F#1DTR</v>
      </c>
      <c r="W92" s="220">
        <f t="shared" ca="1" si="33"/>
        <v>60</v>
      </c>
      <c r="X92" s="220" t="str">
        <f t="shared" si="34"/>
        <v/>
      </c>
      <c r="Y92" s="220">
        <f t="shared" si="21"/>
        <v>0</v>
      </c>
      <c r="AA92" s="220" t="str">
        <f t="shared" si="22"/>
        <v>鹿西</v>
      </c>
      <c r="AB92" s="220" t="s">
        <v>2089</v>
      </c>
      <c r="AC92" s="220" t="s">
        <v>2089</v>
      </c>
      <c r="AJ92" t="s">
        <v>6210</v>
      </c>
      <c r="AK92" t="s">
        <v>2037</v>
      </c>
      <c r="BB92" s="514" t="s">
        <v>1539</v>
      </c>
      <c r="BC92" s="514">
        <v>288</v>
      </c>
      <c r="BD92" s="514">
        <v>4</v>
      </c>
      <c r="BE92" s="514">
        <v>292</v>
      </c>
      <c r="BG92" s="229" t="s">
        <v>8380</v>
      </c>
      <c r="BH92" s="230" t="s">
        <v>8381</v>
      </c>
      <c r="BI92" t="s">
        <v>2089</v>
      </c>
      <c r="BJ92" t="s">
        <v>2089</v>
      </c>
    </row>
    <row r="93" spans="1:62">
      <c r="A93" s="229" t="s">
        <v>6211</v>
      </c>
      <c r="B93" s="230" t="s">
        <v>6212</v>
      </c>
      <c r="C93" s="230" t="s">
        <v>6213</v>
      </c>
      <c r="D93" s="229" t="s">
        <v>6214</v>
      </c>
      <c r="E93" s="229" t="s">
        <v>6215</v>
      </c>
      <c r="F93" s="229" t="s">
        <v>5598</v>
      </c>
      <c r="G93" s="229" t="s">
        <v>6215</v>
      </c>
      <c r="H93" s="229" t="s">
        <v>6216</v>
      </c>
      <c r="I93" s="229" t="s">
        <v>6217</v>
      </c>
      <c r="J93" s="231" t="s">
        <v>5699</v>
      </c>
      <c r="K93" s="231" t="s">
        <v>5628</v>
      </c>
      <c r="L93" s="220" t="str">
        <f t="shared" si="23"/>
        <v>9F51</v>
      </c>
      <c r="M93" s="220" t="str">
        <f t="shared" si="24"/>
        <v/>
      </c>
      <c r="N93" s="220" t="str">
        <f t="shared" si="25"/>
        <v/>
      </c>
      <c r="O93" s="220" t="str">
        <f t="shared" si="26"/>
        <v/>
      </c>
      <c r="P93" s="52" t="str">
        <f t="shared" si="27"/>
        <v>9F51</v>
      </c>
      <c r="Q93" s="231" t="str">
        <f t="shared" si="28"/>
        <v>140</v>
      </c>
      <c r="R93" s="224">
        <f t="shared" si="29"/>
        <v>139.33333333333334</v>
      </c>
      <c r="S93" s="52">
        <f t="shared" si="30"/>
        <v>138</v>
      </c>
      <c r="T93" s="221">
        <f t="shared" ca="1" si="31"/>
        <v>5.53</v>
      </c>
      <c r="U93" s="221" t="str">
        <f t="shared" si="32"/>
        <v/>
      </c>
      <c r="V93" s="220" t="str">
        <f t="array" ref="V93">INDEX(P:P,MAX(U$3:U93))</f>
        <v>9F#1DTR</v>
      </c>
      <c r="W93" s="220" t="str">
        <f t="shared" ca="1" si="33"/>
        <v/>
      </c>
      <c r="X93" s="220">
        <f t="shared" si="34"/>
        <v>22.8</v>
      </c>
      <c r="Y93" s="220">
        <f t="shared" si="21"/>
        <v>0</v>
      </c>
      <c r="AA93" s="220" t="str">
        <f t="shared" si="22"/>
        <v>鹿西</v>
      </c>
      <c r="AB93" s="220" t="s">
        <v>1926</v>
      </c>
      <c r="AC93" s="220" t="str">
        <f t="shared" ref="AC93:AC100" si="35">LEFT(B93,4)</f>
        <v>9F51</v>
      </c>
      <c r="BB93" s="514" t="s">
        <v>1553</v>
      </c>
      <c r="BC93" s="514">
        <v>3569</v>
      </c>
      <c r="BD93" s="514">
        <v>1</v>
      </c>
      <c r="BE93" s="514">
        <v>3570</v>
      </c>
      <c r="BG93" s="229" t="s">
        <v>8382</v>
      </c>
      <c r="BH93" s="230" t="s">
        <v>8383</v>
      </c>
      <c r="BI93" t="s">
        <v>1926</v>
      </c>
      <c r="BJ93" t="s">
        <v>2089</v>
      </c>
    </row>
    <row r="94" spans="1:62">
      <c r="A94" s="229" t="s">
        <v>6218</v>
      </c>
      <c r="B94" s="230" t="s">
        <v>6219</v>
      </c>
      <c r="C94" s="230" t="s">
        <v>6220</v>
      </c>
      <c r="D94" s="229" t="s">
        <v>6121</v>
      </c>
      <c r="E94" s="229" t="s">
        <v>6221</v>
      </c>
      <c r="F94" s="229" t="s">
        <v>6121</v>
      </c>
      <c r="G94" s="229" t="s">
        <v>6192</v>
      </c>
      <c r="H94" s="229" t="s">
        <v>6121</v>
      </c>
      <c r="I94" s="229" t="s">
        <v>6189</v>
      </c>
      <c r="J94" s="231" t="s">
        <v>5755</v>
      </c>
      <c r="K94" s="231" t="s">
        <v>5595</v>
      </c>
      <c r="L94" s="220" t="str">
        <f t="shared" si="23"/>
        <v>9F52</v>
      </c>
      <c r="M94" s="220" t="str">
        <f t="shared" si="24"/>
        <v/>
      </c>
      <c r="N94" s="220" t="str">
        <f t="shared" si="25"/>
        <v/>
      </c>
      <c r="O94" s="220" t="str">
        <f t="shared" si="26"/>
        <v/>
      </c>
      <c r="P94" s="52" t="str">
        <f t="shared" si="27"/>
        <v>9F52</v>
      </c>
      <c r="Q94" s="231" t="str">
        <f t="shared" si="28"/>
        <v>152</v>
      </c>
      <c r="R94" s="224">
        <f t="shared" si="29"/>
        <v>150.33333333333334</v>
      </c>
      <c r="S94" s="52">
        <f t="shared" si="30"/>
        <v>149</v>
      </c>
      <c r="T94" s="221">
        <f t="shared" ca="1" si="31"/>
        <v>6</v>
      </c>
      <c r="U94" s="221" t="str">
        <f t="shared" si="32"/>
        <v/>
      </c>
      <c r="V94" s="220" t="str">
        <f t="array" ref="V94">INDEX(P:P,MAX(U$3:U94))</f>
        <v>9F#1DTR</v>
      </c>
      <c r="W94" s="220" t="str">
        <f t="shared" ca="1" si="33"/>
        <v/>
      </c>
      <c r="X94" s="220">
        <f t="shared" si="34"/>
        <v>22.8</v>
      </c>
      <c r="Y94" s="220">
        <f t="shared" si="21"/>
        <v>0</v>
      </c>
      <c r="AA94" s="220" t="str">
        <f t="shared" si="22"/>
        <v>鹿西</v>
      </c>
      <c r="AB94" s="220" t="s">
        <v>1212</v>
      </c>
      <c r="AC94" s="220" t="str">
        <f t="shared" si="35"/>
        <v>9F52</v>
      </c>
      <c r="BB94" s="514" t="s">
        <v>1597</v>
      </c>
      <c r="BC94" s="514">
        <v>2712</v>
      </c>
      <c r="BD94" s="514">
        <v>3</v>
      </c>
      <c r="BE94" s="514">
        <v>2715</v>
      </c>
      <c r="BG94" s="229" t="s">
        <v>8382</v>
      </c>
      <c r="BH94" s="230" t="s">
        <v>8384</v>
      </c>
      <c r="BI94" t="s">
        <v>1212</v>
      </c>
      <c r="BJ94" t="s">
        <v>2089</v>
      </c>
    </row>
    <row r="95" spans="1:62">
      <c r="A95" s="229" t="s">
        <v>6218</v>
      </c>
      <c r="B95" s="230" t="s">
        <v>6222</v>
      </c>
      <c r="C95" s="230" t="s">
        <v>6124</v>
      </c>
      <c r="D95" s="229" t="s">
        <v>6223</v>
      </c>
      <c r="E95" s="229" t="s">
        <v>6224</v>
      </c>
      <c r="F95" s="229" t="s">
        <v>6223</v>
      </c>
      <c r="G95" s="229" t="s">
        <v>6109</v>
      </c>
      <c r="H95" s="229" t="s">
        <v>6225</v>
      </c>
      <c r="I95" s="229" t="s">
        <v>6124</v>
      </c>
      <c r="J95" s="231" t="s">
        <v>5755</v>
      </c>
      <c r="K95" s="231" t="s">
        <v>5595</v>
      </c>
      <c r="L95" s="220" t="str">
        <f t="shared" si="23"/>
        <v>9F53</v>
      </c>
      <c r="M95" s="220" t="str">
        <f t="shared" si="24"/>
        <v/>
      </c>
      <c r="N95" s="220" t="str">
        <f t="shared" si="25"/>
        <v/>
      </c>
      <c r="O95" s="220" t="str">
        <f t="shared" si="26"/>
        <v/>
      </c>
      <c r="P95" s="52" t="str">
        <f t="shared" si="27"/>
        <v>9F53</v>
      </c>
      <c r="Q95" s="231" t="str">
        <f t="shared" si="28"/>
        <v>95</v>
      </c>
      <c r="R95" s="224">
        <f t="shared" si="29"/>
        <v>94.333333333333329</v>
      </c>
      <c r="S95" s="52">
        <f t="shared" si="30"/>
        <v>93</v>
      </c>
      <c r="T95" s="221">
        <f t="shared" ca="1" si="31"/>
        <v>3.75</v>
      </c>
      <c r="U95" s="221" t="str">
        <f t="shared" si="32"/>
        <v/>
      </c>
      <c r="V95" s="220" t="str">
        <f t="array" ref="V95">INDEX(P:P,MAX(U$3:U95))</f>
        <v>9F#1DTR</v>
      </c>
      <c r="W95" s="220" t="str">
        <f t="shared" ca="1" si="33"/>
        <v/>
      </c>
      <c r="X95" s="220">
        <f t="shared" si="34"/>
        <v>22.8</v>
      </c>
      <c r="Y95" s="220">
        <f t="shared" si="21"/>
        <v>0</v>
      </c>
      <c r="AA95" s="220" t="str">
        <f t="shared" si="22"/>
        <v>鹿西</v>
      </c>
      <c r="AB95" s="220" t="s">
        <v>1927</v>
      </c>
      <c r="AC95" s="220" t="str">
        <f t="shared" si="35"/>
        <v>9F53</v>
      </c>
      <c r="BB95" s="514" t="s">
        <v>1631</v>
      </c>
      <c r="BC95" s="514">
        <v>462</v>
      </c>
      <c r="BD95" s="514">
        <v>2</v>
      </c>
      <c r="BE95" s="514">
        <v>464</v>
      </c>
      <c r="BG95" s="229" t="s">
        <v>8380</v>
      </c>
      <c r="BH95" s="230" t="s">
        <v>8385</v>
      </c>
      <c r="BI95" t="s">
        <v>1927</v>
      </c>
      <c r="BJ95" t="s">
        <v>2089</v>
      </c>
    </row>
    <row r="96" spans="1:62">
      <c r="A96" s="229" t="s">
        <v>6218</v>
      </c>
      <c r="B96" s="230" t="s">
        <v>6226</v>
      </c>
      <c r="C96" s="230" t="s">
        <v>5894</v>
      </c>
      <c r="D96" s="229" t="s">
        <v>5858</v>
      </c>
      <c r="E96" s="229" t="s">
        <v>5894</v>
      </c>
      <c r="F96" s="229" t="s">
        <v>6227</v>
      </c>
      <c r="G96" s="229" t="s">
        <v>6228</v>
      </c>
      <c r="H96" s="229" t="s">
        <v>6229</v>
      </c>
      <c r="I96" s="229" t="s">
        <v>5891</v>
      </c>
      <c r="J96" s="231" t="s">
        <v>5694</v>
      </c>
      <c r="K96" s="231" t="s">
        <v>5628</v>
      </c>
      <c r="L96" s="220" t="str">
        <f t="shared" si="23"/>
        <v>9F54</v>
      </c>
      <c r="M96" s="220" t="str">
        <f t="shared" si="24"/>
        <v/>
      </c>
      <c r="N96" s="220" t="str">
        <f t="shared" si="25"/>
        <v/>
      </c>
      <c r="O96" s="220" t="str">
        <f t="shared" si="26"/>
        <v/>
      </c>
      <c r="P96" s="52" t="str">
        <f t="shared" si="27"/>
        <v>9F54</v>
      </c>
      <c r="Q96" s="231" t="str">
        <f t="shared" si="28"/>
        <v>146</v>
      </c>
      <c r="R96" s="224">
        <f t="shared" si="29"/>
        <v>145.66666666666666</v>
      </c>
      <c r="S96" s="52">
        <f t="shared" si="30"/>
        <v>145</v>
      </c>
      <c r="T96" s="221">
        <f t="shared" ca="1" si="31"/>
        <v>5.77</v>
      </c>
      <c r="U96" s="221" t="str">
        <f t="shared" si="32"/>
        <v/>
      </c>
      <c r="V96" s="220" t="str">
        <f t="array" ref="V96">INDEX(P:P,MAX(U$3:U96))</f>
        <v>9F#1DTR</v>
      </c>
      <c r="W96" s="220" t="str">
        <f t="shared" ca="1" si="33"/>
        <v/>
      </c>
      <c r="X96" s="220">
        <f t="shared" si="34"/>
        <v>22.8</v>
      </c>
      <c r="Y96" s="220">
        <f t="shared" si="21"/>
        <v>0</v>
      </c>
      <c r="AA96" s="220" t="str">
        <f t="shared" si="22"/>
        <v>鹿西</v>
      </c>
      <c r="AB96" s="220" t="s">
        <v>1928</v>
      </c>
      <c r="AC96" s="220" t="str">
        <f t="shared" si="35"/>
        <v>9F54</v>
      </c>
      <c r="BB96" s="514" t="s">
        <v>1645</v>
      </c>
      <c r="BC96" s="514">
        <v>1068</v>
      </c>
      <c r="BD96" s="514">
        <v>3</v>
      </c>
      <c r="BE96" s="514">
        <v>1071</v>
      </c>
      <c r="BG96" s="229" t="s">
        <v>8</v>
      </c>
      <c r="BH96" s="230" t="s">
        <v>8386</v>
      </c>
      <c r="BI96" t="s">
        <v>1928</v>
      </c>
      <c r="BJ96" t="s">
        <v>2089</v>
      </c>
    </row>
    <row r="97" spans="1:62">
      <c r="A97" s="229" t="s">
        <v>6230</v>
      </c>
      <c r="B97" s="230" t="s">
        <v>6231</v>
      </c>
      <c r="C97" s="230" t="s">
        <v>6232</v>
      </c>
      <c r="D97" s="229" t="s">
        <v>6223</v>
      </c>
      <c r="E97" s="229" t="s">
        <v>6233</v>
      </c>
      <c r="F97" s="229" t="s">
        <v>6225</v>
      </c>
      <c r="G97" s="229" t="s">
        <v>6234</v>
      </c>
      <c r="H97" s="229" t="s">
        <v>6225</v>
      </c>
      <c r="I97" s="229" t="s">
        <v>6232</v>
      </c>
      <c r="J97" s="231" t="s">
        <v>5694</v>
      </c>
      <c r="K97" s="231" t="s">
        <v>5628</v>
      </c>
      <c r="L97" s="220" t="str">
        <f t="shared" si="23"/>
        <v>9F55</v>
      </c>
      <c r="M97" s="220" t="str">
        <f t="shared" si="24"/>
        <v/>
      </c>
      <c r="N97" s="220" t="str">
        <f t="shared" si="25"/>
        <v/>
      </c>
      <c r="O97" s="220" t="str">
        <f t="shared" si="26"/>
        <v/>
      </c>
      <c r="P97" s="52" t="str">
        <f t="shared" si="27"/>
        <v>9F55</v>
      </c>
      <c r="Q97" s="231" t="str">
        <f t="shared" si="28"/>
        <v>92</v>
      </c>
      <c r="R97" s="224">
        <f t="shared" si="29"/>
        <v>90.666666666666671</v>
      </c>
      <c r="S97" s="52">
        <f t="shared" si="30"/>
        <v>89</v>
      </c>
      <c r="T97" s="221">
        <f t="shared" ca="1" si="31"/>
        <v>3.63</v>
      </c>
      <c r="U97" s="221" t="str">
        <f t="shared" si="32"/>
        <v/>
      </c>
      <c r="V97" s="220" t="str">
        <f t="array" ref="V97">INDEX(P:P,MAX(U$3:U97))</f>
        <v>9F#1DTR</v>
      </c>
      <c r="W97" s="220" t="str">
        <f t="shared" ca="1" si="33"/>
        <v/>
      </c>
      <c r="X97" s="220">
        <f t="shared" si="34"/>
        <v>22.8</v>
      </c>
      <c r="Y97" s="220">
        <f t="shared" si="21"/>
        <v>0</v>
      </c>
      <c r="AA97" s="220" t="str">
        <f t="shared" si="22"/>
        <v>鹿西</v>
      </c>
      <c r="AB97" s="220" t="s">
        <v>1929</v>
      </c>
      <c r="AC97" s="220" t="str">
        <f t="shared" si="35"/>
        <v>9F55</v>
      </c>
      <c r="BB97" s="514" t="s">
        <v>1678</v>
      </c>
      <c r="BC97" s="514">
        <v>3402</v>
      </c>
      <c r="BD97" s="514">
        <v>4</v>
      </c>
      <c r="BE97" s="514">
        <v>3406</v>
      </c>
      <c r="BG97" s="229" t="s">
        <v>8382</v>
      </c>
      <c r="BH97" s="230" t="s">
        <v>8387</v>
      </c>
      <c r="BI97" t="s">
        <v>1929</v>
      </c>
      <c r="BJ97" t="s">
        <v>2089</v>
      </c>
    </row>
    <row r="98" spans="1:62">
      <c r="A98" s="229" t="s">
        <v>6230</v>
      </c>
      <c r="B98" s="230" t="s">
        <v>6235</v>
      </c>
      <c r="C98" s="230" t="s">
        <v>6236</v>
      </c>
      <c r="D98" s="229" t="s">
        <v>6054</v>
      </c>
      <c r="E98" s="229" t="s">
        <v>6237</v>
      </c>
      <c r="F98" s="229" t="s">
        <v>5847</v>
      </c>
      <c r="G98" s="229" t="s">
        <v>6238</v>
      </c>
      <c r="H98" s="229" t="s">
        <v>5595</v>
      </c>
      <c r="I98" s="229" t="s">
        <v>6238</v>
      </c>
      <c r="J98" s="231" t="s">
        <v>5694</v>
      </c>
      <c r="K98" s="231" t="s">
        <v>5616</v>
      </c>
      <c r="L98" s="220" t="str">
        <f t="shared" si="23"/>
        <v>9F56</v>
      </c>
      <c r="M98" s="220" t="str">
        <f t="shared" si="24"/>
        <v/>
      </c>
      <c r="N98" s="220" t="str">
        <f t="shared" si="25"/>
        <v/>
      </c>
      <c r="O98" s="220" t="str">
        <f t="shared" si="26"/>
        <v/>
      </c>
      <c r="P98" s="52" t="str">
        <f t="shared" si="27"/>
        <v>9F56</v>
      </c>
      <c r="Q98" s="231" t="str">
        <f t="shared" si="28"/>
        <v>139</v>
      </c>
      <c r="R98" s="224">
        <f t="shared" si="29"/>
        <v>137.66666666666666</v>
      </c>
      <c r="S98" s="52">
        <f t="shared" si="30"/>
        <v>137</v>
      </c>
      <c r="T98" s="221">
        <f t="shared" ca="1" si="31"/>
        <v>5.49</v>
      </c>
      <c r="U98" s="221" t="str">
        <f t="shared" si="32"/>
        <v/>
      </c>
      <c r="V98" s="220" t="str">
        <f t="array" ref="V98">INDEX(P:P,MAX(U$3:U98))</f>
        <v>9F#1DTR</v>
      </c>
      <c r="W98" s="220" t="str">
        <f t="shared" ca="1" si="33"/>
        <v/>
      </c>
      <c r="X98" s="220">
        <f t="shared" si="34"/>
        <v>22.8</v>
      </c>
      <c r="Y98" s="220">
        <f t="shared" si="21"/>
        <v>0</v>
      </c>
      <c r="AA98" s="220" t="str">
        <f t="shared" si="22"/>
        <v>鹿西</v>
      </c>
      <c r="AB98" s="220" t="s">
        <v>1320</v>
      </c>
      <c r="AC98" s="220" t="str">
        <f t="shared" si="35"/>
        <v>9F56</v>
      </c>
      <c r="BB98" s="514" t="s">
        <v>1689</v>
      </c>
      <c r="BC98" s="514">
        <v>1962</v>
      </c>
      <c r="BD98" s="514">
        <v>6</v>
      </c>
      <c r="BE98" s="514">
        <v>1968</v>
      </c>
      <c r="BG98" s="229" t="s">
        <v>8380</v>
      </c>
      <c r="BH98" s="230" t="s">
        <v>8388</v>
      </c>
      <c r="BI98" t="s">
        <v>1320</v>
      </c>
      <c r="BJ98" t="s">
        <v>2089</v>
      </c>
    </row>
    <row r="99" spans="1:62">
      <c r="A99" s="229" t="s">
        <v>6230</v>
      </c>
      <c r="B99" s="230" t="s">
        <v>6239</v>
      </c>
      <c r="C99" s="230" t="s">
        <v>6240</v>
      </c>
      <c r="D99" s="229" t="s">
        <v>6121</v>
      </c>
      <c r="E99" s="229" t="s">
        <v>6241</v>
      </c>
      <c r="F99" s="229" t="s">
        <v>6121</v>
      </c>
      <c r="G99" s="229" t="s">
        <v>6242</v>
      </c>
      <c r="H99" s="229" t="s">
        <v>6121</v>
      </c>
      <c r="I99" s="229" t="s">
        <v>6243</v>
      </c>
      <c r="J99" s="231" t="s">
        <v>5755</v>
      </c>
      <c r="K99" s="231" t="s">
        <v>5595</v>
      </c>
      <c r="L99" s="220" t="str">
        <f t="shared" si="23"/>
        <v>9F57</v>
      </c>
      <c r="M99" s="220" t="str">
        <f t="shared" si="24"/>
        <v/>
      </c>
      <c r="N99" s="220" t="str">
        <f t="shared" si="25"/>
        <v/>
      </c>
      <c r="O99" s="220" t="str">
        <f t="shared" si="26"/>
        <v/>
      </c>
      <c r="P99" s="52" t="str">
        <f t="shared" si="27"/>
        <v>9F57</v>
      </c>
      <c r="Q99" s="231" t="str">
        <f t="shared" si="28"/>
        <v>286</v>
      </c>
      <c r="R99" s="224">
        <f t="shared" si="29"/>
        <v>283</v>
      </c>
      <c r="S99" s="52">
        <f t="shared" si="30"/>
        <v>279</v>
      </c>
      <c r="T99" s="221">
        <f t="shared" ca="1" si="31"/>
        <v>11.29</v>
      </c>
      <c r="U99" s="221" t="str">
        <f t="shared" si="32"/>
        <v/>
      </c>
      <c r="V99" s="220" t="str">
        <f t="array" ref="V99">INDEX(P:P,MAX(U$3:U99))</f>
        <v>9F#1DTR</v>
      </c>
      <c r="W99" s="220" t="str">
        <f t="shared" ca="1" si="33"/>
        <v/>
      </c>
      <c r="X99" s="220">
        <f t="shared" si="34"/>
        <v>22.8</v>
      </c>
      <c r="Y99" s="220">
        <f t="shared" si="21"/>
        <v>0</v>
      </c>
      <c r="AA99" s="220" t="str">
        <f t="shared" si="22"/>
        <v>鹿西</v>
      </c>
      <c r="AB99" s="220" t="s">
        <v>1930</v>
      </c>
      <c r="AC99" s="220" t="str">
        <f t="shared" si="35"/>
        <v>9F57</v>
      </c>
      <c r="BB99" s="514" t="s">
        <v>2103</v>
      </c>
      <c r="BC99" s="514" t="s">
        <v>85</v>
      </c>
      <c r="BD99" s="514" t="s">
        <v>85</v>
      </c>
      <c r="BE99" s="514">
        <v>0</v>
      </c>
      <c r="BG99" s="229" t="s">
        <v>8380</v>
      </c>
      <c r="BH99" s="230" t="s">
        <v>8389</v>
      </c>
      <c r="BI99" t="s">
        <v>1930</v>
      </c>
      <c r="BJ99" t="s">
        <v>2089</v>
      </c>
    </row>
    <row r="100" spans="1:62">
      <c r="A100" s="229" t="s">
        <v>6230</v>
      </c>
      <c r="B100" s="230" t="s">
        <v>6244</v>
      </c>
      <c r="C100" s="230" t="s">
        <v>6245</v>
      </c>
      <c r="D100" s="229" t="s">
        <v>6246</v>
      </c>
      <c r="E100" s="229" t="s">
        <v>6247</v>
      </c>
      <c r="F100" s="229" t="s">
        <v>6121</v>
      </c>
      <c r="G100" s="229" t="s">
        <v>6248</v>
      </c>
      <c r="H100" s="229" t="s">
        <v>5986</v>
      </c>
      <c r="I100" s="229" t="s">
        <v>6247</v>
      </c>
      <c r="J100" s="231" t="s">
        <v>5694</v>
      </c>
      <c r="K100" s="231" t="s">
        <v>5616</v>
      </c>
      <c r="L100" s="220" t="str">
        <f t="shared" si="23"/>
        <v>9F58</v>
      </c>
      <c r="M100" s="220" t="str">
        <f t="shared" si="24"/>
        <v/>
      </c>
      <c r="N100" s="220" t="str">
        <f t="shared" si="25"/>
        <v/>
      </c>
      <c r="O100" s="220" t="str">
        <f t="shared" si="26"/>
        <v/>
      </c>
      <c r="P100" s="52" t="str">
        <f t="shared" si="27"/>
        <v>9F58</v>
      </c>
      <c r="Q100" s="231" t="str">
        <f t="shared" si="28"/>
        <v>196</v>
      </c>
      <c r="R100" s="224">
        <f t="shared" si="29"/>
        <v>194.66666666666666</v>
      </c>
      <c r="S100" s="52">
        <f t="shared" si="30"/>
        <v>194</v>
      </c>
      <c r="T100" s="221">
        <f t="shared" ca="1" si="31"/>
        <v>7.74</v>
      </c>
      <c r="U100" s="221" t="str">
        <f t="shared" si="32"/>
        <v/>
      </c>
      <c r="V100" s="220" t="str">
        <f t="array" ref="V100">INDEX(P:P,MAX(U$3:U100))</f>
        <v>9F#1DTR</v>
      </c>
      <c r="W100" s="220" t="str">
        <f t="shared" ca="1" si="33"/>
        <v/>
      </c>
      <c r="X100" s="220">
        <f t="shared" si="34"/>
        <v>22.8</v>
      </c>
      <c r="Y100" s="220">
        <f t="shared" si="21"/>
        <v>0</v>
      </c>
      <c r="AA100" s="220" t="str">
        <f t="shared" si="22"/>
        <v>鹿西</v>
      </c>
      <c r="AB100" s="220" t="s">
        <v>1931</v>
      </c>
      <c r="AC100" s="220" t="str">
        <f t="shared" si="35"/>
        <v>9F58</v>
      </c>
      <c r="BB100" s="514" t="s">
        <v>2102</v>
      </c>
      <c r="BC100" s="514" t="s">
        <v>85</v>
      </c>
      <c r="BD100" s="514" t="s">
        <v>85</v>
      </c>
      <c r="BE100" s="514">
        <v>0</v>
      </c>
      <c r="BG100" s="229" t="s">
        <v>8380</v>
      </c>
      <c r="BH100" s="230" t="s">
        <v>8390</v>
      </c>
      <c r="BI100" t="s">
        <v>1931</v>
      </c>
      <c r="BJ100" t="s">
        <v>2089</v>
      </c>
    </row>
    <row r="101" spans="1:62">
      <c r="A101" s="229" t="s">
        <v>6218</v>
      </c>
      <c r="B101" s="230" t="s">
        <v>6249</v>
      </c>
      <c r="C101" s="230" t="s">
        <v>6250</v>
      </c>
      <c r="D101" s="229" t="s">
        <v>6214</v>
      </c>
      <c r="E101" s="229" t="s">
        <v>6251</v>
      </c>
      <c r="F101" s="229" t="s">
        <v>6216</v>
      </c>
      <c r="G101" s="229" t="s">
        <v>6250</v>
      </c>
      <c r="H101" s="229" t="s">
        <v>6216</v>
      </c>
      <c r="I101" s="229" t="s">
        <v>6252</v>
      </c>
      <c r="J101" s="231" t="s">
        <v>5585</v>
      </c>
      <c r="K101" s="231" t="s">
        <v>5585</v>
      </c>
      <c r="L101" s="220" t="str">
        <f t="shared" si="23"/>
        <v>9F#2DTR(A)</v>
      </c>
      <c r="M101" s="220" t="str">
        <f t="shared" si="24"/>
        <v>(A)</v>
      </c>
      <c r="N101" s="220" t="str">
        <f t="shared" si="25"/>
        <v>9F#2DTR</v>
      </c>
      <c r="O101" s="220" t="str">
        <f t="shared" si="26"/>
        <v>(A)</v>
      </c>
      <c r="P101" s="52" t="str">
        <f t="shared" si="27"/>
        <v>9F#2DTR(A)</v>
      </c>
      <c r="Q101" s="231" t="str">
        <f t="shared" si="28"/>
        <v>233</v>
      </c>
      <c r="R101" s="224">
        <f t="shared" si="29"/>
        <v>231</v>
      </c>
      <c r="S101" s="52">
        <f t="shared" si="30"/>
        <v>230</v>
      </c>
      <c r="T101" s="221">
        <f t="shared" ca="1" si="31"/>
        <v>9.1999999999999993</v>
      </c>
      <c r="U101" s="221">
        <f t="shared" si="32"/>
        <v>101</v>
      </c>
      <c r="V101" s="220" t="str">
        <f t="array" ref="V101">INDEX(P:P,MAX(U$3:U101))</f>
        <v>9F#2DTR(A)</v>
      </c>
      <c r="W101" s="220">
        <f t="shared" ca="1" si="33"/>
        <v>60</v>
      </c>
      <c r="X101" s="220" t="str">
        <f t="shared" si="34"/>
        <v/>
      </c>
      <c r="Y101" s="220">
        <f t="shared" si="21"/>
        <v>0</v>
      </c>
      <c r="AA101" s="220" t="str">
        <f t="shared" si="22"/>
        <v>鹿西</v>
      </c>
      <c r="AB101" s="220" t="s">
        <v>2090</v>
      </c>
      <c r="AC101" s="220" t="s">
        <v>2090</v>
      </c>
      <c r="BB101" s="514" t="s">
        <v>2108</v>
      </c>
      <c r="BC101" s="514" t="s">
        <v>85</v>
      </c>
      <c r="BD101" s="514" t="s">
        <v>85</v>
      </c>
      <c r="BE101" s="514">
        <v>0</v>
      </c>
      <c r="BG101" s="229" t="s">
        <v>8382</v>
      </c>
      <c r="BH101" s="230" t="s">
        <v>386</v>
      </c>
      <c r="BI101" t="s">
        <v>2090</v>
      </c>
      <c r="BJ101" t="s">
        <v>2090</v>
      </c>
    </row>
    <row r="102" spans="1:62">
      <c r="A102" s="229" t="s">
        <v>6211</v>
      </c>
      <c r="B102" s="230" t="s">
        <v>6253</v>
      </c>
      <c r="C102" s="230" t="s">
        <v>6254</v>
      </c>
      <c r="D102" s="229" t="s">
        <v>5986</v>
      </c>
      <c r="E102" s="229" t="s">
        <v>6255</v>
      </c>
      <c r="F102" s="229" t="s">
        <v>5764</v>
      </c>
      <c r="G102" s="229" t="s">
        <v>6256</v>
      </c>
      <c r="H102" s="229" t="s">
        <v>6216</v>
      </c>
      <c r="I102" s="229" t="s">
        <v>6255</v>
      </c>
      <c r="J102" s="231" t="s">
        <v>5694</v>
      </c>
      <c r="K102" s="231" t="s">
        <v>5616</v>
      </c>
      <c r="L102" s="220" t="str">
        <f t="shared" si="23"/>
        <v>9F61</v>
      </c>
      <c r="M102" s="220" t="str">
        <f t="shared" si="24"/>
        <v/>
      </c>
      <c r="N102" s="220" t="str">
        <f t="shared" si="25"/>
        <v/>
      </c>
      <c r="O102" s="220" t="str">
        <f t="shared" si="26"/>
        <v/>
      </c>
      <c r="P102" s="52" t="str">
        <f t="shared" si="27"/>
        <v>9F61</v>
      </c>
      <c r="Q102" s="231" t="str">
        <f t="shared" si="28"/>
        <v>54</v>
      </c>
      <c r="R102" s="224">
        <f t="shared" si="29"/>
        <v>50.333333333333336</v>
      </c>
      <c r="S102" s="52">
        <f t="shared" si="30"/>
        <v>48</v>
      </c>
      <c r="T102" s="221">
        <f t="shared" ca="1" si="31"/>
        <v>2.13</v>
      </c>
      <c r="U102" s="221" t="str">
        <f t="shared" si="32"/>
        <v/>
      </c>
      <c r="V102" s="220" t="str">
        <f t="array" ref="V102">INDEX(P:P,MAX(U$3:U102))</f>
        <v>9F#2DTR(A)</v>
      </c>
      <c r="W102" s="220" t="str">
        <f t="shared" ca="1" si="33"/>
        <v/>
      </c>
      <c r="X102" s="220">
        <f t="shared" si="34"/>
        <v>22.8</v>
      </c>
      <c r="Y102" s="220">
        <f t="shared" si="21"/>
        <v>0</v>
      </c>
      <c r="AA102" s="220" t="str">
        <f t="shared" si="22"/>
        <v>鹿西</v>
      </c>
      <c r="AB102" s="220" t="s">
        <v>2012</v>
      </c>
      <c r="AC102" s="220" t="str">
        <f>LEFT(B102,4)</f>
        <v>9F61</v>
      </c>
      <c r="BB102" s="514" t="s">
        <v>2107</v>
      </c>
      <c r="BC102" s="514" t="s">
        <v>85</v>
      </c>
      <c r="BD102" s="514" t="s">
        <v>85</v>
      </c>
      <c r="BE102" s="514">
        <v>0</v>
      </c>
      <c r="BG102" s="229" t="s">
        <v>8382</v>
      </c>
      <c r="BH102" s="230" t="s">
        <v>8391</v>
      </c>
      <c r="BI102" t="s">
        <v>2012</v>
      </c>
      <c r="BJ102" t="s">
        <v>2090</v>
      </c>
    </row>
    <row r="103" spans="1:62">
      <c r="A103" s="229" t="s">
        <v>6211</v>
      </c>
      <c r="B103" s="230" t="s">
        <v>6257</v>
      </c>
      <c r="C103" s="230" t="s">
        <v>6258</v>
      </c>
      <c r="D103" s="229" t="s">
        <v>5628</v>
      </c>
      <c r="E103" s="229" t="s">
        <v>6259</v>
      </c>
      <c r="F103" s="229" t="s">
        <v>5628</v>
      </c>
      <c r="G103" s="229" t="s">
        <v>6258</v>
      </c>
      <c r="H103" s="229" t="s">
        <v>5628</v>
      </c>
      <c r="I103" s="229" t="s">
        <v>6258</v>
      </c>
      <c r="J103" s="231" t="s">
        <v>5755</v>
      </c>
      <c r="K103" s="231" t="s">
        <v>5628</v>
      </c>
      <c r="L103" s="220" t="str">
        <f t="shared" si="23"/>
        <v>9F62</v>
      </c>
      <c r="M103" s="220" t="str">
        <f t="shared" si="24"/>
        <v/>
      </c>
      <c r="N103" s="220" t="str">
        <f t="shared" si="25"/>
        <v/>
      </c>
      <c r="O103" s="220" t="str">
        <f t="shared" si="26"/>
        <v/>
      </c>
      <c r="P103" s="52" t="str">
        <f t="shared" si="27"/>
        <v>9F62</v>
      </c>
      <c r="Q103" s="231" t="str">
        <f t="shared" si="28"/>
        <v>119</v>
      </c>
      <c r="R103" s="224">
        <f t="shared" si="29"/>
        <v>119</v>
      </c>
      <c r="S103" s="52">
        <f t="shared" si="30"/>
        <v>119</v>
      </c>
      <c r="T103" s="221">
        <f t="shared" ca="1" si="31"/>
        <v>4.7</v>
      </c>
      <c r="U103" s="221" t="str">
        <f t="shared" si="32"/>
        <v/>
      </c>
      <c r="V103" s="220" t="str">
        <f t="array" ref="V103">INDEX(P:P,MAX(U$3:U103))</f>
        <v>9F#2DTR(A)</v>
      </c>
      <c r="W103" s="220" t="str">
        <f t="shared" ca="1" si="33"/>
        <v/>
      </c>
      <c r="X103" s="220">
        <f t="shared" si="34"/>
        <v>22.8</v>
      </c>
      <c r="Y103" s="220">
        <f t="shared" si="21"/>
        <v>0</v>
      </c>
      <c r="AA103" s="220" t="str">
        <f t="shared" si="22"/>
        <v>鹿西</v>
      </c>
      <c r="AB103" s="220" t="s">
        <v>1453</v>
      </c>
      <c r="AC103" s="220" t="str">
        <f>LEFT(B103,4)</f>
        <v>9F62</v>
      </c>
      <c r="BB103" s="514" t="s">
        <v>2111</v>
      </c>
      <c r="BC103" s="514">
        <v>1345</v>
      </c>
      <c r="BD103" s="514">
        <v>8</v>
      </c>
      <c r="BE103" s="514">
        <v>1353</v>
      </c>
      <c r="BG103" s="229" t="s">
        <v>8380</v>
      </c>
      <c r="BH103" s="230" t="s">
        <v>403</v>
      </c>
      <c r="BI103" t="s">
        <v>1453</v>
      </c>
      <c r="BJ103" t="s">
        <v>2090</v>
      </c>
    </row>
    <row r="104" spans="1:62">
      <c r="A104" s="229" t="s">
        <v>6218</v>
      </c>
      <c r="B104" s="230" t="s">
        <v>6260</v>
      </c>
      <c r="C104" s="230" t="s">
        <v>6261</v>
      </c>
      <c r="D104" s="229" t="s">
        <v>6142</v>
      </c>
      <c r="E104" s="229" t="s">
        <v>6261</v>
      </c>
      <c r="F104" s="229" t="s">
        <v>6262</v>
      </c>
      <c r="G104" s="229" t="s">
        <v>6263</v>
      </c>
      <c r="H104" s="229" t="s">
        <v>6142</v>
      </c>
      <c r="I104" s="229" t="s">
        <v>6264</v>
      </c>
      <c r="J104" s="231" t="s">
        <v>5694</v>
      </c>
      <c r="K104" s="231" t="s">
        <v>5628</v>
      </c>
      <c r="L104" s="220" t="str">
        <f t="shared" si="23"/>
        <v>9F63</v>
      </c>
      <c r="M104" s="220" t="str">
        <f t="shared" si="24"/>
        <v/>
      </c>
      <c r="N104" s="220" t="str">
        <f t="shared" si="25"/>
        <v/>
      </c>
      <c r="O104" s="220" t="str">
        <f t="shared" si="26"/>
        <v/>
      </c>
      <c r="P104" s="52" t="str">
        <f t="shared" si="27"/>
        <v>9F63</v>
      </c>
      <c r="Q104" s="231" t="str">
        <f t="shared" si="28"/>
        <v>102</v>
      </c>
      <c r="R104" s="224">
        <f t="shared" si="29"/>
        <v>101.33333333333333</v>
      </c>
      <c r="S104" s="52">
        <f t="shared" si="30"/>
        <v>100</v>
      </c>
      <c r="T104" s="221">
        <f t="shared" ca="1" si="31"/>
        <v>4.03</v>
      </c>
      <c r="U104" s="221" t="str">
        <f t="shared" si="32"/>
        <v/>
      </c>
      <c r="V104" s="220" t="str">
        <f t="array" ref="V104">INDEX(P:P,MAX(U$3:U104))</f>
        <v>9F#2DTR(A)</v>
      </c>
      <c r="W104" s="220" t="str">
        <f t="shared" ca="1" si="33"/>
        <v/>
      </c>
      <c r="X104" s="220">
        <f t="shared" si="34"/>
        <v>22.8</v>
      </c>
      <c r="Y104" s="220">
        <f t="shared" si="21"/>
        <v>0</v>
      </c>
      <c r="AA104" s="220" t="str">
        <f t="shared" si="22"/>
        <v>鹿西</v>
      </c>
      <c r="AB104" s="220" t="s">
        <v>2013</v>
      </c>
      <c r="AC104" s="220" t="str">
        <f>LEFT(B104,4)</f>
        <v>9F63</v>
      </c>
      <c r="BB104" s="514" t="s">
        <v>2112</v>
      </c>
      <c r="BC104" s="514">
        <v>1511</v>
      </c>
      <c r="BD104" s="514">
        <v>1</v>
      </c>
      <c r="BE104" s="514">
        <v>1512</v>
      </c>
      <c r="BG104" s="229" t="s">
        <v>8380</v>
      </c>
      <c r="BH104" s="230" t="s">
        <v>8392</v>
      </c>
      <c r="BI104" t="s">
        <v>2013</v>
      </c>
      <c r="BJ104" t="s">
        <v>2090</v>
      </c>
    </row>
    <row r="105" spans="1:62">
      <c r="A105" s="229" t="s">
        <v>6218</v>
      </c>
      <c r="B105" s="230" t="s">
        <v>6265</v>
      </c>
      <c r="C105" s="230" t="s">
        <v>6267</v>
      </c>
      <c r="D105" s="229" t="s">
        <v>6227</v>
      </c>
      <c r="E105" s="229" t="s">
        <v>6268</v>
      </c>
      <c r="F105" s="229" t="s">
        <v>6227</v>
      </c>
      <c r="G105" s="229" t="s">
        <v>6269</v>
      </c>
      <c r="H105" s="229" t="s">
        <v>6227</v>
      </c>
      <c r="I105" s="229" t="s">
        <v>6270</v>
      </c>
      <c r="J105" s="231" t="s">
        <v>5694</v>
      </c>
      <c r="K105" s="231" t="s">
        <v>5595</v>
      </c>
      <c r="L105" s="220" t="str">
        <f t="shared" si="23"/>
        <v>9F64</v>
      </c>
      <c r="M105" s="220" t="str">
        <f t="shared" si="24"/>
        <v/>
      </c>
      <c r="N105" s="220" t="str">
        <f t="shared" si="25"/>
        <v/>
      </c>
      <c r="O105" s="220" t="str">
        <f t="shared" si="26"/>
        <v/>
      </c>
      <c r="P105" s="52" t="str">
        <f t="shared" si="27"/>
        <v>9F64</v>
      </c>
      <c r="Q105" s="231" t="str">
        <f t="shared" si="28"/>
        <v>70</v>
      </c>
      <c r="R105" s="224">
        <f t="shared" si="29"/>
        <v>69</v>
      </c>
      <c r="S105" s="52">
        <f t="shared" si="30"/>
        <v>68</v>
      </c>
      <c r="T105" s="221">
        <f t="shared" ca="1" si="31"/>
        <v>2.76</v>
      </c>
      <c r="U105" s="221" t="str">
        <f t="shared" si="32"/>
        <v/>
      </c>
      <c r="V105" s="220" t="str">
        <f t="array" ref="V105">INDEX(P:P,MAX(U$3:U105))</f>
        <v>9F#2DTR(A)</v>
      </c>
      <c r="W105" s="220" t="str">
        <f t="shared" ca="1" si="33"/>
        <v/>
      </c>
      <c r="X105" s="220">
        <f t="shared" si="34"/>
        <v>22.8</v>
      </c>
      <c r="Y105" s="220">
        <f t="shared" si="21"/>
        <v>0</v>
      </c>
      <c r="AA105" s="220" t="str">
        <f t="shared" si="22"/>
        <v>鹿西</v>
      </c>
      <c r="AB105" s="220" t="s">
        <v>1504</v>
      </c>
      <c r="AC105" s="220" t="str">
        <f>LEFT(B105,4)</f>
        <v>9F64</v>
      </c>
      <c r="BB105" s="514" t="s">
        <v>2113</v>
      </c>
      <c r="BC105" s="514">
        <v>925</v>
      </c>
      <c r="BD105" s="514" t="s">
        <v>85</v>
      </c>
      <c r="BE105" s="514">
        <v>925</v>
      </c>
      <c r="BG105" s="229" t="s">
        <v>8380</v>
      </c>
      <c r="BH105" s="230" t="s">
        <v>8393</v>
      </c>
      <c r="BI105" t="s">
        <v>1504</v>
      </c>
      <c r="BJ105" t="s">
        <v>2090</v>
      </c>
    </row>
    <row r="106" spans="1:62">
      <c r="A106" s="229" t="s">
        <v>6230</v>
      </c>
      <c r="B106" s="230" t="s">
        <v>6271</v>
      </c>
      <c r="C106" s="230" t="s">
        <v>6272</v>
      </c>
      <c r="D106" s="229" t="s">
        <v>6169</v>
      </c>
      <c r="E106" s="229" t="s">
        <v>6273</v>
      </c>
      <c r="F106" s="229" t="s">
        <v>6169</v>
      </c>
      <c r="G106" s="229" t="s">
        <v>6274</v>
      </c>
      <c r="H106" s="229" t="s">
        <v>6169</v>
      </c>
      <c r="I106" s="229" t="s">
        <v>6274</v>
      </c>
      <c r="J106" s="231" t="s">
        <v>5711</v>
      </c>
      <c r="K106" s="231" t="s">
        <v>5585</v>
      </c>
      <c r="L106" s="220" t="str">
        <f t="shared" si="23"/>
        <v>9F#2DTR(B)</v>
      </c>
      <c r="M106" s="220" t="str">
        <f t="shared" si="24"/>
        <v>(B)</v>
      </c>
      <c r="N106" s="220" t="str">
        <f t="shared" si="25"/>
        <v>9F#2DTR</v>
      </c>
      <c r="O106" s="220" t="str">
        <f t="shared" si="26"/>
        <v>(B)</v>
      </c>
      <c r="P106" s="52" t="str">
        <f t="shared" si="27"/>
        <v>9F#2DTR(B)</v>
      </c>
      <c r="Q106" s="231" t="str">
        <f t="shared" si="28"/>
        <v>456</v>
      </c>
      <c r="R106" s="224">
        <f t="shared" si="29"/>
        <v>451.33333333333331</v>
      </c>
      <c r="S106" s="52">
        <f t="shared" si="30"/>
        <v>443</v>
      </c>
      <c r="T106" s="221">
        <f t="shared" ca="1" si="31"/>
        <v>18.010000000000002</v>
      </c>
      <c r="U106" s="221">
        <f t="shared" si="32"/>
        <v>106</v>
      </c>
      <c r="V106" s="220" t="str">
        <f t="array" ref="V106">INDEX(P:P,MAX(U$3:U106))</f>
        <v>9F#2DTR(B)</v>
      </c>
      <c r="W106" s="220">
        <f t="shared" ca="1" si="33"/>
        <v>60</v>
      </c>
      <c r="X106" s="220" t="str">
        <f t="shared" si="34"/>
        <v/>
      </c>
      <c r="Y106" s="220">
        <f t="shared" si="21"/>
        <v>0</v>
      </c>
      <c r="AA106" s="220" t="str">
        <f t="shared" si="22"/>
        <v>鹿西</v>
      </c>
      <c r="AB106" s="220" t="s">
        <v>2091</v>
      </c>
      <c r="AC106" s="220" t="s">
        <v>2091</v>
      </c>
      <c r="BB106" s="514" t="s">
        <v>2114</v>
      </c>
      <c r="BC106" s="514">
        <v>50</v>
      </c>
      <c r="BD106" s="514">
        <v>1</v>
      </c>
      <c r="BE106" s="514">
        <v>51</v>
      </c>
      <c r="BG106" s="229" t="s">
        <v>8382</v>
      </c>
      <c r="BH106" s="230" t="s">
        <v>388</v>
      </c>
      <c r="BI106" t="s">
        <v>2091</v>
      </c>
      <c r="BJ106" t="s">
        <v>2091</v>
      </c>
    </row>
    <row r="107" spans="1:62">
      <c r="A107" s="229" t="s">
        <v>6211</v>
      </c>
      <c r="B107" s="230" t="s">
        <v>6275</v>
      </c>
      <c r="C107" s="230" t="s">
        <v>6276</v>
      </c>
      <c r="D107" s="229" t="s">
        <v>5847</v>
      </c>
      <c r="E107" s="229" t="s">
        <v>6277</v>
      </c>
      <c r="F107" s="229" t="s">
        <v>6054</v>
      </c>
      <c r="G107" s="229" t="s">
        <v>6278</v>
      </c>
      <c r="H107" s="229" t="s">
        <v>5847</v>
      </c>
      <c r="I107" s="229" t="s">
        <v>6278</v>
      </c>
      <c r="J107" s="231" t="s">
        <v>5694</v>
      </c>
      <c r="K107" s="231" t="s">
        <v>5628</v>
      </c>
      <c r="L107" s="220" t="str">
        <f t="shared" si="23"/>
        <v>9F65</v>
      </c>
      <c r="M107" s="220" t="str">
        <f t="shared" si="24"/>
        <v/>
      </c>
      <c r="N107" s="220" t="str">
        <f t="shared" si="25"/>
        <v/>
      </c>
      <c r="O107" s="220" t="str">
        <f t="shared" si="26"/>
        <v/>
      </c>
      <c r="P107" s="52" t="str">
        <f t="shared" si="27"/>
        <v>9F65</v>
      </c>
      <c r="Q107" s="231" t="str">
        <f t="shared" si="28"/>
        <v>258</v>
      </c>
      <c r="R107" s="224">
        <f t="shared" si="29"/>
        <v>256.66666666666669</v>
      </c>
      <c r="S107" s="52">
        <f t="shared" si="30"/>
        <v>256</v>
      </c>
      <c r="T107" s="221">
        <f t="shared" ca="1" si="31"/>
        <v>10.19</v>
      </c>
      <c r="U107" s="221" t="str">
        <f t="shared" si="32"/>
        <v/>
      </c>
      <c r="V107" s="220" t="str">
        <f t="array" ref="V107">INDEX(P:P,MAX(U$3:U107))</f>
        <v>9F#2DTR(B)</v>
      </c>
      <c r="W107" s="220" t="str">
        <f t="shared" ca="1" si="33"/>
        <v/>
      </c>
      <c r="X107" s="220">
        <f t="shared" si="34"/>
        <v>22.8</v>
      </c>
      <c r="Y107" s="220">
        <f t="shared" si="21"/>
        <v>0</v>
      </c>
      <c r="AA107" s="220" t="str">
        <f t="shared" si="22"/>
        <v>鹿西</v>
      </c>
      <c r="AB107" s="220" t="s">
        <v>2014</v>
      </c>
      <c r="AC107" s="220" t="str">
        <f>LEFT(B107,4)</f>
        <v>9F65</v>
      </c>
      <c r="BB107" s="514" t="s">
        <v>2115</v>
      </c>
      <c r="BC107" s="514">
        <v>291</v>
      </c>
      <c r="BD107" s="514">
        <v>1</v>
      </c>
      <c r="BE107" s="514">
        <v>292</v>
      </c>
      <c r="BG107" s="229" t="s">
        <v>8382</v>
      </c>
      <c r="BH107" s="230" t="s">
        <v>8394</v>
      </c>
      <c r="BI107" t="s">
        <v>2014</v>
      </c>
      <c r="BJ107" t="s">
        <v>2091</v>
      </c>
    </row>
    <row r="108" spans="1:62">
      <c r="A108" s="229" t="s">
        <v>6230</v>
      </c>
      <c r="B108" s="230" t="s">
        <v>6279</v>
      </c>
      <c r="C108" s="230" t="s">
        <v>6280</v>
      </c>
      <c r="D108" s="229" t="s">
        <v>6281</v>
      </c>
      <c r="E108" s="229" t="s">
        <v>6282</v>
      </c>
      <c r="F108" s="229" t="s">
        <v>6281</v>
      </c>
      <c r="G108" s="229" t="s">
        <v>6283</v>
      </c>
      <c r="H108" s="229" t="s">
        <v>6095</v>
      </c>
      <c r="I108" s="229" t="s">
        <v>6283</v>
      </c>
      <c r="J108" s="231" t="s">
        <v>5694</v>
      </c>
      <c r="K108" s="231" t="s">
        <v>5628</v>
      </c>
      <c r="L108" s="220" t="str">
        <f t="shared" si="23"/>
        <v>9F66</v>
      </c>
      <c r="M108" s="220" t="str">
        <f t="shared" si="24"/>
        <v/>
      </c>
      <c r="N108" s="220" t="str">
        <f t="shared" si="25"/>
        <v/>
      </c>
      <c r="O108" s="220" t="str">
        <f t="shared" si="26"/>
        <v/>
      </c>
      <c r="P108" s="52" t="str">
        <f t="shared" si="27"/>
        <v>9F66</v>
      </c>
      <c r="Q108" s="231" t="str">
        <f t="shared" si="28"/>
        <v>62</v>
      </c>
      <c r="R108" s="224">
        <f t="shared" si="29"/>
        <v>58.666666666666664</v>
      </c>
      <c r="S108" s="52">
        <f t="shared" si="30"/>
        <v>54</v>
      </c>
      <c r="T108" s="221">
        <f t="shared" ca="1" si="31"/>
        <v>2.4500000000000002</v>
      </c>
      <c r="U108" s="221" t="str">
        <f t="shared" si="32"/>
        <v/>
      </c>
      <c r="V108" s="220" t="str">
        <f t="array" ref="V108">INDEX(P:P,MAX(U$3:U108))</f>
        <v>9F#2DTR(B)</v>
      </c>
      <c r="W108" s="220" t="str">
        <f t="shared" ca="1" si="33"/>
        <v/>
      </c>
      <c r="X108" s="220">
        <f t="shared" si="34"/>
        <v>22.8</v>
      </c>
      <c r="Y108" s="220">
        <f t="shared" si="21"/>
        <v>0</v>
      </c>
      <c r="AA108" s="220" t="str">
        <f t="shared" si="22"/>
        <v>鹿西</v>
      </c>
      <c r="AB108" s="220" t="s">
        <v>1552</v>
      </c>
      <c r="AC108" s="220" t="str">
        <f>LEFT(B108,4)</f>
        <v>9F66</v>
      </c>
      <c r="BB108" s="514" t="s">
        <v>2117</v>
      </c>
      <c r="BC108" s="514">
        <v>1794</v>
      </c>
      <c r="BD108" s="514">
        <v>3</v>
      </c>
      <c r="BE108" s="514">
        <v>1797</v>
      </c>
      <c r="BG108" s="229" t="s">
        <v>8380</v>
      </c>
      <c r="BH108" s="230" t="s">
        <v>8395</v>
      </c>
      <c r="BI108" t="s">
        <v>1552</v>
      </c>
      <c r="BJ108" t="s">
        <v>2091</v>
      </c>
    </row>
    <row r="109" spans="1:62">
      <c r="A109" s="229" t="s">
        <v>6211</v>
      </c>
      <c r="B109" s="230" t="s">
        <v>6284</v>
      </c>
      <c r="C109" s="230" t="s">
        <v>6285</v>
      </c>
      <c r="D109" s="229" t="s">
        <v>5836</v>
      </c>
      <c r="E109" s="229" t="s">
        <v>6197</v>
      </c>
      <c r="F109" s="229" t="s">
        <v>6227</v>
      </c>
      <c r="G109" s="229" t="s">
        <v>6285</v>
      </c>
      <c r="H109" s="229" t="s">
        <v>5858</v>
      </c>
      <c r="I109" s="229" t="s">
        <v>6285</v>
      </c>
      <c r="J109" s="231" t="s">
        <v>5755</v>
      </c>
      <c r="K109" s="231" t="s">
        <v>5595</v>
      </c>
      <c r="L109" s="220" t="str">
        <f t="shared" si="23"/>
        <v>9F67</v>
      </c>
      <c r="M109" s="220" t="str">
        <f t="shared" si="24"/>
        <v/>
      </c>
      <c r="N109" s="220" t="str">
        <f t="shared" si="25"/>
        <v/>
      </c>
      <c r="O109" s="220" t="str">
        <f t="shared" si="26"/>
        <v/>
      </c>
      <c r="P109" s="52" t="str">
        <f t="shared" si="27"/>
        <v>9F67</v>
      </c>
      <c r="Q109" s="231" t="str">
        <f t="shared" si="28"/>
        <v>99</v>
      </c>
      <c r="R109" s="224">
        <f t="shared" si="29"/>
        <v>98.666666666666671</v>
      </c>
      <c r="S109" s="52">
        <f t="shared" si="30"/>
        <v>98</v>
      </c>
      <c r="T109" s="221">
        <f t="shared" ca="1" si="31"/>
        <v>3.91</v>
      </c>
      <c r="U109" s="221" t="str">
        <f t="shared" si="32"/>
        <v/>
      </c>
      <c r="V109" s="220" t="str">
        <f t="array" ref="V109">INDEX(P:P,MAX(U$3:U109))</f>
        <v>9F#2DTR(B)</v>
      </c>
      <c r="W109" s="220" t="str">
        <f t="shared" ca="1" si="33"/>
        <v/>
      </c>
      <c r="X109" s="220">
        <f t="shared" si="34"/>
        <v>22.8</v>
      </c>
      <c r="Y109" s="220">
        <f t="shared" si="21"/>
        <v>0</v>
      </c>
      <c r="AA109" s="220" t="str">
        <f t="shared" si="22"/>
        <v>鹿西</v>
      </c>
      <c r="AB109" s="220" t="s">
        <v>2015</v>
      </c>
      <c r="AC109" s="220" t="str">
        <f>LEFT(B109,4)</f>
        <v>9F67</v>
      </c>
      <c r="BB109" s="514" t="s">
        <v>2118</v>
      </c>
      <c r="BC109" s="514">
        <v>908</v>
      </c>
      <c r="BD109" s="514">
        <v>1</v>
      </c>
      <c r="BE109" s="514">
        <v>909</v>
      </c>
      <c r="BG109" s="229" t="s">
        <v>8</v>
      </c>
      <c r="BH109" s="230" t="s">
        <v>8396</v>
      </c>
      <c r="BI109" t="s">
        <v>2015</v>
      </c>
      <c r="BJ109" t="s">
        <v>2091</v>
      </c>
    </row>
    <row r="110" spans="1:62">
      <c r="A110" s="229" t="s">
        <v>6211</v>
      </c>
      <c r="B110" s="230" t="s">
        <v>6286</v>
      </c>
      <c r="C110" s="230" t="s">
        <v>6283</v>
      </c>
      <c r="D110" s="229" t="s">
        <v>6095</v>
      </c>
      <c r="E110" s="229" t="s">
        <v>6283</v>
      </c>
      <c r="F110" s="229" t="s">
        <v>6095</v>
      </c>
      <c r="G110" s="229" t="s">
        <v>6122</v>
      </c>
      <c r="H110" s="229" t="s">
        <v>6169</v>
      </c>
      <c r="I110" s="229" t="s">
        <v>6122</v>
      </c>
      <c r="J110" s="231" t="s">
        <v>5694</v>
      </c>
      <c r="K110" s="231" t="s">
        <v>5616</v>
      </c>
      <c r="L110" s="220" t="str">
        <f t="shared" si="23"/>
        <v>9F68</v>
      </c>
      <c r="M110" s="220" t="str">
        <f t="shared" si="24"/>
        <v/>
      </c>
      <c r="N110" s="220" t="str">
        <f t="shared" si="25"/>
        <v/>
      </c>
      <c r="O110" s="220" t="str">
        <f t="shared" si="26"/>
        <v/>
      </c>
      <c r="P110" s="52" t="str">
        <f t="shared" si="27"/>
        <v>9F68</v>
      </c>
      <c r="Q110" s="231" t="str">
        <f t="shared" si="28"/>
        <v>66</v>
      </c>
      <c r="R110" s="224">
        <f t="shared" si="29"/>
        <v>63.333333333333336</v>
      </c>
      <c r="S110" s="52">
        <f t="shared" si="30"/>
        <v>62</v>
      </c>
      <c r="T110" s="221">
        <f t="shared" ca="1" si="31"/>
        <v>2.61</v>
      </c>
      <c r="U110" s="221" t="str">
        <f t="shared" si="32"/>
        <v/>
      </c>
      <c r="V110" s="220" t="str">
        <f t="array" ref="V110">INDEX(P:P,MAX(U$3:U110))</f>
        <v>9F#2DTR(B)</v>
      </c>
      <c r="W110" s="220" t="str">
        <f t="shared" ca="1" si="33"/>
        <v/>
      </c>
      <c r="X110" s="220">
        <f t="shared" si="34"/>
        <v>22.8</v>
      </c>
      <c r="Y110" s="220">
        <f t="shared" si="21"/>
        <v>0</v>
      </c>
      <c r="AA110" s="220" t="str">
        <f t="shared" si="22"/>
        <v>鹿西</v>
      </c>
      <c r="AB110" s="220" t="s">
        <v>2016</v>
      </c>
      <c r="AC110" s="220" t="str">
        <f>LEFT(B110,4)</f>
        <v>9F68</v>
      </c>
      <c r="BB110" s="514" t="s">
        <v>2119</v>
      </c>
      <c r="BC110" s="514">
        <v>1534</v>
      </c>
      <c r="BD110" s="514">
        <v>3</v>
      </c>
      <c r="BE110" s="514">
        <v>1537</v>
      </c>
      <c r="BG110" s="229" t="s">
        <v>8</v>
      </c>
      <c r="BH110" s="230" t="s">
        <v>404</v>
      </c>
      <c r="BI110" t="s">
        <v>2016</v>
      </c>
      <c r="BJ110" t="s">
        <v>2091</v>
      </c>
    </row>
    <row r="111" spans="1:62">
      <c r="A111" s="229" t="s">
        <v>6287</v>
      </c>
      <c r="B111" s="230" t="s">
        <v>6288</v>
      </c>
      <c r="C111" s="230" t="s">
        <v>6289</v>
      </c>
      <c r="D111" s="229" t="s">
        <v>5616</v>
      </c>
      <c r="E111" s="229" t="s">
        <v>6290</v>
      </c>
      <c r="F111" s="229" t="s">
        <v>5595</v>
      </c>
      <c r="G111" s="229" t="s">
        <v>6291</v>
      </c>
      <c r="H111" s="229" t="s">
        <v>5595</v>
      </c>
      <c r="I111" s="229" t="s">
        <v>6292</v>
      </c>
      <c r="J111" s="231" t="s">
        <v>5674</v>
      </c>
      <c r="K111" s="231" t="s">
        <v>5585</v>
      </c>
      <c r="L111" s="220" t="str">
        <f t="shared" si="23"/>
        <v>9G#1DTR(A)</v>
      </c>
      <c r="M111" s="220" t="str">
        <f t="shared" si="24"/>
        <v>(A)</v>
      </c>
      <c r="N111" s="220" t="str">
        <f t="shared" si="25"/>
        <v>9G#1DTR</v>
      </c>
      <c r="O111" s="220" t="str">
        <f t="shared" si="26"/>
        <v>(A)</v>
      </c>
      <c r="P111" s="52" t="str">
        <f t="shared" si="27"/>
        <v>9G#1DTR(A)</v>
      </c>
      <c r="Q111" s="231" t="str">
        <f t="shared" si="28"/>
        <v>437</v>
      </c>
      <c r="R111" s="224">
        <f t="shared" si="29"/>
        <v>399.33333333333331</v>
      </c>
      <c r="S111" s="52">
        <f t="shared" si="30"/>
        <v>375</v>
      </c>
      <c r="T111" s="221">
        <f t="shared" ca="1" si="31"/>
        <v>8.6300000000000008</v>
      </c>
      <c r="U111" s="221">
        <f t="shared" si="32"/>
        <v>111</v>
      </c>
      <c r="V111" s="220" t="str">
        <f t="array" ref="V111">INDEX(P:P,MAX(U$3:U111))</f>
        <v>9G#1DTR(A)</v>
      </c>
      <c r="W111" s="220">
        <f t="shared" ca="1" si="33"/>
        <v>30</v>
      </c>
      <c r="X111" s="220" t="str">
        <f t="shared" si="34"/>
        <v/>
      </c>
      <c r="Y111" s="220">
        <f t="shared" si="21"/>
        <v>0</v>
      </c>
      <c r="AA111" s="220" t="str">
        <f t="shared" si="22"/>
        <v>漢寶</v>
      </c>
      <c r="AB111" s="220" t="s">
        <v>2092</v>
      </c>
      <c r="AC111" s="220" t="s">
        <v>2092</v>
      </c>
      <c r="BB111" s="514" t="s">
        <v>2120</v>
      </c>
      <c r="BC111" s="514">
        <v>4054</v>
      </c>
      <c r="BD111" s="514">
        <v>2</v>
      </c>
      <c r="BE111" s="514">
        <v>4056</v>
      </c>
      <c r="BG111" s="229" t="s">
        <v>8397</v>
      </c>
      <c r="BH111" s="230" t="s">
        <v>8398</v>
      </c>
      <c r="BI111" t="s">
        <v>2092</v>
      </c>
      <c r="BJ111" t="s">
        <v>2092</v>
      </c>
    </row>
    <row r="112" spans="1:62">
      <c r="A112" s="229" t="s">
        <v>6287</v>
      </c>
      <c r="B112" s="230" t="s">
        <v>6293</v>
      </c>
      <c r="C112" s="230" t="s">
        <v>6254</v>
      </c>
      <c r="D112" s="229" t="s">
        <v>6114</v>
      </c>
      <c r="E112" s="229" t="s">
        <v>6111</v>
      </c>
      <c r="F112" s="229" t="s">
        <v>6294</v>
      </c>
      <c r="G112" s="229" t="s">
        <v>6295</v>
      </c>
      <c r="H112" s="229" t="s">
        <v>6296</v>
      </c>
      <c r="I112" s="229" t="s">
        <v>6295</v>
      </c>
      <c r="J112" s="231" t="s">
        <v>6298</v>
      </c>
      <c r="K112" s="231" t="s">
        <v>6299</v>
      </c>
      <c r="L112" s="220" t="str">
        <f t="shared" si="23"/>
        <v>9G20</v>
      </c>
      <c r="M112" s="220" t="str">
        <f t="shared" si="24"/>
        <v/>
      </c>
      <c r="N112" s="220" t="str">
        <f t="shared" si="25"/>
        <v/>
      </c>
      <c r="O112" s="220" t="str">
        <f t="shared" si="26"/>
        <v/>
      </c>
      <c r="P112" s="52" t="str">
        <f t="shared" si="27"/>
        <v>9G20</v>
      </c>
      <c r="Q112" s="231" t="str">
        <f t="shared" si="28"/>
        <v>59</v>
      </c>
      <c r="R112" s="224">
        <f t="shared" si="29"/>
        <v>48.666666666666664</v>
      </c>
      <c r="S112" s="52">
        <f t="shared" si="30"/>
        <v>38</v>
      </c>
      <c r="T112" s="221">
        <f t="shared" ca="1" si="31"/>
        <v>1.1599999999999999</v>
      </c>
      <c r="U112" s="221" t="str">
        <f t="shared" si="32"/>
        <v/>
      </c>
      <c r="V112" s="220" t="str">
        <f t="array" ref="V112">INDEX(P:P,MAX(U$3:U112))</f>
        <v>9G#1DTR(A)</v>
      </c>
      <c r="W112" s="220" t="str">
        <f t="shared" ca="1" si="33"/>
        <v/>
      </c>
      <c r="X112" s="220">
        <f t="shared" si="34"/>
        <v>11.4</v>
      </c>
      <c r="Y112" s="220">
        <f t="shared" si="21"/>
        <v>0</v>
      </c>
      <c r="AA112" s="220" t="str">
        <f t="shared" si="22"/>
        <v>漢寶</v>
      </c>
      <c r="AB112" s="220" t="s">
        <v>2093</v>
      </c>
      <c r="AC112" s="220" t="str">
        <f>LEFT(B112,4)</f>
        <v>9G20</v>
      </c>
      <c r="BB112" s="514" t="s">
        <v>2122</v>
      </c>
      <c r="BC112" s="514" t="s">
        <v>85</v>
      </c>
      <c r="BD112" s="514" t="s">
        <v>85</v>
      </c>
      <c r="BE112" s="514">
        <v>0</v>
      </c>
      <c r="BG112" s="229" t="s">
        <v>8399</v>
      </c>
      <c r="BH112" s="230" t="s">
        <v>8400</v>
      </c>
      <c r="BI112" t="s">
        <v>2093</v>
      </c>
      <c r="BJ112" t="s">
        <v>2092</v>
      </c>
    </row>
    <row r="113" spans="1:62">
      <c r="A113" s="229" t="s">
        <v>6287</v>
      </c>
      <c r="B113" s="230" t="s">
        <v>6300</v>
      </c>
      <c r="C113" s="230" t="s">
        <v>6301</v>
      </c>
      <c r="D113" s="229" t="s">
        <v>6302</v>
      </c>
      <c r="E113" s="229" t="s">
        <v>6303</v>
      </c>
      <c r="F113" s="229" t="s">
        <v>5775</v>
      </c>
      <c r="G113" s="229" t="s">
        <v>6304</v>
      </c>
      <c r="H113" s="229" t="s">
        <v>5775</v>
      </c>
      <c r="I113" s="229" t="s">
        <v>6110</v>
      </c>
      <c r="J113" s="231" t="s">
        <v>6305</v>
      </c>
      <c r="K113" s="231" t="s">
        <v>6281</v>
      </c>
      <c r="L113" s="220" t="str">
        <f t="shared" si="23"/>
        <v>9G21</v>
      </c>
      <c r="M113" s="220" t="str">
        <f t="shared" si="24"/>
        <v/>
      </c>
      <c r="N113" s="220" t="str">
        <f t="shared" si="25"/>
        <v/>
      </c>
      <c r="O113" s="220" t="str">
        <f t="shared" si="26"/>
        <v/>
      </c>
      <c r="P113" s="52" t="str">
        <f t="shared" si="27"/>
        <v>9G21</v>
      </c>
      <c r="Q113" s="231" t="str">
        <f t="shared" si="28"/>
        <v>108</v>
      </c>
      <c r="R113" s="224">
        <f t="shared" si="29"/>
        <v>105</v>
      </c>
      <c r="S113" s="52">
        <f t="shared" si="30"/>
        <v>103</v>
      </c>
      <c r="T113" s="221">
        <f t="shared" ca="1" si="31"/>
        <v>2.13</v>
      </c>
      <c r="U113" s="221" t="str">
        <f t="shared" si="32"/>
        <v/>
      </c>
      <c r="V113" s="220" t="str">
        <f t="array" ref="V113">INDEX(P:P,MAX(U$3:U113))</f>
        <v>9G#1DTR(A)</v>
      </c>
      <c r="W113" s="220" t="str">
        <f t="shared" ca="1" si="33"/>
        <v/>
      </c>
      <c r="X113" s="220">
        <f t="shared" si="34"/>
        <v>11.4</v>
      </c>
      <c r="Y113" s="220">
        <f t="shared" si="21"/>
        <v>0</v>
      </c>
      <c r="AA113" s="220" t="str">
        <f t="shared" si="22"/>
        <v>漢寶</v>
      </c>
      <c r="AB113" s="220" t="s">
        <v>1213</v>
      </c>
      <c r="AC113" s="220" t="str">
        <f>LEFT(B113,4)</f>
        <v>9G21</v>
      </c>
      <c r="BB113" s="514" t="s">
        <v>2123</v>
      </c>
      <c r="BC113" s="514">
        <v>2960</v>
      </c>
      <c r="BD113" s="514">
        <v>3</v>
      </c>
      <c r="BE113" s="514">
        <v>2963</v>
      </c>
      <c r="BG113" s="229" t="s">
        <v>8397</v>
      </c>
      <c r="BH113" s="230" t="s">
        <v>8401</v>
      </c>
      <c r="BI113" t="s">
        <v>1213</v>
      </c>
      <c r="BJ113" t="s">
        <v>2092</v>
      </c>
    </row>
    <row r="114" spans="1:62">
      <c r="A114" s="229" t="s">
        <v>6306</v>
      </c>
      <c r="B114" s="230" t="s">
        <v>6307</v>
      </c>
      <c r="C114" s="230" t="s">
        <v>6308</v>
      </c>
      <c r="D114" s="229" t="s">
        <v>6246</v>
      </c>
      <c r="E114" s="229" t="s">
        <v>6309</v>
      </c>
      <c r="F114" s="229" t="s">
        <v>6114</v>
      </c>
      <c r="G114" s="229" t="s">
        <v>6310</v>
      </c>
      <c r="H114" s="229" t="s">
        <v>6311</v>
      </c>
      <c r="I114" s="229" t="s">
        <v>6310</v>
      </c>
      <c r="J114" s="231" t="s">
        <v>6312</v>
      </c>
      <c r="K114" s="231" t="s">
        <v>6313</v>
      </c>
      <c r="L114" s="220" t="str">
        <f t="shared" si="23"/>
        <v>9G22</v>
      </c>
      <c r="M114" s="220" t="str">
        <f t="shared" si="24"/>
        <v/>
      </c>
      <c r="N114" s="220" t="str">
        <f t="shared" si="25"/>
        <v/>
      </c>
      <c r="O114" s="220" t="str">
        <f t="shared" si="26"/>
        <v/>
      </c>
      <c r="P114" s="52" t="str">
        <f t="shared" si="27"/>
        <v>9G22</v>
      </c>
      <c r="Q114" s="231" t="str">
        <f t="shared" si="28"/>
        <v>204</v>
      </c>
      <c r="R114" s="224">
        <f t="shared" si="29"/>
        <v>179.33333333333334</v>
      </c>
      <c r="S114" s="52">
        <f t="shared" si="30"/>
        <v>156</v>
      </c>
      <c r="T114" s="221">
        <f t="shared" ca="1" si="31"/>
        <v>4.03</v>
      </c>
      <c r="U114" s="221" t="str">
        <f t="shared" si="32"/>
        <v/>
      </c>
      <c r="V114" s="220" t="str">
        <f t="array" ref="V114">INDEX(P:P,MAX(U$3:U114))</f>
        <v>9G#1DTR(A)</v>
      </c>
      <c r="W114" s="220" t="str">
        <f t="shared" ca="1" si="33"/>
        <v/>
      </c>
      <c r="X114" s="220">
        <f t="shared" si="34"/>
        <v>11.4</v>
      </c>
      <c r="Y114" s="220">
        <f t="shared" si="21"/>
        <v>0</v>
      </c>
      <c r="AA114" s="220" t="str">
        <f t="shared" si="22"/>
        <v>漢寶</v>
      </c>
      <c r="AB114" s="220" t="s">
        <v>1230</v>
      </c>
      <c r="AC114" s="220" t="str">
        <f>LEFT(B114,4)</f>
        <v>9G22</v>
      </c>
      <c r="BB114" s="514" t="s">
        <v>2124</v>
      </c>
      <c r="BC114" s="514">
        <v>1075</v>
      </c>
      <c r="BD114" s="514">
        <v>1</v>
      </c>
      <c r="BE114" s="514">
        <v>1076</v>
      </c>
      <c r="BG114" s="229" t="s">
        <v>8399</v>
      </c>
      <c r="BH114" s="230" t="s">
        <v>8402</v>
      </c>
      <c r="BI114" t="s">
        <v>1230</v>
      </c>
      <c r="BJ114" t="s">
        <v>2092</v>
      </c>
    </row>
    <row r="115" spans="1:62">
      <c r="A115" s="229" t="s">
        <v>6287</v>
      </c>
      <c r="B115" s="230" t="s">
        <v>6314</v>
      </c>
      <c r="C115" s="230" t="s">
        <v>6315</v>
      </c>
      <c r="D115" s="229" t="s">
        <v>6246</v>
      </c>
      <c r="E115" s="229" t="s">
        <v>6316</v>
      </c>
      <c r="F115" s="229" t="s">
        <v>6246</v>
      </c>
      <c r="G115" s="229" t="s">
        <v>6317</v>
      </c>
      <c r="H115" s="229" t="s">
        <v>6114</v>
      </c>
      <c r="I115" s="229" t="s">
        <v>6316</v>
      </c>
      <c r="J115" s="231" t="s">
        <v>6318</v>
      </c>
      <c r="K115" s="231" t="s">
        <v>6114</v>
      </c>
      <c r="L115" s="220" t="str">
        <f t="shared" si="23"/>
        <v>9G23</v>
      </c>
      <c r="M115" s="220" t="str">
        <f t="shared" si="24"/>
        <v/>
      </c>
      <c r="N115" s="220" t="str">
        <f t="shared" si="25"/>
        <v/>
      </c>
      <c r="O115" s="220" t="str">
        <f t="shared" si="26"/>
        <v/>
      </c>
      <c r="P115" s="52" t="str">
        <f t="shared" si="27"/>
        <v>9G23</v>
      </c>
      <c r="Q115" s="231" t="str">
        <f t="shared" si="28"/>
        <v>195</v>
      </c>
      <c r="R115" s="224">
        <f t="shared" si="29"/>
        <v>182.66666666666666</v>
      </c>
      <c r="S115" s="52">
        <f t="shared" si="30"/>
        <v>168</v>
      </c>
      <c r="T115" s="221">
        <f t="shared" ca="1" si="31"/>
        <v>3.85</v>
      </c>
      <c r="U115" s="221" t="str">
        <f t="shared" si="32"/>
        <v/>
      </c>
      <c r="V115" s="220" t="str">
        <f t="array" ref="V115">INDEX(P:P,MAX(U$3:U115))</f>
        <v>9G#1DTR(A)</v>
      </c>
      <c r="W115" s="220" t="str">
        <f t="shared" ca="1" si="33"/>
        <v/>
      </c>
      <c r="X115" s="220">
        <f t="shared" si="34"/>
        <v>11.4</v>
      </c>
      <c r="Y115" s="220">
        <f t="shared" si="21"/>
        <v>0</v>
      </c>
      <c r="AA115" s="220" t="str">
        <f t="shared" si="22"/>
        <v>漢寶</v>
      </c>
      <c r="AB115" s="220" t="s">
        <v>1267</v>
      </c>
      <c r="AC115" s="220" t="str">
        <f>LEFT(B115,4)</f>
        <v>9G23</v>
      </c>
      <c r="BB115" s="514" t="s">
        <v>2125</v>
      </c>
      <c r="BC115" s="514">
        <v>1359</v>
      </c>
      <c r="BD115" s="514">
        <v>2</v>
      </c>
      <c r="BE115" s="514">
        <v>1361</v>
      </c>
      <c r="BG115" s="229" t="s">
        <v>8397</v>
      </c>
      <c r="BH115" s="230" t="s">
        <v>8403</v>
      </c>
      <c r="BI115" t="s">
        <v>1267</v>
      </c>
      <c r="BJ115" t="s">
        <v>2092</v>
      </c>
    </row>
    <row r="116" spans="1:62">
      <c r="A116" s="229" t="s">
        <v>6287</v>
      </c>
      <c r="B116" s="230" t="s">
        <v>6319</v>
      </c>
      <c r="C116" s="230" t="s">
        <v>6255</v>
      </c>
      <c r="D116" s="229" t="s">
        <v>6149</v>
      </c>
      <c r="E116" s="229" t="s">
        <v>5799</v>
      </c>
      <c r="F116" s="229" t="s">
        <v>6246</v>
      </c>
      <c r="G116" s="229" t="s">
        <v>6320</v>
      </c>
      <c r="H116" s="229" t="s">
        <v>6114</v>
      </c>
      <c r="I116" s="229" t="s">
        <v>6320</v>
      </c>
      <c r="J116" s="231" t="s">
        <v>6321</v>
      </c>
      <c r="K116" s="231" t="s">
        <v>6175</v>
      </c>
      <c r="L116" s="220" t="str">
        <f t="shared" si="23"/>
        <v>9G24</v>
      </c>
      <c r="M116" s="220" t="str">
        <f t="shared" si="24"/>
        <v/>
      </c>
      <c r="N116" s="220" t="str">
        <f t="shared" si="25"/>
        <v/>
      </c>
      <c r="O116" s="220" t="str">
        <f t="shared" si="26"/>
        <v/>
      </c>
      <c r="P116" s="52" t="str">
        <f t="shared" si="27"/>
        <v>9G24</v>
      </c>
      <c r="Q116" s="231" t="str">
        <f t="shared" si="28"/>
        <v>60</v>
      </c>
      <c r="R116" s="224">
        <f t="shared" si="29"/>
        <v>47.666666666666664</v>
      </c>
      <c r="S116" s="52">
        <f t="shared" si="30"/>
        <v>29</v>
      </c>
      <c r="T116" s="221">
        <f t="shared" ca="1" si="31"/>
        <v>1.18</v>
      </c>
      <c r="U116" s="221" t="str">
        <f t="shared" si="32"/>
        <v/>
      </c>
      <c r="V116" s="220" t="str">
        <f t="array" ref="V116">INDEX(P:P,MAX(U$3:U116))</f>
        <v>9G#1DTR(A)</v>
      </c>
      <c r="W116" s="220" t="str">
        <f t="shared" ca="1" si="33"/>
        <v/>
      </c>
      <c r="X116" s="220">
        <f t="shared" si="34"/>
        <v>11.4</v>
      </c>
      <c r="Y116" s="220">
        <f t="shared" si="21"/>
        <v>0</v>
      </c>
      <c r="AA116" s="220" t="str">
        <f t="shared" si="22"/>
        <v>漢寶</v>
      </c>
      <c r="AB116" s="220" t="s">
        <v>1286</v>
      </c>
      <c r="AC116" s="220" t="str">
        <f>LEFT(B116,4)</f>
        <v>9G24</v>
      </c>
      <c r="BB116" s="514" t="s">
        <v>2126</v>
      </c>
      <c r="BC116" s="514">
        <v>667</v>
      </c>
      <c r="BD116" s="514">
        <v>0</v>
      </c>
      <c r="BE116" s="514">
        <v>667</v>
      </c>
      <c r="BG116" s="229" t="s">
        <v>8399</v>
      </c>
      <c r="BH116" s="230" t="s">
        <v>8404</v>
      </c>
      <c r="BI116" t="s">
        <v>1286</v>
      </c>
      <c r="BJ116" t="s">
        <v>2092</v>
      </c>
    </row>
    <row r="117" spans="1:62">
      <c r="A117" s="229" t="s">
        <v>6322</v>
      </c>
      <c r="B117" s="230" t="s">
        <v>6323</v>
      </c>
      <c r="C117" s="230" t="s">
        <v>6324</v>
      </c>
      <c r="D117" s="229" t="s">
        <v>6325</v>
      </c>
      <c r="E117" s="229" t="s">
        <v>6261</v>
      </c>
      <c r="F117" s="229" t="s">
        <v>6325</v>
      </c>
      <c r="G117" s="229" t="s">
        <v>6261</v>
      </c>
      <c r="H117" s="229" t="s">
        <v>6325</v>
      </c>
      <c r="I117" s="229" t="s">
        <v>6261</v>
      </c>
      <c r="J117" s="231" t="s">
        <v>5711</v>
      </c>
      <c r="K117" s="231" t="s">
        <v>6326</v>
      </c>
      <c r="L117" s="220" t="str">
        <f t="shared" si="23"/>
        <v>9G#1DTR(B)</v>
      </c>
      <c r="M117" s="220" t="str">
        <f t="shared" si="24"/>
        <v>(B)</v>
      </c>
      <c r="N117" s="220" t="str">
        <f t="shared" si="25"/>
        <v>9G#1DTR</v>
      </c>
      <c r="O117" s="220" t="str">
        <f t="shared" si="26"/>
        <v>(B)</v>
      </c>
      <c r="P117" s="52" t="str">
        <f t="shared" si="27"/>
        <v>9G#1DTR(B)</v>
      </c>
      <c r="Q117" s="231" t="str">
        <f t="shared" si="28"/>
        <v>102</v>
      </c>
      <c r="R117" s="224">
        <f t="shared" si="29"/>
        <v>99</v>
      </c>
      <c r="S117" s="52">
        <f t="shared" si="30"/>
        <v>93</v>
      </c>
      <c r="T117" s="221">
        <f t="shared" ca="1" si="31"/>
        <v>2.0099999999999998</v>
      </c>
      <c r="U117" s="221">
        <f t="shared" si="32"/>
        <v>117</v>
      </c>
      <c r="V117" s="220" t="str">
        <f t="array" ref="V117">INDEX(P:P,MAX(U$3:U117))</f>
        <v>9G#1DTR(B)</v>
      </c>
      <c r="W117" s="220">
        <f t="shared" ca="1" si="33"/>
        <v>30</v>
      </c>
      <c r="X117" s="220" t="str">
        <f t="shared" si="34"/>
        <v/>
      </c>
      <c r="Y117" s="220">
        <f t="shared" si="21"/>
        <v>0</v>
      </c>
      <c r="AA117" s="220" t="str">
        <f t="shared" si="22"/>
        <v>漢寶</v>
      </c>
      <c r="AB117" s="220" t="s">
        <v>2094</v>
      </c>
      <c r="AC117" s="220" t="s">
        <v>2094</v>
      </c>
      <c r="BB117" s="514" t="s">
        <v>2127</v>
      </c>
      <c r="BC117" s="514">
        <v>2363</v>
      </c>
      <c r="BD117" s="514">
        <v>1</v>
      </c>
      <c r="BE117" s="514">
        <v>2364</v>
      </c>
      <c r="BG117" s="229" t="s">
        <v>8397</v>
      </c>
      <c r="BH117" s="230" t="s">
        <v>8405</v>
      </c>
      <c r="BI117" t="s">
        <v>2094</v>
      </c>
      <c r="BJ117" t="s">
        <v>2094</v>
      </c>
    </row>
    <row r="118" spans="1:62">
      <c r="A118" s="229" t="s">
        <v>6287</v>
      </c>
      <c r="B118" s="230" t="s">
        <v>6327</v>
      </c>
      <c r="C118" s="230" t="s">
        <v>6328</v>
      </c>
      <c r="D118" s="229" t="s">
        <v>6329</v>
      </c>
      <c r="E118" s="229" t="s">
        <v>6330</v>
      </c>
      <c r="F118" s="229" t="s">
        <v>6329</v>
      </c>
      <c r="G118" s="229" t="s">
        <v>6331</v>
      </c>
      <c r="H118" s="229" t="s">
        <v>6332</v>
      </c>
      <c r="I118" s="229" t="s">
        <v>6331</v>
      </c>
      <c r="J118" s="231" t="s">
        <v>6305</v>
      </c>
      <c r="K118" s="231" t="s">
        <v>5616</v>
      </c>
      <c r="L118" s="220" t="str">
        <f t="shared" si="23"/>
        <v>9G25</v>
      </c>
      <c r="M118" s="220" t="str">
        <f t="shared" si="24"/>
        <v/>
      </c>
      <c r="N118" s="220" t="str">
        <f t="shared" si="25"/>
        <v/>
      </c>
      <c r="O118" s="220" t="str">
        <f t="shared" si="26"/>
        <v/>
      </c>
      <c r="P118" s="52" t="str">
        <f t="shared" si="27"/>
        <v>9G25</v>
      </c>
      <c r="Q118" s="231" t="str">
        <f t="shared" si="28"/>
        <v>138</v>
      </c>
      <c r="R118" s="224">
        <f t="shared" si="29"/>
        <v>134</v>
      </c>
      <c r="S118" s="52">
        <f t="shared" si="30"/>
        <v>127</v>
      </c>
      <c r="T118" s="221">
        <f t="shared" ca="1" si="31"/>
        <v>2.72</v>
      </c>
      <c r="U118" s="221" t="str">
        <f t="shared" si="32"/>
        <v/>
      </c>
      <c r="V118" s="220" t="str">
        <f t="array" ref="V118">INDEX(P:P,MAX(U$3:U118))</f>
        <v>9G#1DTR(B)</v>
      </c>
      <c r="W118" s="220" t="str">
        <f t="shared" ca="1" si="33"/>
        <v/>
      </c>
      <c r="X118" s="220">
        <f t="shared" si="34"/>
        <v>11.4</v>
      </c>
      <c r="Y118" s="220">
        <f t="shared" si="21"/>
        <v>0</v>
      </c>
      <c r="AA118" s="220" t="str">
        <f t="shared" si="22"/>
        <v>漢寶</v>
      </c>
      <c r="AB118" s="220" t="s">
        <v>1334</v>
      </c>
      <c r="AC118" s="220" t="str">
        <f>LEFT(B118,4)</f>
        <v>9G25</v>
      </c>
      <c r="BB118" s="514" t="s">
        <v>2129</v>
      </c>
      <c r="BC118" s="514">
        <v>1960</v>
      </c>
      <c r="BD118" s="514">
        <v>2</v>
      </c>
      <c r="BE118" s="514">
        <v>1962</v>
      </c>
      <c r="BG118" s="229" t="s">
        <v>8399</v>
      </c>
      <c r="BH118" s="230" t="s">
        <v>405</v>
      </c>
      <c r="BI118" t="s">
        <v>1334</v>
      </c>
      <c r="BJ118" t="s">
        <v>2094</v>
      </c>
    </row>
    <row r="119" spans="1:62">
      <c r="A119" s="229" t="s">
        <v>6287</v>
      </c>
      <c r="B119" s="230" t="s">
        <v>6333</v>
      </c>
      <c r="C119" s="230" t="s">
        <v>5755</v>
      </c>
      <c r="D119" s="229" t="s">
        <v>6139</v>
      </c>
      <c r="E119" s="229" t="s">
        <v>5755</v>
      </c>
      <c r="F119" s="229" t="s">
        <v>5616</v>
      </c>
      <c r="G119" s="229" t="s">
        <v>5755</v>
      </c>
      <c r="H119" s="229" t="s">
        <v>5616</v>
      </c>
      <c r="I119" s="229" t="s">
        <v>5755</v>
      </c>
      <c r="J119" s="231" t="s">
        <v>5755</v>
      </c>
      <c r="K119" s="231" t="s">
        <v>5628</v>
      </c>
      <c r="L119" s="220" t="str">
        <f t="shared" si="23"/>
        <v>9G26</v>
      </c>
      <c r="M119" s="220" t="str">
        <f t="shared" si="24"/>
        <v/>
      </c>
      <c r="N119" s="220" t="str">
        <f t="shared" si="25"/>
        <v/>
      </c>
      <c r="O119" s="220" t="str">
        <f t="shared" si="26"/>
        <v/>
      </c>
      <c r="P119" s="52" t="str">
        <f t="shared" si="27"/>
        <v>9G26</v>
      </c>
      <c r="Q119" s="231" t="str">
        <f t="shared" si="28"/>
        <v>0</v>
      </c>
      <c r="R119" s="224">
        <f t="shared" si="29"/>
        <v>0</v>
      </c>
      <c r="S119" s="52">
        <f t="shared" si="30"/>
        <v>0</v>
      </c>
      <c r="T119" s="221">
        <f t="shared" ca="1" si="31"/>
        <v>0</v>
      </c>
      <c r="U119" s="221" t="str">
        <f t="shared" si="32"/>
        <v/>
      </c>
      <c r="V119" s="220" t="str">
        <f t="array" ref="V119">INDEX(P:P,MAX(U$3:U119))</f>
        <v>9G#1DTR(B)</v>
      </c>
      <c r="W119" s="220" t="str">
        <f t="shared" ca="1" si="33"/>
        <v/>
      </c>
      <c r="X119" s="220">
        <f t="shared" si="34"/>
        <v>11.4</v>
      </c>
      <c r="Y119" s="220">
        <f t="shared" si="21"/>
        <v>0</v>
      </c>
      <c r="AA119" s="220" t="str">
        <f t="shared" si="22"/>
        <v>漢寶</v>
      </c>
      <c r="AB119" s="220" t="s">
        <v>757</v>
      </c>
      <c r="AC119" s="220" t="str">
        <f>LEFT(B119,4)</f>
        <v>9G26</v>
      </c>
      <c r="BB119" s="514" t="s">
        <v>2130</v>
      </c>
      <c r="BC119" s="514">
        <v>813</v>
      </c>
      <c r="BD119" s="514">
        <v>9</v>
      </c>
      <c r="BE119" s="514">
        <v>822</v>
      </c>
      <c r="BG119" s="229" t="s">
        <v>10</v>
      </c>
      <c r="BH119" s="230" t="s">
        <v>8406</v>
      </c>
      <c r="BI119" t="s">
        <v>757</v>
      </c>
      <c r="BJ119" t="s">
        <v>2094</v>
      </c>
    </row>
    <row r="120" spans="1:62">
      <c r="A120" s="229" t="s">
        <v>6287</v>
      </c>
      <c r="B120" s="230" t="s">
        <v>6334</v>
      </c>
      <c r="C120" s="230" t="s">
        <v>5699</v>
      </c>
      <c r="D120" s="229" t="s">
        <v>5616</v>
      </c>
      <c r="E120" s="229" t="s">
        <v>5755</v>
      </c>
      <c r="F120" s="229" t="s">
        <v>5628</v>
      </c>
      <c r="G120" s="229" t="s">
        <v>5755</v>
      </c>
      <c r="H120" s="229" t="s">
        <v>5616</v>
      </c>
      <c r="I120" s="229" t="s">
        <v>5699</v>
      </c>
      <c r="J120" s="231" t="s">
        <v>5699</v>
      </c>
      <c r="K120" s="231" t="s">
        <v>5616</v>
      </c>
      <c r="L120" s="220" t="str">
        <f t="shared" si="23"/>
        <v>9G27</v>
      </c>
      <c r="M120" s="220" t="str">
        <f t="shared" si="24"/>
        <v/>
      </c>
      <c r="N120" s="220" t="str">
        <f t="shared" si="25"/>
        <v/>
      </c>
      <c r="O120" s="220" t="str">
        <f t="shared" si="26"/>
        <v/>
      </c>
      <c r="P120" s="52" t="str">
        <f t="shared" si="27"/>
        <v>9G27</v>
      </c>
      <c r="Q120" s="231" t="str">
        <f t="shared" si="28"/>
        <v>0</v>
      </c>
      <c r="R120" s="224">
        <f t="shared" si="29"/>
        <v>0</v>
      </c>
      <c r="S120" s="52">
        <f t="shared" si="30"/>
        <v>0</v>
      </c>
      <c r="T120" s="221">
        <f t="shared" ca="1" si="31"/>
        <v>0</v>
      </c>
      <c r="U120" s="221" t="str">
        <f t="shared" si="32"/>
        <v/>
      </c>
      <c r="V120" s="220" t="str">
        <f t="array" ref="V120">INDEX(P:P,MAX(U$3:U120))</f>
        <v>9G#1DTR(B)</v>
      </c>
      <c r="W120" s="220" t="str">
        <f t="shared" ca="1" si="33"/>
        <v/>
      </c>
      <c r="X120" s="220">
        <f t="shared" si="34"/>
        <v>11.4</v>
      </c>
      <c r="Y120" s="220">
        <f t="shared" si="21"/>
        <v>0</v>
      </c>
      <c r="AA120" s="220" t="str">
        <f t="shared" si="22"/>
        <v>漢寶</v>
      </c>
      <c r="AB120" s="220" t="s">
        <v>758</v>
      </c>
      <c r="AC120" s="220" t="str">
        <f>LEFT(B120,4)</f>
        <v>9G27</v>
      </c>
      <c r="BB120" s="514" t="s">
        <v>2131</v>
      </c>
      <c r="BC120" s="514">
        <v>1751</v>
      </c>
      <c r="BD120" s="514">
        <v>3</v>
      </c>
      <c r="BE120" s="514">
        <v>1754</v>
      </c>
      <c r="BG120" s="229" t="s">
        <v>10</v>
      </c>
      <c r="BH120" s="230" t="s">
        <v>8407</v>
      </c>
      <c r="BI120" t="s">
        <v>758</v>
      </c>
      <c r="BJ120" t="s">
        <v>2094</v>
      </c>
    </row>
    <row r="121" spans="1:62">
      <c r="A121" s="229" t="s">
        <v>6287</v>
      </c>
      <c r="B121" s="230" t="s">
        <v>6335</v>
      </c>
      <c r="C121" s="230" t="s">
        <v>5755</v>
      </c>
      <c r="D121" s="229" t="s">
        <v>5616</v>
      </c>
      <c r="E121" s="229" t="s">
        <v>5699</v>
      </c>
      <c r="F121" s="229" t="s">
        <v>6139</v>
      </c>
      <c r="G121" s="229" t="s">
        <v>5755</v>
      </c>
      <c r="H121" s="229" t="s">
        <v>5616</v>
      </c>
      <c r="I121" s="229" t="s">
        <v>5755</v>
      </c>
      <c r="J121" s="231" t="s">
        <v>5755</v>
      </c>
      <c r="K121" s="231" t="s">
        <v>5628</v>
      </c>
      <c r="L121" s="220" t="str">
        <f t="shared" si="23"/>
        <v>9G28</v>
      </c>
      <c r="M121" s="220" t="str">
        <f t="shared" si="24"/>
        <v/>
      </c>
      <c r="N121" s="220" t="str">
        <f t="shared" si="25"/>
        <v/>
      </c>
      <c r="O121" s="220" t="str">
        <f t="shared" si="26"/>
        <v/>
      </c>
      <c r="P121" s="52" t="str">
        <f t="shared" si="27"/>
        <v>9G28</v>
      </c>
      <c r="Q121" s="231" t="str">
        <f t="shared" si="28"/>
        <v>0</v>
      </c>
      <c r="R121" s="224">
        <f t="shared" si="29"/>
        <v>0</v>
      </c>
      <c r="S121" s="52">
        <f t="shared" si="30"/>
        <v>0</v>
      </c>
      <c r="T121" s="221">
        <f t="shared" ca="1" si="31"/>
        <v>0</v>
      </c>
      <c r="U121" s="221" t="str">
        <f t="shared" si="32"/>
        <v/>
      </c>
      <c r="V121" s="220" t="str">
        <f t="array" ref="V121">INDEX(P:P,MAX(U$3:U121))</f>
        <v>9G#1DTR(B)</v>
      </c>
      <c r="W121" s="220" t="str">
        <f t="shared" ca="1" si="33"/>
        <v/>
      </c>
      <c r="X121" s="220">
        <f t="shared" si="34"/>
        <v>11.4</v>
      </c>
      <c r="Y121" s="220">
        <f t="shared" si="21"/>
        <v>0</v>
      </c>
      <c r="AA121" s="220" t="str">
        <f t="shared" si="22"/>
        <v>漢寶</v>
      </c>
      <c r="AB121" s="220" t="s">
        <v>759</v>
      </c>
      <c r="AC121" s="220" t="str">
        <f>LEFT(B121,4)</f>
        <v>9G28</v>
      </c>
      <c r="BB121" s="514" t="s">
        <v>2132</v>
      </c>
      <c r="BC121" s="514">
        <v>1129</v>
      </c>
      <c r="BD121" s="514">
        <v>4</v>
      </c>
      <c r="BE121" s="514">
        <v>1133</v>
      </c>
      <c r="BG121" s="229" t="s">
        <v>8399</v>
      </c>
      <c r="BH121" s="230" t="s">
        <v>8408</v>
      </c>
      <c r="BI121" t="s">
        <v>759</v>
      </c>
      <c r="BJ121" t="s">
        <v>2094</v>
      </c>
    </row>
    <row r="122" spans="1:62">
      <c r="A122" s="229" t="s">
        <v>6336</v>
      </c>
      <c r="B122" s="230" t="s">
        <v>6337</v>
      </c>
      <c r="C122" s="230" t="s">
        <v>5699</v>
      </c>
      <c r="D122" s="229" t="s">
        <v>5628</v>
      </c>
      <c r="E122" s="229" t="s">
        <v>5755</v>
      </c>
      <c r="F122" s="229" t="s">
        <v>5628</v>
      </c>
      <c r="G122" s="229" t="s">
        <v>5755</v>
      </c>
      <c r="H122" s="229" t="s">
        <v>5628</v>
      </c>
      <c r="I122" s="229" t="s">
        <v>5699</v>
      </c>
      <c r="J122" s="231" t="s">
        <v>5699</v>
      </c>
      <c r="K122" s="231" t="s">
        <v>5628</v>
      </c>
      <c r="L122" s="220" t="str">
        <f t="shared" si="23"/>
        <v>9G29</v>
      </c>
      <c r="M122" s="220" t="str">
        <f t="shared" si="24"/>
        <v/>
      </c>
      <c r="N122" s="220" t="str">
        <f t="shared" si="25"/>
        <v/>
      </c>
      <c r="O122" s="220" t="str">
        <f t="shared" si="26"/>
        <v/>
      </c>
      <c r="P122" s="52" t="str">
        <f t="shared" si="27"/>
        <v>9G29</v>
      </c>
      <c r="Q122" s="231" t="str">
        <f t="shared" si="28"/>
        <v>0</v>
      </c>
      <c r="R122" s="224">
        <f t="shared" si="29"/>
        <v>0</v>
      </c>
      <c r="S122" s="52">
        <f t="shared" si="30"/>
        <v>0</v>
      </c>
      <c r="T122" s="221">
        <f t="shared" ca="1" si="31"/>
        <v>0</v>
      </c>
      <c r="U122" s="221" t="str">
        <f t="shared" si="32"/>
        <v/>
      </c>
      <c r="V122" s="220" t="str">
        <f t="array" ref="V122">INDEX(P:P,MAX(U$3:U122))</f>
        <v>9G#1DTR(B)</v>
      </c>
      <c r="W122" s="220" t="str">
        <f t="shared" ca="1" si="33"/>
        <v/>
      </c>
      <c r="X122" s="220">
        <f t="shared" si="34"/>
        <v>11.4</v>
      </c>
      <c r="Y122" s="220">
        <f t="shared" si="21"/>
        <v>0</v>
      </c>
      <c r="AA122" s="220" t="str">
        <f t="shared" si="22"/>
        <v>漢寶</v>
      </c>
      <c r="AB122" s="220" t="s">
        <v>760</v>
      </c>
      <c r="AC122" s="220" t="str">
        <f>LEFT(B122,4)</f>
        <v>9G29</v>
      </c>
      <c r="BB122" s="514" t="s">
        <v>3222</v>
      </c>
      <c r="BC122" s="514" t="s">
        <v>85</v>
      </c>
      <c r="BD122" s="514" t="s">
        <v>85</v>
      </c>
      <c r="BE122" s="514">
        <v>0</v>
      </c>
      <c r="BG122" s="229" t="s">
        <v>8397</v>
      </c>
      <c r="BH122" s="230" t="s">
        <v>8409</v>
      </c>
      <c r="BI122" t="s">
        <v>760</v>
      </c>
      <c r="BJ122" t="s">
        <v>2094</v>
      </c>
    </row>
    <row r="123" spans="1:62">
      <c r="A123" s="229" t="s">
        <v>6287</v>
      </c>
      <c r="B123" s="230" t="s">
        <v>6338</v>
      </c>
      <c r="C123" s="230" t="s">
        <v>6339</v>
      </c>
      <c r="D123" s="229" t="s">
        <v>5616</v>
      </c>
      <c r="E123" s="229" t="s">
        <v>6340</v>
      </c>
      <c r="F123" s="229" t="s">
        <v>5616</v>
      </c>
      <c r="G123" s="229" t="s">
        <v>6341</v>
      </c>
      <c r="H123" s="229" t="s">
        <v>5616</v>
      </c>
      <c r="I123" s="229" t="s">
        <v>6341</v>
      </c>
      <c r="J123" s="231" t="s">
        <v>5614</v>
      </c>
      <c r="K123" s="231" t="s">
        <v>5628</v>
      </c>
      <c r="L123" s="220" t="str">
        <f t="shared" si="23"/>
        <v>9GE8</v>
      </c>
      <c r="M123" s="220" t="str">
        <f t="shared" si="24"/>
        <v/>
      </c>
      <c r="N123" s="220" t="str">
        <f t="shared" si="25"/>
        <v/>
      </c>
      <c r="O123" s="220" t="str">
        <f t="shared" si="26"/>
        <v/>
      </c>
      <c r="P123" s="52" t="str">
        <f t="shared" si="27"/>
        <v>9GE8</v>
      </c>
      <c r="Q123" s="231" t="str">
        <f t="shared" si="28"/>
        <v>120</v>
      </c>
      <c r="R123" s="224">
        <f t="shared" si="29"/>
        <v>117.66666666666667</v>
      </c>
      <c r="S123" s="52">
        <f t="shared" si="30"/>
        <v>116</v>
      </c>
      <c r="T123" s="221" t="e">
        <f t="shared" ca="1" si="31"/>
        <v>#VALUE!</v>
      </c>
      <c r="U123" s="221" t="str">
        <f t="shared" si="32"/>
        <v/>
      </c>
      <c r="V123" s="220" t="str">
        <f t="array" ref="V123">INDEX(P:P,MAX(U$3:U123))</f>
        <v>9G#1DTR(B)</v>
      </c>
      <c r="W123" s="220" t="str">
        <f t="shared" ca="1" si="33"/>
        <v/>
      </c>
      <c r="X123" s="220" t="e">
        <f t="shared" si="34"/>
        <v>#VALUE!</v>
      </c>
      <c r="Y123" s="220">
        <f t="shared" si="21"/>
        <v>0</v>
      </c>
      <c r="AA123" s="220" t="str">
        <f t="shared" si="22"/>
        <v>漢寶</v>
      </c>
      <c r="AB123" s="220" t="s">
        <v>2095</v>
      </c>
      <c r="AC123" s="220" t="s">
        <v>2095</v>
      </c>
      <c r="BB123" s="514" t="s">
        <v>2134</v>
      </c>
      <c r="BC123" s="514">
        <v>1861</v>
      </c>
      <c r="BD123" s="514">
        <v>1</v>
      </c>
      <c r="BE123" s="514">
        <v>1862</v>
      </c>
      <c r="BG123" s="229" t="s">
        <v>8399</v>
      </c>
      <c r="BH123" s="230" t="s">
        <v>406</v>
      </c>
      <c r="BI123" t="s">
        <v>2095</v>
      </c>
      <c r="BJ123" t="s">
        <v>2094</v>
      </c>
    </row>
    <row r="124" spans="1:62">
      <c r="A124" s="229" t="s">
        <v>6322</v>
      </c>
      <c r="B124" s="230" t="s">
        <v>6342</v>
      </c>
      <c r="C124" s="230" t="s">
        <v>6343</v>
      </c>
      <c r="D124" s="229" t="s">
        <v>6344</v>
      </c>
      <c r="E124" s="229" t="s">
        <v>6345</v>
      </c>
      <c r="F124" s="229" t="s">
        <v>6344</v>
      </c>
      <c r="G124" s="229" t="s">
        <v>6346</v>
      </c>
      <c r="H124" s="229" t="s">
        <v>6344</v>
      </c>
      <c r="I124" s="229" t="s">
        <v>6346</v>
      </c>
      <c r="J124" s="231" t="s">
        <v>5711</v>
      </c>
      <c r="K124" s="231" t="s">
        <v>5711</v>
      </c>
      <c r="L124" s="220" t="str">
        <f t="shared" si="23"/>
        <v>9G#2DTR(A)</v>
      </c>
      <c r="M124" s="220" t="str">
        <f t="shared" si="24"/>
        <v>(A)</v>
      </c>
      <c r="N124" s="220" t="str">
        <f t="shared" si="25"/>
        <v>9G#2DTR</v>
      </c>
      <c r="O124" s="220" t="str">
        <f t="shared" si="26"/>
        <v>(A)</v>
      </c>
      <c r="P124" s="52" t="str">
        <f t="shared" si="27"/>
        <v>9G#2DTR(A)</v>
      </c>
      <c r="Q124" s="231" t="str">
        <f t="shared" si="28"/>
        <v>1038</v>
      </c>
      <c r="R124" s="224">
        <f t="shared" si="29"/>
        <v>995.33333333333337</v>
      </c>
      <c r="S124" s="52">
        <f t="shared" si="30"/>
        <v>935</v>
      </c>
      <c r="T124" s="221">
        <f t="shared" ca="1" si="31"/>
        <v>20.5</v>
      </c>
      <c r="U124" s="221">
        <f t="shared" si="32"/>
        <v>124</v>
      </c>
      <c r="V124" s="220" t="str">
        <f t="array" ref="V124">INDEX(P:P,MAX(U$3:U124))</f>
        <v>9G#2DTR(A)</v>
      </c>
      <c r="W124" s="220">
        <f t="shared" ca="1" si="33"/>
        <v>30</v>
      </c>
      <c r="X124" s="220" t="str">
        <f t="shared" si="34"/>
        <v/>
      </c>
      <c r="Y124" s="220">
        <f t="shared" si="21"/>
        <v>0</v>
      </c>
      <c r="AA124" s="220" t="str">
        <f t="shared" si="22"/>
        <v>漢寶</v>
      </c>
      <c r="AB124" s="220" t="s">
        <v>2096</v>
      </c>
      <c r="AC124" s="220" t="s">
        <v>2096</v>
      </c>
      <c r="BB124" s="514" t="s">
        <v>1214</v>
      </c>
      <c r="BC124" s="514">
        <v>2285</v>
      </c>
      <c r="BD124" s="514">
        <v>7</v>
      </c>
      <c r="BE124" s="514">
        <v>2292</v>
      </c>
      <c r="BG124" s="229" t="s">
        <v>8399</v>
      </c>
      <c r="BH124" s="230" t="s">
        <v>8410</v>
      </c>
      <c r="BI124" t="s">
        <v>2096</v>
      </c>
      <c r="BJ124" t="s">
        <v>2096</v>
      </c>
    </row>
    <row r="125" spans="1:62">
      <c r="A125" s="229" t="s">
        <v>6287</v>
      </c>
      <c r="B125" s="230" t="s">
        <v>6347</v>
      </c>
      <c r="C125" s="230" t="s">
        <v>6348</v>
      </c>
      <c r="D125" s="229" t="s">
        <v>6225</v>
      </c>
      <c r="E125" s="229" t="s">
        <v>6261</v>
      </c>
      <c r="F125" s="229" t="s">
        <v>6225</v>
      </c>
      <c r="G125" s="229" t="s">
        <v>6052</v>
      </c>
      <c r="H125" s="229" t="s">
        <v>6225</v>
      </c>
      <c r="I125" s="229" t="s">
        <v>6348</v>
      </c>
      <c r="J125" s="231" t="s">
        <v>6134</v>
      </c>
      <c r="K125" s="231" t="s">
        <v>6149</v>
      </c>
      <c r="L125" s="220" t="str">
        <f t="shared" si="23"/>
        <v>9G30</v>
      </c>
      <c r="M125" s="220" t="str">
        <f t="shared" si="24"/>
        <v/>
      </c>
      <c r="N125" s="220" t="str">
        <f t="shared" si="25"/>
        <v/>
      </c>
      <c r="O125" s="220" t="str">
        <f t="shared" si="26"/>
        <v/>
      </c>
      <c r="P125" s="52" t="str">
        <f t="shared" si="27"/>
        <v>9G30</v>
      </c>
      <c r="Q125" s="231" t="str">
        <f t="shared" si="28"/>
        <v>126</v>
      </c>
      <c r="R125" s="224">
        <f t="shared" si="29"/>
        <v>109</v>
      </c>
      <c r="S125" s="52">
        <f t="shared" si="30"/>
        <v>99</v>
      </c>
      <c r="T125" s="221">
        <f t="shared" ca="1" si="31"/>
        <v>2.4900000000000002</v>
      </c>
      <c r="U125" s="221" t="str">
        <f t="shared" si="32"/>
        <v/>
      </c>
      <c r="V125" s="220" t="str">
        <f t="array" ref="V125">INDEX(P:P,MAX(U$3:U125))</f>
        <v>9G#2DTR(A)</v>
      </c>
      <c r="W125" s="220" t="str">
        <f t="shared" ca="1" si="33"/>
        <v/>
      </c>
      <c r="X125" s="220">
        <f t="shared" si="34"/>
        <v>11.4</v>
      </c>
      <c r="Y125" s="220">
        <f t="shared" si="21"/>
        <v>0</v>
      </c>
      <c r="AA125" s="220" t="str">
        <f t="shared" si="22"/>
        <v>漢寶</v>
      </c>
      <c r="AB125" s="220" t="s">
        <v>1454</v>
      </c>
      <c r="AC125" s="220" t="str">
        <f>LEFT(B125,4)</f>
        <v>9G30</v>
      </c>
      <c r="BB125" s="514" t="s">
        <v>1232</v>
      </c>
      <c r="BC125" s="514">
        <v>2746</v>
      </c>
      <c r="BD125" s="514">
        <v>6</v>
      </c>
      <c r="BE125" s="514">
        <v>2752</v>
      </c>
      <c r="BG125" s="229" t="s">
        <v>8399</v>
      </c>
      <c r="BH125" s="230" t="s">
        <v>8411</v>
      </c>
      <c r="BI125" t="s">
        <v>1454</v>
      </c>
      <c r="BJ125" t="s">
        <v>2096</v>
      </c>
    </row>
    <row r="126" spans="1:62">
      <c r="A126" s="229" t="s">
        <v>6287</v>
      </c>
      <c r="B126" s="230" t="s">
        <v>6349</v>
      </c>
      <c r="C126" s="230" t="s">
        <v>6350</v>
      </c>
      <c r="D126" s="229" t="s">
        <v>6246</v>
      </c>
      <c r="E126" s="229" t="s">
        <v>6351</v>
      </c>
      <c r="F126" s="229" t="s">
        <v>6175</v>
      </c>
      <c r="G126" s="229" t="s">
        <v>6352</v>
      </c>
      <c r="H126" s="229" t="s">
        <v>6114</v>
      </c>
      <c r="I126" s="229" t="s">
        <v>6351</v>
      </c>
      <c r="J126" s="231" t="s">
        <v>6350</v>
      </c>
      <c r="K126" s="231" t="s">
        <v>5775</v>
      </c>
      <c r="L126" s="220" t="str">
        <f t="shared" si="23"/>
        <v>9G31</v>
      </c>
      <c r="M126" s="220" t="str">
        <f t="shared" si="24"/>
        <v/>
      </c>
      <c r="N126" s="220" t="str">
        <f t="shared" si="25"/>
        <v/>
      </c>
      <c r="O126" s="220" t="str">
        <f t="shared" si="26"/>
        <v/>
      </c>
      <c r="P126" s="52" t="str">
        <f t="shared" si="27"/>
        <v>9G31</v>
      </c>
      <c r="Q126" s="231" t="str">
        <f t="shared" si="28"/>
        <v>41</v>
      </c>
      <c r="R126" s="224">
        <f t="shared" si="29"/>
        <v>36</v>
      </c>
      <c r="S126" s="52">
        <f t="shared" si="30"/>
        <v>28</v>
      </c>
      <c r="T126" s="221">
        <f t="shared" ca="1" si="31"/>
        <v>0.81</v>
      </c>
      <c r="U126" s="221" t="str">
        <f t="shared" si="32"/>
        <v/>
      </c>
      <c r="V126" s="220" t="str">
        <f t="array" ref="V126">INDEX(P:P,MAX(U$3:U126))</f>
        <v>9G#2DTR(A)</v>
      </c>
      <c r="W126" s="220" t="str">
        <f t="shared" ca="1" si="33"/>
        <v/>
      </c>
      <c r="X126" s="220">
        <f t="shared" si="34"/>
        <v>11.4</v>
      </c>
      <c r="Y126" s="220">
        <f t="shared" si="21"/>
        <v>0</v>
      </c>
      <c r="AA126" s="220" t="str">
        <f t="shared" si="22"/>
        <v>漢寶</v>
      </c>
      <c r="AB126" s="220" t="s">
        <v>1490</v>
      </c>
      <c r="AC126" s="220" t="str">
        <f>LEFT(B126,4)</f>
        <v>9G31</v>
      </c>
      <c r="BB126" s="514" t="s">
        <v>1269</v>
      </c>
      <c r="BC126" s="514">
        <v>414</v>
      </c>
      <c r="BD126" s="514" t="s">
        <v>85</v>
      </c>
      <c r="BE126" s="514">
        <v>414</v>
      </c>
      <c r="BG126" s="229" t="s">
        <v>8399</v>
      </c>
      <c r="BH126" s="230" t="s">
        <v>8412</v>
      </c>
      <c r="BI126" t="s">
        <v>1490</v>
      </c>
      <c r="BJ126" t="s">
        <v>2096</v>
      </c>
    </row>
    <row r="127" spans="1:62">
      <c r="A127" s="229" t="s">
        <v>6287</v>
      </c>
      <c r="B127" s="230" t="s">
        <v>6353</v>
      </c>
      <c r="C127" s="230" t="s">
        <v>6354</v>
      </c>
      <c r="D127" s="229" t="s">
        <v>6175</v>
      </c>
      <c r="E127" s="229" t="s">
        <v>6355</v>
      </c>
      <c r="F127" s="229" t="s">
        <v>6175</v>
      </c>
      <c r="G127" s="229" t="s">
        <v>6331</v>
      </c>
      <c r="H127" s="229" t="s">
        <v>6175</v>
      </c>
      <c r="I127" s="229" t="s">
        <v>6331</v>
      </c>
      <c r="J127" s="231" t="s">
        <v>6255</v>
      </c>
      <c r="K127" s="231" t="s">
        <v>5792</v>
      </c>
      <c r="L127" s="220" t="str">
        <f t="shared" si="23"/>
        <v>9G32</v>
      </c>
      <c r="M127" s="220" t="str">
        <f t="shared" si="24"/>
        <v/>
      </c>
      <c r="N127" s="220" t="str">
        <f t="shared" si="25"/>
        <v/>
      </c>
      <c r="O127" s="220" t="str">
        <f t="shared" si="26"/>
        <v/>
      </c>
      <c r="P127" s="52" t="str">
        <f t="shared" si="27"/>
        <v>9G32</v>
      </c>
      <c r="Q127" s="231" t="str">
        <f t="shared" si="28"/>
        <v>138</v>
      </c>
      <c r="R127" s="224">
        <f t="shared" si="29"/>
        <v>121</v>
      </c>
      <c r="S127" s="52">
        <f t="shared" si="30"/>
        <v>112</v>
      </c>
      <c r="T127" s="221">
        <f t="shared" ca="1" si="31"/>
        <v>2.72</v>
      </c>
      <c r="U127" s="221" t="str">
        <f t="shared" si="32"/>
        <v/>
      </c>
      <c r="V127" s="220" t="str">
        <f t="array" ref="V127">INDEX(P:P,MAX(U$3:U127))</f>
        <v>9G#2DTR(A)</v>
      </c>
      <c r="W127" s="220" t="str">
        <f t="shared" ca="1" si="33"/>
        <v/>
      </c>
      <c r="X127" s="220">
        <f t="shared" si="34"/>
        <v>11.4</v>
      </c>
      <c r="Y127" s="220">
        <f t="shared" si="21"/>
        <v>0</v>
      </c>
      <c r="AA127" s="220" t="str">
        <f t="shared" si="22"/>
        <v>漢寶</v>
      </c>
      <c r="AB127" s="220" t="s">
        <v>1505</v>
      </c>
      <c r="AC127" s="220" t="str">
        <f>LEFT(B127,4)</f>
        <v>9G32</v>
      </c>
      <c r="BB127" s="514" t="s">
        <v>1288</v>
      </c>
      <c r="BC127" s="514">
        <v>1340</v>
      </c>
      <c r="BD127" s="514">
        <v>1</v>
      </c>
      <c r="BE127" s="514">
        <v>1341</v>
      </c>
      <c r="BG127" s="229" t="s">
        <v>8397</v>
      </c>
      <c r="BH127" s="230" t="s">
        <v>8413</v>
      </c>
      <c r="BI127" t="s">
        <v>1505</v>
      </c>
      <c r="BJ127" t="s">
        <v>2096</v>
      </c>
    </row>
    <row r="128" spans="1:62">
      <c r="A128" s="229" t="s">
        <v>6356</v>
      </c>
      <c r="B128" s="230" t="s">
        <v>6357</v>
      </c>
      <c r="C128" s="230" t="s">
        <v>6358</v>
      </c>
      <c r="D128" s="229" t="s">
        <v>6246</v>
      </c>
      <c r="E128" s="229" t="s">
        <v>6359</v>
      </c>
      <c r="F128" s="229" t="s">
        <v>6360</v>
      </c>
      <c r="G128" s="229" t="s">
        <v>6361</v>
      </c>
      <c r="H128" s="229" t="s">
        <v>6360</v>
      </c>
      <c r="I128" s="229" t="s">
        <v>6362</v>
      </c>
      <c r="J128" s="231" t="s">
        <v>6363</v>
      </c>
      <c r="K128" s="231" t="s">
        <v>5792</v>
      </c>
      <c r="L128" s="220" t="str">
        <f t="shared" si="23"/>
        <v>9G33</v>
      </c>
      <c r="M128" s="220" t="str">
        <f t="shared" si="24"/>
        <v/>
      </c>
      <c r="N128" s="220" t="str">
        <f t="shared" si="25"/>
        <v/>
      </c>
      <c r="O128" s="220" t="str">
        <f t="shared" si="26"/>
        <v/>
      </c>
      <c r="P128" s="52" t="str">
        <f t="shared" si="27"/>
        <v>9G33</v>
      </c>
      <c r="Q128" s="231" t="str">
        <f t="shared" si="28"/>
        <v>112</v>
      </c>
      <c r="R128" s="224">
        <f t="shared" si="29"/>
        <v>108</v>
      </c>
      <c r="S128" s="52">
        <f t="shared" si="30"/>
        <v>105</v>
      </c>
      <c r="T128" s="221">
        <f t="shared" ca="1" si="31"/>
        <v>2.21</v>
      </c>
      <c r="U128" s="221" t="str">
        <f t="shared" si="32"/>
        <v/>
      </c>
      <c r="V128" s="220" t="str">
        <f t="array" ref="V128">INDEX(P:P,MAX(U$3:U128))</f>
        <v>9G#2DTR(A)</v>
      </c>
      <c r="W128" s="220" t="str">
        <f t="shared" ca="1" si="33"/>
        <v/>
      </c>
      <c r="X128" s="220">
        <f t="shared" si="34"/>
        <v>11.4</v>
      </c>
      <c r="Y128" s="220">
        <f t="shared" si="21"/>
        <v>0</v>
      </c>
      <c r="AA128" s="220" t="str">
        <f t="shared" si="22"/>
        <v>漢寶</v>
      </c>
      <c r="AB128" s="220" t="s">
        <v>1539</v>
      </c>
      <c r="AC128" s="220" t="str">
        <f>LEFT(B128,4)</f>
        <v>9G33</v>
      </c>
      <c r="BB128" s="514" t="s">
        <v>1323</v>
      </c>
      <c r="BC128" s="514">
        <v>2750</v>
      </c>
      <c r="BD128" s="514">
        <v>1</v>
      </c>
      <c r="BE128" s="514">
        <v>2751</v>
      </c>
      <c r="BG128" s="229" t="s">
        <v>8399</v>
      </c>
      <c r="BH128" s="230" t="s">
        <v>8414</v>
      </c>
      <c r="BI128" t="s">
        <v>1539</v>
      </c>
      <c r="BJ128" t="s">
        <v>2096</v>
      </c>
    </row>
    <row r="129" spans="1:62">
      <c r="A129" s="229" t="s">
        <v>6287</v>
      </c>
      <c r="B129" s="230" t="s">
        <v>6364</v>
      </c>
      <c r="C129" s="230" t="s">
        <v>6365</v>
      </c>
      <c r="D129" s="229" t="s">
        <v>6360</v>
      </c>
      <c r="E129" s="229" t="s">
        <v>6366</v>
      </c>
      <c r="F129" s="229" t="s">
        <v>6114</v>
      </c>
      <c r="G129" s="229" t="s">
        <v>6367</v>
      </c>
      <c r="H129" s="229" t="s">
        <v>5766</v>
      </c>
      <c r="I129" s="229" t="s">
        <v>6368</v>
      </c>
      <c r="J129" s="231" t="s">
        <v>6369</v>
      </c>
      <c r="K129" s="231" t="s">
        <v>6114</v>
      </c>
      <c r="L129" s="220" t="str">
        <f t="shared" si="23"/>
        <v>9G34</v>
      </c>
      <c r="M129" s="220" t="str">
        <f t="shared" si="24"/>
        <v/>
      </c>
      <c r="N129" s="220" t="str">
        <f t="shared" si="25"/>
        <v/>
      </c>
      <c r="O129" s="220" t="str">
        <f t="shared" si="26"/>
        <v/>
      </c>
      <c r="P129" s="52" t="str">
        <f t="shared" si="27"/>
        <v>9G34</v>
      </c>
      <c r="Q129" s="231" t="str">
        <f t="shared" si="28"/>
        <v>219</v>
      </c>
      <c r="R129" s="224">
        <f t="shared" si="29"/>
        <v>194</v>
      </c>
      <c r="S129" s="52">
        <f t="shared" si="30"/>
        <v>170</v>
      </c>
      <c r="T129" s="221">
        <f t="shared" ca="1" si="31"/>
        <v>4.32</v>
      </c>
      <c r="U129" s="221" t="str">
        <f t="shared" si="32"/>
        <v/>
      </c>
      <c r="V129" s="220" t="str">
        <f t="array" ref="V129">INDEX(P:P,MAX(U$3:U129))</f>
        <v>9G#2DTR(A)</v>
      </c>
      <c r="W129" s="220" t="str">
        <f t="shared" ca="1" si="33"/>
        <v/>
      </c>
      <c r="X129" s="220">
        <f t="shared" si="34"/>
        <v>11.4</v>
      </c>
      <c r="Y129" s="220">
        <f t="shared" si="21"/>
        <v>0</v>
      </c>
      <c r="AA129" s="220" t="str">
        <f t="shared" si="22"/>
        <v>漢寶</v>
      </c>
      <c r="AB129" s="220" t="s">
        <v>1553</v>
      </c>
      <c r="AC129" s="220" t="str">
        <f>LEFT(B129,4)</f>
        <v>9G34</v>
      </c>
      <c r="BB129" s="514" t="s">
        <v>1456</v>
      </c>
      <c r="BC129" s="514">
        <v>18</v>
      </c>
      <c r="BD129" s="514">
        <v>1</v>
      </c>
      <c r="BE129" s="514">
        <v>19</v>
      </c>
      <c r="BG129" s="229" t="s">
        <v>10</v>
      </c>
      <c r="BH129" s="230" t="s">
        <v>8415</v>
      </c>
      <c r="BI129" t="s">
        <v>1553</v>
      </c>
      <c r="BJ129" t="s">
        <v>2096</v>
      </c>
    </row>
    <row r="130" spans="1:62">
      <c r="A130" s="229" t="s">
        <v>6370</v>
      </c>
      <c r="B130" s="230" t="s">
        <v>6371</v>
      </c>
      <c r="C130" s="230" t="s">
        <v>6372</v>
      </c>
      <c r="D130" s="229" t="s">
        <v>5766</v>
      </c>
      <c r="E130" s="229" t="s">
        <v>6373</v>
      </c>
      <c r="F130" s="229" t="s">
        <v>6374</v>
      </c>
      <c r="G130" s="229" t="s">
        <v>6375</v>
      </c>
      <c r="H130" s="229" t="s">
        <v>6374</v>
      </c>
      <c r="I130" s="229" t="s">
        <v>6376</v>
      </c>
      <c r="J130" s="231" t="s">
        <v>5711</v>
      </c>
      <c r="K130" s="231" t="s">
        <v>5674</v>
      </c>
      <c r="L130" s="220" t="str">
        <f t="shared" si="23"/>
        <v>9G#2DTR(B)</v>
      </c>
      <c r="M130" s="220" t="str">
        <f t="shared" si="24"/>
        <v>(B)</v>
      </c>
      <c r="N130" s="220" t="str">
        <f t="shared" si="25"/>
        <v>9G#2DTR</v>
      </c>
      <c r="O130" s="220" t="str">
        <f t="shared" si="26"/>
        <v>(B)</v>
      </c>
      <c r="P130" s="52" t="str">
        <f t="shared" si="27"/>
        <v>9G#2DTR(B)</v>
      </c>
      <c r="Q130" s="231" t="str">
        <f t="shared" si="28"/>
        <v>831</v>
      </c>
      <c r="R130" s="224">
        <f t="shared" si="29"/>
        <v>823.33333333333337</v>
      </c>
      <c r="S130" s="52">
        <f t="shared" si="30"/>
        <v>815</v>
      </c>
      <c r="T130" s="221">
        <f t="shared" ca="1" si="31"/>
        <v>16.41</v>
      </c>
      <c r="U130" s="221">
        <f t="shared" si="32"/>
        <v>130</v>
      </c>
      <c r="V130" s="220" t="str">
        <f t="array" ref="V130">INDEX(P:P,MAX(U$3:U130))</f>
        <v>9G#2DTR(B)</v>
      </c>
      <c r="W130" s="220">
        <f t="shared" ca="1" si="33"/>
        <v>30</v>
      </c>
      <c r="X130" s="220" t="str">
        <f t="shared" si="34"/>
        <v/>
      </c>
      <c r="Y130" s="220">
        <f t="shared" si="21"/>
        <v>0</v>
      </c>
      <c r="AA130" s="220" t="str">
        <f t="shared" si="22"/>
        <v>漢寶</v>
      </c>
      <c r="AB130" s="220" t="s">
        <v>2097</v>
      </c>
      <c r="AC130" s="220" t="s">
        <v>2097</v>
      </c>
      <c r="BB130" s="514" t="s">
        <v>1492</v>
      </c>
      <c r="BC130" s="514">
        <v>1603</v>
      </c>
      <c r="BD130" s="514">
        <v>0</v>
      </c>
      <c r="BE130" s="514">
        <v>1603</v>
      </c>
      <c r="BG130" s="229" t="s">
        <v>10</v>
      </c>
      <c r="BH130" s="230" t="s">
        <v>388</v>
      </c>
      <c r="BI130" t="s">
        <v>2097</v>
      </c>
      <c r="BJ130" t="s">
        <v>2097</v>
      </c>
    </row>
    <row r="131" spans="1:62">
      <c r="A131" s="229" t="s">
        <v>6287</v>
      </c>
      <c r="B131" s="230" t="s">
        <v>6377</v>
      </c>
      <c r="C131" s="230" t="s">
        <v>6378</v>
      </c>
      <c r="D131" s="229" t="s">
        <v>6175</v>
      </c>
      <c r="E131" s="229" t="s">
        <v>6379</v>
      </c>
      <c r="F131" s="229" t="s">
        <v>6380</v>
      </c>
      <c r="G131" s="229" t="s">
        <v>6381</v>
      </c>
      <c r="H131" s="229" t="s">
        <v>5580</v>
      </c>
      <c r="I131" s="229" t="s">
        <v>6378</v>
      </c>
      <c r="J131" s="231" t="s">
        <v>6382</v>
      </c>
      <c r="K131" s="231" t="s">
        <v>6175</v>
      </c>
      <c r="L131" s="220" t="str">
        <f t="shared" si="23"/>
        <v>9G35</v>
      </c>
      <c r="M131" s="220" t="str">
        <f t="shared" si="24"/>
        <v/>
      </c>
      <c r="N131" s="220" t="str">
        <f t="shared" si="25"/>
        <v/>
      </c>
      <c r="O131" s="220" t="str">
        <f t="shared" si="26"/>
        <v/>
      </c>
      <c r="P131" s="52" t="str">
        <f t="shared" si="27"/>
        <v>9G35</v>
      </c>
      <c r="Q131" s="231" t="str">
        <f t="shared" si="28"/>
        <v>247</v>
      </c>
      <c r="R131" s="224">
        <f t="shared" si="29"/>
        <v>230</v>
      </c>
      <c r="S131" s="52">
        <f t="shared" si="30"/>
        <v>206</v>
      </c>
      <c r="T131" s="221">
        <f t="shared" ca="1" si="31"/>
        <v>4.88</v>
      </c>
      <c r="U131" s="221" t="str">
        <f t="shared" si="32"/>
        <v/>
      </c>
      <c r="V131" s="220" t="str">
        <f t="array" ref="V131">INDEX(P:P,MAX(U$3:U131))</f>
        <v>9G#2DTR(B)</v>
      </c>
      <c r="W131" s="220" t="str">
        <f t="shared" ca="1" si="33"/>
        <v/>
      </c>
      <c r="X131" s="220">
        <f t="shared" si="34"/>
        <v>11.4</v>
      </c>
      <c r="Y131" s="220">
        <f t="shared" ref="Y131:Y194" si="36">SUMIF(L:L,L131,I:I)</f>
        <v>0</v>
      </c>
      <c r="AA131" s="220" t="str">
        <f t="shared" ref="AA131:AA194" si="37">LEFT(A131,2)</f>
        <v>漢寶</v>
      </c>
      <c r="AB131" s="220" t="s">
        <v>1597</v>
      </c>
      <c r="AC131" s="220" t="str">
        <f>LEFT(B131,4)</f>
        <v>9G35</v>
      </c>
      <c r="BB131" s="514" t="s">
        <v>1507</v>
      </c>
      <c r="BC131" s="514">
        <v>2980</v>
      </c>
      <c r="BD131" s="514">
        <v>6</v>
      </c>
      <c r="BE131" s="514">
        <v>2986</v>
      </c>
      <c r="BG131" s="229" t="s">
        <v>8399</v>
      </c>
      <c r="BH131" s="230" t="s">
        <v>8416</v>
      </c>
      <c r="BI131" t="s">
        <v>1597</v>
      </c>
      <c r="BJ131" t="s">
        <v>2097</v>
      </c>
    </row>
    <row r="132" spans="1:62">
      <c r="A132" s="229" t="s">
        <v>6287</v>
      </c>
      <c r="B132" s="230" t="s">
        <v>6383</v>
      </c>
      <c r="C132" s="230" t="s">
        <v>6384</v>
      </c>
      <c r="D132" s="229" t="s">
        <v>6114</v>
      </c>
      <c r="E132" s="229" t="s">
        <v>6385</v>
      </c>
      <c r="F132" s="229" t="s">
        <v>6374</v>
      </c>
      <c r="G132" s="229" t="s">
        <v>6386</v>
      </c>
      <c r="H132" s="229" t="s">
        <v>6114</v>
      </c>
      <c r="I132" s="229" t="s">
        <v>6387</v>
      </c>
      <c r="J132" s="231" t="s">
        <v>6388</v>
      </c>
      <c r="K132" s="231" t="s">
        <v>6223</v>
      </c>
      <c r="L132" s="220" t="str">
        <f t="shared" ref="L132:L195" si="38">IF(LEFT(B132,1)="#",IF(LEN(B132)=5,RIGHT(A132,2)&amp;B132,N132&amp;M132),MID(B132,FIND("(",B132)+1,4))</f>
        <v>9G36</v>
      </c>
      <c r="M132" s="220" t="str">
        <f t="shared" ref="M132:M195" si="39">IF(LEFT(B132,1)="#",IF(LEN(B132)&lt;&gt;5,"("&amp;MID(B132,3,1)&amp;")",""),"")</f>
        <v/>
      </c>
      <c r="N132" s="220" t="str">
        <f t="shared" ref="N132:N195" si="40">IF(LEFT(B132,1)="#",IF(LEN(B132)=5,RIGHT(A132,2)&amp;B132,RIGHT(A132,2)&amp;LEFT(B132,2)&amp;"DTR"),"")</f>
        <v/>
      </c>
      <c r="O132" s="220" t="str">
        <f t="shared" ref="O132:O195" si="41">IF(LEFT(B132,1)="#",IF(LEN(B132)&lt;&gt;5,IF(LEN(B132)&lt;&gt;7,"("&amp;MID(B132,3,1)&amp;")","("&amp;MID(B132,3,2)&amp;")"),""),"")</f>
        <v/>
      </c>
      <c r="P132" s="52" t="str">
        <f t="shared" ref="P132:P195" si="42">IF(LEFT(B132,1)="#",IF(LEN(B132)=5,RIGHT(A132,2)&amp;B132,N132&amp;M132),MID(B132,FIND("(",B132)+1,4))</f>
        <v>9G36</v>
      </c>
      <c r="Q132" s="231" t="str">
        <f t="shared" ref="Q132:Q195" si="43">I132</f>
        <v>163</v>
      </c>
      <c r="R132" s="224">
        <f t="shared" ref="R132:R195" si="44">AVERAGE(C132*1,E132*1,G132*1)</f>
        <v>142</v>
      </c>
      <c r="S132" s="52">
        <f t="shared" ref="S132:S195" si="45">MIN(C132*1,E132*1,G132*1)</f>
        <v>129</v>
      </c>
      <c r="T132" s="221">
        <f t="shared" ref="T132:T195" ca="1" si="46">IF(LEFT(B132,1)="#",ROUND(OFFSET(X132,1,0,1,1)*Q132*SQRT(3)/1000,2),ROUND(Q132*X132*SQRT(3)/1000,2))</f>
        <v>3.22</v>
      </c>
      <c r="U132" s="221" t="str">
        <f t="shared" ref="U132:U195" si="47">IF(ISNUMBER(FIND("#",B132)),ROW(),"")</f>
        <v/>
      </c>
      <c r="V132" s="220" t="str">
        <f t="array" ref="V132">INDEX(P:P,MAX(U$3:U132))</f>
        <v>9G#2DTR(B)</v>
      </c>
      <c r="W132" s="220" t="str">
        <f t="shared" ref="W132:W195" ca="1" si="48">IF(LEFT(B132,1)="#",IF(ISNUMBER(FIND("DTR",B132)),IF(MID(OFFSET(P132,1,0,1,1),3,1)*1&lt;5,30,60),25),"")</f>
        <v/>
      </c>
      <c r="X132" s="220">
        <f t="shared" ref="X132:X195" si="49">IF(LEFT(B132,1)="#","",IF(MID(P132,3,1)*1&lt;5,11.4,22.8))</f>
        <v>11.4</v>
      </c>
      <c r="Y132" s="220">
        <f t="shared" si="36"/>
        <v>0</v>
      </c>
      <c r="AA132" s="220" t="str">
        <f t="shared" si="37"/>
        <v>漢寶</v>
      </c>
      <c r="AB132" s="220" t="s">
        <v>1631</v>
      </c>
      <c r="AC132" s="220" t="str">
        <f>LEFT(B132,4)</f>
        <v>9G36</v>
      </c>
      <c r="BB132" s="514" t="s">
        <v>1541</v>
      </c>
      <c r="BC132" s="514">
        <v>4128</v>
      </c>
      <c r="BD132" s="514" t="s">
        <v>85</v>
      </c>
      <c r="BE132" s="514">
        <v>4128</v>
      </c>
      <c r="BG132" s="229" t="s">
        <v>8399</v>
      </c>
      <c r="BH132" s="230" t="s">
        <v>8417</v>
      </c>
      <c r="BI132" t="s">
        <v>1631</v>
      </c>
      <c r="BJ132" t="s">
        <v>2097</v>
      </c>
    </row>
    <row r="133" spans="1:62">
      <c r="A133" s="229" t="s">
        <v>6356</v>
      </c>
      <c r="B133" s="230" t="s">
        <v>6389</v>
      </c>
      <c r="C133" s="230" t="s">
        <v>6236</v>
      </c>
      <c r="D133" s="229" t="s">
        <v>6390</v>
      </c>
      <c r="E133" s="229" t="s">
        <v>6391</v>
      </c>
      <c r="F133" s="229" t="s">
        <v>6390</v>
      </c>
      <c r="G133" s="229" t="s">
        <v>6392</v>
      </c>
      <c r="H133" s="229" t="s">
        <v>6393</v>
      </c>
      <c r="I133" s="229" t="s">
        <v>6394</v>
      </c>
      <c r="J133" s="231" t="s">
        <v>6395</v>
      </c>
      <c r="K133" s="231" t="s">
        <v>6121</v>
      </c>
      <c r="L133" s="220" t="str">
        <f t="shared" si="38"/>
        <v>9G37</v>
      </c>
      <c r="M133" s="220" t="str">
        <f t="shared" si="39"/>
        <v/>
      </c>
      <c r="N133" s="220" t="str">
        <f t="shared" si="40"/>
        <v/>
      </c>
      <c r="O133" s="220" t="str">
        <f t="shared" si="41"/>
        <v/>
      </c>
      <c r="P133" s="52" t="str">
        <f t="shared" si="42"/>
        <v>9G37</v>
      </c>
      <c r="Q133" s="231" t="str">
        <f t="shared" si="43"/>
        <v>159</v>
      </c>
      <c r="R133" s="224">
        <f t="shared" si="44"/>
        <v>151</v>
      </c>
      <c r="S133" s="52">
        <f t="shared" si="45"/>
        <v>137</v>
      </c>
      <c r="T133" s="221">
        <f t="shared" ca="1" si="46"/>
        <v>3.14</v>
      </c>
      <c r="U133" s="221" t="str">
        <f t="shared" si="47"/>
        <v/>
      </c>
      <c r="V133" s="220" t="str">
        <f t="array" ref="V133">INDEX(P:P,MAX(U$3:U133))</f>
        <v>9G#2DTR(B)</v>
      </c>
      <c r="W133" s="220" t="str">
        <f t="shared" ca="1" si="48"/>
        <v/>
      </c>
      <c r="X133" s="220">
        <f t="shared" si="49"/>
        <v>11.4</v>
      </c>
      <c r="Y133" s="220">
        <f t="shared" si="36"/>
        <v>0</v>
      </c>
      <c r="AA133" s="220" t="str">
        <f t="shared" si="37"/>
        <v>漢寶</v>
      </c>
      <c r="AB133" s="220" t="s">
        <v>1645</v>
      </c>
      <c r="AC133" s="220" t="str">
        <f>LEFT(B133,4)</f>
        <v>9G37</v>
      </c>
      <c r="BB133" s="514" t="s">
        <v>1587</v>
      </c>
      <c r="BC133" s="514">
        <v>1060</v>
      </c>
      <c r="BD133" s="514">
        <v>2</v>
      </c>
      <c r="BE133" s="514">
        <v>1062</v>
      </c>
      <c r="BG133" s="229" t="s">
        <v>8397</v>
      </c>
      <c r="BH133" s="230" t="s">
        <v>8418</v>
      </c>
      <c r="BI133" t="s">
        <v>1645</v>
      </c>
      <c r="BJ133" t="s">
        <v>2097</v>
      </c>
    </row>
    <row r="134" spans="1:62">
      <c r="A134" s="229" t="s">
        <v>6370</v>
      </c>
      <c r="B134" s="230" t="s">
        <v>6396</v>
      </c>
      <c r="C134" s="230" t="s">
        <v>6397</v>
      </c>
      <c r="D134" s="229" t="s">
        <v>6246</v>
      </c>
      <c r="E134" s="229" t="s">
        <v>6398</v>
      </c>
      <c r="F134" s="229" t="s">
        <v>6246</v>
      </c>
      <c r="G134" s="229" t="s">
        <v>6399</v>
      </c>
      <c r="H134" s="229" t="s">
        <v>6246</v>
      </c>
      <c r="I134" s="229" t="s">
        <v>6400</v>
      </c>
      <c r="J134" s="231" t="s">
        <v>6401</v>
      </c>
      <c r="K134" s="231" t="s">
        <v>6169</v>
      </c>
      <c r="L134" s="220" t="str">
        <f t="shared" si="38"/>
        <v>9G38</v>
      </c>
      <c r="M134" s="220" t="str">
        <f t="shared" si="39"/>
        <v/>
      </c>
      <c r="N134" s="220" t="str">
        <f t="shared" si="40"/>
        <v/>
      </c>
      <c r="O134" s="220" t="str">
        <f t="shared" si="41"/>
        <v/>
      </c>
      <c r="P134" s="52" t="str">
        <f t="shared" si="42"/>
        <v>9G38</v>
      </c>
      <c r="Q134" s="231" t="str">
        <f t="shared" si="43"/>
        <v>268</v>
      </c>
      <c r="R134" s="224">
        <f t="shared" si="44"/>
        <v>251</v>
      </c>
      <c r="S134" s="52">
        <f t="shared" si="45"/>
        <v>223</v>
      </c>
      <c r="T134" s="221">
        <f t="shared" ca="1" si="46"/>
        <v>5.29</v>
      </c>
      <c r="U134" s="221" t="str">
        <f t="shared" si="47"/>
        <v/>
      </c>
      <c r="V134" s="220" t="str">
        <f t="array" ref="V134">INDEX(P:P,MAX(U$3:U134))</f>
        <v>9G#2DTR(B)</v>
      </c>
      <c r="W134" s="220" t="str">
        <f t="shared" ca="1" si="48"/>
        <v/>
      </c>
      <c r="X134" s="220">
        <f t="shared" si="49"/>
        <v>11.4</v>
      </c>
      <c r="Y134" s="220">
        <f t="shared" si="36"/>
        <v>0</v>
      </c>
      <c r="AA134" s="220" t="str">
        <f t="shared" si="37"/>
        <v>漢寶</v>
      </c>
      <c r="AB134" s="220" t="s">
        <v>1678</v>
      </c>
      <c r="AC134" s="220" t="str">
        <f>LEFT(B134,4)</f>
        <v>9G38</v>
      </c>
      <c r="BB134" s="514" t="s">
        <v>1599</v>
      </c>
      <c r="BC134" s="514">
        <v>215</v>
      </c>
      <c r="BD134" s="514">
        <v>1</v>
      </c>
      <c r="BE134" s="514">
        <v>216</v>
      </c>
      <c r="BG134" s="229" t="s">
        <v>8399</v>
      </c>
      <c r="BH134" s="230" t="s">
        <v>8419</v>
      </c>
      <c r="BI134" t="s">
        <v>1678</v>
      </c>
      <c r="BJ134" t="s">
        <v>2097</v>
      </c>
    </row>
    <row r="135" spans="1:62">
      <c r="A135" s="229" t="s">
        <v>6287</v>
      </c>
      <c r="B135" s="230" t="s">
        <v>6402</v>
      </c>
      <c r="C135" s="230" t="s">
        <v>6403</v>
      </c>
      <c r="D135" s="229" t="s">
        <v>6246</v>
      </c>
      <c r="E135" s="229" t="s">
        <v>6404</v>
      </c>
      <c r="F135" s="229" t="s">
        <v>6246</v>
      </c>
      <c r="G135" s="229" t="s">
        <v>6405</v>
      </c>
      <c r="H135" s="229" t="s">
        <v>6246</v>
      </c>
      <c r="I135" s="229" t="s">
        <v>6403</v>
      </c>
      <c r="J135" s="231" t="s">
        <v>6406</v>
      </c>
      <c r="K135" s="231" t="s">
        <v>5792</v>
      </c>
      <c r="L135" s="220" t="str">
        <f t="shared" si="38"/>
        <v>9G39</v>
      </c>
      <c r="M135" s="220" t="str">
        <f t="shared" si="39"/>
        <v/>
      </c>
      <c r="N135" s="220" t="str">
        <f t="shared" si="40"/>
        <v/>
      </c>
      <c r="O135" s="220" t="str">
        <f t="shared" si="41"/>
        <v/>
      </c>
      <c r="P135" s="52" t="str">
        <f t="shared" si="42"/>
        <v>9G39</v>
      </c>
      <c r="Q135" s="231" t="str">
        <f t="shared" si="43"/>
        <v>254</v>
      </c>
      <c r="R135" s="224">
        <f t="shared" si="44"/>
        <v>245</v>
      </c>
      <c r="S135" s="52">
        <f t="shared" si="45"/>
        <v>240</v>
      </c>
      <c r="T135" s="221">
        <f t="shared" ca="1" si="46"/>
        <v>5.0199999999999996</v>
      </c>
      <c r="U135" s="221" t="str">
        <f t="shared" si="47"/>
        <v/>
      </c>
      <c r="V135" s="220" t="str">
        <f t="array" ref="V135">INDEX(P:P,MAX(U$3:U135))</f>
        <v>9G#2DTR(B)</v>
      </c>
      <c r="W135" s="220" t="str">
        <f t="shared" ca="1" si="48"/>
        <v/>
      </c>
      <c r="X135" s="220">
        <f t="shared" si="49"/>
        <v>11.4</v>
      </c>
      <c r="Y135" s="220">
        <f t="shared" si="36"/>
        <v>0</v>
      </c>
      <c r="AA135" s="220" t="str">
        <f t="shared" si="37"/>
        <v>漢寶</v>
      </c>
      <c r="AB135" s="220" t="s">
        <v>1689</v>
      </c>
      <c r="AC135" s="220" t="str">
        <f>LEFT(B135,4)</f>
        <v>9G39</v>
      </c>
      <c r="BB135" s="514" t="s">
        <v>1633</v>
      </c>
      <c r="BC135" s="514">
        <v>2606</v>
      </c>
      <c r="BD135" s="514">
        <v>1</v>
      </c>
      <c r="BE135" s="514">
        <v>2607</v>
      </c>
      <c r="BG135" s="229" t="s">
        <v>8397</v>
      </c>
      <c r="BH135" s="230" t="s">
        <v>8420</v>
      </c>
      <c r="BI135" t="s">
        <v>1689</v>
      </c>
      <c r="BJ135" t="s">
        <v>2097</v>
      </c>
    </row>
    <row r="136" spans="1:62">
      <c r="A136" s="229" t="s">
        <v>6287</v>
      </c>
      <c r="B136" s="230" t="s">
        <v>6407</v>
      </c>
      <c r="C136" s="230" t="s">
        <v>6408</v>
      </c>
      <c r="D136" s="229" t="s">
        <v>6142</v>
      </c>
      <c r="E136" s="229" t="s">
        <v>6409</v>
      </c>
      <c r="F136" s="229" t="s">
        <v>6262</v>
      </c>
      <c r="G136" s="229" t="s">
        <v>6409</v>
      </c>
      <c r="H136" s="229" t="s">
        <v>6410</v>
      </c>
      <c r="I136" s="229" t="s">
        <v>6411</v>
      </c>
      <c r="J136" s="231" t="s">
        <v>6412</v>
      </c>
      <c r="K136" s="231" t="s">
        <v>5616</v>
      </c>
      <c r="L136" s="220" t="str">
        <f t="shared" si="38"/>
        <v>9GE9</v>
      </c>
      <c r="M136" s="220" t="str">
        <f t="shared" si="39"/>
        <v/>
      </c>
      <c r="N136" s="220" t="str">
        <f t="shared" si="40"/>
        <v/>
      </c>
      <c r="O136" s="220" t="str">
        <f t="shared" si="41"/>
        <v/>
      </c>
      <c r="P136" s="52" t="str">
        <f t="shared" si="42"/>
        <v>9GE9</v>
      </c>
      <c r="Q136" s="231" t="str">
        <f t="shared" si="43"/>
        <v>383</v>
      </c>
      <c r="R136" s="224">
        <f t="shared" si="44"/>
        <v>381.66666666666669</v>
      </c>
      <c r="S136" s="52">
        <f t="shared" si="45"/>
        <v>381</v>
      </c>
      <c r="T136" s="221" t="e">
        <f t="shared" ca="1" si="46"/>
        <v>#VALUE!</v>
      </c>
      <c r="U136" s="221" t="str">
        <f t="shared" si="47"/>
        <v/>
      </c>
      <c r="V136" s="220" t="str">
        <f t="array" ref="V136">INDEX(P:P,MAX(U$3:U136))</f>
        <v>9G#2DTR(B)</v>
      </c>
      <c r="W136" s="220" t="str">
        <f t="shared" ca="1" si="48"/>
        <v/>
      </c>
      <c r="X136" s="220" t="e">
        <f t="shared" si="49"/>
        <v>#VALUE!</v>
      </c>
      <c r="Y136" s="220">
        <f t="shared" si="36"/>
        <v>0</v>
      </c>
      <c r="AA136" s="220" t="str">
        <f t="shared" si="37"/>
        <v>漢寶</v>
      </c>
      <c r="AB136" s="220" t="s">
        <v>2098</v>
      </c>
      <c r="AC136" s="220" t="s">
        <v>2098</v>
      </c>
      <c r="BB136" s="514" t="s">
        <v>1647</v>
      </c>
      <c r="BC136" s="514">
        <v>2599</v>
      </c>
      <c r="BD136" s="514">
        <v>8</v>
      </c>
      <c r="BE136" s="514">
        <v>2607</v>
      </c>
      <c r="BG136" s="229" t="s">
        <v>8399</v>
      </c>
      <c r="BH136" s="230" t="s">
        <v>8421</v>
      </c>
      <c r="BI136" t="s">
        <v>2098</v>
      </c>
      <c r="BJ136" t="s">
        <v>2097</v>
      </c>
    </row>
    <row r="137" spans="1:62">
      <c r="A137" s="229" t="s">
        <v>6370</v>
      </c>
      <c r="B137" s="230" t="s">
        <v>6413</v>
      </c>
      <c r="C137" s="230" t="s">
        <v>6414</v>
      </c>
      <c r="D137" s="229" t="s">
        <v>6415</v>
      </c>
      <c r="E137" s="229" t="s">
        <v>6416</v>
      </c>
      <c r="F137" s="229" t="s">
        <v>5611</v>
      </c>
      <c r="G137" s="229" t="s">
        <v>6416</v>
      </c>
      <c r="H137" s="229" t="s">
        <v>6415</v>
      </c>
      <c r="I137" s="229" t="s">
        <v>6417</v>
      </c>
      <c r="J137" s="231" t="s">
        <v>5711</v>
      </c>
      <c r="K137" s="231" t="s">
        <v>5585</v>
      </c>
      <c r="L137" s="220" t="str">
        <f t="shared" si="38"/>
        <v>9G#3DTR(A)</v>
      </c>
      <c r="M137" s="220" t="str">
        <f t="shared" si="39"/>
        <v>(A)</v>
      </c>
      <c r="N137" s="220" t="str">
        <f t="shared" si="40"/>
        <v>9G#3DTR</v>
      </c>
      <c r="O137" s="220" t="str">
        <f t="shared" si="41"/>
        <v>(A)</v>
      </c>
      <c r="P137" s="52" t="str">
        <f t="shared" si="42"/>
        <v>9G#3DTR(A)</v>
      </c>
      <c r="Q137" s="231" t="str">
        <f t="shared" si="43"/>
        <v>371</v>
      </c>
      <c r="R137" s="224">
        <f t="shared" si="44"/>
        <v>370</v>
      </c>
      <c r="S137" s="52">
        <f t="shared" si="45"/>
        <v>368</v>
      </c>
      <c r="T137" s="221" t="e">
        <f t="shared" ca="1" si="46"/>
        <v>#VALUE!</v>
      </c>
      <c r="U137" s="221">
        <f t="shared" si="47"/>
        <v>137</v>
      </c>
      <c r="V137" s="220" t="str">
        <f t="array" ref="V137">INDEX(P:P,MAX(U$3:U137))</f>
        <v>9G#3DTR(A)</v>
      </c>
      <c r="W137" s="220" t="e">
        <f t="shared" ca="1" si="48"/>
        <v>#VALUE!</v>
      </c>
      <c r="X137" s="220" t="str">
        <f t="shared" si="49"/>
        <v/>
      </c>
      <c r="Y137" s="220">
        <f t="shared" si="36"/>
        <v>0</v>
      </c>
      <c r="AA137" s="220" t="str">
        <f t="shared" si="37"/>
        <v>漢寶</v>
      </c>
      <c r="AB137" s="220" t="s">
        <v>2099</v>
      </c>
      <c r="AC137" s="220" t="s">
        <v>2099</v>
      </c>
      <c r="BB137" s="514" t="s">
        <v>1680</v>
      </c>
      <c r="BC137" s="514">
        <v>1050</v>
      </c>
      <c r="BD137" s="514">
        <v>4</v>
      </c>
      <c r="BE137" s="514">
        <v>1054</v>
      </c>
      <c r="BG137" s="229" t="s">
        <v>8397</v>
      </c>
      <c r="BH137" s="230" t="s">
        <v>8370</v>
      </c>
      <c r="BI137" t="s">
        <v>2099</v>
      </c>
      <c r="BJ137" t="s">
        <v>2099</v>
      </c>
    </row>
    <row r="138" spans="1:62">
      <c r="A138" s="229" t="s">
        <v>6370</v>
      </c>
      <c r="B138" s="230" t="s">
        <v>6418</v>
      </c>
      <c r="C138" s="230" t="s">
        <v>6412</v>
      </c>
      <c r="D138" s="229" t="s">
        <v>5628</v>
      </c>
      <c r="E138" s="229" t="s">
        <v>6412</v>
      </c>
      <c r="F138" s="229" t="s">
        <v>5628</v>
      </c>
      <c r="G138" s="229" t="s">
        <v>5699</v>
      </c>
      <c r="H138" s="229" t="s">
        <v>5595</v>
      </c>
      <c r="I138" s="229" t="s">
        <v>6412</v>
      </c>
      <c r="J138" s="231" t="s">
        <v>6412</v>
      </c>
      <c r="K138" s="231" t="s">
        <v>5628</v>
      </c>
      <c r="L138" s="220" t="str">
        <f t="shared" si="38"/>
        <v>9GE2</v>
      </c>
      <c r="M138" s="220" t="str">
        <f t="shared" si="39"/>
        <v/>
      </c>
      <c r="N138" s="220" t="str">
        <f t="shared" si="40"/>
        <v/>
      </c>
      <c r="O138" s="220" t="str">
        <f t="shared" si="41"/>
        <v/>
      </c>
      <c r="P138" s="52" t="str">
        <f t="shared" si="42"/>
        <v>9GE2</v>
      </c>
      <c r="Q138" s="231" t="str">
        <f t="shared" si="43"/>
        <v>0</v>
      </c>
      <c r="R138" s="224">
        <f t="shared" si="44"/>
        <v>0</v>
      </c>
      <c r="S138" s="52">
        <f t="shared" si="45"/>
        <v>0</v>
      </c>
      <c r="T138" s="221" t="e">
        <f t="shared" ca="1" si="46"/>
        <v>#VALUE!</v>
      </c>
      <c r="U138" s="221" t="str">
        <f t="shared" si="47"/>
        <v/>
      </c>
      <c r="V138" s="220" t="str">
        <f t="array" ref="V138">INDEX(P:P,MAX(U$3:U138))</f>
        <v>9G#3DTR(A)</v>
      </c>
      <c r="W138" s="220" t="str">
        <f t="shared" ca="1" si="48"/>
        <v/>
      </c>
      <c r="X138" s="220" t="e">
        <f t="shared" si="49"/>
        <v>#VALUE!</v>
      </c>
      <c r="Y138" s="220">
        <f t="shared" si="36"/>
        <v>0</v>
      </c>
      <c r="AA138" s="220" t="str">
        <f t="shared" si="37"/>
        <v>漢寶</v>
      </c>
      <c r="AB138" s="220" t="s">
        <v>2100</v>
      </c>
      <c r="AC138" s="220" t="str">
        <f>LEFT(B138,4)</f>
        <v>9GE2</v>
      </c>
      <c r="BB138" s="514" t="s">
        <v>1690</v>
      </c>
      <c r="BC138" s="514">
        <v>1909</v>
      </c>
      <c r="BD138" s="514">
        <v>4</v>
      </c>
      <c r="BE138" s="514">
        <v>1913</v>
      </c>
      <c r="BG138" s="229" t="s">
        <v>8399</v>
      </c>
      <c r="BH138" s="230" t="s">
        <v>407</v>
      </c>
      <c r="BI138" t="s">
        <v>2100</v>
      </c>
      <c r="BJ138" t="s">
        <v>2099</v>
      </c>
    </row>
    <row r="139" spans="1:62">
      <c r="A139" s="229" t="s">
        <v>6287</v>
      </c>
      <c r="B139" s="230" t="s">
        <v>6419</v>
      </c>
      <c r="C139" s="230" t="s">
        <v>6420</v>
      </c>
      <c r="D139" s="229" t="s">
        <v>5628</v>
      </c>
      <c r="E139" s="229" t="s">
        <v>6420</v>
      </c>
      <c r="F139" s="229" t="s">
        <v>5628</v>
      </c>
      <c r="G139" s="229" t="s">
        <v>6420</v>
      </c>
      <c r="H139" s="229" t="s">
        <v>5628</v>
      </c>
      <c r="I139" s="229" t="s">
        <v>6420</v>
      </c>
      <c r="J139" s="231" t="s">
        <v>6420</v>
      </c>
      <c r="K139" s="231" t="s">
        <v>5628</v>
      </c>
      <c r="L139" s="220" t="str">
        <f t="shared" si="38"/>
        <v>9GE3</v>
      </c>
      <c r="M139" s="220" t="str">
        <f t="shared" si="39"/>
        <v/>
      </c>
      <c r="N139" s="220" t="str">
        <f t="shared" si="40"/>
        <v/>
      </c>
      <c r="O139" s="220" t="str">
        <f t="shared" si="41"/>
        <v/>
      </c>
      <c r="P139" s="52" t="str">
        <f t="shared" si="42"/>
        <v>9GE3</v>
      </c>
      <c r="Q139" s="231" t="str">
        <f t="shared" si="43"/>
        <v>0</v>
      </c>
      <c r="R139" s="224">
        <f t="shared" si="44"/>
        <v>0</v>
      </c>
      <c r="S139" s="52">
        <f t="shared" si="45"/>
        <v>0</v>
      </c>
      <c r="T139" s="221" t="e">
        <f t="shared" ca="1" si="46"/>
        <v>#VALUE!</v>
      </c>
      <c r="U139" s="221" t="str">
        <f t="shared" si="47"/>
        <v/>
      </c>
      <c r="V139" s="220" t="str">
        <f t="array" ref="V139">INDEX(P:P,MAX(U$3:U139))</f>
        <v>9G#3DTR(A)</v>
      </c>
      <c r="W139" s="220" t="str">
        <f t="shared" ca="1" si="48"/>
        <v/>
      </c>
      <c r="X139" s="220" t="e">
        <f t="shared" si="49"/>
        <v>#VALUE!</v>
      </c>
      <c r="Y139" s="220">
        <f t="shared" si="36"/>
        <v>0</v>
      </c>
      <c r="AA139" s="220" t="str">
        <f t="shared" si="37"/>
        <v>漢寶</v>
      </c>
      <c r="AB139" s="220" t="s">
        <v>2101</v>
      </c>
      <c r="AC139" s="220" t="str">
        <f>LEFT(B139,4)</f>
        <v>9GE3</v>
      </c>
      <c r="BB139" s="514" t="s">
        <v>1367</v>
      </c>
      <c r="BC139" s="514">
        <v>1670</v>
      </c>
      <c r="BD139" s="514">
        <v>3</v>
      </c>
      <c r="BE139" s="514">
        <v>1673</v>
      </c>
      <c r="BG139" s="229" t="s">
        <v>10</v>
      </c>
      <c r="BH139" s="230" t="s">
        <v>8422</v>
      </c>
      <c r="BI139" t="s">
        <v>2101</v>
      </c>
      <c r="BJ139" t="s">
        <v>2099</v>
      </c>
    </row>
    <row r="140" spans="1:62">
      <c r="A140" s="229" t="s">
        <v>6421</v>
      </c>
      <c r="B140" s="230" t="s">
        <v>6422</v>
      </c>
      <c r="C140" s="230" t="s">
        <v>956</v>
      </c>
      <c r="D140" s="229" t="s">
        <v>6423</v>
      </c>
      <c r="E140" s="229" t="s">
        <v>6424</v>
      </c>
      <c r="F140" s="229" t="s">
        <v>5650</v>
      </c>
      <c r="G140" s="229" t="s">
        <v>801</v>
      </c>
      <c r="H140" s="229" t="s">
        <v>6425</v>
      </c>
      <c r="I140" s="229" t="s">
        <v>6426</v>
      </c>
      <c r="J140" s="231" t="s">
        <v>5614</v>
      </c>
      <c r="K140" s="231" t="s">
        <v>784</v>
      </c>
      <c r="L140" s="220" t="str">
        <f t="shared" si="38"/>
        <v>9GE1</v>
      </c>
      <c r="M140" s="220" t="str">
        <f t="shared" si="39"/>
        <v/>
      </c>
      <c r="N140" s="220" t="str">
        <f t="shared" si="40"/>
        <v/>
      </c>
      <c r="O140" s="220" t="str">
        <f t="shared" si="41"/>
        <v/>
      </c>
      <c r="P140" s="52" t="str">
        <f t="shared" si="42"/>
        <v>9GE1</v>
      </c>
      <c r="Q140" s="231" t="str">
        <f t="shared" si="43"/>
        <v>141</v>
      </c>
      <c r="R140" s="224">
        <f t="shared" si="44"/>
        <v>140.66666666666666</v>
      </c>
      <c r="S140" s="52">
        <f t="shared" si="45"/>
        <v>140</v>
      </c>
      <c r="T140" s="221" t="e">
        <f t="shared" ca="1" si="46"/>
        <v>#VALUE!</v>
      </c>
      <c r="U140" s="221" t="str">
        <f t="shared" si="47"/>
        <v/>
      </c>
      <c r="V140" s="220" t="str">
        <f t="array" ref="V140">INDEX(P:P,MAX(U$3:U140))</f>
        <v>9G#3DTR(A)</v>
      </c>
      <c r="W140" s="220" t="str">
        <f t="shared" ca="1" si="48"/>
        <v/>
      </c>
      <c r="X140" s="220" t="e">
        <f t="shared" si="49"/>
        <v>#VALUE!</v>
      </c>
      <c r="Y140" s="220">
        <f t="shared" si="36"/>
        <v>0</v>
      </c>
      <c r="AA140" s="220" t="str">
        <f t="shared" si="37"/>
        <v>漢寶</v>
      </c>
      <c r="AB140" s="220" t="s">
        <v>2102</v>
      </c>
      <c r="AC140" s="220" t="s">
        <v>2102</v>
      </c>
      <c r="BB140" s="514" t="s">
        <v>1379</v>
      </c>
      <c r="BC140" s="514">
        <v>1994</v>
      </c>
      <c r="BD140" s="514">
        <v>2</v>
      </c>
      <c r="BE140" s="514">
        <v>1996</v>
      </c>
      <c r="BG140" s="229" t="s">
        <v>8399</v>
      </c>
      <c r="BH140" s="230" t="s">
        <v>8423</v>
      </c>
      <c r="BI140" t="s">
        <v>2102</v>
      </c>
      <c r="BJ140" t="s">
        <v>2099</v>
      </c>
    </row>
    <row r="141" spans="1:62">
      <c r="A141" s="229" t="s">
        <v>6427</v>
      </c>
      <c r="B141" s="230" t="s">
        <v>6428</v>
      </c>
      <c r="C141" s="230" t="s">
        <v>6429</v>
      </c>
      <c r="D141" s="229" t="s">
        <v>6430</v>
      </c>
      <c r="E141" s="229" t="s">
        <v>6429</v>
      </c>
      <c r="F141" s="229" t="s">
        <v>6431</v>
      </c>
      <c r="G141" s="229" t="s">
        <v>6432</v>
      </c>
      <c r="H141" s="229" t="s">
        <v>804</v>
      </c>
      <c r="I141" s="229" t="s">
        <v>6433</v>
      </c>
      <c r="J141" s="231" t="s">
        <v>6434</v>
      </c>
      <c r="K141" s="231" t="s">
        <v>5628</v>
      </c>
      <c r="L141" s="220" t="str">
        <f t="shared" si="38"/>
        <v>9GE0</v>
      </c>
      <c r="M141" s="220" t="str">
        <f t="shared" si="39"/>
        <v/>
      </c>
      <c r="N141" s="220" t="str">
        <f t="shared" si="40"/>
        <v/>
      </c>
      <c r="O141" s="220" t="str">
        <f t="shared" si="41"/>
        <v/>
      </c>
      <c r="P141" s="52" t="str">
        <f t="shared" si="42"/>
        <v>9GE0</v>
      </c>
      <c r="Q141" s="231" t="str">
        <f t="shared" si="43"/>
        <v>228</v>
      </c>
      <c r="R141" s="224">
        <f t="shared" si="44"/>
        <v>228</v>
      </c>
      <c r="S141" s="52">
        <f t="shared" si="45"/>
        <v>228</v>
      </c>
      <c r="T141" s="221" t="e">
        <f t="shared" ca="1" si="46"/>
        <v>#VALUE!</v>
      </c>
      <c r="U141" s="221" t="str">
        <f t="shared" si="47"/>
        <v/>
      </c>
      <c r="V141" s="220" t="str">
        <f t="array" ref="V141">INDEX(P:P,MAX(U$3:U141))</f>
        <v>9G#3DTR(A)</v>
      </c>
      <c r="W141" s="220" t="str">
        <f t="shared" ca="1" si="48"/>
        <v/>
      </c>
      <c r="X141" s="220" t="e">
        <f t="shared" si="49"/>
        <v>#VALUE!</v>
      </c>
      <c r="Y141" s="220">
        <f t="shared" si="36"/>
        <v>0</v>
      </c>
      <c r="AA141" s="220" t="str">
        <f t="shared" si="37"/>
        <v>漢寶</v>
      </c>
      <c r="AB141" s="220" t="s">
        <v>2103</v>
      </c>
      <c r="AC141" s="220" t="s">
        <v>2103</v>
      </c>
      <c r="BB141" s="514" t="s">
        <v>1411</v>
      </c>
      <c r="BC141" s="514">
        <v>944</v>
      </c>
      <c r="BD141" s="514">
        <v>2</v>
      </c>
      <c r="BE141" s="514">
        <v>946</v>
      </c>
      <c r="BG141" s="229" t="s">
        <v>8399</v>
      </c>
      <c r="BH141" s="230" t="s">
        <v>8424</v>
      </c>
      <c r="BI141" t="s">
        <v>2103</v>
      </c>
      <c r="BJ141" t="s">
        <v>2099</v>
      </c>
    </row>
    <row r="142" spans="1:62">
      <c r="A142" s="229" t="s">
        <v>6435</v>
      </c>
      <c r="B142" s="230" t="s">
        <v>6436</v>
      </c>
      <c r="C142" s="230" t="s">
        <v>6437</v>
      </c>
      <c r="D142" s="229" t="s">
        <v>6438</v>
      </c>
      <c r="E142" s="229" t="s">
        <v>6439</v>
      </c>
      <c r="F142" s="229" t="s">
        <v>6440</v>
      </c>
      <c r="G142" s="229" t="s">
        <v>6437</v>
      </c>
      <c r="H142" s="229" t="s">
        <v>5933</v>
      </c>
      <c r="I142" s="229" t="s">
        <v>6441</v>
      </c>
      <c r="J142" s="231" t="s">
        <v>358</v>
      </c>
      <c r="K142" s="231" t="s">
        <v>358</v>
      </c>
      <c r="L142" s="220" t="str">
        <f t="shared" si="38"/>
        <v>9G#3DTR(B)</v>
      </c>
      <c r="M142" s="220" t="str">
        <f t="shared" si="39"/>
        <v>(B)</v>
      </c>
      <c r="N142" s="220" t="str">
        <f t="shared" si="40"/>
        <v>9G#3DTR</v>
      </c>
      <c r="O142" s="220" t="str">
        <f t="shared" si="41"/>
        <v>(B)</v>
      </c>
      <c r="P142" s="52" t="str">
        <f t="shared" si="42"/>
        <v>9G#3DTR(B)</v>
      </c>
      <c r="Q142" s="231" t="str">
        <f t="shared" si="43"/>
        <v>461</v>
      </c>
      <c r="R142" s="224">
        <f t="shared" si="44"/>
        <v>461</v>
      </c>
      <c r="S142" s="52">
        <f t="shared" si="45"/>
        <v>461</v>
      </c>
      <c r="T142" s="221" t="e">
        <f t="shared" ca="1" si="46"/>
        <v>#VALUE!</v>
      </c>
      <c r="U142" s="221">
        <f t="shared" si="47"/>
        <v>142</v>
      </c>
      <c r="V142" s="220" t="str">
        <f t="array" ref="V142">INDEX(P:P,MAX(U$3:U142))</f>
        <v>9G#3DTR(B)</v>
      </c>
      <c r="W142" s="220" t="e">
        <f t="shared" ca="1" si="48"/>
        <v>#VALUE!</v>
      </c>
      <c r="X142" s="220" t="str">
        <f t="shared" si="49"/>
        <v/>
      </c>
      <c r="Y142" s="220">
        <f t="shared" si="36"/>
        <v>0</v>
      </c>
      <c r="AA142" s="220" t="str">
        <f t="shared" si="37"/>
        <v>漢寶</v>
      </c>
      <c r="AB142" s="220" t="s">
        <v>2104</v>
      </c>
      <c r="AC142" s="220" t="str">
        <f>LEFT(B142,4)</f>
        <v>#3BD</v>
      </c>
      <c r="BB142" s="514" t="s">
        <v>1423</v>
      </c>
      <c r="BC142" s="514">
        <v>969</v>
      </c>
      <c r="BD142" s="514">
        <v>1</v>
      </c>
      <c r="BE142" s="514">
        <v>970</v>
      </c>
      <c r="BG142" s="229" t="s">
        <v>8399</v>
      </c>
      <c r="BH142" s="230" t="s">
        <v>8375</v>
      </c>
      <c r="BI142" t="s">
        <v>2104</v>
      </c>
      <c r="BJ142" t="s">
        <v>2104</v>
      </c>
    </row>
    <row r="143" spans="1:62">
      <c r="A143" s="229" t="s">
        <v>6442</v>
      </c>
      <c r="B143" s="230" t="s">
        <v>6443</v>
      </c>
      <c r="C143" s="230" t="s">
        <v>6444</v>
      </c>
      <c r="D143" s="229" t="s">
        <v>6445</v>
      </c>
      <c r="E143" s="229" t="s">
        <v>6446</v>
      </c>
      <c r="F143" s="229" t="s">
        <v>6139</v>
      </c>
      <c r="G143" s="229" t="s">
        <v>5614</v>
      </c>
      <c r="H143" s="229" t="s">
        <v>6447</v>
      </c>
      <c r="I143" s="229" t="s">
        <v>6448</v>
      </c>
      <c r="J143" s="231" t="s">
        <v>5699</v>
      </c>
      <c r="K143" s="231" t="s">
        <v>5628</v>
      </c>
      <c r="L143" s="220" t="str">
        <f t="shared" si="38"/>
        <v>9GE6</v>
      </c>
      <c r="M143" s="220" t="str">
        <f t="shared" si="39"/>
        <v/>
      </c>
      <c r="N143" s="220" t="str">
        <f t="shared" si="40"/>
        <v/>
      </c>
      <c r="O143" s="220" t="str">
        <f t="shared" si="41"/>
        <v/>
      </c>
      <c r="P143" s="52" t="str">
        <f t="shared" si="42"/>
        <v>9GE6</v>
      </c>
      <c r="Q143" s="231" t="str">
        <f t="shared" si="43"/>
        <v>0</v>
      </c>
      <c r="R143" s="224">
        <f t="shared" si="44"/>
        <v>0</v>
      </c>
      <c r="S143" s="52">
        <f t="shared" si="45"/>
        <v>0</v>
      </c>
      <c r="T143" s="221" t="e">
        <f t="shared" ca="1" si="46"/>
        <v>#VALUE!</v>
      </c>
      <c r="U143" s="221" t="str">
        <f t="shared" si="47"/>
        <v/>
      </c>
      <c r="V143" s="220" t="str">
        <f t="array" ref="V143">INDEX(P:P,MAX(U$3:U143))</f>
        <v>9G#3DTR(B)</v>
      </c>
      <c r="W143" s="220" t="str">
        <f t="shared" ca="1" si="48"/>
        <v/>
      </c>
      <c r="X143" s="220" t="e">
        <f t="shared" si="49"/>
        <v>#VALUE!</v>
      </c>
      <c r="Y143" s="220">
        <f t="shared" si="36"/>
        <v>0</v>
      </c>
      <c r="AA143" s="220" t="str">
        <f t="shared" si="37"/>
        <v>漢寶</v>
      </c>
      <c r="AB143" s="220" t="s">
        <v>2105</v>
      </c>
      <c r="AC143" s="220" t="str">
        <f>LEFT(B143,4)</f>
        <v>9GE6</v>
      </c>
      <c r="BB143" s="514" t="s">
        <v>2139</v>
      </c>
      <c r="BC143" s="514">
        <v>907</v>
      </c>
      <c r="BD143" s="514">
        <v>3</v>
      </c>
      <c r="BE143" s="514">
        <v>910</v>
      </c>
      <c r="BG143" s="229" t="s">
        <v>8397</v>
      </c>
      <c r="BH143" s="230" t="s">
        <v>408</v>
      </c>
      <c r="BI143" t="s">
        <v>2105</v>
      </c>
      <c r="BJ143" t="s">
        <v>2104</v>
      </c>
    </row>
    <row r="144" spans="1:62">
      <c r="A144" s="229" t="s">
        <v>6336</v>
      </c>
      <c r="B144" s="230" t="s">
        <v>6449</v>
      </c>
      <c r="C144" s="230" t="s">
        <v>6450</v>
      </c>
      <c r="D144" s="229" t="s">
        <v>5628</v>
      </c>
      <c r="E144" s="229" t="s">
        <v>6451</v>
      </c>
      <c r="F144" s="229" t="s">
        <v>6452</v>
      </c>
      <c r="G144" s="229" t="s">
        <v>5699</v>
      </c>
      <c r="H144" s="229" t="s">
        <v>5628</v>
      </c>
      <c r="I144" s="229" t="s">
        <v>5699</v>
      </c>
      <c r="J144" s="231" t="s">
        <v>6451</v>
      </c>
      <c r="K144" s="231" t="s">
        <v>6447</v>
      </c>
      <c r="L144" s="220" t="str">
        <f t="shared" si="38"/>
        <v>9GE7</v>
      </c>
      <c r="M144" s="220" t="str">
        <f t="shared" si="39"/>
        <v/>
      </c>
      <c r="N144" s="220" t="str">
        <f t="shared" si="40"/>
        <v/>
      </c>
      <c r="O144" s="220" t="str">
        <f t="shared" si="41"/>
        <v/>
      </c>
      <c r="P144" s="52" t="str">
        <f t="shared" si="42"/>
        <v>9GE7</v>
      </c>
      <c r="Q144" s="231" t="str">
        <f t="shared" si="43"/>
        <v>0</v>
      </c>
      <c r="R144" s="224">
        <f t="shared" si="44"/>
        <v>0</v>
      </c>
      <c r="S144" s="52">
        <f t="shared" si="45"/>
        <v>0</v>
      </c>
      <c r="T144" s="221" t="e">
        <f t="shared" ca="1" si="46"/>
        <v>#VALUE!</v>
      </c>
      <c r="U144" s="221" t="str">
        <f t="shared" si="47"/>
        <v/>
      </c>
      <c r="V144" s="220" t="str">
        <f t="array" ref="V144">INDEX(P:P,MAX(U$3:U144))</f>
        <v>9G#3DTR(B)</v>
      </c>
      <c r="W144" s="220" t="str">
        <f t="shared" ca="1" si="48"/>
        <v/>
      </c>
      <c r="X144" s="220" t="e">
        <f t="shared" si="49"/>
        <v>#VALUE!</v>
      </c>
      <c r="Y144" s="220">
        <f t="shared" si="36"/>
        <v>0</v>
      </c>
      <c r="AA144" s="220" t="str">
        <f t="shared" si="37"/>
        <v>漢寶</v>
      </c>
      <c r="AB144" s="220" t="s">
        <v>2106</v>
      </c>
      <c r="AC144" s="220" t="str">
        <f>LEFT(B144,4)</f>
        <v>9GE7</v>
      </c>
      <c r="BB144" s="514" t="s">
        <v>2140</v>
      </c>
      <c r="BC144" s="514">
        <v>1939</v>
      </c>
      <c r="BD144" s="514">
        <v>4</v>
      </c>
      <c r="BE144" s="514">
        <v>1943</v>
      </c>
      <c r="BG144" s="229" t="s">
        <v>8399</v>
      </c>
      <c r="BH144" s="230" t="s">
        <v>8425</v>
      </c>
      <c r="BI144" t="s">
        <v>2106</v>
      </c>
      <c r="BJ144" t="s">
        <v>2104</v>
      </c>
    </row>
    <row r="145" spans="1:62">
      <c r="A145" s="229" t="s">
        <v>6336</v>
      </c>
      <c r="B145" s="230" t="s">
        <v>6453</v>
      </c>
      <c r="C145" s="230" t="s">
        <v>6454</v>
      </c>
      <c r="D145" s="229" t="s">
        <v>5933</v>
      </c>
      <c r="E145" s="229" t="s">
        <v>6455</v>
      </c>
      <c r="F145" s="229" t="s">
        <v>5650</v>
      </c>
      <c r="G145" s="229" t="s">
        <v>6454</v>
      </c>
      <c r="H145" s="229" t="s">
        <v>5650</v>
      </c>
      <c r="I145" s="229" t="s">
        <v>6456</v>
      </c>
      <c r="J145" s="231" t="s">
        <v>6457</v>
      </c>
      <c r="K145" s="231" t="s">
        <v>6458</v>
      </c>
      <c r="L145" s="220" t="str">
        <f t="shared" si="38"/>
        <v>9GE5</v>
      </c>
      <c r="M145" s="220" t="str">
        <f t="shared" si="39"/>
        <v/>
      </c>
      <c r="N145" s="220" t="str">
        <f t="shared" si="40"/>
        <v/>
      </c>
      <c r="O145" s="220" t="str">
        <f t="shared" si="41"/>
        <v/>
      </c>
      <c r="P145" s="52" t="str">
        <f t="shared" si="42"/>
        <v>9GE5</v>
      </c>
      <c r="Q145" s="231" t="str">
        <f t="shared" si="43"/>
        <v>282</v>
      </c>
      <c r="R145" s="224">
        <f t="shared" si="44"/>
        <v>282</v>
      </c>
      <c r="S145" s="52">
        <f t="shared" si="45"/>
        <v>282</v>
      </c>
      <c r="T145" s="221" t="e">
        <f t="shared" ca="1" si="46"/>
        <v>#VALUE!</v>
      </c>
      <c r="U145" s="221" t="str">
        <f t="shared" si="47"/>
        <v/>
      </c>
      <c r="V145" s="220" t="str">
        <f t="array" ref="V145">INDEX(P:P,MAX(U$3:U145))</f>
        <v>9G#3DTR(B)</v>
      </c>
      <c r="W145" s="220" t="str">
        <f t="shared" ca="1" si="48"/>
        <v/>
      </c>
      <c r="X145" s="220" t="e">
        <f t="shared" si="49"/>
        <v>#VALUE!</v>
      </c>
      <c r="Y145" s="220">
        <f t="shared" si="36"/>
        <v>0</v>
      </c>
      <c r="AA145" s="220" t="str">
        <f t="shared" si="37"/>
        <v>漢寶</v>
      </c>
      <c r="AB145" s="220" t="s">
        <v>2107</v>
      </c>
      <c r="AC145" s="220" t="s">
        <v>2107</v>
      </c>
      <c r="BB145" s="514" t="s">
        <v>2141</v>
      </c>
      <c r="BC145" s="514">
        <v>1804</v>
      </c>
      <c r="BD145" s="514" t="s">
        <v>85</v>
      </c>
      <c r="BE145" s="514">
        <v>1804</v>
      </c>
      <c r="BG145" s="229" t="s">
        <v>8399</v>
      </c>
      <c r="BH145" s="230" t="s">
        <v>8426</v>
      </c>
      <c r="BI145" t="s">
        <v>2107</v>
      </c>
      <c r="BJ145" t="s">
        <v>2104</v>
      </c>
    </row>
    <row r="146" spans="1:62">
      <c r="A146" s="229" t="s">
        <v>6336</v>
      </c>
      <c r="B146" s="230" t="s">
        <v>6459</v>
      </c>
      <c r="C146" s="230" t="s">
        <v>6460</v>
      </c>
      <c r="D146" s="229" t="s">
        <v>6461</v>
      </c>
      <c r="E146" s="229" t="s">
        <v>6460</v>
      </c>
      <c r="F146" s="229" t="s">
        <v>5650</v>
      </c>
      <c r="G146" s="229" t="s">
        <v>6462</v>
      </c>
      <c r="H146" s="229" t="s">
        <v>6463</v>
      </c>
      <c r="I146" s="229" t="s">
        <v>6464</v>
      </c>
      <c r="J146" s="231" t="s">
        <v>5699</v>
      </c>
      <c r="K146" s="231" t="s">
        <v>5628</v>
      </c>
      <c r="L146" s="220" t="str">
        <f t="shared" si="38"/>
        <v>9GE4</v>
      </c>
      <c r="M146" s="220" t="str">
        <f t="shared" si="39"/>
        <v/>
      </c>
      <c r="N146" s="220" t="str">
        <f t="shared" si="40"/>
        <v/>
      </c>
      <c r="O146" s="220" t="str">
        <f t="shared" si="41"/>
        <v/>
      </c>
      <c r="P146" s="52" t="str">
        <f t="shared" si="42"/>
        <v>9GE4</v>
      </c>
      <c r="Q146" s="231" t="str">
        <f t="shared" si="43"/>
        <v>181</v>
      </c>
      <c r="R146" s="224">
        <f t="shared" si="44"/>
        <v>181</v>
      </c>
      <c r="S146" s="52">
        <f t="shared" si="45"/>
        <v>181</v>
      </c>
      <c r="T146" s="221" t="e">
        <f t="shared" ca="1" si="46"/>
        <v>#VALUE!</v>
      </c>
      <c r="U146" s="221" t="str">
        <f t="shared" si="47"/>
        <v/>
      </c>
      <c r="V146" s="220" t="str">
        <f t="array" ref="V146">INDEX(P:P,MAX(U$3:U146))</f>
        <v>9G#3DTR(B)</v>
      </c>
      <c r="W146" s="220" t="str">
        <f t="shared" ca="1" si="48"/>
        <v/>
      </c>
      <c r="X146" s="220" t="e">
        <f t="shared" si="49"/>
        <v>#VALUE!</v>
      </c>
      <c r="Y146" s="220">
        <f t="shared" si="36"/>
        <v>0</v>
      </c>
      <c r="AA146" s="220" t="str">
        <f t="shared" si="37"/>
        <v>漢寶</v>
      </c>
      <c r="AB146" s="220" t="s">
        <v>2108</v>
      </c>
      <c r="AC146" s="220" t="s">
        <v>2108</v>
      </c>
      <c r="BB146" s="514" t="s">
        <v>2142</v>
      </c>
      <c r="BC146" s="514" t="s">
        <v>85</v>
      </c>
      <c r="BD146" s="514" t="s">
        <v>85</v>
      </c>
      <c r="BE146" s="514">
        <v>0</v>
      </c>
      <c r="BG146" s="229" t="s">
        <v>8399</v>
      </c>
      <c r="BH146" s="230" t="s">
        <v>409</v>
      </c>
      <c r="BI146" t="s">
        <v>2108</v>
      </c>
      <c r="BJ146" t="s">
        <v>2104</v>
      </c>
    </row>
    <row r="147" spans="1:62">
      <c r="A147" s="229" t="s">
        <v>6465</v>
      </c>
      <c r="B147" s="230" t="s">
        <v>6466</v>
      </c>
      <c r="C147" s="230" t="s">
        <v>6467</v>
      </c>
      <c r="D147" s="229" t="s">
        <v>6468</v>
      </c>
      <c r="E147" s="229" t="s">
        <v>6469</v>
      </c>
      <c r="F147" s="229" t="s">
        <v>6470</v>
      </c>
      <c r="G147" s="229" t="s">
        <v>6471</v>
      </c>
      <c r="H147" s="229" t="s">
        <v>797</v>
      </c>
      <c r="I147" s="229" t="s">
        <v>6472</v>
      </c>
      <c r="J147" s="231" t="s">
        <v>5585</v>
      </c>
      <c r="K147" s="231" t="s">
        <v>5585</v>
      </c>
      <c r="L147" s="220" t="str">
        <f t="shared" si="38"/>
        <v>9H#2DTR(A)</v>
      </c>
      <c r="M147" s="220" t="str">
        <f t="shared" si="39"/>
        <v>(A)</v>
      </c>
      <c r="N147" s="220" t="str">
        <f t="shared" si="40"/>
        <v>9H#2DTR</v>
      </c>
      <c r="O147" s="220" t="str">
        <f t="shared" si="41"/>
        <v>(A)</v>
      </c>
      <c r="P147" s="52" t="str">
        <f t="shared" si="42"/>
        <v>9H#2DTR(A)</v>
      </c>
      <c r="Q147" s="231" t="str">
        <f t="shared" si="43"/>
        <v>741</v>
      </c>
      <c r="R147" s="224">
        <f t="shared" si="44"/>
        <v>722.33333333333337</v>
      </c>
      <c r="S147" s="52">
        <f t="shared" si="45"/>
        <v>692</v>
      </c>
      <c r="T147" s="221">
        <f t="shared" ca="1" si="46"/>
        <v>14.63</v>
      </c>
      <c r="U147" s="221">
        <f t="shared" si="47"/>
        <v>147</v>
      </c>
      <c r="V147" s="220" t="str">
        <f t="array" ref="V147">INDEX(P:P,MAX(U$3:U147))</f>
        <v>9H#2DTR(A)</v>
      </c>
      <c r="W147" s="220">
        <f t="shared" ca="1" si="48"/>
        <v>30</v>
      </c>
      <c r="X147" s="220" t="str">
        <f t="shared" si="49"/>
        <v/>
      </c>
      <c r="Y147" s="220">
        <f t="shared" si="36"/>
        <v>0</v>
      </c>
      <c r="AA147" s="220" t="str">
        <f t="shared" si="37"/>
        <v>草港</v>
      </c>
      <c r="AB147" s="220" t="s">
        <v>2109</v>
      </c>
      <c r="AC147" s="220" t="s">
        <v>2109</v>
      </c>
      <c r="BB147" s="514" t="s">
        <v>2143</v>
      </c>
      <c r="BC147" s="514">
        <v>2315</v>
      </c>
      <c r="BD147" s="514">
        <v>1</v>
      </c>
      <c r="BE147" s="514">
        <v>2316</v>
      </c>
      <c r="BG147" s="229" t="s">
        <v>8427</v>
      </c>
      <c r="BH147" s="230" t="s">
        <v>8428</v>
      </c>
      <c r="BI147" t="s">
        <v>2109</v>
      </c>
      <c r="BJ147" t="s">
        <v>2109</v>
      </c>
    </row>
    <row r="148" spans="1:62">
      <c r="A148" s="229" t="s">
        <v>6473</v>
      </c>
      <c r="B148" s="230" t="s">
        <v>6474</v>
      </c>
      <c r="C148" s="230" t="s">
        <v>6475</v>
      </c>
      <c r="D148" s="229" t="s">
        <v>6139</v>
      </c>
      <c r="E148" s="229" t="s">
        <v>5614</v>
      </c>
      <c r="F148" s="229" t="s">
        <v>6476</v>
      </c>
      <c r="G148" s="229" t="s">
        <v>5614</v>
      </c>
      <c r="H148" s="229" t="s">
        <v>6452</v>
      </c>
      <c r="I148" s="229" t="s">
        <v>5614</v>
      </c>
      <c r="J148" s="231" t="s">
        <v>6434</v>
      </c>
      <c r="K148" s="231" t="s">
        <v>5628</v>
      </c>
      <c r="L148" s="220" t="str">
        <f t="shared" si="38"/>
        <v>9H20</v>
      </c>
      <c r="M148" s="220" t="str">
        <f t="shared" si="39"/>
        <v/>
      </c>
      <c r="N148" s="220" t="str">
        <f t="shared" si="40"/>
        <v/>
      </c>
      <c r="O148" s="220" t="str">
        <f t="shared" si="41"/>
        <v/>
      </c>
      <c r="P148" s="52" t="str">
        <f t="shared" si="42"/>
        <v>9H20</v>
      </c>
      <c r="Q148" s="231" t="str">
        <f t="shared" si="43"/>
        <v>0</v>
      </c>
      <c r="R148" s="224">
        <f t="shared" si="44"/>
        <v>0</v>
      </c>
      <c r="S148" s="52">
        <f t="shared" si="45"/>
        <v>0</v>
      </c>
      <c r="T148" s="221">
        <f t="shared" ca="1" si="46"/>
        <v>0</v>
      </c>
      <c r="U148" s="221" t="str">
        <f t="shared" si="47"/>
        <v/>
      </c>
      <c r="V148" s="220" t="str">
        <f t="array" ref="V148">INDEX(P:P,MAX(U$3:U148))</f>
        <v>9H#2DTR(A)</v>
      </c>
      <c r="W148" s="220" t="str">
        <f t="shared" ca="1" si="48"/>
        <v/>
      </c>
      <c r="X148" s="220">
        <f t="shared" si="49"/>
        <v>11.4</v>
      </c>
      <c r="Y148" s="220">
        <f t="shared" si="36"/>
        <v>0</v>
      </c>
      <c r="AA148" s="220" t="str">
        <f t="shared" si="37"/>
        <v>草港</v>
      </c>
      <c r="AB148" s="220" t="s">
        <v>2110</v>
      </c>
      <c r="AC148" s="220" t="str">
        <f>LEFT(B148,4)</f>
        <v>9H20</v>
      </c>
      <c r="BB148" s="514" t="s">
        <v>2145</v>
      </c>
      <c r="BC148" s="514">
        <v>3682</v>
      </c>
      <c r="BD148" s="514">
        <v>3</v>
      </c>
      <c r="BE148" s="514">
        <v>3685</v>
      </c>
      <c r="BG148" s="229" t="s">
        <v>8427</v>
      </c>
      <c r="BH148" s="230" t="s">
        <v>8429</v>
      </c>
      <c r="BI148" t="s">
        <v>2110</v>
      </c>
      <c r="BJ148" t="s">
        <v>2109</v>
      </c>
    </row>
    <row r="149" spans="1:62">
      <c r="A149" s="229" t="s">
        <v>6477</v>
      </c>
      <c r="B149" s="230" t="s">
        <v>6478</v>
      </c>
      <c r="C149" s="230" t="s">
        <v>6479</v>
      </c>
      <c r="D149" s="229" t="s">
        <v>6046</v>
      </c>
      <c r="E149" s="229" t="s">
        <v>6480</v>
      </c>
      <c r="F149" s="229" t="s">
        <v>6481</v>
      </c>
      <c r="G149" s="229" t="s">
        <v>6482</v>
      </c>
      <c r="H149" s="229" t="s">
        <v>6483</v>
      </c>
      <c r="I149" s="229" t="s">
        <v>6484</v>
      </c>
      <c r="J149" s="231" t="s">
        <v>6485</v>
      </c>
      <c r="K149" s="231" t="s">
        <v>6486</v>
      </c>
      <c r="L149" s="220" t="str">
        <f t="shared" si="38"/>
        <v>9H21</v>
      </c>
      <c r="M149" s="220" t="str">
        <f t="shared" si="39"/>
        <v/>
      </c>
      <c r="N149" s="220" t="str">
        <f t="shared" si="40"/>
        <v/>
      </c>
      <c r="O149" s="220" t="str">
        <f t="shared" si="41"/>
        <v/>
      </c>
      <c r="P149" s="52" t="str">
        <f t="shared" si="42"/>
        <v>9H21</v>
      </c>
      <c r="Q149" s="231" t="str">
        <f t="shared" si="43"/>
        <v>146</v>
      </c>
      <c r="R149" s="224">
        <f t="shared" si="44"/>
        <v>139.33333333333334</v>
      </c>
      <c r="S149" s="52">
        <f t="shared" si="45"/>
        <v>132</v>
      </c>
      <c r="T149" s="221">
        <f t="shared" ca="1" si="46"/>
        <v>2.88</v>
      </c>
      <c r="U149" s="221" t="str">
        <f t="shared" si="47"/>
        <v/>
      </c>
      <c r="V149" s="220" t="str">
        <f t="array" ref="V149">INDEX(P:P,MAX(U$3:U149))</f>
        <v>9H#2DTR(A)</v>
      </c>
      <c r="W149" s="220" t="str">
        <f t="shared" ca="1" si="48"/>
        <v/>
      </c>
      <c r="X149" s="220">
        <f t="shared" si="49"/>
        <v>11.4</v>
      </c>
      <c r="Y149" s="220">
        <f t="shared" si="36"/>
        <v>0</v>
      </c>
      <c r="AA149" s="220" t="str">
        <f t="shared" si="37"/>
        <v>草港</v>
      </c>
      <c r="AB149" s="220" t="s">
        <v>2111</v>
      </c>
      <c r="AC149" s="220" t="str">
        <f>LEFT(B149,3)</f>
        <v>下港線</v>
      </c>
      <c r="BB149" s="514" t="s">
        <v>2146</v>
      </c>
      <c r="BC149" s="514">
        <v>3248</v>
      </c>
      <c r="BD149" s="514">
        <v>3</v>
      </c>
      <c r="BE149" s="514">
        <v>3251</v>
      </c>
      <c r="BG149" s="229" t="s">
        <v>8427</v>
      </c>
      <c r="BH149" s="230" t="s">
        <v>8430</v>
      </c>
      <c r="BI149" t="s">
        <v>2111</v>
      </c>
      <c r="BJ149" t="s">
        <v>2109</v>
      </c>
    </row>
    <row r="150" spans="1:62">
      <c r="A150" s="229" t="s">
        <v>18</v>
      </c>
      <c r="B150" s="230" t="s">
        <v>410</v>
      </c>
      <c r="C150" s="230" t="s">
        <v>6487</v>
      </c>
      <c r="D150" s="229" t="s">
        <v>5986</v>
      </c>
      <c r="E150" s="229" t="s">
        <v>6488</v>
      </c>
      <c r="F150" s="229" t="s">
        <v>783</v>
      </c>
      <c r="G150" s="229" t="s">
        <v>6489</v>
      </c>
      <c r="H150" s="229" t="s">
        <v>6190</v>
      </c>
      <c r="I150" s="229" t="s">
        <v>858</v>
      </c>
      <c r="J150" s="231" t="s">
        <v>6490</v>
      </c>
      <c r="K150" s="231" t="s">
        <v>6491</v>
      </c>
      <c r="L150" s="220" t="str">
        <f t="shared" si="38"/>
        <v>9H22</v>
      </c>
      <c r="M150" s="220" t="str">
        <f t="shared" si="39"/>
        <v/>
      </c>
      <c r="N150" s="220" t="str">
        <f t="shared" si="40"/>
        <v/>
      </c>
      <c r="O150" s="220" t="str">
        <f t="shared" si="41"/>
        <v/>
      </c>
      <c r="P150" s="52" t="str">
        <f t="shared" si="42"/>
        <v>9H22</v>
      </c>
      <c r="Q150" s="231" t="str">
        <f t="shared" si="43"/>
        <v>150</v>
      </c>
      <c r="R150" s="224">
        <f t="shared" si="44"/>
        <v>127</v>
      </c>
      <c r="S150" s="52">
        <f t="shared" si="45"/>
        <v>109</v>
      </c>
      <c r="T150" s="221">
        <f t="shared" ca="1" si="46"/>
        <v>2.96</v>
      </c>
      <c r="U150" s="221" t="str">
        <f t="shared" si="47"/>
        <v/>
      </c>
      <c r="V150" s="220" t="str">
        <f t="array" ref="V150">INDEX(P:P,MAX(U$3:U150))</f>
        <v>9H#2DTR(A)</v>
      </c>
      <c r="W150" s="220" t="str">
        <f t="shared" ca="1" si="48"/>
        <v/>
      </c>
      <c r="X150" s="220">
        <f t="shared" si="49"/>
        <v>11.4</v>
      </c>
      <c r="Y150" s="220">
        <f t="shared" si="36"/>
        <v>0</v>
      </c>
      <c r="AA150" s="220" t="str">
        <f t="shared" si="37"/>
        <v>草港</v>
      </c>
      <c r="AB150" s="220" t="s">
        <v>2112</v>
      </c>
      <c r="AC150" s="220" t="str">
        <f>LEFT(B150,3)</f>
        <v>草塭線</v>
      </c>
      <c r="BB150" s="514" t="s">
        <v>2147</v>
      </c>
      <c r="BC150" s="514">
        <v>948</v>
      </c>
      <c r="BD150" s="514">
        <v>1</v>
      </c>
      <c r="BE150" s="514">
        <v>949</v>
      </c>
      <c r="BG150" s="229" t="s">
        <v>8427</v>
      </c>
      <c r="BH150" s="230" t="s">
        <v>8431</v>
      </c>
      <c r="BI150" t="s">
        <v>2112</v>
      </c>
      <c r="BJ150" t="s">
        <v>2109</v>
      </c>
    </row>
    <row r="151" spans="1:62">
      <c r="A151" s="229" t="s">
        <v>6473</v>
      </c>
      <c r="B151" s="230" t="s">
        <v>6492</v>
      </c>
      <c r="C151" s="230" t="s">
        <v>6493</v>
      </c>
      <c r="D151" s="229" t="s">
        <v>6494</v>
      </c>
      <c r="E151" s="229" t="s">
        <v>6495</v>
      </c>
      <c r="F151" s="229" t="s">
        <v>6496</v>
      </c>
      <c r="G151" s="229" t="s">
        <v>6497</v>
      </c>
      <c r="H151" s="229" t="s">
        <v>6095</v>
      </c>
      <c r="I151" s="229" t="s">
        <v>6493</v>
      </c>
      <c r="J151" s="231" t="s">
        <v>6498</v>
      </c>
      <c r="K151" s="231" t="s">
        <v>5650</v>
      </c>
      <c r="L151" s="220" t="str">
        <f t="shared" si="38"/>
        <v>9H23</v>
      </c>
      <c r="M151" s="220" t="str">
        <f t="shared" si="39"/>
        <v/>
      </c>
      <c r="N151" s="220" t="str">
        <f t="shared" si="40"/>
        <v/>
      </c>
      <c r="O151" s="220" t="str">
        <f t="shared" si="41"/>
        <v/>
      </c>
      <c r="P151" s="52" t="str">
        <f t="shared" si="42"/>
        <v>9H23</v>
      </c>
      <c r="Q151" s="231" t="str">
        <f t="shared" si="43"/>
        <v>104</v>
      </c>
      <c r="R151" s="224">
        <f t="shared" si="44"/>
        <v>93.666666666666671</v>
      </c>
      <c r="S151" s="52">
        <f t="shared" si="45"/>
        <v>81</v>
      </c>
      <c r="T151" s="221">
        <f t="shared" ca="1" si="46"/>
        <v>2.0499999999999998</v>
      </c>
      <c r="U151" s="221" t="str">
        <f t="shared" si="47"/>
        <v/>
      </c>
      <c r="V151" s="220" t="str">
        <f t="array" ref="V151">INDEX(P:P,MAX(U$3:U151))</f>
        <v>9H#2DTR(A)</v>
      </c>
      <c r="W151" s="220" t="str">
        <f t="shared" ca="1" si="48"/>
        <v/>
      </c>
      <c r="X151" s="220">
        <f t="shared" si="49"/>
        <v>11.4</v>
      </c>
      <c r="Y151" s="220">
        <f t="shared" si="36"/>
        <v>0</v>
      </c>
      <c r="AA151" s="220" t="str">
        <f t="shared" si="37"/>
        <v>草港</v>
      </c>
      <c r="AB151" s="220" t="s">
        <v>2113</v>
      </c>
      <c r="AC151" s="220" t="str">
        <f>LEFT(B151,3)</f>
        <v>崙尾線</v>
      </c>
      <c r="BB151" s="514" t="s">
        <v>2148</v>
      </c>
      <c r="BC151" s="514">
        <v>1944</v>
      </c>
      <c r="BD151" s="514">
        <v>1</v>
      </c>
      <c r="BE151" s="514">
        <v>1945</v>
      </c>
      <c r="BG151" s="229" t="s">
        <v>8432</v>
      </c>
      <c r="BH151" s="230" t="s">
        <v>8433</v>
      </c>
      <c r="BI151" t="s">
        <v>2113</v>
      </c>
      <c r="BJ151" t="s">
        <v>2109</v>
      </c>
    </row>
    <row r="152" spans="1:62">
      <c r="A152" s="229" t="s">
        <v>6473</v>
      </c>
      <c r="B152" s="230" t="s">
        <v>411</v>
      </c>
      <c r="C152" s="230" t="s">
        <v>5768</v>
      </c>
      <c r="D152" s="229" t="s">
        <v>5764</v>
      </c>
      <c r="E152" s="229" t="s">
        <v>6499</v>
      </c>
      <c r="F152" s="229" t="s">
        <v>5764</v>
      </c>
      <c r="G152" s="229" t="s">
        <v>6500</v>
      </c>
      <c r="H152" s="229" t="s">
        <v>5764</v>
      </c>
      <c r="I152" s="229" t="s">
        <v>855</v>
      </c>
      <c r="J152" s="231" t="s">
        <v>6501</v>
      </c>
      <c r="K152" s="231" t="s">
        <v>5685</v>
      </c>
      <c r="L152" s="220" t="str">
        <f t="shared" si="38"/>
        <v>9H24</v>
      </c>
      <c r="M152" s="220" t="str">
        <f t="shared" si="39"/>
        <v/>
      </c>
      <c r="N152" s="220" t="str">
        <f t="shared" si="40"/>
        <v/>
      </c>
      <c r="O152" s="220" t="str">
        <f t="shared" si="41"/>
        <v/>
      </c>
      <c r="P152" s="52" t="str">
        <f t="shared" si="42"/>
        <v>9H24</v>
      </c>
      <c r="Q152" s="231" t="str">
        <f t="shared" si="43"/>
        <v>202</v>
      </c>
      <c r="R152" s="224">
        <f t="shared" si="44"/>
        <v>201</v>
      </c>
      <c r="S152" s="52">
        <f t="shared" si="45"/>
        <v>200</v>
      </c>
      <c r="T152" s="221">
        <f t="shared" ca="1" si="46"/>
        <v>3.99</v>
      </c>
      <c r="U152" s="221" t="str">
        <f t="shared" si="47"/>
        <v/>
      </c>
      <c r="V152" s="220" t="str">
        <f t="array" ref="V152">INDEX(P:P,MAX(U$3:U152))</f>
        <v>9H#2DTR(A)</v>
      </c>
      <c r="W152" s="220" t="str">
        <f t="shared" ca="1" si="48"/>
        <v/>
      </c>
      <c r="X152" s="220">
        <f t="shared" si="49"/>
        <v>11.4</v>
      </c>
      <c r="Y152" s="220">
        <f t="shared" si="36"/>
        <v>0</v>
      </c>
      <c r="AA152" s="220" t="str">
        <f t="shared" si="37"/>
        <v>草港</v>
      </c>
      <c r="AB152" s="220" t="s">
        <v>2114</v>
      </c>
      <c r="AC152" s="220" t="str">
        <f>LEFT(B152,3)</f>
        <v>崙草線</v>
      </c>
      <c r="BB152" s="514" t="s">
        <v>2149</v>
      </c>
      <c r="BC152" s="514">
        <v>502</v>
      </c>
      <c r="BD152" s="514" t="s">
        <v>85</v>
      </c>
      <c r="BE152" s="514">
        <v>502</v>
      </c>
      <c r="BG152" s="229" t="s">
        <v>8432</v>
      </c>
      <c r="BH152" s="230" t="s">
        <v>8434</v>
      </c>
      <c r="BI152" t="s">
        <v>2114</v>
      </c>
      <c r="BJ152" t="s">
        <v>2109</v>
      </c>
    </row>
    <row r="153" spans="1:62">
      <c r="A153" s="229" t="s">
        <v>6473</v>
      </c>
      <c r="B153" s="230" t="s">
        <v>6502</v>
      </c>
      <c r="C153" s="230" t="s">
        <v>856</v>
      </c>
      <c r="D153" s="229" t="s">
        <v>5949</v>
      </c>
      <c r="E153" s="229" t="s">
        <v>1017</v>
      </c>
      <c r="F153" s="229" t="s">
        <v>845</v>
      </c>
      <c r="G153" s="229" t="s">
        <v>902</v>
      </c>
      <c r="H153" s="229" t="s">
        <v>5949</v>
      </c>
      <c r="I153" s="229" t="s">
        <v>856</v>
      </c>
      <c r="J153" s="231" t="s">
        <v>942</v>
      </c>
      <c r="K153" s="231" t="s">
        <v>835</v>
      </c>
      <c r="L153" s="220" t="str">
        <f t="shared" si="38"/>
        <v>9H25</v>
      </c>
      <c r="M153" s="220" t="str">
        <f t="shared" si="39"/>
        <v/>
      </c>
      <c r="N153" s="220" t="str">
        <f t="shared" si="40"/>
        <v/>
      </c>
      <c r="O153" s="220" t="str">
        <f t="shared" si="41"/>
        <v/>
      </c>
      <c r="P153" s="52" t="str">
        <f t="shared" si="42"/>
        <v>9H25</v>
      </c>
      <c r="Q153" s="231" t="str">
        <f t="shared" si="43"/>
        <v>244</v>
      </c>
      <c r="R153" s="224">
        <f t="shared" si="44"/>
        <v>231.66666666666666</v>
      </c>
      <c r="S153" s="52">
        <f t="shared" si="45"/>
        <v>223</v>
      </c>
      <c r="T153" s="221">
        <f t="shared" ca="1" si="46"/>
        <v>4.82</v>
      </c>
      <c r="U153" s="221" t="str">
        <f t="shared" si="47"/>
        <v/>
      </c>
      <c r="V153" s="220" t="str">
        <f t="array" ref="V153">INDEX(P:P,MAX(U$3:U153))</f>
        <v>9H#2DTR(A)</v>
      </c>
      <c r="W153" s="220" t="str">
        <f t="shared" ca="1" si="48"/>
        <v/>
      </c>
      <c r="X153" s="220">
        <f t="shared" si="49"/>
        <v>11.4</v>
      </c>
      <c r="Y153" s="220">
        <f t="shared" si="36"/>
        <v>0</v>
      </c>
      <c r="AA153" s="220" t="str">
        <f t="shared" si="37"/>
        <v>草港</v>
      </c>
      <c r="AB153" s="220" t="s">
        <v>2115</v>
      </c>
      <c r="AC153" s="220" t="str">
        <f>LEFT(B153,3)</f>
        <v>南勢線</v>
      </c>
      <c r="BB153" s="514" t="s">
        <v>2151</v>
      </c>
      <c r="BC153" s="514">
        <v>1343</v>
      </c>
      <c r="BD153" s="514" t="s">
        <v>85</v>
      </c>
      <c r="BE153" s="514">
        <v>1343</v>
      </c>
      <c r="BG153" s="229" t="s">
        <v>8432</v>
      </c>
      <c r="BH153" s="230" t="s">
        <v>8435</v>
      </c>
      <c r="BI153" t="s">
        <v>2115</v>
      </c>
      <c r="BJ153" t="s">
        <v>2109</v>
      </c>
    </row>
    <row r="154" spans="1:62">
      <c r="A154" s="229" t="s">
        <v>6503</v>
      </c>
      <c r="B154" s="230" t="s">
        <v>6504</v>
      </c>
      <c r="C154" s="230" t="s">
        <v>6505</v>
      </c>
      <c r="D154" s="229" t="s">
        <v>6506</v>
      </c>
      <c r="E154" s="229" t="s">
        <v>6507</v>
      </c>
      <c r="F154" s="229" t="s">
        <v>6468</v>
      </c>
      <c r="G154" s="229" t="s">
        <v>6508</v>
      </c>
      <c r="H154" s="229" t="s">
        <v>6506</v>
      </c>
      <c r="I154" s="229" t="s">
        <v>6507</v>
      </c>
      <c r="J154" s="231" t="s">
        <v>6509</v>
      </c>
      <c r="K154" s="231" t="s">
        <v>5585</v>
      </c>
      <c r="L154" s="220" t="str">
        <f t="shared" si="38"/>
        <v>9H#2DTR(B)</v>
      </c>
      <c r="M154" s="220" t="str">
        <f t="shared" si="39"/>
        <v>(B)</v>
      </c>
      <c r="N154" s="220" t="str">
        <f t="shared" si="40"/>
        <v>9H#2DTR</v>
      </c>
      <c r="O154" s="220" t="str">
        <f t="shared" si="41"/>
        <v>(B)</v>
      </c>
      <c r="P154" s="52" t="str">
        <f t="shared" si="42"/>
        <v>9H#2DTR(B)</v>
      </c>
      <c r="Q154" s="231" t="str">
        <f t="shared" si="43"/>
        <v>651</v>
      </c>
      <c r="R154" s="224">
        <f t="shared" si="44"/>
        <v>634</v>
      </c>
      <c r="S154" s="52">
        <f t="shared" si="45"/>
        <v>606</v>
      </c>
      <c r="T154" s="221">
        <f t="shared" ca="1" si="46"/>
        <v>12.85</v>
      </c>
      <c r="U154" s="221">
        <f t="shared" si="47"/>
        <v>154</v>
      </c>
      <c r="V154" s="220" t="str">
        <f t="array" ref="V154">INDEX(P:P,MAX(U$3:U154))</f>
        <v>9H#2DTR(B)</v>
      </c>
      <c r="W154" s="220">
        <f t="shared" ca="1" si="48"/>
        <v>30</v>
      </c>
      <c r="X154" s="220" t="str">
        <f t="shared" si="49"/>
        <v/>
      </c>
      <c r="Y154" s="220">
        <f t="shared" si="36"/>
        <v>0</v>
      </c>
      <c r="AA154" s="220" t="str">
        <f t="shared" si="37"/>
        <v>草港</v>
      </c>
      <c r="AB154" s="220" t="s">
        <v>2116</v>
      </c>
      <c r="AC154" s="220" t="s">
        <v>2116</v>
      </c>
      <c r="BB154" s="514" t="s">
        <v>2152</v>
      </c>
      <c r="BC154" s="514">
        <v>236</v>
      </c>
      <c r="BD154" s="514">
        <v>1</v>
      </c>
      <c r="BE154" s="514">
        <v>237</v>
      </c>
      <c r="BG154" s="229" t="s">
        <v>18</v>
      </c>
      <c r="BH154" s="230" t="s">
        <v>388</v>
      </c>
      <c r="BI154" t="s">
        <v>2116</v>
      </c>
      <c r="BJ154" t="s">
        <v>2116</v>
      </c>
    </row>
    <row r="155" spans="1:62">
      <c r="A155" s="229" t="s">
        <v>18</v>
      </c>
      <c r="B155" s="230" t="s">
        <v>412</v>
      </c>
      <c r="C155" s="230" t="s">
        <v>6510</v>
      </c>
      <c r="D155" s="229" t="s">
        <v>846</v>
      </c>
      <c r="E155" s="229" t="s">
        <v>6511</v>
      </c>
      <c r="F155" s="229" t="s">
        <v>6468</v>
      </c>
      <c r="G155" s="229" t="s">
        <v>6143</v>
      </c>
      <c r="H155" s="229" t="s">
        <v>6512</v>
      </c>
      <c r="I155" s="229" t="s">
        <v>6511</v>
      </c>
      <c r="J155" s="231" t="s">
        <v>6513</v>
      </c>
      <c r="K155" s="231" t="s">
        <v>6515</v>
      </c>
      <c r="L155" s="220" t="str">
        <f t="shared" si="38"/>
        <v>9H26</v>
      </c>
      <c r="M155" s="220" t="str">
        <f t="shared" si="39"/>
        <v/>
      </c>
      <c r="N155" s="220" t="str">
        <f t="shared" si="40"/>
        <v/>
      </c>
      <c r="O155" s="220" t="str">
        <f t="shared" si="41"/>
        <v/>
      </c>
      <c r="P155" s="52" t="str">
        <f t="shared" si="42"/>
        <v>9H26</v>
      </c>
      <c r="Q155" s="231" t="str">
        <f t="shared" si="43"/>
        <v>185</v>
      </c>
      <c r="R155" s="224">
        <f t="shared" si="44"/>
        <v>180</v>
      </c>
      <c r="S155" s="52">
        <f t="shared" si="45"/>
        <v>176</v>
      </c>
      <c r="T155" s="221">
        <f t="shared" ca="1" si="46"/>
        <v>3.65</v>
      </c>
      <c r="U155" s="221" t="str">
        <f t="shared" si="47"/>
        <v/>
      </c>
      <c r="V155" s="220" t="str">
        <f t="array" ref="V155">INDEX(P:P,MAX(U$3:U155))</f>
        <v>9H#2DTR(B)</v>
      </c>
      <c r="W155" s="220" t="str">
        <f t="shared" ca="1" si="48"/>
        <v/>
      </c>
      <c r="X155" s="220">
        <f t="shared" si="49"/>
        <v>11.4</v>
      </c>
      <c r="Y155" s="220">
        <f t="shared" si="36"/>
        <v>0</v>
      </c>
      <c r="AA155" s="220" t="str">
        <f t="shared" si="37"/>
        <v>草港</v>
      </c>
      <c r="AB155" s="220" t="s">
        <v>2117</v>
      </c>
      <c r="AC155" s="220" t="str">
        <f>LEFT(B155,3)</f>
        <v>草洋線</v>
      </c>
      <c r="BB155" s="514" t="s">
        <v>2153</v>
      </c>
      <c r="BC155" s="514">
        <v>592</v>
      </c>
      <c r="BD155" s="514">
        <v>3</v>
      </c>
      <c r="BE155" s="514">
        <v>595</v>
      </c>
      <c r="BG155" s="229" t="s">
        <v>8427</v>
      </c>
      <c r="BH155" s="230" t="s">
        <v>8436</v>
      </c>
      <c r="BI155" t="s">
        <v>2117</v>
      </c>
      <c r="BJ155" t="s">
        <v>2116</v>
      </c>
    </row>
    <row r="156" spans="1:62">
      <c r="A156" s="229" t="s">
        <v>18</v>
      </c>
      <c r="B156" s="230" t="s">
        <v>6516</v>
      </c>
      <c r="C156" s="230" t="s">
        <v>6517</v>
      </c>
      <c r="D156" s="229" t="s">
        <v>5733</v>
      </c>
      <c r="E156" s="229" t="s">
        <v>6518</v>
      </c>
      <c r="F156" s="229" t="s">
        <v>6519</v>
      </c>
      <c r="G156" s="229" t="s">
        <v>826</v>
      </c>
      <c r="H156" s="229" t="s">
        <v>5733</v>
      </c>
      <c r="I156" s="229" t="s">
        <v>877</v>
      </c>
      <c r="J156" s="231" t="s">
        <v>6520</v>
      </c>
      <c r="K156" s="231" t="s">
        <v>6481</v>
      </c>
      <c r="L156" s="220" t="str">
        <f t="shared" si="38"/>
        <v>9H27</v>
      </c>
      <c r="M156" s="220" t="str">
        <f t="shared" si="39"/>
        <v/>
      </c>
      <c r="N156" s="220" t="str">
        <f t="shared" si="40"/>
        <v/>
      </c>
      <c r="O156" s="220" t="str">
        <f t="shared" si="41"/>
        <v/>
      </c>
      <c r="P156" s="52" t="str">
        <f t="shared" si="42"/>
        <v>9H27</v>
      </c>
      <c r="Q156" s="231" t="str">
        <f t="shared" si="43"/>
        <v>98</v>
      </c>
      <c r="R156" s="224">
        <f t="shared" si="44"/>
        <v>95</v>
      </c>
      <c r="S156" s="52">
        <f t="shared" si="45"/>
        <v>92</v>
      </c>
      <c r="T156" s="221">
        <f t="shared" ca="1" si="46"/>
        <v>1.94</v>
      </c>
      <c r="U156" s="221" t="str">
        <f t="shared" si="47"/>
        <v/>
      </c>
      <c r="V156" s="220" t="str">
        <f t="array" ref="V156">INDEX(P:P,MAX(U$3:U156))</f>
        <v>9H#2DTR(B)</v>
      </c>
      <c r="W156" s="220" t="str">
        <f t="shared" ca="1" si="48"/>
        <v/>
      </c>
      <c r="X156" s="220">
        <f t="shared" si="49"/>
        <v>11.4</v>
      </c>
      <c r="Y156" s="220">
        <f t="shared" si="36"/>
        <v>0</v>
      </c>
      <c r="AA156" s="220" t="str">
        <f t="shared" si="37"/>
        <v>草港</v>
      </c>
      <c r="AB156" s="220" t="s">
        <v>2118</v>
      </c>
      <c r="AC156" s="220" t="str">
        <f>LEFT(B156,3)</f>
        <v>草港線</v>
      </c>
      <c r="BB156" s="514" t="s">
        <v>2040</v>
      </c>
      <c r="BC156" s="514">
        <v>1606</v>
      </c>
      <c r="BD156" s="514">
        <v>1</v>
      </c>
      <c r="BE156" s="514">
        <v>1607</v>
      </c>
      <c r="BG156" s="229" t="s">
        <v>8427</v>
      </c>
      <c r="BH156" s="230" t="s">
        <v>8437</v>
      </c>
      <c r="BI156" t="s">
        <v>2118</v>
      </c>
      <c r="BJ156" t="s">
        <v>2116</v>
      </c>
    </row>
    <row r="157" spans="1:62">
      <c r="A157" s="229" t="s">
        <v>18</v>
      </c>
      <c r="B157" s="230" t="s">
        <v>413</v>
      </c>
      <c r="C157" s="230" t="s">
        <v>6521</v>
      </c>
      <c r="D157" s="229" t="s">
        <v>832</v>
      </c>
      <c r="E157" s="229" t="s">
        <v>6522</v>
      </c>
      <c r="F157" s="229" t="s">
        <v>6523</v>
      </c>
      <c r="G157" s="229" t="s">
        <v>1006</v>
      </c>
      <c r="H157" s="229" t="s">
        <v>832</v>
      </c>
      <c r="I157" s="229" t="s">
        <v>6524</v>
      </c>
      <c r="J157" s="231" t="s">
        <v>926</v>
      </c>
      <c r="K157" s="231" t="s">
        <v>6525</v>
      </c>
      <c r="L157" s="220" t="str">
        <f t="shared" si="38"/>
        <v>9H28</v>
      </c>
      <c r="M157" s="220" t="str">
        <f t="shared" si="39"/>
        <v/>
      </c>
      <c r="N157" s="220" t="str">
        <f t="shared" si="40"/>
        <v/>
      </c>
      <c r="O157" s="220" t="str">
        <f t="shared" si="41"/>
        <v/>
      </c>
      <c r="P157" s="52" t="str">
        <f t="shared" si="42"/>
        <v>9H28</v>
      </c>
      <c r="Q157" s="231" t="str">
        <f t="shared" si="43"/>
        <v>218</v>
      </c>
      <c r="R157" s="224">
        <f t="shared" si="44"/>
        <v>201.66666666666666</v>
      </c>
      <c r="S157" s="52">
        <f t="shared" si="45"/>
        <v>184</v>
      </c>
      <c r="T157" s="221">
        <f t="shared" ca="1" si="46"/>
        <v>4.3</v>
      </c>
      <c r="U157" s="221" t="str">
        <f t="shared" si="47"/>
        <v/>
      </c>
      <c r="V157" s="220" t="str">
        <f t="array" ref="V157">INDEX(P:P,MAX(U$3:U157))</f>
        <v>9H#2DTR(B)</v>
      </c>
      <c r="W157" s="220" t="str">
        <f t="shared" ca="1" si="48"/>
        <v/>
      </c>
      <c r="X157" s="220">
        <f t="shared" si="49"/>
        <v>11.4</v>
      </c>
      <c r="Y157" s="220">
        <f t="shared" si="36"/>
        <v>0</v>
      </c>
      <c r="AA157" s="220" t="str">
        <f t="shared" si="37"/>
        <v>草港</v>
      </c>
      <c r="AB157" s="220" t="s">
        <v>2119</v>
      </c>
      <c r="AC157" s="220" t="str">
        <f>LEFT(B157,3)</f>
        <v>草莊線</v>
      </c>
      <c r="BB157" s="514" t="s">
        <v>2154</v>
      </c>
      <c r="BC157" s="514">
        <v>3113</v>
      </c>
      <c r="BD157" s="514">
        <v>8</v>
      </c>
      <c r="BE157" s="514">
        <v>3121</v>
      </c>
      <c r="BG157" s="229" t="s">
        <v>8427</v>
      </c>
      <c r="BH157" s="230" t="s">
        <v>8438</v>
      </c>
      <c r="BI157" t="s">
        <v>2119</v>
      </c>
      <c r="BJ157" t="s">
        <v>2116</v>
      </c>
    </row>
    <row r="158" spans="1:62">
      <c r="A158" s="229" t="s">
        <v>18</v>
      </c>
      <c r="B158" s="230" t="s">
        <v>6526</v>
      </c>
      <c r="C158" s="230" t="s">
        <v>6527</v>
      </c>
      <c r="D158" s="229" t="s">
        <v>850</v>
      </c>
      <c r="E158" s="229" t="s">
        <v>6528</v>
      </c>
      <c r="F158" s="229" t="s">
        <v>850</v>
      </c>
      <c r="G158" s="229" t="s">
        <v>6529</v>
      </c>
      <c r="H158" s="229" t="s">
        <v>6530</v>
      </c>
      <c r="I158" s="229" t="s">
        <v>823</v>
      </c>
      <c r="J158" s="231" t="s">
        <v>844</v>
      </c>
      <c r="K158" s="231" t="s">
        <v>5949</v>
      </c>
      <c r="L158" s="220" t="str">
        <f t="shared" si="38"/>
        <v>9H29</v>
      </c>
      <c r="M158" s="220" t="str">
        <f t="shared" si="39"/>
        <v/>
      </c>
      <c r="N158" s="220" t="str">
        <f t="shared" si="40"/>
        <v/>
      </c>
      <c r="O158" s="220" t="str">
        <f t="shared" si="41"/>
        <v/>
      </c>
      <c r="P158" s="52" t="str">
        <f t="shared" si="42"/>
        <v>9H29</v>
      </c>
      <c r="Q158" s="231" t="str">
        <f t="shared" si="43"/>
        <v>241</v>
      </c>
      <c r="R158" s="224">
        <f t="shared" si="44"/>
        <v>226.33333333333334</v>
      </c>
      <c r="S158" s="52">
        <f t="shared" si="45"/>
        <v>214</v>
      </c>
      <c r="T158" s="221">
        <f t="shared" ca="1" si="46"/>
        <v>4.76</v>
      </c>
      <c r="U158" s="221" t="str">
        <f t="shared" si="47"/>
        <v/>
      </c>
      <c r="V158" s="220" t="str">
        <f t="array" ref="V158">INDEX(P:P,MAX(U$3:U158))</f>
        <v>9H#2DTR(B)</v>
      </c>
      <c r="W158" s="220" t="str">
        <f t="shared" ca="1" si="48"/>
        <v/>
      </c>
      <c r="X158" s="220">
        <f t="shared" si="49"/>
        <v>11.4</v>
      </c>
      <c r="Y158" s="220">
        <f t="shared" si="36"/>
        <v>0</v>
      </c>
      <c r="AA158" s="220" t="str">
        <f t="shared" si="37"/>
        <v>草港</v>
      </c>
      <c r="AB158" s="220" t="s">
        <v>2120</v>
      </c>
      <c r="AC158" s="220" t="str">
        <f>LEFT(B158,3)</f>
        <v>草東線</v>
      </c>
      <c r="BB158" s="514" t="s">
        <v>2156</v>
      </c>
      <c r="BC158" s="514">
        <v>179</v>
      </c>
      <c r="BD158" s="514">
        <v>2</v>
      </c>
      <c r="BE158" s="514">
        <v>181</v>
      </c>
      <c r="BG158" s="229" t="s">
        <v>8427</v>
      </c>
      <c r="BH158" s="230" t="s">
        <v>8439</v>
      </c>
      <c r="BI158" t="s">
        <v>2120</v>
      </c>
      <c r="BJ158" t="s">
        <v>2116</v>
      </c>
    </row>
    <row r="159" spans="1:62">
      <c r="A159" s="229" t="s">
        <v>18</v>
      </c>
      <c r="B159" s="230" t="s">
        <v>6531</v>
      </c>
      <c r="C159" s="230" t="s">
        <v>6532</v>
      </c>
      <c r="D159" s="229" t="s">
        <v>6533</v>
      </c>
      <c r="E159" s="229" t="s">
        <v>6534</v>
      </c>
      <c r="F159" s="229" t="s">
        <v>6093</v>
      </c>
      <c r="G159" s="229" t="s">
        <v>4661</v>
      </c>
      <c r="H159" s="229" t="s">
        <v>797</v>
      </c>
      <c r="I159" s="229" t="s">
        <v>3145</v>
      </c>
      <c r="J159" s="231" t="s">
        <v>358</v>
      </c>
      <c r="K159" s="231" t="s">
        <v>6535</v>
      </c>
      <c r="L159" s="220" t="str">
        <f t="shared" si="38"/>
        <v>9H#3DTR(A)</v>
      </c>
      <c r="M159" s="220" t="str">
        <f t="shared" si="39"/>
        <v>(A)</v>
      </c>
      <c r="N159" s="220" t="str">
        <f t="shared" si="40"/>
        <v>9H#3DTR</v>
      </c>
      <c r="O159" s="220" t="str">
        <f t="shared" si="41"/>
        <v>(A)</v>
      </c>
      <c r="P159" s="52" t="str">
        <f t="shared" si="42"/>
        <v>9H#3DTR(A)</v>
      </c>
      <c r="Q159" s="231" t="str">
        <f t="shared" si="43"/>
        <v>763</v>
      </c>
      <c r="R159" s="224">
        <f t="shared" si="44"/>
        <v>721.66666666666663</v>
      </c>
      <c r="S159" s="52">
        <f t="shared" si="45"/>
        <v>660</v>
      </c>
      <c r="T159" s="221">
        <f t="shared" ca="1" si="46"/>
        <v>15.07</v>
      </c>
      <c r="U159" s="221">
        <f t="shared" si="47"/>
        <v>159</v>
      </c>
      <c r="V159" s="220" t="str">
        <f t="array" ref="V159">INDEX(P:P,MAX(U$3:U159))</f>
        <v>9H#3DTR(A)</v>
      </c>
      <c r="W159" s="220">
        <f t="shared" ca="1" si="48"/>
        <v>30</v>
      </c>
      <c r="X159" s="220" t="str">
        <f t="shared" si="49"/>
        <v/>
      </c>
      <c r="Y159" s="220">
        <f t="shared" si="36"/>
        <v>0</v>
      </c>
      <c r="AA159" s="220" t="str">
        <f t="shared" si="37"/>
        <v>草港</v>
      </c>
      <c r="AB159" s="220" t="s">
        <v>2121</v>
      </c>
      <c r="AC159" s="220" t="s">
        <v>2121</v>
      </c>
      <c r="BB159" s="514" t="s">
        <v>1215</v>
      </c>
      <c r="BC159" s="514">
        <v>1931</v>
      </c>
      <c r="BD159" s="514">
        <v>3</v>
      </c>
      <c r="BE159" s="514">
        <v>1934</v>
      </c>
      <c r="BG159" s="229" t="s">
        <v>8432</v>
      </c>
      <c r="BH159" s="230" t="s">
        <v>8440</v>
      </c>
      <c r="BI159" t="s">
        <v>2121</v>
      </c>
      <c r="BJ159" t="s">
        <v>2121</v>
      </c>
    </row>
    <row r="160" spans="1:62">
      <c r="A160" s="229" t="s">
        <v>6536</v>
      </c>
      <c r="B160" s="230" t="s">
        <v>6537</v>
      </c>
      <c r="C160" s="230" t="s">
        <v>5614</v>
      </c>
      <c r="D160" s="229" t="s">
        <v>784</v>
      </c>
      <c r="E160" s="229" t="s">
        <v>6475</v>
      </c>
      <c r="F160" s="229" t="s">
        <v>784</v>
      </c>
      <c r="G160" s="229" t="s">
        <v>5614</v>
      </c>
      <c r="H160" s="229" t="s">
        <v>6445</v>
      </c>
      <c r="I160" s="229" t="s">
        <v>6450</v>
      </c>
      <c r="J160" s="231" t="s">
        <v>6538</v>
      </c>
      <c r="K160" s="231" t="s">
        <v>784</v>
      </c>
      <c r="L160" s="220" t="str">
        <f t="shared" si="38"/>
        <v>9H30</v>
      </c>
      <c r="M160" s="220" t="str">
        <f t="shared" si="39"/>
        <v/>
      </c>
      <c r="N160" s="220" t="str">
        <f t="shared" si="40"/>
        <v/>
      </c>
      <c r="O160" s="220" t="str">
        <f t="shared" si="41"/>
        <v/>
      </c>
      <c r="P160" s="52" t="str">
        <f t="shared" si="42"/>
        <v>9H30</v>
      </c>
      <c r="Q160" s="231" t="str">
        <f t="shared" si="43"/>
        <v>0</v>
      </c>
      <c r="R160" s="224">
        <f t="shared" si="44"/>
        <v>0</v>
      </c>
      <c r="S160" s="52">
        <f t="shared" si="45"/>
        <v>0</v>
      </c>
      <c r="T160" s="221">
        <f t="shared" ca="1" si="46"/>
        <v>0</v>
      </c>
      <c r="U160" s="221" t="str">
        <f t="shared" si="47"/>
        <v/>
      </c>
      <c r="V160" s="220" t="str">
        <f t="array" ref="V160">INDEX(P:P,MAX(U$3:U160))</f>
        <v>9H#3DTR(A)</v>
      </c>
      <c r="W160" s="220" t="str">
        <f t="shared" ca="1" si="48"/>
        <v/>
      </c>
      <c r="X160" s="220">
        <f t="shared" si="49"/>
        <v>11.4</v>
      </c>
      <c r="Y160" s="220">
        <f t="shared" si="36"/>
        <v>0</v>
      </c>
      <c r="AA160" s="220" t="str">
        <f t="shared" si="37"/>
        <v>草港</v>
      </c>
      <c r="AB160" s="220" t="s">
        <v>2122</v>
      </c>
      <c r="AC160" s="220" t="str">
        <f>LEFT(B160,4)</f>
        <v>9H30</v>
      </c>
      <c r="BB160" s="514" t="s">
        <v>1233</v>
      </c>
      <c r="BC160" s="514">
        <v>2175</v>
      </c>
      <c r="BD160" s="514">
        <v>6</v>
      </c>
      <c r="BE160" s="514">
        <v>2181</v>
      </c>
      <c r="BG160" s="229" t="s">
        <v>8427</v>
      </c>
      <c r="BH160" s="230" t="s">
        <v>8441</v>
      </c>
      <c r="BI160" t="s">
        <v>2122</v>
      </c>
      <c r="BJ160" t="s">
        <v>2121</v>
      </c>
    </row>
    <row r="161" spans="1:62">
      <c r="A161" s="229" t="s">
        <v>6473</v>
      </c>
      <c r="B161" s="230" t="s">
        <v>6539</v>
      </c>
      <c r="C161" s="230" t="s">
        <v>6540</v>
      </c>
      <c r="D161" s="229" t="s">
        <v>6179</v>
      </c>
      <c r="E161" s="229" t="s">
        <v>6541</v>
      </c>
      <c r="F161" s="229" t="s">
        <v>6095</v>
      </c>
      <c r="G161" s="229" t="s">
        <v>6542</v>
      </c>
      <c r="H161" s="229" t="s">
        <v>797</v>
      </c>
      <c r="I161" s="229" t="s">
        <v>964</v>
      </c>
      <c r="J161" s="231" t="s">
        <v>6543</v>
      </c>
      <c r="K161" s="231" t="s">
        <v>6544</v>
      </c>
      <c r="L161" s="220" t="str">
        <f t="shared" si="38"/>
        <v>9H31</v>
      </c>
      <c r="M161" s="220" t="str">
        <f t="shared" si="39"/>
        <v/>
      </c>
      <c r="N161" s="220" t="str">
        <f t="shared" si="40"/>
        <v/>
      </c>
      <c r="O161" s="220" t="str">
        <f t="shared" si="41"/>
        <v/>
      </c>
      <c r="P161" s="52" t="str">
        <f t="shared" si="42"/>
        <v>9H31</v>
      </c>
      <c r="Q161" s="231" t="str">
        <f t="shared" si="43"/>
        <v>212</v>
      </c>
      <c r="R161" s="224">
        <f t="shared" si="44"/>
        <v>207.66666666666666</v>
      </c>
      <c r="S161" s="52">
        <f t="shared" si="45"/>
        <v>202</v>
      </c>
      <c r="T161" s="221">
        <f t="shared" ca="1" si="46"/>
        <v>4.1900000000000004</v>
      </c>
      <c r="U161" s="221" t="str">
        <f t="shared" si="47"/>
        <v/>
      </c>
      <c r="V161" s="220" t="str">
        <f t="array" ref="V161">INDEX(P:P,MAX(U$3:U161))</f>
        <v>9H#3DTR(A)</v>
      </c>
      <c r="W161" s="220" t="str">
        <f t="shared" ca="1" si="48"/>
        <v/>
      </c>
      <c r="X161" s="220">
        <f t="shared" si="49"/>
        <v>11.4</v>
      </c>
      <c r="Y161" s="220">
        <f t="shared" si="36"/>
        <v>0</v>
      </c>
      <c r="AA161" s="220" t="str">
        <f t="shared" si="37"/>
        <v>草港</v>
      </c>
      <c r="AB161" s="220" t="s">
        <v>2123</v>
      </c>
      <c r="AC161" s="220" t="str">
        <f>LEFT(B161,3)</f>
        <v>西崙線</v>
      </c>
      <c r="BB161" s="514" t="s">
        <v>1271</v>
      </c>
      <c r="BC161" s="514">
        <v>617</v>
      </c>
      <c r="BD161" s="514">
        <v>0</v>
      </c>
      <c r="BE161" s="514">
        <v>617</v>
      </c>
      <c r="BG161" s="229" t="s">
        <v>8427</v>
      </c>
      <c r="BH161" s="230" t="s">
        <v>8442</v>
      </c>
      <c r="BI161" t="s">
        <v>2123</v>
      </c>
      <c r="BJ161" t="s">
        <v>2121</v>
      </c>
    </row>
    <row r="162" spans="1:62">
      <c r="A162" s="229" t="s">
        <v>18</v>
      </c>
      <c r="B162" s="230" t="s">
        <v>6545</v>
      </c>
      <c r="C162" s="230" t="s">
        <v>6546</v>
      </c>
      <c r="D162" s="229" t="s">
        <v>6547</v>
      </c>
      <c r="E162" s="229" t="s">
        <v>864</v>
      </c>
      <c r="F162" s="229" t="s">
        <v>6548</v>
      </c>
      <c r="G162" s="229" t="s">
        <v>6549</v>
      </c>
      <c r="H162" s="229" t="s">
        <v>6550</v>
      </c>
      <c r="I162" s="229" t="s">
        <v>6546</v>
      </c>
      <c r="J162" s="231" t="s">
        <v>6551</v>
      </c>
      <c r="K162" s="231" t="s">
        <v>797</v>
      </c>
      <c r="L162" s="220" t="str">
        <f t="shared" si="38"/>
        <v>9H32</v>
      </c>
      <c r="M162" s="220" t="str">
        <f t="shared" si="39"/>
        <v/>
      </c>
      <c r="N162" s="220" t="str">
        <f t="shared" si="40"/>
        <v/>
      </c>
      <c r="O162" s="220" t="str">
        <f t="shared" si="41"/>
        <v/>
      </c>
      <c r="P162" s="52" t="str">
        <f t="shared" si="42"/>
        <v>9H32</v>
      </c>
      <c r="Q162" s="231" t="str">
        <f t="shared" si="43"/>
        <v>227</v>
      </c>
      <c r="R162" s="224">
        <f t="shared" si="44"/>
        <v>209.66666666666666</v>
      </c>
      <c r="S162" s="52">
        <f t="shared" si="45"/>
        <v>183</v>
      </c>
      <c r="T162" s="221">
        <f t="shared" ca="1" si="46"/>
        <v>4.4800000000000004</v>
      </c>
      <c r="U162" s="221" t="str">
        <f t="shared" si="47"/>
        <v/>
      </c>
      <c r="V162" s="220" t="str">
        <f t="array" ref="V162">INDEX(P:P,MAX(U$3:U162))</f>
        <v>9H#3DTR(A)</v>
      </c>
      <c r="W162" s="220" t="str">
        <f t="shared" ca="1" si="48"/>
        <v/>
      </c>
      <c r="X162" s="220">
        <f t="shared" si="49"/>
        <v>11.4</v>
      </c>
      <c r="Y162" s="220">
        <f t="shared" si="36"/>
        <v>0</v>
      </c>
      <c r="AA162" s="220" t="str">
        <f t="shared" si="37"/>
        <v>草港</v>
      </c>
      <c r="AB162" s="220" t="s">
        <v>2124</v>
      </c>
      <c r="AC162" s="220" t="str">
        <f>LEFT(B162,3)</f>
        <v>草一線</v>
      </c>
      <c r="BB162" s="514" t="s">
        <v>1289</v>
      </c>
      <c r="BC162" s="514">
        <v>3603</v>
      </c>
      <c r="BD162" s="514">
        <v>3</v>
      </c>
      <c r="BE162" s="514">
        <v>3606</v>
      </c>
      <c r="BG162" s="229" t="s">
        <v>8432</v>
      </c>
      <c r="BH162" s="230" t="s">
        <v>8443</v>
      </c>
      <c r="BI162" t="s">
        <v>2124</v>
      </c>
      <c r="BJ162" t="s">
        <v>2121</v>
      </c>
    </row>
    <row r="163" spans="1:62">
      <c r="A163" s="229" t="s">
        <v>6536</v>
      </c>
      <c r="B163" s="230" t="s">
        <v>414</v>
      </c>
      <c r="C163" s="230" t="s">
        <v>6552</v>
      </c>
      <c r="D163" s="229" t="s">
        <v>6530</v>
      </c>
      <c r="E163" s="229" t="s">
        <v>6553</v>
      </c>
      <c r="F163" s="229" t="s">
        <v>6547</v>
      </c>
      <c r="G163" s="229" t="s">
        <v>6554</v>
      </c>
      <c r="H163" s="229" t="s">
        <v>6555</v>
      </c>
      <c r="I163" s="229" t="s">
        <v>807</v>
      </c>
      <c r="J163" s="231" t="s">
        <v>6557</v>
      </c>
      <c r="K163" s="231" t="s">
        <v>6547</v>
      </c>
      <c r="L163" s="220" t="str">
        <f t="shared" si="38"/>
        <v>9H33</v>
      </c>
      <c r="M163" s="220" t="str">
        <f t="shared" si="39"/>
        <v/>
      </c>
      <c r="N163" s="220" t="str">
        <f t="shared" si="40"/>
        <v/>
      </c>
      <c r="O163" s="220" t="str">
        <f t="shared" si="41"/>
        <v/>
      </c>
      <c r="P163" s="52" t="str">
        <f t="shared" si="42"/>
        <v>9H33</v>
      </c>
      <c r="Q163" s="231" t="str">
        <f t="shared" si="43"/>
        <v>104</v>
      </c>
      <c r="R163" s="224">
        <f t="shared" si="44"/>
        <v>94.666666666666671</v>
      </c>
      <c r="S163" s="52">
        <f t="shared" si="45"/>
        <v>83</v>
      </c>
      <c r="T163" s="221">
        <f t="shared" ca="1" si="46"/>
        <v>2.0499999999999998</v>
      </c>
      <c r="U163" s="221" t="str">
        <f t="shared" si="47"/>
        <v/>
      </c>
      <c r="V163" s="220" t="str">
        <f t="array" ref="V163">INDEX(P:P,MAX(U$3:U163))</f>
        <v>9H#3DTR(A)</v>
      </c>
      <c r="W163" s="220" t="str">
        <f t="shared" ca="1" si="48"/>
        <v/>
      </c>
      <c r="X163" s="220">
        <f t="shared" si="49"/>
        <v>11.4</v>
      </c>
      <c r="Y163" s="220">
        <f t="shared" si="36"/>
        <v>0</v>
      </c>
      <c r="AA163" s="220" t="str">
        <f t="shared" si="37"/>
        <v>草港</v>
      </c>
      <c r="AB163" s="220" t="s">
        <v>2125</v>
      </c>
      <c r="AC163" s="220" t="str">
        <f>LEFT(B163,3)</f>
        <v>草鹿線</v>
      </c>
      <c r="BB163" s="514" t="s">
        <v>2158</v>
      </c>
      <c r="BC163" s="514">
        <v>442</v>
      </c>
      <c r="BD163" s="514">
        <v>1</v>
      </c>
      <c r="BE163" s="514">
        <v>443</v>
      </c>
      <c r="BG163" s="229" t="s">
        <v>8427</v>
      </c>
      <c r="BH163" s="230" t="s">
        <v>8444</v>
      </c>
      <c r="BI163" t="s">
        <v>2125</v>
      </c>
      <c r="BJ163" t="s">
        <v>2121</v>
      </c>
    </row>
    <row r="164" spans="1:62">
      <c r="A164" s="229" t="s">
        <v>6536</v>
      </c>
      <c r="B164" s="230" t="s">
        <v>415</v>
      </c>
      <c r="C164" s="230" t="s">
        <v>6558</v>
      </c>
      <c r="D164" s="229" t="s">
        <v>6496</v>
      </c>
      <c r="E164" s="229" t="s">
        <v>6559</v>
      </c>
      <c r="F164" s="229" t="s">
        <v>6095</v>
      </c>
      <c r="G164" s="229" t="s">
        <v>6560</v>
      </c>
      <c r="H164" s="229" t="s">
        <v>6561</v>
      </c>
      <c r="I164" s="229" t="s">
        <v>6562</v>
      </c>
      <c r="J164" s="231" t="s">
        <v>842</v>
      </c>
      <c r="K164" s="231" t="s">
        <v>845</v>
      </c>
      <c r="L164" s="220" t="str">
        <f t="shared" si="38"/>
        <v>9H34</v>
      </c>
      <c r="M164" s="220" t="str">
        <f t="shared" si="39"/>
        <v/>
      </c>
      <c r="N164" s="220" t="str">
        <f t="shared" si="40"/>
        <v/>
      </c>
      <c r="O164" s="220" t="str">
        <f t="shared" si="41"/>
        <v/>
      </c>
      <c r="P164" s="52" t="str">
        <f t="shared" si="42"/>
        <v>9H34</v>
      </c>
      <c r="Q164" s="231" t="str">
        <f t="shared" si="43"/>
        <v>97</v>
      </c>
      <c r="R164" s="224">
        <f t="shared" si="44"/>
        <v>86</v>
      </c>
      <c r="S164" s="52">
        <f t="shared" si="45"/>
        <v>75</v>
      </c>
      <c r="T164" s="221">
        <f t="shared" ca="1" si="46"/>
        <v>1.92</v>
      </c>
      <c r="U164" s="221" t="str">
        <f t="shared" si="47"/>
        <v/>
      </c>
      <c r="V164" s="220" t="str">
        <f t="array" ref="V164">INDEX(P:P,MAX(U$3:U164))</f>
        <v>9H#3DTR(A)</v>
      </c>
      <c r="W164" s="220" t="str">
        <f t="shared" ca="1" si="48"/>
        <v/>
      </c>
      <c r="X164" s="220">
        <f t="shared" si="49"/>
        <v>11.4</v>
      </c>
      <c r="Y164" s="220">
        <f t="shared" si="36"/>
        <v>0</v>
      </c>
      <c r="AA164" s="220" t="str">
        <f t="shared" si="37"/>
        <v>草港</v>
      </c>
      <c r="AB164" s="220" t="s">
        <v>2126</v>
      </c>
      <c r="AC164" s="220" t="str">
        <f>LEFT(B164,3)</f>
        <v>頂山線</v>
      </c>
      <c r="BB164" s="514" t="s">
        <v>1369</v>
      </c>
      <c r="BC164" s="514">
        <v>729</v>
      </c>
      <c r="BD164" s="514">
        <v>7</v>
      </c>
      <c r="BE164" s="514">
        <v>736</v>
      </c>
      <c r="BG164" s="229" t="s">
        <v>8432</v>
      </c>
      <c r="BH164" s="230" t="s">
        <v>8445</v>
      </c>
      <c r="BI164" t="s">
        <v>2126</v>
      </c>
      <c r="BJ164" t="s">
        <v>2121</v>
      </c>
    </row>
    <row r="165" spans="1:62">
      <c r="A165" s="229" t="s">
        <v>6536</v>
      </c>
      <c r="B165" s="230" t="s">
        <v>6563</v>
      </c>
      <c r="C165" s="230" t="s">
        <v>6564</v>
      </c>
      <c r="D165" s="229" t="s">
        <v>6565</v>
      </c>
      <c r="E165" s="229" t="s">
        <v>6566</v>
      </c>
      <c r="F165" s="229" t="s">
        <v>6548</v>
      </c>
      <c r="G165" s="229" t="s">
        <v>6567</v>
      </c>
      <c r="H165" s="229" t="s">
        <v>5791</v>
      </c>
      <c r="I165" s="229" t="s">
        <v>6568</v>
      </c>
      <c r="J165" s="231" t="s">
        <v>6569</v>
      </c>
      <c r="K165" s="231" t="s">
        <v>6496</v>
      </c>
      <c r="L165" s="220" t="str">
        <f t="shared" si="38"/>
        <v>9H35</v>
      </c>
      <c r="M165" s="220" t="str">
        <f t="shared" si="39"/>
        <v/>
      </c>
      <c r="N165" s="220" t="str">
        <f t="shared" si="40"/>
        <v/>
      </c>
      <c r="O165" s="220" t="str">
        <f t="shared" si="41"/>
        <v/>
      </c>
      <c r="P165" s="52" t="str">
        <f t="shared" si="42"/>
        <v>9H35</v>
      </c>
      <c r="Q165" s="231" t="str">
        <f t="shared" si="43"/>
        <v>232</v>
      </c>
      <c r="R165" s="224">
        <f t="shared" si="44"/>
        <v>206.66666666666666</v>
      </c>
      <c r="S165" s="52">
        <f t="shared" si="45"/>
        <v>186</v>
      </c>
      <c r="T165" s="221">
        <f t="shared" ca="1" si="46"/>
        <v>4.58</v>
      </c>
      <c r="U165" s="221" t="str">
        <f t="shared" si="47"/>
        <v/>
      </c>
      <c r="V165" s="220" t="str">
        <f t="array" ref="V165">INDEX(P:P,MAX(U$3:U165))</f>
        <v>9H#3DTR(A)</v>
      </c>
      <c r="W165" s="220" t="str">
        <f t="shared" ca="1" si="48"/>
        <v/>
      </c>
      <c r="X165" s="220">
        <f t="shared" si="49"/>
        <v>11.4</v>
      </c>
      <c r="Y165" s="220">
        <f t="shared" si="36"/>
        <v>0</v>
      </c>
      <c r="AA165" s="220" t="str">
        <f t="shared" si="37"/>
        <v>草港</v>
      </c>
      <c r="AB165" s="220" t="s">
        <v>2127</v>
      </c>
      <c r="AC165" s="220" t="str">
        <f>LEFT(B165,3)</f>
        <v>草中線</v>
      </c>
      <c r="BB165" s="514" t="s">
        <v>1380</v>
      </c>
      <c r="BC165" s="514">
        <v>595</v>
      </c>
      <c r="BD165" s="514">
        <v>3</v>
      </c>
      <c r="BE165" s="514">
        <v>598</v>
      </c>
      <c r="BG165" s="229" t="s">
        <v>18</v>
      </c>
      <c r="BH165" s="230" t="s">
        <v>8446</v>
      </c>
      <c r="BI165" t="s">
        <v>2127</v>
      </c>
      <c r="BJ165" t="s">
        <v>2121</v>
      </c>
    </row>
    <row r="166" spans="1:62">
      <c r="A166" s="229" t="s">
        <v>6473</v>
      </c>
      <c r="B166" s="230" t="s">
        <v>401</v>
      </c>
      <c r="C166" s="230" t="s">
        <v>6570</v>
      </c>
      <c r="D166" s="229" t="s">
        <v>783</v>
      </c>
      <c r="E166" s="229" t="s">
        <v>6571</v>
      </c>
      <c r="F166" s="229" t="s">
        <v>783</v>
      </c>
      <c r="G166" s="229" t="s">
        <v>4662</v>
      </c>
      <c r="H166" s="229" t="s">
        <v>6572</v>
      </c>
      <c r="I166" s="229" t="s">
        <v>6573</v>
      </c>
      <c r="J166" s="231" t="s">
        <v>6509</v>
      </c>
      <c r="K166" s="231" t="s">
        <v>358</v>
      </c>
      <c r="L166" s="220" t="str">
        <f t="shared" si="38"/>
        <v>9H#3DTR(B)</v>
      </c>
      <c r="M166" s="220" t="str">
        <f t="shared" si="39"/>
        <v>(B)</v>
      </c>
      <c r="N166" s="220" t="str">
        <f t="shared" si="40"/>
        <v>9H#3DTR</v>
      </c>
      <c r="O166" s="220" t="str">
        <f t="shared" si="41"/>
        <v>(B)</v>
      </c>
      <c r="P166" s="52" t="str">
        <f t="shared" si="42"/>
        <v>9H#3DTR(B)</v>
      </c>
      <c r="Q166" s="231" t="str">
        <f t="shared" si="43"/>
        <v>496</v>
      </c>
      <c r="R166" s="224">
        <f t="shared" si="44"/>
        <v>472</v>
      </c>
      <c r="S166" s="52">
        <f t="shared" si="45"/>
        <v>455</v>
      </c>
      <c r="T166" s="221">
        <f t="shared" ca="1" si="46"/>
        <v>9.7899999999999991</v>
      </c>
      <c r="U166" s="221">
        <f t="shared" si="47"/>
        <v>166</v>
      </c>
      <c r="V166" s="220" t="str">
        <f t="array" ref="V166">INDEX(P:P,MAX(U$3:U166))</f>
        <v>9H#3DTR(B)</v>
      </c>
      <c r="W166" s="220">
        <f t="shared" ca="1" si="48"/>
        <v>30</v>
      </c>
      <c r="X166" s="220" t="str">
        <f t="shared" si="49"/>
        <v/>
      </c>
      <c r="Y166" s="220">
        <f t="shared" si="36"/>
        <v>0</v>
      </c>
      <c r="AA166" s="220" t="str">
        <f t="shared" si="37"/>
        <v>草港</v>
      </c>
      <c r="AB166" s="220" t="s">
        <v>2128</v>
      </c>
      <c r="AC166" s="220" t="s">
        <v>2128</v>
      </c>
      <c r="BB166" s="514" t="s">
        <v>1413</v>
      </c>
      <c r="BC166" s="514">
        <v>1379</v>
      </c>
      <c r="BD166" s="514">
        <v>2</v>
      </c>
      <c r="BE166" s="514">
        <v>1381</v>
      </c>
      <c r="BG166" s="229" t="s">
        <v>8432</v>
      </c>
      <c r="BH166" s="230" t="s">
        <v>8375</v>
      </c>
      <c r="BI166" t="s">
        <v>2128</v>
      </c>
      <c r="BJ166" t="s">
        <v>2128</v>
      </c>
    </row>
    <row r="167" spans="1:62">
      <c r="A167" s="229" t="s">
        <v>6473</v>
      </c>
      <c r="B167" s="230" t="s">
        <v>6574</v>
      </c>
      <c r="C167" s="230" t="s">
        <v>6155</v>
      </c>
      <c r="D167" s="229" t="s">
        <v>6311</v>
      </c>
      <c r="E167" s="229" t="s">
        <v>5893</v>
      </c>
      <c r="F167" s="229" t="s">
        <v>6575</v>
      </c>
      <c r="G167" s="229" t="s">
        <v>6493</v>
      </c>
      <c r="H167" s="229" t="s">
        <v>6575</v>
      </c>
      <c r="I167" s="229" t="s">
        <v>6576</v>
      </c>
      <c r="J167" s="231" t="s">
        <v>6577</v>
      </c>
      <c r="K167" s="231" t="s">
        <v>6179</v>
      </c>
      <c r="L167" s="220" t="str">
        <f t="shared" si="38"/>
        <v>9H36</v>
      </c>
      <c r="M167" s="220" t="str">
        <f t="shared" si="39"/>
        <v/>
      </c>
      <c r="N167" s="220" t="str">
        <f t="shared" si="40"/>
        <v/>
      </c>
      <c r="O167" s="220" t="str">
        <f t="shared" si="41"/>
        <v/>
      </c>
      <c r="P167" s="52" t="str">
        <f t="shared" si="42"/>
        <v>9H36</v>
      </c>
      <c r="Q167" s="231" t="str">
        <f t="shared" si="43"/>
        <v>145</v>
      </c>
      <c r="R167" s="224">
        <f t="shared" si="44"/>
        <v>105.66666666666667</v>
      </c>
      <c r="S167" s="52">
        <f t="shared" si="45"/>
        <v>68</v>
      </c>
      <c r="T167" s="221">
        <f t="shared" ca="1" si="46"/>
        <v>2.86</v>
      </c>
      <c r="U167" s="221" t="str">
        <f t="shared" si="47"/>
        <v/>
      </c>
      <c r="V167" s="220" t="str">
        <f t="array" ref="V167">INDEX(P:P,MAX(U$3:U167))</f>
        <v>9H#3DTR(B)</v>
      </c>
      <c r="W167" s="220" t="str">
        <f t="shared" ca="1" si="48"/>
        <v/>
      </c>
      <c r="X167" s="220">
        <f t="shared" si="49"/>
        <v>11.4</v>
      </c>
      <c r="Y167" s="220">
        <f t="shared" si="36"/>
        <v>0</v>
      </c>
      <c r="AA167" s="220" t="str">
        <f t="shared" si="37"/>
        <v>草港</v>
      </c>
      <c r="AB167" s="220" t="s">
        <v>2129</v>
      </c>
      <c r="AC167" s="220" t="str">
        <f>LEFT(B167,3)</f>
        <v>草子線</v>
      </c>
      <c r="BB167" s="514" t="s">
        <v>1424</v>
      </c>
      <c r="BC167" s="514">
        <v>2343</v>
      </c>
      <c r="BD167" s="514">
        <v>2</v>
      </c>
      <c r="BE167" s="514">
        <v>2345</v>
      </c>
      <c r="BG167" s="229" t="s">
        <v>8427</v>
      </c>
      <c r="BH167" s="230" t="s">
        <v>8447</v>
      </c>
      <c r="BI167" t="s">
        <v>2129</v>
      </c>
      <c r="BJ167" t="s">
        <v>2128</v>
      </c>
    </row>
    <row r="168" spans="1:62">
      <c r="A168" s="229" t="s">
        <v>6578</v>
      </c>
      <c r="B168" s="230" t="s">
        <v>6579</v>
      </c>
      <c r="C168" s="230" t="s">
        <v>904</v>
      </c>
      <c r="D168" s="229" t="s">
        <v>6483</v>
      </c>
      <c r="E168" s="229" t="s">
        <v>6580</v>
      </c>
      <c r="F168" s="229" t="s">
        <v>6198</v>
      </c>
      <c r="G168" s="229" t="s">
        <v>6581</v>
      </c>
      <c r="H168" s="229" t="s">
        <v>783</v>
      </c>
      <c r="I168" s="229" t="s">
        <v>6581</v>
      </c>
      <c r="J168" s="231" t="s">
        <v>6582</v>
      </c>
      <c r="K168" s="231" t="s">
        <v>6139</v>
      </c>
      <c r="L168" s="220" t="str">
        <f t="shared" si="38"/>
        <v>9H37</v>
      </c>
      <c r="M168" s="220" t="str">
        <f t="shared" si="39"/>
        <v/>
      </c>
      <c r="N168" s="220" t="str">
        <f t="shared" si="40"/>
        <v/>
      </c>
      <c r="O168" s="220" t="str">
        <f t="shared" si="41"/>
        <v/>
      </c>
      <c r="P168" s="52" t="str">
        <f t="shared" si="42"/>
        <v>9H37</v>
      </c>
      <c r="Q168" s="231" t="str">
        <f t="shared" si="43"/>
        <v>157</v>
      </c>
      <c r="R168" s="224">
        <f t="shared" si="44"/>
        <v>144</v>
      </c>
      <c r="S168" s="52">
        <f t="shared" si="45"/>
        <v>130</v>
      </c>
      <c r="T168" s="221">
        <f t="shared" ca="1" si="46"/>
        <v>3.1</v>
      </c>
      <c r="U168" s="221" t="str">
        <f t="shared" si="47"/>
        <v/>
      </c>
      <c r="V168" s="220" t="str">
        <f t="array" ref="V168">INDEX(P:P,MAX(U$3:U168))</f>
        <v>9H#3DTR(B)</v>
      </c>
      <c r="W168" s="220" t="str">
        <f t="shared" ca="1" si="48"/>
        <v/>
      </c>
      <c r="X168" s="220">
        <f t="shared" si="49"/>
        <v>11.4</v>
      </c>
      <c r="Y168" s="220">
        <f t="shared" si="36"/>
        <v>0</v>
      </c>
      <c r="AA168" s="220" t="str">
        <f t="shared" si="37"/>
        <v>草港</v>
      </c>
      <c r="AB168" s="220" t="s">
        <v>2130</v>
      </c>
      <c r="AC168" s="220" t="str">
        <f>LEFT(B168,3)</f>
        <v>東正線</v>
      </c>
      <c r="BB168" s="514" t="s">
        <v>131</v>
      </c>
      <c r="BC168" s="514">
        <v>235</v>
      </c>
      <c r="BD168" s="514">
        <v>2</v>
      </c>
      <c r="BE168" s="514">
        <v>237</v>
      </c>
      <c r="BG168" s="229" t="s">
        <v>8432</v>
      </c>
      <c r="BH168" s="230" t="s">
        <v>8448</v>
      </c>
      <c r="BI168" t="s">
        <v>2130</v>
      </c>
      <c r="BJ168" t="s">
        <v>2128</v>
      </c>
    </row>
    <row r="169" spans="1:62">
      <c r="A169" s="229" t="s">
        <v>6583</v>
      </c>
      <c r="B169" s="230" t="s">
        <v>6584</v>
      </c>
      <c r="C169" s="230" t="s">
        <v>6585</v>
      </c>
      <c r="D169" s="229" t="s">
        <v>850</v>
      </c>
      <c r="E169" s="229" t="s">
        <v>6586</v>
      </c>
      <c r="F169" s="229" t="s">
        <v>6587</v>
      </c>
      <c r="G169" s="229" t="s">
        <v>957</v>
      </c>
      <c r="H169" s="229" t="s">
        <v>6588</v>
      </c>
      <c r="I169" s="229" t="s">
        <v>6586</v>
      </c>
      <c r="J169" s="231" t="s">
        <v>920</v>
      </c>
      <c r="K169" s="231" t="s">
        <v>6589</v>
      </c>
      <c r="L169" s="220" t="str">
        <f t="shared" si="38"/>
        <v>9H38</v>
      </c>
      <c r="M169" s="220" t="str">
        <f t="shared" si="39"/>
        <v/>
      </c>
      <c r="N169" s="220" t="str">
        <f t="shared" si="40"/>
        <v/>
      </c>
      <c r="O169" s="220" t="str">
        <f t="shared" si="41"/>
        <v/>
      </c>
      <c r="P169" s="52" t="str">
        <f t="shared" si="42"/>
        <v>9H38</v>
      </c>
      <c r="Q169" s="231" t="str">
        <f t="shared" si="43"/>
        <v>131</v>
      </c>
      <c r="R169" s="224">
        <f t="shared" si="44"/>
        <v>113.33333333333333</v>
      </c>
      <c r="S169" s="52">
        <f t="shared" si="45"/>
        <v>93</v>
      </c>
      <c r="T169" s="221">
        <f t="shared" ca="1" si="46"/>
        <v>2.59</v>
      </c>
      <c r="U169" s="221" t="str">
        <f t="shared" si="47"/>
        <v/>
      </c>
      <c r="V169" s="220" t="str">
        <f t="array" ref="V169">INDEX(P:P,MAX(U$3:U169))</f>
        <v>9H#3DTR(B)</v>
      </c>
      <c r="W169" s="220" t="str">
        <f t="shared" ca="1" si="48"/>
        <v/>
      </c>
      <c r="X169" s="220">
        <f t="shared" si="49"/>
        <v>11.4</v>
      </c>
      <c r="Y169" s="220">
        <f t="shared" si="36"/>
        <v>0</v>
      </c>
      <c r="AA169" s="220" t="str">
        <f t="shared" si="37"/>
        <v>草港</v>
      </c>
      <c r="AB169" s="220" t="s">
        <v>2131</v>
      </c>
      <c r="AC169" s="220" t="str">
        <f>LEFT(B169,3)</f>
        <v>草嶺線</v>
      </c>
      <c r="BB169" s="514" t="s">
        <v>128</v>
      </c>
      <c r="BC169" s="514">
        <v>1125</v>
      </c>
      <c r="BD169" s="514">
        <v>1</v>
      </c>
      <c r="BE169" s="514">
        <v>1126</v>
      </c>
      <c r="BG169" s="229" t="s">
        <v>8427</v>
      </c>
      <c r="BH169" s="230" t="s">
        <v>8449</v>
      </c>
      <c r="BI169" t="s">
        <v>2131</v>
      </c>
      <c r="BJ169" t="s">
        <v>2128</v>
      </c>
    </row>
    <row r="170" spans="1:62">
      <c r="A170" s="229" t="s">
        <v>6590</v>
      </c>
      <c r="B170" s="230" t="s">
        <v>6591</v>
      </c>
      <c r="C170" s="230" t="s">
        <v>6510</v>
      </c>
      <c r="D170" s="229" t="s">
        <v>6592</v>
      </c>
      <c r="E170" s="229" t="s">
        <v>6593</v>
      </c>
      <c r="F170" s="229" t="s">
        <v>6592</v>
      </c>
      <c r="G170" s="229" t="s">
        <v>6594</v>
      </c>
      <c r="H170" s="229" t="s">
        <v>839</v>
      </c>
      <c r="I170" s="229" t="s">
        <v>6595</v>
      </c>
      <c r="J170" s="231" t="s">
        <v>6596</v>
      </c>
      <c r="K170" s="231" t="s">
        <v>6044</v>
      </c>
      <c r="L170" s="220" t="str">
        <f t="shared" si="38"/>
        <v>9H39</v>
      </c>
      <c r="M170" s="220" t="str">
        <f t="shared" si="39"/>
        <v/>
      </c>
      <c r="N170" s="220" t="str">
        <f t="shared" si="40"/>
        <v/>
      </c>
      <c r="O170" s="220" t="str">
        <f t="shared" si="41"/>
        <v/>
      </c>
      <c r="P170" s="52" t="str">
        <f t="shared" si="42"/>
        <v>9H39</v>
      </c>
      <c r="Q170" s="231" t="str">
        <f t="shared" si="43"/>
        <v>176</v>
      </c>
      <c r="R170" s="224">
        <f t="shared" si="44"/>
        <v>167</v>
      </c>
      <c r="S170" s="52">
        <f t="shared" si="45"/>
        <v>161</v>
      </c>
      <c r="T170" s="221">
        <f t="shared" ca="1" si="46"/>
        <v>3.48</v>
      </c>
      <c r="U170" s="221" t="str">
        <f t="shared" si="47"/>
        <v/>
      </c>
      <c r="V170" s="220" t="str">
        <f t="array" ref="V170">INDEX(P:P,MAX(U$3:U170))</f>
        <v>9H#3DTR(B)</v>
      </c>
      <c r="W170" s="220" t="str">
        <f t="shared" ca="1" si="48"/>
        <v/>
      </c>
      <c r="X170" s="220">
        <f t="shared" si="49"/>
        <v>11.4</v>
      </c>
      <c r="Y170" s="220">
        <f t="shared" si="36"/>
        <v>0</v>
      </c>
      <c r="AA170" s="220" t="str">
        <f t="shared" si="37"/>
        <v>草港</v>
      </c>
      <c r="AB170" s="220" t="s">
        <v>2132</v>
      </c>
      <c r="AC170" s="220" t="str">
        <f>LEFT(B170,3)</f>
        <v>草伸線</v>
      </c>
      <c r="BB170" s="514" t="s">
        <v>2160</v>
      </c>
      <c r="BC170" s="514">
        <v>509</v>
      </c>
      <c r="BD170" s="514">
        <v>4</v>
      </c>
      <c r="BE170" s="514">
        <v>513</v>
      </c>
      <c r="BG170" s="229" t="s">
        <v>8427</v>
      </c>
      <c r="BH170" s="230" t="s">
        <v>8450</v>
      </c>
      <c r="BI170" t="s">
        <v>2132</v>
      </c>
      <c r="BJ170" t="s">
        <v>2128</v>
      </c>
    </row>
    <row r="171" spans="1:62">
      <c r="A171" s="229" t="s">
        <v>6597</v>
      </c>
      <c r="B171" s="230" t="s">
        <v>6598</v>
      </c>
      <c r="C171" s="230" t="s">
        <v>6599</v>
      </c>
      <c r="D171" s="229" t="s">
        <v>6600</v>
      </c>
      <c r="E171" s="229" t="s">
        <v>6601</v>
      </c>
      <c r="F171" s="229" t="s">
        <v>5580</v>
      </c>
      <c r="G171" s="229" t="s">
        <v>4664</v>
      </c>
      <c r="H171" s="229" t="s">
        <v>832</v>
      </c>
      <c r="I171" s="229" t="s">
        <v>4663</v>
      </c>
      <c r="J171" s="231" t="s">
        <v>6602</v>
      </c>
      <c r="K171" s="231" t="s">
        <v>358</v>
      </c>
      <c r="L171" s="220" t="str">
        <f t="shared" si="38"/>
        <v>9I#1DTR(A)</v>
      </c>
      <c r="M171" s="220" t="str">
        <f t="shared" si="39"/>
        <v>(A)</v>
      </c>
      <c r="N171" s="220" t="str">
        <f t="shared" si="40"/>
        <v>9I#1DTR</v>
      </c>
      <c r="O171" s="220" t="str">
        <f t="shared" si="41"/>
        <v>(A)</v>
      </c>
      <c r="P171" s="52" t="str">
        <f t="shared" si="42"/>
        <v>9I#1DTR(A)</v>
      </c>
      <c r="Q171" s="231" t="str">
        <f t="shared" si="43"/>
        <v>985</v>
      </c>
      <c r="R171" s="224">
        <f t="shared" si="44"/>
        <v>953</v>
      </c>
      <c r="S171" s="52">
        <f t="shared" si="45"/>
        <v>907</v>
      </c>
      <c r="T171" s="221">
        <f t="shared" ca="1" si="46"/>
        <v>19.45</v>
      </c>
      <c r="U171" s="221">
        <f t="shared" si="47"/>
        <v>171</v>
      </c>
      <c r="V171" s="220" t="str">
        <f t="array" ref="V171">INDEX(P:P,MAX(U$3:U171))</f>
        <v>9I#1DTR(A)</v>
      </c>
      <c r="W171" s="220">
        <f t="shared" ca="1" si="48"/>
        <v>30</v>
      </c>
      <c r="X171" s="220" t="str">
        <f t="shared" si="49"/>
        <v/>
      </c>
      <c r="Y171" s="220">
        <f t="shared" si="36"/>
        <v>0</v>
      </c>
      <c r="AA171" s="220" t="str">
        <f t="shared" si="37"/>
        <v>福興</v>
      </c>
      <c r="AB171" s="220" t="s">
        <v>2133</v>
      </c>
      <c r="AC171" s="220" t="s">
        <v>2133</v>
      </c>
      <c r="BB171" s="514" t="s">
        <v>124</v>
      </c>
      <c r="BC171" s="514">
        <v>3482</v>
      </c>
      <c r="BD171" s="514">
        <v>2</v>
      </c>
      <c r="BE171" s="514">
        <v>3484</v>
      </c>
      <c r="BG171" s="229" t="s">
        <v>8451</v>
      </c>
      <c r="BH171" s="230" t="s">
        <v>8398</v>
      </c>
      <c r="BI171" t="s">
        <v>2133</v>
      </c>
      <c r="BJ171" t="s">
        <v>2133</v>
      </c>
    </row>
    <row r="172" spans="1:62">
      <c r="A172" s="229" t="s">
        <v>6603</v>
      </c>
      <c r="B172" s="230" t="s">
        <v>416</v>
      </c>
      <c r="C172" s="230" t="s">
        <v>6604</v>
      </c>
      <c r="D172" s="229" t="s">
        <v>6605</v>
      </c>
      <c r="E172" s="229" t="s">
        <v>6606</v>
      </c>
      <c r="F172" s="229" t="s">
        <v>6099</v>
      </c>
      <c r="G172" s="229" t="s">
        <v>6607</v>
      </c>
      <c r="H172" s="229" t="s">
        <v>6605</v>
      </c>
      <c r="I172" s="229" t="s">
        <v>6606</v>
      </c>
      <c r="J172" s="231" t="s">
        <v>6608</v>
      </c>
      <c r="K172" s="231" t="s">
        <v>846</v>
      </c>
      <c r="L172" s="220" t="str">
        <f t="shared" si="38"/>
        <v>9I20</v>
      </c>
      <c r="M172" s="220" t="str">
        <f t="shared" si="39"/>
        <v/>
      </c>
      <c r="N172" s="220" t="str">
        <f t="shared" si="40"/>
        <v/>
      </c>
      <c r="O172" s="220" t="str">
        <f t="shared" si="41"/>
        <v/>
      </c>
      <c r="P172" s="52" t="str">
        <f t="shared" si="42"/>
        <v>9I20</v>
      </c>
      <c r="Q172" s="231" t="str">
        <f t="shared" si="43"/>
        <v>182</v>
      </c>
      <c r="R172" s="224">
        <f t="shared" si="44"/>
        <v>170</v>
      </c>
      <c r="S172" s="52">
        <f t="shared" si="45"/>
        <v>150</v>
      </c>
      <c r="T172" s="221">
        <f t="shared" ca="1" si="46"/>
        <v>3.59</v>
      </c>
      <c r="U172" s="221" t="str">
        <f t="shared" si="47"/>
        <v/>
      </c>
      <c r="V172" s="220" t="str">
        <f t="array" ref="V172">INDEX(P:P,MAX(U$3:U172))</f>
        <v>9I#1DTR(A)</v>
      </c>
      <c r="W172" s="220" t="str">
        <f t="shared" ca="1" si="48"/>
        <v/>
      </c>
      <c r="X172" s="220">
        <f t="shared" si="49"/>
        <v>11.4</v>
      </c>
      <c r="Y172" s="220">
        <f t="shared" si="36"/>
        <v>0</v>
      </c>
      <c r="AA172" s="220" t="str">
        <f t="shared" si="37"/>
        <v>福興</v>
      </c>
      <c r="AB172" s="220" t="s">
        <v>2134</v>
      </c>
      <c r="AC172" s="220" t="str">
        <f t="shared" ref="AC172:AC177" si="50">LEFT(B172,4)</f>
        <v>9I20</v>
      </c>
      <c r="BB172" s="514" t="s">
        <v>141</v>
      </c>
      <c r="BC172" s="514">
        <v>1589</v>
      </c>
      <c r="BD172" s="514">
        <v>2</v>
      </c>
      <c r="BE172" s="514">
        <v>1591</v>
      </c>
      <c r="BG172" s="229" t="s">
        <v>17</v>
      </c>
      <c r="BH172" s="230" t="s">
        <v>8452</v>
      </c>
      <c r="BI172" t="s">
        <v>2134</v>
      </c>
      <c r="BJ172" t="s">
        <v>2133</v>
      </c>
    </row>
    <row r="173" spans="1:62">
      <c r="A173" s="229" t="s">
        <v>17</v>
      </c>
      <c r="B173" s="230" t="s">
        <v>6609</v>
      </c>
      <c r="C173" s="230" t="s">
        <v>6610</v>
      </c>
      <c r="D173" s="229" t="s">
        <v>6190</v>
      </c>
      <c r="E173" s="229" t="s">
        <v>3152</v>
      </c>
      <c r="F173" s="229" t="s">
        <v>6611</v>
      </c>
      <c r="G173" s="229" t="s">
        <v>6612</v>
      </c>
      <c r="H173" s="229" t="s">
        <v>6611</v>
      </c>
      <c r="I173" s="229" t="s">
        <v>4652</v>
      </c>
      <c r="J173" s="231" t="s">
        <v>6613</v>
      </c>
      <c r="K173" s="231" t="s">
        <v>6614</v>
      </c>
      <c r="L173" s="220" t="str">
        <f t="shared" si="38"/>
        <v>9I21</v>
      </c>
      <c r="M173" s="220" t="str">
        <f t="shared" si="39"/>
        <v/>
      </c>
      <c r="N173" s="220" t="str">
        <f t="shared" si="40"/>
        <v/>
      </c>
      <c r="O173" s="220" t="str">
        <f t="shared" si="41"/>
        <v/>
      </c>
      <c r="P173" s="52" t="str">
        <f t="shared" si="42"/>
        <v>9I21</v>
      </c>
      <c r="Q173" s="231" t="str">
        <f t="shared" si="43"/>
        <v>343</v>
      </c>
      <c r="R173" s="224">
        <f t="shared" si="44"/>
        <v>325.66666666666669</v>
      </c>
      <c r="S173" s="52">
        <f t="shared" si="45"/>
        <v>313</v>
      </c>
      <c r="T173" s="221">
        <f t="shared" ca="1" si="46"/>
        <v>6.77</v>
      </c>
      <c r="U173" s="221" t="str">
        <f t="shared" si="47"/>
        <v/>
      </c>
      <c r="V173" s="220" t="str">
        <f t="array" ref="V173">INDEX(P:P,MAX(U$3:U173))</f>
        <v>9I#1DTR(A)</v>
      </c>
      <c r="W173" s="220" t="str">
        <f t="shared" ca="1" si="48"/>
        <v/>
      </c>
      <c r="X173" s="220">
        <f t="shared" si="49"/>
        <v>11.4</v>
      </c>
      <c r="Y173" s="220">
        <f t="shared" si="36"/>
        <v>0</v>
      </c>
      <c r="AA173" s="220" t="str">
        <f t="shared" si="37"/>
        <v>福興</v>
      </c>
      <c r="AB173" s="220" t="s">
        <v>1214</v>
      </c>
      <c r="AC173" s="220" t="str">
        <f t="shared" si="50"/>
        <v>9I21</v>
      </c>
      <c r="BB173" s="514" t="s">
        <v>155</v>
      </c>
      <c r="BC173" s="514">
        <v>782</v>
      </c>
      <c r="BD173" s="514">
        <v>0</v>
      </c>
      <c r="BE173" s="514">
        <v>782</v>
      </c>
      <c r="BG173" s="229" t="s">
        <v>8453</v>
      </c>
      <c r="BH173" s="230" t="s">
        <v>8454</v>
      </c>
      <c r="BI173" t="s">
        <v>1214</v>
      </c>
      <c r="BJ173" t="s">
        <v>2133</v>
      </c>
    </row>
    <row r="174" spans="1:62">
      <c r="A174" s="229" t="s">
        <v>6615</v>
      </c>
      <c r="B174" s="230" t="s">
        <v>6616</v>
      </c>
      <c r="C174" s="230" t="s">
        <v>6617</v>
      </c>
      <c r="D174" s="229" t="s">
        <v>6618</v>
      </c>
      <c r="E174" s="229" t="s">
        <v>6619</v>
      </c>
      <c r="F174" s="229" t="s">
        <v>6592</v>
      </c>
      <c r="G174" s="229" t="s">
        <v>6620</v>
      </c>
      <c r="H174" s="229" t="s">
        <v>832</v>
      </c>
      <c r="I174" s="229" t="s">
        <v>6621</v>
      </c>
      <c r="J174" s="231" t="s">
        <v>6622</v>
      </c>
      <c r="K174" s="231" t="s">
        <v>804</v>
      </c>
      <c r="L174" s="220" t="str">
        <f t="shared" si="38"/>
        <v>9I22</v>
      </c>
      <c r="M174" s="220" t="str">
        <f t="shared" si="39"/>
        <v/>
      </c>
      <c r="N174" s="220" t="str">
        <f t="shared" si="40"/>
        <v/>
      </c>
      <c r="O174" s="220" t="str">
        <f t="shared" si="41"/>
        <v/>
      </c>
      <c r="P174" s="52" t="str">
        <f t="shared" si="42"/>
        <v>9I22</v>
      </c>
      <c r="Q174" s="231" t="str">
        <f t="shared" si="43"/>
        <v>244</v>
      </c>
      <c r="R174" s="224">
        <f t="shared" si="44"/>
        <v>223.33333333333334</v>
      </c>
      <c r="S174" s="52">
        <f t="shared" si="45"/>
        <v>197</v>
      </c>
      <c r="T174" s="221">
        <f t="shared" ca="1" si="46"/>
        <v>4.82</v>
      </c>
      <c r="U174" s="221" t="str">
        <f t="shared" si="47"/>
        <v/>
      </c>
      <c r="V174" s="220" t="str">
        <f t="array" ref="V174">INDEX(P:P,MAX(U$3:U174))</f>
        <v>9I#1DTR(A)</v>
      </c>
      <c r="W174" s="220" t="str">
        <f t="shared" ca="1" si="48"/>
        <v/>
      </c>
      <c r="X174" s="220">
        <f t="shared" si="49"/>
        <v>11.4</v>
      </c>
      <c r="Y174" s="220">
        <f t="shared" si="36"/>
        <v>0</v>
      </c>
      <c r="AA174" s="220" t="str">
        <f t="shared" si="37"/>
        <v>福興</v>
      </c>
      <c r="AB174" s="220" t="s">
        <v>1232</v>
      </c>
      <c r="AC174" s="220" t="str">
        <f t="shared" si="50"/>
        <v>9I22</v>
      </c>
      <c r="BB174" s="514" t="s">
        <v>158</v>
      </c>
      <c r="BC174" s="514">
        <v>5178</v>
      </c>
      <c r="BD174" s="514">
        <v>4</v>
      </c>
      <c r="BE174" s="514">
        <v>5182</v>
      </c>
      <c r="BG174" s="229" t="s">
        <v>8451</v>
      </c>
      <c r="BH174" s="230" t="s">
        <v>8455</v>
      </c>
      <c r="BI174" t="s">
        <v>1232</v>
      </c>
      <c r="BJ174" t="s">
        <v>2133</v>
      </c>
    </row>
    <row r="175" spans="1:62">
      <c r="A175" s="229" t="s">
        <v>6597</v>
      </c>
      <c r="B175" s="230" t="s">
        <v>6623</v>
      </c>
      <c r="C175" s="230" t="s">
        <v>843</v>
      </c>
      <c r="D175" s="229" t="s">
        <v>5791</v>
      </c>
      <c r="E175" s="229" t="s">
        <v>6624</v>
      </c>
      <c r="F175" s="229" t="s">
        <v>6600</v>
      </c>
      <c r="G175" s="229" t="s">
        <v>6625</v>
      </c>
      <c r="H175" s="229" t="s">
        <v>6626</v>
      </c>
      <c r="I175" s="229" t="s">
        <v>843</v>
      </c>
      <c r="J175" s="231" t="s">
        <v>6608</v>
      </c>
      <c r="K175" s="231" t="s">
        <v>6627</v>
      </c>
      <c r="L175" s="220" t="str">
        <f t="shared" si="38"/>
        <v>9I23</v>
      </c>
      <c r="M175" s="220" t="str">
        <f t="shared" si="39"/>
        <v/>
      </c>
      <c r="N175" s="220" t="str">
        <f t="shared" si="40"/>
        <v/>
      </c>
      <c r="O175" s="220" t="str">
        <f t="shared" si="41"/>
        <v/>
      </c>
      <c r="P175" s="52" t="str">
        <f t="shared" si="42"/>
        <v>9I23</v>
      </c>
      <c r="Q175" s="231" t="str">
        <f t="shared" si="43"/>
        <v>57</v>
      </c>
      <c r="R175" s="224">
        <f t="shared" si="44"/>
        <v>46.333333333333336</v>
      </c>
      <c r="S175" s="52">
        <f t="shared" si="45"/>
        <v>29</v>
      </c>
      <c r="T175" s="221">
        <f t="shared" ca="1" si="46"/>
        <v>1.1299999999999999</v>
      </c>
      <c r="U175" s="221" t="str">
        <f t="shared" si="47"/>
        <v/>
      </c>
      <c r="V175" s="220" t="str">
        <f t="array" ref="V175">INDEX(P:P,MAX(U$3:U175))</f>
        <v>9I#1DTR(A)</v>
      </c>
      <c r="W175" s="220" t="str">
        <f t="shared" ca="1" si="48"/>
        <v/>
      </c>
      <c r="X175" s="220">
        <f t="shared" si="49"/>
        <v>11.4</v>
      </c>
      <c r="Y175" s="220">
        <f t="shared" si="36"/>
        <v>0</v>
      </c>
      <c r="AA175" s="220" t="str">
        <f t="shared" si="37"/>
        <v>福興</v>
      </c>
      <c r="AB175" s="220" t="s">
        <v>1269</v>
      </c>
      <c r="AC175" s="220" t="str">
        <f t="shared" si="50"/>
        <v>9I23</v>
      </c>
      <c r="BB175" s="514" t="s">
        <v>168</v>
      </c>
      <c r="BC175" s="514">
        <v>1294</v>
      </c>
      <c r="BD175" s="514">
        <v>3</v>
      </c>
      <c r="BE175" s="514">
        <v>1297</v>
      </c>
      <c r="BG175" s="229" t="s">
        <v>17</v>
      </c>
      <c r="BH175" s="230" t="s">
        <v>8456</v>
      </c>
      <c r="BI175" t="s">
        <v>1269</v>
      </c>
      <c r="BJ175" t="s">
        <v>2133</v>
      </c>
    </row>
    <row r="176" spans="1:62">
      <c r="A176" s="229" t="s">
        <v>6597</v>
      </c>
      <c r="B176" s="230" t="s">
        <v>417</v>
      </c>
      <c r="C176" s="230" t="s">
        <v>5906</v>
      </c>
      <c r="D176" s="229" t="s">
        <v>6628</v>
      </c>
      <c r="E176" s="229" t="s">
        <v>6629</v>
      </c>
      <c r="F176" s="229" t="s">
        <v>6600</v>
      </c>
      <c r="G176" s="229" t="s">
        <v>6630</v>
      </c>
      <c r="H176" s="229" t="s">
        <v>832</v>
      </c>
      <c r="I176" s="229" t="s">
        <v>6629</v>
      </c>
      <c r="J176" s="231" t="s">
        <v>6631</v>
      </c>
      <c r="K176" s="231" t="s">
        <v>901</v>
      </c>
      <c r="L176" s="220" t="str">
        <f t="shared" si="38"/>
        <v>9I24</v>
      </c>
      <c r="M176" s="220" t="str">
        <f t="shared" si="39"/>
        <v/>
      </c>
      <c r="N176" s="220" t="str">
        <f t="shared" si="40"/>
        <v/>
      </c>
      <c r="O176" s="220" t="str">
        <f t="shared" si="41"/>
        <v/>
      </c>
      <c r="P176" s="52" t="str">
        <f t="shared" si="42"/>
        <v>9I24</v>
      </c>
      <c r="Q176" s="231" t="str">
        <f t="shared" si="43"/>
        <v>123</v>
      </c>
      <c r="R176" s="224">
        <f t="shared" si="44"/>
        <v>116.33333333333333</v>
      </c>
      <c r="S176" s="52">
        <f t="shared" si="45"/>
        <v>111</v>
      </c>
      <c r="T176" s="221">
        <f t="shared" ca="1" si="46"/>
        <v>2.4300000000000002</v>
      </c>
      <c r="U176" s="221" t="str">
        <f t="shared" si="47"/>
        <v/>
      </c>
      <c r="V176" s="220" t="str">
        <f t="array" ref="V176">INDEX(P:P,MAX(U$3:U176))</f>
        <v>9I#1DTR(A)</v>
      </c>
      <c r="W176" s="220" t="str">
        <f t="shared" ca="1" si="48"/>
        <v/>
      </c>
      <c r="X176" s="220">
        <f t="shared" si="49"/>
        <v>11.4</v>
      </c>
      <c r="Y176" s="220">
        <f t="shared" si="36"/>
        <v>0</v>
      </c>
      <c r="AA176" s="220" t="str">
        <f t="shared" si="37"/>
        <v>福興</v>
      </c>
      <c r="AB176" s="220" t="s">
        <v>1288</v>
      </c>
      <c r="AC176" s="220" t="str">
        <f t="shared" si="50"/>
        <v>9I24</v>
      </c>
      <c r="BB176" s="514" t="s">
        <v>171</v>
      </c>
      <c r="BC176" s="514">
        <v>1526</v>
      </c>
      <c r="BD176" s="514">
        <v>5</v>
      </c>
      <c r="BE176" s="514">
        <v>1531</v>
      </c>
      <c r="BG176" s="229" t="s">
        <v>17</v>
      </c>
      <c r="BH176" s="230" t="s">
        <v>417</v>
      </c>
      <c r="BI176" t="s">
        <v>1288</v>
      </c>
      <c r="BJ176" t="s">
        <v>2133</v>
      </c>
    </row>
    <row r="177" spans="1:62">
      <c r="A177" s="229" t="s">
        <v>6632</v>
      </c>
      <c r="B177" s="230" t="s">
        <v>6633</v>
      </c>
      <c r="C177" s="230" t="s">
        <v>6634</v>
      </c>
      <c r="D177" s="229" t="s">
        <v>6635</v>
      </c>
      <c r="E177" s="229" t="s">
        <v>6636</v>
      </c>
      <c r="F177" s="229" t="s">
        <v>6605</v>
      </c>
      <c r="G177" s="229" t="s">
        <v>6637</v>
      </c>
      <c r="H177" s="229" t="s">
        <v>6638</v>
      </c>
      <c r="I177" s="229" t="s">
        <v>6639</v>
      </c>
      <c r="J177" s="231" t="s">
        <v>6640</v>
      </c>
      <c r="K177" s="231" t="s">
        <v>6611</v>
      </c>
      <c r="L177" s="220" t="str">
        <f t="shared" si="38"/>
        <v>9I25</v>
      </c>
      <c r="M177" s="220" t="str">
        <f t="shared" si="39"/>
        <v/>
      </c>
      <c r="N177" s="220" t="str">
        <f t="shared" si="40"/>
        <v/>
      </c>
      <c r="O177" s="220" t="str">
        <f t="shared" si="41"/>
        <v/>
      </c>
      <c r="P177" s="52" t="str">
        <f t="shared" si="42"/>
        <v>9I25</v>
      </c>
      <c r="Q177" s="231" t="str">
        <f t="shared" si="43"/>
        <v>187</v>
      </c>
      <c r="R177" s="224">
        <f t="shared" si="44"/>
        <v>165</v>
      </c>
      <c r="S177" s="52">
        <f t="shared" si="45"/>
        <v>141</v>
      </c>
      <c r="T177" s="221">
        <f t="shared" ca="1" si="46"/>
        <v>3.69</v>
      </c>
      <c r="U177" s="221" t="str">
        <f t="shared" si="47"/>
        <v/>
      </c>
      <c r="V177" s="220" t="str">
        <f t="array" ref="V177">INDEX(P:P,MAX(U$3:U177))</f>
        <v>9I#1DTR(A)</v>
      </c>
      <c r="W177" s="220" t="str">
        <f t="shared" ca="1" si="48"/>
        <v/>
      </c>
      <c r="X177" s="220">
        <f t="shared" si="49"/>
        <v>11.4</v>
      </c>
      <c r="Y177" s="220">
        <f t="shared" si="36"/>
        <v>0</v>
      </c>
      <c r="AA177" s="220" t="str">
        <f t="shared" si="37"/>
        <v>福興</v>
      </c>
      <c r="AB177" s="220" t="s">
        <v>1323</v>
      </c>
      <c r="AC177" s="220" t="str">
        <f t="shared" si="50"/>
        <v>9I25</v>
      </c>
      <c r="BB177" s="514" t="s">
        <v>174</v>
      </c>
      <c r="BC177" s="514">
        <v>2269</v>
      </c>
      <c r="BD177" s="514">
        <v>4</v>
      </c>
      <c r="BE177" s="514">
        <v>2273</v>
      </c>
      <c r="BG177" s="229" t="s">
        <v>8453</v>
      </c>
      <c r="BH177" s="230" t="s">
        <v>8457</v>
      </c>
      <c r="BI177" t="s">
        <v>1323</v>
      </c>
      <c r="BJ177" t="s">
        <v>2133</v>
      </c>
    </row>
    <row r="178" spans="1:62">
      <c r="A178" s="229" t="s">
        <v>6597</v>
      </c>
      <c r="B178" s="230" t="s">
        <v>6641</v>
      </c>
      <c r="C178" s="230" t="s">
        <v>6642</v>
      </c>
      <c r="D178" s="229" t="s">
        <v>6643</v>
      </c>
      <c r="E178" s="229" t="s">
        <v>6644</v>
      </c>
      <c r="F178" s="229" t="s">
        <v>6645</v>
      </c>
      <c r="G178" s="229" t="s">
        <v>6646</v>
      </c>
      <c r="H178" s="229" t="s">
        <v>6530</v>
      </c>
      <c r="I178" s="229" t="s">
        <v>4665</v>
      </c>
      <c r="J178" s="231" t="s">
        <v>6602</v>
      </c>
      <c r="K178" s="231" t="s">
        <v>6647</v>
      </c>
      <c r="L178" s="220" t="str">
        <f t="shared" si="38"/>
        <v>9I#1DTR(B)</v>
      </c>
      <c r="M178" s="220" t="str">
        <f t="shared" si="39"/>
        <v>(B)</v>
      </c>
      <c r="N178" s="220" t="str">
        <f t="shared" si="40"/>
        <v>9I#1DTR</v>
      </c>
      <c r="O178" s="220" t="str">
        <f t="shared" si="41"/>
        <v>(B)</v>
      </c>
      <c r="P178" s="52" t="str">
        <f t="shared" si="42"/>
        <v>9I#1DTR(B)</v>
      </c>
      <c r="Q178" s="231" t="str">
        <f t="shared" si="43"/>
        <v>670</v>
      </c>
      <c r="R178" s="224">
        <f t="shared" si="44"/>
        <v>629.33333333333337</v>
      </c>
      <c r="S178" s="52">
        <f t="shared" si="45"/>
        <v>596</v>
      </c>
      <c r="T178" s="221">
        <f t="shared" ca="1" si="46"/>
        <v>13.23</v>
      </c>
      <c r="U178" s="221">
        <f t="shared" si="47"/>
        <v>178</v>
      </c>
      <c r="V178" s="220" t="str">
        <f t="array" ref="V178">INDEX(P:P,MAX(U$3:U178))</f>
        <v>9I#1DTR(B)</v>
      </c>
      <c r="W178" s="220">
        <f t="shared" ca="1" si="48"/>
        <v>30</v>
      </c>
      <c r="X178" s="220" t="str">
        <f t="shared" si="49"/>
        <v/>
      </c>
      <c r="Y178" s="220">
        <f t="shared" si="36"/>
        <v>0</v>
      </c>
      <c r="AA178" s="220" t="str">
        <f t="shared" si="37"/>
        <v>福興</v>
      </c>
      <c r="AB178" s="220" t="s">
        <v>2135</v>
      </c>
      <c r="AC178" s="220" t="s">
        <v>2135</v>
      </c>
      <c r="BB178" s="514" t="s">
        <v>1932</v>
      </c>
      <c r="BC178" s="514">
        <v>623</v>
      </c>
      <c r="BD178" s="514" t="s">
        <v>85</v>
      </c>
      <c r="BE178" s="514">
        <v>623</v>
      </c>
      <c r="BG178" s="229" t="s">
        <v>8453</v>
      </c>
      <c r="BH178" s="230" t="s">
        <v>8405</v>
      </c>
      <c r="BI178" t="s">
        <v>2135</v>
      </c>
      <c r="BJ178" t="s">
        <v>2135</v>
      </c>
    </row>
    <row r="179" spans="1:62">
      <c r="A179" s="229" t="s">
        <v>17</v>
      </c>
      <c r="B179" s="230" t="s">
        <v>418</v>
      </c>
      <c r="C179" s="230" t="s">
        <v>6648</v>
      </c>
      <c r="D179" s="229" t="s">
        <v>6611</v>
      </c>
      <c r="E179" s="229" t="s">
        <v>6649</v>
      </c>
      <c r="F179" s="229" t="s">
        <v>6650</v>
      </c>
      <c r="G179" s="229" t="s">
        <v>6651</v>
      </c>
      <c r="H179" s="229" t="s">
        <v>6643</v>
      </c>
      <c r="I179" s="229" t="s">
        <v>6652</v>
      </c>
      <c r="J179" s="231" t="s">
        <v>844</v>
      </c>
      <c r="K179" s="231" t="s">
        <v>6653</v>
      </c>
      <c r="L179" s="220" t="str">
        <f t="shared" si="38"/>
        <v>9I39</v>
      </c>
      <c r="M179" s="220" t="str">
        <f t="shared" si="39"/>
        <v/>
      </c>
      <c r="N179" s="220" t="str">
        <f t="shared" si="40"/>
        <v/>
      </c>
      <c r="O179" s="220" t="str">
        <f t="shared" si="41"/>
        <v/>
      </c>
      <c r="P179" s="52" t="str">
        <f t="shared" si="42"/>
        <v>9I39</v>
      </c>
      <c r="Q179" s="231" t="str">
        <f t="shared" si="43"/>
        <v>122</v>
      </c>
      <c r="R179" s="224">
        <f t="shared" si="44"/>
        <v>111.33333333333333</v>
      </c>
      <c r="S179" s="52">
        <f t="shared" si="45"/>
        <v>105</v>
      </c>
      <c r="T179" s="221">
        <f t="shared" ca="1" si="46"/>
        <v>2.41</v>
      </c>
      <c r="U179" s="221" t="str">
        <f t="shared" si="47"/>
        <v/>
      </c>
      <c r="V179" s="220" t="str">
        <f t="array" ref="V179">INDEX(P:P,MAX(U$3:U179))</f>
        <v>9I#1DTR(B)</v>
      </c>
      <c r="W179" s="220" t="str">
        <f t="shared" ca="1" si="48"/>
        <v/>
      </c>
      <c r="X179" s="220">
        <f t="shared" si="49"/>
        <v>11.4</v>
      </c>
      <c r="Y179" s="220">
        <f t="shared" si="36"/>
        <v>0</v>
      </c>
      <c r="AA179" s="220" t="str">
        <f t="shared" si="37"/>
        <v>福興</v>
      </c>
      <c r="AB179" s="220" t="s">
        <v>1423</v>
      </c>
      <c r="AC179" s="220" t="str">
        <f>LEFT(B179,4)</f>
        <v>9I39</v>
      </c>
      <c r="BB179" s="514" t="s">
        <v>1934</v>
      </c>
      <c r="BC179" s="514">
        <v>629</v>
      </c>
      <c r="BD179" s="514" t="s">
        <v>85</v>
      </c>
      <c r="BE179" s="514">
        <v>629</v>
      </c>
      <c r="BG179" s="229" t="s">
        <v>8453</v>
      </c>
      <c r="BH179" s="230" t="s">
        <v>8458</v>
      </c>
      <c r="BI179" t="s">
        <v>1423</v>
      </c>
      <c r="BJ179" t="s">
        <v>2135</v>
      </c>
    </row>
    <row r="180" spans="1:62">
      <c r="A180" s="229" t="s">
        <v>17</v>
      </c>
      <c r="B180" s="230" t="s">
        <v>6654</v>
      </c>
      <c r="C180" s="230" t="s">
        <v>6655</v>
      </c>
      <c r="D180" s="229" t="s">
        <v>6611</v>
      </c>
      <c r="E180" s="229" t="s">
        <v>6656</v>
      </c>
      <c r="F180" s="229" t="s">
        <v>804</v>
      </c>
      <c r="G180" s="229" t="s">
        <v>6657</v>
      </c>
      <c r="H180" s="229" t="s">
        <v>804</v>
      </c>
      <c r="I180" s="229" t="s">
        <v>6658</v>
      </c>
      <c r="J180" s="231" t="s">
        <v>6659</v>
      </c>
      <c r="K180" s="231" t="s">
        <v>6200</v>
      </c>
      <c r="L180" s="220" t="str">
        <f t="shared" si="38"/>
        <v>9I38</v>
      </c>
      <c r="M180" s="220" t="str">
        <f t="shared" si="39"/>
        <v/>
      </c>
      <c r="N180" s="220" t="str">
        <f t="shared" si="40"/>
        <v/>
      </c>
      <c r="O180" s="220" t="str">
        <f t="shared" si="41"/>
        <v/>
      </c>
      <c r="P180" s="52" t="str">
        <f t="shared" si="42"/>
        <v>9I38</v>
      </c>
      <c r="Q180" s="231" t="str">
        <f t="shared" si="43"/>
        <v>147</v>
      </c>
      <c r="R180" s="224">
        <f t="shared" si="44"/>
        <v>132</v>
      </c>
      <c r="S180" s="52">
        <f t="shared" si="45"/>
        <v>103</v>
      </c>
      <c r="T180" s="221">
        <f t="shared" ca="1" si="46"/>
        <v>2.9</v>
      </c>
      <c r="U180" s="221" t="str">
        <f t="shared" si="47"/>
        <v/>
      </c>
      <c r="V180" s="220" t="str">
        <f t="array" ref="V180">INDEX(P:P,MAX(U$3:U180))</f>
        <v>9I#1DTR(B)</v>
      </c>
      <c r="W180" s="220" t="str">
        <f t="shared" ca="1" si="48"/>
        <v/>
      </c>
      <c r="X180" s="220">
        <f t="shared" si="49"/>
        <v>11.4</v>
      </c>
      <c r="Y180" s="220">
        <f t="shared" si="36"/>
        <v>0</v>
      </c>
      <c r="AA180" s="220" t="str">
        <f t="shared" si="37"/>
        <v>福興</v>
      </c>
      <c r="AB180" s="220" t="s">
        <v>1411</v>
      </c>
      <c r="AC180" s="220" t="str">
        <f>LEFT(B180,4)</f>
        <v>9I38</v>
      </c>
      <c r="BB180" s="514" t="s">
        <v>1935</v>
      </c>
      <c r="BC180" s="514">
        <v>1712</v>
      </c>
      <c r="BD180" s="514">
        <v>1</v>
      </c>
      <c r="BE180" s="514">
        <v>1713</v>
      </c>
      <c r="BG180" s="229" t="s">
        <v>8451</v>
      </c>
      <c r="BH180" s="230" t="s">
        <v>8459</v>
      </c>
      <c r="BI180" t="s">
        <v>1411</v>
      </c>
      <c r="BJ180" t="s">
        <v>2135</v>
      </c>
    </row>
    <row r="181" spans="1:62">
      <c r="A181" s="229" t="s">
        <v>6660</v>
      </c>
      <c r="B181" s="230" t="s">
        <v>6661</v>
      </c>
      <c r="C181" s="230" t="s">
        <v>6662</v>
      </c>
      <c r="D181" s="229" t="s">
        <v>5791</v>
      </c>
      <c r="E181" s="229" t="s">
        <v>6663</v>
      </c>
      <c r="F181" s="229" t="s">
        <v>6530</v>
      </c>
      <c r="G181" s="229" t="s">
        <v>6664</v>
      </c>
      <c r="H181" s="229" t="s">
        <v>6665</v>
      </c>
      <c r="I181" s="229" t="s">
        <v>1033</v>
      </c>
      <c r="J181" s="231" t="s">
        <v>6666</v>
      </c>
      <c r="K181" s="231" t="s">
        <v>5949</v>
      </c>
      <c r="L181" s="220" t="str">
        <f t="shared" si="38"/>
        <v>9I37</v>
      </c>
      <c r="M181" s="220" t="str">
        <f t="shared" si="39"/>
        <v/>
      </c>
      <c r="N181" s="220" t="str">
        <f t="shared" si="40"/>
        <v/>
      </c>
      <c r="O181" s="220" t="str">
        <f t="shared" si="41"/>
        <v/>
      </c>
      <c r="P181" s="52" t="str">
        <f t="shared" si="42"/>
        <v>9I37</v>
      </c>
      <c r="Q181" s="231" t="str">
        <f t="shared" si="43"/>
        <v>253</v>
      </c>
      <c r="R181" s="224">
        <f t="shared" si="44"/>
        <v>239.33333333333334</v>
      </c>
      <c r="S181" s="52">
        <f t="shared" si="45"/>
        <v>231</v>
      </c>
      <c r="T181" s="221">
        <f t="shared" ca="1" si="46"/>
        <v>5</v>
      </c>
      <c r="U181" s="221" t="str">
        <f t="shared" si="47"/>
        <v/>
      </c>
      <c r="V181" s="220" t="str">
        <f t="array" ref="V181">INDEX(P:P,MAX(U$3:U181))</f>
        <v>9I#1DTR(B)</v>
      </c>
      <c r="W181" s="220" t="str">
        <f t="shared" ca="1" si="48"/>
        <v/>
      </c>
      <c r="X181" s="220">
        <f t="shared" si="49"/>
        <v>11.4</v>
      </c>
      <c r="Y181" s="220">
        <f t="shared" si="36"/>
        <v>0</v>
      </c>
      <c r="AA181" s="220" t="str">
        <f t="shared" si="37"/>
        <v>福興</v>
      </c>
      <c r="AB181" s="220" t="s">
        <v>1379</v>
      </c>
      <c r="AC181" s="220" t="str">
        <f>LEFT(B181,4)</f>
        <v>9I37</v>
      </c>
      <c r="BB181" s="514" t="s">
        <v>1936</v>
      </c>
      <c r="BC181" s="514">
        <v>952</v>
      </c>
      <c r="BD181" s="514">
        <v>2</v>
      </c>
      <c r="BE181" s="514">
        <v>954</v>
      </c>
      <c r="BG181" s="229" t="s">
        <v>8453</v>
      </c>
      <c r="BH181" s="230" t="s">
        <v>8460</v>
      </c>
      <c r="BI181" t="s">
        <v>1379</v>
      </c>
      <c r="BJ181" t="s">
        <v>2135</v>
      </c>
    </row>
    <row r="182" spans="1:62">
      <c r="A182" s="229" t="s">
        <v>17</v>
      </c>
      <c r="B182" s="230" t="s">
        <v>6667</v>
      </c>
      <c r="C182" s="230" t="s">
        <v>6668</v>
      </c>
      <c r="D182" s="229" t="s">
        <v>6600</v>
      </c>
      <c r="E182" s="229" t="s">
        <v>6669</v>
      </c>
      <c r="F182" s="229" t="s">
        <v>6600</v>
      </c>
      <c r="G182" s="229" t="s">
        <v>6670</v>
      </c>
      <c r="H182" s="229" t="s">
        <v>6671</v>
      </c>
      <c r="I182" s="229" t="s">
        <v>6672</v>
      </c>
      <c r="J182" s="231" t="s">
        <v>6673</v>
      </c>
      <c r="K182" s="231" t="s">
        <v>6653</v>
      </c>
      <c r="L182" s="220" t="str">
        <f t="shared" si="38"/>
        <v>9I36</v>
      </c>
      <c r="M182" s="220" t="str">
        <f t="shared" si="39"/>
        <v/>
      </c>
      <c r="N182" s="220" t="str">
        <f t="shared" si="40"/>
        <v/>
      </c>
      <c r="O182" s="220" t="str">
        <f t="shared" si="41"/>
        <v/>
      </c>
      <c r="P182" s="52" t="str">
        <f t="shared" si="42"/>
        <v>9I36</v>
      </c>
      <c r="Q182" s="231" t="str">
        <f t="shared" si="43"/>
        <v>198</v>
      </c>
      <c r="R182" s="224">
        <f t="shared" si="44"/>
        <v>193</v>
      </c>
      <c r="S182" s="52">
        <f t="shared" si="45"/>
        <v>184</v>
      </c>
      <c r="T182" s="221">
        <f t="shared" ca="1" si="46"/>
        <v>3.91</v>
      </c>
      <c r="U182" s="221" t="str">
        <f t="shared" si="47"/>
        <v/>
      </c>
      <c r="V182" s="220" t="str">
        <f t="array" ref="V182">INDEX(P:P,MAX(U$3:U182))</f>
        <v>9I#1DTR(B)</v>
      </c>
      <c r="W182" s="220" t="str">
        <f t="shared" ca="1" si="48"/>
        <v/>
      </c>
      <c r="X182" s="220">
        <f t="shared" si="49"/>
        <v>11.4</v>
      </c>
      <c r="Y182" s="220">
        <f t="shared" si="36"/>
        <v>0</v>
      </c>
      <c r="AA182" s="220" t="str">
        <f t="shared" si="37"/>
        <v>福興</v>
      </c>
      <c r="AB182" s="220" t="s">
        <v>1367</v>
      </c>
      <c r="AC182" s="220" t="str">
        <f>LEFT(B182,4)</f>
        <v>9I36</v>
      </c>
      <c r="BB182" s="514" t="s">
        <v>1937</v>
      </c>
      <c r="BC182" s="514">
        <v>366</v>
      </c>
      <c r="BD182" s="514" t="s">
        <v>85</v>
      </c>
      <c r="BE182" s="514">
        <v>366</v>
      </c>
      <c r="BG182" s="229" t="s">
        <v>8451</v>
      </c>
      <c r="BH182" s="230" t="s">
        <v>8461</v>
      </c>
      <c r="BI182" t="s">
        <v>1367</v>
      </c>
      <c r="BJ182" t="s">
        <v>2135</v>
      </c>
    </row>
    <row r="183" spans="1:62">
      <c r="A183" s="229" t="s">
        <v>6674</v>
      </c>
      <c r="B183" s="230" t="s">
        <v>6675</v>
      </c>
      <c r="C183" s="230" t="s">
        <v>6676</v>
      </c>
      <c r="D183" s="229" t="s">
        <v>6677</v>
      </c>
      <c r="E183" s="229" t="s">
        <v>6678</v>
      </c>
      <c r="F183" s="229" t="s">
        <v>6679</v>
      </c>
      <c r="G183" s="229" t="s">
        <v>6680</v>
      </c>
      <c r="H183" s="229" t="s">
        <v>6681</v>
      </c>
      <c r="I183" s="229" t="s">
        <v>6676</v>
      </c>
      <c r="J183" s="231" t="s">
        <v>6647</v>
      </c>
      <c r="K183" s="231" t="s">
        <v>6647</v>
      </c>
      <c r="L183" s="220" t="str">
        <f t="shared" si="38"/>
        <v>9I#2DTR(A)</v>
      </c>
      <c r="M183" s="220" t="str">
        <f t="shared" si="39"/>
        <v>(A)</v>
      </c>
      <c r="N183" s="220" t="str">
        <f t="shared" si="40"/>
        <v>9I#2DTR</v>
      </c>
      <c r="O183" s="220" t="str">
        <f t="shared" si="41"/>
        <v>(A)</v>
      </c>
      <c r="P183" s="52" t="str">
        <f t="shared" si="42"/>
        <v>9I#2DTR(A)</v>
      </c>
      <c r="Q183" s="231" t="str">
        <f t="shared" si="43"/>
        <v>651</v>
      </c>
      <c r="R183" s="224">
        <f t="shared" si="44"/>
        <v>641.33333333333337</v>
      </c>
      <c r="S183" s="52">
        <f t="shared" si="45"/>
        <v>633</v>
      </c>
      <c r="T183" s="221">
        <f t="shared" ca="1" si="46"/>
        <v>12.85</v>
      </c>
      <c r="U183" s="221">
        <f t="shared" si="47"/>
        <v>183</v>
      </c>
      <c r="V183" s="220" t="str">
        <f t="array" ref="V183">INDEX(P:P,MAX(U$3:U183))</f>
        <v>9I#2DTR(A)</v>
      </c>
      <c r="W183" s="220">
        <f t="shared" ca="1" si="48"/>
        <v>30</v>
      </c>
      <c r="X183" s="220" t="str">
        <f t="shared" si="49"/>
        <v/>
      </c>
      <c r="Y183" s="220">
        <f t="shared" si="36"/>
        <v>0</v>
      </c>
      <c r="AA183" s="220" t="str">
        <f t="shared" si="37"/>
        <v>福興</v>
      </c>
      <c r="AB183" s="220" t="s">
        <v>2136</v>
      </c>
      <c r="AC183" s="220" t="s">
        <v>2136</v>
      </c>
      <c r="BB183" s="514" t="s">
        <v>1938</v>
      </c>
      <c r="BC183" s="514" t="s">
        <v>85</v>
      </c>
      <c r="BD183" s="514" t="s">
        <v>85</v>
      </c>
      <c r="BE183" s="514">
        <v>0</v>
      </c>
      <c r="BG183" s="229" t="s">
        <v>8453</v>
      </c>
      <c r="BH183" s="230" t="s">
        <v>8410</v>
      </c>
      <c r="BI183" t="s">
        <v>2136</v>
      </c>
      <c r="BJ183" t="s">
        <v>2136</v>
      </c>
    </row>
    <row r="184" spans="1:62">
      <c r="A184" s="229" t="s">
        <v>6674</v>
      </c>
      <c r="B184" s="230" t="s">
        <v>6682</v>
      </c>
      <c r="C184" s="230" t="s">
        <v>6683</v>
      </c>
      <c r="D184" s="229" t="s">
        <v>6483</v>
      </c>
      <c r="E184" s="229" t="s">
        <v>6684</v>
      </c>
      <c r="F184" s="229" t="s">
        <v>6592</v>
      </c>
      <c r="G184" s="229" t="s">
        <v>6685</v>
      </c>
      <c r="H184" s="229" t="s">
        <v>6686</v>
      </c>
      <c r="I184" s="229" t="s">
        <v>6687</v>
      </c>
      <c r="J184" s="231" t="s">
        <v>6688</v>
      </c>
      <c r="K184" s="231" t="s">
        <v>6689</v>
      </c>
      <c r="L184" s="220" t="str">
        <f t="shared" si="38"/>
        <v>9I26</v>
      </c>
      <c r="M184" s="220" t="str">
        <f t="shared" si="39"/>
        <v/>
      </c>
      <c r="N184" s="220" t="str">
        <f t="shared" si="40"/>
        <v/>
      </c>
      <c r="O184" s="220" t="str">
        <f t="shared" si="41"/>
        <v/>
      </c>
      <c r="P184" s="52" t="str">
        <f t="shared" si="42"/>
        <v>9I26</v>
      </c>
      <c r="Q184" s="231" t="str">
        <f t="shared" si="43"/>
        <v>55</v>
      </c>
      <c r="R184" s="224">
        <f t="shared" si="44"/>
        <v>53.333333333333336</v>
      </c>
      <c r="S184" s="52">
        <f t="shared" si="45"/>
        <v>51</v>
      </c>
      <c r="T184" s="221">
        <f t="shared" ca="1" si="46"/>
        <v>1.0900000000000001</v>
      </c>
      <c r="U184" s="221" t="str">
        <f t="shared" si="47"/>
        <v/>
      </c>
      <c r="V184" s="220" t="str">
        <f t="array" ref="V184">INDEX(P:P,MAX(U$3:U184))</f>
        <v>9I#2DTR(A)</v>
      </c>
      <c r="W184" s="220" t="str">
        <f t="shared" ca="1" si="48"/>
        <v/>
      </c>
      <c r="X184" s="220">
        <f t="shared" si="49"/>
        <v>11.4</v>
      </c>
      <c r="Y184" s="220">
        <f t="shared" si="36"/>
        <v>0</v>
      </c>
      <c r="AA184" s="220" t="str">
        <f t="shared" si="37"/>
        <v>福興</v>
      </c>
      <c r="AB184" s="220" t="s">
        <v>1456</v>
      </c>
      <c r="AC184" s="220" t="str">
        <f>LEFT(B184,4)</f>
        <v>9I26</v>
      </c>
      <c r="BB184" s="514" t="s">
        <v>1939</v>
      </c>
      <c r="BC184" s="514">
        <v>645</v>
      </c>
      <c r="BD184" s="514" t="s">
        <v>85</v>
      </c>
      <c r="BE184" s="514">
        <v>645</v>
      </c>
      <c r="BG184" s="229" t="s">
        <v>8451</v>
      </c>
      <c r="BH184" s="230" t="s">
        <v>419</v>
      </c>
      <c r="BI184" t="s">
        <v>1456</v>
      </c>
      <c r="BJ184" t="s">
        <v>2136</v>
      </c>
    </row>
    <row r="185" spans="1:62">
      <c r="A185" s="229" t="s">
        <v>17</v>
      </c>
      <c r="B185" s="230" t="s">
        <v>6690</v>
      </c>
      <c r="C185" s="230" t="s">
        <v>6691</v>
      </c>
      <c r="D185" s="229" t="s">
        <v>6635</v>
      </c>
      <c r="E185" s="229" t="s">
        <v>6692</v>
      </c>
      <c r="F185" s="229" t="s">
        <v>6600</v>
      </c>
      <c r="G185" s="229" t="s">
        <v>834</v>
      </c>
      <c r="H185" s="229" t="s">
        <v>6635</v>
      </c>
      <c r="I185" s="229" t="s">
        <v>6692</v>
      </c>
      <c r="J185" s="231" t="s">
        <v>6693</v>
      </c>
      <c r="K185" s="231" t="s">
        <v>6694</v>
      </c>
      <c r="L185" s="220" t="str">
        <f t="shared" si="38"/>
        <v>9I27</v>
      </c>
      <c r="M185" s="220" t="str">
        <f t="shared" si="39"/>
        <v/>
      </c>
      <c r="N185" s="220" t="str">
        <f t="shared" si="40"/>
        <v/>
      </c>
      <c r="O185" s="220" t="str">
        <f t="shared" si="41"/>
        <v/>
      </c>
      <c r="P185" s="52" t="str">
        <f t="shared" si="42"/>
        <v>9I27</v>
      </c>
      <c r="Q185" s="231" t="str">
        <f t="shared" si="43"/>
        <v>119</v>
      </c>
      <c r="R185" s="224">
        <f t="shared" si="44"/>
        <v>106</v>
      </c>
      <c r="S185" s="52">
        <f t="shared" si="45"/>
        <v>99</v>
      </c>
      <c r="T185" s="221">
        <f t="shared" ca="1" si="46"/>
        <v>2.35</v>
      </c>
      <c r="U185" s="221" t="str">
        <f t="shared" si="47"/>
        <v/>
      </c>
      <c r="V185" s="220" t="str">
        <f t="array" ref="V185">INDEX(P:P,MAX(U$3:U185))</f>
        <v>9I#2DTR(A)</v>
      </c>
      <c r="W185" s="220" t="str">
        <f t="shared" ca="1" si="48"/>
        <v/>
      </c>
      <c r="X185" s="220">
        <f t="shared" si="49"/>
        <v>11.4</v>
      </c>
      <c r="Y185" s="220">
        <f t="shared" si="36"/>
        <v>0</v>
      </c>
      <c r="AA185" s="220" t="str">
        <f t="shared" si="37"/>
        <v>福興</v>
      </c>
      <c r="AB185" s="220" t="s">
        <v>8970</v>
      </c>
      <c r="AC185" s="220" t="str">
        <f>LEFT(B185,4)</f>
        <v>9I27</v>
      </c>
      <c r="BB185" s="514" t="s">
        <v>1940</v>
      </c>
      <c r="BC185" s="514">
        <v>985</v>
      </c>
      <c r="BD185" s="514" t="s">
        <v>85</v>
      </c>
      <c r="BE185" s="514">
        <v>985</v>
      </c>
      <c r="BG185" s="229" t="s">
        <v>17</v>
      </c>
      <c r="BH185" s="230" t="s">
        <v>8462</v>
      </c>
      <c r="BI185" t="s">
        <v>1492</v>
      </c>
      <c r="BJ185" t="s">
        <v>2136</v>
      </c>
    </row>
    <row r="186" spans="1:62" s="619" customFormat="1">
      <c r="A186" s="616" t="s">
        <v>6632</v>
      </c>
      <c r="B186" s="617" t="s">
        <v>6695</v>
      </c>
      <c r="C186" s="617" t="s">
        <v>6696</v>
      </c>
      <c r="D186" s="616" t="s">
        <v>6681</v>
      </c>
      <c r="E186" s="616" t="s">
        <v>6697</v>
      </c>
      <c r="F186" s="616" t="s">
        <v>6618</v>
      </c>
      <c r="G186" s="616" t="s">
        <v>6698</v>
      </c>
      <c r="H186" s="616" t="s">
        <v>6681</v>
      </c>
      <c r="I186" s="616" t="s">
        <v>999</v>
      </c>
      <c r="J186" s="618" t="s">
        <v>878</v>
      </c>
      <c r="K186" s="618" t="s">
        <v>6699</v>
      </c>
      <c r="L186" s="619" t="str">
        <f t="shared" si="38"/>
        <v>9I28</v>
      </c>
      <c r="M186" s="619" t="str">
        <f t="shared" si="39"/>
        <v/>
      </c>
      <c r="N186" s="619" t="str">
        <f t="shared" si="40"/>
        <v/>
      </c>
      <c r="O186" s="619" t="str">
        <f t="shared" si="41"/>
        <v/>
      </c>
      <c r="P186" s="620" t="str">
        <f t="shared" si="42"/>
        <v>9I28</v>
      </c>
      <c r="Q186" s="618" t="str">
        <f t="shared" si="43"/>
        <v>283</v>
      </c>
      <c r="R186" s="621">
        <f t="shared" si="44"/>
        <v>274.66666666666669</v>
      </c>
      <c r="S186" s="620">
        <f t="shared" si="45"/>
        <v>268</v>
      </c>
      <c r="T186" s="622">
        <f t="shared" ca="1" si="46"/>
        <v>5.59</v>
      </c>
      <c r="U186" s="622" t="str">
        <f t="shared" si="47"/>
        <v/>
      </c>
      <c r="V186" s="619" t="str">
        <f t="array" ref="V186">INDEX(P:P,MAX(U$3:U186))</f>
        <v>9I#2DTR(A)</v>
      </c>
      <c r="W186" s="619" t="str">
        <f t="shared" ca="1" si="48"/>
        <v/>
      </c>
      <c r="X186" s="619">
        <f t="shared" si="49"/>
        <v>11.4</v>
      </c>
      <c r="Y186" s="619">
        <f t="shared" si="36"/>
        <v>0</v>
      </c>
      <c r="AA186" s="619" t="str">
        <f t="shared" si="37"/>
        <v>福興</v>
      </c>
      <c r="AB186" s="619" t="s">
        <v>8971</v>
      </c>
      <c r="AC186" s="619" t="str">
        <f>LEFT(B186,4)</f>
        <v>9I28</v>
      </c>
      <c r="AE186" s="623"/>
      <c r="AF186" s="623"/>
      <c r="AG186" s="623"/>
      <c r="AH186" s="623"/>
      <c r="AI186" s="623"/>
      <c r="AJ186" s="623"/>
      <c r="AK186" s="623"/>
      <c r="AL186" s="623"/>
      <c r="AM186" s="624"/>
      <c r="AN186" s="623"/>
      <c r="AO186" s="624"/>
      <c r="BB186" s="625" t="s">
        <v>1941</v>
      </c>
      <c r="BC186" s="625">
        <v>4670</v>
      </c>
      <c r="BD186" s="625">
        <v>1</v>
      </c>
      <c r="BE186" s="625">
        <v>4671</v>
      </c>
      <c r="BG186" s="616" t="s">
        <v>8451</v>
      </c>
      <c r="BH186" s="617" t="s">
        <v>8463</v>
      </c>
      <c r="BI186" s="623" t="s">
        <v>1507</v>
      </c>
      <c r="BJ186" s="623" t="s">
        <v>2136</v>
      </c>
    </row>
    <row r="187" spans="1:62">
      <c r="A187" s="229" t="s">
        <v>6700</v>
      </c>
      <c r="B187" s="230" t="s">
        <v>6701</v>
      </c>
      <c r="C187" s="230" t="s">
        <v>6702</v>
      </c>
      <c r="D187" s="229" t="s">
        <v>6643</v>
      </c>
      <c r="E187" s="229" t="s">
        <v>6703</v>
      </c>
      <c r="F187" s="229" t="s">
        <v>5922</v>
      </c>
      <c r="G187" s="229" t="s">
        <v>6704</v>
      </c>
      <c r="H187" s="229" t="s">
        <v>5922</v>
      </c>
      <c r="I187" s="229" t="s">
        <v>6705</v>
      </c>
      <c r="J187" s="231" t="s">
        <v>6706</v>
      </c>
      <c r="K187" s="231" t="s">
        <v>6707</v>
      </c>
      <c r="L187" s="220" t="str">
        <f t="shared" si="38"/>
        <v>9I29</v>
      </c>
      <c r="M187" s="220" t="str">
        <f t="shared" si="39"/>
        <v/>
      </c>
      <c r="N187" s="220" t="str">
        <f t="shared" si="40"/>
        <v/>
      </c>
      <c r="O187" s="220" t="str">
        <f t="shared" si="41"/>
        <v/>
      </c>
      <c r="P187" s="52" t="str">
        <f t="shared" si="42"/>
        <v>9I29</v>
      </c>
      <c r="Q187" s="231" t="str">
        <f t="shared" si="43"/>
        <v>270</v>
      </c>
      <c r="R187" s="224">
        <f t="shared" si="44"/>
        <v>249</v>
      </c>
      <c r="S187" s="52">
        <f t="shared" si="45"/>
        <v>238</v>
      </c>
      <c r="T187" s="221">
        <f t="shared" ca="1" si="46"/>
        <v>5.33</v>
      </c>
      <c r="U187" s="221" t="str">
        <f t="shared" si="47"/>
        <v/>
      </c>
      <c r="V187" s="220" t="str">
        <f t="array" ref="V187">INDEX(P:P,MAX(U$3:U187))</f>
        <v>9I#2DTR(A)</v>
      </c>
      <c r="W187" s="220" t="str">
        <f t="shared" ca="1" si="48"/>
        <v/>
      </c>
      <c r="X187" s="220">
        <f t="shared" si="49"/>
        <v>11.4</v>
      </c>
      <c r="Y187" s="220">
        <f t="shared" si="36"/>
        <v>0</v>
      </c>
      <c r="AA187" s="220" t="str">
        <f t="shared" si="37"/>
        <v>福興</v>
      </c>
      <c r="AB187" s="220" t="s">
        <v>1541</v>
      </c>
      <c r="AC187" s="220" t="str">
        <f>LEFT(B187,4)</f>
        <v>9I29</v>
      </c>
      <c r="BB187" s="514" t="s">
        <v>1942</v>
      </c>
      <c r="BC187" s="514">
        <v>393</v>
      </c>
      <c r="BD187" s="514" t="s">
        <v>85</v>
      </c>
      <c r="BE187" s="514">
        <v>393</v>
      </c>
      <c r="BG187" s="229" t="s">
        <v>8451</v>
      </c>
      <c r="BH187" s="230" t="s">
        <v>8464</v>
      </c>
      <c r="BI187" t="s">
        <v>1541</v>
      </c>
      <c r="BJ187" t="s">
        <v>2136</v>
      </c>
    </row>
    <row r="188" spans="1:62">
      <c r="A188" s="229" t="s">
        <v>6708</v>
      </c>
      <c r="B188" s="230" t="s">
        <v>6709</v>
      </c>
      <c r="C188" s="230" t="s">
        <v>6710</v>
      </c>
      <c r="D188" s="229" t="s">
        <v>6483</v>
      </c>
      <c r="E188" s="229" t="s">
        <v>6711</v>
      </c>
      <c r="F188" s="229" t="s">
        <v>6592</v>
      </c>
      <c r="G188" s="229" t="s">
        <v>6712</v>
      </c>
      <c r="H188" s="229" t="s">
        <v>6618</v>
      </c>
      <c r="I188" s="229" t="s">
        <v>6713</v>
      </c>
      <c r="J188" s="231" t="s">
        <v>6714</v>
      </c>
      <c r="K188" s="231" t="s">
        <v>6209</v>
      </c>
      <c r="L188" s="220" t="str">
        <f t="shared" si="38"/>
        <v>9I#2DTR(B)</v>
      </c>
      <c r="M188" s="220" t="str">
        <f t="shared" si="39"/>
        <v>(B)</v>
      </c>
      <c r="N188" s="220" t="str">
        <f t="shared" si="40"/>
        <v>9I#2DTR</v>
      </c>
      <c r="O188" s="220" t="str">
        <f t="shared" si="41"/>
        <v>(B)</v>
      </c>
      <c r="P188" s="52" t="str">
        <f t="shared" si="42"/>
        <v>9I#2DTR(B)</v>
      </c>
      <c r="Q188" s="231" t="str">
        <f t="shared" si="43"/>
        <v>863</v>
      </c>
      <c r="R188" s="224">
        <f t="shared" si="44"/>
        <v>845.66666666666663</v>
      </c>
      <c r="S188" s="52">
        <f t="shared" si="45"/>
        <v>834</v>
      </c>
      <c r="T188" s="221">
        <f t="shared" ca="1" si="46"/>
        <v>17.04</v>
      </c>
      <c r="U188" s="221">
        <f t="shared" si="47"/>
        <v>188</v>
      </c>
      <c r="V188" s="220" t="str">
        <f t="array" ref="V188">INDEX(P:P,MAX(U$3:U188))</f>
        <v>9I#2DTR(B)</v>
      </c>
      <c r="W188" s="220">
        <f t="shared" ca="1" si="48"/>
        <v>30</v>
      </c>
      <c r="X188" s="220" t="str">
        <f t="shared" si="49"/>
        <v/>
      </c>
      <c r="Y188" s="220">
        <f t="shared" si="36"/>
        <v>0</v>
      </c>
      <c r="AA188" s="220" t="str">
        <f t="shared" si="37"/>
        <v>福興</v>
      </c>
      <c r="AB188" s="220" t="s">
        <v>2137</v>
      </c>
      <c r="AC188" s="220" t="s">
        <v>2137</v>
      </c>
      <c r="BB188" s="514" t="s">
        <v>2017</v>
      </c>
      <c r="BC188" s="514">
        <v>996</v>
      </c>
      <c r="BD188" s="514" t="s">
        <v>85</v>
      </c>
      <c r="BE188" s="514">
        <v>996</v>
      </c>
      <c r="BG188" s="229" t="s">
        <v>8451</v>
      </c>
      <c r="BH188" s="230" t="s">
        <v>8465</v>
      </c>
      <c r="BI188" t="s">
        <v>2137</v>
      </c>
      <c r="BJ188" t="s">
        <v>2137</v>
      </c>
    </row>
    <row r="189" spans="1:62">
      <c r="A189" s="229" t="s">
        <v>6597</v>
      </c>
      <c r="B189" s="230" t="s">
        <v>6715</v>
      </c>
      <c r="C189" s="230" t="s">
        <v>6716</v>
      </c>
      <c r="D189" s="229" t="s">
        <v>6592</v>
      </c>
      <c r="E189" s="229" t="s">
        <v>6704</v>
      </c>
      <c r="F189" s="229" t="s">
        <v>6592</v>
      </c>
      <c r="G189" s="229" t="s">
        <v>6717</v>
      </c>
      <c r="H189" s="229" t="s">
        <v>6592</v>
      </c>
      <c r="I189" s="229" t="s">
        <v>6716</v>
      </c>
      <c r="J189" s="231" t="s">
        <v>6718</v>
      </c>
      <c r="K189" s="231" t="s">
        <v>859</v>
      </c>
      <c r="L189" s="220" t="str">
        <f t="shared" si="38"/>
        <v>9I35</v>
      </c>
      <c r="M189" s="220" t="str">
        <f t="shared" si="39"/>
        <v/>
      </c>
      <c r="N189" s="220" t="str">
        <f t="shared" si="40"/>
        <v/>
      </c>
      <c r="O189" s="220" t="str">
        <f t="shared" si="41"/>
        <v/>
      </c>
      <c r="P189" s="52" t="str">
        <f t="shared" si="42"/>
        <v>9I35</v>
      </c>
      <c r="Q189" s="231" t="str">
        <f t="shared" si="43"/>
        <v>258</v>
      </c>
      <c r="R189" s="224">
        <f t="shared" si="44"/>
        <v>246</v>
      </c>
      <c r="S189" s="52">
        <f t="shared" si="45"/>
        <v>238</v>
      </c>
      <c r="T189" s="221">
        <f t="shared" ca="1" si="46"/>
        <v>5.09</v>
      </c>
      <c r="U189" s="221" t="str">
        <f t="shared" si="47"/>
        <v/>
      </c>
      <c r="V189" s="220" t="str">
        <f t="array" ref="V189">INDEX(P:P,MAX(U$3:U189))</f>
        <v>9I#2DTR(B)</v>
      </c>
      <c r="W189" s="220" t="str">
        <f t="shared" ca="1" si="48"/>
        <v/>
      </c>
      <c r="X189" s="220">
        <f t="shared" si="49"/>
        <v>11.4</v>
      </c>
      <c r="Y189" s="220">
        <f t="shared" si="36"/>
        <v>0</v>
      </c>
      <c r="AA189" s="220" t="str">
        <f t="shared" si="37"/>
        <v>福興</v>
      </c>
      <c r="AB189" s="220" t="s">
        <v>1690</v>
      </c>
      <c r="AC189" s="220" t="str">
        <f t="shared" ref="AC189:AC194" si="51">LEFT(B189,4)</f>
        <v>9I35</v>
      </c>
      <c r="BB189" s="514" t="s">
        <v>2019</v>
      </c>
      <c r="BC189" s="514" t="s">
        <v>85</v>
      </c>
      <c r="BD189" s="514" t="s">
        <v>85</v>
      </c>
      <c r="BE189" s="514">
        <v>0</v>
      </c>
      <c r="BG189" s="229" t="s">
        <v>8451</v>
      </c>
      <c r="BH189" s="230" t="s">
        <v>420</v>
      </c>
      <c r="BI189" t="s">
        <v>1690</v>
      </c>
      <c r="BJ189" t="s">
        <v>2137</v>
      </c>
    </row>
    <row r="190" spans="1:62">
      <c r="A190" s="229" t="s">
        <v>6719</v>
      </c>
      <c r="B190" s="230" t="s">
        <v>6720</v>
      </c>
      <c r="C190" s="230" t="s">
        <v>822</v>
      </c>
      <c r="D190" s="229" t="s">
        <v>832</v>
      </c>
      <c r="E190" s="229" t="s">
        <v>6721</v>
      </c>
      <c r="F190" s="229" t="s">
        <v>6059</v>
      </c>
      <c r="G190" s="229" t="s">
        <v>6722</v>
      </c>
      <c r="H190" s="229" t="s">
        <v>6723</v>
      </c>
      <c r="I190" s="229" t="s">
        <v>6724</v>
      </c>
      <c r="J190" s="231" t="s">
        <v>6035</v>
      </c>
      <c r="K190" s="231" t="s">
        <v>804</v>
      </c>
      <c r="L190" s="220" t="str">
        <f t="shared" si="38"/>
        <v>9I34</v>
      </c>
      <c r="M190" s="220" t="str">
        <f t="shared" si="39"/>
        <v/>
      </c>
      <c r="N190" s="220" t="str">
        <f t="shared" si="40"/>
        <v/>
      </c>
      <c r="O190" s="220" t="str">
        <f t="shared" si="41"/>
        <v/>
      </c>
      <c r="P190" s="52" t="str">
        <f t="shared" si="42"/>
        <v>9I34</v>
      </c>
      <c r="Q190" s="231" t="str">
        <f t="shared" si="43"/>
        <v>148</v>
      </c>
      <c r="R190" s="224">
        <f t="shared" si="44"/>
        <v>138</v>
      </c>
      <c r="S190" s="52">
        <f t="shared" si="45"/>
        <v>132</v>
      </c>
      <c r="T190" s="221">
        <f t="shared" ca="1" si="46"/>
        <v>2.92</v>
      </c>
      <c r="U190" s="221" t="str">
        <f t="shared" si="47"/>
        <v/>
      </c>
      <c r="V190" s="220" t="str">
        <f t="array" ref="V190">INDEX(P:P,MAX(U$3:U190))</f>
        <v>9I#2DTR(B)</v>
      </c>
      <c r="W190" s="220" t="str">
        <f t="shared" ca="1" si="48"/>
        <v/>
      </c>
      <c r="X190" s="220">
        <f t="shared" si="49"/>
        <v>11.4</v>
      </c>
      <c r="Y190" s="220">
        <f t="shared" si="36"/>
        <v>0</v>
      </c>
      <c r="AA190" s="220" t="str">
        <f t="shared" si="37"/>
        <v>福興</v>
      </c>
      <c r="AB190" s="220" t="s">
        <v>1680</v>
      </c>
      <c r="AC190" s="220" t="str">
        <f t="shared" si="51"/>
        <v>9I34</v>
      </c>
      <c r="BB190" s="514" t="s">
        <v>2020</v>
      </c>
      <c r="BC190" s="514" t="s">
        <v>85</v>
      </c>
      <c r="BD190" s="514" t="s">
        <v>85</v>
      </c>
      <c r="BE190" s="514">
        <v>0</v>
      </c>
      <c r="BG190" s="229" t="s">
        <v>8451</v>
      </c>
      <c r="BH190" s="230" t="s">
        <v>8466</v>
      </c>
      <c r="BI190" t="s">
        <v>1680</v>
      </c>
      <c r="BJ190" t="s">
        <v>2137</v>
      </c>
    </row>
    <row r="191" spans="1:62">
      <c r="A191" s="229" t="s">
        <v>17</v>
      </c>
      <c r="B191" s="230" t="s">
        <v>421</v>
      </c>
      <c r="C191" s="230" t="s">
        <v>6725</v>
      </c>
      <c r="D191" s="229" t="s">
        <v>6059</v>
      </c>
      <c r="E191" s="229" t="s">
        <v>6726</v>
      </c>
      <c r="F191" s="229" t="s">
        <v>832</v>
      </c>
      <c r="G191" s="229" t="s">
        <v>6727</v>
      </c>
      <c r="H191" s="229" t="s">
        <v>5914</v>
      </c>
      <c r="I191" s="229" t="s">
        <v>6728</v>
      </c>
      <c r="J191" s="231" t="s">
        <v>799</v>
      </c>
      <c r="K191" s="231" t="s">
        <v>6729</v>
      </c>
      <c r="L191" s="220" t="str">
        <f t="shared" si="38"/>
        <v>9I33</v>
      </c>
      <c r="M191" s="220" t="str">
        <f t="shared" si="39"/>
        <v/>
      </c>
      <c r="N191" s="220" t="str">
        <f t="shared" si="40"/>
        <v/>
      </c>
      <c r="O191" s="220" t="str">
        <f t="shared" si="41"/>
        <v/>
      </c>
      <c r="P191" s="52" t="str">
        <f t="shared" si="42"/>
        <v>9I33</v>
      </c>
      <c r="Q191" s="231" t="str">
        <f t="shared" si="43"/>
        <v>215</v>
      </c>
      <c r="R191" s="224">
        <f t="shared" si="44"/>
        <v>213.66666666666666</v>
      </c>
      <c r="S191" s="52">
        <f t="shared" si="45"/>
        <v>212</v>
      </c>
      <c r="T191" s="221">
        <f t="shared" ca="1" si="46"/>
        <v>4.25</v>
      </c>
      <c r="U191" s="221" t="str">
        <f t="shared" si="47"/>
        <v/>
      </c>
      <c r="V191" s="220" t="str">
        <f t="array" ref="V191">INDEX(P:P,MAX(U$3:U191))</f>
        <v>9I#2DTR(B)</v>
      </c>
      <c r="W191" s="220" t="str">
        <f t="shared" ca="1" si="48"/>
        <v/>
      </c>
      <c r="X191" s="220">
        <f t="shared" si="49"/>
        <v>11.4</v>
      </c>
      <c r="Y191" s="220">
        <f t="shared" si="36"/>
        <v>0</v>
      </c>
      <c r="AA191" s="220" t="str">
        <f t="shared" si="37"/>
        <v>福興</v>
      </c>
      <c r="AB191" s="220" t="s">
        <v>1647</v>
      </c>
      <c r="AC191" s="220" t="str">
        <f t="shared" si="51"/>
        <v>9I33</v>
      </c>
      <c r="BB191" s="514" t="s">
        <v>2021</v>
      </c>
      <c r="BC191" s="514">
        <v>911</v>
      </c>
      <c r="BD191" s="514" t="s">
        <v>85</v>
      </c>
      <c r="BE191" s="514">
        <v>911</v>
      </c>
      <c r="BG191" s="229" t="s">
        <v>8451</v>
      </c>
      <c r="BH191" s="230" t="s">
        <v>421</v>
      </c>
      <c r="BI191" t="s">
        <v>1647</v>
      </c>
      <c r="BJ191" t="s">
        <v>2137</v>
      </c>
    </row>
    <row r="192" spans="1:62">
      <c r="A192" s="229" t="s">
        <v>17</v>
      </c>
      <c r="B192" s="230" t="s">
        <v>422</v>
      </c>
      <c r="C192" s="230" t="s">
        <v>980</v>
      </c>
      <c r="D192" s="229" t="s">
        <v>846</v>
      </c>
      <c r="E192" s="229" t="s">
        <v>6730</v>
      </c>
      <c r="F192" s="229" t="s">
        <v>6731</v>
      </c>
      <c r="G192" s="229" t="s">
        <v>6732</v>
      </c>
      <c r="H192" s="229" t="s">
        <v>797</v>
      </c>
      <c r="I192" s="229" t="s">
        <v>6081</v>
      </c>
      <c r="J192" s="231" t="s">
        <v>1009</v>
      </c>
      <c r="K192" s="231" t="s">
        <v>797</v>
      </c>
      <c r="L192" s="220" t="str">
        <f t="shared" si="38"/>
        <v>9I32</v>
      </c>
      <c r="M192" s="220" t="str">
        <f t="shared" si="39"/>
        <v/>
      </c>
      <c r="N192" s="220" t="str">
        <f t="shared" si="40"/>
        <v/>
      </c>
      <c r="O192" s="220" t="str">
        <f t="shared" si="41"/>
        <v/>
      </c>
      <c r="P192" s="52" t="str">
        <f t="shared" si="42"/>
        <v>9I32</v>
      </c>
      <c r="Q192" s="231" t="str">
        <f t="shared" si="43"/>
        <v>176</v>
      </c>
      <c r="R192" s="224">
        <f t="shared" si="44"/>
        <v>145.33333333333334</v>
      </c>
      <c r="S192" s="52">
        <f t="shared" si="45"/>
        <v>130</v>
      </c>
      <c r="T192" s="221">
        <f t="shared" ca="1" si="46"/>
        <v>3.48</v>
      </c>
      <c r="U192" s="221" t="str">
        <f t="shared" si="47"/>
        <v/>
      </c>
      <c r="V192" s="220" t="str">
        <f t="array" ref="V192">INDEX(P:P,MAX(U$3:U192))</f>
        <v>9I#2DTR(B)</v>
      </c>
      <c r="W192" s="220" t="str">
        <f t="shared" ca="1" si="48"/>
        <v/>
      </c>
      <c r="X192" s="220">
        <f t="shared" si="49"/>
        <v>11.4</v>
      </c>
      <c r="Y192" s="220">
        <f t="shared" si="36"/>
        <v>0</v>
      </c>
      <c r="AA192" s="220" t="str">
        <f t="shared" si="37"/>
        <v>福興</v>
      </c>
      <c r="AB192" s="220" t="s">
        <v>1633</v>
      </c>
      <c r="AC192" s="220" t="str">
        <f t="shared" si="51"/>
        <v>9I32</v>
      </c>
      <c r="BB192" s="514" t="s">
        <v>2022</v>
      </c>
      <c r="BC192" s="514">
        <v>2470</v>
      </c>
      <c r="BD192" s="514">
        <v>1</v>
      </c>
      <c r="BE192" s="514">
        <v>2471</v>
      </c>
      <c r="BG192" s="229" t="s">
        <v>8451</v>
      </c>
      <c r="BH192" s="230" t="s">
        <v>8467</v>
      </c>
      <c r="BI192" t="s">
        <v>1633</v>
      </c>
      <c r="BJ192" t="s">
        <v>2137</v>
      </c>
    </row>
    <row r="193" spans="1:62">
      <c r="A193" s="229" t="s">
        <v>17</v>
      </c>
      <c r="B193" s="230" t="s">
        <v>6733</v>
      </c>
      <c r="C193" s="230" t="s">
        <v>6734</v>
      </c>
      <c r="D193" s="229" t="s">
        <v>804</v>
      </c>
      <c r="E193" s="229" t="s">
        <v>6735</v>
      </c>
      <c r="F193" s="229" t="s">
        <v>839</v>
      </c>
      <c r="G193" s="229" t="s">
        <v>6736</v>
      </c>
      <c r="H193" s="229" t="s">
        <v>804</v>
      </c>
      <c r="I193" s="229" t="s">
        <v>6736</v>
      </c>
      <c r="J193" s="231" t="s">
        <v>6737</v>
      </c>
      <c r="K193" s="231" t="s">
        <v>6738</v>
      </c>
      <c r="L193" s="220" t="str">
        <f t="shared" si="38"/>
        <v>9I31</v>
      </c>
      <c r="M193" s="220" t="str">
        <f t="shared" si="39"/>
        <v/>
      </c>
      <c r="N193" s="220" t="str">
        <f t="shared" si="40"/>
        <v/>
      </c>
      <c r="O193" s="220" t="str">
        <f t="shared" si="41"/>
        <v/>
      </c>
      <c r="P193" s="52" t="str">
        <f t="shared" si="42"/>
        <v>9I31</v>
      </c>
      <c r="Q193" s="231" t="str">
        <f t="shared" si="43"/>
        <v>88</v>
      </c>
      <c r="R193" s="224">
        <f t="shared" si="44"/>
        <v>81</v>
      </c>
      <c r="S193" s="52">
        <f t="shared" si="45"/>
        <v>75</v>
      </c>
      <c r="T193" s="221">
        <f t="shared" ca="1" si="46"/>
        <v>1.74</v>
      </c>
      <c r="U193" s="221" t="str">
        <f t="shared" si="47"/>
        <v/>
      </c>
      <c r="V193" s="220" t="str">
        <f t="array" ref="V193">INDEX(P:P,MAX(U$3:U193))</f>
        <v>9I#2DTR(B)</v>
      </c>
      <c r="W193" s="220" t="str">
        <f t="shared" ca="1" si="48"/>
        <v/>
      </c>
      <c r="X193" s="220">
        <f t="shared" si="49"/>
        <v>11.4</v>
      </c>
      <c r="Y193" s="220">
        <f t="shared" si="36"/>
        <v>0</v>
      </c>
      <c r="AA193" s="220" t="str">
        <f t="shared" si="37"/>
        <v>福興</v>
      </c>
      <c r="AB193" s="220" t="s">
        <v>1599</v>
      </c>
      <c r="AC193" s="220" t="str">
        <f t="shared" si="51"/>
        <v>9I31</v>
      </c>
      <c r="BB193" s="514" t="s">
        <v>2023</v>
      </c>
      <c r="BC193" s="514">
        <v>824</v>
      </c>
      <c r="BD193" s="514" t="s">
        <v>85</v>
      </c>
      <c r="BE193" s="514">
        <v>824</v>
      </c>
      <c r="BG193" s="229" t="s">
        <v>8451</v>
      </c>
      <c r="BH193" s="230" t="s">
        <v>8468</v>
      </c>
      <c r="BI193" t="s">
        <v>1599</v>
      </c>
      <c r="BJ193" t="s">
        <v>2137</v>
      </c>
    </row>
    <row r="194" spans="1:62">
      <c r="A194" s="229" t="s">
        <v>6739</v>
      </c>
      <c r="B194" s="230" t="s">
        <v>423</v>
      </c>
      <c r="C194" s="230" t="s">
        <v>6740</v>
      </c>
      <c r="D194" s="229" t="s">
        <v>6059</v>
      </c>
      <c r="E194" s="229" t="s">
        <v>975</v>
      </c>
      <c r="F194" s="229" t="s">
        <v>6741</v>
      </c>
      <c r="G194" s="229" t="s">
        <v>6742</v>
      </c>
      <c r="H194" s="229" t="s">
        <v>6743</v>
      </c>
      <c r="I194" s="229" t="s">
        <v>801</v>
      </c>
      <c r="J194" s="231" t="s">
        <v>6744</v>
      </c>
      <c r="K194" s="231" t="s">
        <v>6745</v>
      </c>
      <c r="L194" s="220" t="str">
        <f t="shared" si="38"/>
        <v>9I30</v>
      </c>
      <c r="M194" s="220" t="str">
        <f t="shared" si="39"/>
        <v/>
      </c>
      <c r="N194" s="220" t="str">
        <f t="shared" si="40"/>
        <v/>
      </c>
      <c r="O194" s="220" t="str">
        <f t="shared" si="41"/>
        <v/>
      </c>
      <c r="P194" s="52" t="str">
        <f t="shared" si="42"/>
        <v>9I30</v>
      </c>
      <c r="Q194" s="231" t="str">
        <f t="shared" si="43"/>
        <v>141</v>
      </c>
      <c r="R194" s="224">
        <f t="shared" si="44"/>
        <v>126.33333333333333</v>
      </c>
      <c r="S194" s="52">
        <f t="shared" si="45"/>
        <v>117</v>
      </c>
      <c r="T194" s="221">
        <f t="shared" ca="1" si="46"/>
        <v>2.78</v>
      </c>
      <c r="U194" s="221" t="str">
        <f t="shared" si="47"/>
        <v/>
      </c>
      <c r="V194" s="220" t="str">
        <f t="array" ref="V194">INDEX(P:P,MAX(U$3:U194))</f>
        <v>9I#2DTR(B)</v>
      </c>
      <c r="W194" s="220" t="str">
        <f t="shared" ca="1" si="48"/>
        <v/>
      </c>
      <c r="X194" s="220">
        <f t="shared" si="49"/>
        <v>11.4</v>
      </c>
      <c r="Y194" s="220">
        <f t="shared" si="36"/>
        <v>0</v>
      </c>
      <c r="AA194" s="220" t="str">
        <f t="shared" si="37"/>
        <v>福興</v>
      </c>
      <c r="AB194" s="220" t="s">
        <v>1587</v>
      </c>
      <c r="AC194" s="220" t="str">
        <f t="shared" si="51"/>
        <v>9I30</v>
      </c>
      <c r="BB194" s="514" t="s">
        <v>2024</v>
      </c>
      <c r="BC194" s="514">
        <v>1730</v>
      </c>
      <c r="BD194" s="514" t="s">
        <v>85</v>
      </c>
      <c r="BE194" s="514">
        <v>1730</v>
      </c>
      <c r="BG194" s="229" t="s">
        <v>8451</v>
      </c>
      <c r="BH194" s="230" t="s">
        <v>423</v>
      </c>
      <c r="BI194" t="s">
        <v>1587</v>
      </c>
      <c r="BJ194" t="s">
        <v>2137</v>
      </c>
    </row>
    <row r="195" spans="1:62">
      <c r="A195" s="229" t="s">
        <v>424</v>
      </c>
      <c r="B195" s="230" t="s">
        <v>425</v>
      </c>
      <c r="C195" s="230" t="s">
        <v>6746</v>
      </c>
      <c r="D195" s="229" t="s">
        <v>832</v>
      </c>
      <c r="E195" s="229" t="s">
        <v>6747</v>
      </c>
      <c r="F195" s="229" t="s">
        <v>6723</v>
      </c>
      <c r="G195" s="229" t="s">
        <v>6748</v>
      </c>
      <c r="H195" s="229" t="s">
        <v>832</v>
      </c>
      <c r="I195" s="229" t="s">
        <v>6749</v>
      </c>
      <c r="J195" s="231" t="s">
        <v>5972</v>
      </c>
      <c r="K195" s="231" t="s">
        <v>358</v>
      </c>
      <c r="L195" s="220" t="str">
        <f t="shared" si="38"/>
        <v>9J#1MTR</v>
      </c>
      <c r="M195" s="220" t="str">
        <f t="shared" si="39"/>
        <v/>
      </c>
      <c r="N195" s="220" t="str">
        <f t="shared" si="40"/>
        <v>9J#1MTR</v>
      </c>
      <c r="O195" s="220" t="str">
        <f t="shared" si="41"/>
        <v/>
      </c>
      <c r="P195" s="52" t="str">
        <f t="shared" si="42"/>
        <v>9J#1MTR</v>
      </c>
      <c r="Q195" s="231" t="str">
        <f t="shared" si="43"/>
        <v>515</v>
      </c>
      <c r="R195" s="224">
        <f t="shared" si="44"/>
        <v>508</v>
      </c>
      <c r="S195" s="52">
        <f t="shared" si="45"/>
        <v>504</v>
      </c>
      <c r="T195" s="221">
        <f t="shared" ca="1" si="46"/>
        <v>10.17</v>
      </c>
      <c r="U195" s="221">
        <f t="shared" si="47"/>
        <v>195</v>
      </c>
      <c r="V195" s="220" t="str">
        <f t="array" ref="V195">INDEX(P:P,MAX(U$3:U195))</f>
        <v>9J#1MTR</v>
      </c>
      <c r="W195" s="220">
        <f t="shared" ca="1" si="48"/>
        <v>25</v>
      </c>
      <c r="X195" s="220" t="str">
        <f t="shared" si="49"/>
        <v/>
      </c>
      <c r="Y195" s="220">
        <f t="shared" ref="Y195:Y258" si="52">SUMIF(L:L,L195,I:I)</f>
        <v>0</v>
      </c>
      <c r="AA195" s="220" t="str">
        <f t="shared" ref="AA195:AA258" si="53">LEFT(A195,2)</f>
        <v>埔鹽</v>
      </c>
      <c r="AB195" s="220" t="s">
        <v>2138</v>
      </c>
      <c r="AC195" s="220" t="s">
        <v>2138</v>
      </c>
      <c r="BB195" s="514" t="s">
        <v>2025</v>
      </c>
      <c r="BC195" s="514">
        <v>706</v>
      </c>
      <c r="BD195" s="514" t="s">
        <v>85</v>
      </c>
      <c r="BE195" s="514">
        <v>706</v>
      </c>
      <c r="BG195" s="229" t="s">
        <v>8469</v>
      </c>
      <c r="BH195" s="230" t="s">
        <v>8470</v>
      </c>
      <c r="BI195" t="s">
        <v>2138</v>
      </c>
      <c r="BJ195" t="s">
        <v>2138</v>
      </c>
    </row>
    <row r="196" spans="1:62">
      <c r="A196" s="229" t="s">
        <v>6750</v>
      </c>
      <c r="B196" s="230" t="s">
        <v>426</v>
      </c>
      <c r="C196" s="230" t="s">
        <v>6751</v>
      </c>
      <c r="D196" s="229" t="s">
        <v>783</v>
      </c>
      <c r="E196" s="229" t="s">
        <v>927</v>
      </c>
      <c r="F196" s="229" t="s">
        <v>6723</v>
      </c>
      <c r="G196" s="229" t="s">
        <v>6752</v>
      </c>
      <c r="H196" s="229" t="s">
        <v>832</v>
      </c>
      <c r="I196" s="229" t="s">
        <v>880</v>
      </c>
      <c r="J196" s="231" t="s">
        <v>6753</v>
      </c>
      <c r="K196" s="231" t="s">
        <v>846</v>
      </c>
      <c r="L196" s="220" t="str">
        <f t="shared" ref="L196:L259" si="54">IF(LEFT(B196,1)="#",IF(LEN(B196)=5,RIGHT(A196,2)&amp;B196,N196&amp;M196),MID(B196,FIND("(",B196)+1,4))</f>
        <v>9J11</v>
      </c>
      <c r="M196" s="220" t="str">
        <f t="shared" ref="M196:M259" si="55">IF(LEFT(B196,1)="#",IF(LEN(B196)&lt;&gt;5,"("&amp;MID(B196,3,1)&amp;")",""),"")</f>
        <v/>
      </c>
      <c r="N196" s="220" t="str">
        <f t="shared" ref="N196:N259" si="56">IF(LEFT(B196,1)="#",IF(LEN(B196)=5,RIGHT(A196,2)&amp;B196,RIGHT(A196,2)&amp;LEFT(B196,2)&amp;"DTR"),"")</f>
        <v/>
      </c>
      <c r="O196" s="220" t="str">
        <f t="shared" ref="O196:O259" si="57">IF(LEFT(B196,1)="#",IF(LEN(B196)&lt;&gt;5,IF(LEN(B196)&lt;&gt;7,"("&amp;MID(B196,3,1)&amp;")","("&amp;MID(B196,3,2)&amp;")"),""),"")</f>
        <v/>
      </c>
      <c r="P196" s="52" t="str">
        <f t="shared" ref="P196:P259" si="58">IF(LEFT(B196,1)="#",IF(LEN(B196)=5,RIGHT(A196,2)&amp;B196,N196&amp;M196),MID(B196,FIND("(",B196)+1,4))</f>
        <v>9J11</v>
      </c>
      <c r="Q196" s="231" t="str">
        <f t="shared" ref="Q196:Q205" si="59">I196</f>
        <v>119</v>
      </c>
      <c r="R196" s="224">
        <f t="shared" ref="R196:R259" si="60">AVERAGE(C196*1,E196*1,G196*1)</f>
        <v>112</v>
      </c>
      <c r="S196" s="52">
        <f t="shared" ref="S196:S259" si="61">MIN(C196*1,E196*1,G196*1)</f>
        <v>100</v>
      </c>
      <c r="T196" s="221">
        <f t="shared" ref="T196:T259" ca="1" si="62">IF(LEFT(B196,1)="#",ROUND(OFFSET(X196,1,0,1,1)*Q196*SQRT(3)/1000,2),ROUND(Q196*X196*SQRT(3)/1000,2))</f>
        <v>2.35</v>
      </c>
      <c r="U196" s="221" t="str">
        <f t="shared" ref="U196:U259" si="63">IF(ISNUMBER(FIND("#",B196)),ROW(),"")</f>
        <v/>
      </c>
      <c r="V196" s="220" t="str">
        <f t="array" ref="V196">INDEX(P:P,MAX(U$3:U196))</f>
        <v>9J#1MTR</v>
      </c>
      <c r="W196" s="220" t="str">
        <f t="shared" ref="W196:W259" ca="1" si="64">IF(LEFT(B196,1)="#",IF(ISNUMBER(FIND("DTR",B196)),IF(MID(OFFSET(P196,1,0,1,1),3,1)*1&lt;5,30,60),25),"")</f>
        <v/>
      </c>
      <c r="X196" s="220">
        <f t="shared" ref="X196:X259" si="65">IF(LEFT(B196,1)="#","",IF(MID(P196,3,1)*1&lt;5,11.4,22.8))</f>
        <v>11.4</v>
      </c>
      <c r="Y196" s="220">
        <f t="shared" si="52"/>
        <v>0</v>
      </c>
      <c r="AA196" s="220" t="str">
        <f t="shared" si="53"/>
        <v>埔鹽</v>
      </c>
      <c r="AB196" s="220" t="s">
        <v>2139</v>
      </c>
      <c r="AC196" s="220" t="str">
        <f>LEFT(B196,4)</f>
        <v>9J11</v>
      </c>
      <c r="BB196" s="514" t="s">
        <v>2026</v>
      </c>
      <c r="BC196" s="514">
        <v>221</v>
      </c>
      <c r="BD196" s="514">
        <v>2</v>
      </c>
      <c r="BE196" s="514">
        <v>223</v>
      </c>
      <c r="BG196" s="229" t="s">
        <v>8471</v>
      </c>
      <c r="BH196" s="230" t="s">
        <v>8472</v>
      </c>
      <c r="BI196" t="s">
        <v>2139</v>
      </c>
      <c r="BJ196" t="s">
        <v>2138</v>
      </c>
    </row>
    <row r="197" spans="1:62">
      <c r="A197" s="229" t="s">
        <v>424</v>
      </c>
      <c r="B197" s="230" t="s">
        <v>6754</v>
      </c>
      <c r="C197" s="230" t="s">
        <v>6755</v>
      </c>
      <c r="D197" s="229" t="s">
        <v>832</v>
      </c>
      <c r="E197" s="229" t="s">
        <v>6756</v>
      </c>
      <c r="F197" s="229" t="s">
        <v>804</v>
      </c>
      <c r="G197" s="229" t="s">
        <v>6755</v>
      </c>
      <c r="H197" s="229" t="s">
        <v>6059</v>
      </c>
      <c r="I197" s="229" t="s">
        <v>947</v>
      </c>
      <c r="J197" s="231" t="s">
        <v>868</v>
      </c>
      <c r="K197" s="231" t="s">
        <v>850</v>
      </c>
      <c r="L197" s="220" t="str">
        <f t="shared" si="54"/>
        <v>9J12</v>
      </c>
      <c r="M197" s="220" t="str">
        <f t="shared" si="55"/>
        <v/>
      </c>
      <c r="N197" s="220" t="str">
        <f t="shared" si="56"/>
        <v/>
      </c>
      <c r="O197" s="220" t="str">
        <f t="shared" si="57"/>
        <v/>
      </c>
      <c r="P197" s="52" t="str">
        <f t="shared" si="58"/>
        <v>9J12</v>
      </c>
      <c r="Q197" s="231" t="str">
        <f t="shared" si="59"/>
        <v>197</v>
      </c>
      <c r="R197" s="224">
        <f t="shared" si="60"/>
        <v>195</v>
      </c>
      <c r="S197" s="52">
        <f t="shared" si="61"/>
        <v>194</v>
      </c>
      <c r="T197" s="221">
        <f t="shared" ca="1" si="62"/>
        <v>3.89</v>
      </c>
      <c r="U197" s="221" t="str">
        <f t="shared" si="63"/>
        <v/>
      </c>
      <c r="V197" s="220" t="str">
        <f t="array" ref="V197">INDEX(P:P,MAX(U$3:U197))</f>
        <v>9J#1MTR</v>
      </c>
      <c r="W197" s="220" t="str">
        <f t="shared" ca="1" si="64"/>
        <v/>
      </c>
      <c r="X197" s="220">
        <f t="shared" si="65"/>
        <v>11.4</v>
      </c>
      <c r="Y197" s="220">
        <f t="shared" si="52"/>
        <v>0</v>
      </c>
      <c r="AA197" s="220" t="str">
        <f t="shared" si="53"/>
        <v>埔鹽</v>
      </c>
      <c r="AB197" s="220" t="s">
        <v>2140</v>
      </c>
      <c r="AC197" s="220" t="str">
        <f>LEFT(B197,4)</f>
        <v>9J12</v>
      </c>
      <c r="BB197" s="514" t="s">
        <v>2027</v>
      </c>
      <c r="BC197" s="514">
        <v>1707</v>
      </c>
      <c r="BD197" s="514">
        <v>2</v>
      </c>
      <c r="BE197" s="514">
        <v>1709</v>
      </c>
      <c r="BG197" s="229" t="s">
        <v>8471</v>
      </c>
      <c r="BH197" s="230" t="s">
        <v>8473</v>
      </c>
      <c r="BI197" t="s">
        <v>2140</v>
      </c>
      <c r="BJ197" t="s">
        <v>2138</v>
      </c>
    </row>
    <row r="198" spans="1:62">
      <c r="A198" s="229" t="s">
        <v>424</v>
      </c>
      <c r="B198" s="230" t="s">
        <v>6757</v>
      </c>
      <c r="C198" s="230" t="s">
        <v>6758</v>
      </c>
      <c r="D198" s="229" t="s">
        <v>832</v>
      </c>
      <c r="E198" s="229" t="s">
        <v>807</v>
      </c>
      <c r="F198" s="229" t="s">
        <v>6723</v>
      </c>
      <c r="G198" s="229" t="s">
        <v>6759</v>
      </c>
      <c r="H198" s="229" t="s">
        <v>6760</v>
      </c>
      <c r="I198" s="229" t="s">
        <v>6759</v>
      </c>
      <c r="J198" s="231" t="s">
        <v>881</v>
      </c>
      <c r="K198" s="231" t="s">
        <v>5682</v>
      </c>
      <c r="L198" s="220" t="str">
        <f t="shared" si="54"/>
        <v>9J13</v>
      </c>
      <c r="M198" s="220" t="str">
        <f t="shared" si="55"/>
        <v/>
      </c>
      <c r="N198" s="220" t="str">
        <f t="shared" si="56"/>
        <v/>
      </c>
      <c r="O198" s="220" t="str">
        <f t="shared" si="57"/>
        <v/>
      </c>
      <c r="P198" s="52" t="str">
        <f t="shared" si="58"/>
        <v>9J13</v>
      </c>
      <c r="Q198" s="231" t="str">
        <f t="shared" si="59"/>
        <v>116</v>
      </c>
      <c r="R198" s="224">
        <f t="shared" si="60"/>
        <v>100.33333333333333</v>
      </c>
      <c r="S198" s="52">
        <f t="shared" si="61"/>
        <v>81</v>
      </c>
      <c r="T198" s="221">
        <f t="shared" ca="1" si="62"/>
        <v>2.29</v>
      </c>
      <c r="U198" s="221" t="str">
        <f t="shared" si="63"/>
        <v/>
      </c>
      <c r="V198" s="220" t="str">
        <f t="array" ref="V198">INDEX(P:P,MAX(U$3:U198))</f>
        <v>9J#1MTR</v>
      </c>
      <c r="W198" s="220" t="str">
        <f t="shared" ca="1" si="64"/>
        <v/>
      </c>
      <c r="X198" s="220">
        <f t="shared" si="65"/>
        <v>11.4</v>
      </c>
      <c r="Y198" s="220">
        <f t="shared" si="52"/>
        <v>0</v>
      </c>
      <c r="AA198" s="220" t="str">
        <f t="shared" si="53"/>
        <v>埔鹽</v>
      </c>
      <c r="AB198" s="220" t="s">
        <v>2141</v>
      </c>
      <c r="AC198" s="220" t="str">
        <f>LEFT(B198,4)</f>
        <v>9J13</v>
      </c>
      <c r="BB198" s="514" t="s">
        <v>2167</v>
      </c>
      <c r="BC198" s="514">
        <v>3366</v>
      </c>
      <c r="BD198" s="514">
        <v>2</v>
      </c>
      <c r="BE198" s="514">
        <v>3368</v>
      </c>
      <c r="BG198" s="229" t="s">
        <v>8471</v>
      </c>
      <c r="BH198" s="230" t="s">
        <v>8474</v>
      </c>
      <c r="BI198" t="s">
        <v>2141</v>
      </c>
      <c r="BJ198" t="s">
        <v>2138</v>
      </c>
    </row>
    <row r="199" spans="1:62">
      <c r="A199" s="229" t="s">
        <v>6750</v>
      </c>
      <c r="B199" s="230" t="s">
        <v>6761</v>
      </c>
      <c r="C199" s="230" t="s">
        <v>6762</v>
      </c>
      <c r="D199" s="229" t="s">
        <v>5628</v>
      </c>
      <c r="E199" s="229" t="s">
        <v>5614</v>
      </c>
      <c r="F199" s="229" t="s">
        <v>5628</v>
      </c>
      <c r="G199" s="229" t="s">
        <v>6762</v>
      </c>
      <c r="H199" s="229" t="s">
        <v>784</v>
      </c>
      <c r="I199" s="229" t="s">
        <v>5699</v>
      </c>
      <c r="J199" s="231" t="s">
        <v>5699</v>
      </c>
      <c r="K199" s="231" t="s">
        <v>5628</v>
      </c>
      <c r="L199" s="220" t="str">
        <f t="shared" si="54"/>
        <v>9J14</v>
      </c>
      <c r="M199" s="220" t="str">
        <f t="shared" si="55"/>
        <v/>
      </c>
      <c r="N199" s="220" t="str">
        <f t="shared" si="56"/>
        <v/>
      </c>
      <c r="O199" s="220" t="str">
        <f t="shared" si="57"/>
        <v/>
      </c>
      <c r="P199" s="52" t="str">
        <f t="shared" si="58"/>
        <v>9J14</v>
      </c>
      <c r="Q199" s="231" t="str">
        <f t="shared" si="59"/>
        <v>0</v>
      </c>
      <c r="R199" s="224">
        <f t="shared" si="60"/>
        <v>0</v>
      </c>
      <c r="S199" s="52">
        <f t="shared" si="61"/>
        <v>0</v>
      </c>
      <c r="T199" s="221">
        <f t="shared" ca="1" si="62"/>
        <v>0</v>
      </c>
      <c r="U199" s="221" t="str">
        <f t="shared" si="63"/>
        <v/>
      </c>
      <c r="V199" s="220" t="str">
        <f t="array" ref="V199">INDEX(P:P,MAX(U$3:U199))</f>
        <v>9J#1MTR</v>
      </c>
      <c r="W199" s="220" t="str">
        <f t="shared" ca="1" si="64"/>
        <v/>
      </c>
      <c r="X199" s="220">
        <f t="shared" si="65"/>
        <v>11.4</v>
      </c>
      <c r="Y199" s="220">
        <f t="shared" si="52"/>
        <v>0</v>
      </c>
      <c r="AA199" s="220" t="str">
        <f t="shared" si="53"/>
        <v>埔鹽</v>
      </c>
      <c r="AB199" s="220" t="s">
        <v>2142</v>
      </c>
      <c r="AC199" s="220" t="str">
        <f>LEFT(B199,4)</f>
        <v>9J14</v>
      </c>
      <c r="BB199" s="514" t="s">
        <v>1217</v>
      </c>
      <c r="BC199" s="514">
        <v>1712</v>
      </c>
      <c r="BD199" s="514">
        <v>0</v>
      </c>
      <c r="BE199" s="514">
        <v>1712</v>
      </c>
      <c r="BG199" s="229" t="s">
        <v>8471</v>
      </c>
      <c r="BH199" s="230" t="s">
        <v>8475</v>
      </c>
      <c r="BI199" t="s">
        <v>2142</v>
      </c>
      <c r="BJ199" t="s">
        <v>2138</v>
      </c>
    </row>
    <row r="200" spans="1:62">
      <c r="A200" s="229" t="s">
        <v>6750</v>
      </c>
      <c r="B200" s="230" t="s">
        <v>6763</v>
      </c>
      <c r="C200" s="230" t="s">
        <v>6764</v>
      </c>
      <c r="D200" s="229" t="s">
        <v>6723</v>
      </c>
      <c r="E200" s="229" t="s">
        <v>6765</v>
      </c>
      <c r="F200" s="229" t="s">
        <v>6723</v>
      </c>
      <c r="G200" s="229" t="s">
        <v>6766</v>
      </c>
      <c r="H200" s="229" t="s">
        <v>6723</v>
      </c>
      <c r="I200" s="229" t="s">
        <v>6764</v>
      </c>
      <c r="J200" s="231" t="s">
        <v>6767</v>
      </c>
      <c r="K200" s="231" t="s">
        <v>6095</v>
      </c>
      <c r="L200" s="220" t="str">
        <f t="shared" si="54"/>
        <v>9J15</v>
      </c>
      <c r="M200" s="220" t="str">
        <f t="shared" si="55"/>
        <v/>
      </c>
      <c r="N200" s="220" t="str">
        <f t="shared" si="56"/>
        <v/>
      </c>
      <c r="O200" s="220" t="str">
        <f t="shared" si="57"/>
        <v/>
      </c>
      <c r="P200" s="52" t="str">
        <f t="shared" si="58"/>
        <v>9J15</v>
      </c>
      <c r="Q200" s="231" t="str">
        <f t="shared" si="59"/>
        <v>162</v>
      </c>
      <c r="R200" s="224">
        <f t="shared" si="60"/>
        <v>153.66666666666666</v>
      </c>
      <c r="S200" s="52">
        <f t="shared" si="61"/>
        <v>149</v>
      </c>
      <c r="T200" s="221">
        <f t="shared" ca="1" si="62"/>
        <v>3.2</v>
      </c>
      <c r="U200" s="221" t="str">
        <f t="shared" si="63"/>
        <v/>
      </c>
      <c r="V200" s="220" t="str">
        <f t="array" ref="V200">INDEX(P:P,MAX(U$3:U200))</f>
        <v>9J#1MTR</v>
      </c>
      <c r="W200" s="220" t="str">
        <f t="shared" ca="1" si="64"/>
        <v/>
      </c>
      <c r="X200" s="220">
        <f t="shared" si="65"/>
        <v>11.4</v>
      </c>
      <c r="Y200" s="220">
        <f t="shared" si="52"/>
        <v>0</v>
      </c>
      <c r="AA200" s="220" t="str">
        <f t="shared" si="53"/>
        <v>埔鹽</v>
      </c>
      <c r="AB200" s="220" t="s">
        <v>2143</v>
      </c>
      <c r="AC200" s="220" t="str">
        <f>LEFT(B200,4)</f>
        <v>9J15</v>
      </c>
      <c r="BB200" s="514" t="s">
        <v>1235</v>
      </c>
      <c r="BC200" s="514">
        <v>2334</v>
      </c>
      <c r="BD200" s="514">
        <v>2</v>
      </c>
      <c r="BE200" s="514">
        <v>2336</v>
      </c>
      <c r="BG200" s="229" t="s">
        <v>8469</v>
      </c>
      <c r="BH200" s="230" t="s">
        <v>8476</v>
      </c>
      <c r="BI200" t="s">
        <v>2143</v>
      </c>
      <c r="BJ200" t="s">
        <v>2138</v>
      </c>
    </row>
    <row r="201" spans="1:62">
      <c r="A201" s="229" t="s">
        <v>424</v>
      </c>
      <c r="B201" s="230" t="s">
        <v>6768</v>
      </c>
      <c r="C201" s="230" t="s">
        <v>5581</v>
      </c>
      <c r="D201" s="229" t="s">
        <v>5580</v>
      </c>
      <c r="E201" s="229" t="s">
        <v>6769</v>
      </c>
      <c r="F201" s="229" t="s">
        <v>5580</v>
      </c>
      <c r="G201" s="229" t="s">
        <v>6770</v>
      </c>
      <c r="H201" s="229" t="s">
        <v>5580</v>
      </c>
      <c r="I201" s="229" t="s">
        <v>5581</v>
      </c>
      <c r="J201" s="231" t="s">
        <v>5585</v>
      </c>
      <c r="K201" s="231" t="s">
        <v>5585</v>
      </c>
      <c r="L201" s="220" t="str">
        <f t="shared" si="54"/>
        <v>9J#2MTR</v>
      </c>
      <c r="M201" s="220" t="str">
        <f t="shared" si="55"/>
        <v/>
      </c>
      <c r="N201" s="220" t="str">
        <f t="shared" si="56"/>
        <v>9J#2MTR</v>
      </c>
      <c r="O201" s="220" t="str">
        <f t="shared" si="57"/>
        <v/>
      </c>
      <c r="P201" s="52" t="str">
        <f t="shared" si="58"/>
        <v>9J#2MTR</v>
      </c>
      <c r="Q201" s="231" t="str">
        <f t="shared" si="59"/>
        <v>640</v>
      </c>
      <c r="R201" s="224">
        <f t="shared" si="60"/>
        <v>611.33333333333337</v>
      </c>
      <c r="S201" s="52">
        <f t="shared" si="61"/>
        <v>583</v>
      </c>
      <c r="T201" s="221">
        <f t="shared" ca="1" si="62"/>
        <v>12.64</v>
      </c>
      <c r="U201" s="221">
        <f t="shared" si="63"/>
        <v>201</v>
      </c>
      <c r="V201" s="220" t="str">
        <f t="array" ref="V201">INDEX(P:P,MAX(U$3:U201))</f>
        <v>9J#2MTR</v>
      </c>
      <c r="W201" s="220">
        <f t="shared" ca="1" si="64"/>
        <v>25</v>
      </c>
      <c r="X201" s="220" t="str">
        <f t="shared" si="65"/>
        <v/>
      </c>
      <c r="Y201" s="220">
        <f t="shared" si="52"/>
        <v>0</v>
      </c>
      <c r="AA201" s="220" t="str">
        <f t="shared" si="53"/>
        <v>埔鹽</v>
      </c>
      <c r="AB201" s="220" t="s">
        <v>2144</v>
      </c>
      <c r="AC201" s="220" t="s">
        <v>2144</v>
      </c>
      <c r="BB201" s="514" t="s">
        <v>1273</v>
      </c>
      <c r="BC201" s="514">
        <v>654</v>
      </c>
      <c r="BD201" s="514">
        <v>2</v>
      </c>
      <c r="BE201" s="514">
        <v>656</v>
      </c>
      <c r="BG201" s="229" t="s">
        <v>8471</v>
      </c>
      <c r="BH201" s="230" t="s">
        <v>8477</v>
      </c>
      <c r="BI201" t="s">
        <v>2144</v>
      </c>
      <c r="BJ201" t="s">
        <v>2144</v>
      </c>
    </row>
    <row r="202" spans="1:62">
      <c r="A202" s="229" t="s">
        <v>6771</v>
      </c>
      <c r="B202" s="230" t="s">
        <v>6772</v>
      </c>
      <c r="C202" s="230" t="s">
        <v>6773</v>
      </c>
      <c r="D202" s="229" t="s">
        <v>5986</v>
      </c>
      <c r="E202" s="229" t="s">
        <v>989</v>
      </c>
      <c r="F202" s="229" t="s">
        <v>5764</v>
      </c>
      <c r="G202" s="229" t="s">
        <v>6774</v>
      </c>
      <c r="H202" s="229" t="s">
        <v>6775</v>
      </c>
      <c r="I202" s="229" t="s">
        <v>6774</v>
      </c>
      <c r="J202" s="231" t="s">
        <v>6776</v>
      </c>
      <c r="K202" s="231" t="s">
        <v>6179</v>
      </c>
      <c r="L202" s="220" t="str">
        <f t="shared" si="54"/>
        <v>9J21</v>
      </c>
      <c r="M202" s="220" t="str">
        <f t="shared" si="55"/>
        <v/>
      </c>
      <c r="N202" s="220" t="str">
        <f t="shared" si="56"/>
        <v/>
      </c>
      <c r="O202" s="220" t="str">
        <f t="shared" si="57"/>
        <v/>
      </c>
      <c r="P202" s="52" t="str">
        <f t="shared" si="58"/>
        <v>9J21</v>
      </c>
      <c r="Q202" s="231" t="str">
        <f t="shared" si="59"/>
        <v>203</v>
      </c>
      <c r="R202" s="224">
        <f t="shared" si="60"/>
        <v>183.33333333333334</v>
      </c>
      <c r="S202" s="52">
        <f t="shared" si="61"/>
        <v>172</v>
      </c>
      <c r="T202" s="221">
        <f t="shared" ca="1" si="62"/>
        <v>4.01</v>
      </c>
      <c r="U202" s="221" t="str">
        <f t="shared" si="63"/>
        <v/>
      </c>
      <c r="V202" s="220" t="str">
        <f t="array" ref="V202">INDEX(P:P,MAX(U$3:U202))</f>
        <v>9J#2MTR</v>
      </c>
      <c r="W202" s="220" t="str">
        <f t="shared" ca="1" si="64"/>
        <v/>
      </c>
      <c r="X202" s="220">
        <f t="shared" si="65"/>
        <v>11.4</v>
      </c>
      <c r="Y202" s="220">
        <f t="shared" si="52"/>
        <v>0</v>
      </c>
      <c r="AA202" s="220" t="str">
        <f t="shared" si="53"/>
        <v>埔鹽</v>
      </c>
      <c r="AB202" s="220" t="s">
        <v>2145</v>
      </c>
      <c r="AC202" s="220" t="str">
        <f>LEFT(B202,4)</f>
        <v>9J21</v>
      </c>
      <c r="BB202" s="514" t="s">
        <v>1291</v>
      </c>
      <c r="BC202" s="514" t="s">
        <v>85</v>
      </c>
      <c r="BD202" s="514" t="s">
        <v>85</v>
      </c>
      <c r="BE202" s="514">
        <v>0</v>
      </c>
      <c r="BG202" s="229" t="s">
        <v>8471</v>
      </c>
      <c r="BH202" s="230" t="s">
        <v>8478</v>
      </c>
      <c r="BI202" t="s">
        <v>2145</v>
      </c>
      <c r="BJ202" t="s">
        <v>2144</v>
      </c>
    </row>
    <row r="203" spans="1:62">
      <c r="A203" s="229" t="s">
        <v>6750</v>
      </c>
      <c r="B203" s="230" t="s">
        <v>6777</v>
      </c>
      <c r="C203" s="230" t="s">
        <v>6778</v>
      </c>
      <c r="D203" s="229" t="s">
        <v>6779</v>
      </c>
      <c r="E203" s="229" t="s">
        <v>6780</v>
      </c>
      <c r="F203" s="229" t="s">
        <v>6779</v>
      </c>
      <c r="G203" s="229" t="s">
        <v>6781</v>
      </c>
      <c r="H203" s="229" t="s">
        <v>6779</v>
      </c>
      <c r="I203" s="229" t="s">
        <v>6780</v>
      </c>
      <c r="J203" s="231" t="s">
        <v>6782</v>
      </c>
      <c r="K203" s="231" t="s">
        <v>6783</v>
      </c>
      <c r="L203" s="220" t="str">
        <f t="shared" si="54"/>
        <v>9J22</v>
      </c>
      <c r="M203" s="220" t="str">
        <f t="shared" si="55"/>
        <v/>
      </c>
      <c r="N203" s="220" t="str">
        <f t="shared" si="56"/>
        <v/>
      </c>
      <c r="O203" s="220" t="str">
        <f t="shared" si="57"/>
        <v/>
      </c>
      <c r="P203" s="52" t="str">
        <f t="shared" si="58"/>
        <v>9J22</v>
      </c>
      <c r="Q203" s="231" t="str">
        <f t="shared" si="59"/>
        <v>254</v>
      </c>
      <c r="R203" s="224">
        <f t="shared" si="60"/>
        <v>238.66666666666666</v>
      </c>
      <c r="S203" s="52">
        <f t="shared" si="61"/>
        <v>216</v>
      </c>
      <c r="T203" s="221">
        <f t="shared" ca="1" si="62"/>
        <v>5.0199999999999996</v>
      </c>
      <c r="U203" s="221" t="str">
        <f t="shared" si="63"/>
        <v/>
      </c>
      <c r="V203" s="220" t="str">
        <f t="array" ref="V203">INDEX(P:P,MAX(U$3:U203))</f>
        <v>9J#2MTR</v>
      </c>
      <c r="W203" s="220" t="str">
        <f t="shared" ca="1" si="64"/>
        <v/>
      </c>
      <c r="X203" s="220">
        <f t="shared" si="65"/>
        <v>11.4</v>
      </c>
      <c r="Y203" s="220">
        <f t="shared" si="52"/>
        <v>0</v>
      </c>
      <c r="AA203" s="220" t="str">
        <f t="shared" si="53"/>
        <v>埔鹽</v>
      </c>
      <c r="AB203" s="220" t="s">
        <v>2146</v>
      </c>
      <c r="AC203" s="220" t="str">
        <f>LEFT(B203,4)</f>
        <v>9J22</v>
      </c>
      <c r="BB203" s="514" t="s">
        <v>2169</v>
      </c>
      <c r="BC203" s="514">
        <v>2664</v>
      </c>
      <c r="BD203" s="514">
        <v>6</v>
      </c>
      <c r="BE203" s="514">
        <v>2670</v>
      </c>
      <c r="BG203" s="229" t="s">
        <v>8469</v>
      </c>
      <c r="BH203" s="230" t="s">
        <v>8479</v>
      </c>
      <c r="BI203" t="s">
        <v>2146</v>
      </c>
      <c r="BJ203" t="s">
        <v>2144</v>
      </c>
    </row>
    <row r="204" spans="1:62">
      <c r="A204" s="229" t="s">
        <v>6750</v>
      </c>
      <c r="B204" s="230" t="s">
        <v>6784</v>
      </c>
      <c r="C204" s="230" t="s">
        <v>6785</v>
      </c>
      <c r="D204" s="229" t="s">
        <v>6723</v>
      </c>
      <c r="E204" s="229" t="s">
        <v>6786</v>
      </c>
      <c r="F204" s="229" t="s">
        <v>832</v>
      </c>
      <c r="G204" s="229" t="s">
        <v>818</v>
      </c>
      <c r="H204" s="229" t="s">
        <v>6723</v>
      </c>
      <c r="I204" s="229" t="s">
        <v>6785</v>
      </c>
      <c r="J204" s="231" t="s">
        <v>6787</v>
      </c>
      <c r="K204" s="231" t="s">
        <v>6788</v>
      </c>
      <c r="L204" s="220" t="str">
        <f t="shared" si="54"/>
        <v>9J23</v>
      </c>
      <c r="M204" s="220" t="str">
        <f t="shared" si="55"/>
        <v/>
      </c>
      <c r="N204" s="220" t="str">
        <f t="shared" si="56"/>
        <v/>
      </c>
      <c r="O204" s="220" t="str">
        <f t="shared" si="57"/>
        <v/>
      </c>
      <c r="P204" s="52" t="str">
        <f t="shared" si="58"/>
        <v>9J23</v>
      </c>
      <c r="Q204" s="231" t="str">
        <f t="shared" si="59"/>
        <v>127</v>
      </c>
      <c r="R204" s="224">
        <f t="shared" si="60"/>
        <v>110.66666666666667</v>
      </c>
      <c r="S204" s="52">
        <f t="shared" si="61"/>
        <v>100</v>
      </c>
      <c r="T204" s="221">
        <f t="shared" ca="1" si="62"/>
        <v>2.5099999999999998</v>
      </c>
      <c r="U204" s="221" t="str">
        <f t="shared" si="63"/>
        <v/>
      </c>
      <c r="V204" s="220" t="str">
        <f t="array" ref="V204">INDEX(P:P,MAX(U$3:U204))</f>
        <v>9J#2MTR</v>
      </c>
      <c r="W204" s="220" t="str">
        <f t="shared" ca="1" si="64"/>
        <v/>
      </c>
      <c r="X204" s="220">
        <f t="shared" si="65"/>
        <v>11.4</v>
      </c>
      <c r="Y204" s="220">
        <f t="shared" si="52"/>
        <v>0</v>
      </c>
      <c r="AA204" s="220" t="str">
        <f t="shared" si="53"/>
        <v>埔鹽</v>
      </c>
      <c r="AB204" s="220" t="s">
        <v>2147</v>
      </c>
      <c r="AC204" s="220" t="str">
        <f>LEFT(B204,4)</f>
        <v>9J23</v>
      </c>
      <c r="BB204" s="514" t="s">
        <v>1371</v>
      </c>
      <c r="BC204" s="514">
        <v>3640</v>
      </c>
      <c r="BD204" s="514">
        <v>1</v>
      </c>
      <c r="BE204" s="514">
        <v>3641</v>
      </c>
      <c r="BG204" s="229" t="s">
        <v>8469</v>
      </c>
      <c r="BH204" s="230" t="s">
        <v>428</v>
      </c>
      <c r="BI204" t="s">
        <v>2147</v>
      </c>
      <c r="BJ204" t="s">
        <v>2144</v>
      </c>
    </row>
    <row r="205" spans="1:62">
      <c r="A205" s="229" t="s">
        <v>6750</v>
      </c>
      <c r="B205" s="230" t="s">
        <v>6789</v>
      </c>
      <c r="C205" s="230" t="s">
        <v>6790</v>
      </c>
      <c r="D205" s="229" t="s">
        <v>6059</v>
      </c>
      <c r="E205" s="229" t="s">
        <v>6722</v>
      </c>
      <c r="F205" s="229" t="s">
        <v>6059</v>
      </c>
      <c r="G205" s="229" t="s">
        <v>6791</v>
      </c>
      <c r="H205" s="229" t="s">
        <v>6059</v>
      </c>
      <c r="I205" s="229" t="s">
        <v>6790</v>
      </c>
      <c r="J205" s="231" t="s">
        <v>6792</v>
      </c>
      <c r="K205" s="231" t="s">
        <v>6793</v>
      </c>
      <c r="L205" s="220" t="str">
        <f t="shared" si="54"/>
        <v>9J24</v>
      </c>
      <c r="M205" s="220" t="str">
        <f t="shared" si="55"/>
        <v/>
      </c>
      <c r="N205" s="220" t="str">
        <f t="shared" si="56"/>
        <v/>
      </c>
      <c r="O205" s="220" t="str">
        <f t="shared" si="57"/>
        <v/>
      </c>
      <c r="P205" s="52" t="str">
        <f t="shared" si="58"/>
        <v>9J24</v>
      </c>
      <c r="Q205" s="231" t="str">
        <f t="shared" si="59"/>
        <v>146</v>
      </c>
      <c r="R205" s="224">
        <f t="shared" si="60"/>
        <v>139</v>
      </c>
      <c r="S205" s="52">
        <f t="shared" si="61"/>
        <v>132</v>
      </c>
      <c r="T205" s="221">
        <f t="shared" ca="1" si="62"/>
        <v>2.88</v>
      </c>
      <c r="U205" s="221" t="str">
        <f t="shared" si="63"/>
        <v/>
      </c>
      <c r="V205" s="220" t="str">
        <f t="array" ref="V205">INDEX(P:P,MAX(U$3:U205))</f>
        <v>9J#2MTR</v>
      </c>
      <c r="W205" s="220" t="str">
        <f t="shared" ca="1" si="64"/>
        <v/>
      </c>
      <c r="X205" s="220">
        <f t="shared" si="65"/>
        <v>11.4</v>
      </c>
      <c r="Y205" s="220">
        <f t="shared" si="52"/>
        <v>0</v>
      </c>
      <c r="AA205" s="220" t="str">
        <f t="shared" si="53"/>
        <v>埔鹽</v>
      </c>
      <c r="AB205" s="220" t="s">
        <v>2148</v>
      </c>
      <c r="AC205" s="220" t="str">
        <f>LEFT(B205,4)</f>
        <v>9J24</v>
      </c>
      <c r="BB205" s="514" t="s">
        <v>1382</v>
      </c>
      <c r="BC205" s="514">
        <v>3068</v>
      </c>
      <c r="BD205" s="514">
        <v>5</v>
      </c>
      <c r="BE205" s="514">
        <v>3073</v>
      </c>
      <c r="BG205" s="229" t="s">
        <v>8471</v>
      </c>
      <c r="BH205" s="230" t="s">
        <v>429</v>
      </c>
      <c r="BI205" t="s">
        <v>2148</v>
      </c>
      <c r="BJ205" t="s">
        <v>2144</v>
      </c>
    </row>
    <row r="206" spans="1:62">
      <c r="A206" s="229" t="s">
        <v>6750</v>
      </c>
      <c r="B206" s="230" t="s">
        <v>6794</v>
      </c>
      <c r="C206" s="230" t="s">
        <v>6795</v>
      </c>
      <c r="D206" s="229" t="s">
        <v>6760</v>
      </c>
      <c r="E206" s="229" t="s">
        <v>6796</v>
      </c>
      <c r="F206" s="229" t="s">
        <v>6797</v>
      </c>
      <c r="G206" s="229" t="s">
        <v>6798</v>
      </c>
      <c r="H206" s="229" t="s">
        <v>6731</v>
      </c>
      <c r="I206" s="229" t="s">
        <v>6798</v>
      </c>
      <c r="J206" s="231" t="s">
        <v>6796</v>
      </c>
      <c r="K206" s="231" t="s">
        <v>6797</v>
      </c>
      <c r="L206" s="220" t="str">
        <f t="shared" si="54"/>
        <v>9J25</v>
      </c>
      <c r="M206" s="220" t="str">
        <f t="shared" si="55"/>
        <v/>
      </c>
      <c r="N206" s="220" t="str">
        <f t="shared" si="56"/>
        <v/>
      </c>
      <c r="O206" s="220" t="str">
        <f t="shared" si="57"/>
        <v/>
      </c>
      <c r="P206" s="52" t="str">
        <f t="shared" si="58"/>
        <v>9J25</v>
      </c>
      <c r="Q206" s="231" t="s">
        <v>6799</v>
      </c>
      <c r="R206" s="224">
        <f t="shared" si="60"/>
        <v>24</v>
      </c>
      <c r="S206" s="52">
        <f t="shared" si="61"/>
        <v>20</v>
      </c>
      <c r="T206" s="221">
        <f t="shared" ca="1" si="62"/>
        <v>0.22</v>
      </c>
      <c r="U206" s="221" t="str">
        <f t="shared" si="63"/>
        <v/>
      </c>
      <c r="V206" s="220" t="str">
        <f t="array" ref="V206">INDEX(P:P,MAX(U$3:U206))</f>
        <v>9J#2MTR</v>
      </c>
      <c r="W206" s="220" t="str">
        <f t="shared" ca="1" si="64"/>
        <v/>
      </c>
      <c r="X206" s="220">
        <f t="shared" si="65"/>
        <v>11.4</v>
      </c>
      <c r="Y206" s="220">
        <f t="shared" si="52"/>
        <v>0</v>
      </c>
      <c r="AA206" s="220" t="str">
        <f t="shared" si="53"/>
        <v>埔鹽</v>
      </c>
      <c r="AB206" s="220" t="s">
        <v>2149</v>
      </c>
      <c r="AC206" s="220" t="str">
        <f>LEFT(B206,4)</f>
        <v>9J25</v>
      </c>
      <c r="BB206" s="514" t="s">
        <v>1415</v>
      </c>
      <c r="BC206" s="514">
        <v>3317</v>
      </c>
      <c r="BD206" s="514">
        <v>2</v>
      </c>
      <c r="BE206" s="514">
        <v>3319</v>
      </c>
      <c r="BG206" s="229" t="s">
        <v>424</v>
      </c>
      <c r="BH206" s="230" t="s">
        <v>8480</v>
      </c>
      <c r="BI206" t="s">
        <v>2149</v>
      </c>
      <c r="BJ206" t="s">
        <v>2144</v>
      </c>
    </row>
    <row r="207" spans="1:62">
      <c r="A207" s="229" t="s">
        <v>6750</v>
      </c>
      <c r="B207" s="230" t="s">
        <v>6800</v>
      </c>
      <c r="C207" s="230" t="s">
        <v>6801</v>
      </c>
      <c r="D207" s="229" t="s">
        <v>6723</v>
      </c>
      <c r="E207" s="229" t="s">
        <v>6802</v>
      </c>
      <c r="F207" s="229" t="s">
        <v>6723</v>
      </c>
      <c r="G207" s="229" t="s">
        <v>6803</v>
      </c>
      <c r="H207" s="229" t="s">
        <v>6723</v>
      </c>
      <c r="I207" s="229" t="s">
        <v>6801</v>
      </c>
      <c r="J207" s="231" t="s">
        <v>6804</v>
      </c>
      <c r="K207" s="231" t="s">
        <v>6804</v>
      </c>
      <c r="L207" s="220" t="str">
        <f t="shared" si="54"/>
        <v>9J#3MTR</v>
      </c>
      <c r="M207" s="220" t="str">
        <f t="shared" si="55"/>
        <v/>
      </c>
      <c r="N207" s="220" t="str">
        <f t="shared" si="56"/>
        <v>9J#3MTR</v>
      </c>
      <c r="O207" s="220" t="str">
        <f t="shared" si="57"/>
        <v/>
      </c>
      <c r="P207" s="52" t="str">
        <f t="shared" si="58"/>
        <v>9J#3MTR</v>
      </c>
      <c r="Q207" s="231" t="str">
        <f t="shared" ref="Q207:Q270" si="66">I207</f>
        <v>727</v>
      </c>
      <c r="R207" s="224">
        <f t="shared" si="60"/>
        <v>715.33333333333337</v>
      </c>
      <c r="S207" s="52">
        <f t="shared" si="61"/>
        <v>700</v>
      </c>
      <c r="T207" s="221">
        <f t="shared" ca="1" si="62"/>
        <v>14.35</v>
      </c>
      <c r="U207" s="221">
        <f t="shared" si="63"/>
        <v>207</v>
      </c>
      <c r="V207" s="220" t="str">
        <f t="array" ref="V207">INDEX(P:P,MAX(U$3:U207))</f>
        <v>9J#3MTR</v>
      </c>
      <c r="W207" s="220">
        <f t="shared" ca="1" si="64"/>
        <v>25</v>
      </c>
      <c r="X207" s="220" t="str">
        <f t="shared" si="65"/>
        <v/>
      </c>
      <c r="Y207" s="220">
        <f t="shared" si="52"/>
        <v>0</v>
      </c>
      <c r="AA207" s="220" t="str">
        <f t="shared" si="53"/>
        <v>埔鹽</v>
      </c>
      <c r="AB207" s="220" t="s">
        <v>2150</v>
      </c>
      <c r="AC207" s="220" t="s">
        <v>2150</v>
      </c>
      <c r="BB207" s="514" t="s">
        <v>1426</v>
      </c>
      <c r="BC207" s="514">
        <v>513</v>
      </c>
      <c r="BD207" s="514">
        <v>1</v>
      </c>
      <c r="BE207" s="514">
        <v>514</v>
      </c>
      <c r="BG207" s="229" t="s">
        <v>8471</v>
      </c>
      <c r="BH207" s="230" t="s">
        <v>8481</v>
      </c>
      <c r="BI207" t="s">
        <v>2150</v>
      </c>
      <c r="BJ207" t="s">
        <v>2150</v>
      </c>
    </row>
    <row r="208" spans="1:62">
      <c r="A208" s="229" t="s">
        <v>6750</v>
      </c>
      <c r="B208" s="230" t="s">
        <v>6805</v>
      </c>
      <c r="C208" s="230" t="s">
        <v>6806</v>
      </c>
      <c r="D208" s="229" t="s">
        <v>6760</v>
      </c>
      <c r="E208" s="229" t="s">
        <v>6736</v>
      </c>
      <c r="F208" s="229" t="s">
        <v>6731</v>
      </c>
      <c r="G208" s="229" t="s">
        <v>6807</v>
      </c>
      <c r="H208" s="229" t="s">
        <v>6760</v>
      </c>
      <c r="I208" s="229" t="s">
        <v>6806</v>
      </c>
      <c r="J208" s="231" t="s">
        <v>6808</v>
      </c>
      <c r="K208" s="231" t="s">
        <v>6745</v>
      </c>
      <c r="L208" s="220" t="str">
        <f t="shared" si="54"/>
        <v>9J31</v>
      </c>
      <c r="M208" s="220" t="str">
        <f t="shared" si="55"/>
        <v/>
      </c>
      <c r="N208" s="220" t="str">
        <f t="shared" si="56"/>
        <v/>
      </c>
      <c r="O208" s="220" t="str">
        <f t="shared" si="57"/>
        <v/>
      </c>
      <c r="P208" s="52" t="str">
        <f t="shared" si="58"/>
        <v>9J31</v>
      </c>
      <c r="Q208" s="231" t="str">
        <f t="shared" si="66"/>
        <v>92</v>
      </c>
      <c r="R208" s="224">
        <f t="shared" si="60"/>
        <v>87.666666666666671</v>
      </c>
      <c r="S208" s="52">
        <f t="shared" si="61"/>
        <v>83</v>
      </c>
      <c r="T208" s="221">
        <f t="shared" ca="1" si="62"/>
        <v>1.82</v>
      </c>
      <c r="U208" s="221" t="str">
        <f t="shared" si="63"/>
        <v/>
      </c>
      <c r="V208" s="220" t="str">
        <f t="array" ref="V208">INDEX(P:P,MAX(U$3:U208))</f>
        <v>9J#3MTR</v>
      </c>
      <c r="W208" s="220" t="str">
        <f t="shared" ca="1" si="64"/>
        <v/>
      </c>
      <c r="X208" s="220">
        <f t="shared" si="65"/>
        <v>11.4</v>
      </c>
      <c r="Y208" s="220">
        <f t="shared" si="52"/>
        <v>0</v>
      </c>
      <c r="AA208" s="220" t="str">
        <f t="shared" si="53"/>
        <v>埔鹽</v>
      </c>
      <c r="AB208" s="220" t="s">
        <v>2151</v>
      </c>
      <c r="AC208" s="220" t="str">
        <f>LEFT(B208,4)</f>
        <v>9J31</v>
      </c>
      <c r="BB208" s="514" t="s">
        <v>2171</v>
      </c>
      <c r="BC208" s="514">
        <v>3221</v>
      </c>
      <c r="BD208" s="514">
        <v>6</v>
      </c>
      <c r="BE208" s="514">
        <v>3227</v>
      </c>
      <c r="BG208" s="229" t="s">
        <v>8469</v>
      </c>
      <c r="BH208" s="230" t="s">
        <v>8482</v>
      </c>
      <c r="BI208" t="s">
        <v>2151</v>
      </c>
      <c r="BJ208" t="s">
        <v>2150</v>
      </c>
    </row>
    <row r="209" spans="1:62">
      <c r="A209" s="229" t="s">
        <v>6809</v>
      </c>
      <c r="B209" s="230" t="s">
        <v>6810</v>
      </c>
      <c r="C209" s="230" t="s">
        <v>5857</v>
      </c>
      <c r="D209" s="229" t="s">
        <v>6811</v>
      </c>
      <c r="E209" s="229" t="s">
        <v>6812</v>
      </c>
      <c r="F209" s="229" t="s">
        <v>5625</v>
      </c>
      <c r="G209" s="229" t="s">
        <v>6813</v>
      </c>
      <c r="H209" s="229" t="s">
        <v>5625</v>
      </c>
      <c r="I209" s="229" t="s">
        <v>6812</v>
      </c>
      <c r="J209" s="231" t="s">
        <v>5669</v>
      </c>
      <c r="K209" s="231" t="s">
        <v>5902</v>
      </c>
      <c r="L209" s="220" t="str">
        <f t="shared" si="54"/>
        <v>9J32</v>
      </c>
      <c r="M209" s="220" t="str">
        <f t="shared" si="55"/>
        <v/>
      </c>
      <c r="N209" s="220" t="str">
        <f t="shared" si="56"/>
        <v/>
      </c>
      <c r="O209" s="220" t="str">
        <f t="shared" si="57"/>
        <v/>
      </c>
      <c r="P209" s="52" t="str">
        <f t="shared" si="58"/>
        <v>9J32</v>
      </c>
      <c r="Q209" s="231" t="str">
        <f t="shared" si="66"/>
        <v>40</v>
      </c>
      <c r="R209" s="224">
        <f t="shared" si="60"/>
        <v>34.333333333333336</v>
      </c>
      <c r="S209" s="52">
        <f t="shared" si="61"/>
        <v>26</v>
      </c>
      <c r="T209" s="221">
        <f t="shared" ca="1" si="62"/>
        <v>0.79</v>
      </c>
      <c r="U209" s="221" t="str">
        <f t="shared" si="63"/>
        <v/>
      </c>
      <c r="V209" s="220" t="str">
        <f t="array" ref="V209">INDEX(P:P,MAX(U$3:U209))</f>
        <v>9J#3MTR</v>
      </c>
      <c r="W209" s="220" t="str">
        <f t="shared" ca="1" si="64"/>
        <v/>
      </c>
      <c r="X209" s="220">
        <f t="shared" si="65"/>
        <v>11.4</v>
      </c>
      <c r="Y209" s="220">
        <f t="shared" si="52"/>
        <v>0</v>
      </c>
      <c r="AA209" s="220" t="str">
        <f t="shared" si="53"/>
        <v>埔鹽</v>
      </c>
      <c r="AB209" s="220" t="s">
        <v>2152</v>
      </c>
      <c r="AC209" s="220" t="str">
        <f>LEFT(B209,4)</f>
        <v>9J32</v>
      </c>
      <c r="BB209" s="514" t="s">
        <v>1495</v>
      </c>
      <c r="BC209" s="514">
        <v>700</v>
      </c>
      <c r="BD209" s="514">
        <v>12</v>
      </c>
      <c r="BE209" s="514">
        <v>712</v>
      </c>
      <c r="BG209" s="229" t="s">
        <v>424</v>
      </c>
      <c r="BH209" s="230" t="s">
        <v>431</v>
      </c>
      <c r="BI209" t="s">
        <v>2152</v>
      </c>
      <c r="BJ209" t="s">
        <v>2150</v>
      </c>
    </row>
    <row r="210" spans="1:62">
      <c r="A210" s="229" t="s">
        <v>6809</v>
      </c>
      <c r="B210" s="230" t="s">
        <v>6814</v>
      </c>
      <c r="C210" s="230" t="s">
        <v>6815</v>
      </c>
      <c r="D210" s="229" t="s">
        <v>5625</v>
      </c>
      <c r="E210" s="229" t="s">
        <v>6816</v>
      </c>
      <c r="F210" s="229" t="s">
        <v>5625</v>
      </c>
      <c r="G210" s="229" t="s">
        <v>6817</v>
      </c>
      <c r="H210" s="229" t="s">
        <v>5869</v>
      </c>
      <c r="I210" s="229" t="s">
        <v>6817</v>
      </c>
      <c r="J210" s="231" t="s">
        <v>6818</v>
      </c>
      <c r="K210" s="231" t="s">
        <v>5849</v>
      </c>
      <c r="L210" s="220" t="str">
        <f t="shared" si="54"/>
        <v>9J33</v>
      </c>
      <c r="M210" s="220" t="str">
        <f t="shared" si="55"/>
        <v/>
      </c>
      <c r="N210" s="220" t="str">
        <f t="shared" si="56"/>
        <v/>
      </c>
      <c r="O210" s="220" t="str">
        <f t="shared" si="57"/>
        <v/>
      </c>
      <c r="P210" s="52" t="str">
        <f t="shared" si="58"/>
        <v>9J33</v>
      </c>
      <c r="Q210" s="231" t="str">
        <f t="shared" si="66"/>
        <v>206</v>
      </c>
      <c r="R210" s="224">
        <f t="shared" si="60"/>
        <v>201.33333333333334</v>
      </c>
      <c r="S210" s="52">
        <f t="shared" si="61"/>
        <v>194</v>
      </c>
      <c r="T210" s="221">
        <f t="shared" ca="1" si="62"/>
        <v>4.07</v>
      </c>
      <c r="U210" s="221" t="str">
        <f t="shared" si="63"/>
        <v/>
      </c>
      <c r="V210" s="220" t="str">
        <f t="array" ref="V210">INDEX(P:P,MAX(U$3:U210))</f>
        <v>9J#3MTR</v>
      </c>
      <c r="W210" s="220" t="str">
        <f t="shared" ca="1" si="64"/>
        <v/>
      </c>
      <c r="X210" s="220">
        <f t="shared" si="65"/>
        <v>11.4</v>
      </c>
      <c r="Y210" s="220">
        <f t="shared" si="52"/>
        <v>0</v>
      </c>
      <c r="AA210" s="220" t="str">
        <f t="shared" si="53"/>
        <v>埔鹽</v>
      </c>
      <c r="AB210" s="220" t="s">
        <v>2153</v>
      </c>
      <c r="AC210" s="220" t="str">
        <f>LEFT(B210,4)</f>
        <v>9J33</v>
      </c>
      <c r="BB210" s="514" t="s">
        <v>1509</v>
      </c>
      <c r="BC210" s="514">
        <v>1990</v>
      </c>
      <c r="BD210" s="514">
        <v>9</v>
      </c>
      <c r="BE210" s="514">
        <v>1999</v>
      </c>
      <c r="BG210" s="229" t="s">
        <v>8469</v>
      </c>
      <c r="BH210" s="230" t="s">
        <v>432</v>
      </c>
      <c r="BI210" t="s">
        <v>2153</v>
      </c>
      <c r="BJ210" t="s">
        <v>2150</v>
      </c>
    </row>
    <row r="211" spans="1:62">
      <c r="A211" s="229" t="s">
        <v>6809</v>
      </c>
      <c r="B211" s="230" t="s">
        <v>6819</v>
      </c>
      <c r="C211" s="230" t="s">
        <v>6820</v>
      </c>
      <c r="D211" s="229" t="s">
        <v>5859</v>
      </c>
      <c r="E211" s="229" t="s">
        <v>6821</v>
      </c>
      <c r="F211" s="229" t="s">
        <v>5859</v>
      </c>
      <c r="G211" s="229" t="s">
        <v>6822</v>
      </c>
      <c r="H211" s="229" t="s">
        <v>5859</v>
      </c>
      <c r="I211" s="229" t="s">
        <v>6820</v>
      </c>
      <c r="J211" s="231" t="s">
        <v>6823</v>
      </c>
      <c r="K211" s="231" t="s">
        <v>6824</v>
      </c>
      <c r="L211" s="220" t="str">
        <f t="shared" si="54"/>
        <v>9J34</v>
      </c>
      <c r="M211" s="220" t="str">
        <f t="shared" si="55"/>
        <v/>
      </c>
      <c r="N211" s="220" t="str">
        <f t="shared" si="56"/>
        <v/>
      </c>
      <c r="O211" s="220" t="str">
        <f t="shared" si="57"/>
        <v/>
      </c>
      <c r="P211" s="52" t="str">
        <f t="shared" si="58"/>
        <v>9J34</v>
      </c>
      <c r="Q211" s="231" t="str">
        <f t="shared" si="66"/>
        <v>242</v>
      </c>
      <c r="R211" s="224">
        <f t="shared" si="60"/>
        <v>236</v>
      </c>
      <c r="S211" s="52">
        <f t="shared" si="61"/>
        <v>230</v>
      </c>
      <c r="T211" s="221">
        <f t="shared" ca="1" si="62"/>
        <v>4.78</v>
      </c>
      <c r="U211" s="221" t="str">
        <f t="shared" si="63"/>
        <v/>
      </c>
      <c r="V211" s="220" t="str">
        <f t="array" ref="V211">INDEX(P:P,MAX(U$3:U211))</f>
        <v>9J#3MTR</v>
      </c>
      <c r="W211" s="220" t="str">
        <f t="shared" ca="1" si="64"/>
        <v/>
      </c>
      <c r="X211" s="220">
        <f t="shared" si="65"/>
        <v>11.4</v>
      </c>
      <c r="Y211" s="220">
        <f t="shared" si="52"/>
        <v>0</v>
      </c>
      <c r="AA211" s="220" t="str">
        <f t="shared" si="53"/>
        <v>埔鹽</v>
      </c>
      <c r="AB211" s="220" t="s">
        <v>2040</v>
      </c>
      <c r="AC211" s="220" t="str">
        <f>LEFT(B211,4)</f>
        <v>9J34</v>
      </c>
      <c r="BB211" s="514" t="s">
        <v>1545</v>
      </c>
      <c r="BC211" s="514">
        <v>1484</v>
      </c>
      <c r="BD211" s="514">
        <v>3</v>
      </c>
      <c r="BE211" s="514">
        <v>1487</v>
      </c>
      <c r="BG211" s="229" t="s">
        <v>8471</v>
      </c>
      <c r="BH211" s="230" t="s">
        <v>8483</v>
      </c>
      <c r="BI211" t="s">
        <v>2040</v>
      </c>
      <c r="BJ211" t="s">
        <v>2150</v>
      </c>
    </row>
    <row r="212" spans="1:62">
      <c r="A212" s="229" t="s">
        <v>6809</v>
      </c>
      <c r="B212" s="230" t="s">
        <v>6825</v>
      </c>
      <c r="C212" s="230" t="s">
        <v>6826</v>
      </c>
      <c r="D212" s="229" t="s">
        <v>5625</v>
      </c>
      <c r="E212" s="229" t="s">
        <v>6827</v>
      </c>
      <c r="F212" s="229" t="s">
        <v>5625</v>
      </c>
      <c r="G212" s="229" t="s">
        <v>6828</v>
      </c>
      <c r="H212" s="229" t="s">
        <v>5722</v>
      </c>
      <c r="I212" s="229" t="s">
        <v>6827</v>
      </c>
      <c r="J212" s="231" t="s">
        <v>6829</v>
      </c>
      <c r="K212" s="231" t="s">
        <v>6824</v>
      </c>
      <c r="L212" s="220" t="str">
        <f t="shared" si="54"/>
        <v>9J35</v>
      </c>
      <c r="M212" s="220" t="str">
        <f t="shared" si="55"/>
        <v/>
      </c>
      <c r="N212" s="220" t="str">
        <f t="shared" si="56"/>
        <v/>
      </c>
      <c r="O212" s="220" t="str">
        <f t="shared" si="57"/>
        <v/>
      </c>
      <c r="P212" s="52" t="str">
        <f t="shared" si="58"/>
        <v>9J35</v>
      </c>
      <c r="Q212" s="231" t="str">
        <f t="shared" si="66"/>
        <v>286</v>
      </c>
      <c r="R212" s="224">
        <f t="shared" si="60"/>
        <v>266.66666666666669</v>
      </c>
      <c r="S212" s="52">
        <f t="shared" si="61"/>
        <v>246</v>
      </c>
      <c r="T212" s="221">
        <f t="shared" ca="1" si="62"/>
        <v>5.65</v>
      </c>
      <c r="U212" s="221" t="str">
        <f t="shared" si="63"/>
        <v/>
      </c>
      <c r="V212" s="220" t="str">
        <f t="array" ref="V212">INDEX(P:P,MAX(U$3:U212))</f>
        <v>9J#3MTR</v>
      </c>
      <c r="W212" s="220" t="str">
        <f t="shared" ca="1" si="64"/>
        <v/>
      </c>
      <c r="X212" s="220">
        <f t="shared" si="65"/>
        <v>11.4</v>
      </c>
      <c r="Y212" s="220">
        <f t="shared" si="52"/>
        <v>0</v>
      </c>
      <c r="AA212" s="220" t="str">
        <f t="shared" si="53"/>
        <v>埔鹽</v>
      </c>
      <c r="AB212" s="220" t="s">
        <v>2154</v>
      </c>
      <c r="AC212" s="220" t="str">
        <f>LEFT(B212,4)</f>
        <v>9J35</v>
      </c>
      <c r="BB212" s="514" t="s">
        <v>1557</v>
      </c>
      <c r="BC212" s="514">
        <v>128</v>
      </c>
      <c r="BD212" s="514">
        <v>6</v>
      </c>
      <c r="BE212" s="514">
        <v>134</v>
      </c>
      <c r="BG212" s="229" t="s">
        <v>8471</v>
      </c>
      <c r="BH212" s="230" t="s">
        <v>8484</v>
      </c>
      <c r="BI212" t="s">
        <v>2154</v>
      </c>
      <c r="BJ212" t="s">
        <v>2150</v>
      </c>
    </row>
    <row r="213" spans="1:62">
      <c r="A213" s="229" t="s">
        <v>5661</v>
      </c>
      <c r="B213" s="230" t="s">
        <v>6830</v>
      </c>
      <c r="C213" s="230" t="s">
        <v>6831</v>
      </c>
      <c r="D213" s="229" t="s">
        <v>5625</v>
      </c>
      <c r="E213" s="229" t="s">
        <v>6832</v>
      </c>
      <c r="F213" s="229" t="s">
        <v>5625</v>
      </c>
      <c r="G213" s="229" t="s">
        <v>6833</v>
      </c>
      <c r="H213" s="229" t="s">
        <v>5625</v>
      </c>
      <c r="I213" s="229" t="s">
        <v>6833</v>
      </c>
      <c r="J213" s="231" t="s">
        <v>5710</v>
      </c>
      <c r="K213" s="231" t="s">
        <v>5710</v>
      </c>
      <c r="L213" s="220" t="str">
        <f t="shared" si="54"/>
        <v>9K#1DTR(A)</v>
      </c>
      <c r="M213" s="220" t="str">
        <f t="shared" si="55"/>
        <v>(A)</v>
      </c>
      <c r="N213" s="220" t="str">
        <f t="shared" si="56"/>
        <v>9K#1DTR</v>
      </c>
      <c r="O213" s="220" t="str">
        <f t="shared" si="57"/>
        <v>(A)</v>
      </c>
      <c r="P213" s="52" t="str">
        <f t="shared" si="58"/>
        <v>9K#1DTR(A)</v>
      </c>
      <c r="Q213" s="231" t="str">
        <f t="shared" si="66"/>
        <v>894</v>
      </c>
      <c r="R213" s="224">
        <f t="shared" si="60"/>
        <v>852</v>
      </c>
      <c r="S213" s="52">
        <f t="shared" si="61"/>
        <v>828</v>
      </c>
      <c r="T213" s="221">
        <f t="shared" ca="1" si="62"/>
        <v>17.649999999999999</v>
      </c>
      <c r="U213" s="221">
        <f t="shared" si="63"/>
        <v>213</v>
      </c>
      <c r="V213" s="220" t="str">
        <f t="array" ref="V213">INDEX(P:P,MAX(U$3:U213))</f>
        <v>9K#1DTR(A)</v>
      </c>
      <c r="W213" s="220">
        <f t="shared" ca="1" si="64"/>
        <v>30</v>
      </c>
      <c r="X213" s="220" t="str">
        <f t="shared" si="65"/>
        <v/>
      </c>
      <c r="Y213" s="220">
        <f t="shared" si="52"/>
        <v>0</v>
      </c>
      <c r="AA213" s="220" t="str">
        <f t="shared" si="53"/>
        <v>大霞</v>
      </c>
      <c r="AB213" s="220" t="s">
        <v>2155</v>
      </c>
      <c r="AC213" s="220" t="s">
        <v>2155</v>
      </c>
      <c r="BB213" s="514" t="s">
        <v>2173</v>
      </c>
      <c r="BC213" s="514">
        <v>1094</v>
      </c>
      <c r="BD213" s="514" t="s">
        <v>85</v>
      </c>
      <c r="BE213" s="514">
        <v>1094</v>
      </c>
      <c r="BG213" s="229" t="s">
        <v>8485</v>
      </c>
      <c r="BH213" s="230" t="s">
        <v>391</v>
      </c>
      <c r="BI213" t="s">
        <v>2155</v>
      </c>
      <c r="BJ213" t="s">
        <v>2155</v>
      </c>
    </row>
    <row r="214" spans="1:62">
      <c r="A214" s="229" t="s">
        <v>5661</v>
      </c>
      <c r="B214" s="230" t="s">
        <v>6834</v>
      </c>
      <c r="C214" s="230" t="s">
        <v>6835</v>
      </c>
      <c r="D214" s="229" t="s">
        <v>5613</v>
      </c>
      <c r="E214" s="229" t="s">
        <v>6836</v>
      </c>
      <c r="F214" s="229" t="s">
        <v>5613</v>
      </c>
      <c r="G214" s="229" t="s">
        <v>6837</v>
      </c>
      <c r="H214" s="229" t="s">
        <v>5613</v>
      </c>
      <c r="I214" s="229" t="s">
        <v>6835</v>
      </c>
      <c r="J214" s="231" t="s">
        <v>5669</v>
      </c>
      <c r="K214" s="231" t="s">
        <v>6838</v>
      </c>
      <c r="L214" s="220" t="str">
        <f t="shared" si="54"/>
        <v>9K21</v>
      </c>
      <c r="M214" s="220" t="str">
        <f t="shared" si="55"/>
        <v/>
      </c>
      <c r="N214" s="220" t="str">
        <f t="shared" si="56"/>
        <v/>
      </c>
      <c r="O214" s="220" t="str">
        <f t="shared" si="57"/>
        <v/>
      </c>
      <c r="P214" s="52" t="str">
        <f t="shared" si="58"/>
        <v>9K21</v>
      </c>
      <c r="Q214" s="231" t="str">
        <f t="shared" si="66"/>
        <v>64</v>
      </c>
      <c r="R214" s="224">
        <f t="shared" si="60"/>
        <v>54.333333333333336</v>
      </c>
      <c r="S214" s="52">
        <f t="shared" si="61"/>
        <v>49</v>
      </c>
      <c r="T214" s="221">
        <f t="shared" ca="1" si="62"/>
        <v>1.26</v>
      </c>
      <c r="U214" s="221" t="str">
        <f t="shared" si="63"/>
        <v/>
      </c>
      <c r="V214" s="220" t="str">
        <f t="array" ref="V214">INDEX(P:P,MAX(U$3:U214))</f>
        <v>9K#1DTR(A)</v>
      </c>
      <c r="W214" s="220" t="str">
        <f t="shared" ca="1" si="64"/>
        <v/>
      </c>
      <c r="X214" s="220">
        <f t="shared" si="65"/>
        <v>11.4</v>
      </c>
      <c r="Y214" s="220">
        <f t="shared" si="52"/>
        <v>0</v>
      </c>
      <c r="AA214" s="220" t="str">
        <f t="shared" si="53"/>
        <v>大霞</v>
      </c>
      <c r="AB214" s="220" t="s">
        <v>2156</v>
      </c>
      <c r="AC214" s="220" t="str">
        <f>LEFT(B214,4)</f>
        <v>9K21</v>
      </c>
      <c r="BB214" s="514" t="s">
        <v>1637</v>
      </c>
      <c r="BC214" s="514">
        <v>3403</v>
      </c>
      <c r="BD214" s="514">
        <v>8</v>
      </c>
      <c r="BE214" s="514">
        <v>3411</v>
      </c>
      <c r="BG214" s="229" t="s">
        <v>15</v>
      </c>
      <c r="BH214" s="230" t="s">
        <v>8486</v>
      </c>
      <c r="BI214" t="s">
        <v>2156</v>
      </c>
      <c r="BJ214" t="s">
        <v>2155</v>
      </c>
    </row>
    <row r="215" spans="1:62">
      <c r="A215" s="229" t="s">
        <v>5661</v>
      </c>
      <c r="B215" s="230" t="s">
        <v>6839</v>
      </c>
      <c r="C215" s="230" t="s">
        <v>6840</v>
      </c>
      <c r="D215" s="229" t="s">
        <v>5625</v>
      </c>
      <c r="E215" s="229" t="s">
        <v>6821</v>
      </c>
      <c r="F215" s="229" t="s">
        <v>5625</v>
      </c>
      <c r="G215" s="229" t="s">
        <v>5721</v>
      </c>
      <c r="H215" s="229" t="s">
        <v>5625</v>
      </c>
      <c r="I215" s="229" t="s">
        <v>6840</v>
      </c>
      <c r="J215" s="231" t="s">
        <v>6841</v>
      </c>
      <c r="K215" s="231" t="s">
        <v>5625</v>
      </c>
      <c r="L215" s="220" t="str">
        <f t="shared" si="54"/>
        <v>9K22</v>
      </c>
      <c r="M215" s="220" t="str">
        <f t="shared" si="55"/>
        <v/>
      </c>
      <c r="N215" s="220" t="str">
        <f t="shared" si="56"/>
        <v/>
      </c>
      <c r="O215" s="220" t="str">
        <f t="shared" si="57"/>
        <v/>
      </c>
      <c r="P215" s="52" t="str">
        <f t="shared" si="58"/>
        <v>9K22</v>
      </c>
      <c r="Q215" s="231" t="str">
        <f t="shared" si="66"/>
        <v>292</v>
      </c>
      <c r="R215" s="224">
        <f t="shared" si="60"/>
        <v>259.66666666666669</v>
      </c>
      <c r="S215" s="52">
        <f t="shared" si="61"/>
        <v>230</v>
      </c>
      <c r="T215" s="221">
        <f t="shared" ca="1" si="62"/>
        <v>5.77</v>
      </c>
      <c r="U215" s="221" t="str">
        <f t="shared" si="63"/>
        <v/>
      </c>
      <c r="V215" s="220" t="str">
        <f t="array" ref="V215">INDEX(P:P,MAX(U$3:U215))</f>
        <v>9K#1DTR(A)</v>
      </c>
      <c r="W215" s="220" t="str">
        <f t="shared" ca="1" si="64"/>
        <v/>
      </c>
      <c r="X215" s="220">
        <f t="shared" si="65"/>
        <v>11.4</v>
      </c>
      <c r="Y215" s="220">
        <f t="shared" si="52"/>
        <v>0</v>
      </c>
      <c r="AA215" s="220" t="str">
        <f t="shared" si="53"/>
        <v>大霞</v>
      </c>
      <c r="AB215" s="220" t="s">
        <v>1215</v>
      </c>
      <c r="AC215" s="220" t="str">
        <f>LEFT(B215,4)</f>
        <v>9K22</v>
      </c>
      <c r="BB215" s="514" t="s">
        <v>1649</v>
      </c>
      <c r="BC215" s="514">
        <v>4835</v>
      </c>
      <c r="BD215" s="514">
        <v>3</v>
      </c>
      <c r="BE215" s="514">
        <v>4838</v>
      </c>
      <c r="BG215" s="229" t="s">
        <v>8485</v>
      </c>
      <c r="BH215" s="230" t="s">
        <v>8487</v>
      </c>
      <c r="BI215" t="s">
        <v>1215</v>
      </c>
      <c r="BJ215" t="s">
        <v>2155</v>
      </c>
    </row>
    <row r="216" spans="1:62">
      <c r="A216" s="229" t="s">
        <v>5661</v>
      </c>
      <c r="B216" s="230" t="s">
        <v>6842</v>
      </c>
      <c r="C216" s="230" t="s">
        <v>6843</v>
      </c>
      <c r="D216" s="229" t="s">
        <v>6824</v>
      </c>
      <c r="E216" s="229" t="s">
        <v>6844</v>
      </c>
      <c r="F216" s="229" t="s">
        <v>5625</v>
      </c>
      <c r="G216" s="229" t="s">
        <v>6845</v>
      </c>
      <c r="H216" s="229" t="s">
        <v>5625</v>
      </c>
      <c r="I216" s="229" t="s">
        <v>6845</v>
      </c>
      <c r="J216" s="231" t="s">
        <v>6846</v>
      </c>
      <c r="K216" s="231" t="s">
        <v>6847</v>
      </c>
      <c r="L216" s="220" t="str">
        <f t="shared" si="54"/>
        <v>9K23</v>
      </c>
      <c r="M216" s="220" t="str">
        <f t="shared" si="55"/>
        <v/>
      </c>
      <c r="N216" s="220" t="str">
        <f t="shared" si="56"/>
        <v/>
      </c>
      <c r="O216" s="220" t="str">
        <f t="shared" si="57"/>
        <v/>
      </c>
      <c r="P216" s="52" t="str">
        <f t="shared" si="58"/>
        <v>9K23</v>
      </c>
      <c r="Q216" s="231" t="str">
        <f t="shared" si="66"/>
        <v>290</v>
      </c>
      <c r="R216" s="224">
        <f t="shared" si="60"/>
        <v>275</v>
      </c>
      <c r="S216" s="52">
        <f t="shared" si="61"/>
        <v>255</v>
      </c>
      <c r="T216" s="221">
        <f t="shared" ca="1" si="62"/>
        <v>5.73</v>
      </c>
      <c r="U216" s="221" t="str">
        <f t="shared" si="63"/>
        <v/>
      </c>
      <c r="V216" s="220" t="str">
        <f t="array" ref="V216">INDEX(P:P,MAX(U$3:U216))</f>
        <v>9K#1DTR(A)</v>
      </c>
      <c r="W216" s="220" t="str">
        <f t="shared" ca="1" si="64"/>
        <v/>
      </c>
      <c r="X216" s="220">
        <f t="shared" si="65"/>
        <v>11.4</v>
      </c>
      <c r="Y216" s="220">
        <f t="shared" si="52"/>
        <v>0</v>
      </c>
      <c r="AA216" s="220" t="str">
        <f t="shared" si="53"/>
        <v>大霞</v>
      </c>
      <c r="AB216" s="220" t="s">
        <v>1233</v>
      </c>
      <c r="AC216" s="220" t="str">
        <f>LEFT(B216,4)</f>
        <v>9K23</v>
      </c>
      <c r="BB216" s="514" t="s">
        <v>1684</v>
      </c>
      <c r="BC216" s="514">
        <v>5845</v>
      </c>
      <c r="BD216" s="514">
        <v>2</v>
      </c>
      <c r="BE216" s="514">
        <v>5847</v>
      </c>
      <c r="BG216" s="229" t="s">
        <v>8485</v>
      </c>
      <c r="BH216" s="230" t="s">
        <v>8488</v>
      </c>
      <c r="BI216" t="s">
        <v>1233</v>
      </c>
      <c r="BJ216" t="s">
        <v>2155</v>
      </c>
    </row>
    <row r="217" spans="1:62">
      <c r="A217" s="229" t="s">
        <v>5661</v>
      </c>
      <c r="B217" s="230" t="s">
        <v>6848</v>
      </c>
      <c r="C217" s="230" t="s">
        <v>6849</v>
      </c>
      <c r="D217" s="229" t="s">
        <v>5625</v>
      </c>
      <c r="E217" s="229" t="s">
        <v>6850</v>
      </c>
      <c r="F217" s="229" t="s">
        <v>5855</v>
      </c>
      <c r="G217" s="229" t="s">
        <v>6851</v>
      </c>
      <c r="H217" s="229" t="s">
        <v>5613</v>
      </c>
      <c r="I217" s="229" t="s">
        <v>6850</v>
      </c>
      <c r="J217" s="231" t="s">
        <v>6852</v>
      </c>
      <c r="K217" s="231" t="s">
        <v>5855</v>
      </c>
      <c r="L217" s="220" t="str">
        <f t="shared" si="54"/>
        <v>9K24</v>
      </c>
      <c r="M217" s="220" t="str">
        <f t="shared" si="55"/>
        <v/>
      </c>
      <c r="N217" s="220" t="str">
        <f t="shared" si="56"/>
        <v/>
      </c>
      <c r="O217" s="220" t="str">
        <f t="shared" si="57"/>
        <v/>
      </c>
      <c r="P217" s="52" t="str">
        <f t="shared" si="58"/>
        <v>9K24</v>
      </c>
      <c r="Q217" s="231" t="str">
        <f t="shared" si="66"/>
        <v>62</v>
      </c>
      <c r="R217" s="224">
        <f t="shared" si="60"/>
        <v>54</v>
      </c>
      <c r="S217" s="52">
        <f t="shared" si="61"/>
        <v>47</v>
      </c>
      <c r="T217" s="221">
        <f t="shared" ca="1" si="62"/>
        <v>1.22</v>
      </c>
      <c r="U217" s="221" t="str">
        <f t="shared" si="63"/>
        <v/>
      </c>
      <c r="V217" s="220" t="str">
        <f t="array" ref="V217">INDEX(P:P,MAX(U$3:U217))</f>
        <v>9K#1DTR(A)</v>
      </c>
      <c r="W217" s="220" t="str">
        <f t="shared" ca="1" si="64"/>
        <v/>
      </c>
      <c r="X217" s="220">
        <f t="shared" si="65"/>
        <v>11.4</v>
      </c>
      <c r="Y217" s="220">
        <f t="shared" si="52"/>
        <v>0</v>
      </c>
      <c r="AA217" s="220" t="str">
        <f t="shared" si="53"/>
        <v>大霞</v>
      </c>
      <c r="AB217" s="220" t="s">
        <v>1271</v>
      </c>
      <c r="AC217" s="220" t="str">
        <f>LEFT(B217,4)</f>
        <v>9K24</v>
      </c>
      <c r="BB217" s="514" t="s">
        <v>1693</v>
      </c>
      <c r="BC217" s="514">
        <v>1235</v>
      </c>
      <c r="BD217" s="514" t="s">
        <v>85</v>
      </c>
      <c r="BE217" s="514">
        <v>1235</v>
      </c>
      <c r="BG217" s="229" t="s">
        <v>8489</v>
      </c>
      <c r="BH217" s="230" t="s">
        <v>8490</v>
      </c>
      <c r="BI217" t="s">
        <v>1271</v>
      </c>
      <c r="BJ217" t="s">
        <v>2155</v>
      </c>
    </row>
    <row r="218" spans="1:62">
      <c r="A218" s="229" t="s">
        <v>5661</v>
      </c>
      <c r="B218" s="230" t="s">
        <v>6853</v>
      </c>
      <c r="C218" s="230" t="s">
        <v>6854</v>
      </c>
      <c r="D218" s="229" t="s">
        <v>5625</v>
      </c>
      <c r="E218" s="229" t="s">
        <v>6855</v>
      </c>
      <c r="F218" s="229" t="s">
        <v>5625</v>
      </c>
      <c r="G218" s="229" t="s">
        <v>6840</v>
      </c>
      <c r="H218" s="229" t="s">
        <v>5849</v>
      </c>
      <c r="I218" s="229" t="s">
        <v>6840</v>
      </c>
      <c r="J218" s="231" t="s">
        <v>6856</v>
      </c>
      <c r="K218" s="231" t="s">
        <v>5849</v>
      </c>
      <c r="L218" s="220" t="str">
        <f t="shared" si="54"/>
        <v>9K25</v>
      </c>
      <c r="M218" s="220" t="str">
        <f t="shared" si="55"/>
        <v/>
      </c>
      <c r="N218" s="220" t="str">
        <f t="shared" si="56"/>
        <v/>
      </c>
      <c r="O218" s="220" t="str">
        <f t="shared" si="57"/>
        <v/>
      </c>
      <c r="P218" s="52" t="str">
        <f t="shared" si="58"/>
        <v>9K25</v>
      </c>
      <c r="Q218" s="231" t="str">
        <f t="shared" si="66"/>
        <v>292</v>
      </c>
      <c r="R218" s="224">
        <f t="shared" si="60"/>
        <v>258</v>
      </c>
      <c r="S218" s="52">
        <f t="shared" si="61"/>
        <v>229</v>
      </c>
      <c r="T218" s="221">
        <f t="shared" ca="1" si="62"/>
        <v>5.77</v>
      </c>
      <c r="U218" s="221" t="str">
        <f t="shared" si="63"/>
        <v/>
      </c>
      <c r="V218" s="220" t="str">
        <f t="array" ref="V218">INDEX(P:P,MAX(U$3:U218))</f>
        <v>9K#1DTR(A)</v>
      </c>
      <c r="W218" s="220" t="str">
        <f t="shared" ca="1" si="64"/>
        <v/>
      </c>
      <c r="X218" s="220">
        <f t="shared" si="65"/>
        <v>11.4</v>
      </c>
      <c r="Y218" s="220">
        <f t="shared" si="52"/>
        <v>0</v>
      </c>
      <c r="AA218" s="220" t="str">
        <f t="shared" si="53"/>
        <v>大霞</v>
      </c>
      <c r="AB218" s="220" t="s">
        <v>1289</v>
      </c>
      <c r="AC218" s="220" t="str">
        <f>LEFT(B218,4)</f>
        <v>9K25</v>
      </c>
      <c r="BB218" s="514" t="s">
        <v>1945</v>
      </c>
      <c r="BC218" s="514" t="s">
        <v>85</v>
      </c>
      <c r="BD218" s="514" t="s">
        <v>85</v>
      </c>
      <c r="BE218" s="514">
        <v>0</v>
      </c>
      <c r="BG218" s="229" t="s">
        <v>8485</v>
      </c>
      <c r="BH218" s="230" t="s">
        <v>8491</v>
      </c>
      <c r="BI218" t="s">
        <v>1289</v>
      </c>
      <c r="BJ218" t="s">
        <v>2155</v>
      </c>
    </row>
    <row r="219" spans="1:62">
      <c r="A219" s="229" t="s">
        <v>5661</v>
      </c>
      <c r="B219" s="230" t="s">
        <v>6857</v>
      </c>
      <c r="C219" s="230" t="s">
        <v>6858</v>
      </c>
      <c r="D219" s="229" t="s">
        <v>5855</v>
      </c>
      <c r="E219" s="229" t="s">
        <v>6859</v>
      </c>
      <c r="F219" s="229" t="s">
        <v>5855</v>
      </c>
      <c r="G219" s="229" t="s">
        <v>6860</v>
      </c>
      <c r="H219" s="229" t="s">
        <v>5855</v>
      </c>
      <c r="I219" s="229" t="s">
        <v>6858</v>
      </c>
      <c r="J219" s="231" t="s">
        <v>5710</v>
      </c>
      <c r="K219" s="231" t="s">
        <v>5710</v>
      </c>
      <c r="L219" s="220" t="str">
        <f t="shared" si="54"/>
        <v>9K#1DTR(B)</v>
      </c>
      <c r="M219" s="220" t="str">
        <f t="shared" si="55"/>
        <v>(B)</v>
      </c>
      <c r="N219" s="220" t="str">
        <f t="shared" si="56"/>
        <v>9K#1DTR</v>
      </c>
      <c r="O219" s="220" t="str">
        <f t="shared" si="57"/>
        <v>(B)</v>
      </c>
      <c r="P219" s="52" t="str">
        <f t="shared" si="58"/>
        <v>9K#1DTR(B)</v>
      </c>
      <c r="Q219" s="231" t="str">
        <f t="shared" si="66"/>
        <v>624</v>
      </c>
      <c r="R219" s="224">
        <f t="shared" si="60"/>
        <v>594.33333333333337</v>
      </c>
      <c r="S219" s="52">
        <f t="shared" si="61"/>
        <v>578</v>
      </c>
      <c r="T219" s="221">
        <f t="shared" ca="1" si="62"/>
        <v>12.32</v>
      </c>
      <c r="U219" s="221">
        <f t="shared" si="63"/>
        <v>219</v>
      </c>
      <c r="V219" s="220" t="str">
        <f t="array" ref="V219">INDEX(P:P,MAX(U$3:U219))</f>
        <v>9K#1DTR(B)</v>
      </c>
      <c r="W219" s="220">
        <f t="shared" ca="1" si="64"/>
        <v>30</v>
      </c>
      <c r="X219" s="220" t="str">
        <f t="shared" si="65"/>
        <v/>
      </c>
      <c r="Y219" s="220">
        <f t="shared" si="52"/>
        <v>0</v>
      </c>
      <c r="AA219" s="220" t="str">
        <f t="shared" si="53"/>
        <v>大霞</v>
      </c>
      <c r="AB219" s="220" t="s">
        <v>2157</v>
      </c>
      <c r="AC219" s="220" t="s">
        <v>2157</v>
      </c>
      <c r="BB219" s="514" t="s">
        <v>1946</v>
      </c>
      <c r="BC219" s="514">
        <v>1670</v>
      </c>
      <c r="BD219" s="514">
        <v>4</v>
      </c>
      <c r="BE219" s="514">
        <v>1674</v>
      </c>
      <c r="BG219" s="229" t="s">
        <v>8489</v>
      </c>
      <c r="BH219" s="230" t="s">
        <v>8352</v>
      </c>
      <c r="BI219" t="s">
        <v>2157</v>
      </c>
      <c r="BJ219" t="s">
        <v>2157</v>
      </c>
    </row>
    <row r="220" spans="1:62">
      <c r="A220" s="229" t="s">
        <v>6861</v>
      </c>
      <c r="B220" s="230" t="s">
        <v>6862</v>
      </c>
      <c r="C220" s="230" t="s">
        <v>6863</v>
      </c>
      <c r="D220" s="229" t="s">
        <v>5855</v>
      </c>
      <c r="E220" s="229" t="s">
        <v>6864</v>
      </c>
      <c r="F220" s="229" t="s">
        <v>5613</v>
      </c>
      <c r="G220" s="229" t="s">
        <v>6865</v>
      </c>
      <c r="H220" s="229" t="s">
        <v>6838</v>
      </c>
      <c r="I220" s="229" t="s">
        <v>6836</v>
      </c>
      <c r="J220" s="231" t="s">
        <v>6866</v>
      </c>
      <c r="K220" s="231" t="s">
        <v>6838</v>
      </c>
      <c r="L220" s="220" t="str">
        <f t="shared" si="54"/>
        <v>9K26</v>
      </c>
      <c r="M220" s="220" t="str">
        <f t="shared" si="55"/>
        <v/>
      </c>
      <c r="N220" s="220" t="str">
        <f t="shared" si="56"/>
        <v/>
      </c>
      <c r="O220" s="220" t="str">
        <f t="shared" si="57"/>
        <v/>
      </c>
      <c r="P220" s="52" t="str">
        <f t="shared" si="58"/>
        <v>9K26</v>
      </c>
      <c r="Q220" s="231" t="str">
        <f t="shared" si="66"/>
        <v>50</v>
      </c>
      <c r="R220" s="224">
        <f t="shared" si="60"/>
        <v>38.666666666666664</v>
      </c>
      <c r="S220" s="52">
        <f t="shared" si="61"/>
        <v>21</v>
      </c>
      <c r="T220" s="221">
        <f t="shared" ca="1" si="62"/>
        <v>0.99</v>
      </c>
      <c r="U220" s="221" t="str">
        <f t="shared" si="63"/>
        <v/>
      </c>
      <c r="V220" s="220" t="str">
        <f t="array" ref="V220">INDEX(P:P,MAX(U$3:U220))</f>
        <v>9K#1DTR(B)</v>
      </c>
      <c r="W220" s="220" t="str">
        <f t="shared" ca="1" si="64"/>
        <v/>
      </c>
      <c r="X220" s="220">
        <f t="shared" si="65"/>
        <v>11.4</v>
      </c>
      <c r="Y220" s="220">
        <f t="shared" si="52"/>
        <v>0</v>
      </c>
      <c r="AA220" s="220" t="str">
        <f t="shared" si="53"/>
        <v>大霞</v>
      </c>
      <c r="AB220" s="220" t="s">
        <v>2158</v>
      </c>
      <c r="AC220" s="220" t="str">
        <f>LEFT(B220,4)</f>
        <v>9K26</v>
      </c>
      <c r="BB220" s="514" t="s">
        <v>1948</v>
      </c>
      <c r="BC220" s="514">
        <v>2958</v>
      </c>
      <c r="BD220" s="514">
        <v>6</v>
      </c>
      <c r="BE220" s="514">
        <v>2964</v>
      </c>
      <c r="BG220" s="229" t="s">
        <v>8485</v>
      </c>
      <c r="BH220" s="230" t="s">
        <v>433</v>
      </c>
      <c r="BI220" t="s">
        <v>2158</v>
      </c>
      <c r="BJ220" t="s">
        <v>2157</v>
      </c>
    </row>
    <row r="221" spans="1:62">
      <c r="A221" s="229" t="s">
        <v>5661</v>
      </c>
      <c r="B221" s="230" t="s">
        <v>6867</v>
      </c>
      <c r="C221" s="230" t="s">
        <v>6868</v>
      </c>
      <c r="D221" s="229" t="s">
        <v>5855</v>
      </c>
      <c r="E221" s="229" t="s">
        <v>6869</v>
      </c>
      <c r="F221" s="229" t="s">
        <v>5855</v>
      </c>
      <c r="G221" s="229" t="s">
        <v>6870</v>
      </c>
      <c r="H221" s="229" t="s">
        <v>5855</v>
      </c>
      <c r="I221" s="229" t="s">
        <v>6868</v>
      </c>
      <c r="J221" s="231" t="s">
        <v>6871</v>
      </c>
      <c r="K221" s="231" t="s">
        <v>5722</v>
      </c>
      <c r="L221" s="220" t="str">
        <f t="shared" si="54"/>
        <v>9K27</v>
      </c>
      <c r="M221" s="220" t="str">
        <f t="shared" si="55"/>
        <v/>
      </c>
      <c r="N221" s="220" t="str">
        <f t="shared" si="56"/>
        <v/>
      </c>
      <c r="O221" s="220" t="str">
        <f t="shared" si="57"/>
        <v/>
      </c>
      <c r="P221" s="52" t="str">
        <f t="shared" si="58"/>
        <v>9K27</v>
      </c>
      <c r="Q221" s="231" t="str">
        <f t="shared" si="66"/>
        <v>180</v>
      </c>
      <c r="R221" s="224">
        <f t="shared" si="60"/>
        <v>159.33333333333334</v>
      </c>
      <c r="S221" s="52">
        <f t="shared" si="61"/>
        <v>145</v>
      </c>
      <c r="T221" s="221">
        <f t="shared" ca="1" si="62"/>
        <v>3.55</v>
      </c>
      <c r="U221" s="221" t="str">
        <f t="shared" si="63"/>
        <v/>
      </c>
      <c r="V221" s="220" t="str">
        <f t="array" ref="V221">INDEX(P:P,MAX(U$3:U221))</f>
        <v>9K#1DTR(B)</v>
      </c>
      <c r="W221" s="220" t="str">
        <f t="shared" ca="1" si="64"/>
        <v/>
      </c>
      <c r="X221" s="220">
        <f t="shared" si="65"/>
        <v>11.4</v>
      </c>
      <c r="Y221" s="220">
        <f t="shared" si="52"/>
        <v>0</v>
      </c>
      <c r="AA221" s="220" t="str">
        <f t="shared" si="53"/>
        <v>大霞</v>
      </c>
      <c r="AB221" s="220" t="s">
        <v>1369</v>
      </c>
      <c r="AC221" s="220" t="str">
        <f>LEFT(B221,4)</f>
        <v>9K27</v>
      </c>
      <c r="BB221" s="514" t="s">
        <v>1950</v>
      </c>
      <c r="BC221" s="514">
        <v>658</v>
      </c>
      <c r="BD221" s="514">
        <v>3</v>
      </c>
      <c r="BE221" s="514">
        <v>661</v>
      </c>
      <c r="BG221" s="229" t="s">
        <v>8489</v>
      </c>
      <c r="BH221" s="230" t="s">
        <v>8492</v>
      </c>
      <c r="BI221" t="s">
        <v>1369</v>
      </c>
      <c r="BJ221" t="s">
        <v>2157</v>
      </c>
    </row>
    <row r="222" spans="1:62">
      <c r="A222" s="229" t="s">
        <v>5661</v>
      </c>
      <c r="B222" s="230" t="s">
        <v>6872</v>
      </c>
      <c r="C222" s="230" t="s">
        <v>6873</v>
      </c>
      <c r="D222" s="229" t="s">
        <v>5613</v>
      </c>
      <c r="E222" s="229" t="s">
        <v>6874</v>
      </c>
      <c r="F222" s="229" t="s">
        <v>5613</v>
      </c>
      <c r="G222" s="229" t="s">
        <v>5870</v>
      </c>
      <c r="H222" s="229" t="s">
        <v>5613</v>
      </c>
      <c r="I222" s="229" t="s">
        <v>6874</v>
      </c>
      <c r="J222" s="231" t="s">
        <v>6829</v>
      </c>
      <c r="K222" s="231" t="s">
        <v>6875</v>
      </c>
      <c r="L222" s="220" t="str">
        <f t="shared" si="54"/>
        <v>9K28</v>
      </c>
      <c r="M222" s="220" t="str">
        <f t="shared" si="55"/>
        <v/>
      </c>
      <c r="N222" s="220" t="str">
        <f t="shared" si="56"/>
        <v/>
      </c>
      <c r="O222" s="220" t="str">
        <f t="shared" si="57"/>
        <v/>
      </c>
      <c r="P222" s="52" t="str">
        <f t="shared" si="58"/>
        <v>9K28</v>
      </c>
      <c r="Q222" s="231" t="str">
        <f t="shared" si="66"/>
        <v>158</v>
      </c>
      <c r="R222" s="224">
        <f t="shared" si="60"/>
        <v>145</v>
      </c>
      <c r="S222" s="52">
        <f t="shared" si="61"/>
        <v>131</v>
      </c>
      <c r="T222" s="221">
        <f t="shared" ca="1" si="62"/>
        <v>3.12</v>
      </c>
      <c r="U222" s="221" t="str">
        <f t="shared" si="63"/>
        <v/>
      </c>
      <c r="V222" s="220" t="str">
        <f t="array" ref="V222">INDEX(P:P,MAX(U$3:U222))</f>
        <v>9K#1DTR(B)</v>
      </c>
      <c r="W222" s="220" t="str">
        <f t="shared" ca="1" si="64"/>
        <v/>
      </c>
      <c r="X222" s="220">
        <f t="shared" si="65"/>
        <v>11.4</v>
      </c>
      <c r="Y222" s="220">
        <f t="shared" si="52"/>
        <v>0</v>
      </c>
      <c r="AA222" s="220" t="str">
        <f t="shared" si="53"/>
        <v>大霞</v>
      </c>
      <c r="AB222" s="220" t="s">
        <v>1380</v>
      </c>
      <c r="AC222" s="220" t="str">
        <f>LEFT(B222,4)</f>
        <v>9K28</v>
      </c>
      <c r="BB222" s="514" t="s">
        <v>1383</v>
      </c>
      <c r="BC222" s="514">
        <v>589</v>
      </c>
      <c r="BD222" s="514" t="s">
        <v>85</v>
      </c>
      <c r="BE222" s="514">
        <v>589</v>
      </c>
      <c r="BG222" s="229" t="s">
        <v>15</v>
      </c>
      <c r="BH222" s="230" t="s">
        <v>8493</v>
      </c>
      <c r="BI222" t="s">
        <v>1380</v>
      </c>
      <c r="BJ222" t="s">
        <v>2157</v>
      </c>
    </row>
    <row r="223" spans="1:62">
      <c r="A223" s="229" t="s">
        <v>5661</v>
      </c>
      <c r="B223" s="230" t="s">
        <v>6876</v>
      </c>
      <c r="C223" s="230" t="s">
        <v>6877</v>
      </c>
      <c r="D223" s="229" t="s">
        <v>5895</v>
      </c>
      <c r="E223" s="229" t="s">
        <v>5634</v>
      </c>
      <c r="F223" s="229" t="s">
        <v>5895</v>
      </c>
      <c r="G223" s="229" t="s">
        <v>5652</v>
      </c>
      <c r="H223" s="229" t="s">
        <v>5895</v>
      </c>
      <c r="I223" s="229" t="s">
        <v>6877</v>
      </c>
      <c r="J223" s="231" t="s">
        <v>6878</v>
      </c>
      <c r="K223" s="231" t="s">
        <v>5653</v>
      </c>
      <c r="L223" s="220" t="str">
        <f t="shared" si="54"/>
        <v>9K29</v>
      </c>
      <c r="M223" s="220" t="str">
        <f t="shared" si="55"/>
        <v/>
      </c>
      <c r="N223" s="220" t="str">
        <f t="shared" si="56"/>
        <v/>
      </c>
      <c r="O223" s="220" t="str">
        <f t="shared" si="57"/>
        <v/>
      </c>
      <c r="P223" s="52" t="str">
        <f t="shared" si="58"/>
        <v>9K29</v>
      </c>
      <c r="Q223" s="231" t="str">
        <f t="shared" si="66"/>
        <v>196</v>
      </c>
      <c r="R223" s="224">
        <f t="shared" si="60"/>
        <v>169.33333333333334</v>
      </c>
      <c r="S223" s="52">
        <f t="shared" si="61"/>
        <v>149</v>
      </c>
      <c r="T223" s="221">
        <f t="shared" ca="1" si="62"/>
        <v>3.87</v>
      </c>
      <c r="U223" s="221" t="str">
        <f t="shared" si="63"/>
        <v/>
      </c>
      <c r="V223" s="220" t="str">
        <f t="array" ref="V223">INDEX(P:P,MAX(U$3:U223))</f>
        <v>9K#1DTR(B)</v>
      </c>
      <c r="W223" s="220" t="str">
        <f t="shared" ca="1" si="64"/>
        <v/>
      </c>
      <c r="X223" s="220">
        <f t="shared" si="65"/>
        <v>11.4</v>
      </c>
      <c r="Y223" s="220">
        <f t="shared" si="52"/>
        <v>0</v>
      </c>
      <c r="AA223" s="220" t="str">
        <f t="shared" si="53"/>
        <v>大霞</v>
      </c>
      <c r="AB223" s="220" t="s">
        <v>1413</v>
      </c>
      <c r="AC223" s="220" t="str">
        <f>LEFT(B223,4)</f>
        <v>9K29</v>
      </c>
      <c r="BB223" s="514" t="s">
        <v>1427</v>
      </c>
      <c r="BC223" s="514">
        <v>1242</v>
      </c>
      <c r="BD223" s="514">
        <v>2</v>
      </c>
      <c r="BE223" s="514">
        <v>1244</v>
      </c>
      <c r="BG223" s="229" t="s">
        <v>8489</v>
      </c>
      <c r="BH223" s="230" t="s">
        <v>8494</v>
      </c>
      <c r="BI223" t="s">
        <v>1413</v>
      </c>
      <c r="BJ223" t="s">
        <v>2157</v>
      </c>
    </row>
    <row r="224" spans="1:62">
      <c r="A224" s="229" t="s">
        <v>5661</v>
      </c>
      <c r="B224" s="230" t="s">
        <v>6879</v>
      </c>
      <c r="C224" s="230" t="s">
        <v>6880</v>
      </c>
      <c r="D224" s="229" t="s">
        <v>6875</v>
      </c>
      <c r="E224" s="229" t="s">
        <v>6881</v>
      </c>
      <c r="F224" s="229" t="s">
        <v>5722</v>
      </c>
      <c r="G224" s="229" t="s">
        <v>6882</v>
      </c>
      <c r="H224" s="229" t="s">
        <v>5722</v>
      </c>
      <c r="I224" s="229" t="s">
        <v>6881</v>
      </c>
      <c r="J224" s="231" t="s">
        <v>6883</v>
      </c>
      <c r="K224" s="231" t="s">
        <v>5902</v>
      </c>
      <c r="L224" s="220" t="str">
        <f t="shared" si="54"/>
        <v>9K30</v>
      </c>
      <c r="M224" s="220" t="str">
        <f t="shared" si="55"/>
        <v/>
      </c>
      <c r="N224" s="220" t="str">
        <f t="shared" si="56"/>
        <v/>
      </c>
      <c r="O224" s="220" t="str">
        <f t="shared" si="57"/>
        <v/>
      </c>
      <c r="P224" s="52" t="str">
        <f t="shared" si="58"/>
        <v>9K30</v>
      </c>
      <c r="Q224" s="231" t="str">
        <f t="shared" si="66"/>
        <v>155</v>
      </c>
      <c r="R224" s="224">
        <f t="shared" si="60"/>
        <v>134.33333333333334</v>
      </c>
      <c r="S224" s="52">
        <f t="shared" si="61"/>
        <v>122</v>
      </c>
      <c r="T224" s="221">
        <f t="shared" ca="1" si="62"/>
        <v>3.06</v>
      </c>
      <c r="U224" s="221" t="str">
        <f t="shared" si="63"/>
        <v/>
      </c>
      <c r="V224" s="220" t="str">
        <f t="array" ref="V224">INDEX(P:P,MAX(U$3:U224))</f>
        <v>9K#1DTR(B)</v>
      </c>
      <c r="W224" s="220" t="str">
        <f t="shared" ca="1" si="64"/>
        <v/>
      </c>
      <c r="X224" s="220">
        <f t="shared" si="65"/>
        <v>11.4</v>
      </c>
      <c r="Y224" s="220">
        <f t="shared" si="52"/>
        <v>0</v>
      </c>
      <c r="AA224" s="220" t="str">
        <f t="shared" si="53"/>
        <v>大霞</v>
      </c>
      <c r="AB224" s="220" t="s">
        <v>1424</v>
      </c>
      <c r="AC224" s="220" t="str">
        <f>LEFT(B224,4)</f>
        <v>9K30</v>
      </c>
      <c r="BB224" s="514" t="s">
        <v>2029</v>
      </c>
      <c r="BC224" s="514">
        <v>2392</v>
      </c>
      <c r="BD224" s="514">
        <v>1</v>
      </c>
      <c r="BE224" s="514">
        <v>2393</v>
      </c>
      <c r="BG224" s="229" t="s">
        <v>8489</v>
      </c>
      <c r="BH224" s="230" t="s">
        <v>8495</v>
      </c>
      <c r="BI224" t="s">
        <v>1424</v>
      </c>
      <c r="BJ224" t="s">
        <v>2157</v>
      </c>
    </row>
    <row r="225" spans="1:62">
      <c r="A225" s="229" t="s">
        <v>5661</v>
      </c>
      <c r="B225" s="230" t="s">
        <v>5879</v>
      </c>
      <c r="C225" s="230" t="s">
        <v>6884</v>
      </c>
      <c r="D225" s="229" t="s">
        <v>5613</v>
      </c>
      <c r="E225" s="229" t="s">
        <v>6885</v>
      </c>
      <c r="F225" s="229" t="s">
        <v>5613</v>
      </c>
      <c r="G225" s="229" t="s">
        <v>6886</v>
      </c>
      <c r="H225" s="229" t="s">
        <v>5613</v>
      </c>
      <c r="I225" s="229" t="s">
        <v>6886</v>
      </c>
      <c r="J225" s="231" t="s">
        <v>5710</v>
      </c>
      <c r="K225" s="231" t="s">
        <v>5710</v>
      </c>
      <c r="L225" s="220" t="str">
        <f t="shared" si="54"/>
        <v>9K#2DTR(A)</v>
      </c>
      <c r="M225" s="220" t="str">
        <f t="shared" si="55"/>
        <v>(A)</v>
      </c>
      <c r="N225" s="220" t="str">
        <f t="shared" si="56"/>
        <v>9K#2DTR</v>
      </c>
      <c r="O225" s="220" t="str">
        <f t="shared" si="57"/>
        <v>(A)</v>
      </c>
      <c r="P225" s="52" t="str">
        <f t="shared" si="58"/>
        <v>9K#2DTR(A)</v>
      </c>
      <c r="Q225" s="231" t="str">
        <f t="shared" si="66"/>
        <v>1043</v>
      </c>
      <c r="R225" s="224">
        <f t="shared" si="60"/>
        <v>1025</v>
      </c>
      <c r="S225" s="52">
        <f t="shared" si="61"/>
        <v>998</v>
      </c>
      <c r="T225" s="221">
        <f t="shared" ca="1" si="62"/>
        <v>20.59</v>
      </c>
      <c r="U225" s="221">
        <f t="shared" si="63"/>
        <v>225</v>
      </c>
      <c r="V225" s="220" t="str">
        <f t="array" ref="V225">INDEX(P:P,MAX(U$3:U225))</f>
        <v>9K#2DTR(A)</v>
      </c>
      <c r="W225" s="220">
        <f t="shared" ca="1" si="64"/>
        <v>30</v>
      </c>
      <c r="X225" s="220" t="str">
        <f t="shared" si="65"/>
        <v/>
      </c>
      <c r="Y225" s="220">
        <f t="shared" si="52"/>
        <v>0</v>
      </c>
      <c r="AA225" s="220" t="str">
        <f t="shared" si="53"/>
        <v>大霞</v>
      </c>
      <c r="AB225" s="220" t="s">
        <v>2159</v>
      </c>
      <c r="AC225" s="220" t="s">
        <v>2159</v>
      </c>
      <c r="BB225" s="514" t="s">
        <v>2180</v>
      </c>
      <c r="BC225" s="514">
        <v>2690</v>
      </c>
      <c r="BD225" s="514">
        <v>7</v>
      </c>
      <c r="BE225" s="514">
        <v>2697</v>
      </c>
      <c r="BG225" s="229" t="s">
        <v>8485</v>
      </c>
      <c r="BH225" s="230" t="s">
        <v>8428</v>
      </c>
      <c r="BI225" t="s">
        <v>2159</v>
      </c>
      <c r="BJ225" t="s">
        <v>2159</v>
      </c>
    </row>
    <row r="226" spans="1:62">
      <c r="A226" s="229" t="s">
        <v>5661</v>
      </c>
      <c r="B226" s="230" t="s">
        <v>6887</v>
      </c>
      <c r="C226" s="230" t="s">
        <v>5837</v>
      </c>
      <c r="D226" s="229" t="s">
        <v>5855</v>
      </c>
      <c r="E226" s="229" t="s">
        <v>6888</v>
      </c>
      <c r="F226" s="229" t="s">
        <v>5855</v>
      </c>
      <c r="G226" s="229" t="s">
        <v>5652</v>
      </c>
      <c r="H226" s="229" t="s">
        <v>5855</v>
      </c>
      <c r="I226" s="229" t="s">
        <v>5837</v>
      </c>
      <c r="J226" s="231" t="s">
        <v>5857</v>
      </c>
      <c r="K226" s="231" t="s">
        <v>5653</v>
      </c>
      <c r="L226" s="220" t="str">
        <f t="shared" si="54"/>
        <v>9K31</v>
      </c>
      <c r="M226" s="220" t="str">
        <f t="shared" si="55"/>
        <v/>
      </c>
      <c r="N226" s="220" t="str">
        <f t="shared" si="56"/>
        <v/>
      </c>
      <c r="O226" s="220" t="str">
        <f t="shared" si="57"/>
        <v/>
      </c>
      <c r="P226" s="52" t="str">
        <f t="shared" si="58"/>
        <v>9K31</v>
      </c>
      <c r="Q226" s="231" t="str">
        <f t="shared" si="66"/>
        <v>173</v>
      </c>
      <c r="R226" s="224">
        <f t="shared" si="60"/>
        <v>169.33333333333334</v>
      </c>
      <c r="S226" s="52">
        <f t="shared" si="61"/>
        <v>163</v>
      </c>
      <c r="T226" s="221">
        <f t="shared" ca="1" si="62"/>
        <v>3.42</v>
      </c>
      <c r="U226" s="221" t="str">
        <f t="shared" si="63"/>
        <v/>
      </c>
      <c r="V226" s="220" t="str">
        <f t="array" ref="V226">INDEX(P:P,MAX(U$3:U226))</f>
        <v>9K#2DTR(A)</v>
      </c>
      <c r="W226" s="220" t="str">
        <f t="shared" ca="1" si="64"/>
        <v/>
      </c>
      <c r="X226" s="220">
        <f t="shared" si="65"/>
        <v>11.4</v>
      </c>
      <c r="Y226" s="220">
        <f t="shared" si="52"/>
        <v>0</v>
      </c>
      <c r="AA226" s="220" t="str">
        <f t="shared" si="53"/>
        <v>大霞</v>
      </c>
      <c r="AB226" s="220" t="s">
        <v>131</v>
      </c>
      <c r="AC226" s="220" t="str">
        <f>LEFT(B226,4)</f>
        <v>9K31</v>
      </c>
      <c r="BB226" s="514" t="s">
        <v>2181</v>
      </c>
      <c r="BC226" s="514">
        <v>331</v>
      </c>
      <c r="BD226" s="514">
        <v>4</v>
      </c>
      <c r="BE226" s="514">
        <v>335</v>
      </c>
      <c r="BG226" s="229" t="s">
        <v>15</v>
      </c>
      <c r="BH226" s="230" t="s">
        <v>8496</v>
      </c>
      <c r="BI226" t="s">
        <v>131</v>
      </c>
      <c r="BJ226" t="s">
        <v>2159</v>
      </c>
    </row>
    <row r="227" spans="1:62">
      <c r="A227" s="229" t="s">
        <v>5661</v>
      </c>
      <c r="B227" s="230" t="s">
        <v>6889</v>
      </c>
      <c r="C227" s="230" t="s">
        <v>6874</v>
      </c>
      <c r="D227" s="229" t="s">
        <v>5613</v>
      </c>
      <c r="E227" s="229" t="s">
        <v>6890</v>
      </c>
      <c r="F227" s="229" t="s">
        <v>5855</v>
      </c>
      <c r="G227" s="229" t="s">
        <v>5889</v>
      </c>
      <c r="H227" s="229" t="s">
        <v>5613</v>
      </c>
      <c r="I227" s="229" t="s">
        <v>5889</v>
      </c>
      <c r="J227" s="231" t="s">
        <v>6891</v>
      </c>
      <c r="K227" s="231" t="s">
        <v>5828</v>
      </c>
      <c r="L227" s="220" t="str">
        <f t="shared" si="54"/>
        <v>9K32</v>
      </c>
      <c r="M227" s="220" t="str">
        <f t="shared" si="55"/>
        <v/>
      </c>
      <c r="N227" s="220" t="str">
        <f t="shared" si="56"/>
        <v/>
      </c>
      <c r="O227" s="220" t="str">
        <f t="shared" si="57"/>
        <v/>
      </c>
      <c r="P227" s="52" t="str">
        <f t="shared" si="58"/>
        <v>9K32</v>
      </c>
      <c r="Q227" s="231" t="str">
        <f t="shared" si="66"/>
        <v>160</v>
      </c>
      <c r="R227" s="224">
        <f t="shared" si="60"/>
        <v>158.33333333333334</v>
      </c>
      <c r="S227" s="52">
        <f t="shared" si="61"/>
        <v>157</v>
      </c>
      <c r="T227" s="221">
        <f t="shared" ca="1" si="62"/>
        <v>3.16</v>
      </c>
      <c r="U227" s="221" t="str">
        <f t="shared" si="63"/>
        <v/>
      </c>
      <c r="V227" s="220" t="str">
        <f t="array" ref="V227">INDEX(P:P,MAX(U$3:U227))</f>
        <v>9K#2DTR(A)</v>
      </c>
      <c r="W227" s="220" t="str">
        <f t="shared" ca="1" si="64"/>
        <v/>
      </c>
      <c r="X227" s="220">
        <f t="shared" si="65"/>
        <v>11.4</v>
      </c>
      <c r="Y227" s="220">
        <f t="shared" si="52"/>
        <v>0</v>
      </c>
      <c r="AA227" s="220" t="str">
        <f t="shared" si="53"/>
        <v>大霞</v>
      </c>
      <c r="AB227" s="220" t="s">
        <v>128</v>
      </c>
      <c r="AC227" s="220" t="str">
        <f>LEFT(B227,4)</f>
        <v>9K32</v>
      </c>
      <c r="BB227" s="514" t="s">
        <v>2182</v>
      </c>
      <c r="BC227" s="514">
        <v>175</v>
      </c>
      <c r="BD227" s="514">
        <v>2</v>
      </c>
      <c r="BE227" s="514">
        <v>177</v>
      </c>
      <c r="BG227" s="229" t="s">
        <v>8489</v>
      </c>
      <c r="BH227" s="230" t="s">
        <v>8497</v>
      </c>
      <c r="BI227" t="s">
        <v>128</v>
      </c>
      <c r="BJ227" t="s">
        <v>2159</v>
      </c>
    </row>
    <row r="228" spans="1:62">
      <c r="A228" s="229" t="s">
        <v>5661</v>
      </c>
      <c r="B228" s="230" t="s">
        <v>6892</v>
      </c>
      <c r="C228" s="230" t="s">
        <v>6893</v>
      </c>
      <c r="D228" s="229" t="s">
        <v>5613</v>
      </c>
      <c r="E228" s="229" t="s">
        <v>6894</v>
      </c>
      <c r="F228" s="229" t="s">
        <v>5613</v>
      </c>
      <c r="G228" s="229" t="s">
        <v>5910</v>
      </c>
      <c r="H228" s="229" t="s">
        <v>5613</v>
      </c>
      <c r="I228" s="229" t="s">
        <v>6894</v>
      </c>
      <c r="J228" s="231" t="s">
        <v>6895</v>
      </c>
      <c r="K228" s="231" t="s">
        <v>5653</v>
      </c>
      <c r="L228" s="220" t="str">
        <f t="shared" si="54"/>
        <v>9K33</v>
      </c>
      <c r="M228" s="220" t="str">
        <f t="shared" si="55"/>
        <v/>
      </c>
      <c r="N228" s="220" t="str">
        <f t="shared" si="56"/>
        <v/>
      </c>
      <c r="O228" s="220" t="str">
        <f t="shared" si="57"/>
        <v/>
      </c>
      <c r="P228" s="52" t="str">
        <f t="shared" si="58"/>
        <v>9K33</v>
      </c>
      <c r="Q228" s="231" t="str">
        <f t="shared" si="66"/>
        <v>212</v>
      </c>
      <c r="R228" s="224">
        <f t="shared" si="60"/>
        <v>204.66666666666666</v>
      </c>
      <c r="S228" s="52">
        <f t="shared" si="61"/>
        <v>200</v>
      </c>
      <c r="T228" s="221">
        <f t="shared" ca="1" si="62"/>
        <v>4.1900000000000004</v>
      </c>
      <c r="U228" s="221" t="str">
        <f t="shared" si="63"/>
        <v/>
      </c>
      <c r="V228" s="220" t="str">
        <f t="array" ref="V228">INDEX(P:P,MAX(U$3:U228))</f>
        <v>9K#2DTR(A)</v>
      </c>
      <c r="W228" s="220" t="str">
        <f t="shared" ca="1" si="64"/>
        <v/>
      </c>
      <c r="X228" s="220">
        <f t="shared" si="65"/>
        <v>11.4</v>
      </c>
      <c r="Y228" s="220">
        <f t="shared" si="52"/>
        <v>0</v>
      </c>
      <c r="AA228" s="220" t="str">
        <f t="shared" si="53"/>
        <v>大霞</v>
      </c>
      <c r="AB228" s="220" t="s">
        <v>2160</v>
      </c>
      <c r="AC228" s="220" t="str">
        <f>LEFT(B228,4)</f>
        <v>9K33</v>
      </c>
      <c r="BB228" s="514" t="s">
        <v>2183</v>
      </c>
      <c r="BC228" s="514">
        <v>131</v>
      </c>
      <c r="BD228" s="514">
        <v>1</v>
      </c>
      <c r="BE228" s="514">
        <v>132</v>
      </c>
      <c r="BG228" s="229" t="s">
        <v>8489</v>
      </c>
      <c r="BH228" s="230" t="s">
        <v>8498</v>
      </c>
      <c r="BI228" t="s">
        <v>2160</v>
      </c>
      <c r="BJ228" t="s">
        <v>2159</v>
      </c>
    </row>
    <row r="229" spans="1:62">
      <c r="A229" s="229" t="s">
        <v>5661</v>
      </c>
      <c r="B229" s="230" t="s">
        <v>6896</v>
      </c>
      <c r="C229" s="230" t="s">
        <v>6897</v>
      </c>
      <c r="D229" s="229" t="s">
        <v>5722</v>
      </c>
      <c r="E229" s="229" t="s">
        <v>6897</v>
      </c>
      <c r="F229" s="229" t="s">
        <v>5895</v>
      </c>
      <c r="G229" s="229" t="s">
        <v>6898</v>
      </c>
      <c r="H229" s="229" t="s">
        <v>5902</v>
      </c>
      <c r="I229" s="229" t="s">
        <v>6898</v>
      </c>
      <c r="J229" s="231" t="s">
        <v>6899</v>
      </c>
      <c r="K229" s="231" t="s">
        <v>5895</v>
      </c>
      <c r="L229" s="220" t="str">
        <f t="shared" si="54"/>
        <v>9K34</v>
      </c>
      <c r="M229" s="220" t="str">
        <f t="shared" si="55"/>
        <v/>
      </c>
      <c r="N229" s="220" t="str">
        <f t="shared" si="56"/>
        <v/>
      </c>
      <c r="O229" s="220" t="str">
        <f t="shared" si="57"/>
        <v/>
      </c>
      <c r="P229" s="52" t="str">
        <f t="shared" si="58"/>
        <v>9K34</v>
      </c>
      <c r="Q229" s="231" t="str">
        <f t="shared" si="66"/>
        <v>237</v>
      </c>
      <c r="R229" s="224">
        <f t="shared" si="60"/>
        <v>227</v>
      </c>
      <c r="S229" s="52">
        <f t="shared" si="61"/>
        <v>222</v>
      </c>
      <c r="T229" s="221">
        <f t="shared" ca="1" si="62"/>
        <v>4.68</v>
      </c>
      <c r="U229" s="221" t="str">
        <f t="shared" si="63"/>
        <v/>
      </c>
      <c r="V229" s="220" t="str">
        <f t="array" ref="V229">INDEX(P:P,MAX(U$3:U229))</f>
        <v>9K#2DTR(A)</v>
      </c>
      <c r="W229" s="220" t="str">
        <f t="shared" ca="1" si="64"/>
        <v/>
      </c>
      <c r="X229" s="220">
        <f t="shared" si="65"/>
        <v>11.4</v>
      </c>
      <c r="Y229" s="220">
        <f t="shared" si="52"/>
        <v>0</v>
      </c>
      <c r="AA229" s="220" t="str">
        <f t="shared" si="53"/>
        <v>大霞</v>
      </c>
      <c r="AB229" s="220" t="s">
        <v>124</v>
      </c>
      <c r="AC229" s="220" t="str">
        <f>LEFT(B229,4)</f>
        <v>9K34</v>
      </c>
      <c r="BB229" s="514" t="s">
        <v>2185</v>
      </c>
      <c r="BC229" s="514">
        <v>1959</v>
      </c>
      <c r="BD229" s="514">
        <v>2</v>
      </c>
      <c r="BE229" s="514">
        <v>1961</v>
      </c>
      <c r="BG229" s="229" t="s">
        <v>8485</v>
      </c>
      <c r="BH229" s="230" t="s">
        <v>8499</v>
      </c>
      <c r="BI229" t="s">
        <v>124</v>
      </c>
      <c r="BJ229" t="s">
        <v>2159</v>
      </c>
    </row>
    <row r="230" spans="1:62">
      <c r="A230" s="229" t="s">
        <v>5661</v>
      </c>
      <c r="B230" s="230" t="s">
        <v>6900</v>
      </c>
      <c r="C230" s="230" t="s">
        <v>6901</v>
      </c>
      <c r="D230" s="229" t="s">
        <v>5613</v>
      </c>
      <c r="E230" s="229" t="s">
        <v>6827</v>
      </c>
      <c r="F230" s="229" t="s">
        <v>5613</v>
      </c>
      <c r="G230" s="229" t="s">
        <v>6902</v>
      </c>
      <c r="H230" s="229" t="s">
        <v>5613</v>
      </c>
      <c r="I230" s="229" t="s">
        <v>6902</v>
      </c>
      <c r="J230" s="231" t="s">
        <v>6903</v>
      </c>
      <c r="K230" s="231" t="s">
        <v>5625</v>
      </c>
      <c r="L230" s="220" t="str">
        <f t="shared" si="54"/>
        <v>9K35</v>
      </c>
      <c r="M230" s="220" t="str">
        <f t="shared" si="55"/>
        <v/>
      </c>
      <c r="N230" s="220" t="str">
        <f t="shared" si="56"/>
        <v/>
      </c>
      <c r="O230" s="220" t="str">
        <f t="shared" si="57"/>
        <v/>
      </c>
      <c r="P230" s="52" t="str">
        <f t="shared" si="58"/>
        <v>9K35</v>
      </c>
      <c r="Q230" s="231" t="str">
        <f t="shared" si="66"/>
        <v>293</v>
      </c>
      <c r="R230" s="224">
        <f t="shared" si="60"/>
        <v>283.66666666666669</v>
      </c>
      <c r="S230" s="52">
        <f t="shared" si="61"/>
        <v>272</v>
      </c>
      <c r="T230" s="221">
        <f t="shared" ca="1" si="62"/>
        <v>5.79</v>
      </c>
      <c r="U230" s="221" t="str">
        <f t="shared" si="63"/>
        <v/>
      </c>
      <c r="V230" s="220" t="str">
        <f t="array" ref="V230">INDEX(P:P,MAX(U$3:U230))</f>
        <v>9K#2DTR(A)</v>
      </c>
      <c r="W230" s="220" t="str">
        <f t="shared" ca="1" si="64"/>
        <v/>
      </c>
      <c r="X230" s="220">
        <f t="shared" si="65"/>
        <v>11.4</v>
      </c>
      <c r="Y230" s="220">
        <f t="shared" si="52"/>
        <v>0</v>
      </c>
      <c r="AA230" s="220" t="str">
        <f t="shared" si="53"/>
        <v>大霞</v>
      </c>
      <c r="AB230" s="220" t="s">
        <v>141</v>
      </c>
      <c r="AC230" s="220" t="str">
        <f>LEFT(B230,4)</f>
        <v>9K35</v>
      </c>
      <c r="BB230" s="514" t="s">
        <v>2186</v>
      </c>
      <c r="BC230" s="514">
        <v>1326</v>
      </c>
      <c r="BD230" s="514">
        <v>7</v>
      </c>
      <c r="BE230" s="514">
        <v>1333</v>
      </c>
      <c r="BG230" s="229" t="s">
        <v>15</v>
      </c>
      <c r="BH230" s="230" t="s">
        <v>8500</v>
      </c>
      <c r="BI230" t="s">
        <v>141</v>
      </c>
      <c r="BJ230" t="s">
        <v>2159</v>
      </c>
    </row>
    <row r="231" spans="1:62">
      <c r="A231" s="229" t="s">
        <v>5661</v>
      </c>
      <c r="B231" s="230" t="s">
        <v>388</v>
      </c>
      <c r="C231" s="230" t="s">
        <v>6904</v>
      </c>
      <c r="D231" s="229" t="s">
        <v>832</v>
      </c>
      <c r="E231" s="229" t="s">
        <v>6905</v>
      </c>
      <c r="F231" s="229" t="s">
        <v>5625</v>
      </c>
      <c r="G231" s="229" t="s">
        <v>6906</v>
      </c>
      <c r="H231" s="229" t="s">
        <v>5625</v>
      </c>
      <c r="I231" s="229" t="s">
        <v>6904</v>
      </c>
      <c r="J231" s="231" t="s">
        <v>5710</v>
      </c>
      <c r="K231" s="231" t="s">
        <v>5710</v>
      </c>
      <c r="L231" s="220" t="str">
        <f t="shared" si="54"/>
        <v>9K#2DTR(B)</v>
      </c>
      <c r="M231" s="220" t="str">
        <f t="shared" si="55"/>
        <v>(B)</v>
      </c>
      <c r="N231" s="220" t="str">
        <f t="shared" si="56"/>
        <v>9K#2DTR</v>
      </c>
      <c r="O231" s="220" t="str">
        <f t="shared" si="57"/>
        <v>(B)</v>
      </c>
      <c r="P231" s="52" t="str">
        <f t="shared" si="58"/>
        <v>9K#2DTR(B)</v>
      </c>
      <c r="Q231" s="231" t="str">
        <f t="shared" si="66"/>
        <v>888</v>
      </c>
      <c r="R231" s="224">
        <f t="shared" si="60"/>
        <v>866.66666666666663</v>
      </c>
      <c r="S231" s="52">
        <f t="shared" si="61"/>
        <v>851</v>
      </c>
      <c r="T231" s="221">
        <f t="shared" ca="1" si="62"/>
        <v>17.53</v>
      </c>
      <c r="U231" s="221">
        <f t="shared" si="63"/>
        <v>231</v>
      </c>
      <c r="V231" s="220" t="str">
        <f t="array" ref="V231">INDEX(P:P,MAX(U$3:U231))</f>
        <v>9K#2DTR(B)</v>
      </c>
      <c r="W231" s="220">
        <f t="shared" ca="1" si="64"/>
        <v>30</v>
      </c>
      <c r="X231" s="220" t="str">
        <f t="shared" si="65"/>
        <v/>
      </c>
      <c r="Y231" s="220">
        <f t="shared" si="52"/>
        <v>0</v>
      </c>
      <c r="AA231" s="220" t="str">
        <f t="shared" si="53"/>
        <v>大霞</v>
      </c>
      <c r="AB231" s="220" t="s">
        <v>2161</v>
      </c>
      <c r="AC231" s="220" t="s">
        <v>2161</v>
      </c>
      <c r="BB231" s="514" t="s">
        <v>2187</v>
      </c>
      <c r="BC231" s="514">
        <v>2193</v>
      </c>
      <c r="BD231" s="514">
        <v>2</v>
      </c>
      <c r="BE231" s="514">
        <v>2195</v>
      </c>
      <c r="BG231" s="229" t="s">
        <v>8485</v>
      </c>
      <c r="BH231" s="230" t="s">
        <v>8465</v>
      </c>
      <c r="BI231" t="s">
        <v>2161</v>
      </c>
      <c r="BJ231" t="s">
        <v>2161</v>
      </c>
    </row>
    <row r="232" spans="1:62">
      <c r="A232" s="229" t="s">
        <v>5661</v>
      </c>
      <c r="B232" s="230" t="s">
        <v>6907</v>
      </c>
      <c r="C232" s="230" t="s">
        <v>6856</v>
      </c>
      <c r="D232" s="229" t="s">
        <v>5625</v>
      </c>
      <c r="E232" s="229" t="s">
        <v>6908</v>
      </c>
      <c r="F232" s="229" t="s">
        <v>5685</v>
      </c>
      <c r="G232" s="229" t="s">
        <v>6851</v>
      </c>
      <c r="H232" s="229" t="s">
        <v>5613</v>
      </c>
      <c r="I232" s="229" t="s">
        <v>1020</v>
      </c>
      <c r="J232" s="231" t="s">
        <v>6849</v>
      </c>
      <c r="K232" s="231" t="s">
        <v>5625</v>
      </c>
      <c r="L232" s="220" t="str">
        <f t="shared" si="54"/>
        <v>9K36</v>
      </c>
      <c r="M232" s="220" t="str">
        <f t="shared" si="55"/>
        <v/>
      </c>
      <c r="N232" s="220" t="str">
        <f t="shared" si="56"/>
        <v/>
      </c>
      <c r="O232" s="220" t="str">
        <f t="shared" si="57"/>
        <v/>
      </c>
      <c r="P232" s="52" t="str">
        <f t="shared" si="58"/>
        <v>9K36</v>
      </c>
      <c r="Q232" s="231" t="str">
        <f t="shared" si="66"/>
        <v>75</v>
      </c>
      <c r="R232" s="224">
        <f t="shared" si="60"/>
        <v>58.666666666666664</v>
      </c>
      <c r="S232" s="52">
        <f t="shared" si="61"/>
        <v>48</v>
      </c>
      <c r="T232" s="221">
        <f t="shared" ca="1" si="62"/>
        <v>1.48</v>
      </c>
      <c r="U232" s="221" t="str">
        <f t="shared" si="63"/>
        <v/>
      </c>
      <c r="V232" s="220" t="str">
        <f t="array" ref="V232">INDEX(P:P,MAX(U$3:U232))</f>
        <v>9K#2DTR(B)</v>
      </c>
      <c r="W232" s="220" t="str">
        <f t="shared" ca="1" si="64"/>
        <v/>
      </c>
      <c r="X232" s="220">
        <f t="shared" si="65"/>
        <v>11.4</v>
      </c>
      <c r="Y232" s="220">
        <f t="shared" si="52"/>
        <v>0</v>
      </c>
      <c r="AA232" s="220" t="str">
        <f t="shared" si="53"/>
        <v>大霞</v>
      </c>
      <c r="AB232" s="220" t="s">
        <v>155</v>
      </c>
      <c r="AC232" s="220" t="str">
        <f>LEFT(B232,4)</f>
        <v>9K36</v>
      </c>
      <c r="BB232" s="514" t="s">
        <v>2031</v>
      </c>
      <c r="BC232" s="514" t="s">
        <v>85</v>
      </c>
      <c r="BD232" s="514" t="s">
        <v>85</v>
      </c>
      <c r="BE232" s="514">
        <v>0</v>
      </c>
      <c r="BG232" s="229" t="s">
        <v>8489</v>
      </c>
      <c r="BH232" s="230" t="s">
        <v>434</v>
      </c>
      <c r="BI232" t="s">
        <v>155</v>
      </c>
      <c r="BJ232" t="s">
        <v>2161</v>
      </c>
    </row>
    <row r="233" spans="1:62">
      <c r="A233" s="229" t="s">
        <v>5661</v>
      </c>
      <c r="B233" s="230" t="s">
        <v>6909</v>
      </c>
      <c r="C233" s="230" t="s">
        <v>4667</v>
      </c>
      <c r="D233" s="229" t="s">
        <v>6847</v>
      </c>
      <c r="E233" s="229" t="s">
        <v>6910</v>
      </c>
      <c r="F233" s="229" t="s">
        <v>6847</v>
      </c>
      <c r="G233" s="229" t="s">
        <v>6911</v>
      </c>
      <c r="H233" s="229" t="s">
        <v>6875</v>
      </c>
      <c r="I233" s="229" t="s">
        <v>6910</v>
      </c>
      <c r="J233" s="231" t="s">
        <v>6878</v>
      </c>
      <c r="K233" s="231" t="s">
        <v>6912</v>
      </c>
      <c r="L233" s="220" t="str">
        <f t="shared" si="54"/>
        <v>9K37</v>
      </c>
      <c r="M233" s="220" t="str">
        <f t="shared" si="55"/>
        <v/>
      </c>
      <c r="N233" s="220" t="str">
        <f t="shared" si="56"/>
        <v/>
      </c>
      <c r="O233" s="220" t="str">
        <f t="shared" si="57"/>
        <v/>
      </c>
      <c r="P233" s="52" t="str">
        <f t="shared" si="58"/>
        <v>9K37</v>
      </c>
      <c r="Q233" s="231" t="str">
        <f t="shared" si="66"/>
        <v>323</v>
      </c>
      <c r="R233" s="224">
        <f t="shared" si="60"/>
        <v>288.33333333333331</v>
      </c>
      <c r="S233" s="52">
        <f t="shared" si="61"/>
        <v>261</v>
      </c>
      <c r="T233" s="221">
        <f t="shared" ca="1" si="62"/>
        <v>6.38</v>
      </c>
      <c r="U233" s="221" t="str">
        <f t="shared" si="63"/>
        <v/>
      </c>
      <c r="V233" s="220" t="str">
        <f t="array" ref="V233">INDEX(P:P,MAX(U$3:U233))</f>
        <v>9K#2DTR(B)</v>
      </c>
      <c r="W233" s="220" t="str">
        <f t="shared" ca="1" si="64"/>
        <v/>
      </c>
      <c r="X233" s="220">
        <f t="shared" si="65"/>
        <v>11.4</v>
      </c>
      <c r="Y233" s="220">
        <f t="shared" si="52"/>
        <v>0</v>
      </c>
      <c r="AA233" s="220" t="str">
        <f t="shared" si="53"/>
        <v>大霞</v>
      </c>
      <c r="AB233" s="220" t="s">
        <v>158</v>
      </c>
      <c r="AC233" s="220" t="str">
        <f>LEFT(B233,4)</f>
        <v>9K37</v>
      </c>
      <c r="BB233" s="514" t="s">
        <v>2188</v>
      </c>
      <c r="BC233" s="514">
        <v>360</v>
      </c>
      <c r="BD233" s="514">
        <v>1</v>
      </c>
      <c r="BE233" s="514">
        <v>361</v>
      </c>
      <c r="BG233" s="229" t="s">
        <v>8485</v>
      </c>
      <c r="BH233" s="230" t="s">
        <v>8501</v>
      </c>
      <c r="BI233" t="s">
        <v>158</v>
      </c>
      <c r="BJ233" t="s">
        <v>2161</v>
      </c>
    </row>
    <row r="234" spans="1:62">
      <c r="A234" s="229" t="s">
        <v>6913</v>
      </c>
      <c r="B234" s="230" t="s">
        <v>6914</v>
      </c>
      <c r="C234" s="230" t="s">
        <v>6915</v>
      </c>
      <c r="D234" s="229" t="s">
        <v>5625</v>
      </c>
      <c r="E234" s="229" t="s">
        <v>5639</v>
      </c>
      <c r="F234" s="229" t="s">
        <v>5625</v>
      </c>
      <c r="G234" s="229" t="s">
        <v>6916</v>
      </c>
      <c r="H234" s="229" t="s">
        <v>6847</v>
      </c>
      <c r="I234" s="229" t="s">
        <v>6915</v>
      </c>
      <c r="J234" s="231" t="s">
        <v>6883</v>
      </c>
      <c r="K234" s="231" t="s">
        <v>5869</v>
      </c>
      <c r="L234" s="220" t="str">
        <f t="shared" si="54"/>
        <v>9K38</v>
      </c>
      <c r="M234" s="220" t="str">
        <f t="shared" si="55"/>
        <v/>
      </c>
      <c r="N234" s="220" t="str">
        <f t="shared" si="56"/>
        <v/>
      </c>
      <c r="O234" s="220" t="str">
        <f t="shared" si="57"/>
        <v/>
      </c>
      <c r="P234" s="52" t="str">
        <f t="shared" si="58"/>
        <v>9K38</v>
      </c>
      <c r="Q234" s="231" t="str">
        <f t="shared" si="66"/>
        <v>138</v>
      </c>
      <c r="R234" s="224">
        <f t="shared" si="60"/>
        <v>126.33333333333333</v>
      </c>
      <c r="S234" s="52">
        <f t="shared" si="61"/>
        <v>113</v>
      </c>
      <c r="T234" s="221">
        <f t="shared" ca="1" si="62"/>
        <v>2.72</v>
      </c>
      <c r="U234" s="221" t="str">
        <f t="shared" si="63"/>
        <v/>
      </c>
      <c r="V234" s="220" t="str">
        <f t="array" ref="V234">INDEX(P:P,MAX(U$3:U234))</f>
        <v>9K#2DTR(B)</v>
      </c>
      <c r="W234" s="220" t="str">
        <f t="shared" ca="1" si="64"/>
        <v/>
      </c>
      <c r="X234" s="220">
        <f t="shared" si="65"/>
        <v>11.4</v>
      </c>
      <c r="Y234" s="220">
        <f t="shared" si="52"/>
        <v>0</v>
      </c>
      <c r="AA234" s="220" t="str">
        <f t="shared" si="53"/>
        <v>大霞</v>
      </c>
      <c r="AB234" s="220" t="s">
        <v>168</v>
      </c>
      <c r="AC234" s="220" t="str">
        <f>LEFT(B234,4)</f>
        <v>9K38</v>
      </c>
      <c r="BB234" s="514" t="s">
        <v>2190</v>
      </c>
      <c r="BC234" s="514">
        <v>951</v>
      </c>
      <c r="BD234" s="514">
        <v>11</v>
      </c>
      <c r="BE234" s="514">
        <v>962</v>
      </c>
      <c r="BG234" s="229" t="s">
        <v>8485</v>
      </c>
      <c r="BH234" s="230" t="s">
        <v>8502</v>
      </c>
      <c r="BI234" t="s">
        <v>168</v>
      </c>
      <c r="BJ234" t="s">
        <v>2161</v>
      </c>
    </row>
    <row r="235" spans="1:62">
      <c r="A235" s="229" t="s">
        <v>5661</v>
      </c>
      <c r="B235" s="230" t="s">
        <v>6917</v>
      </c>
      <c r="C235" s="230" t="s">
        <v>6918</v>
      </c>
      <c r="D235" s="229" t="s">
        <v>5855</v>
      </c>
      <c r="E235" s="229" t="s">
        <v>6919</v>
      </c>
      <c r="F235" s="229" t="s">
        <v>5613</v>
      </c>
      <c r="G235" s="229" t="s">
        <v>6920</v>
      </c>
      <c r="H235" s="229" t="s">
        <v>6847</v>
      </c>
      <c r="I235" s="229" t="s">
        <v>6920</v>
      </c>
      <c r="J235" s="231" t="s">
        <v>6837</v>
      </c>
      <c r="K235" s="231" t="s">
        <v>6847</v>
      </c>
      <c r="L235" s="220" t="str">
        <f t="shared" si="54"/>
        <v>9K39</v>
      </c>
      <c r="M235" s="220" t="str">
        <f t="shared" si="55"/>
        <v/>
      </c>
      <c r="N235" s="220" t="str">
        <f t="shared" si="56"/>
        <v/>
      </c>
      <c r="O235" s="220" t="str">
        <f t="shared" si="57"/>
        <v/>
      </c>
      <c r="P235" s="52" t="str">
        <f t="shared" si="58"/>
        <v>9K39</v>
      </c>
      <c r="Q235" s="231" t="str">
        <f t="shared" si="66"/>
        <v>135</v>
      </c>
      <c r="R235" s="224">
        <f t="shared" si="60"/>
        <v>119</v>
      </c>
      <c r="S235" s="52">
        <f t="shared" si="61"/>
        <v>104</v>
      </c>
      <c r="T235" s="221">
        <f t="shared" ca="1" si="62"/>
        <v>2.67</v>
      </c>
      <c r="U235" s="221" t="str">
        <f t="shared" si="63"/>
        <v/>
      </c>
      <c r="V235" s="220" t="str">
        <f t="array" ref="V235">INDEX(P:P,MAX(U$3:U235))</f>
        <v>9K#2DTR(B)</v>
      </c>
      <c r="W235" s="220" t="str">
        <f t="shared" ca="1" si="64"/>
        <v/>
      </c>
      <c r="X235" s="220">
        <f t="shared" si="65"/>
        <v>11.4</v>
      </c>
      <c r="Y235" s="220">
        <f t="shared" si="52"/>
        <v>0</v>
      </c>
      <c r="AA235" s="220" t="str">
        <f t="shared" si="53"/>
        <v>大霞</v>
      </c>
      <c r="AB235" s="220" t="s">
        <v>171</v>
      </c>
      <c r="AC235" s="220" t="str">
        <f>LEFT(B235,4)</f>
        <v>9K39</v>
      </c>
      <c r="BB235" s="514" t="s">
        <v>2191</v>
      </c>
      <c r="BC235" s="514">
        <v>1859</v>
      </c>
      <c r="BD235" s="514">
        <v>4</v>
      </c>
      <c r="BE235" s="514">
        <v>1863</v>
      </c>
      <c r="BG235" s="229" t="s">
        <v>8485</v>
      </c>
      <c r="BH235" s="230" t="s">
        <v>8503</v>
      </c>
      <c r="BI235" t="s">
        <v>171</v>
      </c>
      <c r="BJ235" t="s">
        <v>2161</v>
      </c>
    </row>
    <row r="236" spans="1:62">
      <c r="A236" s="229" t="s">
        <v>5661</v>
      </c>
      <c r="B236" s="230" t="s">
        <v>6921</v>
      </c>
      <c r="C236" s="230" t="s">
        <v>6922</v>
      </c>
      <c r="D236" s="229" t="s">
        <v>5625</v>
      </c>
      <c r="E236" s="229" t="s">
        <v>6923</v>
      </c>
      <c r="F236" s="229" t="s">
        <v>5625</v>
      </c>
      <c r="G236" s="229" t="s">
        <v>6924</v>
      </c>
      <c r="H236" s="229" t="s">
        <v>5625</v>
      </c>
      <c r="I236" s="229" t="s">
        <v>6922</v>
      </c>
      <c r="J236" s="231" t="s">
        <v>6837</v>
      </c>
      <c r="K236" s="231" t="s">
        <v>6925</v>
      </c>
      <c r="L236" s="220" t="str">
        <f t="shared" si="54"/>
        <v>9K40</v>
      </c>
      <c r="M236" s="220" t="str">
        <f t="shared" si="55"/>
        <v/>
      </c>
      <c r="N236" s="220" t="str">
        <f t="shared" si="56"/>
        <v/>
      </c>
      <c r="O236" s="220" t="str">
        <f t="shared" si="57"/>
        <v/>
      </c>
      <c r="P236" s="52" t="str">
        <f t="shared" si="58"/>
        <v>9K40</v>
      </c>
      <c r="Q236" s="231" t="str">
        <f t="shared" si="66"/>
        <v>363</v>
      </c>
      <c r="R236" s="224">
        <f t="shared" si="60"/>
        <v>348.33333333333331</v>
      </c>
      <c r="S236" s="52">
        <f t="shared" si="61"/>
        <v>331</v>
      </c>
      <c r="T236" s="221">
        <f t="shared" ca="1" si="62"/>
        <v>7.17</v>
      </c>
      <c r="U236" s="221" t="str">
        <f t="shared" si="63"/>
        <v/>
      </c>
      <c r="V236" s="220" t="str">
        <f t="array" ref="V236">INDEX(P:P,MAX(U$3:U236))</f>
        <v>9K#2DTR(B)</v>
      </c>
      <c r="W236" s="220" t="str">
        <f t="shared" ca="1" si="64"/>
        <v/>
      </c>
      <c r="X236" s="220">
        <f t="shared" si="65"/>
        <v>11.4</v>
      </c>
      <c r="Y236" s="220">
        <f t="shared" si="52"/>
        <v>0</v>
      </c>
      <c r="AA236" s="220" t="str">
        <f t="shared" si="53"/>
        <v>大霞</v>
      </c>
      <c r="AB236" s="220" t="s">
        <v>174</v>
      </c>
      <c r="AC236" s="220" t="str">
        <f>LEFT(B236,4)</f>
        <v>9K40</v>
      </c>
      <c r="BB236" s="514" t="s">
        <v>2192</v>
      </c>
      <c r="BC236" s="514">
        <v>1706</v>
      </c>
      <c r="BD236" s="514">
        <v>3</v>
      </c>
      <c r="BE236" s="514">
        <v>1709</v>
      </c>
      <c r="BG236" s="229" t="s">
        <v>8489</v>
      </c>
      <c r="BH236" s="230" t="s">
        <v>8504</v>
      </c>
      <c r="BI236" t="s">
        <v>174</v>
      </c>
      <c r="BJ236" t="s">
        <v>2161</v>
      </c>
    </row>
    <row r="237" spans="1:62">
      <c r="A237" s="229" t="s">
        <v>6926</v>
      </c>
      <c r="B237" s="230" t="s">
        <v>6830</v>
      </c>
      <c r="C237" s="230" t="s">
        <v>6927</v>
      </c>
      <c r="D237" s="229" t="s">
        <v>6875</v>
      </c>
      <c r="E237" s="229" t="s">
        <v>6928</v>
      </c>
      <c r="F237" s="229" t="s">
        <v>5722</v>
      </c>
      <c r="G237" s="229" t="s">
        <v>6929</v>
      </c>
      <c r="H237" s="229" t="s">
        <v>6875</v>
      </c>
      <c r="I237" s="229" t="s">
        <v>6927</v>
      </c>
      <c r="J237" s="231" t="s">
        <v>5710</v>
      </c>
      <c r="K237" s="231" t="s">
        <v>5585</v>
      </c>
      <c r="L237" s="220" t="str">
        <f t="shared" si="54"/>
        <v>9L#1DTR(A)</v>
      </c>
      <c r="M237" s="220" t="str">
        <f t="shared" si="55"/>
        <v>(A)</v>
      </c>
      <c r="N237" s="220" t="str">
        <f t="shared" si="56"/>
        <v>9L#1DTR</v>
      </c>
      <c r="O237" s="220" t="str">
        <f t="shared" si="57"/>
        <v>(A)</v>
      </c>
      <c r="P237" s="52" t="str">
        <f t="shared" si="58"/>
        <v>9L#1DTR(A)</v>
      </c>
      <c r="Q237" s="231" t="str">
        <f t="shared" si="66"/>
        <v>401</v>
      </c>
      <c r="R237" s="224">
        <f t="shared" si="60"/>
        <v>358</v>
      </c>
      <c r="S237" s="52">
        <f t="shared" si="61"/>
        <v>329</v>
      </c>
      <c r="T237" s="221">
        <f t="shared" ca="1" si="62"/>
        <v>7.92</v>
      </c>
      <c r="U237" s="221">
        <f t="shared" si="63"/>
        <v>237</v>
      </c>
      <c r="V237" s="220" t="str">
        <f t="array" ref="V237">INDEX(P:P,MAX(U$3:U237))</f>
        <v>9L#1DTR(A)</v>
      </c>
      <c r="W237" s="220">
        <f t="shared" ca="1" si="64"/>
        <v>30</v>
      </c>
      <c r="X237" s="220" t="str">
        <f t="shared" si="65"/>
        <v/>
      </c>
      <c r="Y237" s="220">
        <f t="shared" si="52"/>
        <v>0</v>
      </c>
      <c r="AA237" s="220" t="str">
        <f t="shared" si="53"/>
        <v>大城</v>
      </c>
      <c r="AB237" s="220" t="s">
        <v>2162</v>
      </c>
      <c r="AC237" s="220" t="s">
        <v>2162</v>
      </c>
      <c r="BB237" s="514" t="s">
        <v>2193</v>
      </c>
      <c r="BC237" s="514">
        <v>1126</v>
      </c>
      <c r="BD237" s="514" t="s">
        <v>85</v>
      </c>
      <c r="BE237" s="514">
        <v>1126</v>
      </c>
      <c r="BG237" s="229" t="s">
        <v>8505</v>
      </c>
      <c r="BH237" s="230" t="s">
        <v>8398</v>
      </c>
      <c r="BI237" t="s">
        <v>2162</v>
      </c>
      <c r="BJ237" t="s">
        <v>2162</v>
      </c>
    </row>
    <row r="238" spans="1:62">
      <c r="A238" s="229" t="s">
        <v>6926</v>
      </c>
      <c r="B238" s="230" t="s">
        <v>6930</v>
      </c>
      <c r="C238" s="230" t="s">
        <v>6835</v>
      </c>
      <c r="D238" s="229" t="s">
        <v>5902</v>
      </c>
      <c r="E238" s="229" t="s">
        <v>6931</v>
      </c>
      <c r="F238" s="229" t="s">
        <v>5653</v>
      </c>
      <c r="G238" s="229" t="s">
        <v>6932</v>
      </c>
      <c r="H238" s="229" t="s">
        <v>5653</v>
      </c>
      <c r="I238" s="229" t="s">
        <v>6932</v>
      </c>
      <c r="J238" s="231" t="s">
        <v>6856</v>
      </c>
      <c r="K238" s="231" t="s">
        <v>5625</v>
      </c>
      <c r="L238" s="220" t="str">
        <f t="shared" si="54"/>
        <v>9L21</v>
      </c>
      <c r="M238" s="220" t="str">
        <f t="shared" si="55"/>
        <v/>
      </c>
      <c r="N238" s="220" t="str">
        <f t="shared" si="56"/>
        <v/>
      </c>
      <c r="O238" s="220" t="str">
        <f t="shared" si="57"/>
        <v/>
      </c>
      <c r="P238" s="52" t="str">
        <f t="shared" si="58"/>
        <v>9L21</v>
      </c>
      <c r="Q238" s="231" t="str">
        <f t="shared" si="66"/>
        <v>89</v>
      </c>
      <c r="R238" s="224">
        <f t="shared" si="60"/>
        <v>76.666666666666671</v>
      </c>
      <c r="S238" s="52">
        <f t="shared" si="61"/>
        <v>64</v>
      </c>
      <c r="T238" s="221">
        <f t="shared" ca="1" si="62"/>
        <v>1.76</v>
      </c>
      <c r="U238" s="221" t="str">
        <f t="shared" si="63"/>
        <v/>
      </c>
      <c r="V238" s="220" t="str">
        <f t="array" ref="V238">INDEX(P:P,MAX(U$3:U238))</f>
        <v>9L#1DTR(A)</v>
      </c>
      <c r="W238" s="220" t="str">
        <f t="shared" ca="1" si="64"/>
        <v/>
      </c>
      <c r="X238" s="220">
        <f t="shared" si="65"/>
        <v>11.4</v>
      </c>
      <c r="Y238" s="220">
        <f t="shared" si="52"/>
        <v>0</v>
      </c>
      <c r="AA238" s="220" t="str">
        <f t="shared" si="53"/>
        <v>大城</v>
      </c>
      <c r="AB238" s="220" t="s">
        <v>1932</v>
      </c>
      <c r="AC238" s="220" t="str">
        <f>LEFT(B238,4)</f>
        <v>9L21</v>
      </c>
      <c r="BB238" s="514" t="s">
        <v>2035</v>
      </c>
      <c r="BC238" s="514">
        <v>2650</v>
      </c>
      <c r="BD238" s="514">
        <v>4</v>
      </c>
      <c r="BE238" s="514">
        <v>2654</v>
      </c>
      <c r="BG238" s="229" t="s">
        <v>8506</v>
      </c>
      <c r="BH238" s="230" t="s">
        <v>8507</v>
      </c>
      <c r="BI238" t="s">
        <v>1932</v>
      </c>
      <c r="BJ238" t="s">
        <v>2162</v>
      </c>
    </row>
    <row r="239" spans="1:62">
      <c r="A239" s="229" t="s">
        <v>6926</v>
      </c>
      <c r="B239" s="230" t="s">
        <v>6933</v>
      </c>
      <c r="C239" s="230" t="s">
        <v>6837</v>
      </c>
      <c r="D239" s="229" t="s">
        <v>5895</v>
      </c>
      <c r="E239" s="229" t="s">
        <v>6934</v>
      </c>
      <c r="F239" s="229" t="s">
        <v>5895</v>
      </c>
      <c r="G239" s="229" t="s">
        <v>6935</v>
      </c>
      <c r="H239" s="229" t="s">
        <v>6875</v>
      </c>
      <c r="I239" s="229" t="s">
        <v>6837</v>
      </c>
      <c r="J239" s="231" t="s">
        <v>6936</v>
      </c>
      <c r="K239" s="231" t="s">
        <v>5902</v>
      </c>
      <c r="L239" s="220" t="str">
        <f t="shared" si="54"/>
        <v>9L22</v>
      </c>
      <c r="M239" s="220" t="str">
        <f t="shared" si="55"/>
        <v/>
      </c>
      <c r="N239" s="220" t="str">
        <f t="shared" si="56"/>
        <v/>
      </c>
      <c r="O239" s="220" t="str">
        <f t="shared" si="57"/>
        <v/>
      </c>
      <c r="P239" s="52" t="str">
        <f t="shared" si="58"/>
        <v>9L22</v>
      </c>
      <c r="Q239" s="231" t="str">
        <f t="shared" si="66"/>
        <v>49</v>
      </c>
      <c r="R239" s="224">
        <f t="shared" si="60"/>
        <v>44.333333333333336</v>
      </c>
      <c r="S239" s="52">
        <f t="shared" si="61"/>
        <v>41</v>
      </c>
      <c r="T239" s="221">
        <f t="shared" ca="1" si="62"/>
        <v>0.97</v>
      </c>
      <c r="U239" s="221" t="str">
        <f t="shared" si="63"/>
        <v/>
      </c>
      <c r="V239" s="220" t="str">
        <f t="array" ref="V239">INDEX(P:P,MAX(U$3:U239))</f>
        <v>9L#1DTR(A)</v>
      </c>
      <c r="W239" s="220" t="str">
        <f t="shared" ca="1" si="64"/>
        <v/>
      </c>
      <c r="X239" s="220">
        <f t="shared" si="65"/>
        <v>11.4</v>
      </c>
      <c r="Y239" s="220">
        <f t="shared" si="52"/>
        <v>0</v>
      </c>
      <c r="AA239" s="220" t="str">
        <f t="shared" si="53"/>
        <v>大城</v>
      </c>
      <c r="AB239" s="220" t="s">
        <v>1934</v>
      </c>
      <c r="AC239" s="220" t="str">
        <f>LEFT(B239,4)</f>
        <v>9L22</v>
      </c>
      <c r="BB239" s="514" t="s">
        <v>2195</v>
      </c>
      <c r="BC239" s="514">
        <v>1860</v>
      </c>
      <c r="BD239" s="514">
        <v>1</v>
      </c>
      <c r="BE239" s="514">
        <v>1861</v>
      </c>
      <c r="BG239" s="229" t="s">
        <v>8506</v>
      </c>
      <c r="BH239" s="230" t="s">
        <v>435</v>
      </c>
      <c r="BI239" t="s">
        <v>1934</v>
      </c>
      <c r="BJ239" t="s">
        <v>2162</v>
      </c>
    </row>
    <row r="240" spans="1:62">
      <c r="A240" s="229" t="s">
        <v>6926</v>
      </c>
      <c r="B240" s="230" t="s">
        <v>6937</v>
      </c>
      <c r="C240" s="230" t="s">
        <v>6938</v>
      </c>
      <c r="D240" s="229" t="s">
        <v>6847</v>
      </c>
      <c r="E240" s="229" t="s">
        <v>6939</v>
      </c>
      <c r="F240" s="229" t="s">
        <v>5902</v>
      </c>
      <c r="G240" s="229" t="s">
        <v>6940</v>
      </c>
      <c r="H240" s="229" t="s">
        <v>5722</v>
      </c>
      <c r="I240" s="229" t="s">
        <v>6938</v>
      </c>
      <c r="J240" s="231" t="s">
        <v>6941</v>
      </c>
      <c r="K240" s="231" t="s">
        <v>5599</v>
      </c>
      <c r="L240" s="220" t="str">
        <f t="shared" si="54"/>
        <v>9L23</v>
      </c>
      <c r="M240" s="220" t="str">
        <f t="shared" si="55"/>
        <v/>
      </c>
      <c r="N240" s="220" t="str">
        <f t="shared" si="56"/>
        <v/>
      </c>
      <c r="O240" s="220" t="str">
        <f t="shared" si="57"/>
        <v/>
      </c>
      <c r="P240" s="52" t="str">
        <f t="shared" si="58"/>
        <v>9L23</v>
      </c>
      <c r="Q240" s="231" t="str">
        <f t="shared" si="66"/>
        <v>101</v>
      </c>
      <c r="R240" s="224">
        <f t="shared" si="60"/>
        <v>93.666666666666671</v>
      </c>
      <c r="S240" s="52">
        <f t="shared" si="61"/>
        <v>85</v>
      </c>
      <c r="T240" s="221">
        <f t="shared" ca="1" si="62"/>
        <v>1.99</v>
      </c>
      <c r="U240" s="221" t="str">
        <f t="shared" si="63"/>
        <v/>
      </c>
      <c r="V240" s="220" t="str">
        <f t="array" ref="V240">INDEX(P:P,MAX(U$3:U240))</f>
        <v>9L#1DTR(A)</v>
      </c>
      <c r="W240" s="220" t="str">
        <f t="shared" ca="1" si="64"/>
        <v/>
      </c>
      <c r="X240" s="220">
        <f t="shared" si="65"/>
        <v>11.4</v>
      </c>
      <c r="Y240" s="220">
        <f t="shared" si="52"/>
        <v>0</v>
      </c>
      <c r="AA240" s="220" t="str">
        <f t="shared" si="53"/>
        <v>大城</v>
      </c>
      <c r="AB240" s="220" t="s">
        <v>1935</v>
      </c>
      <c r="AC240" s="220" t="str">
        <f>LEFT(B240,4)</f>
        <v>9L23</v>
      </c>
      <c r="BB240" s="514" t="s">
        <v>2196</v>
      </c>
      <c r="BC240" s="514">
        <v>361</v>
      </c>
      <c r="BD240" s="514">
        <v>4</v>
      </c>
      <c r="BE240" s="514">
        <v>365</v>
      </c>
      <c r="BG240" s="229" t="s">
        <v>8506</v>
      </c>
      <c r="BH240" s="230" t="s">
        <v>436</v>
      </c>
      <c r="BI240" t="s">
        <v>1935</v>
      </c>
      <c r="BJ240" t="s">
        <v>2162</v>
      </c>
    </row>
    <row r="241" spans="1:62">
      <c r="A241" s="229" t="s">
        <v>6926</v>
      </c>
      <c r="B241" s="230" t="s">
        <v>6942</v>
      </c>
      <c r="C241" s="230" t="s">
        <v>6868</v>
      </c>
      <c r="D241" s="229" t="s">
        <v>6875</v>
      </c>
      <c r="E241" s="229" t="s">
        <v>6890</v>
      </c>
      <c r="F241" s="229" t="s">
        <v>6875</v>
      </c>
      <c r="G241" s="229" t="s">
        <v>6869</v>
      </c>
      <c r="H241" s="229" t="s">
        <v>6875</v>
      </c>
      <c r="I241" s="229" t="s">
        <v>6868</v>
      </c>
      <c r="J241" s="231" t="s">
        <v>6836</v>
      </c>
      <c r="K241" s="231" t="s">
        <v>5722</v>
      </c>
      <c r="L241" s="220" t="str">
        <f t="shared" si="54"/>
        <v>9L24</v>
      </c>
      <c r="M241" s="220" t="str">
        <f t="shared" si="55"/>
        <v/>
      </c>
      <c r="N241" s="220" t="str">
        <f t="shared" si="56"/>
        <v/>
      </c>
      <c r="O241" s="220" t="str">
        <f t="shared" si="57"/>
        <v/>
      </c>
      <c r="P241" s="52" t="str">
        <f t="shared" si="58"/>
        <v>9L24</v>
      </c>
      <c r="Q241" s="231" t="str">
        <f t="shared" si="66"/>
        <v>180</v>
      </c>
      <c r="R241" s="224">
        <f t="shared" si="60"/>
        <v>160.66666666666666</v>
      </c>
      <c r="S241" s="52">
        <f t="shared" si="61"/>
        <v>145</v>
      </c>
      <c r="T241" s="221">
        <f t="shared" ca="1" si="62"/>
        <v>3.55</v>
      </c>
      <c r="U241" s="221" t="str">
        <f t="shared" si="63"/>
        <v/>
      </c>
      <c r="V241" s="220" t="str">
        <f t="array" ref="V241">INDEX(P:P,MAX(U$3:U241))</f>
        <v>9L#1DTR(A)</v>
      </c>
      <c r="W241" s="220" t="str">
        <f t="shared" ca="1" si="64"/>
        <v/>
      </c>
      <c r="X241" s="220">
        <f t="shared" si="65"/>
        <v>11.4</v>
      </c>
      <c r="Y241" s="220">
        <f t="shared" si="52"/>
        <v>0</v>
      </c>
      <c r="AA241" s="220" t="str">
        <f t="shared" si="53"/>
        <v>大城</v>
      </c>
      <c r="AB241" s="220" t="s">
        <v>1936</v>
      </c>
      <c r="AC241" s="220" t="str">
        <f>LEFT(B241,4)</f>
        <v>9L24</v>
      </c>
      <c r="BB241" s="514" t="s">
        <v>2197</v>
      </c>
      <c r="BC241" s="514">
        <v>837</v>
      </c>
      <c r="BD241" s="514">
        <v>1</v>
      </c>
      <c r="BE241" s="514">
        <v>838</v>
      </c>
      <c r="BG241" s="229" t="s">
        <v>8506</v>
      </c>
      <c r="BH241" s="230" t="s">
        <v>8508</v>
      </c>
      <c r="BI241" t="s">
        <v>1936</v>
      </c>
      <c r="BJ241" t="s">
        <v>2162</v>
      </c>
    </row>
    <row r="242" spans="1:62">
      <c r="A242" s="229" t="s">
        <v>6926</v>
      </c>
      <c r="B242" s="230" t="s">
        <v>6943</v>
      </c>
      <c r="C242" s="230" t="s">
        <v>6878</v>
      </c>
      <c r="D242" s="229" t="s">
        <v>5902</v>
      </c>
      <c r="E242" s="229" t="s">
        <v>6944</v>
      </c>
      <c r="F242" s="229" t="s">
        <v>5902</v>
      </c>
      <c r="G242" s="229" t="s">
        <v>6945</v>
      </c>
      <c r="H242" s="229" t="s">
        <v>5902</v>
      </c>
      <c r="I242" s="229" t="s">
        <v>6944</v>
      </c>
      <c r="J242" s="231" t="s">
        <v>6935</v>
      </c>
      <c r="K242" s="231" t="s">
        <v>5895</v>
      </c>
      <c r="L242" s="220" t="str">
        <f t="shared" si="54"/>
        <v>9L25</v>
      </c>
      <c r="M242" s="220" t="str">
        <f t="shared" si="55"/>
        <v/>
      </c>
      <c r="N242" s="220" t="str">
        <f t="shared" si="56"/>
        <v/>
      </c>
      <c r="O242" s="220" t="str">
        <f t="shared" si="57"/>
        <v/>
      </c>
      <c r="P242" s="52" t="str">
        <f t="shared" si="58"/>
        <v>9L25</v>
      </c>
      <c r="Q242" s="231" t="str">
        <f t="shared" si="66"/>
        <v>91</v>
      </c>
      <c r="R242" s="224">
        <f t="shared" si="60"/>
        <v>78.333333333333329</v>
      </c>
      <c r="S242" s="52">
        <f t="shared" si="61"/>
        <v>70</v>
      </c>
      <c r="T242" s="221">
        <f t="shared" ca="1" si="62"/>
        <v>1.8</v>
      </c>
      <c r="U242" s="221" t="str">
        <f t="shared" si="63"/>
        <v/>
      </c>
      <c r="V242" s="220" t="str">
        <f t="array" ref="V242">INDEX(P:P,MAX(U$3:U242))</f>
        <v>9L#1DTR(A)</v>
      </c>
      <c r="W242" s="220" t="str">
        <f t="shared" ca="1" si="64"/>
        <v/>
      </c>
      <c r="X242" s="220">
        <f t="shared" si="65"/>
        <v>11.4</v>
      </c>
      <c r="Y242" s="220">
        <f t="shared" si="52"/>
        <v>0</v>
      </c>
      <c r="AA242" s="220" t="str">
        <f t="shared" si="53"/>
        <v>大城</v>
      </c>
      <c r="AB242" s="220" t="s">
        <v>1937</v>
      </c>
      <c r="AC242" s="220" t="str">
        <f>LEFT(B242,4)</f>
        <v>9L25</v>
      </c>
      <c r="BB242" s="514" t="s">
        <v>2198</v>
      </c>
      <c r="BC242" s="514">
        <v>206</v>
      </c>
      <c r="BD242" s="514">
        <v>3</v>
      </c>
      <c r="BE242" s="514">
        <v>209</v>
      </c>
      <c r="BG242" s="229" t="s">
        <v>20</v>
      </c>
      <c r="BH242" s="230" t="s">
        <v>8509</v>
      </c>
      <c r="BI242" t="s">
        <v>1937</v>
      </c>
      <c r="BJ242" t="s">
        <v>2162</v>
      </c>
    </row>
    <row r="243" spans="1:62">
      <c r="A243" s="229" t="s">
        <v>6926</v>
      </c>
      <c r="B243" s="230" t="s">
        <v>6857</v>
      </c>
      <c r="C243" s="230" t="s">
        <v>6946</v>
      </c>
      <c r="D243" s="229" t="s">
        <v>5902</v>
      </c>
      <c r="E243" s="229" t="s">
        <v>6947</v>
      </c>
      <c r="F243" s="229" t="s">
        <v>5902</v>
      </c>
      <c r="G243" s="229" t="s">
        <v>6948</v>
      </c>
      <c r="H243" s="229" t="s">
        <v>5902</v>
      </c>
      <c r="I243" s="229" t="s">
        <v>6946</v>
      </c>
      <c r="J243" s="231" t="s">
        <v>5710</v>
      </c>
      <c r="K243" s="231" t="s">
        <v>5710</v>
      </c>
      <c r="L243" s="220" t="str">
        <f t="shared" si="54"/>
        <v>9L#1DTR(B)</v>
      </c>
      <c r="M243" s="220" t="str">
        <f t="shared" si="55"/>
        <v>(B)</v>
      </c>
      <c r="N243" s="220" t="str">
        <f t="shared" si="56"/>
        <v>9L#1DTR</v>
      </c>
      <c r="O243" s="220" t="str">
        <f t="shared" si="57"/>
        <v>(B)</v>
      </c>
      <c r="P243" s="52" t="str">
        <f t="shared" si="58"/>
        <v>9L#1DTR(B)</v>
      </c>
      <c r="Q243" s="231" t="str">
        <f t="shared" si="66"/>
        <v>456</v>
      </c>
      <c r="R243" s="224">
        <f t="shared" si="60"/>
        <v>438.66666666666669</v>
      </c>
      <c r="S243" s="52">
        <f t="shared" si="61"/>
        <v>411</v>
      </c>
      <c r="T243" s="221">
        <f t="shared" ca="1" si="62"/>
        <v>9</v>
      </c>
      <c r="U243" s="221">
        <f t="shared" si="63"/>
        <v>243</v>
      </c>
      <c r="V243" s="220" t="str">
        <f t="array" ref="V243">INDEX(P:P,MAX(U$3:U243))</f>
        <v>9L#1DTR(B)</v>
      </c>
      <c r="W243" s="220">
        <f t="shared" ca="1" si="64"/>
        <v>30</v>
      </c>
      <c r="X243" s="220" t="str">
        <f t="shared" si="65"/>
        <v/>
      </c>
      <c r="Y243" s="220">
        <f t="shared" si="52"/>
        <v>0</v>
      </c>
      <c r="AA243" s="220" t="str">
        <f t="shared" si="53"/>
        <v>大城</v>
      </c>
      <c r="AB243" s="220" t="s">
        <v>2163</v>
      </c>
      <c r="AC243" s="220" t="s">
        <v>2163</v>
      </c>
      <c r="BB243" s="514" t="s">
        <v>2218</v>
      </c>
      <c r="BC243" s="514">
        <v>2274</v>
      </c>
      <c r="BD243" s="514">
        <v>6</v>
      </c>
      <c r="BE243" s="514">
        <v>2280</v>
      </c>
      <c r="BG243" s="229" t="s">
        <v>8506</v>
      </c>
      <c r="BH243" s="230" t="s">
        <v>8405</v>
      </c>
      <c r="BI243" t="s">
        <v>2163</v>
      </c>
      <c r="BJ243" t="s">
        <v>2163</v>
      </c>
    </row>
    <row r="244" spans="1:62">
      <c r="A244" s="229" t="s">
        <v>6926</v>
      </c>
      <c r="B244" s="230" t="s">
        <v>6949</v>
      </c>
      <c r="C244" s="230" t="s">
        <v>5615</v>
      </c>
      <c r="D244" s="229" t="s">
        <v>5599</v>
      </c>
      <c r="E244" s="229" t="s">
        <v>5615</v>
      </c>
      <c r="F244" s="229" t="s">
        <v>5599</v>
      </c>
      <c r="G244" s="229" t="s">
        <v>5699</v>
      </c>
      <c r="H244" s="229" t="s">
        <v>5628</v>
      </c>
      <c r="I244" s="229" t="s">
        <v>5699</v>
      </c>
      <c r="J244" s="231" t="s">
        <v>5615</v>
      </c>
      <c r="K244" s="231" t="s">
        <v>5628</v>
      </c>
      <c r="L244" s="220" t="str">
        <f t="shared" si="54"/>
        <v>9L26</v>
      </c>
      <c r="M244" s="220" t="str">
        <f t="shared" si="55"/>
        <v/>
      </c>
      <c r="N244" s="220" t="str">
        <f t="shared" si="56"/>
        <v/>
      </c>
      <c r="O244" s="220" t="str">
        <f t="shared" si="57"/>
        <v/>
      </c>
      <c r="P244" s="52" t="str">
        <f t="shared" si="58"/>
        <v>9L26</v>
      </c>
      <c r="Q244" s="231" t="str">
        <f t="shared" si="66"/>
        <v>0</v>
      </c>
      <c r="R244" s="224">
        <f t="shared" si="60"/>
        <v>0</v>
      </c>
      <c r="S244" s="52">
        <f t="shared" si="61"/>
        <v>0</v>
      </c>
      <c r="T244" s="221">
        <f t="shared" ca="1" si="62"/>
        <v>0</v>
      </c>
      <c r="U244" s="221" t="str">
        <f t="shared" si="63"/>
        <v/>
      </c>
      <c r="V244" s="220" t="str">
        <f t="array" ref="V244">INDEX(P:P,MAX(U$3:U244))</f>
        <v>9L#1DTR(B)</v>
      </c>
      <c r="W244" s="220" t="str">
        <f t="shared" ca="1" si="64"/>
        <v/>
      </c>
      <c r="X244" s="220">
        <f t="shared" si="65"/>
        <v>11.4</v>
      </c>
      <c r="Y244" s="220">
        <f t="shared" si="52"/>
        <v>0</v>
      </c>
      <c r="AA244" s="220" t="str">
        <f t="shared" si="53"/>
        <v>大城</v>
      </c>
      <c r="AB244" s="220" t="s">
        <v>1938</v>
      </c>
      <c r="AC244" s="220" t="str">
        <f>LEFT(B244,4)</f>
        <v>9L26</v>
      </c>
      <c r="BB244" s="514" t="s">
        <v>1872</v>
      </c>
      <c r="BC244" s="514">
        <v>692</v>
      </c>
      <c r="BD244" s="514">
        <v>2</v>
      </c>
      <c r="BE244" s="514">
        <v>694</v>
      </c>
      <c r="BG244" s="229" t="s">
        <v>20</v>
      </c>
      <c r="BH244" s="230" t="s">
        <v>8510</v>
      </c>
      <c r="BI244" t="s">
        <v>1938</v>
      </c>
      <c r="BJ244" t="s">
        <v>2163</v>
      </c>
    </row>
    <row r="245" spans="1:62">
      <c r="A245" s="229" t="s">
        <v>6926</v>
      </c>
      <c r="B245" s="230" t="s">
        <v>6950</v>
      </c>
      <c r="C245" s="230" t="s">
        <v>5857</v>
      </c>
      <c r="D245" s="229" t="s">
        <v>5625</v>
      </c>
      <c r="E245" s="229" t="s">
        <v>6951</v>
      </c>
      <c r="F245" s="229" t="s">
        <v>6875</v>
      </c>
      <c r="G245" s="229" t="s">
        <v>6866</v>
      </c>
      <c r="H245" s="229" t="s">
        <v>6875</v>
      </c>
      <c r="I245" s="229" t="s">
        <v>6866</v>
      </c>
      <c r="J245" s="231" t="s">
        <v>6952</v>
      </c>
      <c r="K245" s="231" t="s">
        <v>6847</v>
      </c>
      <c r="L245" s="220" t="str">
        <f t="shared" si="54"/>
        <v>9L27</v>
      </c>
      <c r="M245" s="220" t="str">
        <f t="shared" si="55"/>
        <v/>
      </c>
      <c r="N245" s="220" t="str">
        <f t="shared" si="56"/>
        <v/>
      </c>
      <c r="O245" s="220" t="str">
        <f t="shared" si="57"/>
        <v/>
      </c>
      <c r="P245" s="52" t="str">
        <f t="shared" si="58"/>
        <v>9L27</v>
      </c>
      <c r="Q245" s="231" t="str">
        <f t="shared" si="66"/>
        <v>42</v>
      </c>
      <c r="R245" s="224">
        <f t="shared" si="60"/>
        <v>34.666666666666664</v>
      </c>
      <c r="S245" s="52">
        <f t="shared" si="61"/>
        <v>26</v>
      </c>
      <c r="T245" s="221">
        <f t="shared" ca="1" si="62"/>
        <v>0.83</v>
      </c>
      <c r="U245" s="221" t="str">
        <f t="shared" si="63"/>
        <v/>
      </c>
      <c r="V245" s="220" t="str">
        <f t="array" ref="V245">INDEX(P:P,MAX(U$3:U245))</f>
        <v>9L#1DTR(B)</v>
      </c>
      <c r="W245" s="220" t="str">
        <f t="shared" ca="1" si="64"/>
        <v/>
      </c>
      <c r="X245" s="220">
        <f t="shared" si="65"/>
        <v>11.4</v>
      </c>
      <c r="Y245" s="220">
        <f t="shared" si="52"/>
        <v>0</v>
      </c>
      <c r="AA245" s="220" t="str">
        <f t="shared" si="53"/>
        <v>大城</v>
      </c>
      <c r="AB245" s="220" t="s">
        <v>1939</v>
      </c>
      <c r="AC245" s="220" t="str">
        <f>LEFT(B245,4)</f>
        <v>9L27</v>
      </c>
      <c r="BB245" s="514" t="s">
        <v>2213</v>
      </c>
      <c r="BC245" s="514">
        <v>1095</v>
      </c>
      <c r="BD245" s="514">
        <v>4</v>
      </c>
      <c r="BE245" s="514">
        <v>1099</v>
      </c>
      <c r="BG245" s="229" t="s">
        <v>8505</v>
      </c>
      <c r="BH245" s="230" t="s">
        <v>8511</v>
      </c>
      <c r="BI245" t="s">
        <v>1939</v>
      </c>
      <c r="BJ245" t="s">
        <v>2163</v>
      </c>
    </row>
    <row r="246" spans="1:62">
      <c r="A246" s="229" t="s">
        <v>6926</v>
      </c>
      <c r="B246" s="230" t="s">
        <v>6953</v>
      </c>
      <c r="C246" s="230" t="s">
        <v>6954</v>
      </c>
      <c r="D246" s="229" t="s">
        <v>6955</v>
      </c>
      <c r="E246" s="229" t="s">
        <v>6957</v>
      </c>
      <c r="F246" s="229" t="s">
        <v>5902</v>
      </c>
      <c r="G246" s="229" t="s">
        <v>6958</v>
      </c>
      <c r="H246" s="229" t="s">
        <v>5902</v>
      </c>
      <c r="I246" s="229" t="s">
        <v>6959</v>
      </c>
      <c r="J246" s="231" t="s">
        <v>6945</v>
      </c>
      <c r="K246" s="231" t="s">
        <v>5859</v>
      </c>
      <c r="L246" s="220" t="str">
        <f t="shared" si="54"/>
        <v>9L28</v>
      </c>
      <c r="M246" s="220" t="str">
        <f t="shared" si="55"/>
        <v/>
      </c>
      <c r="N246" s="220" t="str">
        <f t="shared" si="56"/>
        <v/>
      </c>
      <c r="O246" s="220" t="str">
        <f t="shared" si="57"/>
        <v/>
      </c>
      <c r="P246" s="52" t="str">
        <f t="shared" si="58"/>
        <v>9L28</v>
      </c>
      <c r="Q246" s="231" t="str">
        <f t="shared" si="66"/>
        <v>188</v>
      </c>
      <c r="R246" s="224">
        <f t="shared" si="60"/>
        <v>169.33333333333334</v>
      </c>
      <c r="S246" s="52">
        <f t="shared" si="61"/>
        <v>154</v>
      </c>
      <c r="T246" s="221">
        <f t="shared" ca="1" si="62"/>
        <v>3.71</v>
      </c>
      <c r="U246" s="221" t="str">
        <f t="shared" si="63"/>
        <v/>
      </c>
      <c r="V246" s="220" t="str">
        <f t="array" ref="V246">INDEX(P:P,MAX(U$3:U246))</f>
        <v>9L#1DTR(B)</v>
      </c>
      <c r="W246" s="220" t="str">
        <f t="shared" ca="1" si="64"/>
        <v/>
      </c>
      <c r="X246" s="220">
        <f t="shared" si="65"/>
        <v>11.4</v>
      </c>
      <c r="Y246" s="220">
        <f t="shared" si="52"/>
        <v>0</v>
      </c>
      <c r="AA246" s="220" t="str">
        <f t="shared" si="53"/>
        <v>大城</v>
      </c>
      <c r="AB246" s="220" t="s">
        <v>1940</v>
      </c>
      <c r="AC246" s="220" t="str">
        <f>LEFT(B246,4)</f>
        <v>9L28</v>
      </c>
      <c r="BB246" s="514" t="s">
        <v>2211</v>
      </c>
      <c r="BC246" s="514">
        <v>3315</v>
      </c>
      <c r="BD246" s="514">
        <v>1</v>
      </c>
      <c r="BE246" s="514">
        <v>3316</v>
      </c>
      <c r="BG246" s="229" t="s">
        <v>8505</v>
      </c>
      <c r="BH246" s="230" t="s">
        <v>8512</v>
      </c>
      <c r="BI246" t="s">
        <v>1940</v>
      </c>
      <c r="BJ246" t="s">
        <v>2163</v>
      </c>
    </row>
    <row r="247" spans="1:62">
      <c r="A247" s="229" t="s">
        <v>6926</v>
      </c>
      <c r="B247" s="230" t="s">
        <v>6960</v>
      </c>
      <c r="C247" s="230" t="s">
        <v>6845</v>
      </c>
      <c r="D247" s="229" t="s">
        <v>5902</v>
      </c>
      <c r="E247" s="229" t="s">
        <v>1030</v>
      </c>
      <c r="F247" s="229" t="s">
        <v>839</v>
      </c>
      <c r="G247" s="229" t="s">
        <v>1047</v>
      </c>
      <c r="H247" s="229" t="s">
        <v>5902</v>
      </c>
      <c r="I247" s="229" t="s">
        <v>6845</v>
      </c>
      <c r="J247" s="231" t="s">
        <v>6883</v>
      </c>
      <c r="K247" s="231" t="s">
        <v>6912</v>
      </c>
      <c r="L247" s="220" t="str">
        <f t="shared" si="54"/>
        <v>9L29</v>
      </c>
      <c r="M247" s="220" t="str">
        <f t="shared" si="55"/>
        <v/>
      </c>
      <c r="N247" s="220" t="str">
        <f t="shared" si="56"/>
        <v/>
      </c>
      <c r="O247" s="220" t="str">
        <f t="shared" si="57"/>
        <v/>
      </c>
      <c r="P247" s="52" t="str">
        <f t="shared" si="58"/>
        <v>9L29</v>
      </c>
      <c r="Q247" s="231" t="str">
        <f t="shared" si="66"/>
        <v>290</v>
      </c>
      <c r="R247" s="224">
        <f t="shared" si="60"/>
        <v>272.33333333333331</v>
      </c>
      <c r="S247" s="52">
        <f t="shared" si="61"/>
        <v>261</v>
      </c>
      <c r="T247" s="221">
        <f t="shared" ca="1" si="62"/>
        <v>5.73</v>
      </c>
      <c r="U247" s="221" t="str">
        <f t="shared" si="63"/>
        <v/>
      </c>
      <c r="V247" s="220" t="str">
        <f t="array" ref="V247">INDEX(P:P,MAX(U$3:U247))</f>
        <v>9L#1DTR(B)</v>
      </c>
      <c r="W247" s="220" t="str">
        <f t="shared" ca="1" si="64"/>
        <v/>
      </c>
      <c r="X247" s="220">
        <f t="shared" si="65"/>
        <v>11.4</v>
      </c>
      <c r="Y247" s="220">
        <f t="shared" si="52"/>
        <v>0</v>
      </c>
      <c r="AA247" s="220" t="str">
        <f t="shared" si="53"/>
        <v>大城</v>
      </c>
      <c r="AB247" s="220" t="s">
        <v>1941</v>
      </c>
      <c r="AC247" s="220" t="str">
        <f>LEFT(B247,4)</f>
        <v>9L29</v>
      </c>
      <c r="BB247" s="514" t="s">
        <v>2205</v>
      </c>
      <c r="BC247" s="514">
        <v>4224</v>
      </c>
      <c r="BD247" s="514">
        <v>2</v>
      </c>
      <c r="BE247" s="514">
        <v>4226</v>
      </c>
      <c r="BG247" s="229" t="s">
        <v>20</v>
      </c>
      <c r="BH247" s="230" t="s">
        <v>8513</v>
      </c>
      <c r="BI247" t="s">
        <v>1941</v>
      </c>
      <c r="BJ247" t="s">
        <v>2163</v>
      </c>
    </row>
    <row r="248" spans="1:62">
      <c r="A248" s="229" t="s">
        <v>6926</v>
      </c>
      <c r="B248" s="230" t="s">
        <v>6961</v>
      </c>
      <c r="C248" s="230" t="s">
        <v>6962</v>
      </c>
      <c r="D248" s="229" t="s">
        <v>5613</v>
      </c>
      <c r="E248" s="229" t="s">
        <v>6963</v>
      </c>
      <c r="F248" s="229" t="s">
        <v>6824</v>
      </c>
      <c r="G248" s="229" t="s">
        <v>6866</v>
      </c>
      <c r="H248" s="229" t="s">
        <v>5613</v>
      </c>
      <c r="I248" s="229" t="s">
        <v>6866</v>
      </c>
      <c r="J248" s="231" t="s">
        <v>6964</v>
      </c>
      <c r="K248" s="231" t="s">
        <v>5625</v>
      </c>
      <c r="L248" s="220" t="str">
        <f t="shared" si="54"/>
        <v>9L30</v>
      </c>
      <c r="M248" s="220" t="str">
        <f t="shared" si="55"/>
        <v/>
      </c>
      <c r="N248" s="220" t="str">
        <f t="shared" si="56"/>
        <v/>
      </c>
      <c r="O248" s="220" t="str">
        <f t="shared" si="57"/>
        <v/>
      </c>
      <c r="P248" s="52" t="str">
        <f t="shared" si="58"/>
        <v>9L30</v>
      </c>
      <c r="Q248" s="231" t="str">
        <f t="shared" si="66"/>
        <v>42</v>
      </c>
      <c r="R248" s="224">
        <f t="shared" si="60"/>
        <v>36.333333333333336</v>
      </c>
      <c r="S248" s="52">
        <f t="shared" si="61"/>
        <v>33</v>
      </c>
      <c r="T248" s="221">
        <f t="shared" ca="1" si="62"/>
        <v>0.83</v>
      </c>
      <c r="U248" s="221" t="str">
        <f t="shared" si="63"/>
        <v/>
      </c>
      <c r="V248" s="220" t="str">
        <f t="array" ref="V248">INDEX(P:P,MAX(U$3:U248))</f>
        <v>9L#1DTR(B)</v>
      </c>
      <c r="W248" s="220" t="str">
        <f t="shared" ca="1" si="64"/>
        <v/>
      </c>
      <c r="X248" s="220">
        <f t="shared" si="65"/>
        <v>11.4</v>
      </c>
      <c r="Y248" s="220">
        <f t="shared" si="52"/>
        <v>0</v>
      </c>
      <c r="AA248" s="220" t="str">
        <f t="shared" si="53"/>
        <v>大城</v>
      </c>
      <c r="AB248" s="220" t="s">
        <v>1942</v>
      </c>
      <c r="AC248" s="220" t="str">
        <f>LEFT(B248,4)</f>
        <v>9L30</v>
      </c>
      <c r="BB248" s="514" t="s">
        <v>2216</v>
      </c>
      <c r="BC248" s="514">
        <v>2037</v>
      </c>
      <c r="BD248" s="514">
        <v>2</v>
      </c>
      <c r="BE248" s="514">
        <v>2039</v>
      </c>
      <c r="BG248" s="229" t="s">
        <v>8506</v>
      </c>
      <c r="BH248" s="230" t="s">
        <v>8514</v>
      </c>
      <c r="BI248" t="s">
        <v>1942</v>
      </c>
      <c r="BJ248" t="s">
        <v>2163</v>
      </c>
    </row>
    <row r="249" spans="1:62">
      <c r="A249" s="229" t="s">
        <v>6965</v>
      </c>
      <c r="B249" s="230" t="s">
        <v>386</v>
      </c>
      <c r="C249" s="230" t="s">
        <v>815</v>
      </c>
      <c r="D249" s="229" t="s">
        <v>6966</v>
      </c>
      <c r="E249" s="229" t="s">
        <v>6967</v>
      </c>
      <c r="F249" s="229" t="s">
        <v>846</v>
      </c>
      <c r="G249" s="229" t="s">
        <v>874</v>
      </c>
      <c r="H249" s="229" t="s">
        <v>846</v>
      </c>
      <c r="I249" s="229" t="s">
        <v>6967</v>
      </c>
      <c r="J249" s="231" t="s">
        <v>5710</v>
      </c>
      <c r="K249" s="231" t="s">
        <v>5710</v>
      </c>
      <c r="L249" s="220" t="str">
        <f t="shared" si="54"/>
        <v>9L#2DTR(A)</v>
      </c>
      <c r="M249" s="220" t="str">
        <f t="shared" si="55"/>
        <v>(A)</v>
      </c>
      <c r="N249" s="220" t="str">
        <f t="shared" si="56"/>
        <v>9L#2DTR</v>
      </c>
      <c r="O249" s="220" t="str">
        <f t="shared" si="57"/>
        <v>(A)</v>
      </c>
      <c r="P249" s="52" t="str">
        <f t="shared" si="58"/>
        <v>9L#2DTR(A)</v>
      </c>
      <c r="Q249" s="231" t="str">
        <f t="shared" si="66"/>
        <v>273</v>
      </c>
      <c r="R249" s="224">
        <f t="shared" si="60"/>
        <v>251.66666666666666</v>
      </c>
      <c r="S249" s="52">
        <f t="shared" si="61"/>
        <v>231</v>
      </c>
      <c r="T249" s="221">
        <f t="shared" ca="1" si="62"/>
        <v>5.39</v>
      </c>
      <c r="U249" s="221">
        <f t="shared" si="63"/>
        <v>249</v>
      </c>
      <c r="V249" s="220" t="str">
        <f t="array" ref="V249">INDEX(P:P,MAX(U$3:U249))</f>
        <v>9L#2DTR(A)</v>
      </c>
      <c r="W249" s="220">
        <f t="shared" ca="1" si="64"/>
        <v>30</v>
      </c>
      <c r="X249" s="220" t="str">
        <f t="shared" si="65"/>
        <v/>
      </c>
      <c r="Y249" s="220">
        <f t="shared" si="52"/>
        <v>0</v>
      </c>
      <c r="AA249" s="220" t="str">
        <f t="shared" si="53"/>
        <v>大城</v>
      </c>
      <c r="AB249" s="220" t="s">
        <v>2164</v>
      </c>
      <c r="AC249" s="220" t="s">
        <v>2164</v>
      </c>
      <c r="BB249" s="514" t="s">
        <v>2212</v>
      </c>
      <c r="BC249" s="514">
        <v>5019</v>
      </c>
      <c r="BD249" s="514">
        <v>2</v>
      </c>
      <c r="BE249" s="514">
        <v>5021</v>
      </c>
      <c r="BG249" s="229" t="s">
        <v>8506</v>
      </c>
      <c r="BH249" s="230" t="s">
        <v>386</v>
      </c>
      <c r="BI249" t="s">
        <v>2164</v>
      </c>
      <c r="BJ249" t="s">
        <v>2164</v>
      </c>
    </row>
    <row r="250" spans="1:62">
      <c r="A250" s="229" t="s">
        <v>6926</v>
      </c>
      <c r="B250" s="230" t="s">
        <v>6968</v>
      </c>
      <c r="C250" s="230" t="s">
        <v>6849</v>
      </c>
      <c r="D250" s="229" t="s">
        <v>6847</v>
      </c>
      <c r="E250" s="229" t="s">
        <v>6969</v>
      </c>
      <c r="F250" s="229" t="s">
        <v>6875</v>
      </c>
      <c r="G250" s="229" t="s">
        <v>6908</v>
      </c>
      <c r="H250" s="229" t="s">
        <v>6875</v>
      </c>
      <c r="I250" s="229" t="s">
        <v>6969</v>
      </c>
      <c r="J250" s="231" t="s">
        <v>6837</v>
      </c>
      <c r="K250" s="231" t="s">
        <v>5653</v>
      </c>
      <c r="L250" s="220" t="str">
        <f t="shared" si="54"/>
        <v>9L31</v>
      </c>
      <c r="M250" s="220" t="str">
        <f t="shared" si="55"/>
        <v/>
      </c>
      <c r="N250" s="220" t="str">
        <f t="shared" si="56"/>
        <v/>
      </c>
      <c r="O250" s="220" t="str">
        <f t="shared" si="57"/>
        <v/>
      </c>
      <c r="P250" s="52" t="str">
        <f t="shared" si="58"/>
        <v>9L31</v>
      </c>
      <c r="Q250" s="231" t="str">
        <f t="shared" si="66"/>
        <v>87</v>
      </c>
      <c r="R250" s="224">
        <f t="shared" si="60"/>
        <v>60.666666666666664</v>
      </c>
      <c r="S250" s="52">
        <f t="shared" si="61"/>
        <v>47</v>
      </c>
      <c r="T250" s="221">
        <f t="shared" ca="1" si="62"/>
        <v>1.72</v>
      </c>
      <c r="U250" s="221" t="str">
        <f t="shared" si="63"/>
        <v/>
      </c>
      <c r="V250" s="220" t="str">
        <f t="array" ref="V250">INDEX(P:P,MAX(U$3:U250))</f>
        <v>9L#2DTR(A)</v>
      </c>
      <c r="W250" s="220" t="str">
        <f t="shared" ca="1" si="64"/>
        <v/>
      </c>
      <c r="X250" s="220">
        <f t="shared" si="65"/>
        <v>11.4</v>
      </c>
      <c r="Y250" s="220">
        <f t="shared" si="52"/>
        <v>0</v>
      </c>
      <c r="AA250" s="220" t="str">
        <f t="shared" si="53"/>
        <v>大城</v>
      </c>
      <c r="AB250" s="220" t="s">
        <v>2017</v>
      </c>
      <c r="AC250" s="220" t="str">
        <f>LEFT(B250,4)</f>
        <v>9L31</v>
      </c>
      <c r="BB250" s="514" t="s">
        <v>2209</v>
      </c>
      <c r="BC250" s="514">
        <v>3039</v>
      </c>
      <c r="BD250" s="514">
        <v>3</v>
      </c>
      <c r="BE250" s="514">
        <v>3042</v>
      </c>
      <c r="BG250" s="229" t="s">
        <v>8505</v>
      </c>
      <c r="BH250" s="230" t="s">
        <v>8515</v>
      </c>
      <c r="BI250" t="s">
        <v>2017</v>
      </c>
      <c r="BJ250" t="s">
        <v>2164</v>
      </c>
    </row>
    <row r="251" spans="1:62">
      <c r="A251" s="229" t="s">
        <v>6926</v>
      </c>
      <c r="B251" s="230" t="s">
        <v>6970</v>
      </c>
      <c r="C251" s="230" t="s">
        <v>5615</v>
      </c>
      <c r="D251" s="229" t="s">
        <v>5599</v>
      </c>
      <c r="E251" s="229" t="s">
        <v>5699</v>
      </c>
      <c r="F251" s="229" t="s">
        <v>5599</v>
      </c>
      <c r="G251" s="229" t="s">
        <v>5615</v>
      </c>
      <c r="H251" s="229" t="s">
        <v>5599</v>
      </c>
      <c r="I251" s="229" t="s">
        <v>5615</v>
      </c>
      <c r="J251" s="231" t="s">
        <v>5615</v>
      </c>
      <c r="K251" s="231" t="s">
        <v>5599</v>
      </c>
      <c r="L251" s="220" t="str">
        <f t="shared" si="54"/>
        <v>9L32</v>
      </c>
      <c r="M251" s="220" t="str">
        <f t="shared" si="55"/>
        <v/>
      </c>
      <c r="N251" s="220" t="str">
        <f t="shared" si="56"/>
        <v/>
      </c>
      <c r="O251" s="220" t="str">
        <f t="shared" si="57"/>
        <v/>
      </c>
      <c r="P251" s="52" t="str">
        <f t="shared" si="58"/>
        <v>9L32</v>
      </c>
      <c r="Q251" s="231" t="str">
        <f t="shared" si="66"/>
        <v>0</v>
      </c>
      <c r="R251" s="224">
        <f t="shared" si="60"/>
        <v>0</v>
      </c>
      <c r="S251" s="52">
        <f t="shared" si="61"/>
        <v>0</v>
      </c>
      <c r="T251" s="221">
        <f t="shared" ca="1" si="62"/>
        <v>0</v>
      </c>
      <c r="U251" s="221" t="str">
        <f t="shared" si="63"/>
        <v/>
      </c>
      <c r="V251" s="220" t="str">
        <f t="array" ref="V251">INDEX(P:P,MAX(U$3:U251))</f>
        <v>9L#2DTR(A)</v>
      </c>
      <c r="W251" s="220" t="str">
        <f t="shared" ca="1" si="64"/>
        <v/>
      </c>
      <c r="X251" s="220">
        <f t="shared" si="65"/>
        <v>11.4</v>
      </c>
      <c r="Y251" s="220">
        <f t="shared" si="52"/>
        <v>0</v>
      </c>
      <c r="AA251" s="220" t="str">
        <f t="shared" si="53"/>
        <v>大城</v>
      </c>
      <c r="AB251" s="220" t="s">
        <v>2019</v>
      </c>
      <c r="AC251" s="220" t="str">
        <f>LEFT(B251,4)</f>
        <v>9L32</v>
      </c>
      <c r="BB251" s="514" t="s">
        <v>2200</v>
      </c>
      <c r="BC251" s="514">
        <v>2193</v>
      </c>
      <c r="BD251" s="514">
        <v>3</v>
      </c>
      <c r="BE251" s="514">
        <v>2196</v>
      </c>
      <c r="BG251" s="229" t="s">
        <v>20</v>
      </c>
      <c r="BH251" s="230" t="s">
        <v>8516</v>
      </c>
      <c r="BI251" t="s">
        <v>2019</v>
      </c>
      <c r="BJ251" t="s">
        <v>2164</v>
      </c>
    </row>
    <row r="252" spans="1:62">
      <c r="A252" s="229" t="s">
        <v>6926</v>
      </c>
      <c r="B252" s="230" t="s">
        <v>6971</v>
      </c>
      <c r="C252" s="230" t="s">
        <v>5615</v>
      </c>
      <c r="D252" s="229" t="s">
        <v>5599</v>
      </c>
      <c r="E252" s="229" t="s">
        <v>5615</v>
      </c>
      <c r="F252" s="229" t="s">
        <v>5599</v>
      </c>
      <c r="G252" s="229" t="s">
        <v>5699</v>
      </c>
      <c r="H252" s="229" t="s">
        <v>5628</v>
      </c>
      <c r="I252" s="229" t="s">
        <v>5615</v>
      </c>
      <c r="J252" s="231" t="s">
        <v>5699</v>
      </c>
      <c r="K252" s="231" t="s">
        <v>5599</v>
      </c>
      <c r="L252" s="220" t="str">
        <f t="shared" si="54"/>
        <v>9L33</v>
      </c>
      <c r="M252" s="220" t="str">
        <f t="shared" si="55"/>
        <v/>
      </c>
      <c r="N252" s="220" t="str">
        <f t="shared" si="56"/>
        <v/>
      </c>
      <c r="O252" s="220" t="str">
        <f t="shared" si="57"/>
        <v/>
      </c>
      <c r="P252" s="52" t="str">
        <f t="shared" si="58"/>
        <v>9L33</v>
      </c>
      <c r="Q252" s="231" t="str">
        <f t="shared" si="66"/>
        <v>0</v>
      </c>
      <c r="R252" s="224">
        <f t="shared" si="60"/>
        <v>0</v>
      </c>
      <c r="S252" s="52">
        <f t="shared" si="61"/>
        <v>0</v>
      </c>
      <c r="T252" s="221">
        <f t="shared" ca="1" si="62"/>
        <v>0</v>
      </c>
      <c r="U252" s="221" t="str">
        <f t="shared" si="63"/>
        <v/>
      </c>
      <c r="V252" s="220" t="str">
        <f t="array" ref="V252">INDEX(P:P,MAX(U$3:U252))</f>
        <v>9L#2DTR(A)</v>
      </c>
      <c r="W252" s="220" t="str">
        <f t="shared" ca="1" si="64"/>
        <v/>
      </c>
      <c r="X252" s="220">
        <f t="shared" si="65"/>
        <v>11.4</v>
      </c>
      <c r="Y252" s="220">
        <f t="shared" si="52"/>
        <v>0</v>
      </c>
      <c r="AA252" s="220" t="str">
        <f t="shared" si="53"/>
        <v>大城</v>
      </c>
      <c r="AB252" s="220" t="s">
        <v>2020</v>
      </c>
      <c r="AC252" s="220" t="str">
        <f>LEFT(B252,4)</f>
        <v>9L33</v>
      </c>
      <c r="BB252" s="514" t="s">
        <v>2206</v>
      </c>
      <c r="BC252" s="514">
        <v>242</v>
      </c>
      <c r="BD252" s="514">
        <v>3</v>
      </c>
      <c r="BE252" s="514">
        <v>245</v>
      </c>
      <c r="BG252" s="229" t="s">
        <v>8506</v>
      </c>
      <c r="BH252" s="230" t="s">
        <v>8517</v>
      </c>
      <c r="BI252" t="s">
        <v>2020</v>
      </c>
      <c r="BJ252" t="s">
        <v>2164</v>
      </c>
    </row>
    <row r="253" spans="1:62">
      <c r="A253" s="229" t="s">
        <v>6926</v>
      </c>
      <c r="B253" s="230" t="s">
        <v>6972</v>
      </c>
      <c r="C253" s="230" t="s">
        <v>5673</v>
      </c>
      <c r="D253" s="229" t="s">
        <v>5722</v>
      </c>
      <c r="E253" s="229" t="s">
        <v>6837</v>
      </c>
      <c r="F253" s="229" t="s">
        <v>6875</v>
      </c>
      <c r="G253" s="229" t="s">
        <v>6973</v>
      </c>
      <c r="H253" s="229" t="s">
        <v>6875</v>
      </c>
      <c r="I253" s="229" t="s">
        <v>6837</v>
      </c>
      <c r="J253" s="231" t="s">
        <v>6974</v>
      </c>
      <c r="K253" s="231" t="s">
        <v>6847</v>
      </c>
      <c r="L253" s="220" t="str">
        <f t="shared" si="54"/>
        <v>9L34</v>
      </c>
      <c r="M253" s="220" t="str">
        <f t="shared" si="55"/>
        <v/>
      </c>
      <c r="N253" s="220" t="str">
        <f t="shared" si="56"/>
        <v/>
      </c>
      <c r="O253" s="220" t="str">
        <f t="shared" si="57"/>
        <v/>
      </c>
      <c r="P253" s="52" t="str">
        <f t="shared" si="58"/>
        <v>9L34</v>
      </c>
      <c r="Q253" s="231" t="str">
        <f t="shared" si="66"/>
        <v>49</v>
      </c>
      <c r="R253" s="224">
        <f t="shared" si="60"/>
        <v>39</v>
      </c>
      <c r="S253" s="52">
        <f t="shared" si="61"/>
        <v>29</v>
      </c>
      <c r="T253" s="221">
        <f t="shared" ca="1" si="62"/>
        <v>0.97</v>
      </c>
      <c r="U253" s="221" t="str">
        <f t="shared" si="63"/>
        <v/>
      </c>
      <c r="V253" s="220" t="str">
        <f t="array" ref="V253">INDEX(P:P,MAX(U$3:U253))</f>
        <v>9L#2DTR(A)</v>
      </c>
      <c r="W253" s="220" t="str">
        <f t="shared" ca="1" si="64"/>
        <v/>
      </c>
      <c r="X253" s="220">
        <f t="shared" si="65"/>
        <v>11.4</v>
      </c>
      <c r="Y253" s="220">
        <f t="shared" si="52"/>
        <v>0</v>
      </c>
      <c r="AA253" s="220" t="str">
        <f t="shared" si="53"/>
        <v>大城</v>
      </c>
      <c r="AB253" s="220" t="s">
        <v>2021</v>
      </c>
      <c r="AC253" s="220" t="str">
        <f>LEFT(B253,4)</f>
        <v>9L34</v>
      </c>
      <c r="BB253" s="514" t="s">
        <v>129</v>
      </c>
      <c r="BC253" s="514">
        <v>1667</v>
      </c>
      <c r="BD253" s="514">
        <v>1</v>
      </c>
      <c r="BE253" s="514">
        <v>1668</v>
      </c>
      <c r="BG253" s="229" t="s">
        <v>8506</v>
      </c>
      <c r="BH253" s="230" t="s">
        <v>437</v>
      </c>
      <c r="BI253" t="s">
        <v>2021</v>
      </c>
      <c r="BJ253" t="s">
        <v>2164</v>
      </c>
    </row>
    <row r="254" spans="1:62">
      <c r="A254" s="229" t="s">
        <v>6975</v>
      </c>
      <c r="B254" s="230" t="s">
        <v>6976</v>
      </c>
      <c r="C254" s="230" t="s">
        <v>6977</v>
      </c>
      <c r="D254" s="229" t="s">
        <v>6978</v>
      </c>
      <c r="E254" s="229" t="s">
        <v>6979</v>
      </c>
      <c r="F254" s="229" t="s">
        <v>6978</v>
      </c>
      <c r="G254" s="229" t="s">
        <v>904</v>
      </c>
      <c r="H254" s="229" t="s">
        <v>6978</v>
      </c>
      <c r="I254" s="229" t="s">
        <v>6977</v>
      </c>
      <c r="J254" s="231" t="s">
        <v>6980</v>
      </c>
      <c r="K254" s="231" t="s">
        <v>6981</v>
      </c>
      <c r="L254" s="220" t="str">
        <f t="shared" si="54"/>
        <v>9L35</v>
      </c>
      <c r="M254" s="220" t="str">
        <f t="shared" si="55"/>
        <v/>
      </c>
      <c r="N254" s="220" t="str">
        <f t="shared" si="56"/>
        <v/>
      </c>
      <c r="O254" s="220" t="str">
        <f t="shared" si="57"/>
        <v/>
      </c>
      <c r="P254" s="52" t="str">
        <f t="shared" si="58"/>
        <v>9L35</v>
      </c>
      <c r="Q254" s="231" t="str">
        <f t="shared" si="66"/>
        <v>178</v>
      </c>
      <c r="R254" s="224">
        <f t="shared" si="60"/>
        <v>154.33333333333334</v>
      </c>
      <c r="S254" s="52">
        <f t="shared" si="61"/>
        <v>140</v>
      </c>
      <c r="T254" s="221">
        <f t="shared" ca="1" si="62"/>
        <v>3.51</v>
      </c>
      <c r="U254" s="221" t="str">
        <f t="shared" si="63"/>
        <v/>
      </c>
      <c r="V254" s="220" t="str">
        <f t="array" ref="V254">INDEX(P:P,MAX(U$3:U254))</f>
        <v>9L#2DTR(A)</v>
      </c>
      <c r="W254" s="220" t="str">
        <f t="shared" ca="1" si="64"/>
        <v/>
      </c>
      <c r="X254" s="220">
        <f t="shared" si="65"/>
        <v>11.4</v>
      </c>
      <c r="Y254" s="220">
        <f t="shared" si="52"/>
        <v>0</v>
      </c>
      <c r="AA254" s="220" t="str">
        <f t="shared" si="53"/>
        <v>大城</v>
      </c>
      <c r="AB254" s="220" t="s">
        <v>2022</v>
      </c>
      <c r="AC254" s="220" t="str">
        <f>LEFT(B254,4)</f>
        <v>9L35</v>
      </c>
      <c r="BB254" s="514" t="s">
        <v>2217</v>
      </c>
      <c r="BC254" s="514">
        <v>146</v>
      </c>
      <c r="BD254" s="514">
        <v>1</v>
      </c>
      <c r="BE254" s="514">
        <v>147</v>
      </c>
      <c r="BG254" s="229" t="s">
        <v>8505</v>
      </c>
      <c r="BH254" s="230" t="s">
        <v>8518</v>
      </c>
      <c r="BI254" t="s">
        <v>2022</v>
      </c>
      <c r="BJ254" t="s">
        <v>2164</v>
      </c>
    </row>
    <row r="255" spans="1:62">
      <c r="A255" s="229" t="s">
        <v>20</v>
      </c>
      <c r="B255" s="230" t="s">
        <v>388</v>
      </c>
      <c r="C255" s="230" t="s">
        <v>3141</v>
      </c>
      <c r="D255" s="229" t="s">
        <v>797</v>
      </c>
      <c r="E255" s="229" t="s">
        <v>3174</v>
      </c>
      <c r="F255" s="229" t="s">
        <v>797</v>
      </c>
      <c r="G255" s="229" t="s">
        <v>4670</v>
      </c>
      <c r="H255" s="229" t="s">
        <v>797</v>
      </c>
      <c r="I255" s="229" t="s">
        <v>4670</v>
      </c>
      <c r="J255" s="231" t="s">
        <v>358</v>
      </c>
      <c r="K255" s="231" t="s">
        <v>358</v>
      </c>
      <c r="L255" s="220" t="str">
        <f t="shared" si="54"/>
        <v>9L#2DTR(B)</v>
      </c>
      <c r="M255" s="220" t="str">
        <f t="shared" si="55"/>
        <v>(B)</v>
      </c>
      <c r="N255" s="220" t="str">
        <f t="shared" si="56"/>
        <v>9L#2DTR</v>
      </c>
      <c r="O255" s="220" t="str">
        <f t="shared" si="57"/>
        <v>(B)</v>
      </c>
      <c r="P255" s="52" t="str">
        <f t="shared" si="58"/>
        <v>9L#2DTR(B)</v>
      </c>
      <c r="Q255" s="231" t="str">
        <f t="shared" si="66"/>
        <v>554</v>
      </c>
      <c r="R255" s="224">
        <f t="shared" si="60"/>
        <v>530.66666666666663</v>
      </c>
      <c r="S255" s="52">
        <f t="shared" si="61"/>
        <v>486</v>
      </c>
      <c r="T255" s="221">
        <f t="shared" ca="1" si="62"/>
        <v>10.94</v>
      </c>
      <c r="U255" s="221">
        <f t="shared" si="63"/>
        <v>255</v>
      </c>
      <c r="V255" s="220" t="str">
        <f t="array" ref="V255">INDEX(P:P,MAX(U$3:U255))</f>
        <v>9L#2DTR(B)</v>
      </c>
      <c r="W255" s="220">
        <f t="shared" ca="1" si="64"/>
        <v>30</v>
      </c>
      <c r="X255" s="220" t="str">
        <f t="shared" si="65"/>
        <v/>
      </c>
      <c r="Y255" s="220">
        <f t="shared" si="52"/>
        <v>0</v>
      </c>
      <c r="AA255" s="220" t="str">
        <f t="shared" si="53"/>
        <v>大城</v>
      </c>
      <c r="AB255" s="220" t="s">
        <v>2165</v>
      </c>
      <c r="AC255" s="220" t="s">
        <v>2165</v>
      </c>
      <c r="BB255" s="514" t="s">
        <v>1870</v>
      </c>
      <c r="BC255" s="514" t="s">
        <v>85</v>
      </c>
      <c r="BD255" s="514">
        <v>0</v>
      </c>
      <c r="BE255" s="514">
        <v>0</v>
      </c>
      <c r="BG255" s="229" t="s">
        <v>8506</v>
      </c>
      <c r="BH255" s="230" t="s">
        <v>8519</v>
      </c>
      <c r="BI255" t="s">
        <v>2165</v>
      </c>
      <c r="BJ255" t="s">
        <v>2165</v>
      </c>
    </row>
    <row r="256" spans="1:62">
      <c r="A256" s="229" t="s">
        <v>20</v>
      </c>
      <c r="B256" s="230" t="s">
        <v>438</v>
      </c>
      <c r="C256" s="230" t="s">
        <v>872</v>
      </c>
      <c r="D256" s="229" t="s">
        <v>797</v>
      </c>
      <c r="E256" s="229" t="s">
        <v>878</v>
      </c>
      <c r="F256" s="229" t="s">
        <v>5764</v>
      </c>
      <c r="G256" s="229" t="s">
        <v>6982</v>
      </c>
      <c r="H256" s="229" t="s">
        <v>797</v>
      </c>
      <c r="I256" s="229" t="s">
        <v>6983</v>
      </c>
      <c r="J256" s="231" t="s">
        <v>6984</v>
      </c>
      <c r="K256" s="231" t="s">
        <v>954</v>
      </c>
      <c r="L256" s="220" t="str">
        <f t="shared" si="54"/>
        <v>9L36</v>
      </c>
      <c r="M256" s="220" t="str">
        <f t="shared" si="55"/>
        <v/>
      </c>
      <c r="N256" s="220" t="str">
        <f t="shared" si="56"/>
        <v/>
      </c>
      <c r="O256" s="220" t="str">
        <f t="shared" si="57"/>
        <v/>
      </c>
      <c r="P256" s="52" t="str">
        <f t="shared" si="58"/>
        <v>9L36</v>
      </c>
      <c r="Q256" s="231" t="str">
        <f t="shared" si="66"/>
        <v>62</v>
      </c>
      <c r="R256" s="224">
        <f t="shared" si="60"/>
        <v>54</v>
      </c>
      <c r="S256" s="52">
        <f t="shared" si="61"/>
        <v>47</v>
      </c>
      <c r="T256" s="221">
        <f t="shared" ca="1" si="62"/>
        <v>1.22</v>
      </c>
      <c r="U256" s="221" t="str">
        <f t="shared" si="63"/>
        <v/>
      </c>
      <c r="V256" s="220" t="str">
        <f t="array" ref="V256">INDEX(P:P,MAX(U$3:U256))</f>
        <v>9L#2DTR(B)</v>
      </c>
      <c r="W256" s="220" t="str">
        <f t="shared" ca="1" si="64"/>
        <v/>
      </c>
      <c r="X256" s="220">
        <f t="shared" si="65"/>
        <v>11.4</v>
      </c>
      <c r="Y256" s="220">
        <f t="shared" si="52"/>
        <v>0</v>
      </c>
      <c r="AA256" s="220" t="str">
        <f t="shared" si="53"/>
        <v>大城</v>
      </c>
      <c r="AB256" s="220" t="s">
        <v>2023</v>
      </c>
      <c r="AC256" s="220" t="str">
        <f>LEFT(B256,4)</f>
        <v>9L36</v>
      </c>
      <c r="BB256" s="514" t="s">
        <v>2207</v>
      </c>
      <c r="BC256" s="514">
        <v>493</v>
      </c>
      <c r="BD256" s="514">
        <v>1</v>
      </c>
      <c r="BE256" s="514">
        <v>494</v>
      </c>
      <c r="BG256" s="229" t="s">
        <v>8506</v>
      </c>
      <c r="BH256" s="230" t="s">
        <v>8520</v>
      </c>
      <c r="BI256" t="s">
        <v>2023</v>
      </c>
      <c r="BJ256" t="s">
        <v>2165</v>
      </c>
    </row>
    <row r="257" spans="1:62">
      <c r="A257" s="229" t="s">
        <v>20</v>
      </c>
      <c r="B257" s="230" t="s">
        <v>6985</v>
      </c>
      <c r="C257" s="230" t="s">
        <v>975</v>
      </c>
      <c r="D257" s="229" t="s">
        <v>5986</v>
      </c>
      <c r="E257" s="229" t="s">
        <v>6197</v>
      </c>
      <c r="F257" s="229" t="s">
        <v>5764</v>
      </c>
      <c r="G257" s="229" t="s">
        <v>6197</v>
      </c>
      <c r="H257" s="229" t="s">
        <v>797</v>
      </c>
      <c r="I257" s="229" t="s">
        <v>975</v>
      </c>
      <c r="J257" s="231" t="s">
        <v>6986</v>
      </c>
      <c r="K257" s="231" t="s">
        <v>6514</v>
      </c>
      <c r="L257" s="220" t="str">
        <f t="shared" si="54"/>
        <v>9L37</v>
      </c>
      <c r="M257" s="220" t="str">
        <f t="shared" si="55"/>
        <v/>
      </c>
      <c r="N257" s="220" t="str">
        <f t="shared" si="56"/>
        <v/>
      </c>
      <c r="O257" s="220" t="str">
        <f t="shared" si="57"/>
        <v/>
      </c>
      <c r="P257" s="52" t="str">
        <f t="shared" si="58"/>
        <v>9L37</v>
      </c>
      <c r="Q257" s="231" t="str">
        <f t="shared" si="66"/>
        <v>117</v>
      </c>
      <c r="R257" s="224">
        <f t="shared" si="60"/>
        <v>104.33333333333333</v>
      </c>
      <c r="S257" s="52">
        <f t="shared" si="61"/>
        <v>98</v>
      </c>
      <c r="T257" s="221">
        <f t="shared" ca="1" si="62"/>
        <v>2.31</v>
      </c>
      <c r="U257" s="221" t="str">
        <f t="shared" si="63"/>
        <v/>
      </c>
      <c r="V257" s="220" t="str">
        <f t="array" ref="V257">INDEX(P:P,MAX(U$3:U257))</f>
        <v>9L#2DTR(B)</v>
      </c>
      <c r="W257" s="220" t="str">
        <f t="shared" ca="1" si="64"/>
        <v/>
      </c>
      <c r="X257" s="220">
        <f t="shared" si="65"/>
        <v>11.4</v>
      </c>
      <c r="Y257" s="220">
        <f t="shared" si="52"/>
        <v>0</v>
      </c>
      <c r="AA257" s="220" t="str">
        <f t="shared" si="53"/>
        <v>大城</v>
      </c>
      <c r="AB257" s="220" t="s">
        <v>2024</v>
      </c>
      <c r="AC257" s="220" t="str">
        <f>LEFT(B257,4)</f>
        <v>9L37</v>
      </c>
      <c r="BB257" s="514" t="s">
        <v>2210</v>
      </c>
      <c r="BC257" s="514">
        <v>2061</v>
      </c>
      <c r="BD257" s="514">
        <v>6</v>
      </c>
      <c r="BE257" s="514">
        <v>2067</v>
      </c>
      <c r="BG257" s="229" t="s">
        <v>8506</v>
      </c>
      <c r="BH257" s="230" t="s">
        <v>439</v>
      </c>
      <c r="BI257" t="s">
        <v>2024</v>
      </c>
      <c r="BJ257" t="s">
        <v>2165</v>
      </c>
    </row>
    <row r="258" spans="1:62">
      <c r="A258" s="229" t="s">
        <v>6926</v>
      </c>
      <c r="B258" s="230" t="s">
        <v>6987</v>
      </c>
      <c r="C258" s="230" t="s">
        <v>6935</v>
      </c>
      <c r="D258" s="229" t="s">
        <v>5625</v>
      </c>
      <c r="E258" s="229" t="s">
        <v>6988</v>
      </c>
      <c r="F258" s="229" t="s">
        <v>5653</v>
      </c>
      <c r="G258" s="229" t="s">
        <v>6899</v>
      </c>
      <c r="H258" s="229" t="s">
        <v>5722</v>
      </c>
      <c r="I258" s="229" t="s">
        <v>6899</v>
      </c>
      <c r="J258" s="231" t="s">
        <v>6989</v>
      </c>
      <c r="K258" s="231" t="s">
        <v>5613</v>
      </c>
      <c r="L258" s="220" t="str">
        <f t="shared" si="54"/>
        <v>9L38</v>
      </c>
      <c r="M258" s="220" t="str">
        <f t="shared" si="55"/>
        <v/>
      </c>
      <c r="N258" s="220" t="str">
        <f t="shared" si="56"/>
        <v/>
      </c>
      <c r="O258" s="220" t="str">
        <f t="shared" si="57"/>
        <v/>
      </c>
      <c r="P258" s="52" t="str">
        <f t="shared" si="58"/>
        <v>9L38</v>
      </c>
      <c r="Q258" s="231" t="str">
        <f t="shared" si="66"/>
        <v>56</v>
      </c>
      <c r="R258" s="224">
        <f t="shared" si="60"/>
        <v>38.333333333333336</v>
      </c>
      <c r="S258" s="52">
        <f t="shared" si="61"/>
        <v>18</v>
      </c>
      <c r="T258" s="221">
        <f t="shared" ca="1" si="62"/>
        <v>1.1100000000000001</v>
      </c>
      <c r="U258" s="221" t="str">
        <f t="shared" si="63"/>
        <v/>
      </c>
      <c r="V258" s="220" t="str">
        <f t="array" ref="V258">INDEX(P:P,MAX(U$3:U258))</f>
        <v>9L#2DTR(B)</v>
      </c>
      <c r="W258" s="220" t="str">
        <f t="shared" ca="1" si="64"/>
        <v/>
      </c>
      <c r="X258" s="220">
        <f t="shared" si="65"/>
        <v>11.4</v>
      </c>
      <c r="Y258" s="220">
        <f t="shared" si="52"/>
        <v>0</v>
      </c>
      <c r="AA258" s="220" t="str">
        <f t="shared" si="53"/>
        <v>大城</v>
      </c>
      <c r="AB258" s="220" t="s">
        <v>2025</v>
      </c>
      <c r="AC258" s="220" t="str">
        <f>LEFT(B258,4)</f>
        <v>9L38</v>
      </c>
      <c r="BB258" s="514" t="s">
        <v>2202</v>
      </c>
      <c r="BC258" s="514">
        <v>2833</v>
      </c>
      <c r="BD258" s="514">
        <v>1</v>
      </c>
      <c r="BE258" s="514">
        <v>2834</v>
      </c>
      <c r="BG258" s="229" t="s">
        <v>8505</v>
      </c>
      <c r="BH258" s="230" t="s">
        <v>440</v>
      </c>
      <c r="BI258" t="s">
        <v>2025</v>
      </c>
      <c r="BJ258" t="s">
        <v>2165</v>
      </c>
    </row>
    <row r="259" spans="1:62">
      <c r="A259" s="229" t="s">
        <v>6926</v>
      </c>
      <c r="B259" s="230" t="s">
        <v>6990</v>
      </c>
      <c r="C259" s="230" t="s">
        <v>6991</v>
      </c>
      <c r="D259" s="229" t="s">
        <v>5849</v>
      </c>
      <c r="E259" s="229" t="s">
        <v>6992</v>
      </c>
      <c r="F259" s="229" t="s">
        <v>5849</v>
      </c>
      <c r="G259" s="229" t="s">
        <v>6993</v>
      </c>
      <c r="H259" s="229" t="s">
        <v>5849</v>
      </c>
      <c r="I259" s="229" t="s">
        <v>6992</v>
      </c>
      <c r="J259" s="231" t="s">
        <v>6935</v>
      </c>
      <c r="K259" s="231" t="s">
        <v>5653</v>
      </c>
      <c r="L259" s="220" t="str">
        <f t="shared" si="54"/>
        <v>9L39</v>
      </c>
      <c r="M259" s="220" t="str">
        <f t="shared" si="55"/>
        <v/>
      </c>
      <c r="N259" s="220" t="str">
        <f t="shared" si="56"/>
        <v/>
      </c>
      <c r="O259" s="220" t="str">
        <f t="shared" si="57"/>
        <v/>
      </c>
      <c r="P259" s="52" t="str">
        <f t="shared" si="58"/>
        <v>9L39</v>
      </c>
      <c r="Q259" s="231" t="str">
        <f t="shared" si="66"/>
        <v>277</v>
      </c>
      <c r="R259" s="224">
        <f t="shared" si="60"/>
        <v>263.66666666666669</v>
      </c>
      <c r="S259" s="52">
        <f t="shared" si="61"/>
        <v>245</v>
      </c>
      <c r="T259" s="221">
        <f t="shared" ca="1" si="62"/>
        <v>5.47</v>
      </c>
      <c r="U259" s="221" t="str">
        <f t="shared" si="63"/>
        <v/>
      </c>
      <c r="V259" s="220" t="str">
        <f t="array" ref="V259">INDEX(P:P,MAX(U$3:U259))</f>
        <v>9L#2DTR(B)</v>
      </c>
      <c r="W259" s="220" t="str">
        <f t="shared" ca="1" si="64"/>
        <v/>
      </c>
      <c r="X259" s="220">
        <f t="shared" si="65"/>
        <v>11.4</v>
      </c>
      <c r="Y259" s="220">
        <f t="shared" ref="Y259:Y322" si="67">SUMIF(L:L,L259,I:I)</f>
        <v>0</v>
      </c>
      <c r="AA259" s="220" t="str">
        <f t="shared" ref="AA259:AA322" si="68">LEFT(A259,2)</f>
        <v>大城</v>
      </c>
      <c r="AB259" s="220" t="s">
        <v>2026</v>
      </c>
      <c r="AC259" s="220" t="str">
        <f>LEFT(B259,4)</f>
        <v>9L39</v>
      </c>
      <c r="BB259" s="514" t="s">
        <v>1951</v>
      </c>
      <c r="BC259" s="514">
        <v>1285</v>
      </c>
      <c r="BD259" s="514">
        <v>3</v>
      </c>
      <c r="BE259" s="514">
        <v>1288</v>
      </c>
      <c r="BG259" s="229" t="s">
        <v>20</v>
      </c>
      <c r="BH259" s="230" t="s">
        <v>8521</v>
      </c>
      <c r="BI259" t="s">
        <v>2026</v>
      </c>
      <c r="BJ259" t="s">
        <v>2165</v>
      </c>
    </row>
    <row r="260" spans="1:62">
      <c r="A260" s="229" t="s">
        <v>6926</v>
      </c>
      <c r="B260" s="230" t="s">
        <v>6994</v>
      </c>
      <c r="C260" s="230" t="s">
        <v>6915</v>
      </c>
      <c r="D260" s="229" t="s">
        <v>5722</v>
      </c>
      <c r="E260" s="229" t="s">
        <v>6995</v>
      </c>
      <c r="F260" s="229" t="s">
        <v>5722</v>
      </c>
      <c r="G260" s="229" t="s">
        <v>6880</v>
      </c>
      <c r="H260" s="229" t="s">
        <v>5722</v>
      </c>
      <c r="I260" s="229" t="s">
        <v>6915</v>
      </c>
      <c r="J260" s="231" t="s">
        <v>6878</v>
      </c>
      <c r="K260" s="231" t="s">
        <v>5613</v>
      </c>
      <c r="L260" s="220" t="str">
        <f t="shared" ref="L260:L323" si="69">IF(LEFT(B260,1)="#",IF(LEN(B260)=5,RIGHT(A260,2)&amp;B260,N260&amp;M260),MID(B260,FIND("(",B260)+1,4))</f>
        <v>9L40</v>
      </c>
      <c r="M260" s="220" t="str">
        <f t="shared" ref="M260:M323" si="70">IF(LEFT(B260,1)="#",IF(LEN(B260)&lt;&gt;5,"("&amp;MID(B260,3,1)&amp;")",""),"")</f>
        <v/>
      </c>
      <c r="N260" s="220" t="str">
        <f t="shared" ref="N260:N323" si="71">IF(LEFT(B260,1)="#",IF(LEN(B260)=5,RIGHT(A260,2)&amp;B260,RIGHT(A260,2)&amp;LEFT(B260,2)&amp;"DTR"),"")</f>
        <v/>
      </c>
      <c r="O260" s="220" t="str">
        <f t="shared" ref="O260:O323" si="72">IF(LEFT(B260,1)="#",IF(LEN(B260)&lt;&gt;5,IF(LEN(B260)&lt;&gt;7,"("&amp;MID(B260,3,1)&amp;")","("&amp;MID(B260,3,2)&amp;")"),""),"")</f>
        <v/>
      </c>
      <c r="P260" s="52" t="str">
        <f t="shared" ref="P260:P323" si="73">IF(LEFT(B260,1)="#",IF(LEN(B260)=5,RIGHT(A260,2)&amp;B260,N260&amp;M260),MID(B260,FIND("(",B260)+1,4))</f>
        <v>9L40</v>
      </c>
      <c r="Q260" s="231" t="str">
        <f t="shared" si="66"/>
        <v>138</v>
      </c>
      <c r="R260" s="224">
        <f t="shared" ref="R260:R287" si="74">AVERAGE(C260*1,E260*1,G260*1)</f>
        <v>114.66666666666667</v>
      </c>
      <c r="S260" s="52">
        <f t="shared" ref="S260:S323" si="75">MIN(C260*1,E260*1,G260*1)</f>
        <v>80</v>
      </c>
      <c r="T260" s="221">
        <f t="shared" ref="T260:T323" ca="1" si="76">IF(LEFT(B260,1)="#",ROUND(OFFSET(X260,1,0,1,1)*Q260*SQRT(3)/1000,2),ROUND(Q260*X260*SQRT(3)/1000,2))</f>
        <v>2.72</v>
      </c>
      <c r="U260" s="221" t="str">
        <f t="shared" ref="U260:U323" si="77">IF(ISNUMBER(FIND("#",B260)),ROW(),"")</f>
        <v/>
      </c>
      <c r="V260" s="220" t="str">
        <f t="array" ref="V260">INDEX(P:P,MAX(U$3:U260))</f>
        <v>9L#2DTR(B)</v>
      </c>
      <c r="W260" s="220" t="str">
        <f t="shared" ref="W260:W323" ca="1" si="78">IF(LEFT(B260,1)="#",IF(ISNUMBER(FIND("DTR",B260)),IF(MID(OFFSET(P260,1,0,1,1),3,1)*1&lt;5,30,60),25),"")</f>
        <v/>
      </c>
      <c r="X260" s="220">
        <f t="shared" ref="X260:X323" si="79">IF(LEFT(B260,1)="#","",IF(MID(P260,3,1)*1&lt;5,11.4,22.8))</f>
        <v>11.4</v>
      </c>
      <c r="Y260" s="220">
        <f t="shared" si="67"/>
        <v>0</v>
      </c>
      <c r="AA260" s="220" t="str">
        <f t="shared" si="68"/>
        <v>大城</v>
      </c>
      <c r="AB260" s="220" t="s">
        <v>2027</v>
      </c>
      <c r="AC260" s="220" t="str">
        <f>LEFT(B260,4)</f>
        <v>9L40</v>
      </c>
      <c r="BB260" s="514" t="s">
        <v>2201</v>
      </c>
      <c r="BC260" s="514">
        <v>1770</v>
      </c>
      <c r="BD260" s="514">
        <v>1</v>
      </c>
      <c r="BE260" s="514">
        <v>1771</v>
      </c>
      <c r="BG260" s="229" t="s">
        <v>8505</v>
      </c>
      <c r="BH260" s="230" t="s">
        <v>8522</v>
      </c>
      <c r="BI260" t="s">
        <v>2027</v>
      </c>
      <c r="BJ260" t="s">
        <v>2165</v>
      </c>
    </row>
    <row r="261" spans="1:62">
      <c r="A261" s="229" t="s">
        <v>6996</v>
      </c>
      <c r="B261" s="230" t="s">
        <v>5879</v>
      </c>
      <c r="C261" s="230" t="s">
        <v>6997</v>
      </c>
      <c r="D261" s="229" t="s">
        <v>6875</v>
      </c>
      <c r="E261" s="229" t="s">
        <v>6998</v>
      </c>
      <c r="F261" s="229" t="s">
        <v>6875</v>
      </c>
      <c r="G261" s="229" t="s">
        <v>6999</v>
      </c>
      <c r="H261" s="229" t="s">
        <v>6875</v>
      </c>
      <c r="I261" s="229" t="s">
        <v>6997</v>
      </c>
      <c r="J261" s="231" t="s">
        <v>5710</v>
      </c>
      <c r="K261" s="231" t="s">
        <v>5710</v>
      </c>
      <c r="L261" s="220" t="str">
        <f t="shared" si="69"/>
        <v>9M#2DTR(A)</v>
      </c>
      <c r="M261" s="220" t="str">
        <f t="shared" si="70"/>
        <v>(A)</v>
      </c>
      <c r="N261" s="220" t="str">
        <f t="shared" si="71"/>
        <v>9M#2DTR</v>
      </c>
      <c r="O261" s="220" t="str">
        <f t="shared" si="72"/>
        <v>(A)</v>
      </c>
      <c r="P261" s="52" t="str">
        <f t="shared" si="73"/>
        <v>9M#2DTR(A)</v>
      </c>
      <c r="Q261" s="231" t="str">
        <f t="shared" si="66"/>
        <v>473</v>
      </c>
      <c r="R261" s="224">
        <f t="shared" si="74"/>
        <v>399.66666666666669</v>
      </c>
      <c r="S261" s="52">
        <f t="shared" si="75"/>
        <v>345</v>
      </c>
      <c r="T261" s="221">
        <f t="shared" ca="1" si="76"/>
        <v>9.34</v>
      </c>
      <c r="U261" s="221">
        <f t="shared" si="77"/>
        <v>261</v>
      </c>
      <c r="V261" s="220" t="str">
        <f t="array" ref="V261">INDEX(P:P,MAX(U$3:U261))</f>
        <v>9M#2DTR(A)</v>
      </c>
      <c r="W261" s="220">
        <f t="shared" ca="1" si="78"/>
        <v>30</v>
      </c>
      <c r="X261" s="220" t="str">
        <f t="shared" si="79"/>
        <v/>
      </c>
      <c r="Y261" s="220">
        <f t="shared" si="67"/>
        <v>0</v>
      </c>
      <c r="AA261" s="220" t="str">
        <f t="shared" si="68"/>
        <v>彰林</v>
      </c>
      <c r="AB261" s="220" t="s">
        <v>2166</v>
      </c>
      <c r="AC261" s="220" t="s">
        <v>2166</v>
      </c>
      <c r="BB261" s="514" t="s">
        <v>2215</v>
      </c>
      <c r="BC261" s="514">
        <v>2266</v>
      </c>
      <c r="BD261" s="514" t="s">
        <v>85</v>
      </c>
      <c r="BE261" s="514">
        <v>2266</v>
      </c>
      <c r="BG261" s="229" t="s">
        <v>8523</v>
      </c>
      <c r="BH261" s="230" t="s">
        <v>8410</v>
      </c>
      <c r="BI261" t="s">
        <v>2166</v>
      </c>
      <c r="BJ261" t="s">
        <v>2166</v>
      </c>
    </row>
    <row r="262" spans="1:62">
      <c r="A262" s="229" t="s">
        <v>7000</v>
      </c>
      <c r="B262" s="230" t="s">
        <v>7001</v>
      </c>
      <c r="C262" s="230" t="s">
        <v>7002</v>
      </c>
      <c r="D262" s="229" t="s">
        <v>6847</v>
      </c>
      <c r="E262" s="229" t="s">
        <v>7003</v>
      </c>
      <c r="F262" s="229" t="s">
        <v>5855</v>
      </c>
      <c r="G262" s="229" t="s">
        <v>6870</v>
      </c>
      <c r="H262" s="229" t="s">
        <v>5855</v>
      </c>
      <c r="I262" s="229" t="s">
        <v>7002</v>
      </c>
      <c r="J262" s="231" t="s">
        <v>6941</v>
      </c>
      <c r="K262" s="231" t="s">
        <v>5859</v>
      </c>
      <c r="L262" s="220" t="str">
        <f t="shared" si="69"/>
        <v>9M20</v>
      </c>
      <c r="M262" s="220" t="str">
        <f t="shared" si="70"/>
        <v/>
      </c>
      <c r="N262" s="220" t="str">
        <f t="shared" si="71"/>
        <v/>
      </c>
      <c r="O262" s="220" t="str">
        <f t="shared" si="72"/>
        <v/>
      </c>
      <c r="P262" s="52" t="str">
        <f t="shared" si="73"/>
        <v>9M20</v>
      </c>
      <c r="Q262" s="231" t="str">
        <f t="shared" si="66"/>
        <v>178</v>
      </c>
      <c r="R262" s="224">
        <f t="shared" si="74"/>
        <v>166.33333333333334</v>
      </c>
      <c r="S262" s="52">
        <f t="shared" si="75"/>
        <v>153</v>
      </c>
      <c r="T262" s="221">
        <f t="shared" ca="1" si="76"/>
        <v>3.51</v>
      </c>
      <c r="U262" s="221" t="str">
        <f t="shared" si="77"/>
        <v/>
      </c>
      <c r="V262" s="220" t="str">
        <f t="array" ref="V262">INDEX(P:P,MAX(U$3:U262))</f>
        <v>9M#2DTR(A)</v>
      </c>
      <c r="W262" s="220" t="str">
        <f t="shared" ca="1" si="78"/>
        <v/>
      </c>
      <c r="X262" s="220">
        <f t="shared" si="79"/>
        <v>11.4</v>
      </c>
      <c r="Y262" s="220">
        <f t="shared" si="67"/>
        <v>0</v>
      </c>
      <c r="AA262" s="220" t="str">
        <f t="shared" si="68"/>
        <v>彰林</v>
      </c>
      <c r="AB262" s="220" t="s">
        <v>2167</v>
      </c>
      <c r="AC262" s="220" t="str">
        <f>LEFT(B262,4)</f>
        <v>9M20</v>
      </c>
      <c r="BB262" s="514" t="s">
        <v>2204</v>
      </c>
      <c r="BC262" s="514">
        <v>1055</v>
      </c>
      <c r="BD262" s="514" t="s">
        <v>85</v>
      </c>
      <c r="BE262" s="514">
        <v>1055</v>
      </c>
      <c r="BG262" s="229" t="s">
        <v>40</v>
      </c>
      <c r="BH262" s="230" t="s">
        <v>441</v>
      </c>
      <c r="BI262" t="s">
        <v>2167</v>
      </c>
      <c r="BJ262" t="s">
        <v>2166</v>
      </c>
    </row>
    <row r="263" spans="1:62">
      <c r="A263" s="229" t="s">
        <v>6996</v>
      </c>
      <c r="B263" s="230" t="s">
        <v>7004</v>
      </c>
      <c r="C263" s="230" t="s">
        <v>7005</v>
      </c>
      <c r="D263" s="229" t="s">
        <v>5859</v>
      </c>
      <c r="E263" s="229" t="s">
        <v>6903</v>
      </c>
      <c r="F263" s="229" t="s">
        <v>5849</v>
      </c>
      <c r="G263" s="229" t="s">
        <v>6829</v>
      </c>
      <c r="H263" s="229" t="s">
        <v>5859</v>
      </c>
      <c r="I263" s="229" t="s">
        <v>6829</v>
      </c>
      <c r="J263" s="231" t="s">
        <v>7006</v>
      </c>
      <c r="K263" s="231" t="s">
        <v>5855</v>
      </c>
      <c r="L263" s="220" t="str">
        <f t="shared" si="69"/>
        <v>9M21</v>
      </c>
      <c r="M263" s="220" t="str">
        <f t="shared" si="70"/>
        <v/>
      </c>
      <c r="N263" s="220" t="str">
        <f t="shared" si="71"/>
        <v/>
      </c>
      <c r="O263" s="220" t="str">
        <f t="shared" si="72"/>
        <v/>
      </c>
      <c r="P263" s="52" t="str">
        <f t="shared" si="73"/>
        <v>9M21</v>
      </c>
      <c r="Q263" s="231" t="str">
        <f t="shared" si="66"/>
        <v>65</v>
      </c>
      <c r="R263" s="224">
        <f t="shared" si="74"/>
        <v>60.666666666666664</v>
      </c>
      <c r="S263" s="52">
        <f t="shared" si="75"/>
        <v>54</v>
      </c>
      <c r="T263" s="221">
        <f t="shared" ca="1" si="76"/>
        <v>1.28</v>
      </c>
      <c r="U263" s="221" t="str">
        <f t="shared" si="77"/>
        <v/>
      </c>
      <c r="V263" s="220" t="str">
        <f t="array" ref="V263">INDEX(P:P,MAX(U$3:U263))</f>
        <v>9M#2DTR(A)</v>
      </c>
      <c r="W263" s="220" t="str">
        <f t="shared" ca="1" si="78"/>
        <v/>
      </c>
      <c r="X263" s="220">
        <f t="shared" si="79"/>
        <v>11.4</v>
      </c>
      <c r="Y263" s="220">
        <f t="shared" si="67"/>
        <v>0</v>
      </c>
      <c r="AA263" s="220" t="str">
        <f t="shared" si="68"/>
        <v>彰林</v>
      </c>
      <c r="AB263" s="220" t="s">
        <v>1217</v>
      </c>
      <c r="AC263" s="220" t="str">
        <f>LEFT(B263,4)</f>
        <v>9M21</v>
      </c>
      <c r="BB263" s="514" t="s">
        <v>2220</v>
      </c>
      <c r="BC263" s="514">
        <v>906</v>
      </c>
      <c r="BD263" s="514">
        <v>8</v>
      </c>
      <c r="BE263" s="514">
        <v>914</v>
      </c>
      <c r="BG263" s="229" t="s">
        <v>8524</v>
      </c>
      <c r="BH263" s="230" t="s">
        <v>442</v>
      </c>
      <c r="BI263" t="s">
        <v>1217</v>
      </c>
      <c r="BJ263" t="s">
        <v>2166</v>
      </c>
    </row>
    <row r="264" spans="1:62">
      <c r="A264" s="229" t="s">
        <v>6996</v>
      </c>
      <c r="B264" s="230" t="s">
        <v>7007</v>
      </c>
      <c r="C264" s="230" t="s">
        <v>5838</v>
      </c>
      <c r="D264" s="229" t="s">
        <v>6875</v>
      </c>
      <c r="E264" s="229" t="s">
        <v>5626</v>
      </c>
      <c r="F264" s="229" t="s">
        <v>5895</v>
      </c>
      <c r="G264" s="229" t="s">
        <v>7008</v>
      </c>
      <c r="H264" s="229" t="s">
        <v>6875</v>
      </c>
      <c r="I264" s="229" t="s">
        <v>5838</v>
      </c>
      <c r="J264" s="231" t="s">
        <v>6944</v>
      </c>
      <c r="K264" s="231" t="s">
        <v>6912</v>
      </c>
      <c r="L264" s="220" t="str">
        <f t="shared" si="69"/>
        <v>9M22</v>
      </c>
      <c r="M264" s="220" t="str">
        <f t="shared" si="70"/>
        <v/>
      </c>
      <c r="N264" s="220" t="str">
        <f t="shared" si="71"/>
        <v/>
      </c>
      <c r="O264" s="220" t="str">
        <f t="shared" si="72"/>
        <v/>
      </c>
      <c r="P264" s="52" t="str">
        <f t="shared" si="73"/>
        <v>9M22</v>
      </c>
      <c r="Q264" s="231" t="str">
        <f t="shared" si="66"/>
        <v>175</v>
      </c>
      <c r="R264" s="224">
        <f t="shared" si="74"/>
        <v>141.66666666666666</v>
      </c>
      <c r="S264" s="52">
        <f t="shared" si="75"/>
        <v>117</v>
      </c>
      <c r="T264" s="221">
        <f t="shared" ca="1" si="76"/>
        <v>3.46</v>
      </c>
      <c r="U264" s="221" t="str">
        <f t="shared" si="77"/>
        <v/>
      </c>
      <c r="V264" s="220" t="str">
        <f t="array" ref="V264">INDEX(P:P,MAX(U$3:U264))</f>
        <v>9M#2DTR(A)</v>
      </c>
      <c r="W264" s="220" t="str">
        <f t="shared" ca="1" si="78"/>
        <v/>
      </c>
      <c r="X264" s="220">
        <f t="shared" si="79"/>
        <v>11.4</v>
      </c>
      <c r="Y264" s="220">
        <f t="shared" si="67"/>
        <v>0</v>
      </c>
      <c r="AA264" s="220" t="str">
        <f t="shared" si="68"/>
        <v>彰林</v>
      </c>
      <c r="AB264" s="220" t="s">
        <v>1235</v>
      </c>
      <c r="AC264" s="220" t="str">
        <f>LEFT(B264,4)</f>
        <v>9M22</v>
      </c>
      <c r="BB264" s="514" t="s">
        <v>1953</v>
      </c>
      <c r="BC264" s="514">
        <v>1878</v>
      </c>
      <c r="BD264" s="514" t="s">
        <v>85</v>
      </c>
      <c r="BE264" s="514">
        <v>1878</v>
      </c>
      <c r="BG264" s="229" t="s">
        <v>8523</v>
      </c>
      <c r="BH264" s="230" t="s">
        <v>8525</v>
      </c>
      <c r="BI264" t="s">
        <v>1235</v>
      </c>
      <c r="BJ264" t="s">
        <v>2166</v>
      </c>
    </row>
    <row r="265" spans="1:62">
      <c r="A265" s="229" t="s">
        <v>6996</v>
      </c>
      <c r="B265" s="230" t="s">
        <v>7009</v>
      </c>
      <c r="C265" s="230" t="s">
        <v>6963</v>
      </c>
      <c r="D265" s="229" t="s">
        <v>6875</v>
      </c>
      <c r="E265" s="229" t="s">
        <v>7010</v>
      </c>
      <c r="F265" s="229" t="s">
        <v>6847</v>
      </c>
      <c r="G265" s="229" t="s">
        <v>6852</v>
      </c>
      <c r="H265" s="229" t="s">
        <v>5722</v>
      </c>
      <c r="I265" s="229" t="s">
        <v>6963</v>
      </c>
      <c r="J265" s="231" t="s">
        <v>6891</v>
      </c>
      <c r="K265" s="231" t="s">
        <v>5895</v>
      </c>
      <c r="L265" s="220" t="str">
        <f t="shared" si="69"/>
        <v>9M23</v>
      </c>
      <c r="M265" s="220" t="str">
        <f t="shared" si="70"/>
        <v/>
      </c>
      <c r="N265" s="220" t="str">
        <f t="shared" si="71"/>
        <v/>
      </c>
      <c r="O265" s="220" t="str">
        <f t="shared" si="72"/>
        <v/>
      </c>
      <c r="P265" s="52" t="str">
        <f t="shared" si="73"/>
        <v>9M23</v>
      </c>
      <c r="Q265" s="231" t="str">
        <f t="shared" si="66"/>
        <v>34</v>
      </c>
      <c r="R265" s="224">
        <f t="shared" si="74"/>
        <v>32</v>
      </c>
      <c r="S265" s="52">
        <f t="shared" si="75"/>
        <v>30</v>
      </c>
      <c r="T265" s="221">
        <f t="shared" ca="1" si="76"/>
        <v>0.67</v>
      </c>
      <c r="U265" s="221" t="str">
        <f t="shared" si="77"/>
        <v/>
      </c>
      <c r="V265" s="220" t="str">
        <f t="array" ref="V265">INDEX(P:P,MAX(U$3:U265))</f>
        <v>9M#2DTR(A)</v>
      </c>
      <c r="W265" s="220" t="str">
        <f t="shared" ca="1" si="78"/>
        <v/>
      </c>
      <c r="X265" s="220">
        <f t="shared" si="79"/>
        <v>11.4</v>
      </c>
      <c r="Y265" s="220">
        <f t="shared" si="67"/>
        <v>0</v>
      </c>
      <c r="AA265" s="220" t="str">
        <f t="shared" si="68"/>
        <v>彰林</v>
      </c>
      <c r="AB265" s="220" t="s">
        <v>1273</v>
      </c>
      <c r="AC265" s="220" t="str">
        <f>LEFT(B265,4)</f>
        <v>9M23</v>
      </c>
      <c r="BB265" s="514" t="s">
        <v>2221</v>
      </c>
      <c r="BC265" s="514">
        <v>754</v>
      </c>
      <c r="BD265" s="514">
        <v>3</v>
      </c>
      <c r="BE265" s="514">
        <v>757</v>
      </c>
      <c r="BG265" s="229" t="s">
        <v>8523</v>
      </c>
      <c r="BH265" s="230" t="s">
        <v>443</v>
      </c>
      <c r="BI265" t="s">
        <v>1273</v>
      </c>
      <c r="BJ265" t="s">
        <v>2166</v>
      </c>
    </row>
    <row r="266" spans="1:62">
      <c r="A266" s="229" t="s">
        <v>6996</v>
      </c>
      <c r="B266" s="230" t="s">
        <v>7011</v>
      </c>
      <c r="C266" s="230" t="s">
        <v>6852</v>
      </c>
      <c r="D266" s="229" t="s">
        <v>5859</v>
      </c>
      <c r="E266" s="229" t="s">
        <v>5669</v>
      </c>
      <c r="F266" s="229" t="s">
        <v>6875</v>
      </c>
      <c r="G266" s="229" t="s">
        <v>6988</v>
      </c>
      <c r="H266" s="229" t="s">
        <v>5653</v>
      </c>
      <c r="I266" s="229" t="s">
        <v>6852</v>
      </c>
      <c r="J266" s="231" t="s">
        <v>5669</v>
      </c>
      <c r="K266" s="231" t="s">
        <v>5855</v>
      </c>
      <c r="L266" s="220" t="str">
        <f t="shared" si="69"/>
        <v>9M24</v>
      </c>
      <c r="M266" s="220" t="str">
        <f t="shared" si="70"/>
        <v/>
      </c>
      <c r="N266" s="220" t="str">
        <f t="shared" si="71"/>
        <v/>
      </c>
      <c r="O266" s="220" t="str">
        <f t="shared" si="72"/>
        <v/>
      </c>
      <c r="P266" s="52" t="str">
        <f t="shared" si="73"/>
        <v>9M24</v>
      </c>
      <c r="Q266" s="231" t="str">
        <f t="shared" si="66"/>
        <v>30</v>
      </c>
      <c r="R266" s="224">
        <f t="shared" si="74"/>
        <v>25.333333333333332</v>
      </c>
      <c r="S266" s="52">
        <f t="shared" si="75"/>
        <v>18</v>
      </c>
      <c r="T266" s="221">
        <f t="shared" ca="1" si="76"/>
        <v>0.59</v>
      </c>
      <c r="U266" s="221" t="str">
        <f t="shared" si="77"/>
        <v/>
      </c>
      <c r="V266" s="220" t="str">
        <f t="array" ref="V266">INDEX(P:P,MAX(U$3:U266))</f>
        <v>9M#2DTR(A)</v>
      </c>
      <c r="W266" s="220" t="str">
        <f t="shared" ca="1" si="78"/>
        <v/>
      </c>
      <c r="X266" s="220">
        <f t="shared" si="79"/>
        <v>11.4</v>
      </c>
      <c r="Y266" s="220">
        <f t="shared" si="67"/>
        <v>0</v>
      </c>
      <c r="AA266" s="220" t="str">
        <f t="shared" si="68"/>
        <v>彰林</v>
      </c>
      <c r="AB266" s="220" t="s">
        <v>1291</v>
      </c>
      <c r="AC266" s="220" t="str">
        <f>LEFT(B266,4)</f>
        <v>9M24</v>
      </c>
      <c r="BB266" s="514" t="s">
        <v>2222</v>
      </c>
      <c r="BC266" s="514">
        <v>604</v>
      </c>
      <c r="BD266" s="514">
        <v>2</v>
      </c>
      <c r="BE266" s="514">
        <v>606</v>
      </c>
      <c r="BG266" s="229" t="s">
        <v>8523</v>
      </c>
      <c r="BH266" s="230" t="s">
        <v>8526</v>
      </c>
      <c r="BI266" t="s">
        <v>1291</v>
      </c>
      <c r="BJ266" t="s">
        <v>2166</v>
      </c>
    </row>
    <row r="267" spans="1:62">
      <c r="A267" s="229" t="s">
        <v>40</v>
      </c>
      <c r="B267" s="230" t="s">
        <v>7012</v>
      </c>
      <c r="C267" s="230" t="s">
        <v>7013</v>
      </c>
      <c r="D267" s="229" t="s">
        <v>7014</v>
      </c>
      <c r="E267" s="229" t="s">
        <v>7015</v>
      </c>
      <c r="F267" s="229" t="s">
        <v>7016</v>
      </c>
      <c r="G267" s="229" t="s">
        <v>7017</v>
      </c>
      <c r="H267" s="229" t="s">
        <v>797</v>
      </c>
      <c r="I267" s="229" t="s">
        <v>7018</v>
      </c>
      <c r="J267" s="231" t="s">
        <v>7019</v>
      </c>
      <c r="K267" s="231" t="s">
        <v>7020</v>
      </c>
      <c r="L267" s="220" t="str">
        <f t="shared" si="69"/>
        <v>9M#2DTR(B)</v>
      </c>
      <c r="M267" s="220" t="str">
        <f t="shared" si="70"/>
        <v>(B)</v>
      </c>
      <c r="N267" s="220" t="str">
        <f t="shared" si="71"/>
        <v>9M#2DTR</v>
      </c>
      <c r="O267" s="220" t="str">
        <f t="shared" si="72"/>
        <v>(B)</v>
      </c>
      <c r="P267" s="52" t="str">
        <f t="shared" si="73"/>
        <v>9M#2DTR(B)</v>
      </c>
      <c r="Q267" s="231" t="str">
        <f t="shared" si="66"/>
        <v>846</v>
      </c>
      <c r="R267" s="224">
        <f t="shared" si="74"/>
        <v>820</v>
      </c>
      <c r="S267" s="52">
        <f t="shared" si="75"/>
        <v>777</v>
      </c>
      <c r="T267" s="221">
        <f t="shared" ca="1" si="76"/>
        <v>16.7</v>
      </c>
      <c r="U267" s="221">
        <f t="shared" si="77"/>
        <v>267</v>
      </c>
      <c r="V267" s="220" t="str">
        <f t="array" ref="V267">INDEX(P:P,MAX(U$3:U267))</f>
        <v>9M#2DTR(B)</v>
      </c>
      <c r="W267" s="220">
        <f t="shared" ca="1" si="78"/>
        <v>30</v>
      </c>
      <c r="X267" s="220" t="str">
        <f t="shared" si="79"/>
        <v/>
      </c>
      <c r="Y267" s="220">
        <f t="shared" si="67"/>
        <v>0</v>
      </c>
      <c r="AA267" s="220" t="str">
        <f t="shared" si="68"/>
        <v>彰林</v>
      </c>
      <c r="AB267" s="220" t="s">
        <v>2168</v>
      </c>
      <c r="AC267" s="220" t="s">
        <v>2168</v>
      </c>
      <c r="BB267" s="514" t="s">
        <v>1955</v>
      </c>
      <c r="BC267" s="514">
        <v>186</v>
      </c>
      <c r="BD267" s="514">
        <v>1</v>
      </c>
      <c r="BE267" s="514">
        <v>187</v>
      </c>
      <c r="BG267" s="229" t="s">
        <v>8523</v>
      </c>
      <c r="BH267" s="230" t="s">
        <v>8519</v>
      </c>
      <c r="BI267" t="s">
        <v>2168</v>
      </c>
      <c r="BJ267" t="s">
        <v>2168</v>
      </c>
    </row>
    <row r="268" spans="1:62">
      <c r="A268" s="229" t="s">
        <v>7000</v>
      </c>
      <c r="B268" s="230" t="s">
        <v>7021</v>
      </c>
      <c r="C268" s="230" t="s">
        <v>7022</v>
      </c>
      <c r="D268" s="229" t="s">
        <v>5836</v>
      </c>
      <c r="E268" s="229" t="s">
        <v>7023</v>
      </c>
      <c r="F268" s="229" t="s">
        <v>5836</v>
      </c>
      <c r="G268" s="229" t="s">
        <v>7024</v>
      </c>
      <c r="H268" s="229" t="s">
        <v>7016</v>
      </c>
      <c r="I268" s="229" t="s">
        <v>7025</v>
      </c>
      <c r="J268" s="231" t="s">
        <v>7026</v>
      </c>
      <c r="K268" s="231" t="s">
        <v>7027</v>
      </c>
      <c r="L268" s="220" t="str">
        <f t="shared" si="69"/>
        <v>9M25</v>
      </c>
      <c r="M268" s="220" t="str">
        <f t="shared" si="70"/>
        <v/>
      </c>
      <c r="N268" s="220" t="str">
        <f t="shared" si="71"/>
        <v/>
      </c>
      <c r="O268" s="220" t="str">
        <f t="shared" si="72"/>
        <v/>
      </c>
      <c r="P268" s="52" t="str">
        <f t="shared" si="73"/>
        <v>9M25</v>
      </c>
      <c r="Q268" s="231" t="str">
        <f t="shared" si="66"/>
        <v>224</v>
      </c>
      <c r="R268" s="224">
        <f t="shared" si="74"/>
        <v>207</v>
      </c>
      <c r="S268" s="52">
        <f t="shared" si="75"/>
        <v>198</v>
      </c>
      <c r="T268" s="221">
        <f t="shared" ca="1" si="76"/>
        <v>4.42</v>
      </c>
      <c r="U268" s="221" t="str">
        <f t="shared" si="77"/>
        <v/>
      </c>
      <c r="V268" s="220" t="str">
        <f t="array" ref="V268">INDEX(P:P,MAX(U$3:U268))</f>
        <v>9M#2DTR(B)</v>
      </c>
      <c r="W268" s="220" t="str">
        <f t="shared" ca="1" si="78"/>
        <v/>
      </c>
      <c r="X268" s="220">
        <f t="shared" si="79"/>
        <v>11.4</v>
      </c>
      <c r="Y268" s="220">
        <f t="shared" si="67"/>
        <v>0</v>
      </c>
      <c r="AA268" s="220" t="str">
        <f t="shared" si="68"/>
        <v>彰林</v>
      </c>
      <c r="AB268" s="220" t="s">
        <v>2169</v>
      </c>
      <c r="AC268" s="220" t="str">
        <f>LEFT(B268,4)</f>
        <v>9M25</v>
      </c>
      <c r="BB268" s="514" t="s">
        <v>2224</v>
      </c>
      <c r="BC268" s="514">
        <v>4577</v>
      </c>
      <c r="BD268" s="514">
        <v>6</v>
      </c>
      <c r="BE268" s="514">
        <v>4583</v>
      </c>
      <c r="BG268" s="229" t="s">
        <v>8523</v>
      </c>
      <c r="BH268" s="230" t="s">
        <v>8527</v>
      </c>
      <c r="BI268" t="s">
        <v>2169</v>
      </c>
      <c r="BJ268" t="s">
        <v>2168</v>
      </c>
    </row>
    <row r="269" spans="1:62">
      <c r="A269" s="229" t="s">
        <v>40</v>
      </c>
      <c r="B269" s="230" t="s">
        <v>444</v>
      </c>
      <c r="C269" s="230" t="s">
        <v>1006</v>
      </c>
      <c r="D269" s="229" t="s">
        <v>846</v>
      </c>
      <c r="E269" s="229" t="s">
        <v>6081</v>
      </c>
      <c r="F269" s="229" t="s">
        <v>850</v>
      </c>
      <c r="G269" s="229" t="s">
        <v>895</v>
      </c>
      <c r="H269" s="229" t="s">
        <v>850</v>
      </c>
      <c r="I269" s="229" t="s">
        <v>1006</v>
      </c>
      <c r="J269" s="231" t="s">
        <v>937</v>
      </c>
      <c r="K269" s="231" t="s">
        <v>846</v>
      </c>
      <c r="L269" s="220" t="str">
        <f t="shared" si="69"/>
        <v>9M26</v>
      </c>
      <c r="M269" s="220" t="str">
        <f t="shared" si="70"/>
        <v/>
      </c>
      <c r="N269" s="220" t="str">
        <f t="shared" si="71"/>
        <v/>
      </c>
      <c r="O269" s="220" t="str">
        <f t="shared" si="72"/>
        <v/>
      </c>
      <c r="P269" s="52" t="str">
        <f t="shared" si="73"/>
        <v>9M26</v>
      </c>
      <c r="Q269" s="231" t="str">
        <f t="shared" si="66"/>
        <v>218</v>
      </c>
      <c r="R269" s="224">
        <f t="shared" si="74"/>
        <v>192.66666666666666</v>
      </c>
      <c r="S269" s="52">
        <f t="shared" si="75"/>
        <v>176</v>
      </c>
      <c r="T269" s="221">
        <f t="shared" ca="1" si="76"/>
        <v>4.3</v>
      </c>
      <c r="U269" s="221" t="str">
        <f t="shared" si="77"/>
        <v/>
      </c>
      <c r="V269" s="220" t="str">
        <f t="array" ref="V269">INDEX(P:P,MAX(U$3:U269))</f>
        <v>9M#2DTR(B)</v>
      </c>
      <c r="W269" s="220" t="str">
        <f t="shared" ca="1" si="78"/>
        <v/>
      </c>
      <c r="X269" s="220">
        <f t="shared" si="79"/>
        <v>11.4</v>
      </c>
      <c r="Y269" s="220">
        <f t="shared" si="67"/>
        <v>0</v>
      </c>
      <c r="AA269" s="220" t="str">
        <f t="shared" si="68"/>
        <v>彰林</v>
      </c>
      <c r="AB269" s="220" t="s">
        <v>1371</v>
      </c>
      <c r="AC269" s="220" t="str">
        <f>LEFT(B269,4)</f>
        <v>9M26</v>
      </c>
      <c r="BB269" s="514" t="s">
        <v>2225</v>
      </c>
      <c r="BC269" s="514">
        <v>1825</v>
      </c>
      <c r="BD269" s="514">
        <v>3</v>
      </c>
      <c r="BE269" s="514">
        <v>1828</v>
      </c>
      <c r="BG269" s="229" t="s">
        <v>40</v>
      </c>
      <c r="BH269" s="230" t="s">
        <v>8528</v>
      </c>
      <c r="BI269" t="s">
        <v>1371</v>
      </c>
      <c r="BJ269" t="s">
        <v>2168</v>
      </c>
    </row>
    <row r="270" spans="1:62">
      <c r="A270" s="229" t="s">
        <v>6996</v>
      </c>
      <c r="B270" s="230" t="s">
        <v>7028</v>
      </c>
      <c r="C270" s="230" t="s">
        <v>7029</v>
      </c>
      <c r="D270" s="229" t="s">
        <v>5722</v>
      </c>
      <c r="E270" s="229" t="s">
        <v>7030</v>
      </c>
      <c r="F270" s="229" t="s">
        <v>5722</v>
      </c>
      <c r="G270" s="229" t="s">
        <v>7031</v>
      </c>
      <c r="H270" s="229" t="s">
        <v>5722</v>
      </c>
      <c r="I270" s="229" t="s">
        <v>7031</v>
      </c>
      <c r="J270" s="231" t="s">
        <v>6835</v>
      </c>
      <c r="K270" s="231" t="s">
        <v>5625</v>
      </c>
      <c r="L270" s="220" t="str">
        <f t="shared" si="69"/>
        <v>9M27</v>
      </c>
      <c r="M270" s="220" t="str">
        <f t="shared" si="70"/>
        <v/>
      </c>
      <c r="N270" s="220" t="str">
        <f t="shared" si="71"/>
        <v/>
      </c>
      <c r="O270" s="220" t="str">
        <f t="shared" si="72"/>
        <v/>
      </c>
      <c r="P270" s="52" t="str">
        <f t="shared" si="73"/>
        <v>9M27</v>
      </c>
      <c r="Q270" s="231" t="str">
        <f t="shared" si="66"/>
        <v>240</v>
      </c>
      <c r="R270" s="224">
        <f t="shared" si="74"/>
        <v>225</v>
      </c>
      <c r="S270" s="52">
        <f t="shared" si="75"/>
        <v>211</v>
      </c>
      <c r="T270" s="221">
        <f t="shared" ca="1" si="76"/>
        <v>4.74</v>
      </c>
      <c r="U270" s="221" t="str">
        <f t="shared" si="77"/>
        <v/>
      </c>
      <c r="V270" s="220" t="str">
        <f t="array" ref="V270">INDEX(P:P,MAX(U$3:U270))</f>
        <v>9M#2DTR(B)</v>
      </c>
      <c r="W270" s="220" t="str">
        <f t="shared" ca="1" si="78"/>
        <v/>
      </c>
      <c r="X270" s="220">
        <f t="shared" si="79"/>
        <v>11.4</v>
      </c>
      <c r="Y270" s="220">
        <f t="shared" si="67"/>
        <v>0</v>
      </c>
      <c r="AA270" s="220" t="str">
        <f t="shared" si="68"/>
        <v>彰林</v>
      </c>
      <c r="AB270" s="220" t="s">
        <v>1382</v>
      </c>
      <c r="AC270" s="220" t="str">
        <f>LEFT(B270,4)</f>
        <v>9M27</v>
      </c>
      <c r="BB270" s="514" t="s">
        <v>2226</v>
      </c>
      <c r="BC270" s="514">
        <v>2312</v>
      </c>
      <c r="BD270" s="514">
        <v>2</v>
      </c>
      <c r="BE270" s="514">
        <v>2314</v>
      </c>
      <c r="BG270" s="229" t="s">
        <v>8523</v>
      </c>
      <c r="BH270" s="230" t="s">
        <v>445</v>
      </c>
      <c r="BI270" t="s">
        <v>1382</v>
      </c>
      <c r="BJ270" t="s">
        <v>2168</v>
      </c>
    </row>
    <row r="271" spans="1:62">
      <c r="A271" s="229" t="s">
        <v>7032</v>
      </c>
      <c r="B271" s="230" t="s">
        <v>7033</v>
      </c>
      <c r="C271" s="230" t="s">
        <v>7034</v>
      </c>
      <c r="D271" s="229" t="s">
        <v>7035</v>
      </c>
      <c r="E271" s="229" t="s">
        <v>7036</v>
      </c>
      <c r="F271" s="229" t="s">
        <v>7037</v>
      </c>
      <c r="G271" s="229" t="s">
        <v>7038</v>
      </c>
      <c r="H271" s="229" t="s">
        <v>7035</v>
      </c>
      <c r="I271" s="229" t="s">
        <v>7038</v>
      </c>
      <c r="J271" s="231" t="s">
        <v>7039</v>
      </c>
      <c r="K271" s="231" t="s">
        <v>7040</v>
      </c>
      <c r="L271" s="220" t="str">
        <f t="shared" si="69"/>
        <v>9M28</v>
      </c>
      <c r="M271" s="220" t="str">
        <f t="shared" si="70"/>
        <v/>
      </c>
      <c r="N271" s="220" t="str">
        <f t="shared" si="71"/>
        <v/>
      </c>
      <c r="O271" s="220" t="str">
        <f t="shared" si="72"/>
        <v/>
      </c>
      <c r="P271" s="52" t="str">
        <f t="shared" si="73"/>
        <v>9M28</v>
      </c>
      <c r="Q271" s="231" t="str">
        <f t="shared" ref="Q271:Q334" si="80">I271</f>
        <v>137</v>
      </c>
      <c r="R271" s="224">
        <f t="shared" si="74"/>
        <v>123.33333333333333</v>
      </c>
      <c r="S271" s="52">
        <f t="shared" si="75"/>
        <v>116</v>
      </c>
      <c r="T271" s="221">
        <f t="shared" ca="1" si="76"/>
        <v>2.71</v>
      </c>
      <c r="U271" s="221" t="str">
        <f t="shared" si="77"/>
        <v/>
      </c>
      <c r="V271" s="220" t="str">
        <f t="array" ref="V271">INDEX(P:P,MAX(U$3:U271))</f>
        <v>9M#2DTR(B)</v>
      </c>
      <c r="W271" s="220" t="str">
        <f t="shared" ca="1" si="78"/>
        <v/>
      </c>
      <c r="X271" s="220">
        <f t="shared" si="79"/>
        <v>11.4</v>
      </c>
      <c r="Y271" s="220">
        <f t="shared" si="67"/>
        <v>0</v>
      </c>
      <c r="AA271" s="220" t="str">
        <f t="shared" si="68"/>
        <v>彰林</v>
      </c>
      <c r="AB271" s="220" t="s">
        <v>1415</v>
      </c>
      <c r="AC271" s="220" t="str">
        <f>LEFT(B271,4)</f>
        <v>9M28</v>
      </c>
      <c r="BB271" s="514" t="s">
        <v>2227</v>
      </c>
      <c r="BC271" s="514">
        <v>683</v>
      </c>
      <c r="BD271" s="514">
        <v>3</v>
      </c>
      <c r="BE271" s="514">
        <v>686</v>
      </c>
      <c r="BG271" s="229" t="s">
        <v>40</v>
      </c>
      <c r="BH271" s="230" t="s">
        <v>8529</v>
      </c>
      <c r="BI271" t="s">
        <v>1415</v>
      </c>
      <c r="BJ271" t="s">
        <v>2168</v>
      </c>
    </row>
    <row r="272" spans="1:62">
      <c r="A272" s="229" t="s">
        <v>7041</v>
      </c>
      <c r="B272" s="230" t="s">
        <v>7042</v>
      </c>
      <c r="C272" s="230" t="s">
        <v>7043</v>
      </c>
      <c r="D272" s="229" t="s">
        <v>5722</v>
      </c>
      <c r="E272" s="229" t="s">
        <v>7044</v>
      </c>
      <c r="F272" s="229" t="s">
        <v>5722</v>
      </c>
      <c r="G272" s="229" t="s">
        <v>7045</v>
      </c>
      <c r="H272" s="229" t="s">
        <v>5722</v>
      </c>
      <c r="I272" s="229" t="s">
        <v>7044</v>
      </c>
      <c r="J272" s="231" t="s">
        <v>7046</v>
      </c>
      <c r="K272" s="231" t="s">
        <v>7047</v>
      </c>
      <c r="L272" s="220" t="str">
        <f t="shared" si="69"/>
        <v>9M29</v>
      </c>
      <c r="M272" s="220" t="str">
        <f t="shared" si="70"/>
        <v/>
      </c>
      <c r="N272" s="220" t="str">
        <f t="shared" si="71"/>
        <v/>
      </c>
      <c r="O272" s="220" t="str">
        <f t="shared" si="72"/>
        <v/>
      </c>
      <c r="P272" s="52" t="str">
        <f t="shared" si="73"/>
        <v>9M29</v>
      </c>
      <c r="Q272" s="231" t="str">
        <f t="shared" si="80"/>
        <v>115</v>
      </c>
      <c r="R272" s="224">
        <f t="shared" si="74"/>
        <v>105.66666666666667</v>
      </c>
      <c r="S272" s="52">
        <f t="shared" si="75"/>
        <v>99</v>
      </c>
      <c r="T272" s="221">
        <f t="shared" ca="1" si="76"/>
        <v>2.27</v>
      </c>
      <c r="U272" s="221" t="str">
        <f t="shared" si="77"/>
        <v/>
      </c>
      <c r="V272" s="220" t="str">
        <f t="array" ref="V272">INDEX(P:P,MAX(U$3:U272))</f>
        <v>9M#2DTR(B)</v>
      </c>
      <c r="W272" s="220" t="str">
        <f t="shared" ca="1" si="78"/>
        <v/>
      </c>
      <c r="X272" s="220">
        <f t="shared" si="79"/>
        <v>11.4</v>
      </c>
      <c r="Y272" s="220">
        <f t="shared" si="67"/>
        <v>0</v>
      </c>
      <c r="AA272" s="220" t="str">
        <f t="shared" si="68"/>
        <v>彰林</v>
      </c>
      <c r="AB272" s="220" t="s">
        <v>1426</v>
      </c>
      <c r="AC272" s="220" t="str">
        <f>LEFT(B272,4)</f>
        <v>9M29</v>
      </c>
      <c r="BB272" s="514" t="s">
        <v>2228</v>
      </c>
      <c r="BC272" s="514">
        <v>4375</v>
      </c>
      <c r="BD272" s="514" t="s">
        <v>85</v>
      </c>
      <c r="BE272" s="514">
        <v>4375</v>
      </c>
      <c r="BG272" s="229" t="s">
        <v>8523</v>
      </c>
      <c r="BH272" s="230" t="s">
        <v>8530</v>
      </c>
      <c r="BI272" t="s">
        <v>1426</v>
      </c>
      <c r="BJ272" t="s">
        <v>2168</v>
      </c>
    </row>
    <row r="273" spans="1:62">
      <c r="A273" s="229" t="s">
        <v>7048</v>
      </c>
      <c r="B273" s="230" t="s">
        <v>399</v>
      </c>
      <c r="C273" s="230" t="s">
        <v>7049</v>
      </c>
      <c r="D273" s="229" t="s">
        <v>7050</v>
      </c>
      <c r="E273" s="229" t="s">
        <v>4671</v>
      </c>
      <c r="F273" s="229" t="s">
        <v>7051</v>
      </c>
      <c r="G273" s="229" t="s">
        <v>7052</v>
      </c>
      <c r="H273" s="229" t="s">
        <v>846</v>
      </c>
      <c r="I273" s="229" t="s">
        <v>4671</v>
      </c>
      <c r="J273" s="231" t="s">
        <v>358</v>
      </c>
      <c r="K273" s="231" t="s">
        <v>358</v>
      </c>
      <c r="L273" s="220" t="str">
        <f t="shared" si="69"/>
        <v>9M#3DTR(A)</v>
      </c>
      <c r="M273" s="220" t="str">
        <f t="shared" si="70"/>
        <v>(A)</v>
      </c>
      <c r="N273" s="220" t="str">
        <f t="shared" si="71"/>
        <v>9M#3DTR</v>
      </c>
      <c r="O273" s="220" t="str">
        <f t="shared" si="72"/>
        <v>(A)</v>
      </c>
      <c r="P273" s="52" t="str">
        <f t="shared" si="73"/>
        <v>9M#3DTR(A)</v>
      </c>
      <c r="Q273" s="231" t="str">
        <f t="shared" si="80"/>
        <v>749</v>
      </c>
      <c r="R273" s="224">
        <f t="shared" si="74"/>
        <v>739.33333333333337</v>
      </c>
      <c r="S273" s="52">
        <f t="shared" si="75"/>
        <v>722</v>
      </c>
      <c r="T273" s="221">
        <f t="shared" ca="1" si="76"/>
        <v>14.79</v>
      </c>
      <c r="U273" s="221">
        <f t="shared" si="77"/>
        <v>273</v>
      </c>
      <c r="V273" s="220" t="str">
        <f t="array" ref="V273">INDEX(P:P,MAX(U$3:U273))</f>
        <v>9M#3DTR(A)</v>
      </c>
      <c r="W273" s="220">
        <f t="shared" ca="1" si="78"/>
        <v>30</v>
      </c>
      <c r="X273" s="220" t="str">
        <f t="shared" si="79"/>
        <v/>
      </c>
      <c r="Y273" s="220">
        <f t="shared" si="67"/>
        <v>0</v>
      </c>
      <c r="AA273" s="220" t="str">
        <f t="shared" si="68"/>
        <v>彰林</v>
      </c>
      <c r="AB273" s="220" t="s">
        <v>2170</v>
      </c>
      <c r="AC273" s="220" t="s">
        <v>2170</v>
      </c>
      <c r="BB273" s="514" t="s">
        <v>3223</v>
      </c>
      <c r="BC273" s="514" t="s">
        <v>85</v>
      </c>
      <c r="BD273" s="514" t="s">
        <v>85</v>
      </c>
      <c r="BE273" s="514">
        <v>0</v>
      </c>
      <c r="BG273" s="229" t="s">
        <v>8523</v>
      </c>
      <c r="BH273" s="230" t="s">
        <v>8370</v>
      </c>
      <c r="BI273" t="s">
        <v>2170</v>
      </c>
      <c r="BJ273" t="s">
        <v>2170</v>
      </c>
    </row>
    <row r="274" spans="1:62">
      <c r="A274" s="229" t="s">
        <v>40</v>
      </c>
      <c r="B274" s="230" t="s">
        <v>446</v>
      </c>
      <c r="C274" s="230" t="s">
        <v>7053</v>
      </c>
      <c r="D274" s="229" t="s">
        <v>845</v>
      </c>
      <c r="E274" s="229" t="s">
        <v>892</v>
      </c>
      <c r="F274" s="229" t="s">
        <v>845</v>
      </c>
      <c r="G274" s="229" t="s">
        <v>7054</v>
      </c>
      <c r="H274" s="229" t="s">
        <v>850</v>
      </c>
      <c r="I274" s="229" t="s">
        <v>3156</v>
      </c>
      <c r="J274" s="231" t="s">
        <v>910</v>
      </c>
      <c r="K274" s="231" t="s">
        <v>5650</v>
      </c>
      <c r="L274" s="220" t="str">
        <f t="shared" si="69"/>
        <v>9M30</v>
      </c>
      <c r="M274" s="220" t="str">
        <f t="shared" si="70"/>
        <v/>
      </c>
      <c r="N274" s="220" t="str">
        <f t="shared" si="71"/>
        <v/>
      </c>
      <c r="O274" s="220" t="str">
        <f t="shared" si="72"/>
        <v/>
      </c>
      <c r="P274" s="52" t="str">
        <f t="shared" si="73"/>
        <v>9M30</v>
      </c>
      <c r="Q274" s="231" t="str">
        <f t="shared" si="80"/>
        <v>293</v>
      </c>
      <c r="R274" s="224">
        <f t="shared" si="74"/>
        <v>271</v>
      </c>
      <c r="S274" s="52">
        <f t="shared" si="75"/>
        <v>252</v>
      </c>
      <c r="T274" s="221">
        <f t="shared" ca="1" si="76"/>
        <v>5.79</v>
      </c>
      <c r="U274" s="221" t="str">
        <f t="shared" si="77"/>
        <v/>
      </c>
      <c r="V274" s="220" t="str">
        <f t="array" ref="V274">INDEX(P:P,MAX(U$3:U274))</f>
        <v>9M#3DTR(A)</v>
      </c>
      <c r="W274" s="220" t="str">
        <f t="shared" ca="1" si="78"/>
        <v/>
      </c>
      <c r="X274" s="220">
        <f t="shared" si="79"/>
        <v>11.4</v>
      </c>
      <c r="Y274" s="220">
        <f t="shared" si="67"/>
        <v>0</v>
      </c>
      <c r="AA274" s="220" t="str">
        <f t="shared" si="68"/>
        <v>彰林</v>
      </c>
      <c r="AB274" s="220" t="s">
        <v>2171</v>
      </c>
      <c r="AC274" s="220" t="str">
        <f>LEFT(B274,4)</f>
        <v>9M30</v>
      </c>
      <c r="BB274" s="514" t="s">
        <v>2230</v>
      </c>
      <c r="BC274" s="514">
        <v>1956</v>
      </c>
      <c r="BD274" s="514">
        <v>1</v>
      </c>
      <c r="BE274" s="514">
        <v>1957</v>
      </c>
      <c r="BG274" s="229" t="s">
        <v>40</v>
      </c>
      <c r="BH274" s="230" t="s">
        <v>446</v>
      </c>
      <c r="BI274" t="s">
        <v>2171</v>
      </c>
      <c r="BJ274" t="s">
        <v>2170</v>
      </c>
    </row>
    <row r="275" spans="1:62">
      <c r="A275" s="229" t="s">
        <v>40</v>
      </c>
      <c r="B275" s="230" t="s">
        <v>7055</v>
      </c>
      <c r="C275" s="230" t="s">
        <v>880</v>
      </c>
      <c r="D275" s="229" t="s">
        <v>7056</v>
      </c>
      <c r="E275" s="229" t="s">
        <v>969</v>
      </c>
      <c r="F275" s="229" t="s">
        <v>7057</v>
      </c>
      <c r="G275" s="229" t="s">
        <v>5888</v>
      </c>
      <c r="H275" s="229" t="s">
        <v>5791</v>
      </c>
      <c r="I275" s="229" t="s">
        <v>969</v>
      </c>
      <c r="J275" s="231" t="s">
        <v>7058</v>
      </c>
      <c r="K275" s="231" t="s">
        <v>7059</v>
      </c>
      <c r="L275" s="220" t="str">
        <f t="shared" si="69"/>
        <v>9M31</v>
      </c>
      <c r="M275" s="220" t="str">
        <f t="shared" si="70"/>
        <v/>
      </c>
      <c r="N275" s="220" t="str">
        <f t="shared" si="71"/>
        <v/>
      </c>
      <c r="O275" s="220" t="str">
        <f t="shared" si="72"/>
        <v/>
      </c>
      <c r="P275" s="52" t="str">
        <f t="shared" si="73"/>
        <v>9M31</v>
      </c>
      <c r="Q275" s="231" t="str">
        <f t="shared" si="80"/>
        <v>169</v>
      </c>
      <c r="R275" s="224">
        <f t="shared" si="74"/>
        <v>149.33333333333334</v>
      </c>
      <c r="S275" s="52">
        <f t="shared" si="75"/>
        <v>119</v>
      </c>
      <c r="T275" s="221">
        <f t="shared" ca="1" si="76"/>
        <v>3.34</v>
      </c>
      <c r="U275" s="221" t="str">
        <f t="shared" si="77"/>
        <v/>
      </c>
      <c r="V275" s="220" t="str">
        <f t="array" ref="V275">INDEX(P:P,MAX(U$3:U275))</f>
        <v>9M#3DTR(A)</v>
      </c>
      <c r="W275" s="220" t="str">
        <f t="shared" ca="1" si="78"/>
        <v/>
      </c>
      <c r="X275" s="220">
        <f t="shared" si="79"/>
        <v>11.4</v>
      </c>
      <c r="Y275" s="220">
        <f t="shared" si="67"/>
        <v>0</v>
      </c>
      <c r="AA275" s="220" t="str">
        <f t="shared" si="68"/>
        <v>彰林</v>
      </c>
      <c r="AB275" s="220" t="s">
        <v>1495</v>
      </c>
      <c r="AC275" s="220" t="str">
        <f>LEFT(B275,4)</f>
        <v>9M31</v>
      </c>
      <c r="BB275" s="514" t="s">
        <v>1874</v>
      </c>
      <c r="BC275" s="514" t="s">
        <v>85</v>
      </c>
      <c r="BD275" s="514" t="s">
        <v>85</v>
      </c>
      <c r="BE275" s="514">
        <v>0</v>
      </c>
      <c r="BG275" s="229" t="s">
        <v>8524</v>
      </c>
      <c r="BH275" s="230" t="s">
        <v>447</v>
      </c>
      <c r="BI275" t="s">
        <v>1495</v>
      </c>
      <c r="BJ275" t="s">
        <v>2170</v>
      </c>
    </row>
    <row r="276" spans="1:62">
      <c r="A276" s="229" t="s">
        <v>7060</v>
      </c>
      <c r="B276" s="230" t="s">
        <v>7061</v>
      </c>
      <c r="C276" s="230" t="s">
        <v>1028</v>
      </c>
      <c r="D276" s="229" t="s">
        <v>797</v>
      </c>
      <c r="E276" s="229" t="s">
        <v>861</v>
      </c>
      <c r="F276" s="229" t="s">
        <v>7062</v>
      </c>
      <c r="G276" s="229" t="s">
        <v>1029</v>
      </c>
      <c r="H276" s="229" t="s">
        <v>797</v>
      </c>
      <c r="I276" s="229" t="s">
        <v>1029</v>
      </c>
      <c r="J276" s="231" t="s">
        <v>799</v>
      </c>
      <c r="K276" s="231" t="s">
        <v>845</v>
      </c>
      <c r="L276" s="220" t="str">
        <f t="shared" si="69"/>
        <v>9M32</v>
      </c>
      <c r="M276" s="220" t="str">
        <f t="shared" si="70"/>
        <v/>
      </c>
      <c r="N276" s="220" t="str">
        <f t="shared" si="71"/>
        <v/>
      </c>
      <c r="O276" s="220" t="str">
        <f t="shared" si="72"/>
        <v/>
      </c>
      <c r="P276" s="52" t="str">
        <f t="shared" si="73"/>
        <v>9M32</v>
      </c>
      <c r="Q276" s="231" t="str">
        <f t="shared" si="80"/>
        <v>254</v>
      </c>
      <c r="R276" s="224">
        <f t="shared" si="74"/>
        <v>239.66666666666666</v>
      </c>
      <c r="S276" s="52">
        <f t="shared" si="75"/>
        <v>225</v>
      </c>
      <c r="T276" s="221">
        <f t="shared" ca="1" si="76"/>
        <v>5.0199999999999996</v>
      </c>
      <c r="U276" s="221" t="str">
        <f t="shared" si="77"/>
        <v/>
      </c>
      <c r="V276" s="220" t="str">
        <f t="array" ref="V276">INDEX(P:P,MAX(U$3:U276))</f>
        <v>9M#3DTR(A)</v>
      </c>
      <c r="W276" s="220" t="str">
        <f t="shared" ca="1" si="78"/>
        <v/>
      </c>
      <c r="X276" s="220">
        <f t="shared" si="79"/>
        <v>11.4</v>
      </c>
      <c r="Y276" s="220">
        <f t="shared" si="67"/>
        <v>0</v>
      </c>
      <c r="AA276" s="220" t="str">
        <f t="shared" si="68"/>
        <v>彰林</v>
      </c>
      <c r="AB276" s="220" t="s">
        <v>1509</v>
      </c>
      <c r="AC276" s="220" t="str">
        <f>LEFT(B276,4)</f>
        <v>9M32</v>
      </c>
      <c r="BB276" s="514" t="s">
        <v>2231</v>
      </c>
      <c r="BC276" s="514">
        <v>134</v>
      </c>
      <c r="BD276" s="514">
        <v>3</v>
      </c>
      <c r="BE276" s="514">
        <v>137</v>
      </c>
      <c r="BG276" s="229" t="s">
        <v>8523</v>
      </c>
      <c r="BH276" s="230" t="s">
        <v>8531</v>
      </c>
      <c r="BI276" t="s">
        <v>1509</v>
      </c>
      <c r="BJ276" t="s">
        <v>2170</v>
      </c>
    </row>
    <row r="277" spans="1:62">
      <c r="A277" s="229" t="s">
        <v>40</v>
      </c>
      <c r="B277" s="230" t="s">
        <v>7063</v>
      </c>
      <c r="C277" s="230" t="s">
        <v>826</v>
      </c>
      <c r="D277" s="229" t="s">
        <v>7050</v>
      </c>
      <c r="E277" s="229" t="s">
        <v>834</v>
      </c>
      <c r="F277" s="229" t="s">
        <v>797</v>
      </c>
      <c r="G277" s="229" t="s">
        <v>791</v>
      </c>
      <c r="H277" s="229" t="s">
        <v>7064</v>
      </c>
      <c r="I277" s="229" t="s">
        <v>791</v>
      </c>
      <c r="J277" s="231" t="s">
        <v>794</v>
      </c>
      <c r="K277" s="231" t="s">
        <v>5650</v>
      </c>
      <c r="L277" s="220" t="str">
        <f t="shared" si="69"/>
        <v>9M33</v>
      </c>
      <c r="M277" s="220" t="str">
        <f t="shared" si="70"/>
        <v/>
      </c>
      <c r="N277" s="220" t="str">
        <f t="shared" si="71"/>
        <v/>
      </c>
      <c r="O277" s="220" t="str">
        <f t="shared" si="72"/>
        <v/>
      </c>
      <c r="P277" s="52" t="str">
        <f t="shared" si="73"/>
        <v>9M33</v>
      </c>
      <c r="Q277" s="231" t="str">
        <f t="shared" si="80"/>
        <v>102</v>
      </c>
      <c r="R277" s="224">
        <f t="shared" si="74"/>
        <v>97.666666666666671</v>
      </c>
      <c r="S277" s="52">
        <f t="shared" si="75"/>
        <v>92</v>
      </c>
      <c r="T277" s="221">
        <f t="shared" ca="1" si="76"/>
        <v>2.0099999999999998</v>
      </c>
      <c r="U277" s="221" t="str">
        <f t="shared" si="77"/>
        <v/>
      </c>
      <c r="V277" s="220" t="str">
        <f t="array" ref="V277">INDEX(P:P,MAX(U$3:U277))</f>
        <v>9M#3DTR(A)</v>
      </c>
      <c r="W277" s="220" t="str">
        <f t="shared" ca="1" si="78"/>
        <v/>
      </c>
      <c r="X277" s="220">
        <f t="shared" si="79"/>
        <v>11.4</v>
      </c>
      <c r="Y277" s="220">
        <f t="shared" si="67"/>
        <v>0</v>
      </c>
      <c r="AA277" s="220" t="str">
        <f t="shared" si="68"/>
        <v>彰林</v>
      </c>
      <c r="AB277" s="220" t="s">
        <v>1545</v>
      </c>
      <c r="AC277" s="220" t="str">
        <f>LEFT(B277,4)</f>
        <v>9M33</v>
      </c>
      <c r="BB277" s="514" t="s">
        <v>2245</v>
      </c>
      <c r="BC277" s="514">
        <v>811</v>
      </c>
      <c r="BD277" s="514" t="s">
        <v>85</v>
      </c>
      <c r="BE277" s="514">
        <v>811</v>
      </c>
      <c r="BG277" s="229" t="s">
        <v>8523</v>
      </c>
      <c r="BH277" s="230" t="s">
        <v>8532</v>
      </c>
      <c r="BI277" t="s">
        <v>1545</v>
      </c>
      <c r="BJ277" t="s">
        <v>2170</v>
      </c>
    </row>
    <row r="278" spans="1:62">
      <c r="A278" s="229" t="s">
        <v>40</v>
      </c>
      <c r="B278" s="230" t="s">
        <v>7065</v>
      </c>
      <c r="C278" s="230" t="s">
        <v>976</v>
      </c>
      <c r="D278" s="229" t="s">
        <v>859</v>
      </c>
      <c r="E278" s="229" t="s">
        <v>939</v>
      </c>
      <c r="F278" s="229" t="s">
        <v>859</v>
      </c>
      <c r="G278" s="229" t="s">
        <v>7066</v>
      </c>
      <c r="H278" s="229" t="s">
        <v>859</v>
      </c>
      <c r="I278" s="229" t="s">
        <v>976</v>
      </c>
      <c r="J278" s="231" t="s">
        <v>1038</v>
      </c>
      <c r="K278" s="231" t="s">
        <v>797</v>
      </c>
      <c r="L278" s="220" t="str">
        <f t="shared" si="69"/>
        <v>9M34</v>
      </c>
      <c r="M278" s="220" t="str">
        <f t="shared" si="70"/>
        <v/>
      </c>
      <c r="N278" s="220" t="str">
        <f t="shared" si="71"/>
        <v/>
      </c>
      <c r="O278" s="220" t="str">
        <f t="shared" si="72"/>
        <v/>
      </c>
      <c r="P278" s="52" t="str">
        <f t="shared" si="73"/>
        <v>9M34</v>
      </c>
      <c r="Q278" s="231" t="str">
        <f t="shared" si="80"/>
        <v>118</v>
      </c>
      <c r="R278" s="224">
        <f t="shared" si="74"/>
        <v>115.33333333333333</v>
      </c>
      <c r="S278" s="52">
        <f t="shared" si="75"/>
        <v>112</v>
      </c>
      <c r="T278" s="221">
        <f t="shared" ca="1" si="76"/>
        <v>2.33</v>
      </c>
      <c r="U278" s="221" t="str">
        <f t="shared" si="77"/>
        <v/>
      </c>
      <c r="V278" s="220" t="str">
        <f t="array" ref="V278">INDEX(P:P,MAX(U$3:U278))</f>
        <v>9M#3DTR(A)</v>
      </c>
      <c r="W278" s="220" t="str">
        <f t="shared" ca="1" si="78"/>
        <v/>
      </c>
      <c r="X278" s="220">
        <f t="shared" si="79"/>
        <v>11.4</v>
      </c>
      <c r="Y278" s="220">
        <f t="shared" si="67"/>
        <v>0</v>
      </c>
      <c r="AA278" s="220" t="str">
        <f t="shared" si="68"/>
        <v>彰林</v>
      </c>
      <c r="AB278" s="220" t="s">
        <v>1557</v>
      </c>
      <c r="AC278" s="220" t="str">
        <f>LEFT(B278,4)</f>
        <v>9M34</v>
      </c>
      <c r="BB278" s="514" t="s">
        <v>2238</v>
      </c>
      <c r="BC278" s="514">
        <v>1269</v>
      </c>
      <c r="BD278" s="514">
        <v>2</v>
      </c>
      <c r="BE278" s="514">
        <v>1271</v>
      </c>
      <c r="BG278" s="229" t="s">
        <v>8523</v>
      </c>
      <c r="BH278" s="230" t="s">
        <v>448</v>
      </c>
      <c r="BI278" t="s">
        <v>1557</v>
      </c>
      <c r="BJ278" t="s">
        <v>2170</v>
      </c>
    </row>
    <row r="279" spans="1:62">
      <c r="A279" s="229" t="s">
        <v>40</v>
      </c>
      <c r="B279" s="230" t="s">
        <v>401</v>
      </c>
      <c r="C279" s="230" t="s">
        <v>3182</v>
      </c>
      <c r="D279" s="229" t="s">
        <v>846</v>
      </c>
      <c r="E279" s="229" t="s">
        <v>3142</v>
      </c>
      <c r="F279" s="229" t="s">
        <v>846</v>
      </c>
      <c r="G279" s="229" t="s">
        <v>7067</v>
      </c>
      <c r="H279" s="229" t="s">
        <v>797</v>
      </c>
      <c r="I279" s="229" t="s">
        <v>7068</v>
      </c>
      <c r="J279" s="231" t="s">
        <v>358</v>
      </c>
      <c r="K279" s="231" t="s">
        <v>7069</v>
      </c>
      <c r="L279" s="220" t="str">
        <f t="shared" si="69"/>
        <v>9M#3DTR(B)</v>
      </c>
      <c r="M279" s="220" t="str">
        <f t="shared" si="70"/>
        <v>(B)</v>
      </c>
      <c r="N279" s="220" t="str">
        <f t="shared" si="71"/>
        <v>9M#3DTR</v>
      </c>
      <c r="O279" s="220" t="str">
        <f t="shared" si="72"/>
        <v>(B)</v>
      </c>
      <c r="P279" s="52" t="str">
        <f t="shared" si="73"/>
        <v>9M#3DTR(B)</v>
      </c>
      <c r="Q279" s="231" t="str">
        <f t="shared" si="80"/>
        <v>812</v>
      </c>
      <c r="R279" s="224">
        <f t="shared" si="74"/>
        <v>780.33333333333337</v>
      </c>
      <c r="S279" s="52">
        <f t="shared" si="75"/>
        <v>762</v>
      </c>
      <c r="T279" s="221">
        <f t="shared" ca="1" si="76"/>
        <v>16.03</v>
      </c>
      <c r="U279" s="221">
        <f t="shared" si="77"/>
        <v>279</v>
      </c>
      <c r="V279" s="220" t="str">
        <f t="array" ref="V279">INDEX(P:P,MAX(U$3:U279))</f>
        <v>9M#3DTR(B)</v>
      </c>
      <c r="W279" s="220">
        <f t="shared" ca="1" si="78"/>
        <v>30</v>
      </c>
      <c r="X279" s="220" t="str">
        <f t="shared" si="79"/>
        <v/>
      </c>
      <c r="Y279" s="220">
        <f t="shared" si="67"/>
        <v>0</v>
      </c>
      <c r="AA279" s="220" t="str">
        <f t="shared" si="68"/>
        <v>彰林</v>
      </c>
      <c r="AB279" s="220" t="s">
        <v>2172</v>
      </c>
      <c r="AC279" s="220" t="s">
        <v>2172</v>
      </c>
      <c r="BB279" s="514" t="s">
        <v>2236</v>
      </c>
      <c r="BC279" s="514">
        <v>4954</v>
      </c>
      <c r="BD279" s="514">
        <v>2</v>
      </c>
      <c r="BE279" s="514">
        <v>4956</v>
      </c>
      <c r="BG279" s="229" t="s">
        <v>8523</v>
      </c>
      <c r="BH279" s="230" t="s">
        <v>8375</v>
      </c>
      <c r="BI279" t="s">
        <v>2172</v>
      </c>
      <c r="BJ279" t="s">
        <v>2172</v>
      </c>
    </row>
    <row r="280" spans="1:62">
      <c r="A280" s="229" t="s">
        <v>7048</v>
      </c>
      <c r="B280" s="230" t="s">
        <v>449</v>
      </c>
      <c r="C280" s="230" t="s">
        <v>7070</v>
      </c>
      <c r="D280" s="229" t="s">
        <v>846</v>
      </c>
      <c r="E280" s="229" t="s">
        <v>6556</v>
      </c>
      <c r="F280" s="229" t="s">
        <v>859</v>
      </c>
      <c r="G280" s="229" t="s">
        <v>7071</v>
      </c>
      <c r="H280" s="229" t="s">
        <v>839</v>
      </c>
      <c r="I280" s="229" t="s">
        <v>7070</v>
      </c>
      <c r="J280" s="231" t="s">
        <v>923</v>
      </c>
      <c r="K280" s="231" t="s">
        <v>7072</v>
      </c>
      <c r="L280" s="220" t="str">
        <f t="shared" si="69"/>
        <v>9M35</v>
      </c>
      <c r="M280" s="220" t="str">
        <f t="shared" si="70"/>
        <v/>
      </c>
      <c r="N280" s="220" t="str">
        <f t="shared" si="71"/>
        <v/>
      </c>
      <c r="O280" s="220" t="str">
        <f t="shared" si="72"/>
        <v/>
      </c>
      <c r="P280" s="52" t="str">
        <f t="shared" si="73"/>
        <v>9M35</v>
      </c>
      <c r="Q280" s="231" t="str">
        <f t="shared" si="80"/>
        <v>91</v>
      </c>
      <c r="R280" s="224">
        <f t="shared" si="74"/>
        <v>78.666666666666671</v>
      </c>
      <c r="S280" s="52">
        <f t="shared" si="75"/>
        <v>71</v>
      </c>
      <c r="T280" s="221">
        <f t="shared" ca="1" si="76"/>
        <v>1.8</v>
      </c>
      <c r="U280" s="221" t="str">
        <f t="shared" si="77"/>
        <v/>
      </c>
      <c r="V280" s="220" t="str">
        <f t="array" ref="V280">INDEX(P:P,MAX(U$3:U280))</f>
        <v>9M#3DTR(B)</v>
      </c>
      <c r="W280" s="220" t="str">
        <f t="shared" ca="1" si="78"/>
        <v/>
      </c>
      <c r="X280" s="220">
        <f t="shared" si="79"/>
        <v>11.4</v>
      </c>
      <c r="Y280" s="220">
        <f t="shared" si="67"/>
        <v>0</v>
      </c>
      <c r="AA280" s="220" t="str">
        <f t="shared" si="68"/>
        <v>彰林</v>
      </c>
      <c r="AB280" s="220" t="s">
        <v>2173</v>
      </c>
      <c r="AC280" s="220" t="str">
        <f>LEFT(B280,4)</f>
        <v>9M35</v>
      </c>
      <c r="BB280" s="514" t="s">
        <v>2244</v>
      </c>
      <c r="BC280" s="514">
        <v>2576</v>
      </c>
      <c r="BD280" s="514">
        <v>0</v>
      </c>
      <c r="BE280" s="514">
        <v>2576</v>
      </c>
      <c r="BG280" s="229" t="s">
        <v>8523</v>
      </c>
      <c r="BH280" s="230" t="s">
        <v>8533</v>
      </c>
      <c r="BI280" t="s">
        <v>2173</v>
      </c>
      <c r="BJ280" t="s">
        <v>2172</v>
      </c>
    </row>
    <row r="281" spans="1:62">
      <c r="A281" s="229" t="s">
        <v>40</v>
      </c>
      <c r="B281" s="230" t="s">
        <v>7073</v>
      </c>
      <c r="C281" s="230" t="s">
        <v>1029</v>
      </c>
      <c r="D281" s="229" t="s">
        <v>846</v>
      </c>
      <c r="E281" s="229" t="s">
        <v>1045</v>
      </c>
      <c r="F281" s="229" t="s">
        <v>797</v>
      </c>
      <c r="G281" s="229" t="s">
        <v>985</v>
      </c>
      <c r="H281" s="229" t="s">
        <v>797</v>
      </c>
      <c r="I281" s="229" t="s">
        <v>1029</v>
      </c>
      <c r="J281" s="231" t="s">
        <v>972</v>
      </c>
      <c r="K281" s="231" t="s">
        <v>954</v>
      </c>
      <c r="L281" s="220" t="str">
        <f t="shared" si="69"/>
        <v>9M36</v>
      </c>
      <c r="M281" s="220" t="str">
        <f t="shared" si="70"/>
        <v/>
      </c>
      <c r="N281" s="220" t="str">
        <f t="shared" si="71"/>
        <v/>
      </c>
      <c r="O281" s="220" t="str">
        <f t="shared" si="72"/>
        <v/>
      </c>
      <c r="P281" s="52" t="str">
        <f t="shared" si="73"/>
        <v>9M36</v>
      </c>
      <c r="Q281" s="231" t="str">
        <f t="shared" si="80"/>
        <v>254</v>
      </c>
      <c r="R281" s="224">
        <f t="shared" si="74"/>
        <v>238.33333333333334</v>
      </c>
      <c r="S281" s="52">
        <f t="shared" si="75"/>
        <v>215</v>
      </c>
      <c r="T281" s="221">
        <f t="shared" ca="1" si="76"/>
        <v>5.0199999999999996</v>
      </c>
      <c r="U281" s="221" t="str">
        <f t="shared" si="77"/>
        <v/>
      </c>
      <c r="V281" s="220" t="str">
        <f t="array" ref="V281">INDEX(P:P,MAX(U$3:U281))</f>
        <v>9M#3DTR(B)</v>
      </c>
      <c r="W281" s="220" t="str">
        <f t="shared" ca="1" si="78"/>
        <v/>
      </c>
      <c r="X281" s="220">
        <f t="shared" si="79"/>
        <v>11.4</v>
      </c>
      <c r="Y281" s="220">
        <f t="shared" si="67"/>
        <v>0</v>
      </c>
      <c r="AA281" s="220" t="str">
        <f t="shared" si="68"/>
        <v>彰林</v>
      </c>
      <c r="AB281" s="220" t="s">
        <v>1637</v>
      </c>
      <c r="AC281" s="220" t="str">
        <f>LEFT(B281,4)</f>
        <v>9M36</v>
      </c>
      <c r="BB281" s="514" t="s">
        <v>2239</v>
      </c>
      <c r="BC281" s="514">
        <v>1257</v>
      </c>
      <c r="BD281" s="514">
        <v>2</v>
      </c>
      <c r="BE281" s="514">
        <v>1259</v>
      </c>
      <c r="BG281" s="229" t="s">
        <v>8523</v>
      </c>
      <c r="BH281" s="230" t="s">
        <v>8534</v>
      </c>
      <c r="BI281" t="s">
        <v>1637</v>
      </c>
      <c r="BJ281" t="s">
        <v>2172</v>
      </c>
    </row>
    <row r="282" spans="1:62">
      <c r="A282" s="229" t="s">
        <v>40</v>
      </c>
      <c r="B282" s="230" t="s">
        <v>450</v>
      </c>
      <c r="C282" s="230" t="s">
        <v>898</v>
      </c>
      <c r="D282" s="229" t="s">
        <v>850</v>
      </c>
      <c r="E282" s="229" t="s">
        <v>847</v>
      </c>
      <c r="F282" s="229" t="s">
        <v>846</v>
      </c>
      <c r="G282" s="229" t="s">
        <v>977</v>
      </c>
      <c r="H282" s="229" t="s">
        <v>5986</v>
      </c>
      <c r="I282" s="229" t="s">
        <v>898</v>
      </c>
      <c r="J282" s="231" t="s">
        <v>6556</v>
      </c>
      <c r="K282" s="231" t="s">
        <v>5733</v>
      </c>
      <c r="L282" s="220" t="str">
        <f t="shared" si="69"/>
        <v>9M37</v>
      </c>
      <c r="M282" s="220" t="str">
        <f t="shared" si="70"/>
        <v/>
      </c>
      <c r="N282" s="220" t="str">
        <f t="shared" si="71"/>
        <v/>
      </c>
      <c r="O282" s="220" t="str">
        <f t="shared" si="72"/>
        <v/>
      </c>
      <c r="P282" s="52" t="str">
        <f t="shared" si="73"/>
        <v>9M37</v>
      </c>
      <c r="Q282" s="231" t="str">
        <f t="shared" si="80"/>
        <v>195</v>
      </c>
      <c r="R282" s="224">
        <f t="shared" si="74"/>
        <v>181.66666666666666</v>
      </c>
      <c r="S282" s="52">
        <f t="shared" si="75"/>
        <v>158</v>
      </c>
      <c r="T282" s="221">
        <f t="shared" ca="1" si="76"/>
        <v>3.85</v>
      </c>
      <c r="U282" s="221" t="str">
        <f t="shared" si="77"/>
        <v/>
      </c>
      <c r="V282" s="220" t="str">
        <f t="array" ref="V282">INDEX(P:P,MAX(U$3:U282))</f>
        <v>9M#3DTR(B)</v>
      </c>
      <c r="W282" s="220" t="str">
        <f t="shared" ca="1" si="78"/>
        <v/>
      </c>
      <c r="X282" s="220">
        <f t="shared" si="79"/>
        <v>11.4</v>
      </c>
      <c r="Y282" s="220">
        <f t="shared" si="67"/>
        <v>0</v>
      </c>
      <c r="AA282" s="220" t="str">
        <f t="shared" si="68"/>
        <v>彰林</v>
      </c>
      <c r="AB282" s="220" t="s">
        <v>1649</v>
      </c>
      <c r="AC282" s="220" t="str">
        <f>LEFT(B282,4)</f>
        <v>9M37</v>
      </c>
      <c r="BB282" s="514" t="s">
        <v>2237</v>
      </c>
      <c r="BC282" s="514">
        <v>755</v>
      </c>
      <c r="BD282" s="514">
        <v>2</v>
      </c>
      <c r="BE282" s="514">
        <v>757</v>
      </c>
      <c r="BG282" s="229" t="s">
        <v>8523</v>
      </c>
      <c r="BH282" s="230" t="s">
        <v>8535</v>
      </c>
      <c r="BI282" t="s">
        <v>1649</v>
      </c>
      <c r="BJ282" t="s">
        <v>2172</v>
      </c>
    </row>
    <row r="283" spans="1:62">
      <c r="A283" s="229" t="s">
        <v>7000</v>
      </c>
      <c r="B283" s="230" t="s">
        <v>7074</v>
      </c>
      <c r="C283" s="230" t="s">
        <v>1056</v>
      </c>
      <c r="D283" s="229" t="s">
        <v>797</v>
      </c>
      <c r="E283" s="229" t="s">
        <v>7075</v>
      </c>
      <c r="F283" s="229" t="s">
        <v>797</v>
      </c>
      <c r="G283" s="229" t="s">
        <v>886</v>
      </c>
      <c r="H283" s="229" t="s">
        <v>7076</v>
      </c>
      <c r="I283" s="229" t="s">
        <v>886</v>
      </c>
      <c r="J283" s="231" t="s">
        <v>868</v>
      </c>
      <c r="K283" s="231" t="s">
        <v>901</v>
      </c>
      <c r="L283" s="220" t="str">
        <f t="shared" si="69"/>
        <v>9M38</v>
      </c>
      <c r="M283" s="220" t="str">
        <f t="shared" si="70"/>
        <v/>
      </c>
      <c r="N283" s="220" t="str">
        <f t="shared" si="71"/>
        <v/>
      </c>
      <c r="O283" s="220" t="str">
        <f t="shared" si="72"/>
        <v/>
      </c>
      <c r="P283" s="52" t="str">
        <f t="shared" si="73"/>
        <v>9M38</v>
      </c>
      <c r="Q283" s="231" t="str">
        <f t="shared" si="80"/>
        <v>269</v>
      </c>
      <c r="R283" s="224">
        <f t="shared" si="74"/>
        <v>267.33333333333331</v>
      </c>
      <c r="S283" s="52">
        <f t="shared" si="75"/>
        <v>265</v>
      </c>
      <c r="T283" s="221">
        <f t="shared" ca="1" si="76"/>
        <v>5.31</v>
      </c>
      <c r="U283" s="221" t="str">
        <f t="shared" si="77"/>
        <v/>
      </c>
      <c r="V283" s="220" t="str">
        <f t="array" ref="V283">INDEX(P:P,MAX(U$3:U283))</f>
        <v>9M#3DTR(B)</v>
      </c>
      <c r="W283" s="220" t="str">
        <f t="shared" ca="1" si="78"/>
        <v/>
      </c>
      <c r="X283" s="220">
        <f t="shared" si="79"/>
        <v>11.4</v>
      </c>
      <c r="Y283" s="220">
        <f t="shared" si="67"/>
        <v>0</v>
      </c>
      <c r="AA283" s="220" t="str">
        <f t="shared" si="68"/>
        <v>彰林</v>
      </c>
      <c r="AB283" s="220" t="s">
        <v>1684</v>
      </c>
      <c r="AC283" s="220" t="str">
        <f>LEFT(B283,4)</f>
        <v>9M38</v>
      </c>
      <c r="BB283" s="514" t="s">
        <v>2242</v>
      </c>
      <c r="BC283" s="514">
        <v>2970</v>
      </c>
      <c r="BD283" s="514">
        <v>5</v>
      </c>
      <c r="BE283" s="514">
        <v>2975</v>
      </c>
      <c r="BG283" s="229" t="s">
        <v>8523</v>
      </c>
      <c r="BH283" s="230" t="s">
        <v>8536</v>
      </c>
      <c r="BI283" t="s">
        <v>1684</v>
      </c>
      <c r="BJ283" t="s">
        <v>2172</v>
      </c>
    </row>
    <row r="284" spans="1:62">
      <c r="A284" s="229" t="s">
        <v>40</v>
      </c>
      <c r="B284" s="230" t="s">
        <v>7077</v>
      </c>
      <c r="C284" s="230" t="s">
        <v>897</v>
      </c>
      <c r="D284" s="229" t="s">
        <v>783</v>
      </c>
      <c r="E284" s="229" t="s">
        <v>942</v>
      </c>
      <c r="F284" s="229" t="s">
        <v>850</v>
      </c>
      <c r="G284" s="229" t="s">
        <v>6556</v>
      </c>
      <c r="H284" s="229" t="s">
        <v>850</v>
      </c>
      <c r="I284" s="229" t="s">
        <v>6556</v>
      </c>
      <c r="J284" s="231" t="s">
        <v>906</v>
      </c>
      <c r="K284" s="231" t="s">
        <v>783</v>
      </c>
      <c r="L284" s="220" t="str">
        <f t="shared" si="69"/>
        <v>9M39</v>
      </c>
      <c r="M284" s="220" t="str">
        <f t="shared" si="70"/>
        <v/>
      </c>
      <c r="N284" s="220" t="str">
        <f t="shared" si="71"/>
        <v/>
      </c>
      <c r="O284" s="220" t="str">
        <f t="shared" si="72"/>
        <v/>
      </c>
      <c r="P284" s="52" t="str">
        <f t="shared" si="73"/>
        <v>9M39</v>
      </c>
      <c r="Q284" s="231" t="str">
        <f t="shared" si="80"/>
        <v>71</v>
      </c>
      <c r="R284" s="224">
        <f t="shared" si="74"/>
        <v>52.333333333333336</v>
      </c>
      <c r="S284" s="52">
        <f t="shared" si="75"/>
        <v>30</v>
      </c>
      <c r="T284" s="221">
        <f t="shared" ca="1" si="76"/>
        <v>1.4</v>
      </c>
      <c r="U284" s="221" t="str">
        <f t="shared" si="77"/>
        <v/>
      </c>
      <c r="V284" s="220" t="str">
        <f t="array" ref="V284">INDEX(P:P,MAX(U$3:U284))</f>
        <v>9M#3DTR(B)</v>
      </c>
      <c r="W284" s="220" t="str">
        <f t="shared" ca="1" si="78"/>
        <v/>
      </c>
      <c r="X284" s="220">
        <f t="shared" si="79"/>
        <v>11.4</v>
      </c>
      <c r="Y284" s="220">
        <f t="shared" si="67"/>
        <v>0</v>
      </c>
      <c r="AA284" s="220" t="str">
        <f t="shared" si="68"/>
        <v>彰林</v>
      </c>
      <c r="AB284" s="220" t="s">
        <v>1693</v>
      </c>
      <c r="AC284" s="220" t="str">
        <f>LEFT(B284,4)</f>
        <v>9M39</v>
      </c>
      <c r="BB284" s="514" t="s">
        <v>2232</v>
      </c>
      <c r="BC284" s="514">
        <v>2836</v>
      </c>
      <c r="BD284" s="514">
        <v>2</v>
      </c>
      <c r="BE284" s="514">
        <v>2838</v>
      </c>
      <c r="BG284" s="229" t="s">
        <v>8524</v>
      </c>
      <c r="BH284" s="230" t="s">
        <v>8537</v>
      </c>
      <c r="BI284" t="s">
        <v>1693</v>
      </c>
      <c r="BJ284" t="s">
        <v>2172</v>
      </c>
    </row>
    <row r="285" spans="1:62">
      <c r="A285" s="229" t="s">
        <v>40</v>
      </c>
      <c r="B285" s="230" t="s">
        <v>425</v>
      </c>
      <c r="C285" s="230" t="s">
        <v>1042</v>
      </c>
      <c r="D285" s="229" t="s">
        <v>850</v>
      </c>
      <c r="E285" s="229" t="s">
        <v>7078</v>
      </c>
      <c r="F285" s="229" t="s">
        <v>358</v>
      </c>
      <c r="G285" s="229" t="s">
        <v>5585</v>
      </c>
      <c r="H285" s="229" t="s">
        <v>7078</v>
      </c>
      <c r="I285" s="229" t="s">
        <v>7079</v>
      </c>
      <c r="J285" s="231" t="s">
        <v>7078</v>
      </c>
      <c r="K285" s="231" t="s">
        <v>7078</v>
      </c>
      <c r="L285" s="220" t="str">
        <f t="shared" si="69"/>
        <v>9M#1MTR</v>
      </c>
      <c r="M285" s="220" t="str">
        <f t="shared" si="70"/>
        <v/>
      </c>
      <c r="N285" s="220" t="str">
        <f t="shared" si="71"/>
        <v>9M#1MTR</v>
      </c>
      <c r="O285" s="220" t="str">
        <f t="shared" si="72"/>
        <v/>
      </c>
      <c r="P285" s="52" t="str">
        <f t="shared" si="73"/>
        <v>9M#1MTR</v>
      </c>
      <c r="Q285" s="231" t="str">
        <f t="shared" si="80"/>
        <v>639</v>
      </c>
      <c r="R285" s="224" t="e">
        <f t="shared" si="74"/>
        <v>#VALUE!</v>
      </c>
      <c r="S285" s="52" t="e">
        <f t="shared" si="75"/>
        <v>#VALUE!</v>
      </c>
      <c r="T285" s="221" t="e">
        <f t="shared" ca="1" si="76"/>
        <v>#VALUE!</v>
      </c>
      <c r="U285" s="221">
        <f t="shared" si="77"/>
        <v>285</v>
      </c>
      <c r="V285" s="220" t="str">
        <f t="array" ref="V285">INDEX(P:P,MAX(U$3:U285))</f>
        <v>9M#1MTR</v>
      </c>
      <c r="W285" s="220">
        <f t="shared" ca="1" si="78"/>
        <v>25</v>
      </c>
      <c r="X285" s="220" t="str">
        <f t="shared" si="79"/>
        <v/>
      </c>
      <c r="Y285" s="220">
        <f t="shared" si="67"/>
        <v>0</v>
      </c>
      <c r="AA285" s="220" t="str">
        <f t="shared" si="68"/>
        <v>彰林</v>
      </c>
      <c r="AB285" s="220" t="s">
        <v>2174</v>
      </c>
      <c r="AC285" s="220" t="s">
        <v>2174</v>
      </c>
      <c r="BB285" s="514" t="s">
        <v>2233</v>
      </c>
      <c r="BC285" s="514">
        <v>1641</v>
      </c>
      <c r="BD285" s="514">
        <v>7</v>
      </c>
      <c r="BE285" s="514">
        <v>1648</v>
      </c>
      <c r="BG285" s="229" t="s">
        <v>8524</v>
      </c>
      <c r="BH285" s="230" t="s">
        <v>8470</v>
      </c>
      <c r="BI285" t="s">
        <v>2174</v>
      </c>
      <c r="BJ285" t="s">
        <v>2174</v>
      </c>
    </row>
    <row r="286" spans="1:62">
      <c r="A286" s="229" t="s">
        <v>40</v>
      </c>
      <c r="B286" s="230" t="s">
        <v>427</v>
      </c>
      <c r="C286" s="230" t="s">
        <v>3191</v>
      </c>
      <c r="D286" s="229" t="s">
        <v>850</v>
      </c>
      <c r="E286" s="229" t="s">
        <v>7080</v>
      </c>
      <c r="F286" s="229" t="s">
        <v>7080</v>
      </c>
      <c r="G286" s="229" t="s">
        <v>7080</v>
      </c>
      <c r="H286" s="229" t="s">
        <v>7080</v>
      </c>
      <c r="I286" s="229" t="s">
        <v>7081</v>
      </c>
      <c r="J286" s="231" t="s">
        <v>7080</v>
      </c>
      <c r="K286" s="231" t="s">
        <v>7080</v>
      </c>
      <c r="L286" s="220" t="str">
        <f t="shared" si="69"/>
        <v>9M#2MTR</v>
      </c>
      <c r="M286" s="220" t="str">
        <f t="shared" si="70"/>
        <v/>
      </c>
      <c r="N286" s="220" t="str">
        <f t="shared" si="71"/>
        <v>9M#2MTR</v>
      </c>
      <c r="O286" s="220" t="str">
        <f t="shared" si="72"/>
        <v/>
      </c>
      <c r="P286" s="52" t="str">
        <f t="shared" si="73"/>
        <v>9M#2MTR</v>
      </c>
      <c r="Q286" s="231" t="str">
        <f t="shared" si="80"/>
        <v>637</v>
      </c>
      <c r="R286" s="224" t="e">
        <f t="shared" si="74"/>
        <v>#VALUE!</v>
      </c>
      <c r="S286" s="52" t="e">
        <f t="shared" si="75"/>
        <v>#VALUE!</v>
      </c>
      <c r="T286" s="221" t="e">
        <f t="shared" ca="1" si="76"/>
        <v>#VALUE!</v>
      </c>
      <c r="U286" s="221">
        <f t="shared" si="77"/>
        <v>286</v>
      </c>
      <c r="V286" s="220" t="str">
        <f t="array" ref="V286">INDEX(P:P,MAX(U$3:U286))</f>
        <v>9M#2MTR</v>
      </c>
      <c r="W286" s="220">
        <f t="shared" ca="1" si="78"/>
        <v>25</v>
      </c>
      <c r="X286" s="220" t="str">
        <f t="shared" si="79"/>
        <v/>
      </c>
      <c r="Y286" s="220">
        <f t="shared" si="67"/>
        <v>0</v>
      </c>
      <c r="AA286" s="220" t="str">
        <f t="shared" si="68"/>
        <v>彰林</v>
      </c>
      <c r="AB286" s="220" t="s">
        <v>2175</v>
      </c>
      <c r="AC286" s="220" t="s">
        <v>2175</v>
      </c>
      <c r="BB286" s="514" t="s">
        <v>2243</v>
      </c>
      <c r="BC286" s="514">
        <v>1621</v>
      </c>
      <c r="BD286" s="514">
        <v>1</v>
      </c>
      <c r="BE286" s="514">
        <v>1622</v>
      </c>
      <c r="BG286" s="229" t="s">
        <v>8524</v>
      </c>
      <c r="BH286" s="230" t="s">
        <v>8477</v>
      </c>
      <c r="BI286" t="s">
        <v>2175</v>
      </c>
      <c r="BJ286" t="s">
        <v>2175</v>
      </c>
    </row>
    <row r="287" spans="1:62">
      <c r="A287" s="229" t="s">
        <v>40</v>
      </c>
      <c r="B287" s="230" t="s">
        <v>7082</v>
      </c>
      <c r="C287" s="230" t="s">
        <v>3191</v>
      </c>
      <c r="D287" s="229" t="s">
        <v>850</v>
      </c>
      <c r="E287" s="229" t="s">
        <v>7078</v>
      </c>
      <c r="F287" s="229" t="s">
        <v>358</v>
      </c>
      <c r="G287" s="229" t="s">
        <v>358</v>
      </c>
      <c r="H287" s="229" t="s">
        <v>7078</v>
      </c>
      <c r="I287" s="229" t="s">
        <v>3191</v>
      </c>
      <c r="J287" s="231" t="s">
        <v>358</v>
      </c>
      <c r="K287" s="231" t="s">
        <v>358</v>
      </c>
      <c r="L287" s="220" t="str">
        <f t="shared" si="69"/>
        <v>9M#3MTR</v>
      </c>
      <c r="M287" s="220" t="str">
        <f t="shared" si="70"/>
        <v/>
      </c>
      <c r="N287" s="220" t="str">
        <f t="shared" si="71"/>
        <v>9M#3MTR</v>
      </c>
      <c r="O287" s="220" t="str">
        <f t="shared" si="72"/>
        <v/>
      </c>
      <c r="P287" s="52" t="str">
        <f t="shared" si="73"/>
        <v>9M#3MTR</v>
      </c>
      <c r="Q287" s="231" t="str">
        <f t="shared" si="80"/>
        <v>637</v>
      </c>
      <c r="R287" s="224" t="e">
        <f t="shared" si="74"/>
        <v>#VALUE!</v>
      </c>
      <c r="S287" s="52" t="e">
        <f t="shared" si="75"/>
        <v>#VALUE!</v>
      </c>
      <c r="T287" s="221" t="e">
        <f t="shared" ca="1" si="76"/>
        <v>#VALUE!</v>
      </c>
      <c r="U287" s="221">
        <f t="shared" si="77"/>
        <v>287</v>
      </c>
      <c r="V287" s="220" t="str">
        <f t="array" ref="V287">INDEX(P:P,MAX(U$3:U287))</f>
        <v>9M#3MTR</v>
      </c>
      <c r="W287" s="220">
        <f t="shared" ca="1" si="78"/>
        <v>25</v>
      </c>
      <c r="X287" s="220" t="str">
        <f t="shared" si="79"/>
        <v/>
      </c>
      <c r="Y287" s="220">
        <f t="shared" si="67"/>
        <v>0</v>
      </c>
      <c r="AA287" s="220" t="str">
        <f t="shared" si="68"/>
        <v>彰林</v>
      </c>
      <c r="AB287" s="220" t="s">
        <v>2176</v>
      </c>
      <c r="AC287" s="220" t="s">
        <v>2176</v>
      </c>
      <c r="BB287" s="514" t="s">
        <v>2235</v>
      </c>
      <c r="BC287" s="514">
        <v>849</v>
      </c>
      <c r="BD287" s="514">
        <v>5</v>
      </c>
      <c r="BE287" s="514">
        <v>854</v>
      </c>
      <c r="BG287" s="229" t="s">
        <v>8524</v>
      </c>
      <c r="BH287" s="230" t="s">
        <v>8538</v>
      </c>
      <c r="BI287" t="s">
        <v>2176</v>
      </c>
      <c r="BJ287" t="s">
        <v>2176</v>
      </c>
    </row>
    <row r="288" spans="1:62">
      <c r="A288" s="229" t="s">
        <v>41</v>
      </c>
      <c r="B288" s="230" t="s">
        <v>391</v>
      </c>
      <c r="C288" s="230" t="s">
        <v>4672</v>
      </c>
      <c r="D288" s="229" t="s">
        <v>804</v>
      </c>
      <c r="E288" s="229" t="s">
        <v>4669</v>
      </c>
      <c r="F288" s="229" t="s">
        <v>804</v>
      </c>
      <c r="G288" s="229" t="s">
        <v>7083</v>
      </c>
      <c r="H288" s="229" t="s">
        <v>804</v>
      </c>
      <c r="I288" s="229" t="s">
        <v>7084</v>
      </c>
      <c r="J288" s="231" t="s">
        <v>358</v>
      </c>
      <c r="K288" s="231" t="s">
        <v>7085</v>
      </c>
      <c r="L288" s="220" t="str">
        <f t="shared" si="69"/>
        <v>9N#1DTR(A)</v>
      </c>
      <c r="M288" s="220" t="str">
        <f t="shared" si="70"/>
        <v>(A)</v>
      </c>
      <c r="N288" s="220" t="str">
        <f t="shared" si="71"/>
        <v>9N#1DTR</v>
      </c>
      <c r="O288" s="220" t="str">
        <f t="shared" si="72"/>
        <v>(A)</v>
      </c>
      <c r="P288" s="52" t="str">
        <f t="shared" si="73"/>
        <v>9N#1DTR(A)</v>
      </c>
      <c r="Q288" s="231" t="str">
        <f t="shared" si="80"/>
        <v>449</v>
      </c>
      <c r="R288" s="224">
        <f>AVERAGE(C288*1,E288*1,G288*1)</f>
        <v>439.33333333333331</v>
      </c>
      <c r="S288" s="52">
        <f t="shared" si="75"/>
        <v>429</v>
      </c>
      <c r="T288" s="221">
        <f t="shared" ca="1" si="76"/>
        <v>8.8699999999999992</v>
      </c>
      <c r="U288" s="221">
        <f t="shared" si="77"/>
        <v>288</v>
      </c>
      <c r="V288" s="220" t="str">
        <f t="array" ref="V288">INDEX(P:P,MAX(U$3:U288))</f>
        <v>9N#1DTR(A)</v>
      </c>
      <c r="W288" s="220">
        <f t="shared" ca="1" si="78"/>
        <v>30</v>
      </c>
      <c r="X288" s="220" t="str">
        <f t="shared" si="79"/>
        <v/>
      </c>
      <c r="Y288" s="220">
        <f t="shared" si="67"/>
        <v>0</v>
      </c>
      <c r="AA288" s="220" t="str">
        <f t="shared" si="68"/>
        <v>彰竹</v>
      </c>
      <c r="AB288" s="220" t="s">
        <v>2177</v>
      </c>
      <c r="AC288" s="220" t="s">
        <v>2177</v>
      </c>
      <c r="BB288" s="514" t="s">
        <v>2241</v>
      </c>
      <c r="BC288" s="514">
        <v>110</v>
      </c>
      <c r="BD288" s="514">
        <v>1</v>
      </c>
      <c r="BE288" s="514">
        <v>111</v>
      </c>
      <c r="BG288" s="229" t="s">
        <v>8539</v>
      </c>
      <c r="BH288" s="230" t="s">
        <v>391</v>
      </c>
      <c r="BI288" t="s">
        <v>2177</v>
      </c>
      <c r="BJ288" t="s">
        <v>2177</v>
      </c>
    </row>
    <row r="289" spans="1:62">
      <c r="A289" s="229" t="s">
        <v>7086</v>
      </c>
      <c r="B289" s="230" t="s">
        <v>451</v>
      </c>
      <c r="C289" s="230" t="s">
        <v>5614</v>
      </c>
      <c r="D289" s="229" t="s">
        <v>784</v>
      </c>
      <c r="E289" s="229" t="s">
        <v>7087</v>
      </c>
      <c r="F289" s="229" t="s">
        <v>5628</v>
      </c>
      <c r="G289" s="229" t="s">
        <v>5614</v>
      </c>
      <c r="H289" s="229" t="s">
        <v>784</v>
      </c>
      <c r="I289" s="229" t="s">
        <v>5614</v>
      </c>
      <c r="J289" s="231" t="s">
        <v>5614</v>
      </c>
      <c r="K289" s="231" t="s">
        <v>784</v>
      </c>
      <c r="L289" s="220" t="str">
        <f t="shared" si="69"/>
        <v>9N20</v>
      </c>
      <c r="M289" s="220" t="str">
        <f t="shared" si="70"/>
        <v/>
      </c>
      <c r="N289" s="220" t="str">
        <f t="shared" si="71"/>
        <v/>
      </c>
      <c r="O289" s="220" t="str">
        <f t="shared" si="72"/>
        <v/>
      </c>
      <c r="P289" s="52" t="str">
        <f t="shared" si="73"/>
        <v>9N20</v>
      </c>
      <c r="Q289" s="231" t="str">
        <f t="shared" si="80"/>
        <v>0</v>
      </c>
      <c r="R289" s="224">
        <f t="shared" ref="R289:R352" si="81">AVERAGE(C289*1,E289*1,G289*1)</f>
        <v>0</v>
      </c>
      <c r="S289" s="52">
        <f t="shared" si="75"/>
        <v>0</v>
      </c>
      <c r="T289" s="221">
        <f t="shared" ca="1" si="76"/>
        <v>0</v>
      </c>
      <c r="U289" s="221" t="str">
        <f t="shared" si="77"/>
        <v/>
      </c>
      <c r="V289" s="220" t="str">
        <f t="array" ref="V289">INDEX(P:P,MAX(U$3:U289))</f>
        <v>9N#1DTR(A)</v>
      </c>
      <c r="W289" s="220" t="str">
        <f t="shared" ca="1" si="78"/>
        <v/>
      </c>
      <c r="X289" s="220">
        <f t="shared" si="79"/>
        <v>11.4</v>
      </c>
      <c r="Y289" s="220">
        <f t="shared" si="67"/>
        <v>0</v>
      </c>
      <c r="AA289" s="220" t="str">
        <f t="shared" si="68"/>
        <v>彰竹</v>
      </c>
      <c r="AB289" s="220" t="s">
        <v>1943</v>
      </c>
      <c r="AC289" s="220" t="str">
        <f>LEFT(B289,4)</f>
        <v>9N20</v>
      </c>
      <c r="BB289" s="514" t="s">
        <v>3224</v>
      </c>
      <c r="BC289" s="514" t="s">
        <v>85</v>
      </c>
      <c r="BD289" s="514" t="s">
        <v>85</v>
      </c>
      <c r="BE289" s="514">
        <v>0</v>
      </c>
      <c r="BG289" s="229" t="s">
        <v>8539</v>
      </c>
      <c r="BH289" s="230" t="s">
        <v>8540</v>
      </c>
      <c r="BI289" t="s">
        <v>1943</v>
      </c>
      <c r="BJ289" t="s">
        <v>2177</v>
      </c>
    </row>
    <row r="290" spans="1:62">
      <c r="A290" s="229" t="s">
        <v>7088</v>
      </c>
      <c r="B290" s="230" t="s">
        <v>452</v>
      </c>
      <c r="C290" s="230" t="s">
        <v>5614</v>
      </c>
      <c r="D290" s="229" t="s">
        <v>7089</v>
      </c>
      <c r="E290" s="229" t="s">
        <v>7087</v>
      </c>
      <c r="F290" s="229" t="s">
        <v>5628</v>
      </c>
      <c r="G290" s="229" t="s">
        <v>5614</v>
      </c>
      <c r="H290" s="229" t="s">
        <v>784</v>
      </c>
      <c r="I290" s="229" t="s">
        <v>5614</v>
      </c>
      <c r="J290" s="231" t="s">
        <v>7090</v>
      </c>
      <c r="K290" s="231" t="s">
        <v>7091</v>
      </c>
      <c r="L290" s="220" t="str">
        <f t="shared" si="69"/>
        <v>9N21</v>
      </c>
      <c r="M290" s="220" t="str">
        <f t="shared" si="70"/>
        <v/>
      </c>
      <c r="N290" s="220" t="str">
        <f t="shared" si="71"/>
        <v/>
      </c>
      <c r="O290" s="220" t="str">
        <f t="shared" si="72"/>
        <v/>
      </c>
      <c r="P290" s="52" t="str">
        <f t="shared" si="73"/>
        <v>9N21</v>
      </c>
      <c r="Q290" s="231" t="str">
        <f t="shared" si="80"/>
        <v>0</v>
      </c>
      <c r="R290" s="224">
        <f t="shared" si="81"/>
        <v>0</v>
      </c>
      <c r="S290" s="52">
        <f t="shared" si="75"/>
        <v>0</v>
      </c>
      <c r="T290" s="221">
        <f t="shared" ca="1" si="76"/>
        <v>0</v>
      </c>
      <c r="U290" s="221" t="str">
        <f t="shared" si="77"/>
        <v/>
      </c>
      <c r="V290" s="220" t="str">
        <f t="array" ref="V290">INDEX(P:P,MAX(U$3:U290))</f>
        <v>9N#1DTR(A)</v>
      </c>
      <c r="W290" s="220" t="str">
        <f t="shared" ca="1" si="78"/>
        <v/>
      </c>
      <c r="X290" s="220">
        <f t="shared" si="79"/>
        <v>11.4</v>
      </c>
      <c r="Y290" s="220">
        <f t="shared" si="67"/>
        <v>0</v>
      </c>
      <c r="AA290" s="220" t="str">
        <f t="shared" si="68"/>
        <v>彰竹</v>
      </c>
      <c r="AB290" s="220" t="s">
        <v>1945</v>
      </c>
      <c r="AC290" s="220" t="str">
        <f>LEFT(B290,4)</f>
        <v>9N21</v>
      </c>
      <c r="BB290" s="514" t="s">
        <v>3225</v>
      </c>
      <c r="BC290" s="514" t="s">
        <v>85</v>
      </c>
      <c r="BD290" s="514" t="s">
        <v>85</v>
      </c>
      <c r="BE290" s="514">
        <v>0</v>
      </c>
      <c r="BG290" s="229" t="s">
        <v>8539</v>
      </c>
      <c r="BH290" s="230" t="s">
        <v>452</v>
      </c>
      <c r="BI290" t="s">
        <v>1945</v>
      </c>
      <c r="BJ290" t="s">
        <v>2177</v>
      </c>
    </row>
    <row r="291" spans="1:62">
      <c r="A291" s="229" t="s">
        <v>41</v>
      </c>
      <c r="B291" s="230" t="s">
        <v>453</v>
      </c>
      <c r="C291" s="230" t="s">
        <v>1026</v>
      </c>
      <c r="D291" s="229" t="s">
        <v>804</v>
      </c>
      <c r="E291" s="229" t="s">
        <v>6154</v>
      </c>
      <c r="F291" s="229" t="s">
        <v>804</v>
      </c>
      <c r="G291" s="229" t="s">
        <v>7092</v>
      </c>
      <c r="H291" s="229" t="s">
        <v>839</v>
      </c>
      <c r="I291" s="229" t="s">
        <v>6154</v>
      </c>
      <c r="J291" s="231" t="s">
        <v>900</v>
      </c>
      <c r="K291" s="231" t="s">
        <v>5682</v>
      </c>
      <c r="L291" s="220" t="str">
        <f t="shared" si="69"/>
        <v>9N22</v>
      </c>
      <c r="M291" s="220" t="str">
        <f t="shared" si="70"/>
        <v/>
      </c>
      <c r="N291" s="220" t="str">
        <f t="shared" si="71"/>
        <v/>
      </c>
      <c r="O291" s="220" t="str">
        <f t="shared" si="72"/>
        <v/>
      </c>
      <c r="P291" s="52" t="str">
        <f t="shared" si="73"/>
        <v>9N22</v>
      </c>
      <c r="Q291" s="231" t="str">
        <f t="shared" si="80"/>
        <v>220</v>
      </c>
      <c r="R291" s="224">
        <f t="shared" si="81"/>
        <v>217.66666666666666</v>
      </c>
      <c r="S291" s="52">
        <f t="shared" si="75"/>
        <v>214</v>
      </c>
      <c r="T291" s="221">
        <f t="shared" ca="1" si="76"/>
        <v>4.34</v>
      </c>
      <c r="U291" s="221" t="str">
        <f t="shared" si="77"/>
        <v/>
      </c>
      <c r="V291" s="220" t="str">
        <f t="array" ref="V291">INDEX(P:P,MAX(U$3:U291))</f>
        <v>9N#1DTR(A)</v>
      </c>
      <c r="W291" s="220" t="str">
        <f t="shared" ca="1" si="78"/>
        <v/>
      </c>
      <c r="X291" s="220">
        <f t="shared" si="79"/>
        <v>11.4</v>
      </c>
      <c r="Y291" s="220">
        <f t="shared" si="67"/>
        <v>0</v>
      </c>
      <c r="AA291" s="220" t="str">
        <f t="shared" si="68"/>
        <v>彰竹</v>
      </c>
      <c r="AB291" s="220" t="s">
        <v>1946</v>
      </c>
      <c r="AC291" s="220" t="str">
        <f>LEFT(B291,4)</f>
        <v>9N22</v>
      </c>
      <c r="BB291" s="514" t="s">
        <v>3226</v>
      </c>
      <c r="BC291" s="514" t="s">
        <v>85</v>
      </c>
      <c r="BD291" s="514" t="s">
        <v>85</v>
      </c>
      <c r="BE291" s="514">
        <v>0</v>
      </c>
      <c r="BG291" s="229" t="s">
        <v>8539</v>
      </c>
      <c r="BH291" s="230" t="s">
        <v>8541</v>
      </c>
      <c r="BI291" t="s">
        <v>1946</v>
      </c>
      <c r="BJ291" t="s">
        <v>2177</v>
      </c>
    </row>
    <row r="292" spans="1:62">
      <c r="A292" s="229" t="s">
        <v>41</v>
      </c>
      <c r="B292" s="230" t="s">
        <v>7093</v>
      </c>
      <c r="C292" s="230" t="s">
        <v>5699</v>
      </c>
      <c r="D292" s="229" t="s">
        <v>784</v>
      </c>
      <c r="E292" s="229" t="s">
        <v>5699</v>
      </c>
      <c r="F292" s="229" t="s">
        <v>5628</v>
      </c>
      <c r="G292" s="229" t="s">
        <v>7087</v>
      </c>
      <c r="H292" s="229" t="s">
        <v>784</v>
      </c>
      <c r="I292" s="229" t="s">
        <v>5699</v>
      </c>
      <c r="J292" s="231" t="s">
        <v>5614</v>
      </c>
      <c r="K292" s="231" t="s">
        <v>784</v>
      </c>
      <c r="L292" s="220" t="str">
        <f t="shared" si="69"/>
        <v>9N23</v>
      </c>
      <c r="M292" s="220" t="str">
        <f t="shared" si="70"/>
        <v/>
      </c>
      <c r="N292" s="220" t="str">
        <f t="shared" si="71"/>
        <v/>
      </c>
      <c r="O292" s="220" t="str">
        <f t="shared" si="72"/>
        <v/>
      </c>
      <c r="P292" s="52" t="str">
        <f t="shared" si="73"/>
        <v>9N23</v>
      </c>
      <c r="Q292" s="231" t="str">
        <f t="shared" si="80"/>
        <v>0</v>
      </c>
      <c r="R292" s="224">
        <f t="shared" si="81"/>
        <v>0</v>
      </c>
      <c r="S292" s="52">
        <f t="shared" si="75"/>
        <v>0</v>
      </c>
      <c r="T292" s="221">
        <f t="shared" ca="1" si="76"/>
        <v>0</v>
      </c>
      <c r="U292" s="221" t="str">
        <f t="shared" si="77"/>
        <v/>
      </c>
      <c r="V292" s="220" t="str">
        <f t="array" ref="V292">INDEX(P:P,MAX(U$3:U292))</f>
        <v>9N#1DTR(A)</v>
      </c>
      <c r="W292" s="220" t="str">
        <f t="shared" ca="1" si="78"/>
        <v/>
      </c>
      <c r="X292" s="220">
        <f t="shared" si="79"/>
        <v>11.4</v>
      </c>
      <c r="Y292" s="220">
        <f t="shared" si="67"/>
        <v>0</v>
      </c>
      <c r="AA292" s="220" t="str">
        <f t="shared" si="68"/>
        <v>彰竹</v>
      </c>
      <c r="AB292" s="220" t="s">
        <v>1947</v>
      </c>
      <c r="AC292" s="220" t="str">
        <f>LEFT(B292,4)</f>
        <v>9N23</v>
      </c>
      <c r="BB292" s="514" t="s">
        <v>3227</v>
      </c>
      <c r="BC292" s="514" t="s">
        <v>85</v>
      </c>
      <c r="BD292" s="514" t="s">
        <v>85</v>
      </c>
      <c r="BE292" s="514">
        <v>0</v>
      </c>
      <c r="BG292" s="229" t="s">
        <v>8539</v>
      </c>
      <c r="BH292" s="230" t="s">
        <v>8542</v>
      </c>
      <c r="BI292" t="s">
        <v>1947</v>
      </c>
      <c r="BJ292" t="s">
        <v>2177</v>
      </c>
    </row>
    <row r="293" spans="1:62">
      <c r="A293" s="229" t="s">
        <v>7094</v>
      </c>
      <c r="B293" s="230" t="s">
        <v>454</v>
      </c>
      <c r="C293" s="230" t="s">
        <v>7095</v>
      </c>
      <c r="D293" s="229" t="s">
        <v>5641</v>
      </c>
      <c r="E293" s="229" t="s">
        <v>949</v>
      </c>
      <c r="F293" s="229" t="s">
        <v>5641</v>
      </c>
      <c r="G293" s="229" t="s">
        <v>7096</v>
      </c>
      <c r="H293" s="229" t="s">
        <v>804</v>
      </c>
      <c r="I293" s="229" t="s">
        <v>949</v>
      </c>
      <c r="J293" s="231" t="s">
        <v>785</v>
      </c>
      <c r="K293" s="231" t="s">
        <v>6548</v>
      </c>
      <c r="L293" s="220" t="str">
        <f t="shared" si="69"/>
        <v>9N24</v>
      </c>
      <c r="M293" s="220" t="str">
        <f t="shared" si="70"/>
        <v/>
      </c>
      <c r="N293" s="220" t="str">
        <f t="shared" si="71"/>
        <v/>
      </c>
      <c r="O293" s="220" t="str">
        <f t="shared" si="72"/>
        <v/>
      </c>
      <c r="P293" s="52" t="str">
        <f t="shared" si="73"/>
        <v>9N24</v>
      </c>
      <c r="Q293" s="231" t="str">
        <f t="shared" si="80"/>
        <v>234</v>
      </c>
      <c r="R293" s="224">
        <f t="shared" si="81"/>
        <v>228.33333333333334</v>
      </c>
      <c r="S293" s="52">
        <f t="shared" si="75"/>
        <v>222</v>
      </c>
      <c r="T293" s="221">
        <f t="shared" ca="1" si="76"/>
        <v>4.62</v>
      </c>
      <c r="U293" s="221" t="str">
        <f t="shared" si="77"/>
        <v/>
      </c>
      <c r="V293" s="220" t="str">
        <f t="array" ref="V293">INDEX(P:P,MAX(U$3:U293))</f>
        <v>9N#1DTR(A)</v>
      </c>
      <c r="W293" s="220" t="str">
        <f t="shared" ca="1" si="78"/>
        <v/>
      </c>
      <c r="X293" s="220">
        <f t="shared" si="79"/>
        <v>11.4</v>
      </c>
      <c r="Y293" s="220">
        <f t="shared" si="67"/>
        <v>0</v>
      </c>
      <c r="AA293" s="220" t="str">
        <f t="shared" si="68"/>
        <v>彰竹</v>
      </c>
      <c r="AB293" s="220" t="s">
        <v>1948</v>
      </c>
      <c r="AC293" s="220" t="str">
        <f>LEFT(B293,4)</f>
        <v>9N24</v>
      </c>
      <c r="BB293" s="514" t="s">
        <v>3228</v>
      </c>
      <c r="BC293" s="514" t="s">
        <v>85</v>
      </c>
      <c r="BD293" s="514" t="s">
        <v>85</v>
      </c>
      <c r="BE293" s="514">
        <v>0</v>
      </c>
      <c r="BG293" s="229" t="s">
        <v>8539</v>
      </c>
      <c r="BH293" s="230" t="s">
        <v>8543</v>
      </c>
      <c r="BI293" t="s">
        <v>1948</v>
      </c>
      <c r="BJ293" t="s">
        <v>2177</v>
      </c>
    </row>
    <row r="294" spans="1:62">
      <c r="A294" s="229" t="s">
        <v>7097</v>
      </c>
      <c r="B294" s="230" t="s">
        <v>7098</v>
      </c>
      <c r="C294" s="230" t="s">
        <v>7099</v>
      </c>
      <c r="D294" s="229" t="s">
        <v>783</v>
      </c>
      <c r="E294" s="229" t="s">
        <v>983</v>
      </c>
      <c r="F294" s="229" t="s">
        <v>5580</v>
      </c>
      <c r="G294" s="229" t="s">
        <v>1047</v>
      </c>
      <c r="H294" s="229" t="s">
        <v>832</v>
      </c>
      <c r="I294" s="229" t="s">
        <v>3161</v>
      </c>
      <c r="J294" s="231" t="s">
        <v>358</v>
      </c>
      <c r="K294" s="231" t="s">
        <v>5585</v>
      </c>
      <c r="L294" s="220" t="str">
        <f t="shared" si="69"/>
        <v>9N#1DTR(B)</v>
      </c>
      <c r="M294" s="220" t="str">
        <f t="shared" si="70"/>
        <v>(B)</v>
      </c>
      <c r="N294" s="220" t="str">
        <f t="shared" si="71"/>
        <v>9N#1DTR</v>
      </c>
      <c r="O294" s="220" t="str">
        <f t="shared" si="72"/>
        <v>(B)</v>
      </c>
      <c r="P294" s="52" t="str">
        <f t="shared" si="73"/>
        <v>9N#1DTR(B)</v>
      </c>
      <c r="Q294" s="231" t="str">
        <f t="shared" si="80"/>
        <v>290</v>
      </c>
      <c r="R294" s="224">
        <f t="shared" si="81"/>
        <v>263.33333333333331</v>
      </c>
      <c r="S294" s="52">
        <f t="shared" si="75"/>
        <v>239</v>
      </c>
      <c r="T294" s="221">
        <f t="shared" ca="1" si="76"/>
        <v>5.73</v>
      </c>
      <c r="U294" s="221">
        <f t="shared" si="77"/>
        <v>294</v>
      </c>
      <c r="V294" s="220" t="str">
        <f t="array" ref="V294">INDEX(P:P,MAX(U$3:U294))</f>
        <v>9N#1DTR(B)</v>
      </c>
      <c r="W294" s="220">
        <f t="shared" ca="1" si="78"/>
        <v>30</v>
      </c>
      <c r="X294" s="220" t="str">
        <f t="shared" si="79"/>
        <v/>
      </c>
      <c r="Y294" s="220">
        <f t="shared" si="67"/>
        <v>0</v>
      </c>
      <c r="AA294" s="220" t="str">
        <f t="shared" si="68"/>
        <v>彰竹</v>
      </c>
      <c r="AB294" s="220" t="s">
        <v>2178</v>
      </c>
      <c r="AC294" s="220" t="s">
        <v>2178</v>
      </c>
      <c r="BB294" s="514" t="s">
        <v>3229</v>
      </c>
      <c r="BC294" s="514" t="s">
        <v>85</v>
      </c>
      <c r="BD294" s="514" t="s">
        <v>85</v>
      </c>
      <c r="BE294" s="514">
        <v>0</v>
      </c>
      <c r="BG294" s="229" t="s">
        <v>8539</v>
      </c>
      <c r="BH294" s="230" t="s">
        <v>8352</v>
      </c>
      <c r="BI294" t="s">
        <v>2178</v>
      </c>
      <c r="BJ294" t="s">
        <v>2178</v>
      </c>
    </row>
    <row r="295" spans="1:62">
      <c r="A295" s="229" t="s">
        <v>7086</v>
      </c>
      <c r="B295" s="230" t="s">
        <v>455</v>
      </c>
      <c r="C295" s="230" t="s">
        <v>5614</v>
      </c>
      <c r="D295" s="229" t="s">
        <v>784</v>
      </c>
      <c r="E295" s="229" t="s">
        <v>5614</v>
      </c>
      <c r="F295" s="229" t="s">
        <v>784</v>
      </c>
      <c r="G295" s="229" t="s">
        <v>5614</v>
      </c>
      <c r="H295" s="229" t="s">
        <v>784</v>
      </c>
      <c r="I295" s="229" t="s">
        <v>7100</v>
      </c>
      <c r="J295" s="231" t="s">
        <v>5699</v>
      </c>
      <c r="K295" s="231" t="s">
        <v>784</v>
      </c>
      <c r="L295" s="220" t="str">
        <f t="shared" si="69"/>
        <v>9N25</v>
      </c>
      <c r="M295" s="220" t="str">
        <f t="shared" si="70"/>
        <v/>
      </c>
      <c r="N295" s="220" t="str">
        <f t="shared" si="71"/>
        <v/>
      </c>
      <c r="O295" s="220" t="str">
        <f t="shared" si="72"/>
        <v/>
      </c>
      <c r="P295" s="52" t="str">
        <f t="shared" si="73"/>
        <v>9N25</v>
      </c>
      <c r="Q295" s="231" t="str">
        <f t="shared" si="80"/>
        <v>0</v>
      </c>
      <c r="R295" s="224">
        <f t="shared" si="81"/>
        <v>0</v>
      </c>
      <c r="S295" s="52">
        <f t="shared" si="75"/>
        <v>0</v>
      </c>
      <c r="T295" s="221">
        <f t="shared" ca="1" si="76"/>
        <v>0</v>
      </c>
      <c r="U295" s="221" t="str">
        <f t="shared" si="77"/>
        <v/>
      </c>
      <c r="V295" s="220" t="str">
        <f t="array" ref="V295">INDEX(P:P,MAX(U$3:U295))</f>
        <v>9N#1DTR(B)</v>
      </c>
      <c r="W295" s="220" t="str">
        <f t="shared" ca="1" si="78"/>
        <v/>
      </c>
      <c r="X295" s="220">
        <f t="shared" si="79"/>
        <v>11.4</v>
      </c>
      <c r="Y295" s="220">
        <f t="shared" si="67"/>
        <v>0</v>
      </c>
      <c r="AA295" s="220" t="str">
        <f t="shared" si="68"/>
        <v>彰竹</v>
      </c>
      <c r="AB295" s="220" t="s">
        <v>1949</v>
      </c>
      <c r="AC295" s="220" t="str">
        <f>LEFT(B295,4)</f>
        <v>9N25</v>
      </c>
      <c r="BB295" s="514" t="s">
        <v>3230</v>
      </c>
      <c r="BC295" s="514" t="s">
        <v>85</v>
      </c>
      <c r="BD295" s="514" t="s">
        <v>85</v>
      </c>
      <c r="BE295" s="514">
        <v>0</v>
      </c>
      <c r="BG295" s="229" t="s">
        <v>41</v>
      </c>
      <c r="BH295" s="230" t="s">
        <v>8544</v>
      </c>
      <c r="BI295" t="s">
        <v>1949</v>
      </c>
      <c r="BJ295" t="s">
        <v>2178</v>
      </c>
    </row>
    <row r="296" spans="1:62">
      <c r="A296" s="229" t="s">
        <v>7086</v>
      </c>
      <c r="B296" s="230" t="s">
        <v>7101</v>
      </c>
      <c r="C296" s="230" t="s">
        <v>6197</v>
      </c>
      <c r="D296" s="229" t="s">
        <v>5641</v>
      </c>
      <c r="E296" s="229" t="s">
        <v>7102</v>
      </c>
      <c r="F296" s="229" t="s">
        <v>5641</v>
      </c>
      <c r="G296" s="229" t="s">
        <v>7103</v>
      </c>
      <c r="H296" s="229" t="s">
        <v>804</v>
      </c>
      <c r="I296" s="229" t="s">
        <v>877</v>
      </c>
      <c r="J296" s="231" t="s">
        <v>955</v>
      </c>
      <c r="K296" s="231" t="s">
        <v>7104</v>
      </c>
      <c r="L296" s="220" t="str">
        <f t="shared" si="69"/>
        <v>9N26</v>
      </c>
      <c r="M296" s="220" t="str">
        <f t="shared" si="70"/>
        <v/>
      </c>
      <c r="N296" s="220" t="str">
        <f t="shared" si="71"/>
        <v/>
      </c>
      <c r="O296" s="220" t="str">
        <f t="shared" si="72"/>
        <v/>
      </c>
      <c r="P296" s="52" t="str">
        <f t="shared" si="73"/>
        <v>9N26</v>
      </c>
      <c r="Q296" s="231" t="str">
        <f t="shared" si="80"/>
        <v>98</v>
      </c>
      <c r="R296" s="224">
        <f t="shared" si="81"/>
        <v>84</v>
      </c>
      <c r="S296" s="52">
        <f t="shared" si="75"/>
        <v>69</v>
      </c>
      <c r="T296" s="221">
        <f t="shared" ca="1" si="76"/>
        <v>1.94</v>
      </c>
      <c r="U296" s="221" t="str">
        <f t="shared" si="77"/>
        <v/>
      </c>
      <c r="V296" s="220" t="str">
        <f t="array" ref="V296">INDEX(P:P,MAX(U$3:U296))</f>
        <v>9N#1DTR(B)</v>
      </c>
      <c r="W296" s="220" t="str">
        <f t="shared" ca="1" si="78"/>
        <v/>
      </c>
      <c r="X296" s="220">
        <f t="shared" si="79"/>
        <v>11.4</v>
      </c>
      <c r="Y296" s="220">
        <f t="shared" si="67"/>
        <v>0</v>
      </c>
      <c r="AA296" s="220" t="str">
        <f t="shared" si="68"/>
        <v>彰竹</v>
      </c>
      <c r="AB296" s="220" t="s">
        <v>1950</v>
      </c>
      <c r="AC296" s="220" t="str">
        <f>LEFT(B296,4)</f>
        <v>9N26</v>
      </c>
      <c r="BB296" s="514" t="s">
        <v>3231</v>
      </c>
      <c r="BC296" s="514" t="s">
        <v>85</v>
      </c>
      <c r="BD296" s="514" t="s">
        <v>85</v>
      </c>
      <c r="BE296" s="514">
        <v>0</v>
      </c>
      <c r="BG296" s="229" t="s">
        <v>8545</v>
      </c>
      <c r="BH296" s="230" t="s">
        <v>8546</v>
      </c>
      <c r="BI296" t="s">
        <v>1950</v>
      </c>
      <c r="BJ296" t="s">
        <v>2178</v>
      </c>
    </row>
    <row r="297" spans="1:62">
      <c r="A297" s="229" t="s">
        <v>7086</v>
      </c>
      <c r="B297" s="230" t="s">
        <v>7105</v>
      </c>
      <c r="C297" s="230" t="s">
        <v>7102</v>
      </c>
      <c r="D297" s="229" t="s">
        <v>6190</v>
      </c>
      <c r="E297" s="229" t="s">
        <v>7106</v>
      </c>
      <c r="F297" s="229" t="s">
        <v>7104</v>
      </c>
      <c r="G297" s="229" t="s">
        <v>6983</v>
      </c>
      <c r="H297" s="229" t="s">
        <v>5580</v>
      </c>
      <c r="I297" s="229" t="s">
        <v>7102</v>
      </c>
      <c r="J297" s="231" t="s">
        <v>7107</v>
      </c>
      <c r="K297" s="231" t="s">
        <v>6190</v>
      </c>
      <c r="L297" s="220" t="str">
        <f t="shared" si="69"/>
        <v>9N27</v>
      </c>
      <c r="M297" s="220" t="str">
        <f t="shared" si="70"/>
        <v/>
      </c>
      <c r="N297" s="220" t="str">
        <f t="shared" si="71"/>
        <v/>
      </c>
      <c r="O297" s="220" t="str">
        <f t="shared" si="72"/>
        <v/>
      </c>
      <c r="P297" s="52" t="str">
        <f t="shared" si="73"/>
        <v>9N27</v>
      </c>
      <c r="Q297" s="231" t="str">
        <f t="shared" si="80"/>
        <v>69</v>
      </c>
      <c r="R297" s="224">
        <f t="shared" si="81"/>
        <v>58</v>
      </c>
      <c r="S297" s="52">
        <f t="shared" si="75"/>
        <v>43</v>
      </c>
      <c r="T297" s="221">
        <f t="shared" ca="1" si="76"/>
        <v>1.36</v>
      </c>
      <c r="U297" s="221" t="str">
        <f t="shared" si="77"/>
        <v/>
      </c>
      <c r="V297" s="220" t="str">
        <f t="array" ref="V297">INDEX(P:P,MAX(U$3:U297))</f>
        <v>9N#1DTR(B)</v>
      </c>
      <c r="W297" s="220" t="str">
        <f t="shared" ca="1" si="78"/>
        <v/>
      </c>
      <c r="X297" s="220">
        <f t="shared" si="79"/>
        <v>11.4</v>
      </c>
      <c r="Y297" s="220">
        <f t="shared" si="67"/>
        <v>0</v>
      </c>
      <c r="AA297" s="220" t="str">
        <f t="shared" si="68"/>
        <v>彰竹</v>
      </c>
      <c r="AB297" s="220" t="s">
        <v>1383</v>
      </c>
      <c r="AC297" s="220" t="str">
        <f>LEFT(B297,4)</f>
        <v>9N27</v>
      </c>
      <c r="BB297" s="514" t="s">
        <v>3232</v>
      </c>
      <c r="BC297" s="514" t="s">
        <v>85</v>
      </c>
      <c r="BD297" s="514" t="s">
        <v>85</v>
      </c>
      <c r="BE297" s="514">
        <v>0</v>
      </c>
      <c r="BG297" s="229" t="s">
        <v>8539</v>
      </c>
      <c r="BH297" s="230" t="s">
        <v>8547</v>
      </c>
      <c r="BI297" t="s">
        <v>1383</v>
      </c>
      <c r="BJ297" t="s">
        <v>2178</v>
      </c>
    </row>
    <row r="298" spans="1:62">
      <c r="A298" s="229" t="s">
        <v>7108</v>
      </c>
      <c r="B298" s="230" t="s">
        <v>7109</v>
      </c>
      <c r="C298" s="230" t="s">
        <v>5614</v>
      </c>
      <c r="D298" s="229" t="s">
        <v>784</v>
      </c>
      <c r="E298" s="229" t="s">
        <v>5699</v>
      </c>
      <c r="F298" s="229" t="s">
        <v>5628</v>
      </c>
      <c r="G298" s="229" t="s">
        <v>5699</v>
      </c>
      <c r="H298" s="229" t="s">
        <v>5628</v>
      </c>
      <c r="I298" s="229" t="s">
        <v>5699</v>
      </c>
      <c r="J298" s="231" t="s">
        <v>5699</v>
      </c>
      <c r="K298" s="231" t="s">
        <v>784</v>
      </c>
      <c r="L298" s="220" t="str">
        <f t="shared" si="69"/>
        <v>9N28</v>
      </c>
      <c r="M298" s="220" t="str">
        <f t="shared" si="70"/>
        <v/>
      </c>
      <c r="N298" s="220" t="str">
        <f t="shared" si="71"/>
        <v/>
      </c>
      <c r="O298" s="220" t="str">
        <f t="shared" si="72"/>
        <v/>
      </c>
      <c r="P298" s="52" t="str">
        <f t="shared" si="73"/>
        <v>9N28</v>
      </c>
      <c r="Q298" s="231" t="str">
        <f t="shared" si="80"/>
        <v>0</v>
      </c>
      <c r="R298" s="224">
        <f t="shared" si="81"/>
        <v>0</v>
      </c>
      <c r="S298" s="52">
        <f t="shared" si="75"/>
        <v>0</v>
      </c>
      <c r="T298" s="221">
        <f t="shared" ca="1" si="76"/>
        <v>0</v>
      </c>
      <c r="U298" s="221" t="str">
        <f t="shared" si="77"/>
        <v/>
      </c>
      <c r="V298" s="220" t="str">
        <f t="array" ref="V298">INDEX(P:P,MAX(U$3:U298))</f>
        <v>9N#1DTR(B)</v>
      </c>
      <c r="W298" s="220" t="str">
        <f t="shared" ca="1" si="78"/>
        <v/>
      </c>
      <c r="X298" s="220">
        <f t="shared" si="79"/>
        <v>11.4</v>
      </c>
      <c r="Y298" s="220">
        <f t="shared" si="67"/>
        <v>0</v>
      </c>
      <c r="AA298" s="220" t="str">
        <f t="shared" si="68"/>
        <v>彰竹</v>
      </c>
      <c r="AB298" s="220" t="s">
        <v>1416</v>
      </c>
      <c r="AC298" s="220" t="str">
        <f>LEFT(B298,4)</f>
        <v>9N28</v>
      </c>
      <c r="BB298" s="514" t="s">
        <v>3233</v>
      </c>
      <c r="BC298" s="514" t="s">
        <v>85</v>
      </c>
      <c r="BD298" s="514" t="s">
        <v>85</v>
      </c>
      <c r="BE298" s="514">
        <v>0</v>
      </c>
      <c r="BG298" s="229" t="s">
        <v>41</v>
      </c>
      <c r="BH298" s="230" t="s">
        <v>8548</v>
      </c>
      <c r="BI298" t="s">
        <v>1416</v>
      </c>
      <c r="BJ298" t="s">
        <v>2178</v>
      </c>
    </row>
    <row r="299" spans="1:62">
      <c r="A299" s="229" t="s">
        <v>41</v>
      </c>
      <c r="B299" s="230" t="s">
        <v>456</v>
      </c>
      <c r="C299" s="230" t="s">
        <v>819</v>
      </c>
      <c r="D299" s="229" t="s">
        <v>832</v>
      </c>
      <c r="E299" s="229" t="s">
        <v>7110</v>
      </c>
      <c r="F299" s="229" t="s">
        <v>832</v>
      </c>
      <c r="G299" s="229" t="s">
        <v>869</v>
      </c>
      <c r="H299" s="229" t="s">
        <v>832</v>
      </c>
      <c r="I299" s="229" t="s">
        <v>819</v>
      </c>
      <c r="J299" s="231" t="s">
        <v>803</v>
      </c>
      <c r="K299" s="231" t="s">
        <v>804</v>
      </c>
      <c r="L299" s="220" t="str">
        <f t="shared" si="69"/>
        <v>9N29</v>
      </c>
      <c r="M299" s="220" t="str">
        <f t="shared" si="70"/>
        <v/>
      </c>
      <c r="N299" s="220" t="str">
        <f t="shared" si="71"/>
        <v/>
      </c>
      <c r="O299" s="220" t="str">
        <f t="shared" si="72"/>
        <v/>
      </c>
      <c r="P299" s="52" t="str">
        <f t="shared" si="73"/>
        <v>9N29</v>
      </c>
      <c r="Q299" s="231" t="str">
        <f t="shared" si="80"/>
        <v>139</v>
      </c>
      <c r="R299" s="224">
        <f t="shared" si="81"/>
        <v>132.66666666666666</v>
      </c>
      <c r="S299" s="52">
        <f t="shared" si="75"/>
        <v>124</v>
      </c>
      <c r="T299" s="221">
        <f t="shared" ca="1" si="76"/>
        <v>2.74</v>
      </c>
      <c r="U299" s="221" t="str">
        <f t="shared" si="77"/>
        <v/>
      </c>
      <c r="V299" s="220" t="str">
        <f t="array" ref="V299">INDEX(P:P,MAX(U$3:U299))</f>
        <v>9N#1DTR(B)</v>
      </c>
      <c r="W299" s="220" t="str">
        <f t="shared" ca="1" si="78"/>
        <v/>
      </c>
      <c r="X299" s="220">
        <f t="shared" si="79"/>
        <v>11.4</v>
      </c>
      <c r="Y299" s="220">
        <f t="shared" si="67"/>
        <v>0</v>
      </c>
      <c r="AA299" s="220" t="str">
        <f t="shared" si="68"/>
        <v>彰竹</v>
      </c>
      <c r="AB299" s="220" t="s">
        <v>1427</v>
      </c>
      <c r="AC299" s="220" t="str">
        <f>LEFT(B299,4)</f>
        <v>9N29</v>
      </c>
      <c r="BB299" s="514" t="s">
        <v>3234</v>
      </c>
      <c r="BC299" s="514" t="s">
        <v>85</v>
      </c>
      <c r="BD299" s="514" t="s">
        <v>85</v>
      </c>
      <c r="BE299" s="514">
        <v>0</v>
      </c>
      <c r="BG299" s="229" t="s">
        <v>41</v>
      </c>
      <c r="BH299" s="230" t="s">
        <v>456</v>
      </c>
      <c r="BI299" t="s">
        <v>1427</v>
      </c>
      <c r="BJ299" t="s">
        <v>2178</v>
      </c>
    </row>
    <row r="300" spans="1:62">
      <c r="A300" s="229" t="s">
        <v>42</v>
      </c>
      <c r="B300" s="230" t="s">
        <v>7111</v>
      </c>
      <c r="C300" s="230" t="s">
        <v>4673</v>
      </c>
      <c r="D300" s="229" t="s">
        <v>832</v>
      </c>
      <c r="E300" s="229" t="s">
        <v>7112</v>
      </c>
      <c r="F300" s="229" t="s">
        <v>7113</v>
      </c>
      <c r="G300" s="229" t="s">
        <v>2746</v>
      </c>
      <c r="H300" s="229" t="s">
        <v>7113</v>
      </c>
      <c r="I300" s="229" t="s">
        <v>2746</v>
      </c>
      <c r="J300" s="231" t="s">
        <v>358</v>
      </c>
      <c r="K300" s="231" t="s">
        <v>7114</v>
      </c>
      <c r="L300" s="220" t="str">
        <f t="shared" si="69"/>
        <v>9P#1DTR(A)</v>
      </c>
      <c r="M300" s="220" t="str">
        <f t="shared" si="70"/>
        <v>(A)</v>
      </c>
      <c r="N300" s="220" t="str">
        <f t="shared" si="71"/>
        <v>9P#1DTR</v>
      </c>
      <c r="O300" s="220" t="str">
        <f t="shared" si="72"/>
        <v>(A)</v>
      </c>
      <c r="P300" s="52" t="str">
        <f t="shared" si="73"/>
        <v>9P#1DTR(A)</v>
      </c>
      <c r="Q300" s="231" t="str">
        <f t="shared" si="80"/>
        <v>456</v>
      </c>
      <c r="R300" s="224">
        <f t="shared" si="81"/>
        <v>427</v>
      </c>
      <c r="S300" s="52">
        <f t="shared" si="75"/>
        <v>378</v>
      </c>
      <c r="T300" s="221">
        <f t="shared" ca="1" si="76"/>
        <v>9</v>
      </c>
      <c r="U300" s="221">
        <f t="shared" si="77"/>
        <v>300</v>
      </c>
      <c r="V300" s="220" t="str">
        <f t="array" ref="V300">INDEX(P:P,MAX(U$3:U300))</f>
        <v>9P#1DTR(A)</v>
      </c>
      <c r="W300" s="220">
        <f t="shared" ca="1" si="78"/>
        <v>30</v>
      </c>
      <c r="X300" s="220" t="str">
        <f t="shared" si="79"/>
        <v/>
      </c>
      <c r="Y300" s="220">
        <f t="shared" si="67"/>
        <v>0</v>
      </c>
      <c r="AA300" s="220" t="str">
        <f t="shared" si="68"/>
        <v>花壇</v>
      </c>
      <c r="AB300" s="220" t="s">
        <v>2179</v>
      </c>
      <c r="AC300" s="220" t="s">
        <v>2179</v>
      </c>
      <c r="BB300" s="514" t="s">
        <v>3235</v>
      </c>
      <c r="BC300" s="514" t="s">
        <v>85</v>
      </c>
      <c r="BD300" s="514" t="s">
        <v>85</v>
      </c>
      <c r="BE300" s="514">
        <v>0</v>
      </c>
      <c r="BG300" s="229" t="s">
        <v>8549</v>
      </c>
      <c r="BH300" s="230" t="s">
        <v>8346</v>
      </c>
      <c r="BI300" t="s">
        <v>2179</v>
      </c>
      <c r="BJ300" t="s">
        <v>2179</v>
      </c>
    </row>
    <row r="301" spans="1:62">
      <c r="A301" s="229" t="s">
        <v>42</v>
      </c>
      <c r="B301" s="230" t="s">
        <v>7115</v>
      </c>
      <c r="C301" s="230" t="s">
        <v>7116</v>
      </c>
      <c r="D301" s="229" t="s">
        <v>804</v>
      </c>
      <c r="E301" s="229" t="s">
        <v>829</v>
      </c>
      <c r="F301" s="229" t="s">
        <v>797</v>
      </c>
      <c r="G301" s="229" t="s">
        <v>7117</v>
      </c>
      <c r="H301" s="229" t="s">
        <v>7056</v>
      </c>
      <c r="I301" s="229" t="s">
        <v>801</v>
      </c>
      <c r="J301" s="231" t="s">
        <v>842</v>
      </c>
      <c r="K301" s="231" t="s">
        <v>5949</v>
      </c>
      <c r="L301" s="220" t="str">
        <f t="shared" si="69"/>
        <v>9P10</v>
      </c>
      <c r="M301" s="220" t="str">
        <f t="shared" si="70"/>
        <v/>
      </c>
      <c r="N301" s="220" t="str">
        <f t="shared" si="71"/>
        <v/>
      </c>
      <c r="O301" s="220" t="str">
        <f t="shared" si="72"/>
        <v/>
      </c>
      <c r="P301" s="52" t="str">
        <f t="shared" si="73"/>
        <v>9P10</v>
      </c>
      <c r="Q301" s="231" t="str">
        <f t="shared" si="80"/>
        <v>141</v>
      </c>
      <c r="R301" s="224">
        <f t="shared" si="81"/>
        <v>127.33333333333333</v>
      </c>
      <c r="S301" s="52">
        <f t="shared" si="75"/>
        <v>115</v>
      </c>
      <c r="T301" s="221">
        <f t="shared" ca="1" si="76"/>
        <v>2.78</v>
      </c>
      <c r="U301" s="221" t="str">
        <f t="shared" si="77"/>
        <v/>
      </c>
      <c r="V301" s="220" t="str">
        <f t="array" ref="V301">INDEX(P:P,MAX(U$3:U301))</f>
        <v>9P#1DTR(A)</v>
      </c>
      <c r="W301" s="220" t="str">
        <f t="shared" ca="1" si="78"/>
        <v/>
      </c>
      <c r="X301" s="220">
        <f t="shared" si="79"/>
        <v>11.4</v>
      </c>
      <c r="Y301" s="220">
        <f t="shared" si="67"/>
        <v>0</v>
      </c>
      <c r="AA301" s="220" t="str">
        <f t="shared" si="68"/>
        <v>花壇</v>
      </c>
      <c r="AB301" s="220" t="s">
        <v>2029</v>
      </c>
      <c r="AC301" s="220" t="str">
        <f>LEFT(B301,4)</f>
        <v>9P10</v>
      </c>
      <c r="BB301" s="514" t="s">
        <v>3236</v>
      </c>
      <c r="BC301" s="514" t="s">
        <v>85</v>
      </c>
      <c r="BD301" s="514" t="s">
        <v>85</v>
      </c>
      <c r="BE301" s="514">
        <v>0</v>
      </c>
      <c r="BG301" s="229" t="s">
        <v>8549</v>
      </c>
      <c r="BH301" s="230" t="s">
        <v>8550</v>
      </c>
      <c r="BI301" t="s">
        <v>2029</v>
      </c>
      <c r="BJ301" t="s">
        <v>2179</v>
      </c>
    </row>
    <row r="302" spans="1:62">
      <c r="A302" s="229" t="s">
        <v>42</v>
      </c>
      <c r="B302" s="230" t="s">
        <v>457</v>
      </c>
      <c r="C302" s="230" t="s">
        <v>987</v>
      </c>
      <c r="D302" s="229" t="s">
        <v>7056</v>
      </c>
      <c r="E302" s="229" t="s">
        <v>1049</v>
      </c>
      <c r="F302" s="229" t="s">
        <v>832</v>
      </c>
      <c r="G302" s="229" t="s">
        <v>914</v>
      </c>
      <c r="H302" s="229" t="s">
        <v>804</v>
      </c>
      <c r="I302" s="229" t="s">
        <v>914</v>
      </c>
      <c r="J302" s="231" t="s">
        <v>990</v>
      </c>
      <c r="K302" s="231" t="s">
        <v>7118</v>
      </c>
      <c r="L302" s="220" t="str">
        <f t="shared" si="69"/>
        <v>9P11</v>
      </c>
      <c r="M302" s="220" t="str">
        <f t="shared" si="70"/>
        <v/>
      </c>
      <c r="N302" s="220" t="str">
        <f t="shared" si="71"/>
        <v/>
      </c>
      <c r="O302" s="220" t="str">
        <f t="shared" si="72"/>
        <v/>
      </c>
      <c r="P302" s="52" t="str">
        <f t="shared" si="73"/>
        <v>9P11</v>
      </c>
      <c r="Q302" s="231" t="str">
        <f t="shared" si="80"/>
        <v>221</v>
      </c>
      <c r="R302" s="224">
        <f t="shared" si="81"/>
        <v>200.66666666666666</v>
      </c>
      <c r="S302" s="52">
        <f t="shared" si="75"/>
        <v>171</v>
      </c>
      <c r="T302" s="221">
        <f t="shared" ca="1" si="76"/>
        <v>4.3600000000000003</v>
      </c>
      <c r="U302" s="221" t="str">
        <f t="shared" si="77"/>
        <v/>
      </c>
      <c r="V302" s="220" t="str">
        <f t="array" ref="V302">INDEX(P:P,MAX(U$3:U302))</f>
        <v>9P#1DTR(A)</v>
      </c>
      <c r="W302" s="220" t="str">
        <f t="shared" ca="1" si="78"/>
        <v/>
      </c>
      <c r="X302" s="220">
        <f t="shared" si="79"/>
        <v>11.4</v>
      </c>
      <c r="Y302" s="220">
        <f t="shared" si="67"/>
        <v>0</v>
      </c>
      <c r="AA302" s="220" t="str">
        <f t="shared" si="68"/>
        <v>花壇</v>
      </c>
      <c r="AB302" s="220" t="s">
        <v>2180</v>
      </c>
      <c r="AC302" s="220" t="str">
        <f>LEFT(B302,4)</f>
        <v>9P11</v>
      </c>
      <c r="BB302" s="514" t="s">
        <v>3237</v>
      </c>
      <c r="BC302" s="514" t="s">
        <v>85</v>
      </c>
      <c r="BD302" s="514" t="s">
        <v>85</v>
      </c>
      <c r="BE302" s="514">
        <v>0</v>
      </c>
      <c r="BG302" s="229" t="s">
        <v>42</v>
      </c>
      <c r="BH302" s="230" t="s">
        <v>8551</v>
      </c>
      <c r="BI302" t="s">
        <v>2180</v>
      </c>
      <c r="BJ302" t="s">
        <v>2179</v>
      </c>
    </row>
    <row r="303" spans="1:62">
      <c r="A303" s="229" t="s">
        <v>42</v>
      </c>
      <c r="B303" s="230" t="s">
        <v>458</v>
      </c>
      <c r="C303" s="230" t="s">
        <v>935</v>
      </c>
      <c r="D303" s="229" t="s">
        <v>783</v>
      </c>
      <c r="E303" s="229" t="s">
        <v>7119</v>
      </c>
      <c r="F303" s="229" t="s">
        <v>5791</v>
      </c>
      <c r="G303" s="229" t="s">
        <v>1015</v>
      </c>
      <c r="H303" s="229" t="s">
        <v>5791</v>
      </c>
      <c r="I303" s="229" t="s">
        <v>7120</v>
      </c>
      <c r="J303" s="231" t="s">
        <v>796</v>
      </c>
      <c r="K303" s="231" t="s">
        <v>5682</v>
      </c>
      <c r="L303" s="220" t="str">
        <f t="shared" si="69"/>
        <v>9P12</v>
      </c>
      <c r="M303" s="220" t="str">
        <f t="shared" si="70"/>
        <v/>
      </c>
      <c r="N303" s="220" t="str">
        <f t="shared" si="71"/>
        <v/>
      </c>
      <c r="O303" s="220" t="str">
        <f t="shared" si="72"/>
        <v/>
      </c>
      <c r="P303" s="52" t="str">
        <f t="shared" si="73"/>
        <v>9P12</v>
      </c>
      <c r="Q303" s="231" t="str">
        <f t="shared" si="80"/>
        <v>86</v>
      </c>
      <c r="R303" s="224">
        <f t="shared" si="81"/>
        <v>83.666666666666671</v>
      </c>
      <c r="S303" s="52">
        <f t="shared" si="75"/>
        <v>80</v>
      </c>
      <c r="T303" s="221">
        <f t="shared" ca="1" si="76"/>
        <v>1.7</v>
      </c>
      <c r="U303" s="221" t="str">
        <f t="shared" si="77"/>
        <v/>
      </c>
      <c r="V303" s="220" t="str">
        <f t="array" ref="V303">INDEX(P:P,MAX(U$3:U303))</f>
        <v>9P#1DTR(A)</v>
      </c>
      <c r="W303" s="220" t="str">
        <f t="shared" ca="1" si="78"/>
        <v/>
      </c>
      <c r="X303" s="220">
        <f t="shared" si="79"/>
        <v>11.4</v>
      </c>
      <c r="Y303" s="220">
        <f t="shared" si="67"/>
        <v>0</v>
      </c>
      <c r="AA303" s="220" t="str">
        <f t="shared" si="68"/>
        <v>花壇</v>
      </c>
      <c r="AB303" s="220" t="s">
        <v>2181</v>
      </c>
      <c r="AC303" s="220" t="str">
        <f>LEFT(B303,4)</f>
        <v>9P12</v>
      </c>
      <c r="BB303" s="514" t="s">
        <v>3238</v>
      </c>
      <c r="BC303" s="514" t="s">
        <v>85</v>
      </c>
      <c r="BD303" s="514" t="s">
        <v>85</v>
      </c>
      <c r="BE303" s="514">
        <v>0</v>
      </c>
      <c r="BG303" s="229" t="s">
        <v>8549</v>
      </c>
      <c r="BH303" s="230" t="s">
        <v>8552</v>
      </c>
      <c r="BI303" t="s">
        <v>2181</v>
      </c>
      <c r="BJ303" t="s">
        <v>2179</v>
      </c>
    </row>
    <row r="304" spans="1:62">
      <c r="A304" s="229" t="s">
        <v>42</v>
      </c>
      <c r="B304" s="230" t="s">
        <v>7121</v>
      </c>
      <c r="C304" s="230" t="s">
        <v>800</v>
      </c>
      <c r="D304" s="229" t="s">
        <v>901</v>
      </c>
      <c r="E304" s="229" t="s">
        <v>7122</v>
      </c>
      <c r="F304" s="229" t="s">
        <v>859</v>
      </c>
      <c r="G304" s="229" t="s">
        <v>7123</v>
      </c>
      <c r="H304" s="229" t="s">
        <v>7124</v>
      </c>
      <c r="I304" s="229" t="s">
        <v>6100</v>
      </c>
      <c r="J304" s="231" t="s">
        <v>349</v>
      </c>
      <c r="K304" s="231" t="s">
        <v>797</v>
      </c>
      <c r="L304" s="220" t="str">
        <f t="shared" si="69"/>
        <v>9P13</v>
      </c>
      <c r="M304" s="220" t="str">
        <f t="shared" si="70"/>
        <v/>
      </c>
      <c r="N304" s="220" t="str">
        <f t="shared" si="71"/>
        <v/>
      </c>
      <c r="O304" s="220" t="str">
        <f t="shared" si="72"/>
        <v/>
      </c>
      <c r="P304" s="52" t="str">
        <f t="shared" si="73"/>
        <v>9P13</v>
      </c>
      <c r="Q304" s="231" t="str">
        <f t="shared" si="80"/>
        <v>39</v>
      </c>
      <c r="R304" s="224">
        <f t="shared" si="81"/>
        <v>35.666666666666664</v>
      </c>
      <c r="S304" s="52">
        <f t="shared" si="75"/>
        <v>33</v>
      </c>
      <c r="T304" s="221">
        <f t="shared" ca="1" si="76"/>
        <v>0.77</v>
      </c>
      <c r="U304" s="221" t="str">
        <f t="shared" si="77"/>
        <v/>
      </c>
      <c r="V304" s="220" t="str">
        <f t="array" ref="V304">INDEX(P:P,MAX(U$3:U304))</f>
        <v>9P#1DTR(A)</v>
      </c>
      <c r="W304" s="220" t="str">
        <f t="shared" ca="1" si="78"/>
        <v/>
      </c>
      <c r="X304" s="220">
        <f t="shared" si="79"/>
        <v>11.4</v>
      </c>
      <c r="Y304" s="220">
        <f t="shared" si="67"/>
        <v>0</v>
      </c>
      <c r="AA304" s="220" t="str">
        <f t="shared" si="68"/>
        <v>花壇</v>
      </c>
      <c r="AB304" s="220" t="s">
        <v>2182</v>
      </c>
      <c r="AC304" s="220" t="str">
        <f>LEFT(B304,4)</f>
        <v>9P13</v>
      </c>
      <c r="BB304" s="514" t="s">
        <v>3239</v>
      </c>
      <c r="BC304" s="514" t="s">
        <v>85</v>
      </c>
      <c r="BD304" s="514" t="s">
        <v>85</v>
      </c>
      <c r="BE304" s="514">
        <v>0</v>
      </c>
      <c r="BG304" s="229" t="s">
        <v>42</v>
      </c>
      <c r="BH304" s="230" t="s">
        <v>8553</v>
      </c>
      <c r="BI304" t="s">
        <v>2182</v>
      </c>
      <c r="BJ304" t="s">
        <v>2179</v>
      </c>
    </row>
    <row r="305" spans="1:62">
      <c r="A305" s="229" t="s">
        <v>42</v>
      </c>
      <c r="B305" s="230" t="s">
        <v>7125</v>
      </c>
      <c r="C305" s="230" t="s">
        <v>7126</v>
      </c>
      <c r="D305" s="229" t="s">
        <v>846</v>
      </c>
      <c r="E305" s="229" t="s">
        <v>349</v>
      </c>
      <c r="F305" s="229" t="s">
        <v>832</v>
      </c>
      <c r="G305" s="229" t="s">
        <v>849</v>
      </c>
      <c r="H305" s="229" t="s">
        <v>859</v>
      </c>
      <c r="I305" s="229" t="s">
        <v>849</v>
      </c>
      <c r="J305" s="231" t="s">
        <v>994</v>
      </c>
      <c r="K305" s="231" t="s">
        <v>832</v>
      </c>
      <c r="L305" s="220" t="str">
        <f t="shared" si="69"/>
        <v>9P14</v>
      </c>
      <c r="M305" s="220" t="str">
        <f t="shared" si="70"/>
        <v/>
      </c>
      <c r="N305" s="220" t="str">
        <f t="shared" si="71"/>
        <v/>
      </c>
      <c r="O305" s="220" t="str">
        <f t="shared" si="72"/>
        <v/>
      </c>
      <c r="P305" s="52" t="str">
        <f t="shared" si="73"/>
        <v>9P14</v>
      </c>
      <c r="Q305" s="231" t="str">
        <f t="shared" si="80"/>
        <v>14</v>
      </c>
      <c r="R305" s="224">
        <f t="shared" si="81"/>
        <v>11</v>
      </c>
      <c r="S305" s="52">
        <f t="shared" si="75"/>
        <v>8</v>
      </c>
      <c r="T305" s="221">
        <f t="shared" ca="1" si="76"/>
        <v>0.28000000000000003</v>
      </c>
      <c r="U305" s="221" t="str">
        <f t="shared" si="77"/>
        <v/>
      </c>
      <c r="V305" s="220" t="str">
        <f t="array" ref="V305">INDEX(P:P,MAX(U$3:U305))</f>
        <v>9P#1DTR(A)</v>
      </c>
      <c r="W305" s="220" t="str">
        <f t="shared" ca="1" si="78"/>
        <v/>
      </c>
      <c r="X305" s="220">
        <f t="shared" si="79"/>
        <v>11.4</v>
      </c>
      <c r="Y305" s="220">
        <f t="shared" si="67"/>
        <v>0</v>
      </c>
      <c r="AA305" s="220" t="str">
        <f t="shared" si="68"/>
        <v>花壇</v>
      </c>
      <c r="AB305" s="220" t="s">
        <v>2183</v>
      </c>
      <c r="AC305" s="220" t="str">
        <f>LEFT(B305,4)</f>
        <v>9P14</v>
      </c>
      <c r="BB305" s="514" t="s">
        <v>3240</v>
      </c>
      <c r="BC305" s="514" t="s">
        <v>85</v>
      </c>
      <c r="BD305" s="514" t="s">
        <v>85</v>
      </c>
      <c r="BE305" s="514">
        <v>0</v>
      </c>
      <c r="BG305" s="229" t="s">
        <v>8549</v>
      </c>
      <c r="BH305" s="230" t="s">
        <v>459</v>
      </c>
      <c r="BI305" t="s">
        <v>2183</v>
      </c>
      <c r="BJ305" t="s">
        <v>2179</v>
      </c>
    </row>
    <row r="306" spans="1:62">
      <c r="A306" s="229" t="s">
        <v>7127</v>
      </c>
      <c r="B306" s="230" t="s">
        <v>7128</v>
      </c>
      <c r="C306" s="230" t="s">
        <v>4659</v>
      </c>
      <c r="D306" s="229" t="s">
        <v>804</v>
      </c>
      <c r="E306" s="229" t="s">
        <v>4674</v>
      </c>
      <c r="F306" s="229" t="s">
        <v>804</v>
      </c>
      <c r="G306" s="229" t="s">
        <v>4675</v>
      </c>
      <c r="H306" s="229" t="s">
        <v>7056</v>
      </c>
      <c r="I306" s="229" t="s">
        <v>4659</v>
      </c>
      <c r="J306" s="231" t="s">
        <v>358</v>
      </c>
      <c r="K306" s="231" t="s">
        <v>358</v>
      </c>
      <c r="L306" s="220" t="str">
        <f t="shared" si="69"/>
        <v>9P#1DTR(B)</v>
      </c>
      <c r="M306" s="220" t="str">
        <f t="shared" si="70"/>
        <v>(B)</v>
      </c>
      <c r="N306" s="220" t="str">
        <f t="shared" si="71"/>
        <v>9P#1DTR</v>
      </c>
      <c r="O306" s="220" t="str">
        <f t="shared" si="72"/>
        <v>(B)</v>
      </c>
      <c r="P306" s="52" t="str">
        <f t="shared" si="73"/>
        <v>9P#1DTR(B)</v>
      </c>
      <c r="Q306" s="231" t="str">
        <f t="shared" si="80"/>
        <v>386</v>
      </c>
      <c r="R306" s="224">
        <f t="shared" si="81"/>
        <v>382.33333333333331</v>
      </c>
      <c r="S306" s="52">
        <f t="shared" si="75"/>
        <v>379</v>
      </c>
      <c r="T306" s="221">
        <f t="shared" ca="1" si="76"/>
        <v>7.62</v>
      </c>
      <c r="U306" s="221">
        <f t="shared" si="77"/>
        <v>306</v>
      </c>
      <c r="V306" s="220" t="str">
        <f t="array" ref="V306">INDEX(P:P,MAX(U$3:U306))</f>
        <v>9P#1DTR(B)</v>
      </c>
      <c r="W306" s="220">
        <f t="shared" ca="1" si="78"/>
        <v>30</v>
      </c>
      <c r="X306" s="220" t="str">
        <f t="shared" si="79"/>
        <v/>
      </c>
      <c r="Y306" s="220">
        <f t="shared" si="67"/>
        <v>0</v>
      </c>
      <c r="AA306" s="220" t="str">
        <f t="shared" si="68"/>
        <v>花壇</v>
      </c>
      <c r="AB306" s="220" t="s">
        <v>2184</v>
      </c>
      <c r="AC306" s="220" t="s">
        <v>2184</v>
      </c>
      <c r="BB306" s="514" t="s">
        <v>3241</v>
      </c>
      <c r="BC306" s="514" t="s">
        <v>85</v>
      </c>
      <c r="BD306" s="514" t="s">
        <v>85</v>
      </c>
      <c r="BE306" s="514">
        <v>0</v>
      </c>
      <c r="BG306" s="229" t="s">
        <v>8554</v>
      </c>
      <c r="BH306" s="230" t="s">
        <v>8405</v>
      </c>
      <c r="BI306" t="s">
        <v>2184</v>
      </c>
      <c r="BJ306" t="s">
        <v>2184</v>
      </c>
    </row>
    <row r="307" spans="1:62">
      <c r="A307" s="229" t="s">
        <v>42</v>
      </c>
      <c r="B307" s="230" t="s">
        <v>460</v>
      </c>
      <c r="C307" s="230" t="s">
        <v>1037</v>
      </c>
      <c r="D307" s="229" t="s">
        <v>804</v>
      </c>
      <c r="E307" s="229" t="s">
        <v>7129</v>
      </c>
      <c r="F307" s="229" t="s">
        <v>5641</v>
      </c>
      <c r="G307" s="229" t="s">
        <v>949</v>
      </c>
      <c r="H307" s="229" t="s">
        <v>5641</v>
      </c>
      <c r="I307" s="229" t="s">
        <v>885</v>
      </c>
      <c r="J307" s="231" t="s">
        <v>6100</v>
      </c>
      <c r="K307" s="231" t="s">
        <v>5791</v>
      </c>
      <c r="L307" s="220" t="str">
        <f t="shared" si="69"/>
        <v>9P15</v>
      </c>
      <c r="M307" s="220" t="str">
        <f t="shared" si="70"/>
        <v/>
      </c>
      <c r="N307" s="220" t="str">
        <f t="shared" si="71"/>
        <v/>
      </c>
      <c r="O307" s="220" t="str">
        <f t="shared" si="72"/>
        <v/>
      </c>
      <c r="P307" s="52" t="str">
        <f t="shared" si="73"/>
        <v>9P15</v>
      </c>
      <c r="Q307" s="231" t="str">
        <f t="shared" si="80"/>
        <v>248</v>
      </c>
      <c r="R307" s="224">
        <f t="shared" si="81"/>
        <v>235.33333333333334</v>
      </c>
      <c r="S307" s="52">
        <f t="shared" si="75"/>
        <v>224</v>
      </c>
      <c r="T307" s="221">
        <f t="shared" ca="1" si="76"/>
        <v>4.9000000000000004</v>
      </c>
      <c r="U307" s="221" t="str">
        <f t="shared" si="77"/>
        <v/>
      </c>
      <c r="V307" s="220" t="str">
        <f t="array" ref="V307">INDEX(P:P,MAX(U$3:U307))</f>
        <v>9P#1DTR(B)</v>
      </c>
      <c r="W307" s="220" t="str">
        <f t="shared" ca="1" si="78"/>
        <v/>
      </c>
      <c r="X307" s="220">
        <f t="shared" si="79"/>
        <v>11.4</v>
      </c>
      <c r="Y307" s="220">
        <f t="shared" si="67"/>
        <v>0</v>
      </c>
      <c r="AA307" s="220" t="str">
        <f t="shared" si="68"/>
        <v>花壇</v>
      </c>
      <c r="AB307" s="220" t="s">
        <v>2185</v>
      </c>
      <c r="AC307" s="220" t="str">
        <f>LEFT(B307,4)</f>
        <v>9P15</v>
      </c>
      <c r="BB307" s="514" t="s">
        <v>3242</v>
      </c>
      <c r="BC307" s="514" t="s">
        <v>85</v>
      </c>
      <c r="BD307" s="514" t="s">
        <v>85</v>
      </c>
      <c r="BE307" s="514">
        <v>0</v>
      </c>
      <c r="BG307" s="229" t="s">
        <v>8549</v>
      </c>
      <c r="BH307" s="230" t="s">
        <v>8555</v>
      </c>
      <c r="BI307" t="s">
        <v>2185</v>
      </c>
      <c r="BJ307" t="s">
        <v>2184</v>
      </c>
    </row>
    <row r="308" spans="1:62">
      <c r="A308" s="229" t="s">
        <v>42</v>
      </c>
      <c r="B308" s="230" t="s">
        <v>7130</v>
      </c>
      <c r="C308" s="230" t="s">
        <v>7131</v>
      </c>
      <c r="D308" s="229" t="s">
        <v>832</v>
      </c>
      <c r="E308" s="229" t="s">
        <v>968</v>
      </c>
      <c r="F308" s="229" t="s">
        <v>832</v>
      </c>
      <c r="G308" s="229" t="s">
        <v>6566</v>
      </c>
      <c r="H308" s="229" t="s">
        <v>832</v>
      </c>
      <c r="I308" s="229" t="s">
        <v>1003</v>
      </c>
      <c r="J308" s="231" t="s">
        <v>7106</v>
      </c>
      <c r="K308" s="231" t="s">
        <v>5791</v>
      </c>
      <c r="L308" s="220" t="str">
        <f t="shared" si="69"/>
        <v>9P16</v>
      </c>
      <c r="M308" s="220" t="str">
        <f t="shared" si="70"/>
        <v/>
      </c>
      <c r="N308" s="220" t="str">
        <f t="shared" si="71"/>
        <v/>
      </c>
      <c r="O308" s="220" t="str">
        <f t="shared" si="72"/>
        <v/>
      </c>
      <c r="P308" s="52" t="str">
        <f t="shared" si="73"/>
        <v>9P16</v>
      </c>
      <c r="Q308" s="231" t="str">
        <f t="shared" si="80"/>
        <v>207</v>
      </c>
      <c r="R308" s="224">
        <f t="shared" si="81"/>
        <v>199.33333333333334</v>
      </c>
      <c r="S308" s="52">
        <f t="shared" si="75"/>
        <v>186</v>
      </c>
      <c r="T308" s="221">
        <f t="shared" ca="1" si="76"/>
        <v>4.09</v>
      </c>
      <c r="U308" s="221" t="str">
        <f t="shared" si="77"/>
        <v/>
      </c>
      <c r="V308" s="220" t="str">
        <f t="array" ref="V308">INDEX(P:P,MAX(U$3:U308))</f>
        <v>9P#1DTR(B)</v>
      </c>
      <c r="W308" s="220" t="str">
        <f t="shared" ca="1" si="78"/>
        <v/>
      </c>
      <c r="X308" s="220">
        <f t="shared" si="79"/>
        <v>11.4</v>
      </c>
      <c r="Y308" s="220">
        <f t="shared" si="67"/>
        <v>0</v>
      </c>
      <c r="AA308" s="220" t="str">
        <f t="shared" si="68"/>
        <v>花壇</v>
      </c>
      <c r="AB308" s="220" t="s">
        <v>2186</v>
      </c>
      <c r="AC308" s="220" t="str">
        <f>LEFT(B308,4)</f>
        <v>9P16</v>
      </c>
      <c r="BB308" s="514" t="s">
        <v>3243</v>
      </c>
      <c r="BC308" s="514" t="s">
        <v>85</v>
      </c>
      <c r="BD308" s="514" t="s">
        <v>85</v>
      </c>
      <c r="BE308" s="514">
        <v>0</v>
      </c>
      <c r="BG308" s="229" t="s">
        <v>8554</v>
      </c>
      <c r="BH308" s="230" t="s">
        <v>8556</v>
      </c>
      <c r="BI308" t="s">
        <v>2186</v>
      </c>
      <c r="BJ308" t="s">
        <v>2184</v>
      </c>
    </row>
    <row r="309" spans="1:62">
      <c r="A309" s="229" t="s">
        <v>7132</v>
      </c>
      <c r="B309" s="230" t="s">
        <v>461</v>
      </c>
      <c r="C309" s="230" t="s">
        <v>7133</v>
      </c>
      <c r="D309" s="229" t="s">
        <v>7134</v>
      </c>
      <c r="E309" s="229" t="s">
        <v>7135</v>
      </c>
      <c r="F309" s="229" t="s">
        <v>5764</v>
      </c>
      <c r="G309" s="229" t="s">
        <v>788</v>
      </c>
      <c r="H309" s="229" t="s">
        <v>783</v>
      </c>
      <c r="I309" s="229" t="s">
        <v>788</v>
      </c>
      <c r="J309" s="231" t="s">
        <v>1009</v>
      </c>
      <c r="K309" s="231" t="s">
        <v>5791</v>
      </c>
      <c r="L309" s="220" t="str">
        <f t="shared" si="69"/>
        <v>9P17</v>
      </c>
      <c r="M309" s="220" t="str">
        <f t="shared" si="70"/>
        <v/>
      </c>
      <c r="N309" s="220" t="str">
        <f t="shared" si="71"/>
        <v/>
      </c>
      <c r="O309" s="220" t="str">
        <f t="shared" si="72"/>
        <v/>
      </c>
      <c r="P309" s="52" t="str">
        <f t="shared" si="73"/>
        <v>9P17</v>
      </c>
      <c r="Q309" s="231" t="str">
        <f t="shared" si="80"/>
        <v>151</v>
      </c>
      <c r="R309" s="224">
        <f t="shared" si="81"/>
        <v>139.66666666666666</v>
      </c>
      <c r="S309" s="52">
        <f t="shared" si="75"/>
        <v>123</v>
      </c>
      <c r="T309" s="221">
        <f t="shared" ca="1" si="76"/>
        <v>2.98</v>
      </c>
      <c r="U309" s="221" t="str">
        <f t="shared" si="77"/>
        <v/>
      </c>
      <c r="V309" s="220" t="str">
        <f t="array" ref="V309">INDEX(P:P,MAX(U$3:U309))</f>
        <v>9P#1DTR(B)</v>
      </c>
      <c r="W309" s="220" t="str">
        <f t="shared" ca="1" si="78"/>
        <v/>
      </c>
      <c r="X309" s="220">
        <f t="shared" si="79"/>
        <v>11.4</v>
      </c>
      <c r="Y309" s="220">
        <f t="shared" si="67"/>
        <v>0</v>
      </c>
      <c r="AA309" s="220" t="str">
        <f t="shared" si="68"/>
        <v>花壇</v>
      </c>
      <c r="AB309" s="220" t="s">
        <v>2187</v>
      </c>
      <c r="AC309" s="220" t="str">
        <f>LEFT(B309,4)</f>
        <v>9P17</v>
      </c>
      <c r="BB309" s="514" t="s">
        <v>3244</v>
      </c>
      <c r="BC309" s="514" t="s">
        <v>85</v>
      </c>
      <c r="BD309" s="514" t="s">
        <v>85</v>
      </c>
      <c r="BE309" s="514">
        <v>0</v>
      </c>
      <c r="BG309" s="229" t="s">
        <v>42</v>
      </c>
      <c r="BH309" s="230" t="s">
        <v>8557</v>
      </c>
      <c r="BI309" t="s">
        <v>2187</v>
      </c>
      <c r="BJ309" t="s">
        <v>2184</v>
      </c>
    </row>
    <row r="310" spans="1:62">
      <c r="A310" s="229" t="s">
        <v>42</v>
      </c>
      <c r="B310" s="230" t="s">
        <v>7136</v>
      </c>
      <c r="C310" s="230" t="s">
        <v>5614</v>
      </c>
      <c r="D310" s="229" t="s">
        <v>5628</v>
      </c>
      <c r="E310" s="229" t="s">
        <v>5614</v>
      </c>
      <c r="F310" s="229" t="s">
        <v>7137</v>
      </c>
      <c r="G310" s="229" t="s">
        <v>7090</v>
      </c>
      <c r="H310" s="229" t="s">
        <v>5628</v>
      </c>
      <c r="I310" s="229" t="s">
        <v>5614</v>
      </c>
      <c r="J310" s="231" t="s">
        <v>5614</v>
      </c>
      <c r="K310" s="231" t="s">
        <v>5628</v>
      </c>
      <c r="L310" s="220" t="str">
        <f t="shared" si="69"/>
        <v>9P18</v>
      </c>
      <c r="M310" s="220" t="str">
        <f t="shared" si="70"/>
        <v/>
      </c>
      <c r="N310" s="220" t="str">
        <f t="shared" si="71"/>
        <v/>
      </c>
      <c r="O310" s="220" t="str">
        <f t="shared" si="72"/>
        <v/>
      </c>
      <c r="P310" s="52" t="str">
        <f t="shared" si="73"/>
        <v>9P18</v>
      </c>
      <c r="Q310" s="231" t="str">
        <f t="shared" si="80"/>
        <v>0</v>
      </c>
      <c r="R310" s="224">
        <f t="shared" si="81"/>
        <v>0</v>
      </c>
      <c r="S310" s="52">
        <f t="shared" si="75"/>
        <v>0</v>
      </c>
      <c r="T310" s="221">
        <f t="shared" ca="1" si="76"/>
        <v>0</v>
      </c>
      <c r="U310" s="221" t="str">
        <f t="shared" si="77"/>
        <v/>
      </c>
      <c r="V310" s="220" t="str">
        <f t="array" ref="V310">INDEX(P:P,MAX(U$3:U310))</f>
        <v>9P#1DTR(B)</v>
      </c>
      <c r="W310" s="220" t="str">
        <f t="shared" ca="1" si="78"/>
        <v/>
      </c>
      <c r="X310" s="220">
        <f t="shared" si="79"/>
        <v>11.4</v>
      </c>
      <c r="Y310" s="220">
        <f t="shared" si="67"/>
        <v>0</v>
      </c>
      <c r="AA310" s="220" t="str">
        <f t="shared" si="68"/>
        <v>花壇</v>
      </c>
      <c r="AB310" s="220" t="s">
        <v>2031</v>
      </c>
      <c r="AC310" s="220" t="str">
        <f>LEFT(B310,4)</f>
        <v>9P18</v>
      </c>
      <c r="BB310" s="514" t="s">
        <v>3245</v>
      </c>
      <c r="BC310" s="514" t="s">
        <v>85</v>
      </c>
      <c r="BD310" s="514" t="s">
        <v>85</v>
      </c>
      <c r="BE310" s="514">
        <v>0</v>
      </c>
      <c r="BG310" s="229" t="s">
        <v>8549</v>
      </c>
      <c r="BH310" s="230" t="s">
        <v>8558</v>
      </c>
      <c r="BI310" t="s">
        <v>2031</v>
      </c>
      <c r="BJ310" t="s">
        <v>2184</v>
      </c>
    </row>
    <row r="311" spans="1:62">
      <c r="A311" s="229" t="s">
        <v>7132</v>
      </c>
      <c r="B311" s="230" t="s">
        <v>462</v>
      </c>
      <c r="C311" s="230" t="s">
        <v>7138</v>
      </c>
      <c r="D311" s="229" t="s">
        <v>5986</v>
      </c>
      <c r="E311" s="229" t="s">
        <v>890</v>
      </c>
      <c r="F311" s="229" t="s">
        <v>7104</v>
      </c>
      <c r="G311" s="229" t="s">
        <v>7139</v>
      </c>
      <c r="H311" s="229" t="s">
        <v>5986</v>
      </c>
      <c r="I311" s="229" t="s">
        <v>844</v>
      </c>
      <c r="J311" s="231" t="s">
        <v>7140</v>
      </c>
      <c r="K311" s="231" t="s">
        <v>7141</v>
      </c>
      <c r="L311" s="220" t="str">
        <f t="shared" si="69"/>
        <v>9P19</v>
      </c>
      <c r="M311" s="220" t="str">
        <f t="shared" si="70"/>
        <v/>
      </c>
      <c r="N311" s="220" t="str">
        <f t="shared" si="71"/>
        <v/>
      </c>
      <c r="O311" s="220" t="str">
        <f t="shared" si="72"/>
        <v/>
      </c>
      <c r="P311" s="52" t="str">
        <f t="shared" si="73"/>
        <v>9P19</v>
      </c>
      <c r="Q311" s="231" t="str">
        <f t="shared" si="80"/>
        <v>51</v>
      </c>
      <c r="R311" s="224">
        <f t="shared" si="81"/>
        <v>36.666666666666664</v>
      </c>
      <c r="S311" s="52">
        <f t="shared" si="75"/>
        <v>21</v>
      </c>
      <c r="T311" s="221">
        <f t="shared" ca="1" si="76"/>
        <v>1.01</v>
      </c>
      <c r="U311" s="221" t="str">
        <f t="shared" si="77"/>
        <v/>
      </c>
      <c r="V311" s="220" t="str">
        <f t="array" ref="V311">INDEX(P:P,MAX(U$3:U311))</f>
        <v>9P#1DTR(B)</v>
      </c>
      <c r="W311" s="220" t="str">
        <f t="shared" ca="1" si="78"/>
        <v/>
      </c>
      <c r="X311" s="220">
        <f t="shared" si="79"/>
        <v>11.4</v>
      </c>
      <c r="Y311" s="220">
        <f t="shared" si="67"/>
        <v>0</v>
      </c>
      <c r="AA311" s="220" t="str">
        <f t="shared" si="68"/>
        <v>花壇</v>
      </c>
      <c r="AB311" s="220" t="s">
        <v>2188</v>
      </c>
      <c r="AC311" s="220" t="str">
        <f>LEFT(B311,4)</f>
        <v>9P19</v>
      </c>
      <c r="BB311" s="514" t="s">
        <v>3246</v>
      </c>
      <c r="BC311" s="514" t="s">
        <v>85</v>
      </c>
      <c r="BD311" s="514" t="s">
        <v>85</v>
      </c>
      <c r="BE311" s="514">
        <v>0</v>
      </c>
      <c r="BG311" s="229" t="s">
        <v>42</v>
      </c>
      <c r="BH311" s="230" t="s">
        <v>8559</v>
      </c>
      <c r="BI311" t="s">
        <v>2188</v>
      </c>
      <c r="BJ311" t="s">
        <v>2184</v>
      </c>
    </row>
    <row r="312" spans="1:62">
      <c r="A312" s="229" t="s">
        <v>42</v>
      </c>
      <c r="B312" s="230" t="s">
        <v>386</v>
      </c>
      <c r="C312" s="230" t="s">
        <v>3143</v>
      </c>
      <c r="D312" s="229" t="s">
        <v>804</v>
      </c>
      <c r="E312" s="229" t="s">
        <v>4676</v>
      </c>
      <c r="F312" s="229" t="s">
        <v>804</v>
      </c>
      <c r="G312" s="229" t="s">
        <v>1062</v>
      </c>
      <c r="H312" s="229" t="s">
        <v>804</v>
      </c>
      <c r="I312" s="229" t="s">
        <v>1062</v>
      </c>
      <c r="J312" s="231" t="s">
        <v>358</v>
      </c>
      <c r="K312" s="231" t="s">
        <v>5585</v>
      </c>
      <c r="L312" s="220" t="str">
        <f t="shared" si="69"/>
        <v>9P#2DTR(A)</v>
      </c>
      <c r="M312" s="220" t="str">
        <f t="shared" si="70"/>
        <v>(A)</v>
      </c>
      <c r="N312" s="220" t="str">
        <f t="shared" si="71"/>
        <v>9P#2DTR</v>
      </c>
      <c r="O312" s="220" t="str">
        <f t="shared" si="72"/>
        <v>(A)</v>
      </c>
      <c r="P312" s="52" t="str">
        <f t="shared" si="73"/>
        <v>9P#2DTR(A)</v>
      </c>
      <c r="Q312" s="231" t="str">
        <f t="shared" si="80"/>
        <v>569</v>
      </c>
      <c r="R312" s="224">
        <f t="shared" si="81"/>
        <v>535.33333333333337</v>
      </c>
      <c r="S312" s="52">
        <f t="shared" si="75"/>
        <v>509</v>
      </c>
      <c r="T312" s="221">
        <f t="shared" ca="1" si="76"/>
        <v>11.24</v>
      </c>
      <c r="U312" s="221">
        <f t="shared" si="77"/>
        <v>312</v>
      </c>
      <c r="V312" s="220" t="str">
        <f t="array" ref="V312">INDEX(P:P,MAX(U$3:U312))</f>
        <v>9P#2DTR(A)</v>
      </c>
      <c r="W312" s="220">
        <f t="shared" ca="1" si="78"/>
        <v>30</v>
      </c>
      <c r="X312" s="220" t="str">
        <f t="shared" si="79"/>
        <v/>
      </c>
      <c r="Y312" s="220">
        <f t="shared" si="67"/>
        <v>0</v>
      </c>
      <c r="AA312" s="220" t="str">
        <f t="shared" si="68"/>
        <v>花壇</v>
      </c>
      <c r="AB312" s="220" t="s">
        <v>2189</v>
      </c>
      <c r="AC312" s="220" t="s">
        <v>2189</v>
      </c>
      <c r="BB312" s="514" t="s">
        <v>3247</v>
      </c>
      <c r="BC312" s="514" t="s">
        <v>85</v>
      </c>
      <c r="BD312" s="514" t="s">
        <v>85</v>
      </c>
      <c r="BE312" s="514">
        <v>0</v>
      </c>
      <c r="BG312" s="229" t="s">
        <v>42</v>
      </c>
      <c r="BH312" s="230" t="s">
        <v>386</v>
      </c>
      <c r="BI312" t="s">
        <v>2189</v>
      </c>
      <c r="BJ312" t="s">
        <v>2189</v>
      </c>
    </row>
    <row r="313" spans="1:62">
      <c r="A313" s="229" t="s">
        <v>42</v>
      </c>
      <c r="B313" s="230" t="s">
        <v>463</v>
      </c>
      <c r="C313" s="230" t="s">
        <v>1050</v>
      </c>
      <c r="D313" s="229" t="s">
        <v>804</v>
      </c>
      <c r="E313" s="229" t="s">
        <v>965</v>
      </c>
      <c r="F313" s="229" t="s">
        <v>804</v>
      </c>
      <c r="G313" s="229" t="s">
        <v>1031</v>
      </c>
      <c r="H313" s="229" t="s">
        <v>804</v>
      </c>
      <c r="I313" s="229" t="s">
        <v>965</v>
      </c>
      <c r="J313" s="231" t="s">
        <v>941</v>
      </c>
      <c r="K313" s="231" t="s">
        <v>845</v>
      </c>
      <c r="L313" s="220" t="str">
        <f t="shared" si="69"/>
        <v>9P20</v>
      </c>
      <c r="M313" s="220" t="str">
        <f t="shared" si="70"/>
        <v/>
      </c>
      <c r="N313" s="220" t="str">
        <f t="shared" si="71"/>
        <v/>
      </c>
      <c r="O313" s="220" t="str">
        <f t="shared" si="72"/>
        <v/>
      </c>
      <c r="P313" s="52" t="str">
        <f t="shared" si="73"/>
        <v>9P20</v>
      </c>
      <c r="Q313" s="231" t="str">
        <f t="shared" si="80"/>
        <v>204</v>
      </c>
      <c r="R313" s="224">
        <f t="shared" si="81"/>
        <v>194.33333333333334</v>
      </c>
      <c r="S313" s="52">
        <f t="shared" si="75"/>
        <v>181</v>
      </c>
      <c r="T313" s="221">
        <f t="shared" ca="1" si="76"/>
        <v>4.03</v>
      </c>
      <c r="U313" s="221" t="str">
        <f t="shared" si="77"/>
        <v/>
      </c>
      <c r="V313" s="220" t="str">
        <f t="array" ref="V313">INDEX(P:P,MAX(U$3:U313))</f>
        <v>9P#2DTR(A)</v>
      </c>
      <c r="W313" s="220" t="str">
        <f t="shared" ca="1" si="78"/>
        <v/>
      </c>
      <c r="X313" s="220">
        <f t="shared" si="79"/>
        <v>11.4</v>
      </c>
      <c r="Y313" s="220">
        <f t="shared" si="67"/>
        <v>0</v>
      </c>
      <c r="AA313" s="220" t="str">
        <f t="shared" si="68"/>
        <v>花壇</v>
      </c>
      <c r="AB313" s="220" t="s">
        <v>2190</v>
      </c>
      <c r="AC313" s="220" t="str">
        <f>LEFT(B313,4)</f>
        <v>9P20</v>
      </c>
      <c r="BB313" s="514" t="s">
        <v>3248</v>
      </c>
      <c r="BC313" s="514" t="s">
        <v>85</v>
      </c>
      <c r="BD313" s="514" t="s">
        <v>85</v>
      </c>
      <c r="BE313" s="514">
        <v>0</v>
      </c>
      <c r="BG313" s="229" t="s">
        <v>8549</v>
      </c>
      <c r="BH313" s="230" t="s">
        <v>8560</v>
      </c>
      <c r="BI313" t="s">
        <v>2190</v>
      </c>
      <c r="BJ313" t="s">
        <v>2189</v>
      </c>
    </row>
    <row r="314" spans="1:62">
      <c r="A314" s="229" t="s">
        <v>42</v>
      </c>
      <c r="B314" s="230" t="s">
        <v>464</v>
      </c>
      <c r="C314" s="230" t="s">
        <v>898</v>
      </c>
      <c r="D314" s="229" t="s">
        <v>804</v>
      </c>
      <c r="E314" s="229" t="s">
        <v>1004</v>
      </c>
      <c r="F314" s="229" t="s">
        <v>804</v>
      </c>
      <c r="G314" s="229" t="s">
        <v>862</v>
      </c>
      <c r="H314" s="229" t="s">
        <v>5791</v>
      </c>
      <c r="I314" s="229" t="s">
        <v>1004</v>
      </c>
      <c r="J314" s="231" t="s">
        <v>7142</v>
      </c>
      <c r="K314" s="231" t="s">
        <v>832</v>
      </c>
      <c r="L314" s="220" t="str">
        <f t="shared" si="69"/>
        <v>9P21</v>
      </c>
      <c r="M314" s="220" t="str">
        <f t="shared" si="70"/>
        <v/>
      </c>
      <c r="N314" s="220" t="str">
        <f t="shared" si="71"/>
        <v/>
      </c>
      <c r="O314" s="220" t="str">
        <f t="shared" si="72"/>
        <v/>
      </c>
      <c r="P314" s="52" t="str">
        <f t="shared" si="73"/>
        <v>9P21</v>
      </c>
      <c r="Q314" s="231" t="str">
        <f t="shared" si="80"/>
        <v>206</v>
      </c>
      <c r="R314" s="224">
        <f t="shared" si="81"/>
        <v>200</v>
      </c>
      <c r="S314" s="52">
        <f t="shared" si="75"/>
        <v>195</v>
      </c>
      <c r="T314" s="221">
        <f t="shared" ca="1" si="76"/>
        <v>4.07</v>
      </c>
      <c r="U314" s="221" t="str">
        <f t="shared" si="77"/>
        <v/>
      </c>
      <c r="V314" s="220" t="str">
        <f t="array" ref="V314">INDEX(P:P,MAX(U$3:U314))</f>
        <v>9P#2DTR(A)</v>
      </c>
      <c r="W314" s="220" t="str">
        <f t="shared" ca="1" si="78"/>
        <v/>
      </c>
      <c r="X314" s="220">
        <f t="shared" si="79"/>
        <v>11.4</v>
      </c>
      <c r="Y314" s="220">
        <f t="shared" si="67"/>
        <v>0</v>
      </c>
      <c r="AA314" s="220" t="str">
        <f t="shared" si="68"/>
        <v>花壇</v>
      </c>
      <c r="AB314" s="220" t="s">
        <v>2191</v>
      </c>
      <c r="AC314" s="220" t="str">
        <f>LEFT(B314,4)</f>
        <v>9P21</v>
      </c>
      <c r="BB314" s="514" t="s">
        <v>3249</v>
      </c>
      <c r="BC314" s="514" t="s">
        <v>85</v>
      </c>
      <c r="BD314" s="514" t="s">
        <v>85</v>
      </c>
      <c r="BE314" s="514">
        <v>0</v>
      </c>
      <c r="BG314" s="229" t="s">
        <v>8554</v>
      </c>
      <c r="BH314" s="230" t="s">
        <v>8561</v>
      </c>
      <c r="BI314" t="s">
        <v>2191</v>
      </c>
      <c r="BJ314" t="s">
        <v>2189</v>
      </c>
    </row>
    <row r="315" spans="1:62">
      <c r="A315" s="229" t="s">
        <v>42</v>
      </c>
      <c r="B315" s="230" t="s">
        <v>7143</v>
      </c>
      <c r="C315" s="230" t="s">
        <v>5614</v>
      </c>
      <c r="D315" s="229" t="s">
        <v>784</v>
      </c>
      <c r="E315" s="229" t="s">
        <v>5614</v>
      </c>
      <c r="F315" s="229" t="s">
        <v>784</v>
      </c>
      <c r="G315" s="229" t="s">
        <v>5614</v>
      </c>
      <c r="H315" s="229" t="s">
        <v>784</v>
      </c>
      <c r="I315" s="229" t="s">
        <v>5614</v>
      </c>
      <c r="J315" s="231" t="s">
        <v>5614</v>
      </c>
      <c r="K315" s="231" t="s">
        <v>784</v>
      </c>
      <c r="L315" s="220" t="str">
        <f t="shared" si="69"/>
        <v>9P22</v>
      </c>
      <c r="M315" s="220" t="str">
        <f t="shared" si="70"/>
        <v/>
      </c>
      <c r="N315" s="220" t="str">
        <f t="shared" si="71"/>
        <v/>
      </c>
      <c r="O315" s="220" t="str">
        <f t="shared" si="72"/>
        <v/>
      </c>
      <c r="P315" s="52" t="str">
        <f t="shared" si="73"/>
        <v>9P22</v>
      </c>
      <c r="Q315" s="231" t="str">
        <f t="shared" si="80"/>
        <v>0</v>
      </c>
      <c r="R315" s="224">
        <f t="shared" si="81"/>
        <v>0</v>
      </c>
      <c r="S315" s="52">
        <f t="shared" si="75"/>
        <v>0</v>
      </c>
      <c r="T315" s="221">
        <f t="shared" ca="1" si="76"/>
        <v>0</v>
      </c>
      <c r="U315" s="221" t="str">
        <f t="shared" si="77"/>
        <v/>
      </c>
      <c r="V315" s="220" t="str">
        <f t="array" ref="V315">INDEX(P:P,MAX(U$3:U315))</f>
        <v>9P#2DTR(A)</v>
      </c>
      <c r="W315" s="220" t="str">
        <f t="shared" ca="1" si="78"/>
        <v/>
      </c>
      <c r="X315" s="220">
        <f t="shared" si="79"/>
        <v>11.4</v>
      </c>
      <c r="Y315" s="220">
        <f t="shared" si="67"/>
        <v>0</v>
      </c>
      <c r="AA315" s="220" t="str">
        <f t="shared" si="68"/>
        <v>花壇</v>
      </c>
      <c r="AB315" s="220" t="s">
        <v>2033</v>
      </c>
      <c r="AC315" s="220" t="str">
        <f>LEFT(B315,4)</f>
        <v>9P22</v>
      </c>
      <c r="BB315" s="514" t="s">
        <v>2249</v>
      </c>
      <c r="BC315" s="514">
        <v>2975</v>
      </c>
      <c r="BD315" s="514">
        <v>8</v>
      </c>
      <c r="BE315" s="514">
        <v>2983</v>
      </c>
      <c r="BG315" s="229" t="s">
        <v>8549</v>
      </c>
      <c r="BH315" s="230" t="s">
        <v>8562</v>
      </c>
      <c r="BI315" t="s">
        <v>2033</v>
      </c>
      <c r="BJ315" t="s">
        <v>2189</v>
      </c>
    </row>
    <row r="316" spans="1:62">
      <c r="A316" s="229" t="s">
        <v>42</v>
      </c>
      <c r="B316" s="230" t="s">
        <v>465</v>
      </c>
      <c r="C316" s="230" t="s">
        <v>7144</v>
      </c>
      <c r="D316" s="229" t="s">
        <v>804</v>
      </c>
      <c r="E316" s="229" t="s">
        <v>924</v>
      </c>
      <c r="F316" s="229" t="s">
        <v>7145</v>
      </c>
      <c r="G316" s="229" t="s">
        <v>7146</v>
      </c>
      <c r="H316" s="229" t="s">
        <v>7147</v>
      </c>
      <c r="I316" s="229" t="s">
        <v>978</v>
      </c>
      <c r="J316" s="231" t="s">
        <v>879</v>
      </c>
      <c r="K316" s="231" t="s">
        <v>846</v>
      </c>
      <c r="L316" s="220" t="str">
        <f t="shared" si="69"/>
        <v>9P23</v>
      </c>
      <c r="M316" s="220" t="str">
        <f t="shared" si="70"/>
        <v/>
      </c>
      <c r="N316" s="220" t="str">
        <f t="shared" si="71"/>
        <v/>
      </c>
      <c r="O316" s="220" t="str">
        <f t="shared" si="72"/>
        <v/>
      </c>
      <c r="P316" s="52" t="str">
        <f t="shared" si="73"/>
        <v>9P23</v>
      </c>
      <c r="Q316" s="231" t="str">
        <f t="shared" si="80"/>
        <v>136</v>
      </c>
      <c r="R316" s="224">
        <f t="shared" si="81"/>
        <v>112</v>
      </c>
      <c r="S316" s="52">
        <f t="shared" si="75"/>
        <v>78</v>
      </c>
      <c r="T316" s="221">
        <f t="shared" ca="1" si="76"/>
        <v>2.69</v>
      </c>
      <c r="U316" s="221" t="str">
        <f t="shared" si="77"/>
        <v/>
      </c>
      <c r="V316" s="220" t="str">
        <f t="array" ref="V316">INDEX(P:P,MAX(U$3:U316))</f>
        <v>9P#2DTR(A)</v>
      </c>
      <c r="W316" s="220" t="str">
        <f t="shared" ca="1" si="78"/>
        <v/>
      </c>
      <c r="X316" s="220">
        <f t="shared" si="79"/>
        <v>11.4</v>
      </c>
      <c r="Y316" s="220">
        <f t="shared" si="67"/>
        <v>0</v>
      </c>
      <c r="AA316" s="220" t="str">
        <f t="shared" si="68"/>
        <v>花壇</v>
      </c>
      <c r="AB316" s="220" t="s">
        <v>2192</v>
      </c>
      <c r="AC316" s="220" t="str">
        <f>LEFT(B316,4)</f>
        <v>9P23</v>
      </c>
      <c r="BB316" s="514" t="s">
        <v>2257</v>
      </c>
      <c r="BC316" s="514">
        <v>2993</v>
      </c>
      <c r="BD316" s="514">
        <v>4</v>
      </c>
      <c r="BE316" s="514">
        <v>2997</v>
      </c>
      <c r="BG316" s="229" t="s">
        <v>8554</v>
      </c>
      <c r="BH316" s="230" t="s">
        <v>465</v>
      </c>
      <c r="BI316" t="s">
        <v>2192</v>
      </c>
      <c r="BJ316" t="s">
        <v>2189</v>
      </c>
    </row>
    <row r="317" spans="1:62">
      <c r="A317" s="229" t="s">
        <v>42</v>
      </c>
      <c r="B317" s="230" t="s">
        <v>466</v>
      </c>
      <c r="C317" s="230" t="s">
        <v>967</v>
      </c>
      <c r="D317" s="229" t="s">
        <v>850</v>
      </c>
      <c r="E317" s="229" t="s">
        <v>932</v>
      </c>
      <c r="F317" s="229" t="s">
        <v>850</v>
      </c>
      <c r="G317" s="229" t="s">
        <v>935</v>
      </c>
      <c r="H317" s="229" t="s">
        <v>850</v>
      </c>
      <c r="I317" s="229" t="s">
        <v>935</v>
      </c>
      <c r="J317" s="231" t="s">
        <v>990</v>
      </c>
      <c r="K317" s="231" t="s">
        <v>6190</v>
      </c>
      <c r="L317" s="220" t="str">
        <f t="shared" si="69"/>
        <v>9P24</v>
      </c>
      <c r="M317" s="220" t="str">
        <f t="shared" si="70"/>
        <v/>
      </c>
      <c r="N317" s="220" t="str">
        <f t="shared" si="71"/>
        <v/>
      </c>
      <c r="O317" s="220" t="str">
        <f t="shared" si="72"/>
        <v/>
      </c>
      <c r="P317" s="52" t="str">
        <f t="shared" si="73"/>
        <v>9P24</v>
      </c>
      <c r="Q317" s="231" t="str">
        <f t="shared" si="80"/>
        <v>85</v>
      </c>
      <c r="R317" s="224">
        <f t="shared" si="81"/>
        <v>61.333333333333336</v>
      </c>
      <c r="S317" s="52">
        <f t="shared" si="75"/>
        <v>31</v>
      </c>
      <c r="T317" s="221">
        <f t="shared" ca="1" si="76"/>
        <v>1.68</v>
      </c>
      <c r="U317" s="221" t="str">
        <f t="shared" si="77"/>
        <v/>
      </c>
      <c r="V317" s="220" t="str">
        <f t="array" ref="V317">INDEX(P:P,MAX(U$3:U317))</f>
        <v>9P#2DTR(A)</v>
      </c>
      <c r="W317" s="220" t="str">
        <f t="shared" ca="1" si="78"/>
        <v/>
      </c>
      <c r="X317" s="220">
        <f t="shared" si="79"/>
        <v>11.4</v>
      </c>
      <c r="Y317" s="220">
        <f t="shared" si="67"/>
        <v>0</v>
      </c>
      <c r="AA317" s="220" t="str">
        <f t="shared" si="68"/>
        <v>花壇</v>
      </c>
      <c r="AB317" s="220" t="s">
        <v>2193</v>
      </c>
      <c r="AC317" s="220" t="str">
        <f>LEFT(B317,4)</f>
        <v>9P24</v>
      </c>
      <c r="BB317" s="514" t="s">
        <v>2262</v>
      </c>
      <c r="BC317" s="514">
        <v>586</v>
      </c>
      <c r="BD317" s="514">
        <v>1</v>
      </c>
      <c r="BE317" s="514">
        <v>587</v>
      </c>
      <c r="BG317" s="229" t="s">
        <v>8554</v>
      </c>
      <c r="BH317" s="230" t="s">
        <v>8563</v>
      </c>
      <c r="BI317" t="s">
        <v>2193</v>
      </c>
      <c r="BJ317" t="s">
        <v>2189</v>
      </c>
    </row>
    <row r="318" spans="1:62">
      <c r="A318" s="229" t="s">
        <v>42</v>
      </c>
      <c r="B318" s="230" t="s">
        <v>388</v>
      </c>
      <c r="C318" s="230" t="s">
        <v>4677</v>
      </c>
      <c r="D318" s="229" t="s">
        <v>783</v>
      </c>
      <c r="E318" s="229" t="s">
        <v>4678</v>
      </c>
      <c r="F318" s="229" t="s">
        <v>7113</v>
      </c>
      <c r="G318" s="229" t="s">
        <v>4679</v>
      </c>
      <c r="H318" s="229" t="s">
        <v>5791</v>
      </c>
      <c r="I318" s="229" t="s">
        <v>4679</v>
      </c>
      <c r="J318" s="231" t="s">
        <v>358</v>
      </c>
      <c r="K318" s="231" t="s">
        <v>5585</v>
      </c>
      <c r="L318" s="220" t="str">
        <f t="shared" si="69"/>
        <v>9P#2DTR(B)</v>
      </c>
      <c r="M318" s="220" t="str">
        <f t="shared" si="70"/>
        <v>(B)</v>
      </c>
      <c r="N318" s="220" t="str">
        <f t="shared" si="71"/>
        <v>9P#2DTR</v>
      </c>
      <c r="O318" s="220" t="str">
        <f t="shared" si="72"/>
        <v>(B)</v>
      </c>
      <c r="P318" s="52" t="str">
        <f t="shared" si="73"/>
        <v>9P#2DTR(B)</v>
      </c>
      <c r="Q318" s="231" t="str">
        <f t="shared" si="80"/>
        <v>623</v>
      </c>
      <c r="R318" s="224">
        <f t="shared" si="81"/>
        <v>617.66666666666663</v>
      </c>
      <c r="S318" s="52">
        <f t="shared" si="75"/>
        <v>612</v>
      </c>
      <c r="T318" s="221">
        <f t="shared" ca="1" si="76"/>
        <v>12.3</v>
      </c>
      <c r="U318" s="221">
        <f t="shared" si="77"/>
        <v>318</v>
      </c>
      <c r="V318" s="220" t="str">
        <f t="array" ref="V318">INDEX(P:P,MAX(U$3:U318))</f>
        <v>9P#2DTR(B)</v>
      </c>
      <c r="W318" s="220">
        <f t="shared" ca="1" si="78"/>
        <v>30</v>
      </c>
      <c r="X318" s="220" t="str">
        <f t="shared" si="79"/>
        <v/>
      </c>
      <c r="Y318" s="220">
        <f t="shared" si="67"/>
        <v>0</v>
      </c>
      <c r="AA318" s="220" t="str">
        <f t="shared" si="68"/>
        <v>花壇</v>
      </c>
      <c r="AB318" s="220" t="s">
        <v>2194</v>
      </c>
      <c r="AC318" s="220" t="s">
        <v>2194</v>
      </c>
      <c r="BB318" s="514" t="s">
        <v>2250</v>
      </c>
      <c r="BC318" s="514">
        <v>215</v>
      </c>
      <c r="BD318" s="514">
        <v>1</v>
      </c>
      <c r="BE318" s="514">
        <v>216</v>
      </c>
      <c r="BG318" s="229" t="s">
        <v>8549</v>
      </c>
      <c r="BH318" s="230" t="s">
        <v>8465</v>
      </c>
      <c r="BI318" t="s">
        <v>2194</v>
      </c>
      <c r="BJ318" t="s">
        <v>2194</v>
      </c>
    </row>
    <row r="319" spans="1:62">
      <c r="A319" s="229" t="s">
        <v>42</v>
      </c>
      <c r="B319" s="230" t="s">
        <v>7148</v>
      </c>
      <c r="C319" s="230" t="s">
        <v>914</v>
      </c>
      <c r="D319" s="229" t="s">
        <v>7149</v>
      </c>
      <c r="E319" s="229" t="s">
        <v>1017</v>
      </c>
      <c r="F319" s="229" t="s">
        <v>804</v>
      </c>
      <c r="G319" s="229" t="s">
        <v>6566</v>
      </c>
      <c r="H319" s="229" t="s">
        <v>804</v>
      </c>
      <c r="I319" s="229" t="s">
        <v>1017</v>
      </c>
      <c r="J319" s="231" t="s">
        <v>1014</v>
      </c>
      <c r="K319" s="231" t="s">
        <v>846</v>
      </c>
      <c r="L319" s="220" t="str">
        <f t="shared" si="69"/>
        <v>9P25</v>
      </c>
      <c r="M319" s="220" t="str">
        <f t="shared" si="70"/>
        <v/>
      </c>
      <c r="N319" s="220" t="str">
        <f t="shared" si="71"/>
        <v/>
      </c>
      <c r="O319" s="220" t="str">
        <f t="shared" si="72"/>
        <v/>
      </c>
      <c r="P319" s="52" t="str">
        <f t="shared" si="73"/>
        <v>9P25</v>
      </c>
      <c r="Q319" s="231" t="str">
        <f t="shared" si="80"/>
        <v>223</v>
      </c>
      <c r="R319" s="224">
        <f t="shared" si="81"/>
        <v>210</v>
      </c>
      <c r="S319" s="52">
        <f t="shared" si="75"/>
        <v>186</v>
      </c>
      <c r="T319" s="221">
        <f t="shared" ca="1" si="76"/>
        <v>4.4000000000000004</v>
      </c>
      <c r="U319" s="221" t="str">
        <f t="shared" si="77"/>
        <v/>
      </c>
      <c r="V319" s="220" t="str">
        <f t="array" ref="V319">INDEX(P:P,MAX(U$3:U319))</f>
        <v>9P#2DTR(B)</v>
      </c>
      <c r="W319" s="220" t="str">
        <f t="shared" ca="1" si="78"/>
        <v/>
      </c>
      <c r="X319" s="220">
        <f t="shared" si="79"/>
        <v>11.4</v>
      </c>
      <c r="Y319" s="220">
        <f t="shared" si="67"/>
        <v>0</v>
      </c>
      <c r="AA319" s="220" t="str">
        <f t="shared" si="68"/>
        <v>花壇</v>
      </c>
      <c r="AB319" s="220" t="s">
        <v>2035</v>
      </c>
      <c r="AC319" s="220" t="str">
        <f>LEFT(B319,4)</f>
        <v>9P25</v>
      </c>
      <c r="BB319" s="514" t="s">
        <v>2256</v>
      </c>
      <c r="BC319" s="514">
        <v>123</v>
      </c>
      <c r="BD319" s="514">
        <v>2</v>
      </c>
      <c r="BE319" s="514">
        <v>125</v>
      </c>
      <c r="BG319" s="229" t="s">
        <v>8554</v>
      </c>
      <c r="BH319" s="230" t="s">
        <v>467</v>
      </c>
      <c r="BI319" t="s">
        <v>2035</v>
      </c>
      <c r="BJ319" t="s">
        <v>2194</v>
      </c>
    </row>
    <row r="320" spans="1:62">
      <c r="A320" s="229" t="s">
        <v>42</v>
      </c>
      <c r="B320" s="230" t="s">
        <v>7150</v>
      </c>
      <c r="C320" s="230" t="s">
        <v>788</v>
      </c>
      <c r="D320" s="229" t="s">
        <v>850</v>
      </c>
      <c r="E320" s="229" t="s">
        <v>837</v>
      </c>
      <c r="F320" s="229" t="s">
        <v>850</v>
      </c>
      <c r="G320" s="229" t="s">
        <v>827</v>
      </c>
      <c r="H320" s="229" t="s">
        <v>850</v>
      </c>
      <c r="I320" s="229" t="s">
        <v>827</v>
      </c>
      <c r="J320" s="231" t="s">
        <v>7151</v>
      </c>
      <c r="K320" s="231" t="s">
        <v>5949</v>
      </c>
      <c r="L320" s="220" t="str">
        <f t="shared" si="69"/>
        <v>9P26</v>
      </c>
      <c r="M320" s="220" t="str">
        <f t="shared" si="70"/>
        <v/>
      </c>
      <c r="N320" s="220" t="str">
        <f t="shared" si="71"/>
        <v/>
      </c>
      <c r="O320" s="220" t="str">
        <f t="shared" si="72"/>
        <v/>
      </c>
      <c r="P320" s="52" t="str">
        <f t="shared" si="73"/>
        <v>9P26</v>
      </c>
      <c r="Q320" s="231" t="str">
        <f t="shared" si="80"/>
        <v>159</v>
      </c>
      <c r="R320" s="224">
        <f t="shared" si="81"/>
        <v>151</v>
      </c>
      <c r="S320" s="52">
        <f t="shared" si="75"/>
        <v>143</v>
      </c>
      <c r="T320" s="221">
        <f t="shared" ca="1" si="76"/>
        <v>3.14</v>
      </c>
      <c r="U320" s="221" t="str">
        <f t="shared" si="77"/>
        <v/>
      </c>
      <c r="V320" s="220" t="str">
        <f t="array" ref="V320">INDEX(P:P,MAX(U$3:U320))</f>
        <v>9P#2DTR(B)</v>
      </c>
      <c r="W320" s="220" t="str">
        <f t="shared" ca="1" si="78"/>
        <v/>
      </c>
      <c r="X320" s="220">
        <f t="shared" si="79"/>
        <v>11.4</v>
      </c>
      <c r="Y320" s="220">
        <f t="shared" si="67"/>
        <v>0</v>
      </c>
      <c r="AA320" s="220" t="str">
        <f t="shared" si="68"/>
        <v>花壇</v>
      </c>
      <c r="AB320" s="220" t="s">
        <v>2195</v>
      </c>
      <c r="AC320" s="220" t="str">
        <f>LEFT(B320,4)</f>
        <v>9P26</v>
      </c>
      <c r="BB320" s="514" t="s">
        <v>2259</v>
      </c>
      <c r="BC320" s="514">
        <v>2152</v>
      </c>
      <c r="BD320" s="514" t="s">
        <v>85</v>
      </c>
      <c r="BE320" s="514">
        <v>2152</v>
      </c>
      <c r="BG320" s="229" t="s">
        <v>42</v>
      </c>
      <c r="BH320" s="230" t="s">
        <v>8564</v>
      </c>
      <c r="BI320" t="s">
        <v>2195</v>
      </c>
      <c r="BJ320" t="s">
        <v>2194</v>
      </c>
    </row>
    <row r="321" spans="1:62">
      <c r="A321" s="229" t="s">
        <v>42</v>
      </c>
      <c r="B321" s="230" t="s">
        <v>468</v>
      </c>
      <c r="C321" s="230" t="s">
        <v>7152</v>
      </c>
      <c r="D321" s="229" t="s">
        <v>6548</v>
      </c>
      <c r="E321" s="229" t="s">
        <v>7153</v>
      </c>
      <c r="F321" s="229" t="s">
        <v>7113</v>
      </c>
      <c r="G321" s="229" t="s">
        <v>7154</v>
      </c>
      <c r="H321" s="229" t="s">
        <v>6548</v>
      </c>
      <c r="I321" s="229" t="s">
        <v>988</v>
      </c>
      <c r="J321" s="231" t="s">
        <v>7155</v>
      </c>
      <c r="K321" s="231" t="s">
        <v>804</v>
      </c>
      <c r="L321" s="220" t="str">
        <f t="shared" si="69"/>
        <v>9P27</v>
      </c>
      <c r="M321" s="220" t="str">
        <f t="shared" si="70"/>
        <v/>
      </c>
      <c r="N321" s="220" t="str">
        <f t="shared" si="71"/>
        <v/>
      </c>
      <c r="O321" s="220" t="str">
        <f t="shared" si="72"/>
        <v/>
      </c>
      <c r="P321" s="52" t="str">
        <f t="shared" si="73"/>
        <v>9P27</v>
      </c>
      <c r="Q321" s="231" t="str">
        <f t="shared" si="80"/>
        <v>164</v>
      </c>
      <c r="R321" s="224">
        <f t="shared" si="81"/>
        <v>149.33333333333334</v>
      </c>
      <c r="S321" s="52">
        <f t="shared" si="75"/>
        <v>131</v>
      </c>
      <c r="T321" s="221">
        <f t="shared" ca="1" si="76"/>
        <v>3.24</v>
      </c>
      <c r="U321" s="221" t="str">
        <f t="shared" si="77"/>
        <v/>
      </c>
      <c r="V321" s="220" t="str">
        <f t="array" ref="V321">INDEX(P:P,MAX(U$3:U321))</f>
        <v>9P#2DTR(B)</v>
      </c>
      <c r="W321" s="220" t="str">
        <f t="shared" ca="1" si="78"/>
        <v/>
      </c>
      <c r="X321" s="220">
        <f t="shared" si="79"/>
        <v>11.4</v>
      </c>
      <c r="Y321" s="220">
        <f t="shared" si="67"/>
        <v>0</v>
      </c>
      <c r="AA321" s="220" t="str">
        <f t="shared" si="68"/>
        <v>花壇</v>
      </c>
      <c r="AB321" s="220" t="s">
        <v>2196</v>
      </c>
      <c r="AC321" s="220" t="str">
        <f>LEFT(B321,4)</f>
        <v>9P27</v>
      </c>
      <c r="BB321" s="514" t="s">
        <v>2252</v>
      </c>
      <c r="BC321" s="514">
        <v>988</v>
      </c>
      <c r="BD321" s="514">
        <v>6</v>
      </c>
      <c r="BE321" s="514">
        <v>994</v>
      </c>
      <c r="BG321" s="229" t="s">
        <v>8549</v>
      </c>
      <c r="BH321" s="230" t="s">
        <v>8565</v>
      </c>
      <c r="BI321" t="s">
        <v>2196</v>
      </c>
      <c r="BJ321" t="s">
        <v>2194</v>
      </c>
    </row>
    <row r="322" spans="1:62">
      <c r="A322" s="229" t="s">
        <v>42</v>
      </c>
      <c r="B322" s="230" t="s">
        <v>469</v>
      </c>
      <c r="C322" s="230" t="s">
        <v>931</v>
      </c>
      <c r="D322" s="229" t="s">
        <v>5986</v>
      </c>
      <c r="E322" s="229" t="s">
        <v>889</v>
      </c>
      <c r="F322" s="229" t="s">
        <v>804</v>
      </c>
      <c r="G322" s="229" t="s">
        <v>878</v>
      </c>
      <c r="H322" s="229" t="s">
        <v>832</v>
      </c>
      <c r="I322" s="229" t="s">
        <v>878</v>
      </c>
      <c r="J322" s="231" t="s">
        <v>889</v>
      </c>
      <c r="K322" s="231" t="s">
        <v>6548</v>
      </c>
      <c r="L322" s="220" t="str">
        <f t="shared" si="69"/>
        <v>9P28</v>
      </c>
      <c r="M322" s="220" t="str">
        <f t="shared" si="70"/>
        <v/>
      </c>
      <c r="N322" s="220" t="str">
        <f t="shared" si="71"/>
        <v/>
      </c>
      <c r="O322" s="220" t="str">
        <f t="shared" si="72"/>
        <v/>
      </c>
      <c r="P322" s="52" t="str">
        <f t="shared" si="73"/>
        <v>9P28</v>
      </c>
      <c r="Q322" s="231" t="str">
        <f t="shared" si="80"/>
        <v>53</v>
      </c>
      <c r="R322" s="224">
        <f t="shared" si="81"/>
        <v>40.666666666666664</v>
      </c>
      <c r="S322" s="52">
        <f t="shared" si="75"/>
        <v>23</v>
      </c>
      <c r="T322" s="221">
        <f t="shared" ca="1" si="76"/>
        <v>1.05</v>
      </c>
      <c r="U322" s="221" t="str">
        <f t="shared" si="77"/>
        <v/>
      </c>
      <c r="V322" s="220" t="str">
        <f t="array" ref="V322">INDEX(P:P,MAX(U$3:U322))</f>
        <v>9P#2DTR(B)</v>
      </c>
      <c r="W322" s="220" t="str">
        <f t="shared" ca="1" si="78"/>
        <v/>
      </c>
      <c r="X322" s="220">
        <f t="shared" si="79"/>
        <v>11.4</v>
      </c>
      <c r="Y322" s="220">
        <f t="shared" si="67"/>
        <v>0</v>
      </c>
      <c r="AA322" s="220" t="str">
        <f t="shared" si="68"/>
        <v>花壇</v>
      </c>
      <c r="AB322" s="220" t="s">
        <v>2197</v>
      </c>
      <c r="AC322" s="220" t="str">
        <f>LEFT(B322,4)</f>
        <v>9P28</v>
      </c>
      <c r="BB322" s="514" t="s">
        <v>2261</v>
      </c>
      <c r="BC322" s="514">
        <v>1176</v>
      </c>
      <c r="BD322" s="514">
        <v>9</v>
      </c>
      <c r="BE322" s="514">
        <v>1185</v>
      </c>
      <c r="BG322" s="229" t="s">
        <v>42</v>
      </c>
      <c r="BH322" s="230" t="s">
        <v>469</v>
      </c>
      <c r="BI322" t="s">
        <v>2197</v>
      </c>
      <c r="BJ322" t="s">
        <v>2194</v>
      </c>
    </row>
    <row r="323" spans="1:62">
      <c r="A323" s="229" t="s">
        <v>42</v>
      </c>
      <c r="B323" s="230" t="s">
        <v>470</v>
      </c>
      <c r="C323" s="230" t="s">
        <v>829</v>
      </c>
      <c r="D323" s="229" t="s">
        <v>839</v>
      </c>
      <c r="E323" s="229" t="s">
        <v>908</v>
      </c>
      <c r="F323" s="229" t="s">
        <v>839</v>
      </c>
      <c r="G323" s="229" t="s">
        <v>1027</v>
      </c>
      <c r="H323" s="229" t="s">
        <v>7156</v>
      </c>
      <c r="I323" s="229" t="s">
        <v>1027</v>
      </c>
      <c r="J323" s="231" t="s">
        <v>7157</v>
      </c>
      <c r="K323" s="231" t="s">
        <v>835</v>
      </c>
      <c r="L323" s="220" t="str">
        <f t="shared" si="69"/>
        <v>9P29</v>
      </c>
      <c r="M323" s="220" t="str">
        <f t="shared" si="70"/>
        <v/>
      </c>
      <c r="N323" s="220" t="str">
        <f t="shared" si="71"/>
        <v/>
      </c>
      <c r="O323" s="220" t="str">
        <f t="shared" si="72"/>
        <v/>
      </c>
      <c r="P323" s="52" t="str">
        <f t="shared" si="73"/>
        <v>9P29</v>
      </c>
      <c r="Q323" s="231" t="str">
        <f t="shared" si="80"/>
        <v>128</v>
      </c>
      <c r="R323" s="224">
        <f t="shared" si="81"/>
        <v>113.33333333333333</v>
      </c>
      <c r="S323" s="52">
        <f t="shared" si="75"/>
        <v>97</v>
      </c>
      <c r="T323" s="221">
        <f t="shared" ca="1" si="76"/>
        <v>2.5299999999999998</v>
      </c>
      <c r="U323" s="221" t="str">
        <f t="shared" si="77"/>
        <v/>
      </c>
      <c r="V323" s="220" t="str">
        <f t="array" ref="V323">INDEX(P:P,MAX(U$3:U323))</f>
        <v>9P#2DTR(B)</v>
      </c>
      <c r="W323" s="220" t="str">
        <f t="shared" ca="1" si="78"/>
        <v/>
      </c>
      <c r="X323" s="220">
        <f t="shared" si="79"/>
        <v>11.4</v>
      </c>
      <c r="Y323" s="220">
        <f t="shared" ref="Y323:Y386" si="82">SUMIF(L:L,L323,I:I)</f>
        <v>0</v>
      </c>
      <c r="AA323" s="220" t="str">
        <f t="shared" ref="AA323:AA386" si="83">LEFT(A323,2)</f>
        <v>花壇</v>
      </c>
      <c r="AB323" s="220" t="s">
        <v>2198</v>
      </c>
      <c r="AC323" s="220" t="str">
        <f>LEFT(B323,4)</f>
        <v>9P29</v>
      </c>
      <c r="BB323" s="514" t="s">
        <v>2251</v>
      </c>
      <c r="BC323" s="514">
        <v>2581</v>
      </c>
      <c r="BD323" s="514" t="s">
        <v>85</v>
      </c>
      <c r="BE323" s="514">
        <v>2581</v>
      </c>
      <c r="BG323" s="229" t="s">
        <v>8549</v>
      </c>
      <c r="BH323" s="230" t="s">
        <v>8566</v>
      </c>
      <c r="BI323" t="s">
        <v>2198</v>
      </c>
      <c r="BJ323" t="s">
        <v>2194</v>
      </c>
    </row>
    <row r="324" spans="1:62">
      <c r="A324" s="229" t="s">
        <v>43</v>
      </c>
      <c r="B324" s="230" t="s">
        <v>7158</v>
      </c>
      <c r="C324" s="230" t="s">
        <v>3158</v>
      </c>
      <c r="D324" s="229" t="s">
        <v>832</v>
      </c>
      <c r="E324" s="229" t="s">
        <v>4680</v>
      </c>
      <c r="F324" s="229" t="s">
        <v>832</v>
      </c>
      <c r="G324" s="229" t="s">
        <v>3148</v>
      </c>
      <c r="H324" s="229" t="s">
        <v>7056</v>
      </c>
      <c r="I324" s="229" t="s">
        <v>4680</v>
      </c>
      <c r="J324" s="231" t="s">
        <v>358</v>
      </c>
      <c r="K324" s="231" t="s">
        <v>7159</v>
      </c>
      <c r="L324" s="220" t="str">
        <f t="shared" ref="L324:L387" si="84">IF(LEFT(B324,1)="#",IF(LEN(B324)=5,RIGHT(A324,2)&amp;B324,N324&amp;M324),MID(B324,FIND("(",B324)+1,4))</f>
        <v>IA#1DTR(A)</v>
      </c>
      <c r="M324" s="220" t="str">
        <f t="shared" ref="M324:M387" si="85">IF(LEFT(B324,1)="#",IF(LEN(B324)&lt;&gt;5,"("&amp;MID(B324,3,1)&amp;")",""),"")</f>
        <v>(A)</v>
      </c>
      <c r="N324" s="220" t="str">
        <f t="shared" ref="N324:N387" si="86">IF(LEFT(B324,1)="#",IF(LEN(B324)=5,RIGHT(A324,2)&amp;B324,RIGHT(A324,2)&amp;LEFT(B324,2)&amp;"DTR"),"")</f>
        <v>IA#1DTR</v>
      </c>
      <c r="O324" s="220" t="str">
        <f t="shared" ref="O324:O387" si="87">IF(LEFT(B324,1)="#",IF(LEN(B324)&lt;&gt;5,IF(LEN(B324)&lt;&gt;7,"("&amp;MID(B324,3,1)&amp;")","("&amp;MID(B324,3,2)&amp;")"),""),"")</f>
        <v>(A)</v>
      </c>
      <c r="P324" s="52" t="str">
        <f t="shared" ref="P324:P387" si="88">IF(LEFT(B324,1)="#",IF(LEN(B324)=5,RIGHT(A324,2)&amp;B324,N324&amp;M324),MID(B324,FIND("(",B324)+1,4))</f>
        <v>IA#1DTR(A)</v>
      </c>
      <c r="Q324" s="231" t="str">
        <f t="shared" si="80"/>
        <v>723</v>
      </c>
      <c r="R324" s="224">
        <f t="shared" si="81"/>
        <v>690.66666666666663</v>
      </c>
      <c r="S324" s="52">
        <f t="shared" ref="S324:S387" si="89">MIN(C324*1,E324*1,G324*1)</f>
        <v>669</v>
      </c>
      <c r="T324" s="221">
        <f t="shared" ref="T324:T387" ca="1" si="90">IF(LEFT(B324,1)="#",ROUND(OFFSET(X324,1,0,1,1)*Q324*SQRT(3)/1000,2),ROUND(Q324*X324*SQRT(3)/1000,2))</f>
        <v>14.28</v>
      </c>
      <c r="U324" s="221">
        <f t="shared" ref="U324:U387" si="91">IF(ISNUMBER(FIND("#",B324)),ROW(),"")</f>
        <v>324</v>
      </c>
      <c r="V324" s="220" t="str">
        <f t="array" ref="V324">INDEX(P:P,MAX(U$3:U324))</f>
        <v>IA#1DTR(A)</v>
      </c>
      <c r="W324" s="220">
        <f t="shared" ref="W324:W387" ca="1" si="92">IF(LEFT(B324,1)="#",IF(ISNUMBER(FIND("DTR",B324)),IF(MID(OFFSET(P324,1,0,1,1),3,1)*1&lt;5,30,60),25),"")</f>
        <v>30</v>
      </c>
      <c r="X324" s="220" t="str">
        <f t="shared" ref="X324:X387" si="93">IF(LEFT(B324,1)="#","",IF(MID(P324,3,1)*1&lt;5,11.4,22.8))</f>
        <v/>
      </c>
      <c r="Y324" s="220">
        <f t="shared" si="82"/>
        <v>0</v>
      </c>
      <c r="AA324" s="220" t="str">
        <f t="shared" si="83"/>
        <v>彰新</v>
      </c>
      <c r="AB324" s="220" t="s">
        <v>2199</v>
      </c>
      <c r="AC324" s="220" t="s">
        <v>2199</v>
      </c>
      <c r="BB324" s="514" t="s">
        <v>2258</v>
      </c>
      <c r="BC324" s="514">
        <v>3747</v>
      </c>
      <c r="BD324" s="514" t="s">
        <v>85</v>
      </c>
      <c r="BE324" s="514">
        <v>3747</v>
      </c>
      <c r="BG324" s="229" t="s">
        <v>8567</v>
      </c>
      <c r="BH324" s="230" t="s">
        <v>8346</v>
      </c>
      <c r="BI324" t="s">
        <v>2199</v>
      </c>
      <c r="BJ324" t="s">
        <v>2199</v>
      </c>
    </row>
    <row r="325" spans="1:62">
      <c r="A325" s="229" t="s">
        <v>5700</v>
      </c>
      <c r="B325" s="230" t="s">
        <v>471</v>
      </c>
      <c r="C325" s="230" t="s">
        <v>5778</v>
      </c>
      <c r="D325" s="229" t="s">
        <v>832</v>
      </c>
      <c r="E325" s="229" t="s">
        <v>7160</v>
      </c>
      <c r="F325" s="229" t="s">
        <v>7161</v>
      </c>
      <c r="G325" s="229" t="s">
        <v>7162</v>
      </c>
      <c r="H325" s="229" t="s">
        <v>5641</v>
      </c>
      <c r="I325" s="229" t="s">
        <v>7160</v>
      </c>
      <c r="J325" s="231" t="s">
        <v>6865</v>
      </c>
      <c r="K325" s="231" t="s">
        <v>5641</v>
      </c>
      <c r="L325" s="220" t="str">
        <f t="shared" si="84"/>
        <v>IA28</v>
      </c>
      <c r="M325" s="220" t="str">
        <f t="shared" si="85"/>
        <v/>
      </c>
      <c r="N325" s="220" t="str">
        <f t="shared" si="86"/>
        <v/>
      </c>
      <c r="O325" s="220" t="str">
        <f t="shared" si="87"/>
        <v/>
      </c>
      <c r="P325" s="52" t="str">
        <f t="shared" si="88"/>
        <v>IA28</v>
      </c>
      <c r="Q325" s="231" t="str">
        <f t="shared" si="80"/>
        <v>176</v>
      </c>
      <c r="R325" s="224">
        <f t="shared" si="81"/>
        <v>163.33333333333334</v>
      </c>
      <c r="S325" s="52">
        <f t="shared" si="89"/>
        <v>143</v>
      </c>
      <c r="T325" s="221">
        <f t="shared" ca="1" si="90"/>
        <v>3.48</v>
      </c>
      <c r="U325" s="221" t="str">
        <f t="shared" si="91"/>
        <v/>
      </c>
      <c r="V325" s="220" t="str">
        <f t="array" ref="V325">INDEX(P:P,MAX(U$3:U325))</f>
        <v>IA#1DTR(A)</v>
      </c>
      <c r="W325" s="220" t="str">
        <f t="shared" ca="1" si="92"/>
        <v/>
      </c>
      <c r="X325" s="220">
        <f t="shared" si="93"/>
        <v>11.4</v>
      </c>
      <c r="Y325" s="220">
        <f t="shared" si="82"/>
        <v>0</v>
      </c>
      <c r="AA325" s="220" t="str">
        <f t="shared" si="83"/>
        <v>彰新</v>
      </c>
      <c r="AB325" s="220" t="s">
        <v>2200</v>
      </c>
      <c r="AC325" s="220" t="str">
        <f>LEFT(B325,3)</f>
        <v>民生線</v>
      </c>
      <c r="BB325" s="514" t="s">
        <v>2255</v>
      </c>
      <c r="BC325" s="514">
        <v>1701</v>
      </c>
      <c r="BD325" s="514">
        <v>1</v>
      </c>
      <c r="BE325" s="514">
        <v>1702</v>
      </c>
      <c r="BG325" s="229" t="s">
        <v>8567</v>
      </c>
      <c r="BH325" s="230" t="s">
        <v>471</v>
      </c>
      <c r="BI325" t="s">
        <v>2200</v>
      </c>
      <c r="BJ325" t="s">
        <v>2199</v>
      </c>
    </row>
    <row r="326" spans="1:62">
      <c r="A326" s="229" t="s">
        <v>43</v>
      </c>
      <c r="B326" s="230" t="s">
        <v>472</v>
      </c>
      <c r="C326" s="230" t="s">
        <v>1005</v>
      </c>
      <c r="D326" s="229" t="s">
        <v>804</v>
      </c>
      <c r="E326" s="229" t="s">
        <v>895</v>
      </c>
      <c r="F326" s="229" t="s">
        <v>783</v>
      </c>
      <c r="G326" s="229" t="s">
        <v>974</v>
      </c>
      <c r="H326" s="229" t="s">
        <v>804</v>
      </c>
      <c r="I326" s="229" t="s">
        <v>974</v>
      </c>
      <c r="J326" s="231" t="s">
        <v>802</v>
      </c>
      <c r="K326" s="231" t="s">
        <v>839</v>
      </c>
      <c r="L326" s="220" t="str">
        <f t="shared" si="84"/>
        <v>IA37</v>
      </c>
      <c r="M326" s="220" t="str">
        <f t="shared" si="85"/>
        <v/>
      </c>
      <c r="N326" s="220" t="str">
        <f t="shared" si="86"/>
        <v/>
      </c>
      <c r="O326" s="220" t="str">
        <f t="shared" si="87"/>
        <v/>
      </c>
      <c r="P326" s="52" t="str">
        <f t="shared" si="88"/>
        <v>IA37</v>
      </c>
      <c r="Q326" s="231" t="str">
        <f t="shared" si="80"/>
        <v>213</v>
      </c>
      <c r="R326" s="224">
        <f t="shared" si="81"/>
        <v>201.66666666666666</v>
      </c>
      <c r="S326" s="52">
        <f t="shared" si="89"/>
        <v>184</v>
      </c>
      <c r="T326" s="221">
        <f t="shared" ca="1" si="90"/>
        <v>4.21</v>
      </c>
      <c r="U326" s="221" t="str">
        <f t="shared" si="91"/>
        <v/>
      </c>
      <c r="V326" s="220" t="str">
        <f t="array" ref="V326">INDEX(P:P,MAX(U$3:U326))</f>
        <v>IA#1DTR(A)</v>
      </c>
      <c r="W326" s="220" t="str">
        <f t="shared" ca="1" si="92"/>
        <v/>
      </c>
      <c r="X326" s="220">
        <f t="shared" si="93"/>
        <v>11.4</v>
      </c>
      <c r="Y326" s="220">
        <f t="shared" si="82"/>
        <v>0</v>
      </c>
      <c r="AA326" s="220" t="str">
        <f t="shared" si="83"/>
        <v>彰新</v>
      </c>
      <c r="AB326" s="220" t="s">
        <v>2201</v>
      </c>
      <c r="AC326" s="220" t="str">
        <f>LEFT(B326,3)</f>
        <v>北部線</v>
      </c>
      <c r="BB326" s="514" t="s">
        <v>2253</v>
      </c>
      <c r="BC326" s="514">
        <v>5279</v>
      </c>
      <c r="BD326" s="514">
        <v>5</v>
      </c>
      <c r="BE326" s="514">
        <v>5284</v>
      </c>
      <c r="BG326" s="229" t="s">
        <v>8568</v>
      </c>
      <c r="BH326" s="230" t="s">
        <v>8569</v>
      </c>
      <c r="BI326" t="s">
        <v>2201</v>
      </c>
      <c r="BJ326" t="s">
        <v>2199</v>
      </c>
    </row>
    <row r="327" spans="1:62">
      <c r="A327" s="229" t="s">
        <v>7163</v>
      </c>
      <c r="B327" s="230" t="s">
        <v>473</v>
      </c>
      <c r="C327" s="230" t="s">
        <v>7164</v>
      </c>
      <c r="D327" s="229" t="s">
        <v>845</v>
      </c>
      <c r="E327" s="229" t="s">
        <v>6143</v>
      </c>
      <c r="F327" s="229" t="s">
        <v>7165</v>
      </c>
      <c r="G327" s="229" t="s">
        <v>995</v>
      </c>
      <c r="H327" s="229" t="s">
        <v>7166</v>
      </c>
      <c r="I327" s="229" t="s">
        <v>7167</v>
      </c>
      <c r="J327" s="231" t="s">
        <v>848</v>
      </c>
      <c r="K327" s="231" t="s">
        <v>5975</v>
      </c>
      <c r="L327" s="220" t="str">
        <f t="shared" si="84"/>
        <v>IA30</v>
      </c>
      <c r="M327" s="220" t="str">
        <f t="shared" si="85"/>
        <v/>
      </c>
      <c r="N327" s="220" t="str">
        <f t="shared" si="86"/>
        <v/>
      </c>
      <c r="O327" s="220" t="str">
        <f t="shared" si="87"/>
        <v/>
      </c>
      <c r="P327" s="52" t="str">
        <f t="shared" si="88"/>
        <v>IA30</v>
      </c>
      <c r="Q327" s="231" t="str">
        <f t="shared" si="80"/>
        <v>179</v>
      </c>
      <c r="R327" s="224">
        <f t="shared" si="81"/>
        <v>149</v>
      </c>
      <c r="S327" s="52">
        <f t="shared" si="89"/>
        <v>132</v>
      </c>
      <c r="T327" s="221">
        <f t="shared" ca="1" si="90"/>
        <v>3.53</v>
      </c>
      <c r="U327" s="221" t="str">
        <f t="shared" si="91"/>
        <v/>
      </c>
      <c r="V327" s="220" t="str">
        <f t="array" ref="V327">INDEX(P:P,MAX(U$3:U327))</f>
        <v>IA#1DTR(A)</v>
      </c>
      <c r="W327" s="220" t="str">
        <f t="shared" ca="1" si="92"/>
        <v/>
      </c>
      <c r="X327" s="220">
        <f t="shared" si="93"/>
        <v>11.4</v>
      </c>
      <c r="Y327" s="220">
        <f t="shared" si="82"/>
        <v>0</v>
      </c>
      <c r="AA327" s="220" t="str">
        <f t="shared" si="83"/>
        <v>彰新</v>
      </c>
      <c r="AB327" s="220" t="s">
        <v>129</v>
      </c>
      <c r="AC327" s="220" t="str">
        <f>LEFT(B327,3)</f>
        <v>磚瑤線</v>
      </c>
      <c r="BB327" s="514" t="s">
        <v>1957</v>
      </c>
      <c r="BC327" s="514" t="s">
        <v>85</v>
      </c>
      <c r="BD327" s="514" t="s">
        <v>85</v>
      </c>
      <c r="BE327" s="514">
        <v>0</v>
      </c>
      <c r="BG327" s="229" t="s">
        <v>8567</v>
      </c>
      <c r="BH327" s="230" t="s">
        <v>8570</v>
      </c>
      <c r="BI327" t="s">
        <v>129</v>
      </c>
      <c r="BJ327" t="s">
        <v>2199</v>
      </c>
    </row>
    <row r="328" spans="1:62">
      <c r="A328" s="229" t="s">
        <v>43</v>
      </c>
      <c r="B328" s="230" t="s">
        <v>474</v>
      </c>
      <c r="C328" s="230" t="s">
        <v>7168</v>
      </c>
      <c r="D328" s="229" t="s">
        <v>784</v>
      </c>
      <c r="E328" s="229" t="s">
        <v>5654</v>
      </c>
      <c r="F328" s="229" t="s">
        <v>784</v>
      </c>
      <c r="G328" s="229" t="s">
        <v>5654</v>
      </c>
      <c r="H328" s="229" t="s">
        <v>7169</v>
      </c>
      <c r="I328" s="229" t="s">
        <v>5654</v>
      </c>
      <c r="J328" s="231" t="s">
        <v>7087</v>
      </c>
      <c r="K328" s="231" t="s">
        <v>784</v>
      </c>
      <c r="L328" s="220" t="str">
        <f t="shared" si="84"/>
        <v>IA32</v>
      </c>
      <c r="M328" s="220" t="str">
        <f t="shared" si="85"/>
        <v/>
      </c>
      <c r="N328" s="220" t="str">
        <f t="shared" si="86"/>
        <v/>
      </c>
      <c r="O328" s="220" t="str">
        <f t="shared" si="87"/>
        <v/>
      </c>
      <c r="P328" s="52" t="str">
        <f t="shared" si="88"/>
        <v>IA32</v>
      </c>
      <c r="Q328" s="231" t="str">
        <f t="shared" si="80"/>
        <v>2</v>
      </c>
      <c r="R328" s="224">
        <f t="shared" si="81"/>
        <v>2</v>
      </c>
      <c r="S328" s="52">
        <f t="shared" si="89"/>
        <v>2</v>
      </c>
      <c r="T328" s="221">
        <f t="shared" ca="1" si="90"/>
        <v>0.04</v>
      </c>
      <c r="U328" s="221" t="str">
        <f t="shared" si="91"/>
        <v/>
      </c>
      <c r="V328" s="220" t="str">
        <f t="array" ref="V328">INDEX(P:P,MAX(U$3:U328))</f>
        <v>IA#1DTR(A)</v>
      </c>
      <c r="W328" s="220" t="str">
        <f t="shared" ca="1" si="92"/>
        <v/>
      </c>
      <c r="X328" s="220">
        <f t="shared" si="93"/>
        <v>11.4</v>
      </c>
      <c r="Y328" s="220">
        <f t="shared" si="82"/>
        <v>0</v>
      </c>
      <c r="AA328" s="220" t="str">
        <f t="shared" si="83"/>
        <v>彰新</v>
      </c>
      <c r="AB328" s="220" t="s">
        <v>1870</v>
      </c>
      <c r="AC328" s="220" t="str">
        <f>LEFT(B328,3)</f>
        <v>鐵山線</v>
      </c>
      <c r="BB328" s="514" t="s">
        <v>3250</v>
      </c>
      <c r="BC328" s="514" t="s">
        <v>85</v>
      </c>
      <c r="BD328" s="514" t="s">
        <v>85</v>
      </c>
      <c r="BE328" s="514">
        <v>0</v>
      </c>
      <c r="BG328" s="229" t="s">
        <v>8568</v>
      </c>
      <c r="BH328" s="230" t="s">
        <v>474</v>
      </c>
      <c r="BI328" t="s">
        <v>1870</v>
      </c>
      <c r="BJ328" t="s">
        <v>2199</v>
      </c>
    </row>
    <row r="329" spans="1:62">
      <c r="A329" s="229" t="s">
        <v>43</v>
      </c>
      <c r="B329" s="230" t="s">
        <v>7170</v>
      </c>
      <c r="C329" s="230" t="s">
        <v>952</v>
      </c>
      <c r="D329" s="229" t="s">
        <v>832</v>
      </c>
      <c r="E329" s="229" t="s">
        <v>1036</v>
      </c>
      <c r="F329" s="229" t="s">
        <v>832</v>
      </c>
      <c r="G329" s="229" t="s">
        <v>7171</v>
      </c>
      <c r="H329" s="229" t="s">
        <v>832</v>
      </c>
      <c r="I329" s="229" t="s">
        <v>6454</v>
      </c>
      <c r="J329" s="231" t="s">
        <v>7071</v>
      </c>
      <c r="K329" s="231" t="s">
        <v>5791</v>
      </c>
      <c r="L329" s="220" t="str">
        <f t="shared" si="84"/>
        <v>IA35</v>
      </c>
      <c r="M329" s="220" t="str">
        <f t="shared" si="85"/>
        <v/>
      </c>
      <c r="N329" s="220" t="str">
        <f t="shared" si="86"/>
        <v/>
      </c>
      <c r="O329" s="220" t="str">
        <f t="shared" si="87"/>
        <v/>
      </c>
      <c r="P329" s="52" t="str">
        <f t="shared" si="88"/>
        <v>IA35</v>
      </c>
      <c r="Q329" s="231" t="str">
        <f t="shared" si="80"/>
        <v>282</v>
      </c>
      <c r="R329" s="224">
        <f t="shared" si="81"/>
        <v>263.66666666666669</v>
      </c>
      <c r="S329" s="52">
        <f t="shared" si="89"/>
        <v>251</v>
      </c>
      <c r="T329" s="221">
        <f t="shared" ca="1" si="90"/>
        <v>5.57</v>
      </c>
      <c r="U329" s="221" t="str">
        <f t="shared" si="91"/>
        <v/>
      </c>
      <c r="V329" s="220" t="str">
        <f t="array" ref="V329">INDEX(P:P,MAX(U$3:U329))</f>
        <v>IA#1DTR(A)</v>
      </c>
      <c r="W329" s="220" t="str">
        <f t="shared" ca="1" si="92"/>
        <v/>
      </c>
      <c r="X329" s="220">
        <f t="shared" si="93"/>
        <v>11.4</v>
      </c>
      <c r="Y329" s="220">
        <f t="shared" si="82"/>
        <v>0</v>
      </c>
      <c r="AA329" s="220" t="str">
        <f t="shared" si="83"/>
        <v>彰新</v>
      </c>
      <c r="AB329" s="220" t="s">
        <v>2202</v>
      </c>
      <c r="AC329" s="220" t="str">
        <f>LEFT(B329,3)</f>
        <v>彰茂線</v>
      </c>
      <c r="BB329" s="514" t="s">
        <v>3251</v>
      </c>
      <c r="BC329" s="514" t="s">
        <v>85</v>
      </c>
      <c r="BD329" s="514" t="s">
        <v>85</v>
      </c>
      <c r="BE329" s="514">
        <v>0</v>
      </c>
      <c r="BG329" s="229" t="s">
        <v>43</v>
      </c>
      <c r="BH329" s="230" t="s">
        <v>8571</v>
      </c>
      <c r="BI329" t="s">
        <v>2202</v>
      </c>
      <c r="BJ329" t="s">
        <v>2199</v>
      </c>
    </row>
    <row r="330" spans="1:62">
      <c r="A330" s="229" t="s">
        <v>43</v>
      </c>
      <c r="B330" s="230" t="s">
        <v>392</v>
      </c>
      <c r="C330" s="230" t="s">
        <v>4681</v>
      </c>
      <c r="D330" s="229" t="s">
        <v>804</v>
      </c>
      <c r="E330" s="229" t="s">
        <v>3136</v>
      </c>
      <c r="F330" s="229" t="s">
        <v>5641</v>
      </c>
      <c r="G330" s="229" t="s">
        <v>4682</v>
      </c>
      <c r="H330" s="229" t="s">
        <v>804</v>
      </c>
      <c r="I330" s="229" t="s">
        <v>7172</v>
      </c>
      <c r="J330" s="231" t="s">
        <v>358</v>
      </c>
      <c r="K330" s="231" t="s">
        <v>358</v>
      </c>
      <c r="L330" s="220" t="str">
        <f t="shared" si="84"/>
        <v>IA#1DTR(B)</v>
      </c>
      <c r="M330" s="220" t="str">
        <f t="shared" si="85"/>
        <v>(B)</v>
      </c>
      <c r="N330" s="220" t="str">
        <f t="shared" si="86"/>
        <v>IA#1DTR</v>
      </c>
      <c r="O330" s="220" t="str">
        <f t="shared" si="87"/>
        <v>(B)</v>
      </c>
      <c r="P330" s="52" t="str">
        <f t="shared" si="88"/>
        <v>IA#1DTR(B)</v>
      </c>
      <c r="Q330" s="231" t="str">
        <f t="shared" si="80"/>
        <v>587</v>
      </c>
      <c r="R330" s="224">
        <f t="shared" si="81"/>
        <v>569.66666666666663</v>
      </c>
      <c r="S330" s="52">
        <f t="shared" si="89"/>
        <v>555</v>
      </c>
      <c r="T330" s="221">
        <f t="shared" ca="1" si="90"/>
        <v>11.59</v>
      </c>
      <c r="U330" s="221">
        <f t="shared" si="91"/>
        <v>330</v>
      </c>
      <c r="V330" s="220" t="str">
        <f t="array" ref="V330">INDEX(P:P,MAX(U$3:U330))</f>
        <v>IA#1DTR(B)</v>
      </c>
      <c r="W330" s="220">
        <f t="shared" ca="1" si="92"/>
        <v>30</v>
      </c>
      <c r="X330" s="220" t="str">
        <f t="shared" si="93"/>
        <v/>
      </c>
      <c r="Y330" s="220">
        <f t="shared" si="82"/>
        <v>0</v>
      </c>
      <c r="AA330" s="220" t="str">
        <f t="shared" si="83"/>
        <v>彰新</v>
      </c>
      <c r="AB330" s="220" t="s">
        <v>2203</v>
      </c>
      <c r="AC330" s="220" t="s">
        <v>2203</v>
      </c>
      <c r="BB330" s="514" t="s">
        <v>3252</v>
      </c>
      <c r="BC330" s="514" t="s">
        <v>85</v>
      </c>
      <c r="BD330" s="514" t="s">
        <v>85</v>
      </c>
      <c r="BE330" s="514">
        <v>0</v>
      </c>
      <c r="BG330" s="229" t="s">
        <v>43</v>
      </c>
      <c r="BH330" s="230" t="s">
        <v>8405</v>
      </c>
      <c r="BI330" t="s">
        <v>2203</v>
      </c>
      <c r="BJ330" t="s">
        <v>2203</v>
      </c>
    </row>
    <row r="331" spans="1:62">
      <c r="A331" s="229" t="s">
        <v>43</v>
      </c>
      <c r="B331" s="230" t="s">
        <v>475</v>
      </c>
      <c r="C331" s="230" t="s">
        <v>785</v>
      </c>
      <c r="D331" s="229" t="s">
        <v>5791</v>
      </c>
      <c r="E331" s="229" t="s">
        <v>802</v>
      </c>
      <c r="F331" s="229" t="s">
        <v>832</v>
      </c>
      <c r="G331" s="229" t="s">
        <v>879</v>
      </c>
      <c r="H331" s="229" t="s">
        <v>7173</v>
      </c>
      <c r="I331" s="229" t="s">
        <v>7174</v>
      </c>
      <c r="J331" s="231" t="s">
        <v>6986</v>
      </c>
      <c r="K331" s="231" t="s">
        <v>7165</v>
      </c>
      <c r="L331" s="220" t="str">
        <f t="shared" si="84"/>
        <v>IA39</v>
      </c>
      <c r="M331" s="220" t="str">
        <f t="shared" si="85"/>
        <v/>
      </c>
      <c r="N331" s="220" t="str">
        <f t="shared" si="86"/>
        <v/>
      </c>
      <c r="O331" s="220" t="str">
        <f t="shared" si="87"/>
        <v/>
      </c>
      <c r="P331" s="52" t="str">
        <f t="shared" si="88"/>
        <v>IA39</v>
      </c>
      <c r="Q331" s="231" t="str">
        <f t="shared" si="80"/>
        <v>67</v>
      </c>
      <c r="R331" s="224">
        <f t="shared" si="81"/>
        <v>60.333333333333336</v>
      </c>
      <c r="S331" s="52">
        <f t="shared" si="89"/>
        <v>50</v>
      </c>
      <c r="T331" s="221">
        <f t="shared" ca="1" si="90"/>
        <v>1.32</v>
      </c>
      <c r="U331" s="221" t="str">
        <f t="shared" si="91"/>
        <v/>
      </c>
      <c r="V331" s="220" t="str">
        <f t="array" ref="V331">INDEX(P:P,MAX(U$3:U331))</f>
        <v>IA#1DTR(B)</v>
      </c>
      <c r="W331" s="220" t="str">
        <f t="shared" ca="1" si="92"/>
        <v/>
      </c>
      <c r="X331" s="220">
        <f t="shared" si="93"/>
        <v>11.4</v>
      </c>
      <c r="Y331" s="220">
        <f t="shared" si="82"/>
        <v>0</v>
      </c>
      <c r="AA331" s="220" t="str">
        <f t="shared" si="83"/>
        <v>彰新</v>
      </c>
      <c r="AB331" s="220" t="s">
        <v>2204</v>
      </c>
      <c r="AC331" s="220" t="str">
        <f>LEFT(B331,3)</f>
        <v>北安線</v>
      </c>
      <c r="BB331" s="514" t="s">
        <v>2274</v>
      </c>
      <c r="BC331" s="514">
        <v>1375</v>
      </c>
      <c r="BD331" s="514">
        <v>2</v>
      </c>
      <c r="BE331" s="514">
        <v>1377</v>
      </c>
      <c r="BG331" s="229" t="s">
        <v>43</v>
      </c>
      <c r="BH331" s="230" t="s">
        <v>475</v>
      </c>
      <c r="BI331" t="s">
        <v>2204</v>
      </c>
      <c r="BJ331" t="s">
        <v>2203</v>
      </c>
    </row>
    <row r="332" spans="1:62">
      <c r="A332" s="229" t="s">
        <v>5700</v>
      </c>
      <c r="B332" s="230" t="s">
        <v>7175</v>
      </c>
      <c r="C332" s="230" t="s">
        <v>885</v>
      </c>
      <c r="D332" s="229" t="s">
        <v>7176</v>
      </c>
      <c r="E332" s="229" t="s">
        <v>1037</v>
      </c>
      <c r="F332" s="229" t="s">
        <v>846</v>
      </c>
      <c r="G332" s="229" t="s">
        <v>7177</v>
      </c>
      <c r="H332" s="229" t="s">
        <v>846</v>
      </c>
      <c r="I332" s="229" t="s">
        <v>7178</v>
      </c>
      <c r="J332" s="231" t="s">
        <v>7179</v>
      </c>
      <c r="K332" s="231" t="s">
        <v>7180</v>
      </c>
      <c r="L332" s="220" t="str">
        <f t="shared" si="84"/>
        <v>IA24</v>
      </c>
      <c r="M332" s="220" t="str">
        <f t="shared" si="85"/>
        <v/>
      </c>
      <c r="N332" s="220" t="str">
        <f t="shared" si="86"/>
        <v/>
      </c>
      <c r="O332" s="220" t="str">
        <f t="shared" si="87"/>
        <v/>
      </c>
      <c r="P332" s="52" t="str">
        <f t="shared" si="88"/>
        <v>IA24</v>
      </c>
      <c r="Q332" s="231" t="str">
        <f t="shared" si="80"/>
        <v>248</v>
      </c>
      <c r="R332" s="224">
        <f t="shared" si="81"/>
        <v>239.66666666666666</v>
      </c>
      <c r="S332" s="52">
        <f t="shared" si="89"/>
        <v>224</v>
      </c>
      <c r="T332" s="221">
        <f t="shared" ca="1" si="90"/>
        <v>4.9000000000000004</v>
      </c>
      <c r="U332" s="221" t="str">
        <f t="shared" si="91"/>
        <v/>
      </c>
      <c r="V332" s="220" t="str">
        <f t="array" ref="V332">INDEX(P:P,MAX(U$3:U332))</f>
        <v>IA#1DTR(B)</v>
      </c>
      <c r="W332" s="220" t="str">
        <f t="shared" ca="1" si="92"/>
        <v/>
      </c>
      <c r="X332" s="220">
        <f t="shared" si="93"/>
        <v>11.4</v>
      </c>
      <c r="Y332" s="220">
        <f t="shared" si="82"/>
        <v>0</v>
      </c>
      <c r="AA332" s="220" t="str">
        <f t="shared" si="83"/>
        <v>彰新</v>
      </c>
      <c r="AB332" s="220" t="s">
        <v>2205</v>
      </c>
      <c r="AC332" s="220" t="str">
        <f>LEFT(B332,3)</f>
        <v>阿夷線</v>
      </c>
      <c r="BB332" s="514" t="s">
        <v>2268</v>
      </c>
      <c r="BC332" s="514">
        <v>464</v>
      </c>
      <c r="BD332" s="514">
        <v>1</v>
      </c>
      <c r="BE332" s="514">
        <v>465</v>
      </c>
      <c r="BG332" s="229" t="s">
        <v>43</v>
      </c>
      <c r="BH332" s="230" t="s">
        <v>8572</v>
      </c>
      <c r="BI332" t="s">
        <v>2205</v>
      </c>
      <c r="BJ332" t="s">
        <v>2203</v>
      </c>
    </row>
    <row r="333" spans="1:62">
      <c r="A333" s="229" t="s">
        <v>7163</v>
      </c>
      <c r="B333" s="230" t="s">
        <v>476</v>
      </c>
      <c r="C333" s="230" t="s">
        <v>933</v>
      </c>
      <c r="D333" s="229" t="s">
        <v>7181</v>
      </c>
      <c r="E333" s="229" t="s">
        <v>7182</v>
      </c>
      <c r="F333" s="229" t="s">
        <v>7141</v>
      </c>
      <c r="G333" s="229" t="s">
        <v>907</v>
      </c>
      <c r="H333" s="229" t="s">
        <v>7181</v>
      </c>
      <c r="I333" s="229" t="s">
        <v>6655</v>
      </c>
      <c r="J333" s="231" t="s">
        <v>931</v>
      </c>
      <c r="K333" s="231" t="s">
        <v>6095</v>
      </c>
      <c r="L333" s="220" t="str">
        <f t="shared" si="84"/>
        <v>IA29</v>
      </c>
      <c r="M333" s="220" t="str">
        <f t="shared" si="85"/>
        <v/>
      </c>
      <c r="N333" s="220" t="str">
        <f t="shared" si="86"/>
        <v/>
      </c>
      <c r="O333" s="220" t="str">
        <f t="shared" si="87"/>
        <v/>
      </c>
      <c r="P333" s="52" t="str">
        <f t="shared" si="88"/>
        <v>IA29</v>
      </c>
      <c r="Q333" s="231" t="str">
        <f t="shared" si="80"/>
        <v>147</v>
      </c>
      <c r="R333" s="224">
        <f t="shared" si="81"/>
        <v>139.33333333333334</v>
      </c>
      <c r="S333" s="52">
        <f t="shared" si="89"/>
        <v>133</v>
      </c>
      <c r="T333" s="221">
        <f t="shared" ca="1" si="90"/>
        <v>2.9</v>
      </c>
      <c r="U333" s="221" t="str">
        <f t="shared" si="91"/>
        <v/>
      </c>
      <c r="V333" s="220" t="str">
        <f t="array" ref="V333">INDEX(P:P,MAX(U$3:U333))</f>
        <v>IA#1DTR(B)</v>
      </c>
      <c r="W333" s="220" t="str">
        <f t="shared" ca="1" si="92"/>
        <v/>
      </c>
      <c r="X333" s="220">
        <f t="shared" si="93"/>
        <v>11.4</v>
      </c>
      <c r="Y333" s="220">
        <f t="shared" si="82"/>
        <v>0</v>
      </c>
      <c r="AA333" s="220" t="str">
        <f t="shared" si="83"/>
        <v>彰新</v>
      </c>
      <c r="AB333" s="220" t="s">
        <v>2206</v>
      </c>
      <c r="AC333" s="220" t="str">
        <f>LEFT(B333,3)</f>
        <v>新庄線</v>
      </c>
      <c r="BB333" s="514" t="s">
        <v>2270</v>
      </c>
      <c r="BC333" s="514">
        <v>3179</v>
      </c>
      <c r="BD333" s="514" t="s">
        <v>85</v>
      </c>
      <c r="BE333" s="514">
        <v>3179</v>
      </c>
      <c r="BG333" s="229" t="s">
        <v>8567</v>
      </c>
      <c r="BH333" s="230" t="s">
        <v>8573</v>
      </c>
      <c r="BI333" t="s">
        <v>2206</v>
      </c>
      <c r="BJ333" t="s">
        <v>2203</v>
      </c>
    </row>
    <row r="334" spans="1:62">
      <c r="A334" s="229" t="s">
        <v>7183</v>
      </c>
      <c r="B334" s="230" t="s">
        <v>477</v>
      </c>
      <c r="C334" s="230" t="s">
        <v>910</v>
      </c>
      <c r="D334" s="229" t="s">
        <v>5580</v>
      </c>
      <c r="E334" s="229" t="s">
        <v>884</v>
      </c>
      <c r="F334" s="229" t="s">
        <v>832</v>
      </c>
      <c r="G334" s="229" t="s">
        <v>7184</v>
      </c>
      <c r="H334" s="229" t="s">
        <v>832</v>
      </c>
      <c r="I334" s="229" t="s">
        <v>910</v>
      </c>
      <c r="J334" s="231" t="s">
        <v>878</v>
      </c>
      <c r="K334" s="231" t="s">
        <v>5682</v>
      </c>
      <c r="L334" s="220" t="str">
        <f t="shared" si="84"/>
        <v>IA33</v>
      </c>
      <c r="M334" s="220" t="str">
        <f t="shared" si="85"/>
        <v/>
      </c>
      <c r="N334" s="220" t="str">
        <f t="shared" si="86"/>
        <v/>
      </c>
      <c r="O334" s="220" t="str">
        <f t="shared" si="87"/>
        <v/>
      </c>
      <c r="P334" s="52" t="str">
        <f t="shared" si="88"/>
        <v>IA33</v>
      </c>
      <c r="Q334" s="231" t="str">
        <f t="shared" si="80"/>
        <v>66</v>
      </c>
      <c r="R334" s="224">
        <f t="shared" si="81"/>
        <v>56.666666666666664</v>
      </c>
      <c r="S334" s="52">
        <f t="shared" si="89"/>
        <v>41</v>
      </c>
      <c r="T334" s="221">
        <f t="shared" ca="1" si="90"/>
        <v>1.3</v>
      </c>
      <c r="U334" s="221" t="str">
        <f t="shared" si="91"/>
        <v/>
      </c>
      <c r="V334" s="220" t="str">
        <f t="array" ref="V334">INDEX(P:P,MAX(U$3:U334))</f>
        <v>IA#1DTR(B)</v>
      </c>
      <c r="W334" s="220" t="str">
        <f t="shared" ca="1" si="92"/>
        <v/>
      </c>
      <c r="X334" s="220">
        <f t="shared" si="93"/>
        <v>11.4</v>
      </c>
      <c r="Y334" s="220">
        <f t="shared" si="82"/>
        <v>0</v>
      </c>
      <c r="AA334" s="220" t="str">
        <f t="shared" si="83"/>
        <v>彰新</v>
      </c>
      <c r="AB334" s="220" t="s">
        <v>2207</v>
      </c>
      <c r="AC334" s="220" t="str">
        <f>LEFT(B334,3)</f>
        <v>犁盛線</v>
      </c>
      <c r="BB334" s="514" t="s">
        <v>2272</v>
      </c>
      <c r="BC334" s="514">
        <v>2276</v>
      </c>
      <c r="BD334" s="514" t="s">
        <v>85</v>
      </c>
      <c r="BE334" s="514">
        <v>2276</v>
      </c>
      <c r="BG334" s="229" t="s">
        <v>8568</v>
      </c>
      <c r="BH334" s="230" t="s">
        <v>8574</v>
      </c>
      <c r="BI334" t="s">
        <v>2207</v>
      </c>
      <c r="BJ334" t="s">
        <v>2203</v>
      </c>
    </row>
    <row r="335" spans="1:62">
      <c r="A335" s="229" t="s">
        <v>43</v>
      </c>
      <c r="B335" s="230" t="s">
        <v>478</v>
      </c>
      <c r="C335" s="230" t="s">
        <v>6497</v>
      </c>
      <c r="D335" s="229" t="s">
        <v>832</v>
      </c>
      <c r="E335" s="229" t="s">
        <v>966</v>
      </c>
      <c r="F335" s="229" t="s">
        <v>832</v>
      </c>
      <c r="G335" s="229" t="s">
        <v>933</v>
      </c>
      <c r="H335" s="229" t="s">
        <v>7185</v>
      </c>
      <c r="I335" s="229" t="s">
        <v>7186</v>
      </c>
      <c r="J335" s="231" t="s">
        <v>934</v>
      </c>
      <c r="K335" s="231" t="s">
        <v>797</v>
      </c>
      <c r="L335" s="220" t="str">
        <f t="shared" si="84"/>
        <v>IA36</v>
      </c>
      <c r="M335" s="220" t="str">
        <f t="shared" si="85"/>
        <v/>
      </c>
      <c r="N335" s="220" t="str">
        <f t="shared" si="86"/>
        <v/>
      </c>
      <c r="O335" s="220" t="str">
        <f t="shared" si="87"/>
        <v/>
      </c>
      <c r="P335" s="52" t="str">
        <f t="shared" si="88"/>
        <v>IA36</v>
      </c>
      <c r="Q335" s="231" t="str">
        <f t="shared" ref="Q335:Q398" si="94">I335</f>
        <v>133</v>
      </c>
      <c r="R335" s="224">
        <f t="shared" si="81"/>
        <v>113</v>
      </c>
      <c r="S335" s="52">
        <f t="shared" si="89"/>
        <v>96</v>
      </c>
      <c r="T335" s="221">
        <f t="shared" ca="1" si="90"/>
        <v>2.63</v>
      </c>
      <c r="U335" s="221" t="str">
        <f t="shared" si="91"/>
        <v/>
      </c>
      <c r="V335" s="220" t="str">
        <f t="array" ref="V335">INDEX(P:P,MAX(U$3:U335))</f>
        <v>IA#1DTR(B)</v>
      </c>
      <c r="W335" s="220" t="str">
        <f t="shared" ca="1" si="92"/>
        <v/>
      </c>
      <c r="X335" s="220">
        <f t="shared" si="93"/>
        <v>11.4</v>
      </c>
      <c r="Y335" s="220">
        <f t="shared" si="82"/>
        <v>0</v>
      </c>
      <c r="AA335" s="220" t="str">
        <f t="shared" si="83"/>
        <v>彰新</v>
      </c>
      <c r="AB335" s="220" t="s">
        <v>1951</v>
      </c>
      <c r="AC335" s="220" t="str">
        <f>LEFT(B335,3)</f>
        <v>成功線</v>
      </c>
      <c r="BB335" s="514" t="s">
        <v>2267</v>
      </c>
      <c r="BC335" s="514">
        <v>1126</v>
      </c>
      <c r="BD335" s="514" t="s">
        <v>85</v>
      </c>
      <c r="BE335" s="514">
        <v>1126</v>
      </c>
      <c r="BG335" s="229" t="s">
        <v>8567</v>
      </c>
      <c r="BH335" s="230" t="s">
        <v>8575</v>
      </c>
      <c r="BI335" t="s">
        <v>1951</v>
      </c>
      <c r="BJ335" t="s">
        <v>2203</v>
      </c>
    </row>
    <row r="336" spans="1:62">
      <c r="A336" s="229" t="s">
        <v>43</v>
      </c>
      <c r="B336" s="230" t="s">
        <v>386</v>
      </c>
      <c r="C336" s="230" t="s">
        <v>4660</v>
      </c>
      <c r="D336" s="229" t="s">
        <v>832</v>
      </c>
      <c r="E336" s="229" t="s">
        <v>3188</v>
      </c>
      <c r="F336" s="229" t="s">
        <v>5650</v>
      </c>
      <c r="G336" s="229" t="s">
        <v>1061</v>
      </c>
      <c r="H336" s="229" t="s">
        <v>5650</v>
      </c>
      <c r="I336" s="229" t="s">
        <v>4660</v>
      </c>
      <c r="J336" s="231" t="s">
        <v>358</v>
      </c>
      <c r="K336" s="231" t="s">
        <v>358</v>
      </c>
      <c r="L336" s="220" t="str">
        <f t="shared" si="84"/>
        <v>IA#2DTR(A)</v>
      </c>
      <c r="M336" s="220" t="str">
        <f t="shared" si="85"/>
        <v>(A)</v>
      </c>
      <c r="N336" s="220" t="str">
        <f t="shared" si="86"/>
        <v>IA#2DTR</v>
      </c>
      <c r="O336" s="220" t="str">
        <f t="shared" si="87"/>
        <v>(A)</v>
      </c>
      <c r="P336" s="52" t="str">
        <f t="shared" si="88"/>
        <v>IA#2DTR(A)</v>
      </c>
      <c r="Q336" s="231" t="str">
        <f t="shared" si="94"/>
        <v>831</v>
      </c>
      <c r="R336" s="224">
        <f t="shared" si="81"/>
        <v>823</v>
      </c>
      <c r="S336" s="52">
        <f t="shared" si="89"/>
        <v>811</v>
      </c>
      <c r="T336" s="221">
        <f t="shared" ca="1" si="90"/>
        <v>16.41</v>
      </c>
      <c r="U336" s="221">
        <f t="shared" si="91"/>
        <v>336</v>
      </c>
      <c r="V336" s="220" t="str">
        <f t="array" ref="V336">INDEX(P:P,MAX(U$3:U336))</f>
        <v>IA#2DTR(A)</v>
      </c>
      <c r="W336" s="220">
        <f t="shared" ca="1" si="92"/>
        <v>30</v>
      </c>
      <c r="X336" s="220" t="str">
        <f t="shared" si="93"/>
        <v/>
      </c>
      <c r="Y336" s="220">
        <f t="shared" si="82"/>
        <v>0</v>
      </c>
      <c r="AA336" s="220" t="str">
        <f t="shared" si="83"/>
        <v>彰新</v>
      </c>
      <c r="AB336" s="220" t="s">
        <v>2208</v>
      </c>
      <c r="AC336" s="220" t="s">
        <v>2208</v>
      </c>
      <c r="BB336" s="514" t="s">
        <v>2266</v>
      </c>
      <c r="BC336" s="514">
        <v>1085</v>
      </c>
      <c r="BD336" s="514">
        <v>5</v>
      </c>
      <c r="BE336" s="514">
        <v>1090</v>
      </c>
      <c r="BG336" s="229" t="s">
        <v>8567</v>
      </c>
      <c r="BH336" s="230" t="s">
        <v>386</v>
      </c>
      <c r="BI336" t="s">
        <v>2208</v>
      </c>
      <c r="BJ336" t="s">
        <v>2208</v>
      </c>
    </row>
    <row r="337" spans="1:62">
      <c r="A337" s="229" t="s">
        <v>43</v>
      </c>
      <c r="B337" s="230" t="s">
        <v>479</v>
      </c>
      <c r="C337" s="230" t="s">
        <v>7187</v>
      </c>
      <c r="D337" s="229" t="s">
        <v>804</v>
      </c>
      <c r="E337" s="229" t="s">
        <v>964</v>
      </c>
      <c r="F337" s="229" t="s">
        <v>5641</v>
      </c>
      <c r="G337" s="229" t="s">
        <v>863</v>
      </c>
      <c r="H337" s="229" t="s">
        <v>804</v>
      </c>
      <c r="I337" s="229" t="s">
        <v>863</v>
      </c>
      <c r="J337" s="231" t="s">
        <v>6100</v>
      </c>
      <c r="K337" s="231" t="s">
        <v>850</v>
      </c>
      <c r="L337" s="220" t="str">
        <f t="shared" si="84"/>
        <v>IA27</v>
      </c>
      <c r="M337" s="220" t="str">
        <f t="shared" si="85"/>
        <v/>
      </c>
      <c r="N337" s="220" t="str">
        <f t="shared" si="86"/>
        <v/>
      </c>
      <c r="O337" s="220" t="str">
        <f t="shared" si="87"/>
        <v/>
      </c>
      <c r="P337" s="52" t="str">
        <f t="shared" si="88"/>
        <v>IA27</v>
      </c>
      <c r="Q337" s="231" t="str">
        <f t="shared" si="94"/>
        <v>230</v>
      </c>
      <c r="R337" s="224">
        <f t="shared" si="81"/>
        <v>220.33333333333334</v>
      </c>
      <c r="S337" s="52">
        <f t="shared" si="89"/>
        <v>212</v>
      </c>
      <c r="T337" s="221">
        <f t="shared" ca="1" si="90"/>
        <v>4.54</v>
      </c>
      <c r="U337" s="221" t="str">
        <f t="shared" si="91"/>
        <v/>
      </c>
      <c r="V337" s="220" t="str">
        <f t="array" ref="V337">INDEX(P:P,MAX(U$3:U337))</f>
        <v>IA#2DTR(A)</v>
      </c>
      <c r="W337" s="220" t="str">
        <f t="shared" ca="1" si="92"/>
        <v/>
      </c>
      <c r="X337" s="220">
        <f t="shared" si="93"/>
        <v>11.4</v>
      </c>
      <c r="Y337" s="220">
        <f t="shared" si="82"/>
        <v>0</v>
      </c>
      <c r="AA337" s="220" t="str">
        <f t="shared" si="83"/>
        <v>彰新</v>
      </c>
      <c r="AB337" s="220" t="s">
        <v>2209</v>
      </c>
      <c r="AC337" s="220" t="str">
        <f>LEFT(B337,3)</f>
        <v>辭修線</v>
      </c>
      <c r="BB337" s="514" t="s">
        <v>2275</v>
      </c>
      <c r="BC337" s="514">
        <v>4818</v>
      </c>
      <c r="BD337" s="514">
        <v>1</v>
      </c>
      <c r="BE337" s="514">
        <v>4819</v>
      </c>
      <c r="BG337" s="229" t="s">
        <v>8568</v>
      </c>
      <c r="BH337" s="230" t="s">
        <v>8576</v>
      </c>
      <c r="BI337" t="s">
        <v>2209</v>
      </c>
      <c r="BJ337" t="s">
        <v>2208</v>
      </c>
    </row>
    <row r="338" spans="1:62">
      <c r="A338" s="229" t="s">
        <v>43</v>
      </c>
      <c r="B338" s="230" t="s">
        <v>480</v>
      </c>
      <c r="C338" s="230" t="s">
        <v>883</v>
      </c>
      <c r="D338" s="229" t="s">
        <v>804</v>
      </c>
      <c r="E338" s="229" t="s">
        <v>7162</v>
      </c>
      <c r="F338" s="229" t="s">
        <v>832</v>
      </c>
      <c r="G338" s="229" t="s">
        <v>7154</v>
      </c>
      <c r="H338" s="229" t="s">
        <v>804</v>
      </c>
      <c r="I338" s="229" t="s">
        <v>1049</v>
      </c>
      <c r="J338" s="231" t="s">
        <v>7139</v>
      </c>
      <c r="K338" s="231" t="s">
        <v>859</v>
      </c>
      <c r="L338" s="220" t="str">
        <f t="shared" si="84"/>
        <v>IA34</v>
      </c>
      <c r="M338" s="220" t="str">
        <f t="shared" si="85"/>
        <v/>
      </c>
      <c r="N338" s="220" t="str">
        <f t="shared" si="86"/>
        <v/>
      </c>
      <c r="O338" s="220" t="str">
        <f t="shared" si="87"/>
        <v/>
      </c>
      <c r="P338" s="52" t="str">
        <f t="shared" si="88"/>
        <v>IA34</v>
      </c>
      <c r="Q338" s="231" t="str">
        <f t="shared" si="94"/>
        <v>171</v>
      </c>
      <c r="R338" s="224">
        <f t="shared" si="81"/>
        <v>163</v>
      </c>
      <c r="S338" s="52">
        <f t="shared" si="89"/>
        <v>153</v>
      </c>
      <c r="T338" s="221">
        <f t="shared" ca="1" si="90"/>
        <v>3.38</v>
      </c>
      <c r="U338" s="221" t="str">
        <f t="shared" si="91"/>
        <v/>
      </c>
      <c r="V338" s="220" t="str">
        <f t="array" ref="V338">INDEX(P:P,MAX(U$3:U338))</f>
        <v>IA#2DTR(A)</v>
      </c>
      <c r="W338" s="220" t="str">
        <f t="shared" ca="1" si="92"/>
        <v/>
      </c>
      <c r="X338" s="220">
        <f t="shared" si="93"/>
        <v>11.4</v>
      </c>
      <c r="Y338" s="220">
        <f t="shared" si="82"/>
        <v>0</v>
      </c>
      <c r="AA338" s="220" t="str">
        <f t="shared" si="83"/>
        <v>彰新</v>
      </c>
      <c r="AB338" s="220" t="s">
        <v>2210</v>
      </c>
      <c r="AC338" s="220" t="str">
        <f>LEFT(B338,3)</f>
        <v>車站線</v>
      </c>
      <c r="BB338" s="514" t="s">
        <v>2269</v>
      </c>
      <c r="BC338" s="514">
        <v>4595</v>
      </c>
      <c r="BD338" s="514">
        <v>4</v>
      </c>
      <c r="BE338" s="514">
        <v>4599</v>
      </c>
      <c r="BG338" s="229" t="s">
        <v>8567</v>
      </c>
      <c r="BH338" s="230" t="s">
        <v>480</v>
      </c>
      <c r="BI338" t="s">
        <v>2210</v>
      </c>
      <c r="BJ338" t="s">
        <v>2208</v>
      </c>
    </row>
    <row r="339" spans="1:62">
      <c r="A339" s="229" t="s">
        <v>5700</v>
      </c>
      <c r="B339" s="230" t="s">
        <v>481</v>
      </c>
      <c r="C339" s="230" t="s">
        <v>896</v>
      </c>
      <c r="D339" s="229" t="s">
        <v>850</v>
      </c>
      <c r="E339" s="229" t="s">
        <v>928</v>
      </c>
      <c r="F339" s="229" t="s">
        <v>850</v>
      </c>
      <c r="G339" s="229" t="s">
        <v>6606</v>
      </c>
      <c r="H339" s="229" t="s">
        <v>845</v>
      </c>
      <c r="I339" s="229" t="s">
        <v>1002</v>
      </c>
      <c r="J339" s="231" t="s">
        <v>889</v>
      </c>
      <c r="K339" s="231" t="s">
        <v>5949</v>
      </c>
      <c r="L339" s="220" t="str">
        <f t="shared" si="84"/>
        <v>IA23</v>
      </c>
      <c r="M339" s="220" t="str">
        <f t="shared" si="85"/>
        <v/>
      </c>
      <c r="N339" s="220" t="str">
        <f t="shared" si="86"/>
        <v/>
      </c>
      <c r="O339" s="220" t="str">
        <f t="shared" si="87"/>
        <v/>
      </c>
      <c r="P339" s="52" t="str">
        <f t="shared" si="88"/>
        <v>IA23</v>
      </c>
      <c r="Q339" s="231" t="str">
        <f t="shared" si="94"/>
        <v>182</v>
      </c>
      <c r="R339" s="224">
        <f t="shared" si="81"/>
        <v>166</v>
      </c>
      <c r="S339" s="52">
        <f t="shared" si="89"/>
        <v>154</v>
      </c>
      <c r="T339" s="221">
        <f t="shared" ca="1" si="90"/>
        <v>3.59</v>
      </c>
      <c r="U339" s="221" t="str">
        <f t="shared" si="91"/>
        <v/>
      </c>
      <c r="V339" s="220" t="str">
        <f t="array" ref="V339">INDEX(P:P,MAX(U$3:U339))</f>
        <v>IA#2DTR(A)</v>
      </c>
      <c r="W339" s="220" t="str">
        <f t="shared" ca="1" si="92"/>
        <v/>
      </c>
      <c r="X339" s="220">
        <f t="shared" si="93"/>
        <v>11.4</v>
      </c>
      <c r="Y339" s="220">
        <f t="shared" si="82"/>
        <v>0</v>
      </c>
      <c r="AA339" s="220" t="str">
        <f t="shared" si="83"/>
        <v>彰新</v>
      </c>
      <c r="AB339" s="220" t="s">
        <v>2211</v>
      </c>
      <c r="AC339" s="220" t="str">
        <f>LEFT(B339,3)</f>
        <v>中山線</v>
      </c>
      <c r="BB339" s="514" t="s">
        <v>2273</v>
      </c>
      <c r="BC339" s="514">
        <v>2421</v>
      </c>
      <c r="BD339" s="514">
        <v>1</v>
      </c>
      <c r="BE339" s="514">
        <v>2422</v>
      </c>
      <c r="BG339" s="229" t="s">
        <v>43</v>
      </c>
      <c r="BH339" s="230" t="s">
        <v>481</v>
      </c>
      <c r="BI339" t="s">
        <v>2211</v>
      </c>
      <c r="BJ339" t="s">
        <v>2208</v>
      </c>
    </row>
    <row r="340" spans="1:62">
      <c r="A340" s="229" t="s">
        <v>7188</v>
      </c>
      <c r="B340" s="230" t="s">
        <v>482</v>
      </c>
      <c r="C340" s="230" t="s">
        <v>3159</v>
      </c>
      <c r="D340" s="229" t="s">
        <v>7050</v>
      </c>
      <c r="E340" s="229" t="s">
        <v>912</v>
      </c>
      <c r="F340" s="229" t="s">
        <v>850</v>
      </c>
      <c r="G340" s="229" t="s">
        <v>823</v>
      </c>
      <c r="H340" s="229" t="s">
        <v>850</v>
      </c>
      <c r="I340" s="229" t="s">
        <v>3159</v>
      </c>
      <c r="J340" s="231" t="s">
        <v>966</v>
      </c>
      <c r="K340" s="231" t="s">
        <v>783</v>
      </c>
      <c r="L340" s="220" t="str">
        <f t="shared" si="84"/>
        <v>IA26</v>
      </c>
      <c r="M340" s="220" t="str">
        <f t="shared" si="85"/>
        <v/>
      </c>
      <c r="N340" s="220" t="str">
        <f t="shared" si="86"/>
        <v/>
      </c>
      <c r="O340" s="220" t="str">
        <f t="shared" si="87"/>
        <v/>
      </c>
      <c r="P340" s="52" t="str">
        <f t="shared" si="88"/>
        <v>IA26</v>
      </c>
      <c r="Q340" s="231" t="str">
        <f t="shared" si="94"/>
        <v>279</v>
      </c>
      <c r="R340" s="224">
        <f t="shared" si="81"/>
        <v>261.33333333333331</v>
      </c>
      <c r="S340" s="52">
        <f t="shared" si="89"/>
        <v>241</v>
      </c>
      <c r="T340" s="221">
        <f t="shared" ca="1" si="90"/>
        <v>5.51</v>
      </c>
      <c r="U340" s="221" t="str">
        <f t="shared" si="91"/>
        <v/>
      </c>
      <c r="V340" s="220" t="str">
        <f t="array" ref="V340">INDEX(P:P,MAX(U$3:U340))</f>
        <v>IA#2DTR(A)</v>
      </c>
      <c r="W340" s="220" t="str">
        <f t="shared" ca="1" si="92"/>
        <v/>
      </c>
      <c r="X340" s="220">
        <f t="shared" si="93"/>
        <v>11.4</v>
      </c>
      <c r="Y340" s="220">
        <f t="shared" si="82"/>
        <v>0</v>
      </c>
      <c r="AA340" s="220" t="str">
        <f t="shared" si="83"/>
        <v>彰新</v>
      </c>
      <c r="AB340" s="220" t="s">
        <v>2212</v>
      </c>
      <c r="AC340" s="220" t="str">
        <f>LEFT(B340,3)</f>
        <v>泰和線</v>
      </c>
      <c r="BB340" s="514" t="s">
        <v>2276</v>
      </c>
      <c r="BC340" s="514">
        <v>5376</v>
      </c>
      <c r="BD340" s="514">
        <v>2</v>
      </c>
      <c r="BE340" s="514">
        <v>5378</v>
      </c>
      <c r="BG340" s="229" t="s">
        <v>43</v>
      </c>
      <c r="BH340" s="230" t="s">
        <v>8577</v>
      </c>
      <c r="BI340" t="s">
        <v>2212</v>
      </c>
      <c r="BJ340" t="s">
        <v>2208</v>
      </c>
    </row>
    <row r="341" spans="1:62">
      <c r="A341" s="229" t="s">
        <v>43</v>
      </c>
      <c r="B341" s="230" t="s">
        <v>7189</v>
      </c>
      <c r="C341" s="230" t="s">
        <v>935</v>
      </c>
      <c r="D341" s="229" t="s">
        <v>7113</v>
      </c>
      <c r="E341" s="229" t="s">
        <v>935</v>
      </c>
      <c r="F341" s="229" t="s">
        <v>5641</v>
      </c>
      <c r="G341" s="229" t="s">
        <v>857</v>
      </c>
      <c r="H341" s="229" t="s">
        <v>7113</v>
      </c>
      <c r="I341" s="229" t="s">
        <v>935</v>
      </c>
      <c r="J341" s="231" t="s">
        <v>900</v>
      </c>
      <c r="K341" s="231" t="s">
        <v>845</v>
      </c>
      <c r="L341" s="220" t="str">
        <f t="shared" si="84"/>
        <v>IA22</v>
      </c>
      <c r="M341" s="220" t="str">
        <f t="shared" si="85"/>
        <v/>
      </c>
      <c r="N341" s="220" t="str">
        <f t="shared" si="86"/>
        <v/>
      </c>
      <c r="O341" s="220" t="str">
        <f t="shared" si="87"/>
        <v/>
      </c>
      <c r="P341" s="52" t="str">
        <f t="shared" si="88"/>
        <v>IA22</v>
      </c>
      <c r="Q341" s="231" t="str">
        <f t="shared" si="94"/>
        <v>85</v>
      </c>
      <c r="R341" s="224">
        <f t="shared" si="81"/>
        <v>84</v>
      </c>
      <c r="S341" s="52">
        <f t="shared" si="89"/>
        <v>82</v>
      </c>
      <c r="T341" s="221">
        <f t="shared" ca="1" si="90"/>
        <v>1.68</v>
      </c>
      <c r="U341" s="221" t="str">
        <f t="shared" si="91"/>
        <v/>
      </c>
      <c r="V341" s="220" t="str">
        <f t="array" ref="V341">INDEX(P:P,MAX(U$3:U341))</f>
        <v>IA#2DTR(A)</v>
      </c>
      <c r="W341" s="220" t="str">
        <f t="shared" ca="1" si="92"/>
        <v/>
      </c>
      <c r="X341" s="220">
        <f t="shared" si="93"/>
        <v>11.4</v>
      </c>
      <c r="Y341" s="220">
        <f t="shared" si="82"/>
        <v>0</v>
      </c>
      <c r="AA341" s="220" t="str">
        <f t="shared" si="83"/>
        <v>彰新</v>
      </c>
      <c r="AB341" s="220" t="s">
        <v>2213</v>
      </c>
      <c r="AC341" s="220" t="str">
        <f>LEFT(B341,3)</f>
        <v>大成線</v>
      </c>
      <c r="BB341" s="514" t="s">
        <v>2297</v>
      </c>
      <c r="BC341" s="514">
        <v>6092</v>
      </c>
      <c r="BD341" s="514">
        <v>6</v>
      </c>
      <c r="BE341" s="514">
        <v>6098</v>
      </c>
      <c r="BG341" s="229" t="s">
        <v>8567</v>
      </c>
      <c r="BH341" s="230" t="s">
        <v>8578</v>
      </c>
      <c r="BI341" t="s">
        <v>2213</v>
      </c>
      <c r="BJ341" t="s">
        <v>2208</v>
      </c>
    </row>
    <row r="342" spans="1:62">
      <c r="A342" s="229" t="s">
        <v>43</v>
      </c>
      <c r="B342" s="230" t="s">
        <v>388</v>
      </c>
      <c r="C342" s="230" t="s">
        <v>4683</v>
      </c>
      <c r="D342" s="229" t="s">
        <v>846</v>
      </c>
      <c r="E342" s="229" t="s">
        <v>2956</v>
      </c>
      <c r="F342" s="229" t="s">
        <v>804</v>
      </c>
      <c r="G342" s="229" t="s">
        <v>3168</v>
      </c>
      <c r="H342" s="229" t="s">
        <v>846</v>
      </c>
      <c r="I342" s="229" t="s">
        <v>4683</v>
      </c>
      <c r="J342" s="231" t="s">
        <v>358</v>
      </c>
      <c r="K342" s="231" t="s">
        <v>7078</v>
      </c>
      <c r="L342" s="220" t="str">
        <f t="shared" si="84"/>
        <v>IA#2DTR(B)</v>
      </c>
      <c r="M342" s="220" t="str">
        <f t="shared" si="85"/>
        <v>(B)</v>
      </c>
      <c r="N342" s="220" t="str">
        <f t="shared" si="86"/>
        <v>IA#2DTR</v>
      </c>
      <c r="O342" s="220" t="str">
        <f t="shared" si="87"/>
        <v>(B)</v>
      </c>
      <c r="P342" s="52" t="str">
        <f t="shared" si="88"/>
        <v>IA#2DTR(B)</v>
      </c>
      <c r="Q342" s="231" t="str">
        <f t="shared" si="94"/>
        <v>805</v>
      </c>
      <c r="R342" s="224">
        <f t="shared" si="81"/>
        <v>788</v>
      </c>
      <c r="S342" s="52">
        <f t="shared" si="89"/>
        <v>756</v>
      </c>
      <c r="T342" s="221">
        <f t="shared" ca="1" si="90"/>
        <v>15.9</v>
      </c>
      <c r="U342" s="221">
        <f t="shared" si="91"/>
        <v>342</v>
      </c>
      <c r="V342" s="220" t="str">
        <f t="array" ref="V342">INDEX(P:P,MAX(U$3:U342))</f>
        <v>IA#2DTR(B)</v>
      </c>
      <c r="W342" s="220">
        <f t="shared" ca="1" si="92"/>
        <v>30</v>
      </c>
      <c r="X342" s="220" t="str">
        <f t="shared" si="93"/>
        <v/>
      </c>
      <c r="Y342" s="220">
        <f t="shared" si="82"/>
        <v>0</v>
      </c>
      <c r="AA342" s="220" t="str">
        <f t="shared" si="83"/>
        <v>彰新</v>
      </c>
      <c r="AB342" s="220" t="s">
        <v>2214</v>
      </c>
      <c r="AC342" s="220" t="s">
        <v>2214</v>
      </c>
      <c r="BB342" s="514" t="s">
        <v>2278</v>
      </c>
      <c r="BC342" s="514">
        <v>668</v>
      </c>
      <c r="BD342" s="514" t="s">
        <v>85</v>
      </c>
      <c r="BE342" s="514">
        <v>668</v>
      </c>
      <c r="BG342" s="229" t="s">
        <v>8568</v>
      </c>
      <c r="BH342" s="230" t="s">
        <v>8519</v>
      </c>
      <c r="BI342" t="s">
        <v>2214</v>
      </c>
      <c r="BJ342" t="s">
        <v>2214</v>
      </c>
    </row>
    <row r="343" spans="1:62">
      <c r="A343" s="229" t="s">
        <v>7190</v>
      </c>
      <c r="B343" s="230" t="s">
        <v>7191</v>
      </c>
      <c r="C343" s="230" t="s">
        <v>829</v>
      </c>
      <c r="D343" s="229" t="s">
        <v>845</v>
      </c>
      <c r="E343" s="229" t="s">
        <v>7192</v>
      </c>
      <c r="F343" s="229" t="s">
        <v>845</v>
      </c>
      <c r="G343" s="229" t="s">
        <v>7193</v>
      </c>
      <c r="H343" s="229" t="s">
        <v>845</v>
      </c>
      <c r="I343" s="229" t="s">
        <v>880</v>
      </c>
      <c r="J343" s="231" t="s">
        <v>7194</v>
      </c>
      <c r="K343" s="231" t="s">
        <v>5949</v>
      </c>
      <c r="L343" s="220" t="str">
        <f t="shared" si="84"/>
        <v>IA38</v>
      </c>
      <c r="M343" s="220" t="str">
        <f t="shared" si="85"/>
        <v/>
      </c>
      <c r="N343" s="220" t="str">
        <f t="shared" si="86"/>
        <v/>
      </c>
      <c r="O343" s="220" t="str">
        <f t="shared" si="87"/>
        <v/>
      </c>
      <c r="P343" s="52" t="str">
        <f t="shared" si="88"/>
        <v>IA38</v>
      </c>
      <c r="Q343" s="231" t="str">
        <f t="shared" si="94"/>
        <v>119</v>
      </c>
      <c r="R343" s="224">
        <f t="shared" si="81"/>
        <v>111.33333333333333</v>
      </c>
      <c r="S343" s="52">
        <f t="shared" si="89"/>
        <v>100</v>
      </c>
      <c r="T343" s="221">
        <f t="shared" ca="1" si="90"/>
        <v>2.35</v>
      </c>
      <c r="U343" s="221" t="str">
        <f t="shared" si="91"/>
        <v/>
      </c>
      <c r="V343" s="220" t="str">
        <f t="array" ref="V343">INDEX(P:P,MAX(U$3:U343))</f>
        <v>IA#2DTR(B)</v>
      </c>
      <c r="W343" s="220" t="str">
        <f t="shared" ca="1" si="92"/>
        <v/>
      </c>
      <c r="X343" s="220">
        <f t="shared" si="93"/>
        <v>11.4</v>
      </c>
      <c r="Y343" s="220">
        <f t="shared" si="82"/>
        <v>0</v>
      </c>
      <c r="AA343" s="220" t="str">
        <f t="shared" si="83"/>
        <v>彰新</v>
      </c>
      <c r="AB343" s="220" t="s">
        <v>2215</v>
      </c>
      <c r="AC343" s="220" t="str">
        <f>LEFT(B343,3)</f>
        <v>北建線</v>
      </c>
      <c r="BB343" s="514" t="s">
        <v>2284</v>
      </c>
      <c r="BC343" s="514">
        <v>19</v>
      </c>
      <c r="BD343" s="514">
        <v>3</v>
      </c>
      <c r="BE343" s="514">
        <v>22</v>
      </c>
      <c r="BG343" s="229" t="s">
        <v>43</v>
      </c>
      <c r="BH343" s="230" t="s">
        <v>8579</v>
      </c>
      <c r="BI343" t="s">
        <v>2215</v>
      </c>
      <c r="BJ343" t="s">
        <v>2214</v>
      </c>
    </row>
    <row r="344" spans="1:62">
      <c r="A344" s="229" t="s">
        <v>43</v>
      </c>
      <c r="B344" s="230" t="s">
        <v>7195</v>
      </c>
      <c r="C344" s="230" t="s">
        <v>895</v>
      </c>
      <c r="D344" s="229" t="s">
        <v>7149</v>
      </c>
      <c r="E344" s="229" t="s">
        <v>929</v>
      </c>
      <c r="F344" s="229" t="s">
        <v>832</v>
      </c>
      <c r="G344" s="229" t="s">
        <v>7196</v>
      </c>
      <c r="H344" s="229" t="s">
        <v>846</v>
      </c>
      <c r="I344" s="229" t="s">
        <v>895</v>
      </c>
      <c r="J344" s="231" t="s">
        <v>7197</v>
      </c>
      <c r="K344" s="231" t="s">
        <v>7198</v>
      </c>
      <c r="L344" s="220" t="str">
        <f t="shared" si="84"/>
        <v>IA21</v>
      </c>
      <c r="M344" s="220" t="str">
        <f t="shared" si="85"/>
        <v/>
      </c>
      <c r="N344" s="220" t="str">
        <f t="shared" si="86"/>
        <v/>
      </c>
      <c r="O344" s="220" t="str">
        <f t="shared" si="87"/>
        <v/>
      </c>
      <c r="P344" s="52" t="str">
        <f t="shared" si="88"/>
        <v>IA21</v>
      </c>
      <c r="Q344" s="231" t="str">
        <f t="shared" si="94"/>
        <v>184</v>
      </c>
      <c r="R344" s="224">
        <f t="shared" si="81"/>
        <v>173</v>
      </c>
      <c r="S344" s="52">
        <f t="shared" si="89"/>
        <v>156</v>
      </c>
      <c r="T344" s="221">
        <f t="shared" ca="1" si="90"/>
        <v>3.63</v>
      </c>
      <c r="U344" s="221" t="str">
        <f t="shared" si="91"/>
        <v/>
      </c>
      <c r="V344" s="220" t="str">
        <f t="array" ref="V344">INDEX(P:P,MAX(U$3:U344))</f>
        <v>IA#2DTR(B)</v>
      </c>
      <c r="W344" s="220" t="str">
        <f t="shared" ca="1" si="92"/>
        <v/>
      </c>
      <c r="X344" s="220">
        <f t="shared" si="93"/>
        <v>11.4</v>
      </c>
      <c r="Y344" s="220">
        <f t="shared" si="82"/>
        <v>0</v>
      </c>
      <c r="AA344" s="220" t="str">
        <f t="shared" si="83"/>
        <v>彰新</v>
      </c>
      <c r="AB344" s="220" t="s">
        <v>1872</v>
      </c>
      <c r="AC344" s="220" t="str">
        <f>LEFT(B344,3)</f>
        <v>北廠線</v>
      </c>
      <c r="BB344" s="514" t="s">
        <v>2285</v>
      </c>
      <c r="BC344" s="514">
        <v>2411</v>
      </c>
      <c r="BD344" s="514">
        <v>2</v>
      </c>
      <c r="BE344" s="514">
        <v>2413</v>
      </c>
      <c r="BG344" s="229" t="s">
        <v>8567</v>
      </c>
      <c r="BH344" s="230" t="s">
        <v>8580</v>
      </c>
      <c r="BI344" t="s">
        <v>1872</v>
      </c>
      <c r="BJ344" t="s">
        <v>2214</v>
      </c>
    </row>
    <row r="345" spans="1:62">
      <c r="A345" s="229" t="s">
        <v>43</v>
      </c>
      <c r="B345" s="230" t="s">
        <v>7199</v>
      </c>
      <c r="C345" s="230" t="s">
        <v>1013</v>
      </c>
      <c r="D345" s="229" t="s">
        <v>846</v>
      </c>
      <c r="E345" s="229" t="s">
        <v>898</v>
      </c>
      <c r="F345" s="229" t="s">
        <v>846</v>
      </c>
      <c r="G345" s="229" t="s">
        <v>7200</v>
      </c>
      <c r="H345" s="229" t="s">
        <v>804</v>
      </c>
      <c r="I345" s="229" t="s">
        <v>898</v>
      </c>
      <c r="J345" s="231" t="s">
        <v>7119</v>
      </c>
      <c r="K345" s="231" t="s">
        <v>5949</v>
      </c>
      <c r="L345" s="220" t="str">
        <f t="shared" si="84"/>
        <v>IA25</v>
      </c>
      <c r="M345" s="220" t="str">
        <f t="shared" si="85"/>
        <v/>
      </c>
      <c r="N345" s="220" t="str">
        <f t="shared" si="86"/>
        <v/>
      </c>
      <c r="O345" s="220" t="str">
        <f t="shared" si="87"/>
        <v/>
      </c>
      <c r="P345" s="52" t="str">
        <f t="shared" si="88"/>
        <v>IA25</v>
      </c>
      <c r="Q345" s="231" t="str">
        <f t="shared" si="94"/>
        <v>195</v>
      </c>
      <c r="R345" s="224">
        <f t="shared" si="81"/>
        <v>169.66666666666666</v>
      </c>
      <c r="S345" s="52">
        <f t="shared" si="89"/>
        <v>139</v>
      </c>
      <c r="T345" s="221">
        <f t="shared" ca="1" si="90"/>
        <v>3.85</v>
      </c>
      <c r="U345" s="221" t="str">
        <f t="shared" si="91"/>
        <v/>
      </c>
      <c r="V345" s="220" t="str">
        <f t="array" ref="V345">INDEX(P:P,MAX(U$3:U345))</f>
        <v>IA#2DTR(B)</v>
      </c>
      <c r="W345" s="220" t="str">
        <f t="shared" ca="1" si="92"/>
        <v/>
      </c>
      <c r="X345" s="220">
        <f t="shared" si="93"/>
        <v>11.4</v>
      </c>
      <c r="Y345" s="220">
        <f t="shared" si="82"/>
        <v>0</v>
      </c>
      <c r="AA345" s="220" t="str">
        <f t="shared" si="83"/>
        <v>彰新</v>
      </c>
      <c r="AB345" s="220" t="s">
        <v>2216</v>
      </c>
      <c r="AC345" s="220" t="str">
        <f>LEFT(B345,3)</f>
        <v>北美線</v>
      </c>
      <c r="BB345" s="514" t="s">
        <v>2287</v>
      </c>
      <c r="BC345" s="514">
        <v>2490</v>
      </c>
      <c r="BD345" s="514">
        <v>14</v>
      </c>
      <c r="BE345" s="514">
        <v>2504</v>
      </c>
      <c r="BG345" s="229" t="s">
        <v>8568</v>
      </c>
      <c r="BH345" s="230" t="s">
        <v>8581</v>
      </c>
      <c r="BI345" t="s">
        <v>2216</v>
      </c>
      <c r="BJ345" t="s">
        <v>2214</v>
      </c>
    </row>
    <row r="346" spans="1:62">
      <c r="A346" s="229" t="s">
        <v>43</v>
      </c>
      <c r="B346" s="230" t="s">
        <v>7201</v>
      </c>
      <c r="C346" s="230" t="s">
        <v>1004</v>
      </c>
      <c r="D346" s="229" t="s">
        <v>7202</v>
      </c>
      <c r="E346" s="229" t="s">
        <v>1028</v>
      </c>
      <c r="F346" s="229" t="s">
        <v>5791</v>
      </c>
      <c r="G346" s="229" t="s">
        <v>984</v>
      </c>
      <c r="H346" s="229" t="s">
        <v>7202</v>
      </c>
      <c r="I346" s="229" t="s">
        <v>1028</v>
      </c>
      <c r="J346" s="231" t="s">
        <v>942</v>
      </c>
      <c r="K346" s="231" t="s">
        <v>804</v>
      </c>
      <c r="L346" s="220" t="str">
        <f t="shared" si="84"/>
        <v>IA31</v>
      </c>
      <c r="M346" s="220" t="str">
        <f t="shared" si="85"/>
        <v/>
      </c>
      <c r="N346" s="220" t="str">
        <f t="shared" si="86"/>
        <v/>
      </c>
      <c r="O346" s="220" t="str">
        <f t="shared" si="87"/>
        <v/>
      </c>
      <c r="P346" s="52" t="str">
        <f t="shared" si="88"/>
        <v>IA31</v>
      </c>
      <c r="Q346" s="231" t="str">
        <f t="shared" si="94"/>
        <v>225</v>
      </c>
      <c r="R346" s="224">
        <f t="shared" si="81"/>
        <v>215.66666666666666</v>
      </c>
      <c r="S346" s="52">
        <f t="shared" si="89"/>
        <v>206</v>
      </c>
      <c r="T346" s="221">
        <f t="shared" ca="1" si="90"/>
        <v>4.4400000000000004</v>
      </c>
      <c r="U346" s="221" t="str">
        <f t="shared" si="91"/>
        <v/>
      </c>
      <c r="V346" s="220" t="str">
        <f t="array" ref="V346">INDEX(P:P,MAX(U$3:U346))</f>
        <v>IA#2DTR(B)</v>
      </c>
      <c r="W346" s="220" t="str">
        <f t="shared" ca="1" si="92"/>
        <v/>
      </c>
      <c r="X346" s="220">
        <f t="shared" si="93"/>
        <v>11.4</v>
      </c>
      <c r="Y346" s="220">
        <f t="shared" si="82"/>
        <v>0</v>
      </c>
      <c r="AA346" s="220" t="str">
        <f t="shared" si="83"/>
        <v>彰新</v>
      </c>
      <c r="AB346" s="220" t="s">
        <v>2217</v>
      </c>
      <c r="AC346" s="220" t="str">
        <f>LEFT(B346,3)</f>
        <v>北新線</v>
      </c>
      <c r="BB346" s="514" t="s">
        <v>2279</v>
      </c>
      <c r="BC346" s="514">
        <v>1475</v>
      </c>
      <c r="BD346" s="514">
        <v>1</v>
      </c>
      <c r="BE346" s="514">
        <v>1476</v>
      </c>
      <c r="BG346" s="229" t="s">
        <v>43</v>
      </c>
      <c r="BH346" s="230" t="s">
        <v>483</v>
      </c>
      <c r="BI346" t="s">
        <v>2217</v>
      </c>
      <c r="BJ346" t="s">
        <v>2214</v>
      </c>
    </row>
    <row r="347" spans="1:62">
      <c r="A347" s="229" t="s">
        <v>43</v>
      </c>
      <c r="B347" s="230" t="s">
        <v>484</v>
      </c>
      <c r="C347" s="230" t="s">
        <v>961</v>
      </c>
      <c r="D347" s="229" t="s">
        <v>845</v>
      </c>
      <c r="E347" s="229" t="s">
        <v>7203</v>
      </c>
      <c r="F347" s="229" t="s">
        <v>804</v>
      </c>
      <c r="G347" s="229" t="s">
        <v>798</v>
      </c>
      <c r="H347" s="229" t="s">
        <v>804</v>
      </c>
      <c r="I347" s="229" t="s">
        <v>961</v>
      </c>
      <c r="J347" s="231" t="s">
        <v>7204</v>
      </c>
      <c r="K347" s="231" t="s">
        <v>7149</v>
      </c>
      <c r="L347" s="220" t="str">
        <f t="shared" si="84"/>
        <v>IA20</v>
      </c>
      <c r="M347" s="220" t="str">
        <f t="shared" si="85"/>
        <v/>
      </c>
      <c r="N347" s="220" t="str">
        <f t="shared" si="86"/>
        <v/>
      </c>
      <c r="O347" s="220" t="str">
        <f t="shared" si="87"/>
        <v/>
      </c>
      <c r="P347" s="52" t="str">
        <f t="shared" si="88"/>
        <v>IA20</v>
      </c>
      <c r="Q347" s="231" t="str">
        <f t="shared" si="94"/>
        <v>196</v>
      </c>
      <c r="R347" s="224">
        <f t="shared" si="81"/>
        <v>178.66666666666666</v>
      </c>
      <c r="S347" s="52">
        <f t="shared" si="89"/>
        <v>146</v>
      </c>
      <c r="T347" s="221">
        <f t="shared" ca="1" si="90"/>
        <v>3.87</v>
      </c>
      <c r="U347" s="221" t="str">
        <f t="shared" si="91"/>
        <v/>
      </c>
      <c r="V347" s="220" t="str">
        <f t="array" ref="V347">INDEX(P:P,MAX(U$3:U347))</f>
        <v>IA#2DTR(B)</v>
      </c>
      <c r="W347" s="220" t="str">
        <f t="shared" ca="1" si="92"/>
        <v/>
      </c>
      <c r="X347" s="220">
        <f t="shared" si="93"/>
        <v>11.4</v>
      </c>
      <c r="Y347" s="220">
        <f t="shared" si="82"/>
        <v>0</v>
      </c>
      <c r="AA347" s="220" t="str">
        <f t="shared" si="83"/>
        <v>彰新</v>
      </c>
      <c r="AB347" s="220" t="s">
        <v>2218</v>
      </c>
      <c r="AC347" s="220" t="str">
        <f>LEFT(B347,3)</f>
        <v>中圍線</v>
      </c>
      <c r="BB347" s="514" t="s">
        <v>2288</v>
      </c>
      <c r="BC347" s="514">
        <v>4358</v>
      </c>
      <c r="BD347" s="514">
        <v>7</v>
      </c>
      <c r="BE347" s="514">
        <v>4365</v>
      </c>
      <c r="BG347" s="229" t="s">
        <v>8568</v>
      </c>
      <c r="BH347" s="230" t="s">
        <v>8582</v>
      </c>
      <c r="BI347" t="s">
        <v>2218</v>
      </c>
      <c r="BJ347" t="s">
        <v>2214</v>
      </c>
    </row>
    <row r="348" spans="1:62">
      <c r="A348" s="229" t="s">
        <v>7190</v>
      </c>
      <c r="B348" s="230" t="s">
        <v>7205</v>
      </c>
      <c r="C348" s="230" t="s">
        <v>7206</v>
      </c>
      <c r="D348" s="229" t="s">
        <v>7207</v>
      </c>
      <c r="E348" s="229" t="s">
        <v>7208</v>
      </c>
      <c r="F348" s="229" t="s">
        <v>7209</v>
      </c>
      <c r="G348" s="229" t="s">
        <v>3163</v>
      </c>
      <c r="H348" s="229" t="s">
        <v>832</v>
      </c>
      <c r="I348" s="229" t="s">
        <v>7210</v>
      </c>
      <c r="J348" s="231" t="s">
        <v>358</v>
      </c>
      <c r="K348" s="231" t="s">
        <v>7211</v>
      </c>
      <c r="L348" s="220" t="str">
        <f t="shared" si="84"/>
        <v>IA#3DTR(A)</v>
      </c>
      <c r="M348" s="220" t="str">
        <f t="shared" si="85"/>
        <v>(A)</v>
      </c>
      <c r="N348" s="220" t="str">
        <f t="shared" si="86"/>
        <v>IA#3DTR</v>
      </c>
      <c r="O348" s="220" t="str">
        <f t="shared" si="87"/>
        <v>(A)</v>
      </c>
      <c r="P348" s="52" t="str">
        <f t="shared" si="88"/>
        <v>IA#3DTR(A)</v>
      </c>
      <c r="Q348" s="231" t="str">
        <f t="shared" si="94"/>
        <v>904</v>
      </c>
      <c r="R348" s="224">
        <f t="shared" si="81"/>
        <v>865.66666666666663</v>
      </c>
      <c r="S348" s="52">
        <f t="shared" si="89"/>
        <v>827</v>
      </c>
      <c r="T348" s="221">
        <f t="shared" ca="1" si="90"/>
        <v>17.850000000000001</v>
      </c>
      <c r="U348" s="221">
        <f t="shared" si="91"/>
        <v>348</v>
      </c>
      <c r="V348" s="220" t="str">
        <f t="array" ref="V348">INDEX(P:P,MAX(U$3:U348))</f>
        <v>IA#3DTR(A)</v>
      </c>
      <c r="W348" s="220">
        <f t="shared" ca="1" si="92"/>
        <v>30</v>
      </c>
      <c r="X348" s="220" t="str">
        <f t="shared" si="93"/>
        <v/>
      </c>
      <c r="Y348" s="220">
        <f t="shared" si="82"/>
        <v>0</v>
      </c>
      <c r="AA348" s="220" t="str">
        <f t="shared" si="83"/>
        <v>彰新</v>
      </c>
      <c r="AB348" s="220" t="s">
        <v>2219</v>
      </c>
      <c r="AC348" s="220" t="s">
        <v>2219</v>
      </c>
      <c r="BB348" s="514" t="s">
        <v>2296</v>
      </c>
      <c r="BC348" s="514">
        <v>1311</v>
      </c>
      <c r="BD348" s="514" t="s">
        <v>85</v>
      </c>
      <c r="BE348" s="514">
        <v>1311</v>
      </c>
      <c r="BG348" s="229" t="s">
        <v>8568</v>
      </c>
      <c r="BH348" s="230" t="s">
        <v>8370</v>
      </c>
      <c r="BI348" t="s">
        <v>2219</v>
      </c>
      <c r="BJ348" t="s">
        <v>2219</v>
      </c>
    </row>
    <row r="349" spans="1:62">
      <c r="A349" s="229" t="s">
        <v>43</v>
      </c>
      <c r="B349" s="230" t="s">
        <v>485</v>
      </c>
      <c r="C349" s="230" t="s">
        <v>4668</v>
      </c>
      <c r="D349" s="229" t="s">
        <v>6190</v>
      </c>
      <c r="E349" s="229" t="s">
        <v>4684</v>
      </c>
      <c r="F349" s="229" t="s">
        <v>783</v>
      </c>
      <c r="G349" s="229" t="s">
        <v>4684</v>
      </c>
      <c r="H349" s="229" t="s">
        <v>783</v>
      </c>
      <c r="I349" s="229" t="s">
        <v>4668</v>
      </c>
      <c r="J349" s="231" t="s">
        <v>1020</v>
      </c>
      <c r="K349" s="231" t="s">
        <v>859</v>
      </c>
      <c r="L349" s="220" t="str">
        <f t="shared" si="84"/>
        <v>IA40</v>
      </c>
      <c r="M349" s="220" t="str">
        <f t="shared" si="85"/>
        <v/>
      </c>
      <c r="N349" s="220" t="str">
        <f t="shared" si="86"/>
        <v/>
      </c>
      <c r="O349" s="220" t="str">
        <f t="shared" si="87"/>
        <v/>
      </c>
      <c r="P349" s="52" t="str">
        <f t="shared" si="88"/>
        <v>IA40</v>
      </c>
      <c r="Q349" s="231" t="str">
        <f t="shared" si="94"/>
        <v>331</v>
      </c>
      <c r="R349" s="224">
        <f t="shared" si="81"/>
        <v>306.33333333333331</v>
      </c>
      <c r="S349" s="52">
        <f t="shared" si="89"/>
        <v>294</v>
      </c>
      <c r="T349" s="221">
        <f t="shared" ca="1" si="90"/>
        <v>6.54</v>
      </c>
      <c r="U349" s="221" t="str">
        <f t="shared" si="91"/>
        <v/>
      </c>
      <c r="V349" s="220" t="str">
        <f t="array" ref="V349">INDEX(P:P,MAX(U$3:U349))</f>
        <v>IA#3DTR(A)</v>
      </c>
      <c r="W349" s="220" t="str">
        <f t="shared" ca="1" si="92"/>
        <v/>
      </c>
      <c r="X349" s="220">
        <f t="shared" si="93"/>
        <v>11.4</v>
      </c>
      <c r="Y349" s="220">
        <f t="shared" si="82"/>
        <v>0</v>
      </c>
      <c r="AA349" s="220" t="str">
        <f t="shared" si="83"/>
        <v>彰新</v>
      </c>
      <c r="AB349" s="220" t="s">
        <v>2220</v>
      </c>
      <c r="AC349" s="220" t="str">
        <f>LEFT(B349,3)</f>
        <v>國聖線</v>
      </c>
      <c r="BB349" s="514" t="s">
        <v>2298</v>
      </c>
      <c r="BC349" s="514">
        <v>3009</v>
      </c>
      <c r="BD349" s="514">
        <v>4</v>
      </c>
      <c r="BE349" s="514">
        <v>3013</v>
      </c>
      <c r="BG349" s="229" t="s">
        <v>8567</v>
      </c>
      <c r="BH349" s="230" t="s">
        <v>8583</v>
      </c>
      <c r="BI349" t="s">
        <v>2220</v>
      </c>
      <c r="BJ349" t="s">
        <v>2219</v>
      </c>
    </row>
    <row r="350" spans="1:62">
      <c r="A350" s="229" t="s">
        <v>7212</v>
      </c>
      <c r="B350" s="230" t="s">
        <v>486</v>
      </c>
      <c r="C350" s="230" t="s">
        <v>7213</v>
      </c>
      <c r="D350" s="229" t="s">
        <v>7209</v>
      </c>
      <c r="E350" s="229" t="s">
        <v>969</v>
      </c>
      <c r="F350" s="229" t="s">
        <v>7056</v>
      </c>
      <c r="G350" s="229" t="s">
        <v>979</v>
      </c>
      <c r="H350" s="229" t="s">
        <v>832</v>
      </c>
      <c r="I350" s="229" t="s">
        <v>969</v>
      </c>
      <c r="J350" s="231" t="s">
        <v>7214</v>
      </c>
      <c r="K350" s="231" t="s">
        <v>835</v>
      </c>
      <c r="L350" s="220" t="str">
        <f t="shared" si="84"/>
        <v>IA41</v>
      </c>
      <c r="M350" s="220" t="str">
        <f t="shared" si="85"/>
        <v/>
      </c>
      <c r="N350" s="220" t="str">
        <f t="shared" si="86"/>
        <v/>
      </c>
      <c r="O350" s="220" t="str">
        <f t="shared" si="87"/>
        <v/>
      </c>
      <c r="P350" s="52" t="str">
        <f t="shared" si="88"/>
        <v>IA41</v>
      </c>
      <c r="Q350" s="231" t="str">
        <f t="shared" si="94"/>
        <v>169</v>
      </c>
      <c r="R350" s="224">
        <f t="shared" si="81"/>
        <v>160.33333333333334</v>
      </c>
      <c r="S350" s="52">
        <f t="shared" si="89"/>
        <v>149</v>
      </c>
      <c r="T350" s="221">
        <f t="shared" ca="1" si="90"/>
        <v>3.34</v>
      </c>
      <c r="U350" s="221" t="str">
        <f t="shared" si="91"/>
        <v/>
      </c>
      <c r="V350" s="220" t="str">
        <f t="array" ref="V350">INDEX(P:P,MAX(U$3:U350))</f>
        <v>IA#3DTR(A)</v>
      </c>
      <c r="W350" s="220" t="str">
        <f t="shared" ca="1" si="92"/>
        <v/>
      </c>
      <c r="X350" s="220">
        <f t="shared" si="93"/>
        <v>11.4</v>
      </c>
      <c r="Y350" s="220">
        <f t="shared" si="82"/>
        <v>0</v>
      </c>
      <c r="AA350" s="220" t="str">
        <f t="shared" si="83"/>
        <v>彰新</v>
      </c>
      <c r="AB350" s="220" t="s">
        <v>1953</v>
      </c>
      <c r="AC350" s="220" t="str">
        <f>LEFT(B350,3)</f>
        <v>忠孝線</v>
      </c>
      <c r="BB350" s="514" t="s">
        <v>2300</v>
      </c>
      <c r="BC350" s="514">
        <v>194</v>
      </c>
      <c r="BD350" s="514" t="s">
        <v>85</v>
      </c>
      <c r="BE350" s="514">
        <v>194</v>
      </c>
      <c r="BG350" s="229" t="s">
        <v>8567</v>
      </c>
      <c r="BH350" s="230" t="s">
        <v>8584</v>
      </c>
      <c r="BI350" t="s">
        <v>1953</v>
      </c>
      <c r="BJ350" t="s">
        <v>2219</v>
      </c>
    </row>
    <row r="351" spans="1:62">
      <c r="A351" s="229" t="s">
        <v>43</v>
      </c>
      <c r="B351" s="230" t="s">
        <v>487</v>
      </c>
      <c r="C351" s="230" t="s">
        <v>7215</v>
      </c>
      <c r="D351" s="229" t="s">
        <v>839</v>
      </c>
      <c r="E351" s="229" t="s">
        <v>810</v>
      </c>
      <c r="F351" s="229" t="s">
        <v>7156</v>
      </c>
      <c r="G351" s="229" t="s">
        <v>7216</v>
      </c>
      <c r="H351" s="229" t="s">
        <v>7217</v>
      </c>
      <c r="I351" s="229" t="s">
        <v>911</v>
      </c>
      <c r="J351" s="231" t="s">
        <v>931</v>
      </c>
      <c r="K351" s="231" t="s">
        <v>7218</v>
      </c>
      <c r="L351" s="220" t="str">
        <f t="shared" si="84"/>
        <v>IA42</v>
      </c>
      <c r="M351" s="220" t="str">
        <f t="shared" si="85"/>
        <v/>
      </c>
      <c r="N351" s="220" t="str">
        <f t="shared" si="86"/>
        <v/>
      </c>
      <c r="O351" s="220" t="str">
        <f t="shared" si="87"/>
        <v/>
      </c>
      <c r="P351" s="52" t="str">
        <f t="shared" si="88"/>
        <v>IA42</v>
      </c>
      <c r="Q351" s="231" t="str">
        <f t="shared" si="94"/>
        <v>137</v>
      </c>
      <c r="R351" s="224">
        <f t="shared" si="81"/>
        <v>130.33333333333334</v>
      </c>
      <c r="S351" s="52">
        <f t="shared" si="89"/>
        <v>125</v>
      </c>
      <c r="T351" s="221">
        <f t="shared" ca="1" si="90"/>
        <v>2.71</v>
      </c>
      <c r="U351" s="221" t="str">
        <f t="shared" si="91"/>
        <v/>
      </c>
      <c r="V351" s="220" t="str">
        <f t="array" ref="V351">INDEX(P:P,MAX(U$3:U351))</f>
        <v>IA#3DTR(A)</v>
      </c>
      <c r="W351" s="220" t="str">
        <f t="shared" ca="1" si="92"/>
        <v/>
      </c>
      <c r="X351" s="220">
        <f t="shared" si="93"/>
        <v>11.4</v>
      </c>
      <c r="Y351" s="220">
        <f t="shared" si="82"/>
        <v>0</v>
      </c>
      <c r="AA351" s="220" t="str">
        <f t="shared" si="83"/>
        <v>彰新</v>
      </c>
      <c r="AB351" s="220" t="s">
        <v>2221</v>
      </c>
      <c r="AC351" s="220" t="str">
        <f>LEFT(B351,3)</f>
        <v>建國線</v>
      </c>
      <c r="BB351" s="514" t="s">
        <v>2280</v>
      </c>
      <c r="BC351" s="514">
        <v>3420</v>
      </c>
      <c r="BD351" s="514">
        <v>4</v>
      </c>
      <c r="BE351" s="514">
        <v>3424</v>
      </c>
      <c r="BG351" s="229" t="s">
        <v>8568</v>
      </c>
      <c r="BH351" s="230" t="s">
        <v>8585</v>
      </c>
      <c r="BI351" t="s">
        <v>2221</v>
      </c>
      <c r="BJ351" t="s">
        <v>2219</v>
      </c>
    </row>
    <row r="352" spans="1:62">
      <c r="A352" s="229" t="s">
        <v>43</v>
      </c>
      <c r="B352" s="230" t="s">
        <v>488</v>
      </c>
      <c r="C352" s="230" t="s">
        <v>7219</v>
      </c>
      <c r="D352" s="229" t="s">
        <v>7149</v>
      </c>
      <c r="E352" s="229" t="s">
        <v>1015</v>
      </c>
      <c r="F352" s="229" t="s">
        <v>7220</v>
      </c>
      <c r="G352" s="229" t="s">
        <v>7221</v>
      </c>
      <c r="H352" s="229" t="s">
        <v>832</v>
      </c>
      <c r="I352" s="229" t="s">
        <v>7222</v>
      </c>
      <c r="J352" s="231" t="s">
        <v>7223</v>
      </c>
      <c r="K352" s="231" t="s">
        <v>839</v>
      </c>
      <c r="L352" s="220" t="str">
        <f t="shared" si="84"/>
        <v>IA43</v>
      </c>
      <c r="M352" s="220" t="str">
        <f t="shared" si="85"/>
        <v/>
      </c>
      <c r="N352" s="220" t="str">
        <f t="shared" si="86"/>
        <v/>
      </c>
      <c r="O352" s="220" t="str">
        <f t="shared" si="87"/>
        <v/>
      </c>
      <c r="P352" s="52" t="str">
        <f t="shared" si="88"/>
        <v>IA43</v>
      </c>
      <c r="Q352" s="231" t="str">
        <f t="shared" si="94"/>
        <v>103</v>
      </c>
      <c r="R352" s="224">
        <f t="shared" si="81"/>
        <v>96.666666666666671</v>
      </c>
      <c r="S352" s="52">
        <f t="shared" si="89"/>
        <v>86</v>
      </c>
      <c r="T352" s="221">
        <f t="shared" ca="1" si="90"/>
        <v>2.0299999999999998</v>
      </c>
      <c r="U352" s="221" t="str">
        <f t="shared" si="91"/>
        <v/>
      </c>
      <c r="V352" s="220" t="str">
        <f t="array" ref="V352">INDEX(P:P,MAX(U$3:U352))</f>
        <v>IA#3DTR(A)</v>
      </c>
      <c r="W352" s="220" t="str">
        <f t="shared" ca="1" si="92"/>
        <v/>
      </c>
      <c r="X352" s="220">
        <f t="shared" si="93"/>
        <v>11.4</v>
      </c>
      <c r="Y352" s="220">
        <f t="shared" si="82"/>
        <v>0</v>
      </c>
      <c r="AA352" s="220" t="str">
        <f t="shared" si="83"/>
        <v>彰新</v>
      </c>
      <c r="AB352" s="220" t="s">
        <v>2222</v>
      </c>
      <c r="AC352" s="220" t="str">
        <f>LEFT(B352,3)</f>
        <v>公園線</v>
      </c>
      <c r="BB352" s="514" t="s">
        <v>2286</v>
      </c>
      <c r="BC352" s="514">
        <v>1279</v>
      </c>
      <c r="BD352" s="514">
        <v>1</v>
      </c>
      <c r="BE352" s="514">
        <v>1280</v>
      </c>
      <c r="BG352" s="229" t="s">
        <v>8568</v>
      </c>
      <c r="BH352" s="230" t="s">
        <v>488</v>
      </c>
      <c r="BI352" t="s">
        <v>2222</v>
      </c>
      <c r="BJ352" t="s">
        <v>2219</v>
      </c>
    </row>
    <row r="353" spans="1:62">
      <c r="A353" s="229" t="s">
        <v>43</v>
      </c>
      <c r="B353" s="230" t="s">
        <v>7224</v>
      </c>
      <c r="C353" s="230" t="s">
        <v>915</v>
      </c>
      <c r="D353" s="229" t="s">
        <v>5650</v>
      </c>
      <c r="E353" s="229" t="s">
        <v>898</v>
      </c>
      <c r="F353" s="229" t="s">
        <v>7056</v>
      </c>
      <c r="G353" s="229" t="s">
        <v>915</v>
      </c>
      <c r="H353" s="229" t="s">
        <v>7056</v>
      </c>
      <c r="I353" s="229" t="s">
        <v>7225</v>
      </c>
      <c r="J353" s="231" t="s">
        <v>849</v>
      </c>
      <c r="K353" s="231" t="s">
        <v>7072</v>
      </c>
      <c r="L353" s="220" t="str">
        <f t="shared" si="84"/>
        <v>IA44</v>
      </c>
      <c r="M353" s="220" t="str">
        <f t="shared" si="85"/>
        <v/>
      </c>
      <c r="N353" s="220" t="str">
        <f t="shared" si="86"/>
        <v/>
      </c>
      <c r="O353" s="220" t="str">
        <f t="shared" si="87"/>
        <v/>
      </c>
      <c r="P353" s="52" t="str">
        <f t="shared" si="88"/>
        <v>IA44</v>
      </c>
      <c r="Q353" s="231" t="str">
        <f t="shared" si="94"/>
        <v>203</v>
      </c>
      <c r="R353" s="224">
        <f t="shared" ref="R353:R416" si="95">AVERAGE(C353*1,E353*1,G353*1)</f>
        <v>200.33333333333334</v>
      </c>
      <c r="S353" s="52">
        <f t="shared" si="89"/>
        <v>195</v>
      </c>
      <c r="T353" s="221">
        <f t="shared" ca="1" si="90"/>
        <v>4.01</v>
      </c>
      <c r="U353" s="221" t="str">
        <f t="shared" si="91"/>
        <v/>
      </c>
      <c r="V353" s="220" t="str">
        <f t="array" ref="V353">INDEX(P:P,MAX(U$3:U353))</f>
        <v>IA#3DTR(A)</v>
      </c>
      <c r="W353" s="220" t="str">
        <f t="shared" ca="1" si="92"/>
        <v/>
      </c>
      <c r="X353" s="220">
        <f t="shared" si="93"/>
        <v>11.4</v>
      </c>
      <c r="Y353" s="220">
        <f t="shared" si="82"/>
        <v>0</v>
      </c>
      <c r="AA353" s="220" t="str">
        <f t="shared" si="83"/>
        <v>彰新</v>
      </c>
      <c r="AB353" s="220" t="s">
        <v>1955</v>
      </c>
      <c r="AC353" s="220" t="str">
        <f>LEFT(B353,3)</f>
        <v>東頭線</v>
      </c>
      <c r="BB353" s="514" t="s">
        <v>2299</v>
      </c>
      <c r="BC353" s="514">
        <v>1550</v>
      </c>
      <c r="BD353" s="514">
        <v>1</v>
      </c>
      <c r="BE353" s="514">
        <v>1551</v>
      </c>
      <c r="BG353" s="229" t="s">
        <v>8567</v>
      </c>
      <c r="BH353" s="230" t="s">
        <v>8586</v>
      </c>
      <c r="BI353" t="s">
        <v>1955</v>
      </c>
      <c r="BJ353" t="s">
        <v>2219</v>
      </c>
    </row>
    <row r="354" spans="1:62">
      <c r="A354" s="229" t="s">
        <v>7226</v>
      </c>
      <c r="B354" s="230" t="s">
        <v>7227</v>
      </c>
      <c r="C354" s="230" t="s">
        <v>4685</v>
      </c>
      <c r="D354" s="229" t="s">
        <v>804</v>
      </c>
      <c r="E354" s="229" t="s">
        <v>4655</v>
      </c>
      <c r="F354" s="229" t="s">
        <v>7228</v>
      </c>
      <c r="G354" s="229" t="s">
        <v>7229</v>
      </c>
      <c r="H354" s="229" t="s">
        <v>804</v>
      </c>
      <c r="I354" s="229" t="s">
        <v>4685</v>
      </c>
      <c r="J354" s="231" t="s">
        <v>7230</v>
      </c>
      <c r="K354" s="231" t="s">
        <v>358</v>
      </c>
      <c r="L354" s="220" t="str">
        <f t="shared" si="84"/>
        <v>IA#3DTR(B)</v>
      </c>
      <c r="M354" s="220" t="str">
        <f t="shared" si="85"/>
        <v>(B)</v>
      </c>
      <c r="N354" s="220" t="str">
        <f t="shared" si="86"/>
        <v>IA#3DTR</v>
      </c>
      <c r="O354" s="220" t="str">
        <f t="shared" si="87"/>
        <v>(B)</v>
      </c>
      <c r="P354" s="52" t="str">
        <f t="shared" si="88"/>
        <v>IA#3DTR(B)</v>
      </c>
      <c r="Q354" s="231" t="str">
        <f t="shared" si="94"/>
        <v>945</v>
      </c>
      <c r="R354" s="224">
        <f t="shared" si="95"/>
        <v>876</v>
      </c>
      <c r="S354" s="52">
        <f t="shared" si="89"/>
        <v>805</v>
      </c>
      <c r="T354" s="221">
        <f t="shared" ca="1" si="90"/>
        <v>18.66</v>
      </c>
      <c r="U354" s="221">
        <f t="shared" si="91"/>
        <v>354</v>
      </c>
      <c r="V354" s="220" t="str">
        <f t="array" ref="V354">INDEX(P:P,MAX(U$3:U354))</f>
        <v>IA#3DTR(B)</v>
      </c>
      <c r="W354" s="220">
        <f t="shared" ca="1" si="92"/>
        <v>30</v>
      </c>
      <c r="X354" s="220" t="str">
        <f t="shared" si="93"/>
        <v/>
      </c>
      <c r="Y354" s="220">
        <f t="shared" si="82"/>
        <v>0</v>
      </c>
      <c r="AA354" s="220" t="str">
        <f t="shared" si="83"/>
        <v>彰新</v>
      </c>
      <c r="AB354" s="220" t="s">
        <v>2223</v>
      </c>
      <c r="AC354" s="220" t="s">
        <v>2223</v>
      </c>
      <c r="BB354" s="514" t="s">
        <v>2281</v>
      </c>
      <c r="BC354" s="514">
        <v>172</v>
      </c>
      <c r="BD354" s="514">
        <v>7</v>
      </c>
      <c r="BE354" s="514">
        <v>179</v>
      </c>
      <c r="BG354" s="229" t="s">
        <v>43</v>
      </c>
      <c r="BH354" s="230" t="s">
        <v>8375</v>
      </c>
      <c r="BI354" t="s">
        <v>2223</v>
      </c>
      <c r="BJ354" t="s">
        <v>2223</v>
      </c>
    </row>
    <row r="355" spans="1:62">
      <c r="A355" s="229" t="s">
        <v>43</v>
      </c>
      <c r="B355" s="230" t="s">
        <v>489</v>
      </c>
      <c r="C355" s="230" t="s">
        <v>4667</v>
      </c>
      <c r="D355" s="229" t="s">
        <v>845</v>
      </c>
      <c r="E355" s="229" t="s">
        <v>953</v>
      </c>
      <c r="F355" s="229" t="s">
        <v>850</v>
      </c>
      <c r="G355" s="229" t="s">
        <v>7092</v>
      </c>
      <c r="H355" s="229" t="s">
        <v>804</v>
      </c>
      <c r="I355" s="229" t="s">
        <v>4667</v>
      </c>
      <c r="J355" s="231" t="s">
        <v>825</v>
      </c>
      <c r="K355" s="231" t="s">
        <v>845</v>
      </c>
      <c r="L355" s="220" t="str">
        <f t="shared" si="84"/>
        <v>IA45</v>
      </c>
      <c r="M355" s="220" t="str">
        <f t="shared" si="85"/>
        <v/>
      </c>
      <c r="N355" s="220" t="str">
        <f t="shared" si="86"/>
        <v/>
      </c>
      <c r="O355" s="220" t="str">
        <f t="shared" si="87"/>
        <v/>
      </c>
      <c r="P355" s="52" t="str">
        <f t="shared" si="88"/>
        <v>IA45</v>
      </c>
      <c r="Q355" s="231" t="str">
        <f t="shared" si="94"/>
        <v>281</v>
      </c>
      <c r="R355" s="224">
        <f t="shared" si="95"/>
        <v>253</v>
      </c>
      <c r="S355" s="52">
        <f t="shared" si="89"/>
        <v>219</v>
      </c>
      <c r="T355" s="221">
        <f t="shared" ca="1" si="90"/>
        <v>5.55</v>
      </c>
      <c r="U355" s="221" t="str">
        <f t="shared" si="91"/>
        <v/>
      </c>
      <c r="V355" s="220" t="str">
        <f t="array" ref="V355">INDEX(P:P,MAX(U$3:U355))</f>
        <v>IA#3DTR(B)</v>
      </c>
      <c r="W355" s="220" t="str">
        <f t="shared" ca="1" si="92"/>
        <v/>
      </c>
      <c r="X355" s="220">
        <f t="shared" si="93"/>
        <v>11.4</v>
      </c>
      <c r="Y355" s="220">
        <f t="shared" si="82"/>
        <v>0</v>
      </c>
      <c r="AA355" s="220" t="str">
        <f t="shared" si="83"/>
        <v>彰新</v>
      </c>
      <c r="AB355" s="220" t="s">
        <v>2224</v>
      </c>
      <c r="AC355" s="220" t="str">
        <f>LEFT(B355,3)</f>
        <v>牛稠線</v>
      </c>
      <c r="BB355" s="514" t="s">
        <v>2282</v>
      </c>
      <c r="BC355" s="514" t="s">
        <v>85</v>
      </c>
      <c r="BD355" s="514" t="s">
        <v>85</v>
      </c>
      <c r="BE355" s="514">
        <v>0</v>
      </c>
      <c r="BG355" s="229" t="s">
        <v>8567</v>
      </c>
      <c r="BH355" s="230" t="s">
        <v>489</v>
      </c>
      <c r="BI355" t="s">
        <v>2224</v>
      </c>
      <c r="BJ355" t="s">
        <v>2223</v>
      </c>
    </row>
    <row r="356" spans="1:62">
      <c r="A356" s="229" t="s">
        <v>43</v>
      </c>
      <c r="B356" s="230" t="s">
        <v>7231</v>
      </c>
      <c r="C356" s="230" t="s">
        <v>3161</v>
      </c>
      <c r="D356" s="229" t="s">
        <v>804</v>
      </c>
      <c r="E356" s="229" t="s">
        <v>1043</v>
      </c>
      <c r="F356" s="229" t="s">
        <v>832</v>
      </c>
      <c r="G356" s="229" t="s">
        <v>1018</v>
      </c>
      <c r="H356" s="229" t="s">
        <v>804</v>
      </c>
      <c r="I356" s="229" t="s">
        <v>7232</v>
      </c>
      <c r="J356" s="231" t="s">
        <v>6035</v>
      </c>
      <c r="K356" s="231" t="s">
        <v>846</v>
      </c>
      <c r="L356" s="220" t="str">
        <f t="shared" si="84"/>
        <v>IA46</v>
      </c>
      <c r="M356" s="220" t="str">
        <f t="shared" si="85"/>
        <v/>
      </c>
      <c r="N356" s="220" t="str">
        <f t="shared" si="86"/>
        <v/>
      </c>
      <c r="O356" s="220" t="str">
        <f t="shared" si="87"/>
        <v/>
      </c>
      <c r="P356" s="52" t="str">
        <f t="shared" si="88"/>
        <v>IA46</v>
      </c>
      <c r="Q356" s="231" t="str">
        <f t="shared" si="94"/>
        <v>290</v>
      </c>
      <c r="R356" s="224">
        <f t="shared" si="95"/>
        <v>285</v>
      </c>
      <c r="S356" s="52">
        <f t="shared" si="89"/>
        <v>280</v>
      </c>
      <c r="T356" s="221">
        <f t="shared" ca="1" si="90"/>
        <v>5.73</v>
      </c>
      <c r="U356" s="221" t="str">
        <f t="shared" si="91"/>
        <v/>
      </c>
      <c r="V356" s="220" t="str">
        <f t="array" ref="V356">INDEX(P:P,MAX(U$3:U356))</f>
        <v>IA#3DTR(B)</v>
      </c>
      <c r="W356" s="220" t="str">
        <f t="shared" ca="1" si="92"/>
        <v/>
      </c>
      <c r="X356" s="220">
        <f t="shared" si="93"/>
        <v>11.4</v>
      </c>
      <c r="Y356" s="220">
        <f t="shared" si="82"/>
        <v>0</v>
      </c>
      <c r="AA356" s="220" t="str">
        <f t="shared" si="83"/>
        <v>彰新</v>
      </c>
      <c r="AB356" s="220" t="s">
        <v>2225</v>
      </c>
      <c r="AC356" s="220" t="str">
        <f>LEFT(B356,3)</f>
        <v>茄苳線</v>
      </c>
      <c r="BB356" s="514" t="s">
        <v>2290</v>
      </c>
      <c r="BC356" s="514">
        <v>379</v>
      </c>
      <c r="BD356" s="514" t="s">
        <v>85</v>
      </c>
      <c r="BE356" s="514">
        <v>379</v>
      </c>
      <c r="BG356" s="229" t="s">
        <v>8567</v>
      </c>
      <c r="BH356" s="230" t="s">
        <v>490</v>
      </c>
      <c r="BI356" t="s">
        <v>2225</v>
      </c>
      <c r="BJ356" t="s">
        <v>2223</v>
      </c>
    </row>
    <row r="357" spans="1:62">
      <c r="A357" s="229" t="s">
        <v>5700</v>
      </c>
      <c r="B357" s="230" t="s">
        <v>491</v>
      </c>
      <c r="C357" s="230" t="s">
        <v>1040</v>
      </c>
      <c r="D357" s="229" t="s">
        <v>846</v>
      </c>
      <c r="E357" s="229" t="s">
        <v>7233</v>
      </c>
      <c r="F357" s="229" t="s">
        <v>797</v>
      </c>
      <c r="G357" s="229" t="s">
        <v>791</v>
      </c>
      <c r="H357" s="229" t="s">
        <v>846</v>
      </c>
      <c r="I357" s="229" t="s">
        <v>1040</v>
      </c>
      <c r="J357" s="231" t="s">
        <v>7234</v>
      </c>
      <c r="K357" s="231" t="s">
        <v>797</v>
      </c>
      <c r="L357" s="220" t="str">
        <f t="shared" si="84"/>
        <v>IA47</v>
      </c>
      <c r="M357" s="220" t="str">
        <f t="shared" si="85"/>
        <v/>
      </c>
      <c r="N357" s="220" t="str">
        <f t="shared" si="86"/>
        <v/>
      </c>
      <c r="O357" s="220" t="str">
        <f t="shared" si="87"/>
        <v/>
      </c>
      <c r="P357" s="52" t="str">
        <f t="shared" si="88"/>
        <v>IA47</v>
      </c>
      <c r="Q357" s="231" t="str">
        <f t="shared" si="94"/>
        <v>153</v>
      </c>
      <c r="R357" s="224">
        <f t="shared" si="95"/>
        <v>128</v>
      </c>
      <c r="S357" s="52">
        <f t="shared" si="89"/>
        <v>102</v>
      </c>
      <c r="T357" s="221">
        <f t="shared" ca="1" si="90"/>
        <v>3.02</v>
      </c>
      <c r="U357" s="221" t="str">
        <f t="shared" si="91"/>
        <v/>
      </c>
      <c r="V357" s="220" t="str">
        <f t="array" ref="V357">INDEX(P:P,MAX(U$3:U357))</f>
        <v>IA#3DTR(B)</v>
      </c>
      <c r="W357" s="220" t="str">
        <f t="shared" ca="1" si="92"/>
        <v/>
      </c>
      <c r="X357" s="220">
        <f t="shared" si="93"/>
        <v>11.4</v>
      </c>
      <c r="Y357" s="220">
        <f t="shared" si="82"/>
        <v>0</v>
      </c>
      <c r="AA357" s="220" t="str">
        <f t="shared" si="83"/>
        <v>彰新</v>
      </c>
      <c r="AB357" s="220" t="s">
        <v>2226</v>
      </c>
      <c r="AC357" s="220" t="str">
        <f>LEFT(B357,3)</f>
        <v>卦山線</v>
      </c>
      <c r="BB357" s="514" t="s">
        <v>2294</v>
      </c>
      <c r="BC357" s="514">
        <v>2206</v>
      </c>
      <c r="BD357" s="514">
        <v>1</v>
      </c>
      <c r="BE357" s="514">
        <v>2207</v>
      </c>
      <c r="BG357" s="229" t="s">
        <v>8567</v>
      </c>
      <c r="BH357" s="230" t="s">
        <v>8587</v>
      </c>
      <c r="BI357" t="s">
        <v>2226</v>
      </c>
      <c r="BJ357" t="s">
        <v>2223</v>
      </c>
    </row>
    <row r="358" spans="1:62">
      <c r="A358" s="229" t="s">
        <v>43</v>
      </c>
      <c r="B358" s="230" t="s">
        <v>492</v>
      </c>
      <c r="C358" s="230" t="s">
        <v>888</v>
      </c>
      <c r="D358" s="229" t="s">
        <v>832</v>
      </c>
      <c r="E358" s="229" t="s">
        <v>975</v>
      </c>
      <c r="F358" s="229" t="s">
        <v>783</v>
      </c>
      <c r="G358" s="229" t="s">
        <v>990</v>
      </c>
      <c r="H358" s="229" t="s">
        <v>832</v>
      </c>
      <c r="I358" s="229" t="s">
        <v>975</v>
      </c>
      <c r="J358" s="231" t="s">
        <v>844</v>
      </c>
      <c r="K358" s="231" t="s">
        <v>783</v>
      </c>
      <c r="L358" s="220" t="str">
        <f t="shared" si="84"/>
        <v>IA48</v>
      </c>
      <c r="M358" s="220" t="str">
        <f t="shared" si="85"/>
        <v/>
      </c>
      <c r="N358" s="220" t="str">
        <f t="shared" si="86"/>
        <v/>
      </c>
      <c r="O358" s="220" t="str">
        <f t="shared" si="87"/>
        <v/>
      </c>
      <c r="P358" s="52" t="str">
        <f t="shared" si="88"/>
        <v>IA48</v>
      </c>
      <c r="Q358" s="231" t="str">
        <f t="shared" si="94"/>
        <v>117</v>
      </c>
      <c r="R358" s="224">
        <f t="shared" si="95"/>
        <v>96.666666666666671</v>
      </c>
      <c r="S358" s="52">
        <f t="shared" si="89"/>
        <v>72</v>
      </c>
      <c r="T358" s="221">
        <f t="shared" ca="1" si="90"/>
        <v>2.31</v>
      </c>
      <c r="U358" s="221" t="str">
        <f t="shared" si="91"/>
        <v/>
      </c>
      <c r="V358" s="220" t="str">
        <f t="array" ref="V358">INDEX(P:P,MAX(U$3:U358))</f>
        <v>IA#3DTR(B)</v>
      </c>
      <c r="W358" s="220" t="str">
        <f t="shared" ca="1" si="92"/>
        <v/>
      </c>
      <c r="X358" s="220">
        <f t="shared" si="93"/>
        <v>11.4</v>
      </c>
      <c r="Y358" s="220">
        <f t="shared" si="82"/>
        <v>0</v>
      </c>
      <c r="AA358" s="220" t="str">
        <f t="shared" si="83"/>
        <v>彰新</v>
      </c>
      <c r="AB358" s="220" t="s">
        <v>2227</v>
      </c>
      <c r="AC358" s="220" t="str">
        <f>LEFT(B358,3)</f>
        <v>保警線</v>
      </c>
      <c r="BB358" s="514" t="s">
        <v>2292</v>
      </c>
      <c r="BC358" s="514">
        <v>4825</v>
      </c>
      <c r="BD358" s="514">
        <v>2</v>
      </c>
      <c r="BE358" s="514">
        <v>4827</v>
      </c>
      <c r="BG358" s="229" t="s">
        <v>8567</v>
      </c>
      <c r="BH358" s="230" t="s">
        <v>8588</v>
      </c>
      <c r="BI358" t="s">
        <v>2227</v>
      </c>
      <c r="BJ358" t="s">
        <v>2223</v>
      </c>
    </row>
    <row r="359" spans="1:62">
      <c r="A359" s="229" t="s">
        <v>7235</v>
      </c>
      <c r="B359" s="230" t="s">
        <v>493</v>
      </c>
      <c r="C359" s="230" t="s">
        <v>921</v>
      </c>
      <c r="D359" s="229" t="s">
        <v>850</v>
      </c>
      <c r="E359" s="229" t="s">
        <v>1021</v>
      </c>
      <c r="F359" s="229" t="s">
        <v>845</v>
      </c>
      <c r="G359" s="229" t="s">
        <v>7236</v>
      </c>
      <c r="H359" s="229" t="s">
        <v>7165</v>
      </c>
      <c r="I359" s="229" t="s">
        <v>921</v>
      </c>
      <c r="J359" s="231" t="s">
        <v>922</v>
      </c>
      <c r="K359" s="231" t="s">
        <v>850</v>
      </c>
      <c r="L359" s="220" t="str">
        <f t="shared" si="84"/>
        <v>IA49</v>
      </c>
      <c r="M359" s="220" t="str">
        <f t="shared" si="85"/>
        <v/>
      </c>
      <c r="N359" s="220" t="str">
        <f t="shared" si="86"/>
        <v/>
      </c>
      <c r="O359" s="220" t="str">
        <f t="shared" si="87"/>
        <v/>
      </c>
      <c r="P359" s="52" t="str">
        <f t="shared" si="88"/>
        <v>IA49</v>
      </c>
      <c r="Q359" s="231" t="str">
        <f t="shared" si="94"/>
        <v>236</v>
      </c>
      <c r="R359" s="224">
        <f t="shared" si="95"/>
        <v>200</v>
      </c>
      <c r="S359" s="52">
        <f t="shared" si="89"/>
        <v>174</v>
      </c>
      <c r="T359" s="221">
        <f t="shared" ca="1" si="90"/>
        <v>4.66</v>
      </c>
      <c r="U359" s="221" t="str">
        <f t="shared" si="91"/>
        <v/>
      </c>
      <c r="V359" s="220" t="str">
        <f t="array" ref="V359">INDEX(P:P,MAX(U$3:U359))</f>
        <v>IA#3DTR(B)</v>
      </c>
      <c r="W359" s="220" t="str">
        <f t="shared" ca="1" si="92"/>
        <v/>
      </c>
      <c r="X359" s="220">
        <f t="shared" si="93"/>
        <v>11.4</v>
      </c>
      <c r="Y359" s="220">
        <f t="shared" si="82"/>
        <v>0</v>
      </c>
      <c r="AA359" s="220" t="str">
        <f t="shared" si="83"/>
        <v>彰新</v>
      </c>
      <c r="AB359" s="220" t="s">
        <v>2228</v>
      </c>
      <c r="AC359" s="220" t="str">
        <f>LEFT(B359,3)</f>
        <v>西勢線</v>
      </c>
      <c r="BB359" s="514" t="s">
        <v>2293</v>
      </c>
      <c r="BC359" s="514">
        <v>3119</v>
      </c>
      <c r="BD359" s="514">
        <v>2</v>
      </c>
      <c r="BE359" s="514">
        <v>3121</v>
      </c>
      <c r="BG359" s="229" t="s">
        <v>8568</v>
      </c>
      <c r="BH359" s="230" t="s">
        <v>8589</v>
      </c>
      <c r="BI359" t="s">
        <v>2228</v>
      </c>
      <c r="BJ359" t="s">
        <v>2223</v>
      </c>
    </row>
    <row r="360" spans="1:62">
      <c r="A360" s="229" t="s">
        <v>7237</v>
      </c>
      <c r="B360" s="230" t="s">
        <v>7238</v>
      </c>
      <c r="C360" s="230" t="s">
        <v>3141</v>
      </c>
      <c r="D360" s="229" t="s">
        <v>7239</v>
      </c>
      <c r="E360" s="229" t="s">
        <v>3136</v>
      </c>
      <c r="F360" s="229" t="s">
        <v>832</v>
      </c>
      <c r="G360" s="229" t="s">
        <v>4686</v>
      </c>
      <c r="H360" s="229" t="s">
        <v>832</v>
      </c>
      <c r="I360" s="229" t="s">
        <v>7240</v>
      </c>
      <c r="J360" s="231" t="s">
        <v>7241</v>
      </c>
      <c r="K360" s="231" t="s">
        <v>358</v>
      </c>
      <c r="L360" s="220" t="str">
        <f t="shared" si="84"/>
        <v>IB#1MTR</v>
      </c>
      <c r="M360" s="220" t="str">
        <f t="shared" si="85"/>
        <v/>
      </c>
      <c r="N360" s="220" t="str">
        <f t="shared" si="86"/>
        <v>IB#1MTR</v>
      </c>
      <c r="O360" s="220" t="str">
        <f t="shared" si="87"/>
        <v/>
      </c>
      <c r="P360" s="52" t="str">
        <f t="shared" si="88"/>
        <v>IB#1MTR</v>
      </c>
      <c r="Q360" s="231" t="str">
        <f t="shared" si="94"/>
        <v>567</v>
      </c>
      <c r="R360" s="224">
        <f t="shared" si="95"/>
        <v>545.66666666666663</v>
      </c>
      <c r="S360" s="52">
        <f t="shared" si="89"/>
        <v>518</v>
      </c>
      <c r="T360" s="221">
        <f t="shared" ca="1" si="90"/>
        <v>11.2</v>
      </c>
      <c r="U360" s="221">
        <f t="shared" si="91"/>
        <v>360</v>
      </c>
      <c r="V360" s="220" t="str">
        <f t="array" ref="V360">INDEX(P:P,MAX(U$3:U360))</f>
        <v>IB#1MTR</v>
      </c>
      <c r="W360" s="220">
        <f t="shared" ca="1" si="92"/>
        <v>25</v>
      </c>
      <c r="X360" s="220" t="str">
        <f t="shared" si="93"/>
        <v/>
      </c>
      <c r="Y360" s="220">
        <f t="shared" si="82"/>
        <v>0</v>
      </c>
      <c r="AA360" s="220" t="str">
        <f t="shared" si="83"/>
        <v>鹿港</v>
      </c>
      <c r="AB360" s="220" t="s">
        <v>2229</v>
      </c>
      <c r="AC360" s="220" t="s">
        <v>2229</v>
      </c>
      <c r="BB360" s="514" t="s">
        <v>2291</v>
      </c>
      <c r="BC360" s="514">
        <v>2463</v>
      </c>
      <c r="BD360" s="514" t="s">
        <v>85</v>
      </c>
      <c r="BE360" s="514">
        <v>2463</v>
      </c>
      <c r="BG360" s="229" t="s">
        <v>8590</v>
      </c>
      <c r="BH360" s="230" t="s">
        <v>8591</v>
      </c>
      <c r="BI360" t="s">
        <v>2229</v>
      </c>
      <c r="BJ360" t="s">
        <v>2229</v>
      </c>
    </row>
    <row r="361" spans="1:62">
      <c r="A361" s="229" t="s">
        <v>7242</v>
      </c>
      <c r="B361" s="230" t="s">
        <v>494</v>
      </c>
      <c r="C361" s="230" t="s">
        <v>7243</v>
      </c>
      <c r="D361" s="229" t="s">
        <v>7244</v>
      </c>
      <c r="E361" s="229" t="s">
        <v>7245</v>
      </c>
      <c r="F361" s="229" t="s">
        <v>7246</v>
      </c>
      <c r="G361" s="229" t="s">
        <v>7247</v>
      </c>
      <c r="H361" s="229" t="s">
        <v>850</v>
      </c>
      <c r="I361" s="229" t="s">
        <v>7248</v>
      </c>
      <c r="J361" s="231" t="s">
        <v>7249</v>
      </c>
      <c r="K361" s="231" t="s">
        <v>845</v>
      </c>
      <c r="L361" s="220" t="str">
        <f t="shared" si="84"/>
        <v>IB20</v>
      </c>
      <c r="M361" s="220" t="str">
        <f t="shared" si="85"/>
        <v/>
      </c>
      <c r="N361" s="220" t="str">
        <f t="shared" si="86"/>
        <v/>
      </c>
      <c r="O361" s="220" t="str">
        <f t="shared" si="87"/>
        <v/>
      </c>
      <c r="P361" s="52" t="str">
        <f t="shared" si="88"/>
        <v>IB20</v>
      </c>
      <c r="Q361" s="231" t="str">
        <f t="shared" si="94"/>
        <v>180</v>
      </c>
      <c r="R361" s="224">
        <f t="shared" si="95"/>
        <v>157</v>
      </c>
      <c r="S361" s="52">
        <f t="shared" si="89"/>
        <v>131</v>
      </c>
      <c r="T361" s="221">
        <f t="shared" ca="1" si="90"/>
        <v>3.55</v>
      </c>
      <c r="U361" s="221" t="str">
        <f t="shared" si="91"/>
        <v/>
      </c>
      <c r="V361" s="220" t="str">
        <f t="array" ref="V361">INDEX(P:P,MAX(U$3:U361))</f>
        <v>IB#1MTR</v>
      </c>
      <c r="W361" s="220" t="str">
        <f t="shared" ca="1" si="92"/>
        <v/>
      </c>
      <c r="X361" s="220">
        <f t="shared" si="93"/>
        <v>11.4</v>
      </c>
      <c r="Y361" s="220">
        <f t="shared" si="82"/>
        <v>0</v>
      </c>
      <c r="AA361" s="220" t="str">
        <f t="shared" si="83"/>
        <v>鹿港</v>
      </c>
      <c r="AB361" s="220" t="s">
        <v>2230</v>
      </c>
      <c r="AC361" s="220" t="str">
        <f>LEFT(B361,3)</f>
        <v>二港線</v>
      </c>
      <c r="BB361" s="514" t="s">
        <v>3253</v>
      </c>
      <c r="BC361" s="514" t="s">
        <v>85</v>
      </c>
      <c r="BD361" s="514" t="s">
        <v>85</v>
      </c>
      <c r="BE361" s="514">
        <v>0</v>
      </c>
      <c r="BG361" s="229" t="s">
        <v>8590</v>
      </c>
      <c r="BH361" s="230" t="s">
        <v>8592</v>
      </c>
      <c r="BI361" t="s">
        <v>2230</v>
      </c>
      <c r="BJ361" t="s">
        <v>2229</v>
      </c>
    </row>
    <row r="362" spans="1:62">
      <c r="A362" s="229" t="s">
        <v>7250</v>
      </c>
      <c r="B362" s="230" t="s">
        <v>495</v>
      </c>
      <c r="C362" s="230" t="s">
        <v>7251</v>
      </c>
      <c r="D362" s="229" t="s">
        <v>5733</v>
      </c>
      <c r="E362" s="229" t="s">
        <v>7252</v>
      </c>
      <c r="F362" s="229" t="s">
        <v>5733</v>
      </c>
      <c r="G362" s="229" t="s">
        <v>805</v>
      </c>
      <c r="H362" s="229" t="s">
        <v>804</v>
      </c>
      <c r="I362" s="229" t="s">
        <v>1012</v>
      </c>
      <c r="J362" s="231" t="s">
        <v>7253</v>
      </c>
      <c r="K362" s="231" t="s">
        <v>859</v>
      </c>
      <c r="L362" s="220" t="str">
        <f t="shared" si="84"/>
        <v>IB22</v>
      </c>
      <c r="M362" s="220" t="str">
        <f t="shared" si="85"/>
        <v/>
      </c>
      <c r="N362" s="220" t="str">
        <f t="shared" si="86"/>
        <v/>
      </c>
      <c r="O362" s="220" t="str">
        <f t="shared" si="87"/>
        <v/>
      </c>
      <c r="P362" s="52" t="str">
        <f t="shared" si="88"/>
        <v>IB22</v>
      </c>
      <c r="Q362" s="231" t="str">
        <f t="shared" si="94"/>
        <v>25</v>
      </c>
      <c r="R362" s="224">
        <f t="shared" si="95"/>
        <v>21</v>
      </c>
      <c r="S362" s="52">
        <f t="shared" si="89"/>
        <v>18</v>
      </c>
      <c r="T362" s="221">
        <f t="shared" ca="1" si="90"/>
        <v>0.49</v>
      </c>
      <c r="U362" s="221" t="str">
        <f t="shared" si="91"/>
        <v/>
      </c>
      <c r="V362" s="220" t="str">
        <f t="array" ref="V362">INDEX(P:P,MAX(U$3:U362))</f>
        <v>IB#1MTR</v>
      </c>
      <c r="W362" s="220" t="str">
        <f t="shared" ca="1" si="92"/>
        <v/>
      </c>
      <c r="X362" s="220">
        <f t="shared" si="93"/>
        <v>11.4</v>
      </c>
      <c r="Y362" s="220">
        <f t="shared" si="82"/>
        <v>0</v>
      </c>
      <c r="AA362" s="220" t="str">
        <f t="shared" si="83"/>
        <v>鹿港</v>
      </c>
      <c r="AB362" s="220" t="s">
        <v>2231</v>
      </c>
      <c r="AC362" s="220" t="str">
        <f>LEFT(B362,3)</f>
        <v>海埔線</v>
      </c>
      <c r="BB362" s="514" t="s">
        <v>1876</v>
      </c>
      <c r="BC362" s="514">
        <v>165</v>
      </c>
      <c r="BD362" s="514">
        <v>5</v>
      </c>
      <c r="BE362" s="514">
        <v>170</v>
      </c>
      <c r="BG362" s="229" t="s">
        <v>8593</v>
      </c>
      <c r="BH362" s="230" t="s">
        <v>495</v>
      </c>
      <c r="BI362" t="s">
        <v>2231</v>
      </c>
      <c r="BJ362" t="s">
        <v>2229</v>
      </c>
    </row>
    <row r="363" spans="1:62">
      <c r="A363" s="229" t="s">
        <v>7254</v>
      </c>
      <c r="B363" s="230" t="s">
        <v>496</v>
      </c>
      <c r="C363" s="230" t="s">
        <v>7255</v>
      </c>
      <c r="D363" s="229" t="s">
        <v>5641</v>
      </c>
      <c r="E363" s="229" t="s">
        <v>1039</v>
      </c>
      <c r="F363" s="229" t="s">
        <v>804</v>
      </c>
      <c r="G363" s="229" t="s">
        <v>951</v>
      </c>
      <c r="H363" s="229" t="s">
        <v>804</v>
      </c>
      <c r="I363" s="229" t="s">
        <v>7256</v>
      </c>
      <c r="J363" s="231" t="s">
        <v>917</v>
      </c>
      <c r="K363" s="231" t="s">
        <v>7257</v>
      </c>
      <c r="L363" s="220" t="str">
        <f t="shared" si="84"/>
        <v>IB30</v>
      </c>
      <c r="M363" s="220" t="str">
        <f t="shared" si="85"/>
        <v/>
      </c>
      <c r="N363" s="220" t="str">
        <f t="shared" si="86"/>
        <v/>
      </c>
      <c r="O363" s="220" t="str">
        <f t="shared" si="87"/>
        <v/>
      </c>
      <c r="P363" s="52" t="str">
        <f t="shared" si="88"/>
        <v>IB30</v>
      </c>
      <c r="Q363" s="231" t="str">
        <f t="shared" si="94"/>
        <v>297</v>
      </c>
      <c r="R363" s="224">
        <f t="shared" si="95"/>
        <v>283.33333333333331</v>
      </c>
      <c r="S363" s="52">
        <f t="shared" si="89"/>
        <v>275</v>
      </c>
      <c r="T363" s="221">
        <f t="shared" ca="1" si="90"/>
        <v>5.86</v>
      </c>
      <c r="U363" s="221" t="str">
        <f t="shared" si="91"/>
        <v/>
      </c>
      <c r="V363" s="220" t="str">
        <f t="array" ref="V363">INDEX(P:P,MAX(U$3:U363))</f>
        <v>IB#1MTR</v>
      </c>
      <c r="W363" s="220" t="str">
        <f t="shared" ca="1" si="92"/>
        <v/>
      </c>
      <c r="X363" s="220">
        <f t="shared" si="93"/>
        <v>11.4</v>
      </c>
      <c r="Y363" s="220">
        <f t="shared" si="82"/>
        <v>0</v>
      </c>
      <c r="AA363" s="220" t="str">
        <f t="shared" si="83"/>
        <v>鹿港</v>
      </c>
      <c r="AB363" s="220" t="s">
        <v>2232</v>
      </c>
      <c r="AC363" s="220" t="str">
        <f>LEFT(B363,3)</f>
        <v>下庄線</v>
      </c>
      <c r="BB363" s="514" t="s">
        <v>1205</v>
      </c>
      <c r="BC363" s="514">
        <v>117</v>
      </c>
      <c r="BD363" s="514">
        <v>7</v>
      </c>
      <c r="BE363" s="514">
        <v>124</v>
      </c>
      <c r="BG363" s="229" t="s">
        <v>8593</v>
      </c>
      <c r="BH363" s="230" t="s">
        <v>8594</v>
      </c>
      <c r="BI363" t="s">
        <v>2232</v>
      </c>
      <c r="BJ363" t="s">
        <v>2229</v>
      </c>
    </row>
    <row r="364" spans="1:62">
      <c r="A364" s="229" t="s">
        <v>44</v>
      </c>
      <c r="B364" s="230" t="s">
        <v>497</v>
      </c>
      <c r="C364" s="230" t="s">
        <v>1027</v>
      </c>
      <c r="D364" s="229" t="s">
        <v>7258</v>
      </c>
      <c r="E364" s="229" t="s">
        <v>3162</v>
      </c>
      <c r="F364" s="229" t="s">
        <v>7259</v>
      </c>
      <c r="G364" s="229" t="s">
        <v>7260</v>
      </c>
      <c r="H364" s="229" t="s">
        <v>7261</v>
      </c>
      <c r="I364" s="229" t="s">
        <v>7262</v>
      </c>
      <c r="J364" s="231" t="s">
        <v>7263</v>
      </c>
      <c r="K364" s="231" t="s">
        <v>850</v>
      </c>
      <c r="L364" s="220" t="str">
        <f t="shared" si="84"/>
        <v>IB31</v>
      </c>
      <c r="M364" s="220" t="str">
        <f t="shared" si="85"/>
        <v/>
      </c>
      <c r="N364" s="220" t="str">
        <f t="shared" si="86"/>
        <v/>
      </c>
      <c r="O364" s="220" t="str">
        <f t="shared" si="87"/>
        <v/>
      </c>
      <c r="P364" s="52" t="str">
        <f t="shared" si="88"/>
        <v>IB31</v>
      </c>
      <c r="Q364" s="231" t="str">
        <f t="shared" si="94"/>
        <v>168</v>
      </c>
      <c r="R364" s="224">
        <f t="shared" si="95"/>
        <v>148</v>
      </c>
      <c r="S364" s="52">
        <f t="shared" si="89"/>
        <v>128</v>
      </c>
      <c r="T364" s="221">
        <f t="shared" ca="1" si="90"/>
        <v>3.32</v>
      </c>
      <c r="U364" s="221" t="str">
        <f t="shared" si="91"/>
        <v/>
      </c>
      <c r="V364" s="220" t="str">
        <f t="array" ref="V364">INDEX(P:P,MAX(U$3:U364))</f>
        <v>IB#1MTR</v>
      </c>
      <c r="W364" s="220" t="str">
        <f t="shared" ca="1" si="92"/>
        <v/>
      </c>
      <c r="X364" s="220">
        <f t="shared" si="93"/>
        <v>11.4</v>
      </c>
      <c r="Y364" s="220">
        <f t="shared" si="82"/>
        <v>0</v>
      </c>
      <c r="AA364" s="220" t="str">
        <f t="shared" si="83"/>
        <v>鹿港</v>
      </c>
      <c r="AB364" s="220" t="s">
        <v>2233</v>
      </c>
      <c r="AC364" s="220" t="str">
        <f>LEFT(B364,3)</f>
        <v>鹿一線</v>
      </c>
      <c r="BB364" s="514" t="s">
        <v>1220</v>
      </c>
      <c r="BC364" s="514">
        <v>151</v>
      </c>
      <c r="BD364" s="514">
        <v>9</v>
      </c>
      <c r="BE364" s="514">
        <v>160</v>
      </c>
      <c r="BG364" s="229" t="s">
        <v>8593</v>
      </c>
      <c r="BH364" s="230" t="s">
        <v>8595</v>
      </c>
      <c r="BI364" t="s">
        <v>2233</v>
      </c>
      <c r="BJ364" t="s">
        <v>2229</v>
      </c>
    </row>
    <row r="365" spans="1:62">
      <c r="A365" s="229" t="s">
        <v>7254</v>
      </c>
      <c r="B365" s="230" t="s">
        <v>498</v>
      </c>
      <c r="C365" s="230" t="s">
        <v>7264</v>
      </c>
      <c r="D365" s="229" t="s">
        <v>784</v>
      </c>
      <c r="E365" s="229" t="s">
        <v>5699</v>
      </c>
      <c r="F365" s="229" t="s">
        <v>7265</v>
      </c>
      <c r="G365" s="229" t="s">
        <v>7266</v>
      </c>
      <c r="H365" s="229" t="s">
        <v>7267</v>
      </c>
      <c r="I365" s="229" t="s">
        <v>5699</v>
      </c>
      <c r="J365" s="231" t="s">
        <v>7268</v>
      </c>
      <c r="K365" s="231" t="s">
        <v>7269</v>
      </c>
      <c r="L365" s="220" t="str">
        <f t="shared" si="84"/>
        <v>IB21</v>
      </c>
      <c r="M365" s="220" t="str">
        <f t="shared" si="85"/>
        <v/>
      </c>
      <c r="N365" s="220" t="str">
        <f t="shared" si="86"/>
        <v/>
      </c>
      <c r="O365" s="220" t="str">
        <f t="shared" si="87"/>
        <v/>
      </c>
      <c r="P365" s="52" t="str">
        <f t="shared" si="88"/>
        <v>IB21</v>
      </c>
      <c r="Q365" s="231" t="str">
        <f t="shared" si="94"/>
        <v>0</v>
      </c>
      <c r="R365" s="224">
        <f t="shared" si="95"/>
        <v>0</v>
      </c>
      <c r="S365" s="52">
        <f t="shared" si="89"/>
        <v>0</v>
      </c>
      <c r="T365" s="221">
        <f t="shared" ca="1" si="90"/>
        <v>0</v>
      </c>
      <c r="U365" s="221" t="str">
        <f t="shared" si="91"/>
        <v/>
      </c>
      <c r="V365" s="220" t="str">
        <f t="array" ref="V365">INDEX(P:P,MAX(U$3:U365))</f>
        <v>IB#1MTR</v>
      </c>
      <c r="W365" s="220" t="str">
        <f t="shared" ca="1" si="92"/>
        <v/>
      </c>
      <c r="X365" s="220">
        <f t="shared" si="93"/>
        <v>11.4</v>
      </c>
      <c r="Y365" s="220">
        <f t="shared" si="82"/>
        <v>0</v>
      </c>
      <c r="AA365" s="220" t="str">
        <f t="shared" si="83"/>
        <v>鹿港</v>
      </c>
      <c r="AB365" s="220" t="s">
        <v>1874</v>
      </c>
      <c r="AC365" s="220" t="str">
        <f>LEFT(B365,3)</f>
        <v>橋頭線</v>
      </c>
      <c r="BB365" s="514" t="s">
        <v>1244</v>
      </c>
      <c r="BC365" s="514">
        <v>5148</v>
      </c>
      <c r="BD365" s="514">
        <v>8</v>
      </c>
      <c r="BE365" s="514">
        <v>5156</v>
      </c>
      <c r="BG365" s="229" t="s">
        <v>8593</v>
      </c>
      <c r="BH365" s="230" t="s">
        <v>8596</v>
      </c>
      <c r="BI365" t="s">
        <v>1874</v>
      </c>
      <c r="BJ365" t="s">
        <v>2229</v>
      </c>
    </row>
    <row r="366" spans="1:62">
      <c r="A366" s="229" t="s">
        <v>7270</v>
      </c>
      <c r="B366" s="230" t="s">
        <v>6768</v>
      </c>
      <c r="C366" s="230" t="s">
        <v>7271</v>
      </c>
      <c r="D366" s="229" t="s">
        <v>804</v>
      </c>
      <c r="E366" s="229" t="s">
        <v>7272</v>
      </c>
      <c r="F366" s="229" t="s">
        <v>5641</v>
      </c>
      <c r="G366" s="229" t="s">
        <v>7273</v>
      </c>
      <c r="H366" s="229" t="s">
        <v>5641</v>
      </c>
      <c r="I366" s="229" t="s">
        <v>7274</v>
      </c>
      <c r="J366" s="231" t="s">
        <v>5585</v>
      </c>
      <c r="K366" s="231" t="s">
        <v>358</v>
      </c>
      <c r="L366" s="220" t="str">
        <f t="shared" si="84"/>
        <v>IB#2MTR</v>
      </c>
      <c r="M366" s="220" t="str">
        <f t="shared" si="85"/>
        <v/>
      </c>
      <c r="N366" s="220" t="str">
        <f t="shared" si="86"/>
        <v>IB#2MTR</v>
      </c>
      <c r="O366" s="220" t="str">
        <f t="shared" si="87"/>
        <v/>
      </c>
      <c r="P366" s="52" t="str">
        <f t="shared" si="88"/>
        <v>IB#2MTR</v>
      </c>
      <c r="Q366" s="231" t="str">
        <f t="shared" si="94"/>
        <v>851</v>
      </c>
      <c r="R366" s="224">
        <f t="shared" si="95"/>
        <v>819.33333333333337</v>
      </c>
      <c r="S366" s="52">
        <f t="shared" si="89"/>
        <v>791</v>
      </c>
      <c r="T366" s="221">
        <f t="shared" ca="1" si="90"/>
        <v>16.8</v>
      </c>
      <c r="U366" s="221">
        <f t="shared" si="91"/>
        <v>366</v>
      </c>
      <c r="V366" s="220" t="str">
        <f t="array" ref="V366">INDEX(P:P,MAX(U$3:U366))</f>
        <v>IB#2MTR</v>
      </c>
      <c r="W366" s="220">
        <f t="shared" ca="1" si="92"/>
        <v>25</v>
      </c>
      <c r="X366" s="220" t="str">
        <f t="shared" si="93"/>
        <v/>
      </c>
      <c r="Y366" s="220">
        <f t="shared" si="82"/>
        <v>0</v>
      </c>
      <c r="AA366" s="220" t="str">
        <f t="shared" si="83"/>
        <v>鹿港</v>
      </c>
      <c r="AB366" s="220" t="s">
        <v>2234</v>
      </c>
      <c r="AC366" s="220" t="s">
        <v>2234</v>
      </c>
      <c r="BB366" s="514" t="s">
        <v>1276</v>
      </c>
      <c r="BC366" s="514">
        <v>1906</v>
      </c>
      <c r="BD366" s="514">
        <v>1</v>
      </c>
      <c r="BE366" s="514">
        <v>1907</v>
      </c>
      <c r="BG366" s="229" t="s">
        <v>44</v>
      </c>
      <c r="BH366" s="230" t="s">
        <v>8597</v>
      </c>
      <c r="BI366" t="s">
        <v>2234</v>
      </c>
      <c r="BJ366" t="s">
        <v>2234</v>
      </c>
    </row>
    <row r="367" spans="1:62">
      <c r="A367" s="229" t="s">
        <v>44</v>
      </c>
      <c r="B367" s="230" t="s">
        <v>7275</v>
      </c>
      <c r="C367" s="230" t="s">
        <v>7276</v>
      </c>
      <c r="D367" s="229" t="s">
        <v>832</v>
      </c>
      <c r="E367" s="229" t="s">
        <v>7277</v>
      </c>
      <c r="F367" s="229" t="s">
        <v>7278</v>
      </c>
      <c r="G367" s="229" t="s">
        <v>7279</v>
      </c>
      <c r="H367" s="229" t="s">
        <v>6190</v>
      </c>
      <c r="I367" s="229" t="s">
        <v>7276</v>
      </c>
      <c r="J367" s="231" t="s">
        <v>6256</v>
      </c>
      <c r="K367" s="231" t="s">
        <v>7280</v>
      </c>
      <c r="L367" s="220" t="str">
        <f t="shared" si="84"/>
        <v>IB33</v>
      </c>
      <c r="M367" s="220" t="str">
        <f t="shared" si="85"/>
        <v/>
      </c>
      <c r="N367" s="220" t="str">
        <f t="shared" si="86"/>
        <v/>
      </c>
      <c r="O367" s="220" t="str">
        <f t="shared" si="87"/>
        <v/>
      </c>
      <c r="P367" s="52" t="str">
        <f t="shared" si="88"/>
        <v>IB33</v>
      </c>
      <c r="Q367" s="231" t="str">
        <f t="shared" si="94"/>
        <v>192</v>
      </c>
      <c r="R367" s="224">
        <f t="shared" si="95"/>
        <v>187.66666666666666</v>
      </c>
      <c r="S367" s="52">
        <f t="shared" si="89"/>
        <v>180</v>
      </c>
      <c r="T367" s="221">
        <f t="shared" ca="1" si="90"/>
        <v>3.79</v>
      </c>
      <c r="U367" s="221" t="str">
        <f t="shared" si="91"/>
        <v/>
      </c>
      <c r="V367" s="220" t="str">
        <f t="array" ref="V367">INDEX(P:P,MAX(U$3:U367))</f>
        <v>IB#2MTR</v>
      </c>
      <c r="W367" s="220" t="str">
        <f t="shared" ca="1" si="92"/>
        <v/>
      </c>
      <c r="X367" s="220">
        <f t="shared" si="93"/>
        <v>11.4</v>
      </c>
      <c r="Y367" s="220">
        <f t="shared" si="82"/>
        <v>0</v>
      </c>
      <c r="AA367" s="220" t="str">
        <f t="shared" si="83"/>
        <v>鹿港</v>
      </c>
      <c r="AB367" s="220" t="s">
        <v>2235</v>
      </c>
      <c r="AC367" s="220" t="str">
        <f>LEFT(B367,3)</f>
        <v>鹿三線</v>
      </c>
      <c r="BB367" s="514" t="s">
        <v>1878</v>
      </c>
      <c r="BC367" s="514">
        <v>590</v>
      </c>
      <c r="BD367" s="514">
        <v>10</v>
      </c>
      <c r="BE367" s="514">
        <v>600</v>
      </c>
      <c r="BG367" s="229" t="s">
        <v>8590</v>
      </c>
      <c r="BH367" s="230" t="s">
        <v>8598</v>
      </c>
      <c r="BI367" t="s">
        <v>2235</v>
      </c>
      <c r="BJ367" t="s">
        <v>2234</v>
      </c>
    </row>
    <row r="368" spans="1:62">
      <c r="A368" s="229" t="s">
        <v>7281</v>
      </c>
      <c r="B368" s="230" t="s">
        <v>7282</v>
      </c>
      <c r="C368" s="230" t="s">
        <v>4687</v>
      </c>
      <c r="D368" s="229" t="s">
        <v>850</v>
      </c>
      <c r="E368" s="229" t="s">
        <v>7283</v>
      </c>
      <c r="F368" s="229" t="s">
        <v>850</v>
      </c>
      <c r="G368" s="229" t="s">
        <v>7284</v>
      </c>
      <c r="H368" s="229" t="s">
        <v>804</v>
      </c>
      <c r="I368" s="229" t="s">
        <v>7285</v>
      </c>
      <c r="J368" s="231" t="s">
        <v>6557</v>
      </c>
      <c r="K368" s="231" t="s">
        <v>7156</v>
      </c>
      <c r="L368" s="220" t="str">
        <f t="shared" si="84"/>
        <v>IB25</v>
      </c>
      <c r="M368" s="220" t="str">
        <f t="shared" si="85"/>
        <v/>
      </c>
      <c r="N368" s="220" t="str">
        <f t="shared" si="86"/>
        <v/>
      </c>
      <c r="O368" s="220" t="str">
        <f t="shared" si="87"/>
        <v/>
      </c>
      <c r="P368" s="52" t="str">
        <f t="shared" si="88"/>
        <v>IB25</v>
      </c>
      <c r="Q368" s="231" t="str">
        <f t="shared" si="94"/>
        <v>308</v>
      </c>
      <c r="R368" s="224">
        <f t="shared" si="95"/>
        <v>281.66666666666669</v>
      </c>
      <c r="S368" s="52">
        <f t="shared" si="89"/>
        <v>259</v>
      </c>
      <c r="T368" s="221">
        <f t="shared" ca="1" si="90"/>
        <v>6.08</v>
      </c>
      <c r="U368" s="221" t="str">
        <f t="shared" si="91"/>
        <v/>
      </c>
      <c r="V368" s="220" t="str">
        <f t="array" ref="V368">INDEX(P:P,MAX(U$3:U368))</f>
        <v>IB#2MTR</v>
      </c>
      <c r="W368" s="220" t="str">
        <f t="shared" ca="1" si="92"/>
        <v/>
      </c>
      <c r="X368" s="220">
        <f t="shared" si="93"/>
        <v>11.4</v>
      </c>
      <c r="Y368" s="220">
        <f t="shared" si="82"/>
        <v>0</v>
      </c>
      <c r="AA368" s="220" t="str">
        <f t="shared" si="83"/>
        <v>鹿港</v>
      </c>
      <c r="AB368" s="220" t="s">
        <v>2236</v>
      </c>
      <c r="AC368" s="220" t="str">
        <f>LEFT(B368,3)</f>
        <v>鹽場線</v>
      </c>
      <c r="BB368" s="514" t="s">
        <v>1346</v>
      </c>
      <c r="BC368" s="514">
        <v>3104</v>
      </c>
      <c r="BD368" s="514" t="s">
        <v>85</v>
      </c>
      <c r="BE368" s="514">
        <v>3104</v>
      </c>
      <c r="BG368" s="229" t="s">
        <v>8593</v>
      </c>
      <c r="BH368" s="230" t="s">
        <v>8599</v>
      </c>
      <c r="BI368" t="s">
        <v>2236</v>
      </c>
      <c r="BJ368" t="s">
        <v>2234</v>
      </c>
    </row>
    <row r="369" spans="1:62">
      <c r="A369" s="229" t="s">
        <v>7281</v>
      </c>
      <c r="B369" s="230" t="s">
        <v>499</v>
      </c>
      <c r="C369" s="230" t="s">
        <v>6174</v>
      </c>
      <c r="D369" s="229" t="s">
        <v>7286</v>
      </c>
      <c r="E369" s="229" t="s">
        <v>7287</v>
      </c>
      <c r="F369" s="229" t="s">
        <v>5685</v>
      </c>
      <c r="G369" s="229" t="s">
        <v>7288</v>
      </c>
      <c r="H369" s="229" t="s">
        <v>5641</v>
      </c>
      <c r="I369" s="229" t="s">
        <v>992</v>
      </c>
      <c r="J369" s="231" t="s">
        <v>7289</v>
      </c>
      <c r="K369" s="231" t="s">
        <v>6190</v>
      </c>
      <c r="L369" s="220" t="str">
        <f t="shared" si="84"/>
        <v>IB28</v>
      </c>
      <c r="M369" s="220" t="str">
        <f t="shared" si="85"/>
        <v/>
      </c>
      <c r="N369" s="220" t="str">
        <f t="shared" si="86"/>
        <v/>
      </c>
      <c r="O369" s="220" t="str">
        <f t="shared" si="87"/>
        <v/>
      </c>
      <c r="P369" s="52" t="str">
        <f t="shared" si="88"/>
        <v>IB28</v>
      </c>
      <c r="Q369" s="231" t="str">
        <f t="shared" si="94"/>
        <v>211</v>
      </c>
      <c r="R369" s="224">
        <f t="shared" si="95"/>
        <v>203.66666666666666</v>
      </c>
      <c r="S369" s="52">
        <f t="shared" si="89"/>
        <v>194</v>
      </c>
      <c r="T369" s="221">
        <f t="shared" ca="1" si="90"/>
        <v>4.17</v>
      </c>
      <c r="U369" s="221" t="str">
        <f t="shared" si="91"/>
        <v/>
      </c>
      <c r="V369" s="220" t="str">
        <f t="array" ref="V369">INDEX(P:P,MAX(U$3:U369))</f>
        <v>IB#2MTR</v>
      </c>
      <c r="W369" s="220" t="str">
        <f t="shared" ca="1" si="92"/>
        <v/>
      </c>
      <c r="X369" s="220">
        <f t="shared" si="93"/>
        <v>11.4</v>
      </c>
      <c r="Y369" s="220">
        <f t="shared" si="82"/>
        <v>0</v>
      </c>
      <c r="AA369" s="220" t="str">
        <f t="shared" si="83"/>
        <v>鹿港</v>
      </c>
      <c r="AB369" s="220" t="s">
        <v>2237</v>
      </c>
      <c r="AC369" s="220" t="str">
        <f>LEFT(B369,3)</f>
        <v>龍山線</v>
      </c>
      <c r="BB369" s="514" t="s">
        <v>1374</v>
      </c>
      <c r="BC369" s="514">
        <v>2937</v>
      </c>
      <c r="BD369" s="514">
        <v>9</v>
      </c>
      <c r="BE369" s="514">
        <v>2946</v>
      </c>
      <c r="BG369" s="229" t="s">
        <v>8590</v>
      </c>
      <c r="BH369" s="230" t="s">
        <v>8600</v>
      </c>
      <c r="BI369" t="s">
        <v>2237</v>
      </c>
      <c r="BJ369" t="s">
        <v>2234</v>
      </c>
    </row>
    <row r="370" spans="1:62">
      <c r="A370" s="229" t="s">
        <v>7281</v>
      </c>
      <c r="B370" s="230" t="s">
        <v>7290</v>
      </c>
      <c r="C370" s="230" t="s">
        <v>7291</v>
      </c>
      <c r="D370" s="229" t="s">
        <v>804</v>
      </c>
      <c r="E370" s="229" t="s">
        <v>809</v>
      </c>
      <c r="F370" s="229" t="s">
        <v>5580</v>
      </c>
      <c r="G370" s="229" t="s">
        <v>826</v>
      </c>
      <c r="H370" s="229" t="s">
        <v>7056</v>
      </c>
      <c r="I370" s="229" t="s">
        <v>6258</v>
      </c>
      <c r="J370" s="231" t="s">
        <v>7140</v>
      </c>
      <c r="K370" s="231" t="s">
        <v>5986</v>
      </c>
      <c r="L370" s="220" t="str">
        <f t="shared" si="84"/>
        <v>IB24</v>
      </c>
      <c r="M370" s="220" t="str">
        <f t="shared" si="85"/>
        <v/>
      </c>
      <c r="N370" s="220" t="str">
        <f t="shared" si="86"/>
        <v/>
      </c>
      <c r="O370" s="220" t="str">
        <f t="shared" si="87"/>
        <v/>
      </c>
      <c r="P370" s="52" t="str">
        <f t="shared" si="88"/>
        <v>IB24</v>
      </c>
      <c r="Q370" s="231" t="str">
        <f t="shared" si="94"/>
        <v>119</v>
      </c>
      <c r="R370" s="224">
        <f t="shared" si="95"/>
        <v>105.66666666666667</v>
      </c>
      <c r="S370" s="52">
        <f t="shared" si="89"/>
        <v>92</v>
      </c>
      <c r="T370" s="221">
        <f t="shared" ca="1" si="90"/>
        <v>2.35</v>
      </c>
      <c r="U370" s="221" t="str">
        <f t="shared" si="91"/>
        <v/>
      </c>
      <c r="V370" s="220" t="str">
        <f t="array" ref="V370">INDEX(P:P,MAX(U$3:U370))</f>
        <v>IB#2MTR</v>
      </c>
      <c r="W370" s="220" t="str">
        <f t="shared" ca="1" si="92"/>
        <v/>
      </c>
      <c r="X370" s="220">
        <f t="shared" si="93"/>
        <v>11.4</v>
      </c>
      <c r="Y370" s="220">
        <f t="shared" si="82"/>
        <v>0</v>
      </c>
      <c r="AA370" s="220" t="str">
        <f t="shared" si="83"/>
        <v>鹿港</v>
      </c>
      <c r="AB370" s="220" t="s">
        <v>2238</v>
      </c>
      <c r="AC370" s="220" t="str">
        <f>LEFT(B370,3)</f>
        <v>鹿溪線</v>
      </c>
      <c r="BB370" s="514" t="s">
        <v>1391</v>
      </c>
      <c r="BC370" s="514">
        <v>4439</v>
      </c>
      <c r="BD370" s="514">
        <v>4</v>
      </c>
      <c r="BE370" s="514">
        <v>4443</v>
      </c>
      <c r="BG370" s="229" t="s">
        <v>8593</v>
      </c>
      <c r="BH370" s="230" t="s">
        <v>8601</v>
      </c>
      <c r="BI370" t="s">
        <v>2238</v>
      </c>
      <c r="BJ370" t="s">
        <v>2234</v>
      </c>
    </row>
    <row r="371" spans="1:62">
      <c r="A371" s="229" t="s">
        <v>7281</v>
      </c>
      <c r="B371" s="230" t="s">
        <v>7292</v>
      </c>
      <c r="C371" s="230" t="s">
        <v>7071</v>
      </c>
      <c r="D371" s="229" t="s">
        <v>5628</v>
      </c>
      <c r="E371" s="229" t="s">
        <v>944</v>
      </c>
      <c r="F371" s="229" t="s">
        <v>784</v>
      </c>
      <c r="G371" s="229" t="s">
        <v>7293</v>
      </c>
      <c r="H371" s="229" t="s">
        <v>7089</v>
      </c>
      <c r="I371" s="229" t="s">
        <v>944</v>
      </c>
      <c r="J371" s="231" t="s">
        <v>6501</v>
      </c>
      <c r="K371" s="231" t="s">
        <v>784</v>
      </c>
      <c r="L371" s="220" t="str">
        <f t="shared" si="84"/>
        <v>IB27</v>
      </c>
      <c r="M371" s="220" t="str">
        <f t="shared" si="85"/>
        <v/>
      </c>
      <c r="N371" s="220" t="str">
        <f t="shared" si="86"/>
        <v/>
      </c>
      <c r="O371" s="220" t="str">
        <f t="shared" si="87"/>
        <v/>
      </c>
      <c r="P371" s="52" t="str">
        <f t="shared" si="88"/>
        <v>IB27</v>
      </c>
      <c r="Q371" s="231" t="str">
        <f t="shared" si="94"/>
        <v>91</v>
      </c>
      <c r="R371" s="224">
        <f t="shared" si="95"/>
        <v>81.666666666666671</v>
      </c>
      <c r="S371" s="52">
        <f t="shared" si="89"/>
        <v>74</v>
      </c>
      <c r="T371" s="221">
        <f t="shared" ca="1" si="90"/>
        <v>1.8</v>
      </c>
      <c r="U371" s="221" t="str">
        <f t="shared" si="91"/>
        <v/>
      </c>
      <c r="V371" s="220" t="str">
        <f t="array" ref="V371">INDEX(P:P,MAX(U$3:U371))</f>
        <v>IB#2MTR</v>
      </c>
      <c r="W371" s="220" t="str">
        <f t="shared" ca="1" si="92"/>
        <v/>
      </c>
      <c r="X371" s="220">
        <f t="shared" si="93"/>
        <v>11.4</v>
      </c>
      <c r="Y371" s="220">
        <f t="shared" si="82"/>
        <v>0</v>
      </c>
      <c r="AA371" s="220" t="str">
        <f t="shared" si="83"/>
        <v>鹿港</v>
      </c>
      <c r="AB371" s="220" t="s">
        <v>2239</v>
      </c>
      <c r="AC371" s="220" t="str">
        <f>LEFT(B371,3)</f>
        <v>鹿東線</v>
      </c>
      <c r="BB371" s="514" t="s">
        <v>1418</v>
      </c>
      <c r="BC371" s="514">
        <v>3150</v>
      </c>
      <c r="BD371" s="514">
        <v>1</v>
      </c>
      <c r="BE371" s="514">
        <v>3151</v>
      </c>
      <c r="BG371" s="229" t="s">
        <v>8593</v>
      </c>
      <c r="BH371" s="230" t="s">
        <v>8602</v>
      </c>
      <c r="BI371" t="s">
        <v>2239</v>
      </c>
      <c r="BJ371" t="s">
        <v>2234</v>
      </c>
    </row>
    <row r="372" spans="1:62">
      <c r="A372" s="229" t="s">
        <v>44</v>
      </c>
      <c r="B372" s="230" t="s">
        <v>7294</v>
      </c>
      <c r="C372" s="230" t="s">
        <v>3155</v>
      </c>
      <c r="D372" s="229" t="s">
        <v>846</v>
      </c>
      <c r="E372" s="229" t="s">
        <v>4688</v>
      </c>
      <c r="F372" s="229" t="s">
        <v>5986</v>
      </c>
      <c r="G372" s="229" t="s">
        <v>3189</v>
      </c>
      <c r="H372" s="229" t="s">
        <v>846</v>
      </c>
      <c r="I372" s="229" t="s">
        <v>4688</v>
      </c>
      <c r="J372" s="231" t="s">
        <v>7078</v>
      </c>
      <c r="K372" s="231" t="s">
        <v>358</v>
      </c>
      <c r="L372" s="220" t="str">
        <f t="shared" si="84"/>
        <v>IB#3MTR</v>
      </c>
      <c r="M372" s="220" t="str">
        <f t="shared" si="85"/>
        <v/>
      </c>
      <c r="N372" s="220" t="str">
        <f t="shared" si="86"/>
        <v>IB#3MTR</v>
      </c>
      <c r="O372" s="220" t="str">
        <f t="shared" si="87"/>
        <v/>
      </c>
      <c r="P372" s="52" t="str">
        <f t="shared" si="88"/>
        <v>IB#3MTR</v>
      </c>
      <c r="Q372" s="231" t="str">
        <f t="shared" si="94"/>
        <v>450</v>
      </c>
      <c r="R372" s="224">
        <f t="shared" si="95"/>
        <v>442.33333333333331</v>
      </c>
      <c r="S372" s="52">
        <f t="shared" si="89"/>
        <v>437</v>
      </c>
      <c r="T372" s="221">
        <f t="shared" ca="1" si="90"/>
        <v>8.89</v>
      </c>
      <c r="U372" s="221">
        <f t="shared" si="91"/>
        <v>372</v>
      </c>
      <c r="V372" s="220" t="str">
        <f t="array" ref="V372">INDEX(P:P,MAX(U$3:U372))</f>
        <v>IB#3MTR</v>
      </c>
      <c r="W372" s="220">
        <f t="shared" ca="1" si="92"/>
        <v>25</v>
      </c>
      <c r="X372" s="220" t="str">
        <f t="shared" si="93"/>
        <v/>
      </c>
      <c r="Y372" s="220">
        <f t="shared" si="82"/>
        <v>0</v>
      </c>
      <c r="AA372" s="220" t="str">
        <f t="shared" si="83"/>
        <v>鹿港</v>
      </c>
      <c r="AB372" s="220" t="s">
        <v>2240</v>
      </c>
      <c r="AC372" s="220" t="s">
        <v>2240</v>
      </c>
      <c r="BB372" s="514" t="s">
        <v>1879</v>
      </c>
      <c r="BC372" s="514">
        <v>362</v>
      </c>
      <c r="BD372" s="514">
        <v>16</v>
      </c>
      <c r="BE372" s="514">
        <v>378</v>
      </c>
      <c r="BG372" s="229" t="s">
        <v>8590</v>
      </c>
      <c r="BH372" s="230" t="s">
        <v>8481</v>
      </c>
      <c r="BI372" t="s">
        <v>2240</v>
      </c>
      <c r="BJ372" t="s">
        <v>2240</v>
      </c>
    </row>
    <row r="373" spans="1:62">
      <c r="A373" s="229" t="s">
        <v>7281</v>
      </c>
      <c r="B373" s="230" t="s">
        <v>7295</v>
      </c>
      <c r="C373" s="230" t="s">
        <v>6165</v>
      </c>
      <c r="D373" s="229" t="s">
        <v>6548</v>
      </c>
      <c r="E373" s="229" t="s">
        <v>7296</v>
      </c>
      <c r="F373" s="229" t="s">
        <v>5733</v>
      </c>
      <c r="G373" s="229" t="s">
        <v>994</v>
      </c>
      <c r="H373" s="229" t="s">
        <v>6548</v>
      </c>
      <c r="I373" s="229" t="s">
        <v>925</v>
      </c>
      <c r="J373" s="231" t="s">
        <v>7297</v>
      </c>
      <c r="K373" s="231" t="s">
        <v>6166</v>
      </c>
      <c r="L373" s="220" t="str">
        <f t="shared" si="84"/>
        <v>IB34</v>
      </c>
      <c r="M373" s="220" t="str">
        <f t="shared" si="85"/>
        <v/>
      </c>
      <c r="N373" s="220" t="str">
        <f t="shared" si="86"/>
        <v/>
      </c>
      <c r="O373" s="220" t="str">
        <f t="shared" si="87"/>
        <v/>
      </c>
      <c r="P373" s="52" t="str">
        <f t="shared" si="88"/>
        <v>IB34</v>
      </c>
      <c r="Q373" s="231" t="str">
        <f t="shared" si="94"/>
        <v>17</v>
      </c>
      <c r="R373" s="224">
        <f t="shared" si="95"/>
        <v>15.666666666666666</v>
      </c>
      <c r="S373" s="52">
        <f t="shared" si="89"/>
        <v>15</v>
      </c>
      <c r="T373" s="221">
        <f t="shared" ca="1" si="90"/>
        <v>0.34</v>
      </c>
      <c r="U373" s="221" t="str">
        <f t="shared" si="91"/>
        <v/>
      </c>
      <c r="V373" s="220" t="str">
        <f t="array" ref="V373">INDEX(P:P,MAX(U$3:U373))</f>
        <v>IB#3MTR</v>
      </c>
      <c r="W373" s="220" t="str">
        <f t="shared" ca="1" si="92"/>
        <v/>
      </c>
      <c r="X373" s="220">
        <f t="shared" si="93"/>
        <v>11.4</v>
      </c>
      <c r="Y373" s="220">
        <f t="shared" si="82"/>
        <v>0</v>
      </c>
      <c r="AA373" s="220" t="str">
        <f t="shared" si="83"/>
        <v>鹿港</v>
      </c>
      <c r="AB373" s="220" t="s">
        <v>2241</v>
      </c>
      <c r="AC373" s="220" t="str">
        <f>LEFT(B373,3)</f>
        <v>永豐線</v>
      </c>
      <c r="BB373" s="514" t="s">
        <v>1446</v>
      </c>
      <c r="BC373" s="514">
        <v>1441</v>
      </c>
      <c r="BD373" s="514">
        <v>6</v>
      </c>
      <c r="BE373" s="514">
        <v>1447</v>
      </c>
      <c r="BG373" s="229" t="s">
        <v>8590</v>
      </c>
      <c r="BH373" s="230" t="s">
        <v>8603</v>
      </c>
      <c r="BI373" t="s">
        <v>2241</v>
      </c>
      <c r="BJ373" t="s">
        <v>2240</v>
      </c>
    </row>
    <row r="374" spans="1:62">
      <c r="A374" s="229" t="s">
        <v>7281</v>
      </c>
      <c r="B374" s="230" t="s">
        <v>7298</v>
      </c>
      <c r="C374" s="230" t="s">
        <v>6541</v>
      </c>
      <c r="D374" s="229" t="s">
        <v>5641</v>
      </c>
      <c r="E374" s="229" t="s">
        <v>7299</v>
      </c>
      <c r="F374" s="229" t="s">
        <v>6548</v>
      </c>
      <c r="G374" s="229" t="s">
        <v>7300</v>
      </c>
      <c r="H374" s="229" t="s">
        <v>6548</v>
      </c>
      <c r="I374" s="229" t="s">
        <v>7299</v>
      </c>
      <c r="J374" s="231" t="s">
        <v>7289</v>
      </c>
      <c r="K374" s="231" t="s">
        <v>7104</v>
      </c>
      <c r="L374" s="220" t="str">
        <f t="shared" si="84"/>
        <v>IB29</v>
      </c>
      <c r="M374" s="220" t="str">
        <f t="shared" si="85"/>
        <v/>
      </c>
      <c r="N374" s="220" t="str">
        <f t="shared" si="86"/>
        <v/>
      </c>
      <c r="O374" s="220" t="str">
        <f t="shared" si="87"/>
        <v/>
      </c>
      <c r="P374" s="52" t="str">
        <f t="shared" si="88"/>
        <v>IB29</v>
      </c>
      <c r="Q374" s="231" t="str">
        <f t="shared" si="94"/>
        <v>227</v>
      </c>
      <c r="R374" s="224">
        <f t="shared" si="95"/>
        <v>216</v>
      </c>
      <c r="S374" s="52">
        <f t="shared" si="89"/>
        <v>209</v>
      </c>
      <c r="T374" s="221">
        <f t="shared" ca="1" si="90"/>
        <v>4.4800000000000004</v>
      </c>
      <c r="U374" s="221" t="str">
        <f t="shared" si="91"/>
        <v/>
      </c>
      <c r="V374" s="220" t="str">
        <f t="array" ref="V374">INDEX(P:P,MAX(U$3:U374))</f>
        <v>IB#3MTR</v>
      </c>
      <c r="W374" s="220" t="str">
        <f t="shared" ca="1" si="92"/>
        <v/>
      </c>
      <c r="X374" s="220">
        <f t="shared" si="93"/>
        <v>11.4</v>
      </c>
      <c r="Y374" s="220">
        <f t="shared" si="82"/>
        <v>0</v>
      </c>
      <c r="AA374" s="220" t="str">
        <f t="shared" si="83"/>
        <v>鹿港</v>
      </c>
      <c r="AB374" s="220" t="s">
        <v>2242</v>
      </c>
      <c r="AC374" s="220" t="str">
        <f>LEFT(B374,3)</f>
        <v>鹿管線</v>
      </c>
      <c r="BB374" s="514" t="s">
        <v>1467</v>
      </c>
      <c r="BC374" s="514">
        <v>1341</v>
      </c>
      <c r="BD374" s="514">
        <v>4</v>
      </c>
      <c r="BE374" s="514">
        <v>1345</v>
      </c>
      <c r="BG374" s="229" t="s">
        <v>44</v>
      </c>
      <c r="BH374" s="230" t="s">
        <v>8604</v>
      </c>
      <c r="BI374" t="s">
        <v>2242</v>
      </c>
      <c r="BJ374" t="s">
        <v>2240</v>
      </c>
    </row>
    <row r="375" spans="1:62">
      <c r="A375" s="229" t="s">
        <v>44</v>
      </c>
      <c r="B375" s="230" t="s">
        <v>500</v>
      </c>
      <c r="C375" s="230" t="s">
        <v>7301</v>
      </c>
      <c r="D375" s="229" t="s">
        <v>7056</v>
      </c>
      <c r="E375" s="229" t="s">
        <v>957</v>
      </c>
      <c r="F375" s="229" t="s">
        <v>804</v>
      </c>
      <c r="G375" s="229" t="s">
        <v>926</v>
      </c>
      <c r="H375" s="229" t="s">
        <v>7302</v>
      </c>
      <c r="I375" s="229" t="s">
        <v>957</v>
      </c>
      <c r="J375" s="231" t="s">
        <v>799</v>
      </c>
      <c r="K375" s="231" t="s">
        <v>5791</v>
      </c>
      <c r="L375" s="220" t="str">
        <f t="shared" si="84"/>
        <v>IB32</v>
      </c>
      <c r="M375" s="220" t="str">
        <f t="shared" si="85"/>
        <v/>
      </c>
      <c r="N375" s="220" t="str">
        <f t="shared" si="86"/>
        <v/>
      </c>
      <c r="O375" s="220" t="str">
        <f t="shared" si="87"/>
        <v/>
      </c>
      <c r="P375" s="52" t="str">
        <f t="shared" si="88"/>
        <v>IB32</v>
      </c>
      <c r="Q375" s="231" t="str">
        <f t="shared" si="94"/>
        <v>93</v>
      </c>
      <c r="R375" s="224">
        <f t="shared" si="95"/>
        <v>76.666666666666671</v>
      </c>
      <c r="S375" s="52">
        <f t="shared" si="89"/>
        <v>63</v>
      </c>
      <c r="T375" s="221">
        <f t="shared" ca="1" si="90"/>
        <v>1.84</v>
      </c>
      <c r="U375" s="221" t="str">
        <f t="shared" si="91"/>
        <v/>
      </c>
      <c r="V375" s="220" t="str">
        <f t="array" ref="V375">INDEX(P:P,MAX(U$3:U375))</f>
        <v>IB#3MTR</v>
      </c>
      <c r="W375" s="220" t="str">
        <f t="shared" ca="1" si="92"/>
        <v/>
      </c>
      <c r="X375" s="220">
        <f t="shared" si="93"/>
        <v>11.4</v>
      </c>
      <c r="Y375" s="220">
        <f t="shared" si="82"/>
        <v>0</v>
      </c>
      <c r="AA375" s="220" t="str">
        <f t="shared" si="83"/>
        <v>鹿港</v>
      </c>
      <c r="AB375" s="220" t="s">
        <v>2243</v>
      </c>
      <c r="AC375" s="220" t="str">
        <f>LEFT(B375,3)</f>
        <v>鹿二線</v>
      </c>
      <c r="BB375" s="514" t="s">
        <v>1880</v>
      </c>
      <c r="BC375" s="514">
        <v>2216</v>
      </c>
      <c r="BD375" s="514">
        <v>3</v>
      </c>
      <c r="BE375" s="514">
        <v>2219</v>
      </c>
      <c r="BG375" s="229" t="s">
        <v>8590</v>
      </c>
      <c r="BH375" s="230" t="s">
        <v>8605</v>
      </c>
      <c r="BI375" t="s">
        <v>2243</v>
      </c>
      <c r="BJ375" t="s">
        <v>2240</v>
      </c>
    </row>
    <row r="376" spans="1:62">
      <c r="A376" s="229" t="s">
        <v>44</v>
      </c>
      <c r="B376" s="230" t="s">
        <v>501</v>
      </c>
      <c r="C376" s="230" t="s">
        <v>933</v>
      </c>
      <c r="D376" s="229" t="s">
        <v>845</v>
      </c>
      <c r="E376" s="229" t="s">
        <v>7303</v>
      </c>
      <c r="F376" s="229" t="s">
        <v>846</v>
      </c>
      <c r="G376" s="229" t="s">
        <v>869</v>
      </c>
      <c r="H376" s="229" t="s">
        <v>7304</v>
      </c>
      <c r="I376" s="229" t="s">
        <v>7305</v>
      </c>
      <c r="J376" s="231" t="s">
        <v>793</v>
      </c>
      <c r="K376" s="231" t="s">
        <v>845</v>
      </c>
      <c r="L376" s="220" t="str">
        <f t="shared" si="84"/>
        <v>IB26</v>
      </c>
      <c r="M376" s="220" t="str">
        <f t="shared" si="85"/>
        <v/>
      </c>
      <c r="N376" s="220" t="str">
        <f t="shared" si="86"/>
        <v/>
      </c>
      <c r="O376" s="220" t="str">
        <f t="shared" si="87"/>
        <v/>
      </c>
      <c r="P376" s="52" t="str">
        <f t="shared" si="88"/>
        <v>IB26</v>
      </c>
      <c r="Q376" s="231" t="str">
        <f t="shared" si="94"/>
        <v>133</v>
      </c>
      <c r="R376" s="224">
        <f t="shared" si="95"/>
        <v>127.33333333333333</v>
      </c>
      <c r="S376" s="52">
        <f t="shared" si="89"/>
        <v>124</v>
      </c>
      <c r="T376" s="221">
        <f t="shared" ca="1" si="90"/>
        <v>2.63</v>
      </c>
      <c r="U376" s="221" t="str">
        <f t="shared" si="91"/>
        <v/>
      </c>
      <c r="V376" s="220" t="str">
        <f t="array" ref="V376">INDEX(P:P,MAX(U$3:U376))</f>
        <v>IB#3MTR</v>
      </c>
      <c r="W376" s="220" t="str">
        <f t="shared" ca="1" si="92"/>
        <v/>
      </c>
      <c r="X376" s="220">
        <f t="shared" si="93"/>
        <v>11.4</v>
      </c>
      <c r="Y376" s="220">
        <f t="shared" si="82"/>
        <v>0</v>
      </c>
      <c r="AA376" s="220" t="str">
        <f t="shared" si="83"/>
        <v>鹿港</v>
      </c>
      <c r="AB376" s="220" t="s">
        <v>2244</v>
      </c>
      <c r="AC376" s="220" t="str">
        <f>LEFT(B376,3)</f>
        <v>頂厝線</v>
      </c>
      <c r="BB376" s="514" t="s">
        <v>1881</v>
      </c>
      <c r="BC376" s="514">
        <v>2210</v>
      </c>
      <c r="BD376" s="514" t="s">
        <v>85</v>
      </c>
      <c r="BE376" s="514">
        <v>2210</v>
      </c>
      <c r="BG376" s="229" t="s">
        <v>8593</v>
      </c>
      <c r="BH376" s="230" t="s">
        <v>8606</v>
      </c>
      <c r="BI376" t="s">
        <v>2244</v>
      </c>
      <c r="BJ376" t="s">
        <v>2240</v>
      </c>
    </row>
    <row r="377" spans="1:62">
      <c r="A377" s="229" t="s">
        <v>44</v>
      </c>
      <c r="B377" s="230" t="s">
        <v>502</v>
      </c>
      <c r="C377" s="230" t="s">
        <v>937</v>
      </c>
      <c r="D377" s="229" t="s">
        <v>797</v>
      </c>
      <c r="E377" s="229" t="s">
        <v>7306</v>
      </c>
      <c r="F377" s="229" t="s">
        <v>846</v>
      </c>
      <c r="G377" s="229" t="s">
        <v>7307</v>
      </c>
      <c r="H377" s="229" t="s">
        <v>7072</v>
      </c>
      <c r="I377" s="229" t="s">
        <v>937</v>
      </c>
      <c r="J377" s="231" t="s">
        <v>873</v>
      </c>
      <c r="K377" s="231" t="s">
        <v>797</v>
      </c>
      <c r="L377" s="220" t="str">
        <f t="shared" si="84"/>
        <v>IB23</v>
      </c>
      <c r="M377" s="220" t="str">
        <f t="shared" si="85"/>
        <v/>
      </c>
      <c r="N377" s="220" t="str">
        <f t="shared" si="86"/>
        <v/>
      </c>
      <c r="O377" s="220" t="str">
        <f t="shared" si="87"/>
        <v/>
      </c>
      <c r="P377" s="52" t="str">
        <f t="shared" si="88"/>
        <v>IB23</v>
      </c>
      <c r="Q377" s="231" t="str">
        <f t="shared" si="94"/>
        <v>54</v>
      </c>
      <c r="R377" s="224">
        <f t="shared" si="95"/>
        <v>43.333333333333336</v>
      </c>
      <c r="S377" s="52">
        <f t="shared" si="89"/>
        <v>23</v>
      </c>
      <c r="T377" s="221">
        <f t="shared" ca="1" si="90"/>
        <v>1.07</v>
      </c>
      <c r="U377" s="221" t="str">
        <f t="shared" si="91"/>
        <v/>
      </c>
      <c r="V377" s="220" t="str">
        <f t="array" ref="V377">INDEX(P:P,MAX(U$3:U377))</f>
        <v>IB#3MTR</v>
      </c>
      <c r="W377" s="220" t="str">
        <f t="shared" ca="1" si="92"/>
        <v/>
      </c>
      <c r="X377" s="220">
        <f t="shared" si="93"/>
        <v>11.4</v>
      </c>
      <c r="Y377" s="220">
        <f t="shared" si="82"/>
        <v>0</v>
      </c>
      <c r="AA377" s="220" t="str">
        <f t="shared" si="83"/>
        <v>鹿港</v>
      </c>
      <c r="AB377" s="220" t="s">
        <v>2245</v>
      </c>
      <c r="AC377" s="220" t="str">
        <f>LEFT(B377,3)</f>
        <v>鹿中線</v>
      </c>
      <c r="BB377" s="514" t="s">
        <v>1882</v>
      </c>
      <c r="BC377" s="514">
        <v>345</v>
      </c>
      <c r="BD377" s="514">
        <v>20</v>
      </c>
      <c r="BE377" s="514">
        <v>365</v>
      </c>
      <c r="BG377" s="229" t="s">
        <v>8590</v>
      </c>
      <c r="BH377" s="230" t="s">
        <v>8607</v>
      </c>
      <c r="BI377" t="s">
        <v>2245</v>
      </c>
      <c r="BJ377" t="s">
        <v>2240</v>
      </c>
    </row>
    <row r="378" spans="1:62">
      <c r="A378" s="229" t="s">
        <v>7308</v>
      </c>
      <c r="B378" s="230" t="s">
        <v>425</v>
      </c>
      <c r="C378" s="230" t="s">
        <v>5614</v>
      </c>
      <c r="D378" s="229" t="s">
        <v>784</v>
      </c>
      <c r="E378" s="229" t="s">
        <v>7087</v>
      </c>
      <c r="F378" s="229" t="s">
        <v>7269</v>
      </c>
      <c r="G378" s="229" t="s">
        <v>7087</v>
      </c>
      <c r="H378" s="229" t="s">
        <v>784</v>
      </c>
      <c r="I378" s="229" t="s">
        <v>5614</v>
      </c>
      <c r="J378" s="231" t="s">
        <v>358</v>
      </c>
      <c r="K378" s="231" t="s">
        <v>358</v>
      </c>
      <c r="L378" s="220" t="str">
        <f t="shared" si="84"/>
        <v>IC#1MTR</v>
      </c>
      <c r="M378" s="220" t="str">
        <f t="shared" si="85"/>
        <v/>
      </c>
      <c r="N378" s="220" t="str">
        <f t="shared" si="86"/>
        <v>IC#1MTR</v>
      </c>
      <c r="O378" s="220" t="str">
        <f t="shared" si="87"/>
        <v/>
      </c>
      <c r="P378" s="52" t="str">
        <f t="shared" si="88"/>
        <v>IC#1MTR</v>
      </c>
      <c r="Q378" s="231" t="str">
        <f t="shared" si="94"/>
        <v>0</v>
      </c>
      <c r="R378" s="224">
        <f t="shared" si="95"/>
        <v>0</v>
      </c>
      <c r="S378" s="52">
        <f t="shared" si="89"/>
        <v>0</v>
      </c>
      <c r="T378" s="221" t="e">
        <f t="shared" ca="1" si="90"/>
        <v>#VALUE!</v>
      </c>
      <c r="U378" s="221">
        <f t="shared" si="91"/>
        <v>378</v>
      </c>
      <c r="V378" s="220" t="str">
        <f t="array" ref="V378">INDEX(P:P,MAX(U$3:U378))</f>
        <v>IC#1MTR</v>
      </c>
      <c r="W378" s="220">
        <f t="shared" ca="1" si="92"/>
        <v>25</v>
      </c>
      <c r="X378" s="220" t="str">
        <f t="shared" si="93"/>
        <v/>
      </c>
      <c r="Y378" s="220">
        <f t="shared" si="82"/>
        <v>0</v>
      </c>
      <c r="AA378" s="220" t="str">
        <f t="shared" si="83"/>
        <v>員林</v>
      </c>
      <c r="AB378" s="220" t="s">
        <v>2246</v>
      </c>
      <c r="AC378" s="220" t="s">
        <v>2246</v>
      </c>
      <c r="BB378" s="514" t="s">
        <v>1883</v>
      </c>
      <c r="BC378" s="514">
        <v>998</v>
      </c>
      <c r="BD378" s="514" t="s">
        <v>85</v>
      </c>
      <c r="BE378" s="514">
        <v>998</v>
      </c>
      <c r="BG378" s="229" t="s">
        <v>8608</v>
      </c>
      <c r="BH378" s="230" t="s">
        <v>425</v>
      </c>
      <c r="BI378" t="s">
        <v>2246</v>
      </c>
      <c r="BJ378" t="s">
        <v>2246</v>
      </c>
    </row>
    <row r="379" spans="1:62">
      <c r="A379" s="229" t="s">
        <v>45</v>
      </c>
      <c r="B379" s="230" t="s">
        <v>430</v>
      </c>
      <c r="C379" s="230" t="s">
        <v>5614</v>
      </c>
      <c r="D379" s="229" t="s">
        <v>784</v>
      </c>
      <c r="E379" s="229" t="s">
        <v>5614</v>
      </c>
      <c r="F379" s="229" t="s">
        <v>784</v>
      </c>
      <c r="G379" s="229" t="s">
        <v>5614</v>
      </c>
      <c r="H379" s="229" t="s">
        <v>7309</v>
      </c>
      <c r="I379" s="229" t="s">
        <v>5614</v>
      </c>
      <c r="J379" s="231" t="s">
        <v>7078</v>
      </c>
      <c r="K379" s="231" t="s">
        <v>358</v>
      </c>
      <c r="L379" s="220" t="str">
        <f t="shared" si="84"/>
        <v>IC#3MTR</v>
      </c>
      <c r="M379" s="220" t="str">
        <f t="shared" si="85"/>
        <v/>
      </c>
      <c r="N379" s="220" t="str">
        <f t="shared" si="86"/>
        <v>IC#3MTR</v>
      </c>
      <c r="O379" s="220" t="str">
        <f t="shared" si="87"/>
        <v/>
      </c>
      <c r="P379" s="52" t="str">
        <f t="shared" si="88"/>
        <v>IC#3MTR</v>
      </c>
      <c r="Q379" s="231" t="str">
        <f t="shared" si="94"/>
        <v>0</v>
      </c>
      <c r="R379" s="224">
        <f t="shared" si="95"/>
        <v>0</v>
      </c>
      <c r="S379" s="52">
        <f t="shared" si="89"/>
        <v>0</v>
      </c>
      <c r="T379" s="221" t="e">
        <f t="shared" ca="1" si="90"/>
        <v>#VALUE!</v>
      </c>
      <c r="U379" s="221">
        <f t="shared" si="91"/>
        <v>379</v>
      </c>
      <c r="V379" s="220" t="str">
        <f t="array" ref="V379">INDEX(P:P,MAX(U$3:U379))</f>
        <v>IC#3MTR</v>
      </c>
      <c r="W379" s="220">
        <f t="shared" ca="1" si="92"/>
        <v>25</v>
      </c>
      <c r="X379" s="220" t="str">
        <f t="shared" si="93"/>
        <v/>
      </c>
      <c r="Y379" s="220">
        <f t="shared" si="82"/>
        <v>0</v>
      </c>
      <c r="AA379" s="220" t="str">
        <f t="shared" si="83"/>
        <v>員林</v>
      </c>
      <c r="AB379" s="220" t="s">
        <v>2247</v>
      </c>
      <c r="AC379" s="220" t="s">
        <v>2247</v>
      </c>
      <c r="BB379" s="514" t="s">
        <v>1884</v>
      </c>
      <c r="BC379" s="514">
        <v>343</v>
      </c>
      <c r="BD379" s="514">
        <v>5</v>
      </c>
      <c r="BE379" s="514">
        <v>348</v>
      </c>
      <c r="BG379" s="229" t="s">
        <v>8608</v>
      </c>
      <c r="BH379" s="230" t="s">
        <v>8538</v>
      </c>
      <c r="BI379" t="s">
        <v>2247</v>
      </c>
      <c r="BJ379" t="s">
        <v>2247</v>
      </c>
    </row>
    <row r="380" spans="1:62">
      <c r="A380" s="229" t="s">
        <v>7310</v>
      </c>
      <c r="B380" s="230" t="s">
        <v>7311</v>
      </c>
      <c r="C380" s="230" t="s">
        <v>7312</v>
      </c>
      <c r="D380" s="229" t="s">
        <v>5764</v>
      </c>
      <c r="E380" s="229" t="s">
        <v>7313</v>
      </c>
      <c r="F380" s="229" t="s">
        <v>5764</v>
      </c>
      <c r="G380" s="229" t="s">
        <v>7314</v>
      </c>
      <c r="H380" s="229" t="s">
        <v>7315</v>
      </c>
      <c r="I380" s="229" t="s">
        <v>7316</v>
      </c>
      <c r="J380" s="231" t="s">
        <v>5585</v>
      </c>
      <c r="K380" s="231" t="s">
        <v>7317</v>
      </c>
      <c r="L380" s="220" t="str">
        <f t="shared" si="84"/>
        <v>ID#1MTR</v>
      </c>
      <c r="M380" s="220" t="str">
        <f t="shared" si="85"/>
        <v/>
      </c>
      <c r="N380" s="220" t="str">
        <f t="shared" si="86"/>
        <v>ID#1MTR</v>
      </c>
      <c r="O380" s="220" t="str">
        <f t="shared" si="87"/>
        <v/>
      </c>
      <c r="P380" s="52" t="str">
        <f t="shared" si="88"/>
        <v>ID#1MTR</v>
      </c>
      <c r="Q380" s="231" t="str">
        <f t="shared" si="94"/>
        <v>761</v>
      </c>
      <c r="R380" s="224">
        <f t="shared" si="95"/>
        <v>714.33333333333337</v>
      </c>
      <c r="S380" s="52">
        <f t="shared" si="89"/>
        <v>672</v>
      </c>
      <c r="T380" s="221">
        <f t="shared" ca="1" si="90"/>
        <v>15.03</v>
      </c>
      <c r="U380" s="221">
        <f t="shared" si="91"/>
        <v>380</v>
      </c>
      <c r="V380" s="220" t="str">
        <f t="array" ref="V380">INDEX(P:P,MAX(U$3:U380))</f>
        <v>ID#1MTR</v>
      </c>
      <c r="W380" s="220">
        <f t="shared" ca="1" si="92"/>
        <v>25</v>
      </c>
      <c r="X380" s="220" t="str">
        <f t="shared" si="93"/>
        <v/>
      </c>
      <c r="Y380" s="220">
        <f t="shared" si="82"/>
        <v>0</v>
      </c>
      <c r="AA380" s="220" t="str">
        <f t="shared" si="83"/>
        <v>溪湖</v>
      </c>
      <c r="AB380" s="220" t="s">
        <v>2248</v>
      </c>
      <c r="AC380" s="220" t="s">
        <v>2248</v>
      </c>
      <c r="BB380" s="514" t="s">
        <v>1686</v>
      </c>
      <c r="BC380" s="514">
        <v>3055</v>
      </c>
      <c r="BD380" s="514">
        <v>16</v>
      </c>
      <c r="BE380" s="514">
        <v>3071</v>
      </c>
      <c r="BG380" s="229" t="s">
        <v>46</v>
      </c>
      <c r="BH380" s="230" t="s">
        <v>8591</v>
      </c>
      <c r="BI380" t="s">
        <v>2248</v>
      </c>
      <c r="BJ380" t="s">
        <v>2248</v>
      </c>
    </row>
    <row r="381" spans="1:62">
      <c r="A381" s="229" t="s">
        <v>46</v>
      </c>
      <c r="B381" s="230" t="s">
        <v>7318</v>
      </c>
      <c r="C381" s="230" t="s">
        <v>5989</v>
      </c>
      <c r="D381" s="229" t="s">
        <v>7319</v>
      </c>
      <c r="E381" s="229" t="s">
        <v>7320</v>
      </c>
      <c r="F381" s="229" t="s">
        <v>5764</v>
      </c>
      <c r="G381" s="229" t="s">
        <v>7321</v>
      </c>
      <c r="H381" s="229" t="s">
        <v>5764</v>
      </c>
      <c r="I381" s="229" t="s">
        <v>875</v>
      </c>
      <c r="J381" s="231" t="s">
        <v>7322</v>
      </c>
      <c r="K381" s="231" t="s">
        <v>7323</v>
      </c>
      <c r="L381" s="220" t="str">
        <f t="shared" si="84"/>
        <v>ID20</v>
      </c>
      <c r="M381" s="220" t="str">
        <f t="shared" si="85"/>
        <v/>
      </c>
      <c r="N381" s="220" t="str">
        <f t="shared" si="86"/>
        <v/>
      </c>
      <c r="O381" s="220" t="str">
        <f t="shared" si="87"/>
        <v/>
      </c>
      <c r="P381" s="52" t="str">
        <f t="shared" si="88"/>
        <v>ID20</v>
      </c>
      <c r="Q381" s="231" t="str">
        <f t="shared" si="94"/>
        <v>227</v>
      </c>
      <c r="R381" s="224">
        <f t="shared" si="95"/>
        <v>211.33333333333334</v>
      </c>
      <c r="S381" s="52">
        <f t="shared" si="89"/>
        <v>189</v>
      </c>
      <c r="T381" s="221">
        <f t="shared" ca="1" si="90"/>
        <v>4.4800000000000004</v>
      </c>
      <c r="U381" s="221" t="str">
        <f t="shared" si="91"/>
        <v/>
      </c>
      <c r="V381" s="220" t="str">
        <f t="array" ref="V381">INDEX(P:P,MAX(U$3:U381))</f>
        <v>ID#1MTR</v>
      </c>
      <c r="W381" s="220" t="str">
        <f t="shared" ca="1" si="92"/>
        <v/>
      </c>
      <c r="X381" s="220">
        <f t="shared" si="93"/>
        <v>11.4</v>
      </c>
      <c r="Y381" s="220">
        <f t="shared" si="82"/>
        <v>0</v>
      </c>
      <c r="AA381" s="220" t="str">
        <f t="shared" si="83"/>
        <v>溪湖</v>
      </c>
      <c r="AB381" s="220" t="s">
        <v>2249</v>
      </c>
      <c r="AC381" s="220" t="str">
        <f>LEFT(B381,3)</f>
        <v>西寮線</v>
      </c>
      <c r="BB381" s="514" t="s">
        <v>1695</v>
      </c>
      <c r="BC381" s="514">
        <v>92</v>
      </c>
      <c r="BD381" s="514">
        <v>4</v>
      </c>
      <c r="BE381" s="514">
        <v>96</v>
      </c>
      <c r="BG381" s="229" t="s">
        <v>46</v>
      </c>
      <c r="BH381" s="230" t="s">
        <v>8609</v>
      </c>
      <c r="BI381" t="s">
        <v>2249</v>
      </c>
      <c r="BJ381" t="s">
        <v>2248</v>
      </c>
    </row>
    <row r="382" spans="1:62">
      <c r="A382" s="229" t="s">
        <v>46</v>
      </c>
      <c r="B382" s="230" t="s">
        <v>7324</v>
      </c>
      <c r="C382" s="230" t="s">
        <v>994</v>
      </c>
      <c r="D382" s="229" t="s">
        <v>6190</v>
      </c>
      <c r="E382" s="229" t="s">
        <v>852</v>
      </c>
      <c r="F382" s="229" t="s">
        <v>7325</v>
      </c>
      <c r="G382" s="229" t="s">
        <v>993</v>
      </c>
      <c r="H382" s="229" t="s">
        <v>6190</v>
      </c>
      <c r="I382" s="229" t="s">
        <v>993</v>
      </c>
      <c r="J382" s="231" t="s">
        <v>849</v>
      </c>
      <c r="K382" s="231" t="s">
        <v>7325</v>
      </c>
      <c r="L382" s="220" t="str">
        <f t="shared" si="84"/>
        <v>ID23</v>
      </c>
      <c r="M382" s="220" t="str">
        <f t="shared" si="85"/>
        <v/>
      </c>
      <c r="N382" s="220" t="str">
        <f t="shared" si="86"/>
        <v/>
      </c>
      <c r="O382" s="220" t="str">
        <f t="shared" si="87"/>
        <v/>
      </c>
      <c r="P382" s="52" t="str">
        <f t="shared" si="88"/>
        <v>ID23</v>
      </c>
      <c r="Q382" s="231" t="str">
        <f t="shared" si="94"/>
        <v>22</v>
      </c>
      <c r="R382" s="224">
        <f t="shared" si="95"/>
        <v>16.666666666666668</v>
      </c>
      <c r="S382" s="52">
        <f t="shared" si="89"/>
        <v>13</v>
      </c>
      <c r="T382" s="221">
        <f t="shared" ca="1" si="90"/>
        <v>0.43</v>
      </c>
      <c r="U382" s="221" t="str">
        <f t="shared" si="91"/>
        <v/>
      </c>
      <c r="V382" s="220" t="str">
        <f t="array" ref="V382">INDEX(P:P,MAX(U$3:U382))</f>
        <v>ID#1MTR</v>
      </c>
      <c r="W382" s="220" t="str">
        <f t="shared" ca="1" si="92"/>
        <v/>
      </c>
      <c r="X382" s="220">
        <f t="shared" si="93"/>
        <v>11.4</v>
      </c>
      <c r="Y382" s="220">
        <f t="shared" si="82"/>
        <v>0</v>
      </c>
      <c r="AA382" s="220" t="str">
        <f t="shared" si="83"/>
        <v>溪湖</v>
      </c>
      <c r="AB382" s="220" t="s">
        <v>2250</v>
      </c>
      <c r="AC382" s="220" t="str">
        <f>LEFT(B382,3)</f>
        <v>湖南線</v>
      </c>
      <c r="BB382" s="514" t="s">
        <v>2322</v>
      </c>
      <c r="BC382" s="514">
        <v>923</v>
      </c>
      <c r="BD382" s="514">
        <v>1</v>
      </c>
      <c r="BE382" s="514">
        <v>924</v>
      </c>
      <c r="BG382" s="229" t="s">
        <v>8610</v>
      </c>
      <c r="BH382" s="230" t="s">
        <v>8611</v>
      </c>
      <c r="BI382" t="s">
        <v>2250</v>
      </c>
      <c r="BJ382" t="s">
        <v>2248</v>
      </c>
    </row>
    <row r="383" spans="1:62">
      <c r="A383" s="229" t="s">
        <v>5712</v>
      </c>
      <c r="B383" s="230" t="s">
        <v>503</v>
      </c>
      <c r="C383" s="230" t="s">
        <v>838</v>
      </c>
      <c r="D383" s="229" t="s">
        <v>5986</v>
      </c>
      <c r="E383" s="229" t="s">
        <v>7326</v>
      </c>
      <c r="F383" s="229" t="s">
        <v>797</v>
      </c>
      <c r="G383" s="229" t="s">
        <v>7327</v>
      </c>
      <c r="H383" s="229" t="s">
        <v>5986</v>
      </c>
      <c r="I383" s="229" t="s">
        <v>7328</v>
      </c>
      <c r="J383" s="231" t="s">
        <v>932</v>
      </c>
      <c r="K383" s="231" t="s">
        <v>6095</v>
      </c>
      <c r="L383" s="220" t="str">
        <f t="shared" si="84"/>
        <v>ID28</v>
      </c>
      <c r="M383" s="220" t="str">
        <f t="shared" si="85"/>
        <v/>
      </c>
      <c r="N383" s="220" t="str">
        <f t="shared" si="86"/>
        <v/>
      </c>
      <c r="O383" s="220" t="str">
        <f t="shared" si="87"/>
        <v/>
      </c>
      <c r="P383" s="52" t="str">
        <f t="shared" si="88"/>
        <v>ID28</v>
      </c>
      <c r="Q383" s="231" t="str">
        <f t="shared" si="94"/>
        <v>126</v>
      </c>
      <c r="R383" s="224">
        <f t="shared" si="95"/>
        <v>118.66666666666667</v>
      </c>
      <c r="S383" s="52">
        <f t="shared" si="89"/>
        <v>108</v>
      </c>
      <c r="T383" s="221">
        <f t="shared" ca="1" si="90"/>
        <v>2.4900000000000002</v>
      </c>
      <c r="U383" s="221" t="str">
        <f t="shared" si="91"/>
        <v/>
      </c>
      <c r="V383" s="220" t="str">
        <f t="array" ref="V383">INDEX(P:P,MAX(U$3:U383))</f>
        <v>ID#1MTR</v>
      </c>
      <c r="W383" s="220" t="str">
        <f t="shared" ca="1" si="92"/>
        <v/>
      </c>
      <c r="X383" s="220">
        <f t="shared" si="93"/>
        <v>11.4</v>
      </c>
      <c r="Y383" s="220">
        <f t="shared" si="82"/>
        <v>0</v>
      </c>
      <c r="AA383" s="220" t="str">
        <f t="shared" si="83"/>
        <v>溪湖</v>
      </c>
      <c r="AB383" s="220" t="s">
        <v>2251</v>
      </c>
      <c r="AC383" s="220" t="str">
        <f>LEFT(B383,3)</f>
        <v>溪湖線</v>
      </c>
      <c r="BB383" s="514" t="s">
        <v>2307</v>
      </c>
      <c r="BC383" s="514">
        <v>587</v>
      </c>
      <c r="BD383" s="514">
        <v>1</v>
      </c>
      <c r="BE383" s="514">
        <v>588</v>
      </c>
      <c r="BG383" s="229" t="s">
        <v>8612</v>
      </c>
      <c r="BH383" s="230" t="s">
        <v>8613</v>
      </c>
      <c r="BI383" t="s">
        <v>2251</v>
      </c>
      <c r="BJ383" t="s">
        <v>2248</v>
      </c>
    </row>
    <row r="384" spans="1:62">
      <c r="A384" s="229" t="s">
        <v>7310</v>
      </c>
      <c r="B384" s="230" t="s">
        <v>504</v>
      </c>
      <c r="C384" s="230" t="s">
        <v>7329</v>
      </c>
      <c r="D384" s="229" t="s">
        <v>5733</v>
      </c>
      <c r="E384" s="229" t="s">
        <v>6174</v>
      </c>
      <c r="F384" s="229" t="s">
        <v>7286</v>
      </c>
      <c r="G384" s="229" t="s">
        <v>7330</v>
      </c>
      <c r="H384" s="229" t="s">
        <v>832</v>
      </c>
      <c r="I384" s="229" t="s">
        <v>7331</v>
      </c>
      <c r="J384" s="231" t="s">
        <v>7332</v>
      </c>
      <c r="K384" s="231" t="s">
        <v>7104</v>
      </c>
      <c r="L384" s="220" t="str">
        <f t="shared" si="84"/>
        <v>ID26</v>
      </c>
      <c r="M384" s="220" t="str">
        <f t="shared" si="85"/>
        <v/>
      </c>
      <c r="N384" s="220" t="str">
        <f t="shared" si="86"/>
        <v/>
      </c>
      <c r="O384" s="220" t="str">
        <f t="shared" si="87"/>
        <v/>
      </c>
      <c r="P384" s="52" t="str">
        <f t="shared" si="88"/>
        <v>ID26</v>
      </c>
      <c r="Q384" s="231" t="str">
        <f t="shared" si="94"/>
        <v>222</v>
      </c>
      <c r="R384" s="224">
        <f t="shared" si="95"/>
        <v>196.66666666666666</v>
      </c>
      <c r="S384" s="52">
        <f t="shared" si="89"/>
        <v>162</v>
      </c>
      <c r="T384" s="221">
        <f t="shared" ca="1" si="90"/>
        <v>4.38</v>
      </c>
      <c r="U384" s="221" t="str">
        <f t="shared" si="91"/>
        <v/>
      </c>
      <c r="V384" s="220" t="str">
        <f t="array" ref="V384">INDEX(P:P,MAX(U$3:U384))</f>
        <v>ID#1MTR</v>
      </c>
      <c r="W384" s="220" t="str">
        <f t="shared" ca="1" si="92"/>
        <v/>
      </c>
      <c r="X384" s="220">
        <f t="shared" si="93"/>
        <v>11.4</v>
      </c>
      <c r="Y384" s="220">
        <f t="shared" si="82"/>
        <v>0</v>
      </c>
      <c r="AA384" s="220" t="str">
        <f t="shared" si="83"/>
        <v>溪湖</v>
      </c>
      <c r="AB384" s="220" t="s">
        <v>2252</v>
      </c>
      <c r="AC384" s="220" t="str">
        <f>LEFT(B384,3)</f>
        <v>湳底線</v>
      </c>
      <c r="BB384" s="514" t="s">
        <v>2320</v>
      </c>
      <c r="BC384" s="514">
        <v>1271</v>
      </c>
      <c r="BD384" s="514">
        <v>7</v>
      </c>
      <c r="BE384" s="514">
        <v>1278</v>
      </c>
      <c r="BG384" s="229" t="s">
        <v>8610</v>
      </c>
      <c r="BH384" s="230" t="s">
        <v>8614</v>
      </c>
      <c r="BI384" t="s">
        <v>2252</v>
      </c>
      <c r="BJ384" t="s">
        <v>2248</v>
      </c>
    </row>
    <row r="385" spans="1:62">
      <c r="A385" s="229" t="s">
        <v>7333</v>
      </c>
      <c r="B385" s="230" t="s">
        <v>7334</v>
      </c>
      <c r="C385" s="230" t="s">
        <v>1035</v>
      </c>
      <c r="D385" s="229" t="s">
        <v>5986</v>
      </c>
      <c r="E385" s="229" t="s">
        <v>6617</v>
      </c>
      <c r="F385" s="229" t="s">
        <v>5986</v>
      </c>
      <c r="G385" s="229" t="s">
        <v>1047</v>
      </c>
      <c r="H385" s="229" t="s">
        <v>6179</v>
      </c>
      <c r="I385" s="229" t="s">
        <v>1035</v>
      </c>
      <c r="J385" s="231" t="s">
        <v>825</v>
      </c>
      <c r="K385" s="231" t="s">
        <v>839</v>
      </c>
      <c r="L385" s="220" t="str">
        <f t="shared" si="84"/>
        <v>ID31</v>
      </c>
      <c r="M385" s="220" t="str">
        <f t="shared" si="85"/>
        <v/>
      </c>
      <c r="N385" s="220" t="str">
        <f t="shared" si="86"/>
        <v/>
      </c>
      <c r="O385" s="220" t="str">
        <f t="shared" si="87"/>
        <v/>
      </c>
      <c r="P385" s="52" t="str">
        <f t="shared" si="88"/>
        <v>ID31</v>
      </c>
      <c r="Q385" s="231" t="str">
        <f t="shared" si="94"/>
        <v>284</v>
      </c>
      <c r="R385" s="224">
        <f t="shared" si="95"/>
        <v>263</v>
      </c>
      <c r="S385" s="52">
        <f t="shared" si="89"/>
        <v>244</v>
      </c>
      <c r="T385" s="221">
        <f t="shared" ca="1" si="90"/>
        <v>5.61</v>
      </c>
      <c r="U385" s="221" t="str">
        <f t="shared" si="91"/>
        <v/>
      </c>
      <c r="V385" s="220" t="str">
        <f t="array" ref="V385">INDEX(P:P,MAX(U$3:U385))</f>
        <v>ID#1MTR</v>
      </c>
      <c r="W385" s="220" t="str">
        <f t="shared" ca="1" si="92"/>
        <v/>
      </c>
      <c r="X385" s="220">
        <f t="shared" si="93"/>
        <v>11.4</v>
      </c>
      <c r="Y385" s="220">
        <f t="shared" si="82"/>
        <v>0</v>
      </c>
      <c r="AA385" s="220" t="str">
        <f t="shared" si="83"/>
        <v>溪湖</v>
      </c>
      <c r="AB385" s="220" t="s">
        <v>2253</v>
      </c>
      <c r="AC385" s="220" t="str">
        <f>LEFT(B385,3)</f>
        <v>湖北線</v>
      </c>
      <c r="BB385" s="514" t="s">
        <v>2319</v>
      </c>
      <c r="BC385" s="514">
        <v>3309</v>
      </c>
      <c r="BD385" s="514" t="s">
        <v>85</v>
      </c>
      <c r="BE385" s="514">
        <v>3309</v>
      </c>
      <c r="BG385" s="229" t="s">
        <v>8612</v>
      </c>
      <c r="BH385" s="230" t="s">
        <v>8615</v>
      </c>
      <c r="BI385" t="s">
        <v>2253</v>
      </c>
      <c r="BJ385" t="s">
        <v>2248</v>
      </c>
    </row>
    <row r="386" spans="1:62">
      <c r="A386" s="229" t="s">
        <v>46</v>
      </c>
      <c r="B386" s="230" t="s">
        <v>7335</v>
      </c>
      <c r="C386" s="230" t="s">
        <v>3146</v>
      </c>
      <c r="D386" s="229" t="s">
        <v>797</v>
      </c>
      <c r="E386" s="229" t="s">
        <v>4689</v>
      </c>
      <c r="F386" s="229" t="s">
        <v>7319</v>
      </c>
      <c r="G386" s="229" t="s">
        <v>7336</v>
      </c>
      <c r="H386" s="229" t="s">
        <v>797</v>
      </c>
      <c r="I386" s="229" t="s">
        <v>3146</v>
      </c>
      <c r="J386" s="231" t="s">
        <v>5585</v>
      </c>
      <c r="K386" s="231" t="s">
        <v>358</v>
      </c>
      <c r="L386" s="220" t="str">
        <f t="shared" si="84"/>
        <v>ID#2MTR</v>
      </c>
      <c r="M386" s="220" t="str">
        <f t="shared" si="85"/>
        <v/>
      </c>
      <c r="N386" s="220" t="str">
        <f t="shared" si="86"/>
        <v>ID#2MTR</v>
      </c>
      <c r="O386" s="220" t="str">
        <f t="shared" si="87"/>
        <v/>
      </c>
      <c r="P386" s="52" t="str">
        <f t="shared" si="88"/>
        <v>ID#2MTR</v>
      </c>
      <c r="Q386" s="231" t="str">
        <f t="shared" si="94"/>
        <v>797</v>
      </c>
      <c r="R386" s="224">
        <f t="shared" si="95"/>
        <v>789.33333333333337</v>
      </c>
      <c r="S386" s="52">
        <f t="shared" si="89"/>
        <v>782</v>
      </c>
      <c r="T386" s="221">
        <f t="shared" ca="1" si="90"/>
        <v>15.74</v>
      </c>
      <c r="U386" s="221">
        <f t="shared" si="91"/>
        <v>386</v>
      </c>
      <c r="V386" s="220" t="str">
        <f t="array" ref="V386">INDEX(P:P,MAX(U$3:U386))</f>
        <v>ID#2MTR</v>
      </c>
      <c r="W386" s="220">
        <f t="shared" ca="1" si="92"/>
        <v>25</v>
      </c>
      <c r="X386" s="220" t="str">
        <f t="shared" si="93"/>
        <v/>
      </c>
      <c r="Y386" s="220">
        <f t="shared" si="82"/>
        <v>0</v>
      </c>
      <c r="AA386" s="220" t="str">
        <f t="shared" si="83"/>
        <v>溪湖</v>
      </c>
      <c r="AB386" s="220" t="s">
        <v>2254</v>
      </c>
      <c r="AC386" s="220" t="s">
        <v>2254</v>
      </c>
      <c r="BB386" s="514" t="s">
        <v>2309</v>
      </c>
      <c r="BC386" s="514">
        <v>491</v>
      </c>
      <c r="BD386" s="514">
        <v>1</v>
      </c>
      <c r="BE386" s="514">
        <v>492</v>
      </c>
      <c r="BG386" s="229" t="s">
        <v>8612</v>
      </c>
      <c r="BH386" s="230" t="s">
        <v>8477</v>
      </c>
      <c r="BI386" t="s">
        <v>2254</v>
      </c>
      <c r="BJ386" t="s">
        <v>2254</v>
      </c>
    </row>
    <row r="387" spans="1:62">
      <c r="A387" s="229" t="s">
        <v>46</v>
      </c>
      <c r="B387" s="230" t="s">
        <v>7337</v>
      </c>
      <c r="C387" s="230" t="s">
        <v>7338</v>
      </c>
      <c r="D387" s="229" t="s">
        <v>797</v>
      </c>
      <c r="E387" s="229" t="s">
        <v>807</v>
      </c>
      <c r="F387" s="229" t="s">
        <v>5764</v>
      </c>
      <c r="G387" s="229" t="s">
        <v>6493</v>
      </c>
      <c r="H387" s="229" t="s">
        <v>5764</v>
      </c>
      <c r="I387" s="229" t="s">
        <v>6493</v>
      </c>
      <c r="J387" s="231" t="s">
        <v>7339</v>
      </c>
      <c r="K387" s="231" t="s">
        <v>6548</v>
      </c>
      <c r="L387" s="220" t="str">
        <f t="shared" si="84"/>
        <v>ID30</v>
      </c>
      <c r="M387" s="220" t="str">
        <f t="shared" si="85"/>
        <v/>
      </c>
      <c r="N387" s="220" t="str">
        <f t="shared" si="86"/>
        <v/>
      </c>
      <c r="O387" s="220" t="str">
        <f t="shared" si="87"/>
        <v/>
      </c>
      <c r="P387" s="52" t="str">
        <f t="shared" si="88"/>
        <v>ID30</v>
      </c>
      <c r="Q387" s="231" t="str">
        <f t="shared" si="94"/>
        <v>104</v>
      </c>
      <c r="R387" s="224">
        <f t="shared" si="95"/>
        <v>103</v>
      </c>
      <c r="S387" s="52">
        <f t="shared" si="89"/>
        <v>101</v>
      </c>
      <c r="T387" s="221">
        <f t="shared" ca="1" si="90"/>
        <v>2.0499999999999998</v>
      </c>
      <c r="U387" s="221" t="str">
        <f t="shared" si="91"/>
        <v/>
      </c>
      <c r="V387" s="220" t="str">
        <f t="array" ref="V387">INDEX(P:P,MAX(U$3:U387))</f>
        <v>ID#2MTR</v>
      </c>
      <c r="W387" s="220" t="str">
        <f t="shared" ca="1" si="92"/>
        <v/>
      </c>
      <c r="X387" s="220">
        <f t="shared" si="93"/>
        <v>11.4</v>
      </c>
      <c r="Y387" s="220">
        <f t="shared" ref="Y387:Y450" si="96">SUMIF(L:L,L387,I:I)</f>
        <v>0</v>
      </c>
      <c r="AA387" s="220" t="str">
        <f t="shared" ref="AA387:AA450" si="97">LEFT(A387,2)</f>
        <v>溪湖</v>
      </c>
      <c r="AB387" s="220" t="s">
        <v>2255</v>
      </c>
      <c r="AC387" s="220" t="str">
        <f>LEFT(B387,3)</f>
        <v>湖中線</v>
      </c>
      <c r="BB387" s="514" t="s">
        <v>2308</v>
      </c>
      <c r="BC387" s="514">
        <v>1649</v>
      </c>
      <c r="BD387" s="514">
        <v>1</v>
      </c>
      <c r="BE387" s="514">
        <v>1650</v>
      </c>
      <c r="BG387" s="229" t="s">
        <v>8610</v>
      </c>
      <c r="BH387" s="230" t="s">
        <v>8616</v>
      </c>
      <c r="BI387" t="s">
        <v>2255</v>
      </c>
      <c r="BJ387" t="s">
        <v>2254</v>
      </c>
    </row>
    <row r="388" spans="1:62">
      <c r="A388" s="229" t="s">
        <v>7310</v>
      </c>
      <c r="B388" s="230" t="s">
        <v>7340</v>
      </c>
      <c r="C388" s="230" t="s">
        <v>7299</v>
      </c>
      <c r="D388" s="229" t="s">
        <v>7341</v>
      </c>
      <c r="E388" s="229" t="s">
        <v>7342</v>
      </c>
      <c r="F388" s="229" t="s">
        <v>7141</v>
      </c>
      <c r="G388" s="229" t="s">
        <v>7343</v>
      </c>
      <c r="H388" s="229" t="s">
        <v>7286</v>
      </c>
      <c r="I388" s="229" t="s">
        <v>7344</v>
      </c>
      <c r="J388" s="231" t="s">
        <v>7345</v>
      </c>
      <c r="K388" s="231" t="s">
        <v>7346</v>
      </c>
      <c r="L388" s="220" t="str">
        <f t="shared" ref="L388:L451" si="98">IF(LEFT(B388,1)="#",IF(LEN(B388)=5,RIGHT(A388,2)&amp;B388,N388&amp;M388),MID(B388,FIND("(",B388)+1,4))</f>
        <v>ID24</v>
      </c>
      <c r="M388" s="220" t="str">
        <f t="shared" ref="M388:M451" si="99">IF(LEFT(B388,1)="#",IF(LEN(B388)&lt;&gt;5,"("&amp;MID(B388,3,1)&amp;")",""),"")</f>
        <v/>
      </c>
      <c r="N388" s="220" t="str">
        <f t="shared" ref="N388:N451" si="100">IF(LEFT(B388,1)="#",IF(LEN(B388)=5,RIGHT(A388,2)&amp;B388,RIGHT(A388,2)&amp;LEFT(B388,2)&amp;"DTR"),"")</f>
        <v/>
      </c>
      <c r="O388" s="220" t="str">
        <f t="shared" ref="O388:O451" si="101">IF(LEFT(B388,1)="#",IF(LEN(B388)&lt;&gt;5,IF(LEN(B388)&lt;&gt;7,"("&amp;MID(B388,3,1)&amp;")","("&amp;MID(B388,3,2)&amp;")"),""),"")</f>
        <v/>
      </c>
      <c r="P388" s="52" t="str">
        <f t="shared" ref="P388:P451" si="102">IF(LEFT(B388,1)="#",IF(LEN(B388)=5,RIGHT(A388,2)&amp;B388,N388&amp;M388),MID(B388,FIND("(",B388)+1,4))</f>
        <v>ID24</v>
      </c>
      <c r="Q388" s="231" t="str">
        <f t="shared" si="94"/>
        <v>227</v>
      </c>
      <c r="R388" s="224">
        <f t="shared" si="95"/>
        <v>222.33333333333334</v>
      </c>
      <c r="S388" s="52">
        <f t="shared" ref="S388:S451" si="103">MIN(C388*1,E388*1,G388*1)</f>
        <v>216</v>
      </c>
      <c r="T388" s="221">
        <f t="shared" ref="T388:T451" ca="1" si="104">IF(LEFT(B388,1)="#",ROUND(OFFSET(X388,1,0,1,1)*Q388*SQRT(3)/1000,2),ROUND(Q388*X388*SQRT(3)/1000,2))</f>
        <v>4.4800000000000004</v>
      </c>
      <c r="U388" s="221" t="str">
        <f t="shared" ref="U388:U451" si="105">IF(ISNUMBER(FIND("#",B388)),ROW(),"")</f>
        <v/>
      </c>
      <c r="V388" s="220" t="str">
        <f t="array" ref="V388">INDEX(P:P,MAX(U$3:U388))</f>
        <v>ID#2MTR</v>
      </c>
      <c r="W388" s="220" t="str">
        <f t="shared" ref="W388:W451" ca="1" si="106">IF(LEFT(B388,1)="#",IF(ISNUMBER(FIND("DTR",B388)),IF(MID(OFFSET(P388,1,0,1,1),3,1)*1&lt;5,30,60),25),"")</f>
        <v/>
      </c>
      <c r="X388" s="220">
        <f t="shared" ref="X388:X451" si="107">IF(LEFT(B388,1)="#","",IF(MID(P388,3,1)*1&lt;5,11.4,22.8))</f>
        <v>11.4</v>
      </c>
      <c r="Y388" s="220">
        <f t="shared" si="96"/>
        <v>0</v>
      </c>
      <c r="AA388" s="220" t="str">
        <f t="shared" si="97"/>
        <v>溪湖</v>
      </c>
      <c r="AB388" s="220" t="s">
        <v>2256</v>
      </c>
      <c r="AC388" s="220" t="str">
        <f>LEFT(B388,3)</f>
        <v>溪東線</v>
      </c>
      <c r="BB388" s="514" t="s">
        <v>2321</v>
      </c>
      <c r="BC388" s="514">
        <v>1896</v>
      </c>
      <c r="BD388" s="514">
        <v>4</v>
      </c>
      <c r="BE388" s="514">
        <v>1900</v>
      </c>
      <c r="BG388" s="229" t="s">
        <v>8612</v>
      </c>
      <c r="BH388" s="230" t="s">
        <v>8617</v>
      </c>
      <c r="BI388" t="s">
        <v>2256</v>
      </c>
      <c r="BJ388" t="s">
        <v>2254</v>
      </c>
    </row>
    <row r="389" spans="1:62">
      <c r="A389" s="229" t="s">
        <v>46</v>
      </c>
      <c r="B389" s="230" t="s">
        <v>505</v>
      </c>
      <c r="C389" s="230" t="s">
        <v>823</v>
      </c>
      <c r="D389" s="229" t="s">
        <v>797</v>
      </c>
      <c r="E389" s="229" t="s">
        <v>824</v>
      </c>
      <c r="F389" s="229" t="s">
        <v>797</v>
      </c>
      <c r="G389" s="229" t="s">
        <v>982</v>
      </c>
      <c r="H389" s="229" t="s">
        <v>797</v>
      </c>
      <c r="I389" s="229" t="s">
        <v>982</v>
      </c>
      <c r="J389" s="231" t="s">
        <v>795</v>
      </c>
      <c r="K389" s="231" t="s">
        <v>5791</v>
      </c>
      <c r="L389" s="220" t="str">
        <f t="shared" si="98"/>
        <v>ID21</v>
      </c>
      <c r="M389" s="220" t="str">
        <f t="shared" si="99"/>
        <v/>
      </c>
      <c r="N389" s="220" t="str">
        <f t="shared" si="100"/>
        <v/>
      </c>
      <c r="O389" s="220" t="str">
        <f t="shared" si="101"/>
        <v/>
      </c>
      <c r="P389" s="52" t="str">
        <f t="shared" si="102"/>
        <v>ID21</v>
      </c>
      <c r="Q389" s="231" t="str">
        <f t="shared" si="94"/>
        <v>262</v>
      </c>
      <c r="R389" s="224">
        <f t="shared" si="95"/>
        <v>248.33333333333334</v>
      </c>
      <c r="S389" s="52">
        <f t="shared" si="103"/>
        <v>241</v>
      </c>
      <c r="T389" s="221">
        <f t="shared" ca="1" si="104"/>
        <v>5.17</v>
      </c>
      <c r="U389" s="221" t="str">
        <f t="shared" si="105"/>
        <v/>
      </c>
      <c r="V389" s="220" t="str">
        <f t="array" ref="V389">INDEX(P:P,MAX(U$3:U389))</f>
        <v>ID#2MTR</v>
      </c>
      <c r="W389" s="220" t="str">
        <f t="shared" ca="1" si="106"/>
        <v/>
      </c>
      <c r="X389" s="220">
        <f t="shared" si="107"/>
        <v>11.4</v>
      </c>
      <c r="Y389" s="220">
        <f t="shared" si="96"/>
        <v>0</v>
      </c>
      <c r="AA389" s="220" t="str">
        <f t="shared" si="97"/>
        <v>溪湖</v>
      </c>
      <c r="AB389" s="220" t="s">
        <v>2257</v>
      </c>
      <c r="AC389" s="220" t="str">
        <f>LEFT(B389,3)</f>
        <v>二重線</v>
      </c>
      <c r="BB389" s="514" t="s">
        <v>2306</v>
      </c>
      <c r="BC389" s="514">
        <v>1582</v>
      </c>
      <c r="BD389" s="514">
        <v>3</v>
      </c>
      <c r="BE389" s="514">
        <v>1585</v>
      </c>
      <c r="BG389" s="229" t="s">
        <v>8610</v>
      </c>
      <c r="BH389" s="230" t="s">
        <v>8618</v>
      </c>
      <c r="BI389" t="s">
        <v>2257</v>
      </c>
      <c r="BJ389" t="s">
        <v>2254</v>
      </c>
    </row>
    <row r="390" spans="1:62">
      <c r="A390" s="229" t="s">
        <v>46</v>
      </c>
      <c r="B390" s="230" t="s">
        <v>506</v>
      </c>
      <c r="C390" s="230" t="s">
        <v>7347</v>
      </c>
      <c r="D390" s="229" t="s">
        <v>7348</v>
      </c>
      <c r="E390" s="229" t="s">
        <v>864</v>
      </c>
      <c r="F390" s="229" t="s">
        <v>846</v>
      </c>
      <c r="G390" s="229" t="s">
        <v>7349</v>
      </c>
      <c r="H390" s="229" t="s">
        <v>846</v>
      </c>
      <c r="I390" s="229" t="s">
        <v>7350</v>
      </c>
      <c r="J390" s="231" t="s">
        <v>910</v>
      </c>
      <c r="K390" s="231" t="s">
        <v>797</v>
      </c>
      <c r="L390" s="220" t="str">
        <f t="shared" si="98"/>
        <v>ID29</v>
      </c>
      <c r="M390" s="220" t="str">
        <f t="shared" si="99"/>
        <v/>
      </c>
      <c r="N390" s="220" t="str">
        <f t="shared" si="100"/>
        <v/>
      </c>
      <c r="O390" s="220" t="str">
        <f t="shared" si="101"/>
        <v/>
      </c>
      <c r="P390" s="52" t="str">
        <f t="shared" si="102"/>
        <v>ID29</v>
      </c>
      <c r="Q390" s="231" t="str">
        <f t="shared" si="94"/>
        <v>224</v>
      </c>
      <c r="R390" s="224">
        <f t="shared" si="95"/>
        <v>199.33333333333334</v>
      </c>
      <c r="S390" s="52">
        <f t="shared" si="103"/>
        <v>183</v>
      </c>
      <c r="T390" s="221">
        <f t="shared" ca="1" si="104"/>
        <v>4.42</v>
      </c>
      <c r="U390" s="221" t="str">
        <f t="shared" si="105"/>
        <v/>
      </c>
      <c r="V390" s="220" t="str">
        <f t="array" ref="V390">INDEX(P:P,MAX(U$3:U390))</f>
        <v>ID#2MTR</v>
      </c>
      <c r="W390" s="220" t="str">
        <f t="shared" ca="1" si="106"/>
        <v/>
      </c>
      <c r="X390" s="220">
        <f t="shared" si="107"/>
        <v>11.4</v>
      </c>
      <c r="Y390" s="220">
        <f t="shared" si="96"/>
        <v>0</v>
      </c>
      <c r="AA390" s="220" t="str">
        <f t="shared" si="97"/>
        <v>溪湖</v>
      </c>
      <c r="AB390" s="220" t="s">
        <v>2258</v>
      </c>
      <c r="AC390" s="220" t="str">
        <f>LEFT(B390,3)</f>
        <v>南新線</v>
      </c>
      <c r="BB390" s="514" t="s">
        <v>2310</v>
      </c>
      <c r="BC390" s="514">
        <v>2184</v>
      </c>
      <c r="BD390" s="514">
        <v>3</v>
      </c>
      <c r="BE390" s="514">
        <v>2187</v>
      </c>
      <c r="BG390" s="229" t="s">
        <v>46</v>
      </c>
      <c r="BH390" s="230" t="s">
        <v>8619</v>
      </c>
      <c r="BI390" t="s">
        <v>2258</v>
      </c>
      <c r="BJ390" t="s">
        <v>2254</v>
      </c>
    </row>
    <row r="391" spans="1:62">
      <c r="A391" s="229" t="s">
        <v>7351</v>
      </c>
      <c r="B391" s="230" t="s">
        <v>507</v>
      </c>
      <c r="C391" s="230" t="s">
        <v>7352</v>
      </c>
      <c r="D391" s="229" t="s">
        <v>7353</v>
      </c>
      <c r="E391" s="229" t="s">
        <v>1051</v>
      </c>
      <c r="F391" s="229" t="s">
        <v>797</v>
      </c>
      <c r="G391" s="229" t="s">
        <v>7354</v>
      </c>
      <c r="H391" s="229" t="s">
        <v>7355</v>
      </c>
      <c r="I391" s="229" t="s">
        <v>1013</v>
      </c>
      <c r="J391" s="231" t="s">
        <v>910</v>
      </c>
      <c r="K391" s="231" t="s">
        <v>797</v>
      </c>
      <c r="L391" s="220" t="str">
        <f t="shared" si="98"/>
        <v>ID25</v>
      </c>
      <c r="M391" s="220" t="str">
        <f t="shared" si="99"/>
        <v/>
      </c>
      <c r="N391" s="220" t="str">
        <f t="shared" si="100"/>
        <v/>
      </c>
      <c r="O391" s="220" t="str">
        <f t="shared" si="101"/>
        <v/>
      </c>
      <c r="P391" s="52" t="str">
        <f t="shared" si="102"/>
        <v>ID25</v>
      </c>
      <c r="Q391" s="231" t="str">
        <f t="shared" si="94"/>
        <v>175</v>
      </c>
      <c r="R391" s="224">
        <f t="shared" si="95"/>
        <v>149.66666666666666</v>
      </c>
      <c r="S391" s="52">
        <f t="shared" si="103"/>
        <v>107</v>
      </c>
      <c r="T391" s="221">
        <f t="shared" ca="1" si="104"/>
        <v>3.46</v>
      </c>
      <c r="U391" s="221" t="str">
        <f t="shared" si="105"/>
        <v/>
      </c>
      <c r="V391" s="220" t="str">
        <f t="array" ref="V391">INDEX(P:P,MAX(U$3:U391))</f>
        <v>ID#2MTR</v>
      </c>
      <c r="W391" s="220" t="str">
        <f t="shared" ca="1" si="106"/>
        <v/>
      </c>
      <c r="X391" s="220">
        <f t="shared" si="107"/>
        <v>11.4</v>
      </c>
      <c r="Y391" s="220">
        <f t="shared" si="96"/>
        <v>0</v>
      </c>
      <c r="AA391" s="220" t="str">
        <f t="shared" si="97"/>
        <v>溪湖</v>
      </c>
      <c r="AB391" s="220" t="s">
        <v>2259</v>
      </c>
      <c r="AC391" s="220" t="str">
        <f>LEFT(B391,3)</f>
        <v>東寮線</v>
      </c>
      <c r="BB391" s="514" t="s">
        <v>2318</v>
      </c>
      <c r="BC391" s="514">
        <v>3130</v>
      </c>
      <c r="BD391" s="514">
        <v>5</v>
      </c>
      <c r="BE391" s="514">
        <v>3135</v>
      </c>
      <c r="BG391" s="229" t="s">
        <v>46</v>
      </c>
      <c r="BH391" s="230" t="s">
        <v>8620</v>
      </c>
      <c r="BI391" t="s">
        <v>2259</v>
      </c>
      <c r="BJ391" t="s">
        <v>2254</v>
      </c>
    </row>
    <row r="392" spans="1:62">
      <c r="A392" s="229" t="s">
        <v>7310</v>
      </c>
      <c r="B392" s="230" t="s">
        <v>430</v>
      </c>
      <c r="C392" s="230" t="s">
        <v>7356</v>
      </c>
      <c r="D392" s="229" t="s">
        <v>5733</v>
      </c>
      <c r="E392" s="229" t="s">
        <v>7357</v>
      </c>
      <c r="F392" s="229" t="s">
        <v>832</v>
      </c>
      <c r="G392" s="229" t="s">
        <v>4691</v>
      </c>
      <c r="H392" s="229" t="s">
        <v>832</v>
      </c>
      <c r="I392" s="229" t="s">
        <v>1053</v>
      </c>
      <c r="J392" s="231" t="s">
        <v>358</v>
      </c>
      <c r="K392" s="231" t="s">
        <v>7358</v>
      </c>
      <c r="L392" s="220" t="str">
        <f t="shared" si="98"/>
        <v>ID#3MTR</v>
      </c>
      <c r="M392" s="220" t="str">
        <f t="shared" si="99"/>
        <v/>
      </c>
      <c r="N392" s="220" t="str">
        <f t="shared" si="100"/>
        <v>ID#3MTR</v>
      </c>
      <c r="O392" s="220" t="str">
        <f t="shared" si="101"/>
        <v/>
      </c>
      <c r="P392" s="52" t="str">
        <f t="shared" si="102"/>
        <v>ID#3MTR</v>
      </c>
      <c r="Q392" s="231" t="str">
        <f t="shared" si="94"/>
        <v>332</v>
      </c>
      <c r="R392" s="224">
        <f t="shared" si="95"/>
        <v>306.33333333333331</v>
      </c>
      <c r="S392" s="52">
        <f t="shared" si="103"/>
        <v>292</v>
      </c>
      <c r="T392" s="221">
        <f t="shared" ca="1" si="104"/>
        <v>6.56</v>
      </c>
      <c r="U392" s="221">
        <f t="shared" si="105"/>
        <v>392</v>
      </c>
      <c r="V392" s="220" t="str">
        <f t="array" ref="V392">INDEX(P:P,MAX(U$3:U392))</f>
        <v>ID#3MTR</v>
      </c>
      <c r="W392" s="220">
        <f t="shared" ca="1" si="106"/>
        <v>25</v>
      </c>
      <c r="X392" s="220" t="str">
        <f t="shared" si="107"/>
        <v/>
      </c>
      <c r="Y392" s="220">
        <f t="shared" si="96"/>
        <v>0</v>
      </c>
      <c r="AA392" s="220" t="str">
        <f t="shared" si="97"/>
        <v>溪湖</v>
      </c>
      <c r="AB392" s="220" t="s">
        <v>2260</v>
      </c>
      <c r="BB392" s="514" t="s">
        <v>3254</v>
      </c>
      <c r="BC392" s="514" t="s">
        <v>85</v>
      </c>
      <c r="BD392" s="514" t="s">
        <v>85</v>
      </c>
      <c r="BE392" s="514">
        <v>0</v>
      </c>
      <c r="BG392" s="229" t="s">
        <v>46</v>
      </c>
      <c r="BH392" s="230" t="s">
        <v>8538</v>
      </c>
      <c r="BI392" t="s">
        <v>2260</v>
      </c>
      <c r="BJ392" t="s">
        <v>2260</v>
      </c>
    </row>
    <row r="393" spans="1:62">
      <c r="A393" s="229" t="s">
        <v>7359</v>
      </c>
      <c r="B393" s="230" t="s">
        <v>508</v>
      </c>
      <c r="C393" s="230" t="s">
        <v>953</v>
      </c>
      <c r="D393" s="229" t="s">
        <v>7360</v>
      </c>
      <c r="E393" s="229" t="s">
        <v>7361</v>
      </c>
      <c r="F393" s="229" t="s">
        <v>832</v>
      </c>
      <c r="G393" s="229" t="s">
        <v>7362</v>
      </c>
      <c r="H393" s="229" t="s">
        <v>7220</v>
      </c>
      <c r="I393" s="229" t="s">
        <v>1035</v>
      </c>
      <c r="J393" s="231" t="s">
        <v>6297</v>
      </c>
      <c r="K393" s="231" t="s">
        <v>5791</v>
      </c>
      <c r="L393" s="220" t="str">
        <f t="shared" si="98"/>
        <v>ID27</v>
      </c>
      <c r="M393" s="220" t="str">
        <f t="shared" si="99"/>
        <v/>
      </c>
      <c r="N393" s="220" t="str">
        <f t="shared" si="100"/>
        <v/>
      </c>
      <c r="O393" s="220" t="str">
        <f t="shared" si="101"/>
        <v/>
      </c>
      <c r="P393" s="52" t="str">
        <f t="shared" si="102"/>
        <v>ID27</v>
      </c>
      <c r="Q393" s="231" t="str">
        <f t="shared" si="94"/>
        <v>284</v>
      </c>
      <c r="R393" s="224">
        <f t="shared" si="95"/>
        <v>275</v>
      </c>
      <c r="S393" s="52">
        <f t="shared" si="103"/>
        <v>259</v>
      </c>
      <c r="T393" s="221">
        <f t="shared" ca="1" si="104"/>
        <v>5.61</v>
      </c>
      <c r="U393" s="221" t="str">
        <f t="shared" si="105"/>
        <v/>
      </c>
      <c r="V393" s="220" t="str">
        <f t="array" ref="V393">INDEX(P:P,MAX(U$3:U393))</f>
        <v>ID#3MTR</v>
      </c>
      <c r="W393" s="220" t="str">
        <f t="shared" ca="1" si="106"/>
        <v/>
      </c>
      <c r="X393" s="220">
        <f t="shared" si="107"/>
        <v>11.4</v>
      </c>
      <c r="Y393" s="220">
        <f t="shared" si="96"/>
        <v>0</v>
      </c>
      <c r="AA393" s="220" t="str">
        <f t="shared" si="97"/>
        <v>溪湖</v>
      </c>
      <c r="AB393" s="220" t="s">
        <v>2261</v>
      </c>
      <c r="AC393" s="220" t="str">
        <f>LEFT(B393,3)</f>
        <v>巫厝線</v>
      </c>
      <c r="BB393" s="514" t="s">
        <v>2314</v>
      </c>
      <c r="BC393" s="514">
        <v>1608</v>
      </c>
      <c r="BD393" s="514" t="s">
        <v>85</v>
      </c>
      <c r="BE393" s="514">
        <v>1608</v>
      </c>
      <c r="BG393" s="229" t="s">
        <v>46</v>
      </c>
      <c r="BH393" s="230" t="s">
        <v>8621</v>
      </c>
      <c r="BI393" t="s">
        <v>2261</v>
      </c>
      <c r="BJ393" t="s">
        <v>2260</v>
      </c>
    </row>
    <row r="394" spans="1:62">
      <c r="A394" s="229" t="s">
        <v>46</v>
      </c>
      <c r="B394" s="230" t="s">
        <v>509</v>
      </c>
      <c r="C394" s="230" t="s">
        <v>7087</v>
      </c>
      <c r="D394" s="229" t="s">
        <v>5628</v>
      </c>
      <c r="E394" s="229" t="s">
        <v>5614</v>
      </c>
      <c r="F394" s="229" t="s">
        <v>7363</v>
      </c>
      <c r="G394" s="229" t="s">
        <v>5614</v>
      </c>
      <c r="H394" s="229" t="s">
        <v>784</v>
      </c>
      <c r="I394" s="229" t="s">
        <v>7364</v>
      </c>
      <c r="J394" s="231" t="s">
        <v>5699</v>
      </c>
      <c r="K394" s="231" t="s">
        <v>784</v>
      </c>
      <c r="L394" s="220" t="str">
        <f t="shared" si="98"/>
        <v>ID32</v>
      </c>
      <c r="M394" s="220" t="str">
        <f t="shared" si="99"/>
        <v/>
      </c>
      <c r="N394" s="220" t="str">
        <f t="shared" si="100"/>
        <v/>
      </c>
      <c r="O394" s="220" t="str">
        <f t="shared" si="101"/>
        <v/>
      </c>
      <c r="P394" s="52" t="str">
        <f t="shared" si="102"/>
        <v>ID32</v>
      </c>
      <c r="Q394" s="231" t="str">
        <f t="shared" si="94"/>
        <v>0</v>
      </c>
      <c r="R394" s="224">
        <f t="shared" si="95"/>
        <v>0</v>
      </c>
      <c r="S394" s="52">
        <f t="shared" si="103"/>
        <v>0</v>
      </c>
      <c r="T394" s="221">
        <f t="shared" ca="1" si="104"/>
        <v>0</v>
      </c>
      <c r="U394" s="221" t="str">
        <f t="shared" si="105"/>
        <v/>
      </c>
      <c r="V394" s="220" t="str">
        <f t="array" ref="V394">INDEX(P:P,MAX(U$3:U394))</f>
        <v>ID#3MTR</v>
      </c>
      <c r="W394" s="220" t="str">
        <f t="shared" ca="1" si="106"/>
        <v/>
      </c>
      <c r="X394" s="220">
        <f t="shared" si="107"/>
        <v>11.4</v>
      </c>
      <c r="Y394" s="220">
        <f t="shared" si="96"/>
        <v>0</v>
      </c>
      <c r="AA394" s="220" t="str">
        <f t="shared" si="97"/>
        <v>溪湖</v>
      </c>
      <c r="AB394" s="220" t="s">
        <v>1957</v>
      </c>
      <c r="AC394" s="220" t="str">
        <f>LEFT(B394,3)</f>
        <v>番婆線</v>
      </c>
      <c r="BB394" s="514" t="s">
        <v>2313</v>
      </c>
      <c r="BC394" s="514">
        <v>865</v>
      </c>
      <c r="BD394" s="514">
        <v>2</v>
      </c>
      <c r="BE394" s="514">
        <v>867</v>
      </c>
      <c r="BG394" s="229" t="s">
        <v>8612</v>
      </c>
      <c r="BH394" s="230" t="s">
        <v>509</v>
      </c>
      <c r="BI394" t="s">
        <v>1957</v>
      </c>
      <c r="BJ394" t="s">
        <v>2260</v>
      </c>
    </row>
    <row r="395" spans="1:62">
      <c r="A395" s="229" t="s">
        <v>46</v>
      </c>
      <c r="B395" s="230" t="s">
        <v>510</v>
      </c>
      <c r="C395" s="230" t="s">
        <v>6035</v>
      </c>
      <c r="D395" s="229" t="s">
        <v>5685</v>
      </c>
      <c r="E395" s="229" t="s">
        <v>848</v>
      </c>
      <c r="F395" s="229" t="s">
        <v>846</v>
      </c>
      <c r="G395" s="229" t="s">
        <v>7365</v>
      </c>
      <c r="H395" s="229" t="s">
        <v>846</v>
      </c>
      <c r="I395" s="229" t="s">
        <v>7366</v>
      </c>
      <c r="J395" s="231" t="s">
        <v>785</v>
      </c>
      <c r="K395" s="231" t="s">
        <v>832</v>
      </c>
      <c r="L395" s="220" t="str">
        <f t="shared" si="98"/>
        <v>ID22</v>
      </c>
      <c r="M395" s="220" t="str">
        <f t="shared" si="99"/>
        <v/>
      </c>
      <c r="N395" s="220" t="str">
        <f t="shared" si="100"/>
        <v/>
      </c>
      <c r="O395" s="220" t="str">
        <f t="shared" si="101"/>
        <v/>
      </c>
      <c r="P395" s="52" t="str">
        <f t="shared" si="102"/>
        <v>ID22</v>
      </c>
      <c r="Q395" s="231" t="str">
        <f t="shared" si="94"/>
        <v>60</v>
      </c>
      <c r="R395" s="224">
        <f t="shared" si="95"/>
        <v>39.333333333333336</v>
      </c>
      <c r="S395" s="52">
        <f t="shared" si="103"/>
        <v>20</v>
      </c>
      <c r="T395" s="221">
        <f t="shared" ca="1" si="104"/>
        <v>1.18</v>
      </c>
      <c r="U395" s="221" t="str">
        <f t="shared" si="105"/>
        <v/>
      </c>
      <c r="V395" s="220" t="str">
        <f t="array" ref="V395">INDEX(P:P,MAX(U$3:U395))</f>
        <v>ID#3MTR</v>
      </c>
      <c r="W395" s="220" t="str">
        <f t="shared" ca="1" si="106"/>
        <v/>
      </c>
      <c r="X395" s="220">
        <f t="shared" si="107"/>
        <v>11.4</v>
      </c>
      <c r="Y395" s="220">
        <f t="shared" si="96"/>
        <v>0</v>
      </c>
      <c r="AA395" s="220" t="str">
        <f t="shared" si="97"/>
        <v>溪湖</v>
      </c>
      <c r="AB395" s="220" t="s">
        <v>2262</v>
      </c>
      <c r="AC395" s="220" t="str">
        <f>LEFT(B395,3)</f>
        <v>湖西線</v>
      </c>
      <c r="BB395" s="514" t="s">
        <v>2312</v>
      </c>
      <c r="BC395" s="514">
        <v>2585</v>
      </c>
      <c r="BD395" s="514">
        <v>4</v>
      </c>
      <c r="BE395" s="514">
        <v>2589</v>
      </c>
      <c r="BG395" s="229" t="s">
        <v>8610</v>
      </c>
      <c r="BH395" s="230" t="s">
        <v>8622</v>
      </c>
      <c r="BI395" t="s">
        <v>2262</v>
      </c>
      <c r="BJ395" t="s">
        <v>2260</v>
      </c>
    </row>
    <row r="396" spans="1:62">
      <c r="A396" s="229" t="s">
        <v>46</v>
      </c>
      <c r="B396" s="230" t="s">
        <v>7367</v>
      </c>
      <c r="C396" s="230" t="s">
        <v>5699</v>
      </c>
      <c r="D396" s="229" t="s">
        <v>784</v>
      </c>
      <c r="E396" s="229" t="s">
        <v>5699</v>
      </c>
      <c r="F396" s="229" t="s">
        <v>7368</v>
      </c>
      <c r="G396" s="229" t="s">
        <v>5614</v>
      </c>
      <c r="H396" s="229" t="s">
        <v>7309</v>
      </c>
      <c r="I396" s="229" t="s">
        <v>5614</v>
      </c>
      <c r="J396" s="231" t="s">
        <v>5699</v>
      </c>
      <c r="K396" s="231" t="s">
        <v>5628</v>
      </c>
      <c r="L396" s="220" t="str">
        <f t="shared" si="98"/>
        <v>F14)</v>
      </c>
      <c r="M396" s="220" t="str">
        <f t="shared" si="99"/>
        <v/>
      </c>
      <c r="N396" s="220" t="str">
        <f t="shared" si="100"/>
        <v/>
      </c>
      <c r="O396" s="220" t="str">
        <f t="shared" si="101"/>
        <v/>
      </c>
      <c r="P396" s="52" t="str">
        <f t="shared" si="102"/>
        <v>F14)</v>
      </c>
      <c r="Q396" s="231" t="str">
        <f t="shared" si="94"/>
        <v>0</v>
      </c>
      <c r="R396" s="224">
        <f t="shared" si="95"/>
        <v>0</v>
      </c>
      <c r="S396" s="52">
        <f t="shared" si="103"/>
        <v>0</v>
      </c>
      <c r="T396" s="221">
        <f t="shared" ca="1" si="104"/>
        <v>0</v>
      </c>
      <c r="U396" s="221" t="str">
        <f t="shared" si="105"/>
        <v/>
      </c>
      <c r="V396" s="220" t="str">
        <f t="array" ref="V396">INDEX(P:P,MAX(U$3:U396))</f>
        <v>ID#3MTR</v>
      </c>
      <c r="W396" s="220" t="str">
        <f t="shared" ca="1" si="106"/>
        <v/>
      </c>
      <c r="X396" s="220">
        <f t="shared" si="107"/>
        <v>11.4</v>
      </c>
      <c r="Y396" s="220">
        <f t="shared" si="96"/>
        <v>0</v>
      </c>
      <c r="AA396" s="220" t="str">
        <f t="shared" si="97"/>
        <v>溪湖</v>
      </c>
      <c r="AB396" s="220" t="s">
        <v>2263</v>
      </c>
      <c r="BB396" s="514" t="s">
        <v>2315</v>
      </c>
      <c r="BC396" s="514">
        <v>1942</v>
      </c>
      <c r="BD396" s="514" t="s">
        <v>85</v>
      </c>
      <c r="BE396" s="514">
        <v>1942</v>
      </c>
      <c r="BG396" s="229" t="s">
        <v>8610</v>
      </c>
      <c r="BH396" s="230" t="s">
        <v>8623</v>
      </c>
      <c r="BI396" t="s">
        <v>2263</v>
      </c>
      <c r="BJ396" t="s">
        <v>2260</v>
      </c>
    </row>
    <row r="397" spans="1:62">
      <c r="A397" s="229" t="s">
        <v>46</v>
      </c>
      <c r="B397" s="230" t="s">
        <v>512</v>
      </c>
      <c r="C397" s="230" t="s">
        <v>5699</v>
      </c>
      <c r="D397" s="229" t="s">
        <v>784</v>
      </c>
      <c r="E397" s="229" t="s">
        <v>5699</v>
      </c>
      <c r="F397" s="229" t="s">
        <v>5628</v>
      </c>
      <c r="G397" s="229" t="s">
        <v>5699</v>
      </c>
      <c r="H397" s="229" t="s">
        <v>5628</v>
      </c>
      <c r="I397" s="229" t="s">
        <v>5699</v>
      </c>
      <c r="J397" s="231" t="s">
        <v>5699</v>
      </c>
      <c r="K397" s="231" t="s">
        <v>5628</v>
      </c>
      <c r="L397" s="220" t="str">
        <f t="shared" si="98"/>
        <v>F15)</v>
      </c>
      <c r="M397" s="220" t="str">
        <f t="shared" si="99"/>
        <v/>
      </c>
      <c r="N397" s="220" t="str">
        <f t="shared" si="100"/>
        <v/>
      </c>
      <c r="O397" s="220" t="str">
        <f t="shared" si="101"/>
        <v/>
      </c>
      <c r="P397" s="52" t="str">
        <f t="shared" si="102"/>
        <v>F15)</v>
      </c>
      <c r="Q397" s="231" t="str">
        <f t="shared" si="94"/>
        <v>0</v>
      </c>
      <c r="R397" s="224">
        <f t="shared" si="95"/>
        <v>0</v>
      </c>
      <c r="S397" s="52">
        <f t="shared" si="103"/>
        <v>0</v>
      </c>
      <c r="T397" s="221">
        <f t="shared" ca="1" si="104"/>
        <v>0</v>
      </c>
      <c r="U397" s="221" t="str">
        <f t="shared" si="105"/>
        <v/>
      </c>
      <c r="V397" s="220" t="str">
        <f t="array" ref="V397">INDEX(P:P,MAX(U$3:U397))</f>
        <v>ID#3MTR</v>
      </c>
      <c r="W397" s="220" t="str">
        <f t="shared" ca="1" si="106"/>
        <v/>
      </c>
      <c r="X397" s="220">
        <f t="shared" si="107"/>
        <v>22.8</v>
      </c>
      <c r="Y397" s="220">
        <f t="shared" si="96"/>
        <v>0</v>
      </c>
      <c r="AA397" s="220" t="str">
        <f t="shared" si="97"/>
        <v>溪湖</v>
      </c>
      <c r="AB397" s="220" t="s">
        <v>2264</v>
      </c>
      <c r="BB397" s="514" t="s">
        <v>2316</v>
      </c>
      <c r="BC397" s="514">
        <v>3781</v>
      </c>
      <c r="BD397" s="514">
        <v>2</v>
      </c>
      <c r="BE397" s="514">
        <v>3783</v>
      </c>
      <c r="BG397" s="229" t="s">
        <v>8610</v>
      </c>
      <c r="BH397" s="230" t="s">
        <v>8624</v>
      </c>
      <c r="BI397" t="s">
        <v>2264</v>
      </c>
      <c r="BJ397" t="s">
        <v>2260</v>
      </c>
    </row>
    <row r="398" spans="1:62">
      <c r="A398" s="229" t="s">
        <v>5717</v>
      </c>
      <c r="B398" s="230" t="s">
        <v>425</v>
      </c>
      <c r="C398" s="230" t="s">
        <v>7369</v>
      </c>
      <c r="D398" s="229" t="s">
        <v>5986</v>
      </c>
      <c r="E398" s="229" t="s">
        <v>7370</v>
      </c>
      <c r="F398" s="229" t="s">
        <v>846</v>
      </c>
      <c r="G398" s="229" t="s">
        <v>3166</v>
      </c>
      <c r="H398" s="229" t="s">
        <v>846</v>
      </c>
      <c r="I398" s="229" t="s">
        <v>7371</v>
      </c>
      <c r="J398" s="231" t="s">
        <v>5585</v>
      </c>
      <c r="K398" s="231" t="s">
        <v>358</v>
      </c>
      <c r="L398" s="220" t="str">
        <f t="shared" si="98"/>
        <v>IE#1MTR</v>
      </c>
      <c r="M398" s="220" t="str">
        <f t="shared" si="99"/>
        <v/>
      </c>
      <c r="N398" s="220" t="str">
        <f t="shared" si="100"/>
        <v>IE#1MTR</v>
      </c>
      <c r="O398" s="220" t="str">
        <f t="shared" si="101"/>
        <v/>
      </c>
      <c r="P398" s="52" t="str">
        <f t="shared" si="102"/>
        <v>IE#1MTR</v>
      </c>
      <c r="Q398" s="231" t="str">
        <f t="shared" si="94"/>
        <v>582</v>
      </c>
      <c r="R398" s="224">
        <f t="shared" si="95"/>
        <v>568.33333333333337</v>
      </c>
      <c r="S398" s="52">
        <f t="shared" si="103"/>
        <v>550</v>
      </c>
      <c r="T398" s="221">
        <f t="shared" ca="1" si="104"/>
        <v>11.49</v>
      </c>
      <c r="U398" s="221">
        <f t="shared" si="105"/>
        <v>398</v>
      </c>
      <c r="V398" s="220" t="str">
        <f t="array" ref="V398">INDEX(P:P,MAX(U$3:U398))</f>
        <v>IE#1MTR</v>
      </c>
      <c r="W398" s="220">
        <f t="shared" ca="1" si="106"/>
        <v>25</v>
      </c>
      <c r="X398" s="220" t="str">
        <f t="shared" si="107"/>
        <v/>
      </c>
      <c r="Y398" s="220">
        <f t="shared" si="96"/>
        <v>0</v>
      </c>
      <c r="AA398" s="220" t="str">
        <f t="shared" si="97"/>
        <v>二林</v>
      </c>
      <c r="AB398" s="220" t="s">
        <v>2265</v>
      </c>
      <c r="BB398" s="514" t="s">
        <v>2326</v>
      </c>
      <c r="BC398" s="514">
        <v>3828</v>
      </c>
      <c r="BD398" s="514">
        <v>2</v>
      </c>
      <c r="BE398" s="514">
        <v>3830</v>
      </c>
      <c r="BG398" s="229" t="s">
        <v>8625</v>
      </c>
      <c r="BH398" s="230" t="s">
        <v>425</v>
      </c>
      <c r="BI398" t="s">
        <v>2265</v>
      </c>
      <c r="BJ398" t="s">
        <v>2265</v>
      </c>
    </row>
    <row r="399" spans="1:62">
      <c r="A399" s="229" t="s">
        <v>5717</v>
      </c>
      <c r="B399" s="230" t="s">
        <v>513</v>
      </c>
      <c r="C399" s="230" t="s">
        <v>7372</v>
      </c>
      <c r="D399" s="229" t="s">
        <v>7373</v>
      </c>
      <c r="E399" s="229" t="s">
        <v>6497</v>
      </c>
      <c r="F399" s="229" t="s">
        <v>6095</v>
      </c>
      <c r="G399" s="229" t="s">
        <v>7374</v>
      </c>
      <c r="H399" s="229" t="s">
        <v>5580</v>
      </c>
      <c r="I399" s="229" t="s">
        <v>6497</v>
      </c>
      <c r="J399" s="231" t="s">
        <v>7375</v>
      </c>
      <c r="K399" s="231" t="s">
        <v>5685</v>
      </c>
      <c r="L399" s="220" t="str">
        <f t="shared" si="98"/>
        <v>IE25</v>
      </c>
      <c r="M399" s="220" t="str">
        <f t="shared" si="99"/>
        <v/>
      </c>
      <c r="N399" s="220" t="str">
        <f t="shared" si="100"/>
        <v/>
      </c>
      <c r="O399" s="220" t="str">
        <f t="shared" si="101"/>
        <v/>
      </c>
      <c r="P399" s="52" t="str">
        <f t="shared" si="102"/>
        <v>IE25</v>
      </c>
      <c r="Q399" s="231" t="str">
        <f t="shared" ref="Q399:Q462" si="108">I399</f>
        <v>96</v>
      </c>
      <c r="R399" s="224">
        <f t="shared" si="95"/>
        <v>86.666666666666671</v>
      </c>
      <c r="S399" s="52">
        <f t="shared" si="103"/>
        <v>78</v>
      </c>
      <c r="T399" s="221">
        <f t="shared" ca="1" si="104"/>
        <v>1.9</v>
      </c>
      <c r="U399" s="221" t="str">
        <f t="shared" si="105"/>
        <v/>
      </c>
      <c r="V399" s="220" t="str">
        <f t="array" ref="V399">INDEX(P:P,MAX(U$3:U399))</f>
        <v>IE#1MTR</v>
      </c>
      <c r="W399" s="220" t="str">
        <f t="shared" ca="1" si="106"/>
        <v/>
      </c>
      <c r="X399" s="220">
        <f t="shared" si="107"/>
        <v>11.4</v>
      </c>
      <c r="Y399" s="220">
        <f t="shared" si="96"/>
        <v>0</v>
      </c>
      <c r="AA399" s="220" t="str">
        <f t="shared" si="97"/>
        <v>二林</v>
      </c>
      <c r="AB399" s="220" t="s">
        <v>2266</v>
      </c>
      <c r="AC399" s="220" t="str">
        <f>LEFT(B399,3)</f>
        <v>永安線</v>
      </c>
      <c r="BB399" s="514" t="s">
        <v>2338</v>
      </c>
      <c r="BC399" s="514">
        <v>367</v>
      </c>
      <c r="BD399" s="514" t="s">
        <v>85</v>
      </c>
      <c r="BE399" s="514">
        <v>367</v>
      </c>
      <c r="BG399" s="229" t="s">
        <v>8625</v>
      </c>
      <c r="BH399" s="230" t="s">
        <v>8626</v>
      </c>
      <c r="BI399" t="s">
        <v>2266</v>
      </c>
      <c r="BJ399" t="s">
        <v>2265</v>
      </c>
    </row>
    <row r="400" spans="1:62">
      <c r="A400" s="229" t="s">
        <v>47</v>
      </c>
      <c r="B400" s="230" t="s">
        <v>514</v>
      </c>
      <c r="C400" s="230" t="s">
        <v>7376</v>
      </c>
      <c r="D400" s="229" t="s">
        <v>5933</v>
      </c>
      <c r="E400" s="229" t="s">
        <v>799</v>
      </c>
      <c r="F400" s="229" t="s">
        <v>5650</v>
      </c>
      <c r="G400" s="229" t="s">
        <v>7377</v>
      </c>
      <c r="H400" s="229" t="s">
        <v>5764</v>
      </c>
      <c r="I400" s="229" t="s">
        <v>7378</v>
      </c>
      <c r="J400" s="231" t="s">
        <v>7379</v>
      </c>
      <c r="K400" s="231" t="s">
        <v>850</v>
      </c>
      <c r="L400" s="220" t="str">
        <f t="shared" si="98"/>
        <v>IE24</v>
      </c>
      <c r="M400" s="220" t="str">
        <f t="shared" si="99"/>
        <v/>
      </c>
      <c r="N400" s="220" t="str">
        <f t="shared" si="100"/>
        <v/>
      </c>
      <c r="O400" s="220" t="str">
        <f t="shared" si="101"/>
        <v/>
      </c>
      <c r="P400" s="52" t="str">
        <f t="shared" si="102"/>
        <v>IE24</v>
      </c>
      <c r="Q400" s="231" t="str">
        <f t="shared" si="108"/>
        <v>44</v>
      </c>
      <c r="R400" s="224">
        <f t="shared" si="95"/>
        <v>42</v>
      </c>
      <c r="S400" s="52">
        <f t="shared" si="103"/>
        <v>39</v>
      </c>
      <c r="T400" s="221">
        <f t="shared" ca="1" si="104"/>
        <v>0.87</v>
      </c>
      <c r="U400" s="221" t="str">
        <f t="shared" si="105"/>
        <v/>
      </c>
      <c r="V400" s="220" t="str">
        <f t="array" ref="V400">INDEX(P:P,MAX(U$3:U400))</f>
        <v>IE#1MTR</v>
      </c>
      <c r="W400" s="220" t="str">
        <f t="shared" ca="1" si="106"/>
        <v/>
      </c>
      <c r="X400" s="220">
        <f t="shared" si="107"/>
        <v>11.4</v>
      </c>
      <c r="Y400" s="220">
        <f t="shared" si="96"/>
        <v>0</v>
      </c>
      <c r="AA400" s="220" t="str">
        <f t="shared" si="97"/>
        <v>二林</v>
      </c>
      <c r="AB400" s="220" t="s">
        <v>2267</v>
      </c>
      <c r="AC400" s="220" t="str">
        <f>LEFT(B400,3)</f>
        <v>溝頭線</v>
      </c>
      <c r="BB400" s="514" t="s">
        <v>2324</v>
      </c>
      <c r="BC400" s="514">
        <v>415</v>
      </c>
      <c r="BD400" s="514">
        <v>1</v>
      </c>
      <c r="BE400" s="514">
        <v>416</v>
      </c>
      <c r="BG400" s="229" t="s">
        <v>8625</v>
      </c>
      <c r="BH400" s="230" t="s">
        <v>8627</v>
      </c>
      <c r="BI400" t="s">
        <v>2267</v>
      </c>
      <c r="BJ400" t="s">
        <v>2265</v>
      </c>
    </row>
    <row r="401" spans="1:62">
      <c r="A401" s="229" t="s">
        <v>47</v>
      </c>
      <c r="B401" s="230" t="s">
        <v>515</v>
      </c>
      <c r="C401" s="230" t="s">
        <v>7380</v>
      </c>
      <c r="D401" s="229" t="s">
        <v>7056</v>
      </c>
      <c r="E401" s="229" t="s">
        <v>6197</v>
      </c>
      <c r="F401" s="229" t="s">
        <v>804</v>
      </c>
      <c r="G401" s="229" t="s">
        <v>7381</v>
      </c>
      <c r="H401" s="229" t="s">
        <v>5641</v>
      </c>
      <c r="I401" s="229" t="s">
        <v>7380</v>
      </c>
      <c r="J401" s="231" t="s">
        <v>7382</v>
      </c>
      <c r="K401" s="231" t="s">
        <v>7383</v>
      </c>
      <c r="L401" s="220" t="str">
        <f t="shared" si="98"/>
        <v>IE21</v>
      </c>
      <c r="M401" s="220" t="str">
        <f t="shared" si="99"/>
        <v/>
      </c>
      <c r="N401" s="220" t="str">
        <f t="shared" si="100"/>
        <v/>
      </c>
      <c r="O401" s="220" t="str">
        <f t="shared" si="101"/>
        <v/>
      </c>
      <c r="P401" s="52" t="str">
        <f t="shared" si="102"/>
        <v>IE21</v>
      </c>
      <c r="Q401" s="231" t="str">
        <f t="shared" si="108"/>
        <v>110</v>
      </c>
      <c r="R401" s="224">
        <f t="shared" si="95"/>
        <v>100</v>
      </c>
      <c r="S401" s="52">
        <f t="shared" si="103"/>
        <v>92</v>
      </c>
      <c r="T401" s="221">
        <f t="shared" ca="1" si="104"/>
        <v>2.17</v>
      </c>
      <c r="U401" s="221" t="str">
        <f t="shared" si="105"/>
        <v/>
      </c>
      <c r="V401" s="220" t="str">
        <f t="array" ref="V401">INDEX(P:P,MAX(U$3:U401))</f>
        <v>IE#1MTR</v>
      </c>
      <c r="W401" s="220" t="str">
        <f t="shared" ca="1" si="106"/>
        <v/>
      </c>
      <c r="X401" s="220">
        <f t="shared" si="107"/>
        <v>11.4</v>
      </c>
      <c r="Y401" s="220">
        <f t="shared" si="96"/>
        <v>0</v>
      </c>
      <c r="AA401" s="220" t="str">
        <f t="shared" si="97"/>
        <v>二林</v>
      </c>
      <c r="AB401" s="220" t="s">
        <v>2268</v>
      </c>
      <c r="AC401" s="220" t="str">
        <f>LEFT(B401,3)</f>
        <v>中西線</v>
      </c>
      <c r="BB401" s="514" t="s">
        <v>2340</v>
      </c>
      <c r="BC401" s="514">
        <v>51</v>
      </c>
      <c r="BD401" s="514">
        <v>3</v>
      </c>
      <c r="BE401" s="514">
        <v>54</v>
      </c>
      <c r="BG401" s="229" t="s">
        <v>8628</v>
      </c>
      <c r="BH401" s="230" t="s">
        <v>8629</v>
      </c>
      <c r="BI401" t="s">
        <v>2268</v>
      </c>
      <c r="BJ401" t="s">
        <v>2265</v>
      </c>
    </row>
    <row r="402" spans="1:62">
      <c r="A402" s="229" t="s">
        <v>7384</v>
      </c>
      <c r="B402" s="230" t="s">
        <v>7385</v>
      </c>
      <c r="C402" s="230" t="s">
        <v>7386</v>
      </c>
      <c r="D402" s="229" t="s">
        <v>5986</v>
      </c>
      <c r="E402" s="229" t="s">
        <v>817</v>
      </c>
      <c r="F402" s="229" t="s">
        <v>5986</v>
      </c>
      <c r="G402" s="229" t="s">
        <v>7387</v>
      </c>
      <c r="H402" s="229" t="s">
        <v>5986</v>
      </c>
      <c r="I402" s="229" t="s">
        <v>7388</v>
      </c>
      <c r="J402" s="231" t="s">
        <v>6986</v>
      </c>
      <c r="K402" s="231" t="s">
        <v>7389</v>
      </c>
      <c r="L402" s="220" t="str">
        <f t="shared" si="98"/>
        <v>IE27</v>
      </c>
      <c r="M402" s="220" t="str">
        <f t="shared" si="99"/>
        <v/>
      </c>
      <c r="N402" s="220" t="str">
        <f t="shared" si="100"/>
        <v/>
      </c>
      <c r="O402" s="220" t="str">
        <f t="shared" si="101"/>
        <v/>
      </c>
      <c r="P402" s="52" t="str">
        <f t="shared" si="102"/>
        <v>IE27</v>
      </c>
      <c r="Q402" s="231" t="str">
        <f t="shared" si="108"/>
        <v>274</v>
      </c>
      <c r="R402" s="224">
        <f t="shared" si="95"/>
        <v>261.33333333333331</v>
      </c>
      <c r="S402" s="52">
        <f t="shared" si="103"/>
        <v>250</v>
      </c>
      <c r="T402" s="221">
        <f t="shared" ca="1" si="104"/>
        <v>5.41</v>
      </c>
      <c r="U402" s="221" t="str">
        <f t="shared" si="105"/>
        <v/>
      </c>
      <c r="V402" s="220" t="str">
        <f t="array" ref="V402">INDEX(P:P,MAX(U$3:U402))</f>
        <v>IE#1MTR</v>
      </c>
      <c r="W402" s="220" t="str">
        <f t="shared" ca="1" si="106"/>
        <v/>
      </c>
      <c r="X402" s="220">
        <f t="shared" si="107"/>
        <v>11.4</v>
      </c>
      <c r="Y402" s="220">
        <f t="shared" si="96"/>
        <v>0</v>
      </c>
      <c r="AA402" s="220" t="str">
        <f t="shared" si="97"/>
        <v>二林</v>
      </c>
      <c r="AB402" s="220" t="s">
        <v>2269</v>
      </c>
      <c r="AC402" s="220" t="str">
        <f>LEFT(B402,3)</f>
        <v>埤北線</v>
      </c>
      <c r="BB402" s="514" t="s">
        <v>2336</v>
      </c>
      <c r="BC402" s="514">
        <v>2180</v>
      </c>
      <c r="BD402" s="514">
        <v>4</v>
      </c>
      <c r="BE402" s="514">
        <v>2184</v>
      </c>
      <c r="BG402" s="229" t="s">
        <v>8625</v>
      </c>
      <c r="BH402" s="230" t="s">
        <v>8630</v>
      </c>
      <c r="BI402" t="s">
        <v>2269</v>
      </c>
      <c r="BJ402" t="s">
        <v>2265</v>
      </c>
    </row>
    <row r="403" spans="1:62">
      <c r="A403" s="229" t="s">
        <v>7390</v>
      </c>
      <c r="B403" s="230" t="s">
        <v>7391</v>
      </c>
      <c r="C403" s="230" t="s">
        <v>7392</v>
      </c>
      <c r="D403" s="229" t="s">
        <v>7393</v>
      </c>
      <c r="E403" s="229" t="s">
        <v>7394</v>
      </c>
      <c r="F403" s="229" t="s">
        <v>5986</v>
      </c>
      <c r="G403" s="229" t="s">
        <v>5871</v>
      </c>
      <c r="H403" s="229" t="s">
        <v>7304</v>
      </c>
      <c r="I403" s="229" t="s">
        <v>7392</v>
      </c>
      <c r="J403" s="231" t="s">
        <v>7289</v>
      </c>
      <c r="K403" s="231" t="s">
        <v>5641</v>
      </c>
      <c r="L403" s="220" t="str">
        <f t="shared" si="98"/>
        <v>IE22</v>
      </c>
      <c r="M403" s="220" t="str">
        <f t="shared" si="99"/>
        <v/>
      </c>
      <c r="N403" s="220" t="str">
        <f t="shared" si="100"/>
        <v/>
      </c>
      <c r="O403" s="220" t="str">
        <f t="shared" si="101"/>
        <v/>
      </c>
      <c r="P403" s="52" t="str">
        <f t="shared" si="102"/>
        <v>IE22</v>
      </c>
      <c r="Q403" s="231" t="str">
        <f t="shared" si="108"/>
        <v>191</v>
      </c>
      <c r="R403" s="224">
        <f t="shared" si="95"/>
        <v>162</v>
      </c>
      <c r="S403" s="52">
        <f t="shared" si="103"/>
        <v>141</v>
      </c>
      <c r="T403" s="221">
        <f t="shared" ca="1" si="104"/>
        <v>3.77</v>
      </c>
      <c r="U403" s="221" t="str">
        <f t="shared" si="105"/>
        <v/>
      </c>
      <c r="V403" s="220" t="str">
        <f t="array" ref="V403">INDEX(P:P,MAX(U$3:U403))</f>
        <v>IE#1MTR</v>
      </c>
      <c r="W403" s="220" t="str">
        <f t="shared" ca="1" si="106"/>
        <v/>
      </c>
      <c r="X403" s="220">
        <f t="shared" si="107"/>
        <v>11.4</v>
      </c>
      <c r="Y403" s="220">
        <f t="shared" si="96"/>
        <v>0</v>
      </c>
      <c r="AA403" s="220" t="str">
        <f t="shared" si="97"/>
        <v>二林</v>
      </c>
      <c r="AB403" s="220" t="s">
        <v>2270</v>
      </c>
      <c r="AC403" s="220" t="str">
        <f>LEFT(B403,3)</f>
        <v>西斗線</v>
      </c>
      <c r="BB403" s="514" t="s">
        <v>2325</v>
      </c>
      <c r="BC403" s="514">
        <v>1239</v>
      </c>
      <c r="BD403" s="514">
        <v>2</v>
      </c>
      <c r="BE403" s="514">
        <v>1241</v>
      </c>
      <c r="BG403" s="229" t="s">
        <v>8625</v>
      </c>
      <c r="BH403" s="230" t="s">
        <v>8631</v>
      </c>
      <c r="BI403" t="s">
        <v>2270</v>
      </c>
      <c r="BJ403" t="s">
        <v>2265</v>
      </c>
    </row>
    <row r="404" spans="1:62">
      <c r="A404" s="229" t="s">
        <v>47</v>
      </c>
      <c r="B404" s="230" t="s">
        <v>7395</v>
      </c>
      <c r="C404" s="230" t="s">
        <v>7396</v>
      </c>
      <c r="D404" s="229" t="s">
        <v>5764</v>
      </c>
      <c r="E404" s="229" t="s">
        <v>7397</v>
      </c>
      <c r="F404" s="229" t="s">
        <v>7355</v>
      </c>
      <c r="G404" s="229" t="s">
        <v>7398</v>
      </c>
      <c r="H404" s="229" t="s">
        <v>5986</v>
      </c>
      <c r="I404" s="229" t="s">
        <v>7399</v>
      </c>
      <c r="J404" s="231" t="s">
        <v>5585</v>
      </c>
      <c r="K404" s="231" t="s">
        <v>358</v>
      </c>
      <c r="L404" s="220" t="str">
        <f t="shared" si="98"/>
        <v>IE#2MTR</v>
      </c>
      <c r="M404" s="220" t="str">
        <f t="shared" si="99"/>
        <v/>
      </c>
      <c r="N404" s="220" t="str">
        <f t="shared" si="100"/>
        <v>IE#2MTR</v>
      </c>
      <c r="O404" s="220" t="str">
        <f t="shared" si="101"/>
        <v/>
      </c>
      <c r="P404" s="52" t="str">
        <f t="shared" si="102"/>
        <v>IE#2MTR</v>
      </c>
      <c r="Q404" s="231" t="str">
        <f t="shared" si="108"/>
        <v>939</v>
      </c>
      <c r="R404" s="224">
        <f t="shared" si="95"/>
        <v>862</v>
      </c>
      <c r="S404" s="52">
        <f t="shared" si="103"/>
        <v>799</v>
      </c>
      <c r="T404" s="221">
        <f t="shared" ca="1" si="104"/>
        <v>18.54</v>
      </c>
      <c r="U404" s="221">
        <f t="shared" si="105"/>
        <v>404</v>
      </c>
      <c r="V404" s="220" t="str">
        <f t="array" ref="V404">INDEX(P:P,MAX(U$3:U404))</f>
        <v>IE#2MTR</v>
      </c>
      <c r="W404" s="220">
        <f t="shared" ca="1" si="106"/>
        <v>25</v>
      </c>
      <c r="X404" s="220" t="str">
        <f t="shared" si="107"/>
        <v/>
      </c>
      <c r="Y404" s="220">
        <f t="shared" si="96"/>
        <v>0</v>
      </c>
      <c r="AA404" s="220" t="str">
        <f t="shared" si="97"/>
        <v>二林</v>
      </c>
      <c r="AB404" s="220" t="s">
        <v>2271</v>
      </c>
      <c r="BB404" s="514" t="s">
        <v>2327</v>
      </c>
      <c r="BC404" s="514">
        <v>1025</v>
      </c>
      <c r="BD404" s="514">
        <v>1</v>
      </c>
      <c r="BE404" s="514">
        <v>1026</v>
      </c>
      <c r="BG404" s="229" t="s">
        <v>8625</v>
      </c>
      <c r="BH404" s="230" t="s">
        <v>8477</v>
      </c>
      <c r="BI404" t="s">
        <v>2271</v>
      </c>
      <c r="BJ404" t="s">
        <v>2271</v>
      </c>
    </row>
    <row r="405" spans="1:62">
      <c r="A405" s="229" t="s">
        <v>7384</v>
      </c>
      <c r="B405" s="230" t="s">
        <v>516</v>
      </c>
      <c r="C405" s="230" t="s">
        <v>807</v>
      </c>
      <c r="D405" s="229" t="s">
        <v>7304</v>
      </c>
      <c r="E405" s="229" t="s">
        <v>7400</v>
      </c>
      <c r="F405" s="229" t="s">
        <v>7401</v>
      </c>
      <c r="G405" s="229" t="s">
        <v>907</v>
      </c>
      <c r="H405" s="229" t="s">
        <v>7402</v>
      </c>
      <c r="I405" s="229" t="s">
        <v>7403</v>
      </c>
      <c r="J405" s="231" t="s">
        <v>972</v>
      </c>
      <c r="K405" s="231" t="s">
        <v>7404</v>
      </c>
      <c r="L405" s="220" t="str">
        <f t="shared" si="98"/>
        <v>IE23</v>
      </c>
      <c r="M405" s="220" t="str">
        <f t="shared" si="99"/>
        <v/>
      </c>
      <c r="N405" s="220" t="str">
        <f t="shared" si="100"/>
        <v/>
      </c>
      <c r="O405" s="220" t="str">
        <f t="shared" si="101"/>
        <v/>
      </c>
      <c r="P405" s="52" t="str">
        <f t="shared" si="102"/>
        <v>IE23</v>
      </c>
      <c r="Q405" s="231" t="str">
        <f t="shared" si="108"/>
        <v>138</v>
      </c>
      <c r="R405" s="224">
        <f t="shared" si="95"/>
        <v>109</v>
      </c>
      <c r="S405" s="52">
        <f t="shared" si="103"/>
        <v>85</v>
      </c>
      <c r="T405" s="221">
        <f t="shared" ca="1" si="104"/>
        <v>2.72</v>
      </c>
      <c r="U405" s="221" t="str">
        <f t="shared" si="105"/>
        <v/>
      </c>
      <c r="V405" s="220" t="str">
        <f t="array" ref="V405">INDEX(P:P,MAX(U$3:U405))</f>
        <v>IE#2MTR</v>
      </c>
      <c r="W405" s="220" t="str">
        <f t="shared" ca="1" si="106"/>
        <v/>
      </c>
      <c r="X405" s="220">
        <f t="shared" si="107"/>
        <v>11.4</v>
      </c>
      <c r="Y405" s="220">
        <f t="shared" si="96"/>
        <v>0</v>
      </c>
      <c r="AA405" s="220" t="str">
        <f t="shared" si="97"/>
        <v>二林</v>
      </c>
      <c r="AB405" s="220" t="s">
        <v>2272</v>
      </c>
      <c r="AC405" s="220" t="str">
        <f>LEFT(B405,3)</f>
        <v>北平線</v>
      </c>
      <c r="BB405" s="514" t="s">
        <v>2328</v>
      </c>
      <c r="BC405" s="514">
        <v>451</v>
      </c>
      <c r="BD405" s="514">
        <v>2</v>
      </c>
      <c r="BE405" s="514">
        <v>453</v>
      </c>
      <c r="BG405" s="229" t="s">
        <v>8628</v>
      </c>
      <c r="BH405" s="230" t="s">
        <v>8632</v>
      </c>
      <c r="BI405" t="s">
        <v>2272</v>
      </c>
      <c r="BJ405" t="s">
        <v>2271</v>
      </c>
    </row>
    <row r="406" spans="1:62">
      <c r="A406" s="229" t="s">
        <v>7405</v>
      </c>
      <c r="B406" s="230" t="s">
        <v>7406</v>
      </c>
      <c r="C406" s="230" t="s">
        <v>7407</v>
      </c>
      <c r="D406" s="229" t="s">
        <v>7402</v>
      </c>
      <c r="E406" s="229" t="s">
        <v>7408</v>
      </c>
      <c r="F406" s="229" t="s">
        <v>7072</v>
      </c>
      <c r="G406" s="229" t="s">
        <v>7409</v>
      </c>
      <c r="H406" s="229" t="s">
        <v>5975</v>
      </c>
      <c r="I406" s="229" t="s">
        <v>7410</v>
      </c>
      <c r="J406" s="231" t="s">
        <v>7411</v>
      </c>
      <c r="K406" s="231" t="s">
        <v>7412</v>
      </c>
      <c r="L406" s="220" t="str">
        <f t="shared" si="98"/>
        <v>IE28</v>
      </c>
      <c r="M406" s="220" t="str">
        <f t="shared" si="99"/>
        <v/>
      </c>
      <c r="N406" s="220" t="str">
        <f t="shared" si="100"/>
        <v/>
      </c>
      <c r="O406" s="220" t="str">
        <f t="shared" si="101"/>
        <v/>
      </c>
      <c r="P406" s="52" t="str">
        <f t="shared" si="102"/>
        <v>IE28</v>
      </c>
      <c r="Q406" s="231" t="str">
        <f t="shared" si="108"/>
        <v>170</v>
      </c>
      <c r="R406" s="224">
        <f t="shared" si="95"/>
        <v>125</v>
      </c>
      <c r="S406" s="52">
        <f t="shared" si="103"/>
        <v>99</v>
      </c>
      <c r="T406" s="221">
        <f t="shared" ca="1" si="104"/>
        <v>3.36</v>
      </c>
      <c r="U406" s="221" t="str">
        <f t="shared" si="105"/>
        <v/>
      </c>
      <c r="V406" s="220" t="str">
        <f t="array" ref="V406">INDEX(P:P,MAX(U$3:U406))</f>
        <v>IE#2MTR</v>
      </c>
      <c r="W406" s="220" t="str">
        <f t="shared" ca="1" si="106"/>
        <v/>
      </c>
      <c r="X406" s="220">
        <f t="shared" si="107"/>
        <v>11.4</v>
      </c>
      <c r="Y406" s="220">
        <f t="shared" si="96"/>
        <v>0</v>
      </c>
      <c r="AA406" s="220" t="str">
        <f t="shared" si="97"/>
        <v>二林</v>
      </c>
      <c r="AB406" s="220" t="s">
        <v>2273</v>
      </c>
      <c r="AC406" s="220" t="str">
        <f>LEFT(B406,3)</f>
        <v>廣西線</v>
      </c>
      <c r="BB406" s="514" t="s">
        <v>2334</v>
      </c>
      <c r="BC406" s="514">
        <v>3757</v>
      </c>
      <c r="BD406" s="514">
        <v>1</v>
      </c>
      <c r="BE406" s="514">
        <v>3758</v>
      </c>
      <c r="BG406" s="229" t="s">
        <v>8625</v>
      </c>
      <c r="BH406" s="230" t="s">
        <v>8633</v>
      </c>
      <c r="BI406" t="s">
        <v>2273</v>
      </c>
      <c r="BJ406" t="s">
        <v>2271</v>
      </c>
    </row>
    <row r="407" spans="1:62">
      <c r="A407" s="229" t="s">
        <v>47</v>
      </c>
      <c r="B407" s="230" t="s">
        <v>517</v>
      </c>
      <c r="C407" s="230" t="s">
        <v>7413</v>
      </c>
      <c r="D407" s="229" t="s">
        <v>7414</v>
      </c>
      <c r="E407" s="229" t="s">
        <v>7415</v>
      </c>
      <c r="F407" s="229" t="s">
        <v>846</v>
      </c>
      <c r="G407" s="229" t="s">
        <v>807</v>
      </c>
      <c r="H407" s="229" t="s">
        <v>7416</v>
      </c>
      <c r="I407" s="229" t="s">
        <v>7417</v>
      </c>
      <c r="J407" s="231" t="s">
        <v>7418</v>
      </c>
      <c r="K407" s="231" t="s">
        <v>5791</v>
      </c>
      <c r="L407" s="220" t="str">
        <f t="shared" si="98"/>
        <v>IE20</v>
      </c>
      <c r="M407" s="220" t="str">
        <f t="shared" si="99"/>
        <v/>
      </c>
      <c r="N407" s="220" t="str">
        <f t="shared" si="100"/>
        <v/>
      </c>
      <c r="O407" s="220" t="str">
        <f t="shared" si="101"/>
        <v/>
      </c>
      <c r="P407" s="52" t="str">
        <f t="shared" si="102"/>
        <v>IE20</v>
      </c>
      <c r="Q407" s="231" t="str">
        <f t="shared" si="108"/>
        <v>109</v>
      </c>
      <c r="R407" s="224">
        <f t="shared" si="95"/>
        <v>107.33333333333333</v>
      </c>
      <c r="S407" s="52">
        <f t="shared" si="103"/>
        <v>104</v>
      </c>
      <c r="T407" s="221">
        <f t="shared" ca="1" si="104"/>
        <v>2.15</v>
      </c>
      <c r="U407" s="221" t="str">
        <f t="shared" si="105"/>
        <v/>
      </c>
      <c r="V407" s="220" t="str">
        <f t="array" ref="V407">INDEX(P:P,MAX(U$3:U407))</f>
        <v>IE#2MTR</v>
      </c>
      <c r="W407" s="220" t="str">
        <f t="shared" ca="1" si="106"/>
        <v/>
      </c>
      <c r="X407" s="220">
        <f t="shared" si="107"/>
        <v>11.4</v>
      </c>
      <c r="Y407" s="220">
        <f t="shared" si="96"/>
        <v>0</v>
      </c>
      <c r="AA407" s="220" t="str">
        <f t="shared" si="97"/>
        <v>二林</v>
      </c>
      <c r="AB407" s="220" t="s">
        <v>2274</v>
      </c>
      <c r="AC407" s="220" t="str">
        <f>LEFT(B407,3)</f>
        <v>三合線</v>
      </c>
      <c r="BB407" s="514" t="s">
        <v>2339</v>
      </c>
      <c r="BC407" s="514">
        <v>728</v>
      </c>
      <c r="BD407" s="514">
        <v>2</v>
      </c>
      <c r="BE407" s="514">
        <v>730</v>
      </c>
      <c r="BG407" s="229" t="s">
        <v>8628</v>
      </c>
      <c r="BH407" s="230" t="s">
        <v>8634</v>
      </c>
      <c r="BI407" t="s">
        <v>2274</v>
      </c>
      <c r="BJ407" t="s">
        <v>2271</v>
      </c>
    </row>
    <row r="408" spans="1:62">
      <c r="A408" s="229" t="s">
        <v>47</v>
      </c>
      <c r="B408" s="230" t="s">
        <v>518</v>
      </c>
      <c r="C408" s="230" t="s">
        <v>7419</v>
      </c>
      <c r="D408" s="229" t="s">
        <v>804</v>
      </c>
      <c r="E408" s="229" t="s">
        <v>7420</v>
      </c>
      <c r="F408" s="229" t="s">
        <v>7421</v>
      </c>
      <c r="G408" s="229" t="s">
        <v>1063</v>
      </c>
      <c r="H408" s="229" t="s">
        <v>7422</v>
      </c>
      <c r="I408" s="229" t="s">
        <v>4667</v>
      </c>
      <c r="J408" s="231" t="s">
        <v>7423</v>
      </c>
      <c r="K408" s="231" t="s">
        <v>7050</v>
      </c>
      <c r="L408" s="220" t="str">
        <f t="shared" si="98"/>
        <v>IE26</v>
      </c>
      <c r="M408" s="220" t="str">
        <f t="shared" si="99"/>
        <v/>
      </c>
      <c r="N408" s="220" t="str">
        <f t="shared" si="100"/>
        <v/>
      </c>
      <c r="O408" s="220" t="str">
        <f t="shared" si="101"/>
        <v/>
      </c>
      <c r="P408" s="52" t="str">
        <f t="shared" si="102"/>
        <v>IE26</v>
      </c>
      <c r="Q408" s="231" t="str">
        <f t="shared" si="108"/>
        <v>281</v>
      </c>
      <c r="R408" s="224">
        <f t="shared" si="95"/>
        <v>258.66666666666669</v>
      </c>
      <c r="S408" s="52">
        <f t="shared" si="103"/>
        <v>223</v>
      </c>
      <c r="T408" s="221">
        <f t="shared" ca="1" si="104"/>
        <v>5.55</v>
      </c>
      <c r="U408" s="221" t="str">
        <f t="shared" si="105"/>
        <v/>
      </c>
      <c r="V408" s="220" t="str">
        <f t="array" ref="V408">INDEX(P:P,MAX(U$3:U408))</f>
        <v>IE#2MTR</v>
      </c>
      <c r="W408" s="220" t="str">
        <f t="shared" ca="1" si="106"/>
        <v/>
      </c>
      <c r="X408" s="220">
        <f t="shared" si="107"/>
        <v>11.4</v>
      </c>
      <c r="Y408" s="220">
        <f t="shared" si="96"/>
        <v>0</v>
      </c>
      <c r="AA408" s="220" t="str">
        <f t="shared" si="97"/>
        <v>二林</v>
      </c>
      <c r="AB408" s="220" t="s">
        <v>2275</v>
      </c>
      <c r="AC408" s="220" t="str">
        <f>LEFT(B408,3)</f>
        <v>舊社線</v>
      </c>
      <c r="BB408" s="514" t="s">
        <v>2332</v>
      </c>
      <c r="BC408" s="514">
        <v>3155</v>
      </c>
      <c r="BD408" s="514">
        <v>2</v>
      </c>
      <c r="BE408" s="514">
        <v>3157</v>
      </c>
      <c r="BG408" s="229" t="s">
        <v>8625</v>
      </c>
      <c r="BH408" s="230" t="s">
        <v>8635</v>
      </c>
      <c r="BI408" t="s">
        <v>2275</v>
      </c>
      <c r="BJ408" t="s">
        <v>2271</v>
      </c>
    </row>
    <row r="409" spans="1:62">
      <c r="A409" s="229" t="s">
        <v>47</v>
      </c>
      <c r="B409" s="230" t="s">
        <v>519</v>
      </c>
      <c r="C409" s="230" t="s">
        <v>7424</v>
      </c>
      <c r="D409" s="229" t="s">
        <v>7355</v>
      </c>
      <c r="E409" s="229" t="s">
        <v>3150</v>
      </c>
      <c r="F409" s="229" t="s">
        <v>7072</v>
      </c>
      <c r="G409" s="229" t="s">
        <v>3200</v>
      </c>
      <c r="H409" s="229" t="s">
        <v>7425</v>
      </c>
      <c r="I409" s="229" t="s">
        <v>3200</v>
      </c>
      <c r="J409" s="231" t="s">
        <v>799</v>
      </c>
      <c r="K409" s="231" t="s">
        <v>5791</v>
      </c>
      <c r="L409" s="220" t="str">
        <f t="shared" si="98"/>
        <v>IE29</v>
      </c>
      <c r="M409" s="220" t="str">
        <f t="shared" si="99"/>
        <v/>
      </c>
      <c r="N409" s="220" t="str">
        <f t="shared" si="100"/>
        <v/>
      </c>
      <c r="O409" s="220" t="str">
        <f t="shared" si="101"/>
        <v/>
      </c>
      <c r="P409" s="52" t="str">
        <f t="shared" si="102"/>
        <v>IE29</v>
      </c>
      <c r="Q409" s="231" t="str">
        <f t="shared" si="108"/>
        <v>310</v>
      </c>
      <c r="R409" s="224">
        <f t="shared" si="95"/>
        <v>300</v>
      </c>
      <c r="S409" s="52">
        <f t="shared" si="103"/>
        <v>289</v>
      </c>
      <c r="T409" s="221">
        <f t="shared" ca="1" si="104"/>
        <v>6.12</v>
      </c>
      <c r="U409" s="221" t="str">
        <f t="shared" si="105"/>
        <v/>
      </c>
      <c r="V409" s="220" t="str">
        <f t="array" ref="V409">INDEX(P:P,MAX(U$3:U409))</f>
        <v>IE#2MTR</v>
      </c>
      <c r="W409" s="220" t="str">
        <f t="shared" ca="1" si="106"/>
        <v/>
      </c>
      <c r="X409" s="220">
        <f t="shared" si="107"/>
        <v>11.4</v>
      </c>
      <c r="Y409" s="220">
        <f t="shared" si="96"/>
        <v>0</v>
      </c>
      <c r="AA409" s="220" t="str">
        <f t="shared" si="97"/>
        <v>二林</v>
      </c>
      <c r="AB409" s="220" t="s">
        <v>2276</v>
      </c>
      <c r="AC409" s="220" t="str">
        <f>LEFT(B409,3)</f>
        <v>東興線</v>
      </c>
      <c r="BB409" s="514" t="s">
        <v>2333</v>
      </c>
      <c r="BC409" s="514">
        <v>2688</v>
      </c>
      <c r="BD409" s="514">
        <v>2</v>
      </c>
      <c r="BE409" s="514">
        <v>2690</v>
      </c>
      <c r="BG409" s="229" t="s">
        <v>47</v>
      </c>
      <c r="BH409" s="230" t="s">
        <v>8636</v>
      </c>
      <c r="BI409" t="s">
        <v>2276</v>
      </c>
      <c r="BJ409" t="s">
        <v>2271</v>
      </c>
    </row>
    <row r="410" spans="1:62">
      <c r="A410" s="229" t="s">
        <v>7426</v>
      </c>
      <c r="B410" s="230" t="s">
        <v>425</v>
      </c>
      <c r="C410" s="230" t="s">
        <v>4692</v>
      </c>
      <c r="D410" s="229" t="s">
        <v>7427</v>
      </c>
      <c r="E410" s="229" t="s">
        <v>4693</v>
      </c>
      <c r="F410" s="229" t="s">
        <v>797</v>
      </c>
      <c r="G410" s="229" t="s">
        <v>7428</v>
      </c>
      <c r="H410" s="229" t="s">
        <v>7429</v>
      </c>
      <c r="I410" s="229" t="s">
        <v>4692</v>
      </c>
      <c r="J410" s="231" t="s">
        <v>358</v>
      </c>
      <c r="K410" s="231" t="s">
        <v>358</v>
      </c>
      <c r="L410" s="220" t="str">
        <f t="shared" si="98"/>
        <v>IF#1MTR</v>
      </c>
      <c r="M410" s="220" t="str">
        <f t="shared" si="99"/>
        <v/>
      </c>
      <c r="N410" s="220" t="str">
        <f t="shared" si="100"/>
        <v>IF#1MTR</v>
      </c>
      <c r="O410" s="220" t="str">
        <f t="shared" si="101"/>
        <v/>
      </c>
      <c r="P410" s="52" t="str">
        <f t="shared" si="102"/>
        <v>IF#1MTR</v>
      </c>
      <c r="Q410" s="231" t="str">
        <f t="shared" si="108"/>
        <v>494</v>
      </c>
      <c r="R410" s="224">
        <f t="shared" si="95"/>
        <v>481.33333333333331</v>
      </c>
      <c r="S410" s="52">
        <f t="shared" si="103"/>
        <v>460</v>
      </c>
      <c r="T410" s="221">
        <f t="shared" ca="1" si="104"/>
        <v>9.75</v>
      </c>
      <c r="U410" s="221">
        <f t="shared" si="105"/>
        <v>410</v>
      </c>
      <c r="V410" s="220" t="str">
        <f t="array" ref="V410">INDEX(P:P,MAX(U$3:U410))</f>
        <v>IF#1MTR</v>
      </c>
      <c r="W410" s="220">
        <f t="shared" ca="1" si="106"/>
        <v>25</v>
      </c>
      <c r="X410" s="220" t="str">
        <f t="shared" si="107"/>
        <v/>
      </c>
      <c r="Y410" s="220">
        <f t="shared" si="96"/>
        <v>0</v>
      </c>
      <c r="AA410" s="220" t="str">
        <f t="shared" si="97"/>
        <v>溪州</v>
      </c>
      <c r="AB410" s="220" t="s">
        <v>2277</v>
      </c>
      <c r="BB410" s="514" t="s">
        <v>2330</v>
      </c>
      <c r="BC410" s="514">
        <v>977</v>
      </c>
      <c r="BD410" s="514">
        <v>1</v>
      </c>
      <c r="BE410" s="514">
        <v>978</v>
      </c>
      <c r="BG410" s="229" t="s">
        <v>8637</v>
      </c>
      <c r="BH410" s="230" t="s">
        <v>8591</v>
      </c>
      <c r="BI410" t="s">
        <v>2277</v>
      </c>
      <c r="BJ410" t="s">
        <v>2277</v>
      </c>
    </row>
    <row r="411" spans="1:62">
      <c r="A411" s="229" t="s">
        <v>48</v>
      </c>
      <c r="B411" s="230" t="s">
        <v>7430</v>
      </c>
      <c r="C411" s="230" t="s">
        <v>7431</v>
      </c>
      <c r="D411" s="229" t="s">
        <v>797</v>
      </c>
      <c r="E411" s="229" t="s">
        <v>349</v>
      </c>
      <c r="F411" s="229" t="s">
        <v>7422</v>
      </c>
      <c r="G411" s="229" t="s">
        <v>884</v>
      </c>
      <c r="H411" s="229" t="s">
        <v>5650</v>
      </c>
      <c r="I411" s="229" t="s">
        <v>868</v>
      </c>
      <c r="J411" s="231" t="s">
        <v>889</v>
      </c>
      <c r="K411" s="231" t="s">
        <v>859</v>
      </c>
      <c r="L411" s="220" t="str">
        <f t="shared" si="98"/>
        <v>IF21</v>
      </c>
      <c r="M411" s="220" t="str">
        <f t="shared" si="99"/>
        <v/>
      </c>
      <c r="N411" s="220" t="str">
        <f t="shared" si="100"/>
        <v/>
      </c>
      <c r="O411" s="220" t="str">
        <f t="shared" si="101"/>
        <v/>
      </c>
      <c r="P411" s="52" t="str">
        <f t="shared" si="102"/>
        <v>IF21</v>
      </c>
      <c r="Q411" s="231" t="str">
        <f t="shared" si="108"/>
        <v>45</v>
      </c>
      <c r="R411" s="224">
        <f t="shared" si="95"/>
        <v>32.333333333333336</v>
      </c>
      <c r="S411" s="52">
        <f t="shared" si="103"/>
        <v>11</v>
      </c>
      <c r="T411" s="221">
        <f t="shared" ca="1" si="104"/>
        <v>0.89</v>
      </c>
      <c r="U411" s="221" t="str">
        <f t="shared" si="105"/>
        <v/>
      </c>
      <c r="V411" s="220" t="str">
        <f t="array" ref="V411">INDEX(P:P,MAX(U$3:U411))</f>
        <v>IF#1MTR</v>
      </c>
      <c r="W411" s="220" t="str">
        <f t="shared" ca="1" si="106"/>
        <v/>
      </c>
      <c r="X411" s="220">
        <f t="shared" si="107"/>
        <v>11.4</v>
      </c>
      <c r="Y411" s="220">
        <f t="shared" si="96"/>
        <v>0</v>
      </c>
      <c r="AA411" s="220" t="str">
        <f t="shared" si="97"/>
        <v>溪州</v>
      </c>
      <c r="AB411" s="220" t="s">
        <v>2278</v>
      </c>
      <c r="AC411" s="220" t="str">
        <f>LEFT(B411,3)</f>
        <v>埤頭線</v>
      </c>
      <c r="BB411" s="514" t="s">
        <v>2337</v>
      </c>
      <c r="BC411" s="514">
        <v>2096</v>
      </c>
      <c r="BD411" s="514">
        <v>3</v>
      </c>
      <c r="BE411" s="514">
        <v>2099</v>
      </c>
      <c r="BG411" s="229" t="s">
        <v>8637</v>
      </c>
      <c r="BH411" s="230" t="s">
        <v>520</v>
      </c>
      <c r="BI411" t="s">
        <v>2278</v>
      </c>
      <c r="BJ411" t="s">
        <v>2277</v>
      </c>
    </row>
    <row r="412" spans="1:62">
      <c r="A412" s="229" t="s">
        <v>48</v>
      </c>
      <c r="B412" s="230" t="s">
        <v>521</v>
      </c>
      <c r="C412" s="230" t="s">
        <v>1031</v>
      </c>
      <c r="D412" s="229" t="s">
        <v>5650</v>
      </c>
      <c r="E412" s="229" t="s">
        <v>6956</v>
      </c>
      <c r="F412" s="229" t="s">
        <v>5650</v>
      </c>
      <c r="G412" s="229" t="s">
        <v>895</v>
      </c>
      <c r="H412" s="229" t="s">
        <v>5933</v>
      </c>
      <c r="I412" s="229" t="s">
        <v>1031</v>
      </c>
      <c r="J412" s="231" t="s">
        <v>841</v>
      </c>
      <c r="K412" s="231" t="s">
        <v>7198</v>
      </c>
      <c r="L412" s="220" t="str">
        <f t="shared" si="98"/>
        <v>IF25</v>
      </c>
      <c r="M412" s="220" t="str">
        <f t="shared" si="99"/>
        <v/>
      </c>
      <c r="N412" s="220" t="str">
        <f t="shared" si="100"/>
        <v/>
      </c>
      <c r="O412" s="220" t="str">
        <f t="shared" si="101"/>
        <v/>
      </c>
      <c r="P412" s="52" t="str">
        <f t="shared" si="102"/>
        <v>IF25</v>
      </c>
      <c r="Q412" s="231" t="str">
        <f t="shared" si="108"/>
        <v>198</v>
      </c>
      <c r="R412" s="224">
        <f t="shared" si="95"/>
        <v>190</v>
      </c>
      <c r="S412" s="52">
        <f t="shared" si="103"/>
        <v>184</v>
      </c>
      <c r="T412" s="221">
        <f t="shared" ca="1" si="104"/>
        <v>3.91</v>
      </c>
      <c r="U412" s="221" t="str">
        <f t="shared" si="105"/>
        <v/>
      </c>
      <c r="V412" s="220" t="str">
        <f t="array" ref="V412">INDEX(P:P,MAX(U$3:U412))</f>
        <v>IF#1MTR</v>
      </c>
      <c r="W412" s="220" t="str">
        <f t="shared" ca="1" si="106"/>
        <v/>
      </c>
      <c r="X412" s="220">
        <f t="shared" si="107"/>
        <v>11.4</v>
      </c>
      <c r="Y412" s="220">
        <f t="shared" si="96"/>
        <v>0</v>
      </c>
      <c r="AA412" s="220" t="str">
        <f t="shared" si="97"/>
        <v>溪州</v>
      </c>
      <c r="AB412" s="220" t="s">
        <v>2279</v>
      </c>
      <c r="AC412" s="220" t="str">
        <f>LEFT(B412,3)</f>
        <v>下霸線</v>
      </c>
      <c r="BB412" s="514" t="s">
        <v>2331</v>
      </c>
      <c r="BC412" s="514">
        <v>1794</v>
      </c>
      <c r="BD412" s="514">
        <v>2</v>
      </c>
      <c r="BE412" s="514">
        <v>1796</v>
      </c>
      <c r="BG412" s="229" t="s">
        <v>8637</v>
      </c>
      <c r="BH412" s="230" t="s">
        <v>521</v>
      </c>
      <c r="BI412" t="s">
        <v>2279</v>
      </c>
      <c r="BJ412" t="s">
        <v>2277</v>
      </c>
    </row>
    <row r="413" spans="1:62">
      <c r="A413" s="229" t="s">
        <v>48</v>
      </c>
      <c r="B413" s="230" t="s">
        <v>522</v>
      </c>
      <c r="C413" s="230" t="s">
        <v>7432</v>
      </c>
      <c r="D413" s="229" t="s">
        <v>5764</v>
      </c>
      <c r="E413" s="229" t="s">
        <v>856</v>
      </c>
      <c r="F413" s="229" t="s">
        <v>7429</v>
      </c>
      <c r="G413" s="229" t="s">
        <v>7433</v>
      </c>
      <c r="H413" s="229" t="s">
        <v>7383</v>
      </c>
      <c r="I413" s="229" t="s">
        <v>856</v>
      </c>
      <c r="J413" s="231" t="s">
        <v>897</v>
      </c>
      <c r="K413" s="231" t="s">
        <v>7056</v>
      </c>
      <c r="L413" s="220" t="str">
        <f t="shared" si="98"/>
        <v>IF30</v>
      </c>
      <c r="M413" s="220" t="str">
        <f t="shared" si="99"/>
        <v/>
      </c>
      <c r="N413" s="220" t="str">
        <f t="shared" si="100"/>
        <v/>
      </c>
      <c r="O413" s="220" t="str">
        <f t="shared" si="101"/>
        <v/>
      </c>
      <c r="P413" s="52" t="str">
        <f t="shared" si="102"/>
        <v>IF30</v>
      </c>
      <c r="Q413" s="231" t="str">
        <f t="shared" si="108"/>
        <v>244</v>
      </c>
      <c r="R413" s="224">
        <f t="shared" si="95"/>
        <v>237.33333333333334</v>
      </c>
      <c r="S413" s="52">
        <f t="shared" si="103"/>
        <v>230</v>
      </c>
      <c r="T413" s="221">
        <f t="shared" ca="1" si="104"/>
        <v>4.82</v>
      </c>
      <c r="U413" s="221" t="str">
        <f t="shared" si="105"/>
        <v/>
      </c>
      <c r="V413" s="220" t="str">
        <f t="array" ref="V413">INDEX(P:P,MAX(U$3:U413))</f>
        <v>IF#1MTR</v>
      </c>
      <c r="W413" s="220" t="str">
        <f t="shared" ca="1" si="106"/>
        <v/>
      </c>
      <c r="X413" s="220">
        <f t="shared" si="107"/>
        <v>11.4</v>
      </c>
      <c r="Y413" s="220">
        <f t="shared" si="96"/>
        <v>0</v>
      </c>
      <c r="AA413" s="220" t="str">
        <f t="shared" si="97"/>
        <v>溪州</v>
      </c>
      <c r="AB413" s="220" t="s">
        <v>2280</v>
      </c>
      <c r="AC413" s="220" t="str">
        <f>LEFT(B413,3)</f>
        <v>田頭線</v>
      </c>
      <c r="BB413" s="514" t="s">
        <v>3255</v>
      </c>
      <c r="BC413" s="514" t="s">
        <v>85</v>
      </c>
      <c r="BD413" s="514" t="s">
        <v>85</v>
      </c>
      <c r="BE413" s="514">
        <v>0</v>
      </c>
      <c r="BG413" s="229" t="s">
        <v>8637</v>
      </c>
      <c r="BH413" s="230" t="s">
        <v>8638</v>
      </c>
      <c r="BI413" t="s">
        <v>2280</v>
      </c>
      <c r="BJ413" t="s">
        <v>2277</v>
      </c>
    </row>
    <row r="414" spans="1:62">
      <c r="A414" s="229" t="s">
        <v>48</v>
      </c>
      <c r="B414" s="230" t="s">
        <v>7434</v>
      </c>
      <c r="C414" s="230" t="s">
        <v>840</v>
      </c>
      <c r="D414" s="229" t="s">
        <v>783</v>
      </c>
      <c r="E414" s="229" t="s">
        <v>7435</v>
      </c>
      <c r="F414" s="229" t="s">
        <v>7436</v>
      </c>
      <c r="G414" s="229" t="s">
        <v>978</v>
      </c>
      <c r="H414" s="229" t="s">
        <v>783</v>
      </c>
      <c r="I414" s="229" t="s">
        <v>7437</v>
      </c>
      <c r="J414" s="231" t="s">
        <v>805</v>
      </c>
      <c r="K414" s="231" t="s">
        <v>797</v>
      </c>
      <c r="L414" s="220" t="str">
        <f t="shared" si="98"/>
        <v>IF33</v>
      </c>
      <c r="M414" s="220" t="str">
        <f t="shared" si="99"/>
        <v/>
      </c>
      <c r="N414" s="220" t="str">
        <f t="shared" si="100"/>
        <v/>
      </c>
      <c r="O414" s="220" t="str">
        <f t="shared" si="101"/>
        <v/>
      </c>
      <c r="P414" s="52" t="str">
        <f t="shared" si="102"/>
        <v>IF33</v>
      </c>
      <c r="Q414" s="231" t="str">
        <f t="shared" si="108"/>
        <v>136</v>
      </c>
      <c r="R414" s="224">
        <f t="shared" si="95"/>
        <v>131.33333333333334</v>
      </c>
      <c r="S414" s="52">
        <f t="shared" si="103"/>
        <v>129</v>
      </c>
      <c r="T414" s="221">
        <f t="shared" ca="1" si="104"/>
        <v>2.69</v>
      </c>
      <c r="U414" s="221" t="str">
        <f t="shared" si="105"/>
        <v/>
      </c>
      <c r="V414" s="220" t="str">
        <f t="array" ref="V414">INDEX(P:P,MAX(U$3:U414))</f>
        <v>IF#1MTR</v>
      </c>
      <c r="W414" s="220" t="str">
        <f t="shared" ca="1" si="106"/>
        <v/>
      </c>
      <c r="X414" s="220">
        <f t="shared" si="107"/>
        <v>11.4</v>
      </c>
      <c r="Y414" s="220">
        <f t="shared" si="96"/>
        <v>0</v>
      </c>
      <c r="AA414" s="220" t="str">
        <f t="shared" si="97"/>
        <v>溪州</v>
      </c>
      <c r="AB414" s="220" t="s">
        <v>2281</v>
      </c>
      <c r="AC414" s="220" t="str">
        <f>LEFT(B414,3)</f>
        <v>溪工線</v>
      </c>
      <c r="BB414" s="514" t="s">
        <v>2350</v>
      </c>
      <c r="BC414" s="514">
        <v>692</v>
      </c>
      <c r="BD414" s="514">
        <v>4</v>
      </c>
      <c r="BE414" s="514">
        <v>696</v>
      </c>
      <c r="BG414" s="229" t="s">
        <v>8637</v>
      </c>
      <c r="BH414" s="230" t="s">
        <v>8639</v>
      </c>
      <c r="BI414" t="s">
        <v>2281</v>
      </c>
      <c r="BJ414" t="s">
        <v>2277</v>
      </c>
    </row>
    <row r="415" spans="1:62">
      <c r="A415" s="229" t="s">
        <v>48</v>
      </c>
      <c r="B415" s="230" t="s">
        <v>7438</v>
      </c>
      <c r="C415" s="230" t="s">
        <v>5614</v>
      </c>
      <c r="D415" s="229" t="s">
        <v>7269</v>
      </c>
      <c r="E415" s="229" t="s">
        <v>5614</v>
      </c>
      <c r="F415" s="229" t="s">
        <v>7269</v>
      </c>
      <c r="G415" s="229" t="s">
        <v>7439</v>
      </c>
      <c r="H415" s="229" t="s">
        <v>784</v>
      </c>
      <c r="I415" s="229" t="s">
        <v>7087</v>
      </c>
      <c r="J415" s="231" t="s">
        <v>5699</v>
      </c>
      <c r="K415" s="231" t="s">
        <v>7440</v>
      </c>
      <c r="L415" s="220" t="str">
        <f t="shared" si="98"/>
        <v>IF34</v>
      </c>
      <c r="M415" s="220" t="str">
        <f t="shared" si="99"/>
        <v/>
      </c>
      <c r="N415" s="220" t="str">
        <f t="shared" si="100"/>
        <v/>
      </c>
      <c r="O415" s="220" t="str">
        <f t="shared" si="101"/>
        <v/>
      </c>
      <c r="P415" s="52" t="str">
        <f t="shared" si="102"/>
        <v>IF34</v>
      </c>
      <c r="Q415" s="231" t="str">
        <f t="shared" si="108"/>
        <v>0</v>
      </c>
      <c r="R415" s="224">
        <f t="shared" si="95"/>
        <v>0</v>
      </c>
      <c r="S415" s="52">
        <f t="shared" si="103"/>
        <v>0</v>
      </c>
      <c r="T415" s="221">
        <f t="shared" ca="1" si="104"/>
        <v>0</v>
      </c>
      <c r="U415" s="221" t="str">
        <f t="shared" si="105"/>
        <v/>
      </c>
      <c r="V415" s="220" t="str">
        <f t="array" ref="V415">INDEX(P:P,MAX(U$3:U415))</f>
        <v>IF#1MTR</v>
      </c>
      <c r="W415" s="220" t="str">
        <f t="shared" ca="1" si="106"/>
        <v/>
      </c>
      <c r="X415" s="220">
        <f t="shared" si="107"/>
        <v>11.4</v>
      </c>
      <c r="Y415" s="220">
        <f t="shared" si="96"/>
        <v>0</v>
      </c>
      <c r="AA415" s="220" t="str">
        <f t="shared" si="97"/>
        <v>溪州</v>
      </c>
      <c r="AB415" s="220" t="s">
        <v>2282</v>
      </c>
      <c r="AC415" s="220" t="str">
        <f>LEFT(B415,3)</f>
        <v>農場線</v>
      </c>
      <c r="BB415" s="514" t="s">
        <v>2357</v>
      </c>
      <c r="BC415" s="514" t="s">
        <v>85</v>
      </c>
      <c r="BD415" s="514" t="s">
        <v>85</v>
      </c>
      <c r="BE415" s="514">
        <v>0</v>
      </c>
      <c r="BG415" s="229" t="s">
        <v>8637</v>
      </c>
      <c r="BH415" s="230" t="s">
        <v>8640</v>
      </c>
      <c r="BI415" t="s">
        <v>2282</v>
      </c>
      <c r="BJ415" t="s">
        <v>2277</v>
      </c>
    </row>
    <row r="416" spans="1:62">
      <c r="A416" s="229" t="s">
        <v>48</v>
      </c>
      <c r="B416" s="230" t="s">
        <v>7441</v>
      </c>
      <c r="C416" s="230" t="s">
        <v>4694</v>
      </c>
      <c r="D416" s="229" t="s">
        <v>7072</v>
      </c>
      <c r="E416" s="229" t="s">
        <v>4695</v>
      </c>
      <c r="F416" s="229" t="s">
        <v>797</v>
      </c>
      <c r="G416" s="229" t="s">
        <v>4696</v>
      </c>
      <c r="H416" s="229" t="s">
        <v>846</v>
      </c>
      <c r="I416" s="229" t="s">
        <v>7442</v>
      </c>
      <c r="J416" s="231" t="s">
        <v>358</v>
      </c>
      <c r="K416" s="231" t="s">
        <v>358</v>
      </c>
      <c r="L416" s="220" t="str">
        <f t="shared" si="98"/>
        <v>IF#2MTR</v>
      </c>
      <c r="M416" s="220" t="str">
        <f t="shared" si="99"/>
        <v/>
      </c>
      <c r="N416" s="220" t="str">
        <f t="shared" si="100"/>
        <v>IF#2MTR</v>
      </c>
      <c r="O416" s="220" t="str">
        <f t="shared" si="101"/>
        <v/>
      </c>
      <c r="P416" s="52" t="str">
        <f t="shared" si="102"/>
        <v>IF#2MTR</v>
      </c>
      <c r="Q416" s="231" t="str">
        <f t="shared" si="108"/>
        <v>613</v>
      </c>
      <c r="R416" s="224">
        <f t="shared" si="95"/>
        <v>585.33333333333337</v>
      </c>
      <c r="S416" s="52">
        <f t="shared" si="103"/>
        <v>564</v>
      </c>
      <c r="T416" s="221">
        <f t="shared" ca="1" si="104"/>
        <v>12.1</v>
      </c>
      <c r="U416" s="221">
        <f t="shared" si="105"/>
        <v>416</v>
      </c>
      <c r="V416" s="220" t="str">
        <f t="array" ref="V416">INDEX(P:P,MAX(U$3:U416))</f>
        <v>IF#2MTR</v>
      </c>
      <c r="W416" s="220">
        <f t="shared" ca="1" si="106"/>
        <v>25</v>
      </c>
      <c r="X416" s="220" t="str">
        <f t="shared" si="107"/>
        <v/>
      </c>
      <c r="Y416" s="220">
        <f t="shared" si="96"/>
        <v>0</v>
      </c>
      <c r="AA416" s="220" t="str">
        <f t="shared" si="97"/>
        <v>溪州</v>
      </c>
      <c r="AB416" s="220" t="s">
        <v>2283</v>
      </c>
      <c r="BB416" s="514" t="s">
        <v>2345</v>
      </c>
      <c r="BC416" s="514">
        <v>2120</v>
      </c>
      <c r="BD416" s="514">
        <v>6</v>
      </c>
      <c r="BE416" s="514">
        <v>2126</v>
      </c>
      <c r="BG416" s="229" t="s">
        <v>8637</v>
      </c>
      <c r="BH416" s="230" t="s">
        <v>8477</v>
      </c>
      <c r="BI416" t="s">
        <v>2283</v>
      </c>
      <c r="BJ416" t="s">
        <v>2283</v>
      </c>
    </row>
    <row r="417" spans="1:62">
      <c r="A417" s="229" t="s">
        <v>48</v>
      </c>
      <c r="B417" s="230" t="s">
        <v>523</v>
      </c>
      <c r="C417" s="230" t="s">
        <v>1024</v>
      </c>
      <c r="D417" s="229" t="s">
        <v>783</v>
      </c>
      <c r="E417" s="229" t="s">
        <v>7443</v>
      </c>
      <c r="F417" s="229" t="s">
        <v>7113</v>
      </c>
      <c r="G417" s="229" t="s">
        <v>7444</v>
      </c>
      <c r="H417" s="229" t="s">
        <v>7445</v>
      </c>
      <c r="I417" s="229" t="s">
        <v>7446</v>
      </c>
      <c r="J417" s="231" t="s">
        <v>7447</v>
      </c>
      <c r="K417" s="231" t="s">
        <v>797</v>
      </c>
      <c r="L417" s="220" t="str">
        <f t="shared" si="98"/>
        <v>IF22</v>
      </c>
      <c r="M417" s="220" t="str">
        <f t="shared" si="99"/>
        <v/>
      </c>
      <c r="N417" s="220" t="str">
        <f t="shared" si="100"/>
        <v/>
      </c>
      <c r="O417" s="220" t="str">
        <f t="shared" si="101"/>
        <v/>
      </c>
      <c r="P417" s="52" t="str">
        <f t="shared" si="102"/>
        <v>IF22</v>
      </c>
      <c r="Q417" s="231" t="str">
        <f t="shared" si="108"/>
        <v>19</v>
      </c>
      <c r="R417" s="224">
        <f t="shared" ref="R417:R480" si="109">AVERAGE(C417*1,E417*1,G417*1)</f>
        <v>18.666666666666668</v>
      </c>
      <c r="S417" s="52">
        <f t="shared" si="103"/>
        <v>18</v>
      </c>
      <c r="T417" s="221">
        <f t="shared" ca="1" si="104"/>
        <v>0.38</v>
      </c>
      <c r="U417" s="221" t="str">
        <f t="shared" si="105"/>
        <v/>
      </c>
      <c r="V417" s="220" t="str">
        <f t="array" ref="V417">INDEX(P:P,MAX(U$3:U417))</f>
        <v>IF#2MTR</v>
      </c>
      <c r="W417" s="220" t="str">
        <f t="shared" ca="1" si="106"/>
        <v/>
      </c>
      <c r="X417" s="220">
        <f t="shared" si="107"/>
        <v>11.4</v>
      </c>
      <c r="Y417" s="220">
        <f t="shared" si="96"/>
        <v>0</v>
      </c>
      <c r="AA417" s="220" t="str">
        <f t="shared" si="97"/>
        <v>溪州</v>
      </c>
      <c r="AB417" s="220" t="s">
        <v>2284</v>
      </c>
      <c r="AC417" s="220" t="str">
        <f>LEFT(B417,3)</f>
        <v>潮洋線</v>
      </c>
      <c r="BB417" s="514" t="s">
        <v>2342</v>
      </c>
      <c r="BC417" s="514">
        <v>1752</v>
      </c>
      <c r="BD417" s="514">
        <v>7</v>
      </c>
      <c r="BE417" s="514">
        <v>1759</v>
      </c>
      <c r="BG417" s="229" t="s">
        <v>8637</v>
      </c>
      <c r="BH417" s="230" t="s">
        <v>8641</v>
      </c>
      <c r="BI417" t="s">
        <v>2284</v>
      </c>
      <c r="BJ417" t="s">
        <v>2283</v>
      </c>
    </row>
    <row r="418" spans="1:62">
      <c r="A418" s="229" t="s">
        <v>48</v>
      </c>
      <c r="B418" s="230" t="s">
        <v>524</v>
      </c>
      <c r="C418" s="230" t="s">
        <v>7448</v>
      </c>
      <c r="D418" s="229" t="s">
        <v>5836</v>
      </c>
      <c r="E418" s="229" t="s">
        <v>865</v>
      </c>
      <c r="F418" s="229" t="s">
        <v>850</v>
      </c>
      <c r="G418" s="229" t="s">
        <v>7449</v>
      </c>
      <c r="H418" s="229" t="s">
        <v>846</v>
      </c>
      <c r="I418" s="229" t="s">
        <v>877</v>
      </c>
      <c r="J418" s="231" t="s">
        <v>7450</v>
      </c>
      <c r="K418" s="231" t="s">
        <v>850</v>
      </c>
      <c r="L418" s="220" t="str">
        <f t="shared" si="98"/>
        <v>IF23</v>
      </c>
      <c r="M418" s="220" t="str">
        <f t="shared" si="99"/>
        <v/>
      </c>
      <c r="N418" s="220" t="str">
        <f t="shared" si="100"/>
        <v/>
      </c>
      <c r="O418" s="220" t="str">
        <f t="shared" si="101"/>
        <v/>
      </c>
      <c r="P418" s="52" t="str">
        <f t="shared" si="102"/>
        <v>IF23</v>
      </c>
      <c r="Q418" s="231" t="str">
        <f t="shared" si="108"/>
        <v>98</v>
      </c>
      <c r="R418" s="224">
        <f t="shared" si="109"/>
        <v>76</v>
      </c>
      <c r="S418" s="52">
        <f t="shared" si="103"/>
        <v>49</v>
      </c>
      <c r="T418" s="221">
        <f t="shared" ca="1" si="104"/>
        <v>1.94</v>
      </c>
      <c r="U418" s="221" t="str">
        <f t="shared" si="105"/>
        <v/>
      </c>
      <c r="V418" s="220" t="str">
        <f t="array" ref="V418">INDEX(P:P,MAX(U$3:U418))</f>
        <v>IF#2MTR</v>
      </c>
      <c r="W418" s="220" t="str">
        <f t="shared" ca="1" si="106"/>
        <v/>
      </c>
      <c r="X418" s="220">
        <f t="shared" si="107"/>
        <v>11.4</v>
      </c>
      <c r="Y418" s="220">
        <f t="shared" si="96"/>
        <v>0</v>
      </c>
      <c r="AA418" s="220" t="str">
        <f t="shared" si="97"/>
        <v>溪州</v>
      </c>
      <c r="AB418" s="220" t="s">
        <v>2285</v>
      </c>
      <c r="AC418" s="220" t="str">
        <f>LEFT(B418,3)</f>
        <v>路口線</v>
      </c>
      <c r="BB418" s="514" t="s">
        <v>2355</v>
      </c>
      <c r="BC418" s="514">
        <v>1778</v>
      </c>
      <c r="BD418" s="514">
        <v>4</v>
      </c>
      <c r="BE418" s="514">
        <v>1782</v>
      </c>
      <c r="BG418" s="229" t="s">
        <v>8642</v>
      </c>
      <c r="BH418" s="230" t="s">
        <v>8643</v>
      </c>
      <c r="BI418" t="s">
        <v>2285</v>
      </c>
      <c r="BJ418" t="s">
        <v>2283</v>
      </c>
    </row>
    <row r="419" spans="1:62">
      <c r="A419" s="229" t="s">
        <v>48</v>
      </c>
      <c r="B419" s="230" t="s">
        <v>525</v>
      </c>
      <c r="C419" s="230" t="s">
        <v>842</v>
      </c>
      <c r="D419" s="229" t="s">
        <v>5949</v>
      </c>
      <c r="E419" s="229" t="s">
        <v>6256</v>
      </c>
      <c r="F419" s="229" t="s">
        <v>839</v>
      </c>
      <c r="G419" s="229" t="s">
        <v>6297</v>
      </c>
      <c r="H419" s="229" t="s">
        <v>5764</v>
      </c>
      <c r="I419" s="229" t="s">
        <v>7451</v>
      </c>
      <c r="J419" s="231" t="s">
        <v>925</v>
      </c>
      <c r="K419" s="231" t="s">
        <v>859</v>
      </c>
      <c r="L419" s="220" t="str">
        <f t="shared" si="98"/>
        <v>IF31</v>
      </c>
      <c r="M419" s="220" t="str">
        <f t="shared" si="99"/>
        <v/>
      </c>
      <c r="N419" s="220" t="str">
        <f t="shared" si="100"/>
        <v/>
      </c>
      <c r="O419" s="220" t="str">
        <f t="shared" si="101"/>
        <v/>
      </c>
      <c r="P419" s="52" t="str">
        <f t="shared" si="102"/>
        <v>IF31</v>
      </c>
      <c r="Q419" s="231" t="str">
        <f t="shared" si="108"/>
        <v>48</v>
      </c>
      <c r="R419" s="224">
        <f t="shared" si="109"/>
        <v>46.333333333333336</v>
      </c>
      <c r="S419" s="52">
        <f t="shared" si="103"/>
        <v>44</v>
      </c>
      <c r="T419" s="221">
        <f t="shared" ca="1" si="104"/>
        <v>0.95</v>
      </c>
      <c r="U419" s="221" t="str">
        <f t="shared" si="105"/>
        <v/>
      </c>
      <c r="V419" s="220" t="str">
        <f t="array" ref="V419">INDEX(P:P,MAX(U$3:U419))</f>
        <v>IF#2MTR</v>
      </c>
      <c r="W419" s="220" t="str">
        <f t="shared" ca="1" si="106"/>
        <v/>
      </c>
      <c r="X419" s="220">
        <f t="shared" si="107"/>
        <v>11.4</v>
      </c>
      <c r="Y419" s="220">
        <f t="shared" si="96"/>
        <v>0</v>
      </c>
      <c r="AA419" s="220" t="str">
        <f t="shared" si="97"/>
        <v>溪州</v>
      </c>
      <c r="AB419" s="220" t="s">
        <v>2286</v>
      </c>
      <c r="AC419" s="220" t="str">
        <f>LEFT(B419,3)</f>
        <v>溪竹線</v>
      </c>
      <c r="BB419" s="514" t="s">
        <v>2356</v>
      </c>
      <c r="BC419" s="514" t="s">
        <v>85</v>
      </c>
      <c r="BD419" s="514" t="s">
        <v>85</v>
      </c>
      <c r="BE419" s="514">
        <v>0</v>
      </c>
      <c r="BG419" s="229" t="s">
        <v>8637</v>
      </c>
      <c r="BH419" s="230" t="s">
        <v>8644</v>
      </c>
      <c r="BI419" t="s">
        <v>2286</v>
      </c>
      <c r="BJ419" t="s">
        <v>2283</v>
      </c>
    </row>
    <row r="420" spans="1:62">
      <c r="A420" s="229" t="s">
        <v>48</v>
      </c>
      <c r="B420" s="230" t="s">
        <v>7452</v>
      </c>
      <c r="C420" s="230" t="s">
        <v>903</v>
      </c>
      <c r="D420" s="229" t="s">
        <v>835</v>
      </c>
      <c r="E420" s="229" t="s">
        <v>876</v>
      </c>
      <c r="F420" s="229" t="s">
        <v>783</v>
      </c>
      <c r="G420" s="229" t="s">
        <v>815</v>
      </c>
      <c r="H420" s="229" t="s">
        <v>835</v>
      </c>
      <c r="I420" s="229" t="s">
        <v>815</v>
      </c>
      <c r="J420" s="231" t="s">
        <v>800</v>
      </c>
      <c r="K420" s="231" t="s">
        <v>5733</v>
      </c>
      <c r="L420" s="220" t="str">
        <f t="shared" si="98"/>
        <v>IF24</v>
      </c>
      <c r="M420" s="220" t="str">
        <f t="shared" si="99"/>
        <v/>
      </c>
      <c r="N420" s="220" t="str">
        <f t="shared" si="100"/>
        <v/>
      </c>
      <c r="O420" s="220" t="str">
        <f t="shared" si="101"/>
        <v/>
      </c>
      <c r="P420" s="52" t="str">
        <f t="shared" si="102"/>
        <v>IF24</v>
      </c>
      <c r="Q420" s="231" t="str">
        <f t="shared" si="108"/>
        <v>251</v>
      </c>
      <c r="R420" s="224">
        <f t="shared" si="109"/>
        <v>243.66666666666666</v>
      </c>
      <c r="S420" s="52">
        <f t="shared" si="103"/>
        <v>237</v>
      </c>
      <c r="T420" s="221">
        <f t="shared" ca="1" si="104"/>
        <v>4.96</v>
      </c>
      <c r="U420" s="221" t="str">
        <f t="shared" si="105"/>
        <v/>
      </c>
      <c r="V420" s="220" t="str">
        <f t="array" ref="V420">INDEX(P:P,MAX(U$3:U420))</f>
        <v>IF#2MTR</v>
      </c>
      <c r="W420" s="220" t="str">
        <f t="shared" ca="1" si="106"/>
        <v/>
      </c>
      <c r="X420" s="220">
        <f t="shared" si="107"/>
        <v>11.4</v>
      </c>
      <c r="Y420" s="220">
        <f t="shared" si="96"/>
        <v>0</v>
      </c>
      <c r="AA420" s="220" t="str">
        <f t="shared" si="97"/>
        <v>溪州</v>
      </c>
      <c r="AB420" s="220" t="s">
        <v>2287</v>
      </c>
      <c r="AC420" s="220" t="str">
        <f>LEFT(B420,3)</f>
        <v>埤工線</v>
      </c>
      <c r="BB420" s="514" t="s">
        <v>2348</v>
      </c>
      <c r="BC420" s="514">
        <v>1580</v>
      </c>
      <c r="BD420" s="514">
        <v>3</v>
      </c>
      <c r="BE420" s="514">
        <v>1583</v>
      </c>
      <c r="BG420" s="229" t="s">
        <v>8637</v>
      </c>
      <c r="BH420" s="230" t="s">
        <v>8645</v>
      </c>
      <c r="BI420" t="s">
        <v>2287</v>
      </c>
      <c r="BJ420" t="s">
        <v>2283</v>
      </c>
    </row>
    <row r="421" spans="1:62">
      <c r="A421" s="229" t="s">
        <v>48</v>
      </c>
      <c r="B421" s="230" t="s">
        <v>7453</v>
      </c>
      <c r="C421" s="230" t="s">
        <v>7454</v>
      </c>
      <c r="D421" s="229" t="s">
        <v>846</v>
      </c>
      <c r="E421" s="229" t="s">
        <v>1028</v>
      </c>
      <c r="F421" s="229" t="s">
        <v>846</v>
      </c>
      <c r="G421" s="229" t="s">
        <v>817</v>
      </c>
      <c r="H421" s="229" t="s">
        <v>846</v>
      </c>
      <c r="I421" s="229" t="s">
        <v>7454</v>
      </c>
      <c r="J421" s="231" t="s">
        <v>795</v>
      </c>
      <c r="K421" s="231" t="s">
        <v>797</v>
      </c>
      <c r="L421" s="220" t="str">
        <f t="shared" si="98"/>
        <v>IF26</v>
      </c>
      <c r="M421" s="220" t="str">
        <f t="shared" si="99"/>
        <v/>
      </c>
      <c r="N421" s="220" t="str">
        <f t="shared" si="100"/>
        <v/>
      </c>
      <c r="O421" s="220" t="str">
        <f t="shared" si="101"/>
        <v/>
      </c>
      <c r="P421" s="52" t="str">
        <f t="shared" si="102"/>
        <v>IF26</v>
      </c>
      <c r="Q421" s="231" t="str">
        <f t="shared" si="108"/>
        <v>269</v>
      </c>
      <c r="R421" s="224">
        <f t="shared" si="109"/>
        <v>248</v>
      </c>
      <c r="S421" s="52">
        <f t="shared" si="103"/>
        <v>225</v>
      </c>
      <c r="T421" s="221">
        <f t="shared" ca="1" si="104"/>
        <v>5.31</v>
      </c>
      <c r="U421" s="221" t="str">
        <f t="shared" si="105"/>
        <v/>
      </c>
      <c r="V421" s="220" t="str">
        <f t="array" ref="V421">INDEX(P:P,MAX(U$3:U421))</f>
        <v>IF#2MTR</v>
      </c>
      <c r="W421" s="220" t="str">
        <f t="shared" ca="1" si="106"/>
        <v/>
      </c>
      <c r="X421" s="220">
        <f t="shared" si="107"/>
        <v>11.4</v>
      </c>
      <c r="Y421" s="220">
        <f t="shared" si="96"/>
        <v>0</v>
      </c>
      <c r="AA421" s="220" t="str">
        <f t="shared" si="97"/>
        <v>溪州</v>
      </c>
      <c r="AB421" s="220" t="s">
        <v>2288</v>
      </c>
      <c r="AC421" s="220" t="str">
        <f>LEFT(B421,3)</f>
        <v>埔尾線</v>
      </c>
      <c r="BB421" s="514" t="s">
        <v>2358</v>
      </c>
      <c r="BC421" s="514" t="s">
        <v>85</v>
      </c>
      <c r="BD421" s="514" t="s">
        <v>85</v>
      </c>
      <c r="BE421" s="514">
        <v>0</v>
      </c>
      <c r="BG421" s="229" t="s">
        <v>8642</v>
      </c>
      <c r="BH421" s="230" t="s">
        <v>8646</v>
      </c>
      <c r="BI421" t="s">
        <v>2288</v>
      </c>
      <c r="BJ421" t="s">
        <v>2283</v>
      </c>
    </row>
    <row r="422" spans="1:62">
      <c r="A422" s="229" t="s">
        <v>48</v>
      </c>
      <c r="B422" s="230" t="s">
        <v>430</v>
      </c>
      <c r="C422" s="230" t="s">
        <v>4697</v>
      </c>
      <c r="D422" s="229" t="s">
        <v>797</v>
      </c>
      <c r="E422" s="229" t="s">
        <v>4698</v>
      </c>
      <c r="F422" s="229" t="s">
        <v>846</v>
      </c>
      <c r="G422" s="229" t="s">
        <v>3148</v>
      </c>
      <c r="H422" s="229" t="s">
        <v>846</v>
      </c>
      <c r="I422" s="229" t="s">
        <v>3148</v>
      </c>
      <c r="J422" s="231" t="s">
        <v>358</v>
      </c>
      <c r="K422" s="231" t="s">
        <v>358</v>
      </c>
      <c r="L422" s="220" t="str">
        <f t="shared" si="98"/>
        <v>IF#3MTR</v>
      </c>
      <c r="M422" s="220" t="str">
        <f t="shared" si="99"/>
        <v/>
      </c>
      <c r="N422" s="220" t="str">
        <f t="shared" si="100"/>
        <v>IF#3MTR</v>
      </c>
      <c r="O422" s="220" t="str">
        <f t="shared" si="101"/>
        <v/>
      </c>
      <c r="P422" s="52" t="str">
        <f t="shared" si="102"/>
        <v>IF#3MTR</v>
      </c>
      <c r="Q422" s="231" t="str">
        <f t="shared" si="108"/>
        <v>680</v>
      </c>
      <c r="R422" s="224">
        <f t="shared" si="109"/>
        <v>664.33333333333337</v>
      </c>
      <c r="S422" s="52">
        <f t="shared" si="103"/>
        <v>649</v>
      </c>
      <c r="T422" s="221">
        <f t="shared" ca="1" si="104"/>
        <v>13.43</v>
      </c>
      <c r="U422" s="221">
        <f t="shared" si="105"/>
        <v>422</v>
      </c>
      <c r="V422" s="220" t="str">
        <f t="array" ref="V422">INDEX(P:P,MAX(U$3:U422))</f>
        <v>IF#3MTR</v>
      </c>
      <c r="W422" s="220">
        <f t="shared" ca="1" si="106"/>
        <v>25</v>
      </c>
      <c r="X422" s="220" t="str">
        <f t="shared" si="107"/>
        <v/>
      </c>
      <c r="Y422" s="220">
        <f t="shared" si="96"/>
        <v>0</v>
      </c>
      <c r="AA422" s="220" t="str">
        <f t="shared" si="97"/>
        <v>溪州</v>
      </c>
      <c r="AB422" s="220" t="s">
        <v>2289</v>
      </c>
      <c r="BB422" s="514" t="s">
        <v>2349</v>
      </c>
      <c r="BC422" s="514">
        <v>747</v>
      </c>
      <c r="BD422" s="514">
        <v>4</v>
      </c>
      <c r="BE422" s="514">
        <v>751</v>
      </c>
      <c r="BG422" s="229" t="s">
        <v>8642</v>
      </c>
      <c r="BH422" s="230" t="s">
        <v>8538</v>
      </c>
      <c r="BI422" t="s">
        <v>2289</v>
      </c>
      <c r="BJ422" t="s">
        <v>2289</v>
      </c>
    </row>
    <row r="423" spans="1:62">
      <c r="A423" s="229" t="s">
        <v>48</v>
      </c>
      <c r="B423" s="230" t="s">
        <v>526</v>
      </c>
      <c r="C423" s="230" t="s">
        <v>806</v>
      </c>
      <c r="D423" s="229" t="s">
        <v>783</v>
      </c>
      <c r="E423" s="229" t="s">
        <v>931</v>
      </c>
      <c r="F423" s="229" t="s">
        <v>846</v>
      </c>
      <c r="G423" s="229" t="s">
        <v>925</v>
      </c>
      <c r="H423" s="229" t="s">
        <v>7118</v>
      </c>
      <c r="I423" s="229" t="s">
        <v>931</v>
      </c>
      <c r="J423" s="231" t="s">
        <v>1023</v>
      </c>
      <c r="K423" s="231" t="s">
        <v>7455</v>
      </c>
      <c r="L423" s="220" t="str">
        <f t="shared" si="98"/>
        <v>IF35</v>
      </c>
      <c r="M423" s="220" t="str">
        <f t="shared" si="99"/>
        <v/>
      </c>
      <c r="N423" s="220" t="str">
        <f t="shared" si="100"/>
        <v/>
      </c>
      <c r="O423" s="220" t="str">
        <f t="shared" si="101"/>
        <v/>
      </c>
      <c r="P423" s="52" t="str">
        <f t="shared" si="102"/>
        <v>IF35</v>
      </c>
      <c r="Q423" s="231" t="str">
        <f t="shared" si="108"/>
        <v>23</v>
      </c>
      <c r="R423" s="224">
        <f t="shared" si="109"/>
        <v>18.666666666666668</v>
      </c>
      <c r="S423" s="52">
        <f t="shared" si="103"/>
        <v>16</v>
      </c>
      <c r="T423" s="221">
        <f t="shared" ca="1" si="104"/>
        <v>0.45</v>
      </c>
      <c r="U423" s="221" t="str">
        <f t="shared" si="105"/>
        <v/>
      </c>
      <c r="V423" s="220" t="str">
        <f t="array" ref="V423">INDEX(P:P,MAX(U$3:U423))</f>
        <v>IF#3MTR</v>
      </c>
      <c r="W423" s="220" t="str">
        <f t="shared" ca="1" si="106"/>
        <v/>
      </c>
      <c r="X423" s="220">
        <f t="shared" si="107"/>
        <v>11.4</v>
      </c>
      <c r="Y423" s="220">
        <f t="shared" si="96"/>
        <v>0</v>
      </c>
      <c r="AA423" s="220" t="str">
        <f t="shared" si="97"/>
        <v>溪州</v>
      </c>
      <c r="AB423" s="220" t="s">
        <v>2290</v>
      </c>
      <c r="AC423" s="220" t="str">
        <f t="shared" ref="AC423:AC428" si="110">LEFT(B423,4)</f>
        <v>IF35</v>
      </c>
      <c r="BB423" s="514" t="s">
        <v>2351</v>
      </c>
      <c r="BC423" s="514">
        <v>1537</v>
      </c>
      <c r="BD423" s="514">
        <v>3</v>
      </c>
      <c r="BE423" s="514">
        <v>1540</v>
      </c>
      <c r="BG423" s="229" t="s">
        <v>48</v>
      </c>
      <c r="BH423" s="230" t="s">
        <v>8647</v>
      </c>
      <c r="BI423" t="s">
        <v>2290</v>
      </c>
      <c r="BJ423" t="s">
        <v>2289</v>
      </c>
    </row>
    <row r="424" spans="1:62">
      <c r="A424" s="229" t="s">
        <v>7456</v>
      </c>
      <c r="B424" s="230" t="s">
        <v>527</v>
      </c>
      <c r="C424" s="230" t="s">
        <v>826</v>
      </c>
      <c r="D424" s="229" t="s">
        <v>5791</v>
      </c>
      <c r="E424" s="229" t="s">
        <v>888</v>
      </c>
      <c r="F424" s="229" t="s">
        <v>846</v>
      </c>
      <c r="G424" s="229" t="s">
        <v>833</v>
      </c>
      <c r="H424" s="229" t="s">
        <v>7457</v>
      </c>
      <c r="I424" s="229" t="s">
        <v>7415</v>
      </c>
      <c r="J424" s="231" t="s">
        <v>7458</v>
      </c>
      <c r="K424" s="231" t="s">
        <v>5650</v>
      </c>
      <c r="L424" s="220" t="str">
        <f t="shared" si="98"/>
        <v>IF39</v>
      </c>
      <c r="M424" s="220" t="str">
        <f t="shared" si="99"/>
        <v/>
      </c>
      <c r="N424" s="220" t="str">
        <f t="shared" si="100"/>
        <v/>
      </c>
      <c r="O424" s="220" t="str">
        <f t="shared" si="101"/>
        <v/>
      </c>
      <c r="P424" s="52" t="str">
        <f t="shared" si="102"/>
        <v>IF39</v>
      </c>
      <c r="Q424" s="231" t="str">
        <f t="shared" si="108"/>
        <v>109</v>
      </c>
      <c r="R424" s="224">
        <f t="shared" si="109"/>
        <v>100.66666666666667</v>
      </c>
      <c r="S424" s="52">
        <f t="shared" si="103"/>
        <v>92</v>
      </c>
      <c r="T424" s="221">
        <f t="shared" ca="1" si="104"/>
        <v>2.15</v>
      </c>
      <c r="U424" s="221" t="str">
        <f t="shared" si="105"/>
        <v/>
      </c>
      <c r="V424" s="220" t="str">
        <f t="array" ref="V424">INDEX(P:P,MAX(U$3:U424))</f>
        <v>IF#3MTR</v>
      </c>
      <c r="W424" s="220" t="str">
        <f t="shared" ca="1" si="106"/>
        <v/>
      </c>
      <c r="X424" s="220">
        <f t="shared" si="107"/>
        <v>11.4</v>
      </c>
      <c r="Y424" s="220">
        <f t="shared" si="96"/>
        <v>0</v>
      </c>
      <c r="AA424" s="220" t="str">
        <f t="shared" si="97"/>
        <v>溪州</v>
      </c>
      <c r="AB424" s="220" t="s">
        <v>2291</v>
      </c>
      <c r="AC424" s="220" t="str">
        <f t="shared" si="110"/>
        <v>IF39</v>
      </c>
      <c r="BB424" s="514" t="s">
        <v>2344</v>
      </c>
      <c r="BC424" s="514">
        <v>88</v>
      </c>
      <c r="BD424" s="514">
        <v>4</v>
      </c>
      <c r="BE424" s="514">
        <v>92</v>
      </c>
      <c r="BG424" s="229" t="s">
        <v>8642</v>
      </c>
      <c r="BH424" s="230" t="s">
        <v>8648</v>
      </c>
      <c r="BI424" t="s">
        <v>2291</v>
      </c>
      <c r="BJ424" t="s">
        <v>2289</v>
      </c>
    </row>
    <row r="425" spans="1:62">
      <c r="A425" s="229" t="s">
        <v>48</v>
      </c>
      <c r="B425" s="230" t="s">
        <v>528</v>
      </c>
      <c r="C425" s="230" t="s">
        <v>4667</v>
      </c>
      <c r="D425" s="229" t="s">
        <v>797</v>
      </c>
      <c r="E425" s="229" t="s">
        <v>4667</v>
      </c>
      <c r="F425" s="229" t="s">
        <v>797</v>
      </c>
      <c r="G425" s="229" t="s">
        <v>1011</v>
      </c>
      <c r="H425" s="229" t="s">
        <v>846</v>
      </c>
      <c r="I425" s="229" t="s">
        <v>1011</v>
      </c>
      <c r="J425" s="231" t="s">
        <v>842</v>
      </c>
      <c r="K425" s="231" t="s">
        <v>5791</v>
      </c>
      <c r="L425" s="220" t="str">
        <f t="shared" si="98"/>
        <v>IF37</v>
      </c>
      <c r="M425" s="220" t="str">
        <f t="shared" si="99"/>
        <v/>
      </c>
      <c r="N425" s="220" t="str">
        <f t="shared" si="100"/>
        <v/>
      </c>
      <c r="O425" s="220" t="str">
        <f t="shared" si="101"/>
        <v/>
      </c>
      <c r="P425" s="52" t="str">
        <f t="shared" si="102"/>
        <v>IF37</v>
      </c>
      <c r="Q425" s="231" t="str">
        <f t="shared" si="108"/>
        <v>297</v>
      </c>
      <c r="R425" s="224">
        <f t="shared" si="109"/>
        <v>286.33333333333331</v>
      </c>
      <c r="S425" s="52">
        <f t="shared" si="103"/>
        <v>281</v>
      </c>
      <c r="T425" s="221">
        <f t="shared" ca="1" si="104"/>
        <v>5.86</v>
      </c>
      <c r="U425" s="221" t="str">
        <f t="shared" si="105"/>
        <v/>
      </c>
      <c r="V425" s="220" t="str">
        <f t="array" ref="V425">INDEX(P:P,MAX(U$3:U425))</f>
        <v>IF#3MTR</v>
      </c>
      <c r="W425" s="220" t="str">
        <f t="shared" ca="1" si="106"/>
        <v/>
      </c>
      <c r="X425" s="220">
        <f t="shared" si="107"/>
        <v>11.4</v>
      </c>
      <c r="Y425" s="220">
        <f t="shared" si="96"/>
        <v>0</v>
      </c>
      <c r="AA425" s="220" t="str">
        <f t="shared" si="97"/>
        <v>溪州</v>
      </c>
      <c r="AB425" s="220" t="s">
        <v>2292</v>
      </c>
      <c r="AC425" s="220" t="str">
        <f t="shared" si="110"/>
        <v>IF37</v>
      </c>
      <c r="BB425" s="514" t="s">
        <v>2354</v>
      </c>
      <c r="BC425" s="514" t="s">
        <v>85</v>
      </c>
      <c r="BD425" s="514" t="s">
        <v>85</v>
      </c>
      <c r="BE425" s="514">
        <v>0</v>
      </c>
      <c r="BG425" s="229" t="s">
        <v>8642</v>
      </c>
      <c r="BH425" s="230" t="s">
        <v>8649</v>
      </c>
      <c r="BI425" t="s">
        <v>2292</v>
      </c>
      <c r="BJ425" t="s">
        <v>2289</v>
      </c>
    </row>
    <row r="426" spans="1:62">
      <c r="A426" s="229" t="s">
        <v>48</v>
      </c>
      <c r="B426" s="230" t="s">
        <v>529</v>
      </c>
      <c r="C426" s="230" t="s">
        <v>5888</v>
      </c>
      <c r="D426" s="229" t="s">
        <v>846</v>
      </c>
      <c r="E426" s="229" t="s">
        <v>7459</v>
      </c>
      <c r="F426" s="229" t="s">
        <v>846</v>
      </c>
      <c r="G426" s="229" t="s">
        <v>959</v>
      </c>
      <c r="H426" s="229" t="s">
        <v>7393</v>
      </c>
      <c r="I426" s="229" t="s">
        <v>959</v>
      </c>
      <c r="J426" s="231" t="s">
        <v>796</v>
      </c>
      <c r="K426" s="231" t="s">
        <v>5650</v>
      </c>
      <c r="L426" s="220" t="str">
        <f t="shared" si="98"/>
        <v>IF38</v>
      </c>
      <c r="M426" s="220" t="str">
        <f t="shared" si="99"/>
        <v/>
      </c>
      <c r="N426" s="220" t="str">
        <f t="shared" si="100"/>
        <v/>
      </c>
      <c r="O426" s="220" t="str">
        <f t="shared" si="101"/>
        <v/>
      </c>
      <c r="P426" s="52" t="str">
        <f t="shared" si="102"/>
        <v>IF38</v>
      </c>
      <c r="Q426" s="231" t="str">
        <f t="shared" si="108"/>
        <v>170</v>
      </c>
      <c r="R426" s="224">
        <f t="shared" si="109"/>
        <v>165</v>
      </c>
      <c r="S426" s="52">
        <f t="shared" si="103"/>
        <v>160</v>
      </c>
      <c r="T426" s="221">
        <f t="shared" ca="1" si="104"/>
        <v>3.36</v>
      </c>
      <c r="U426" s="221" t="str">
        <f t="shared" si="105"/>
        <v/>
      </c>
      <c r="V426" s="220" t="str">
        <f t="array" ref="V426">INDEX(P:P,MAX(U$3:U426))</f>
        <v>IF#3MTR</v>
      </c>
      <c r="W426" s="220" t="str">
        <f t="shared" ca="1" si="106"/>
        <v/>
      </c>
      <c r="X426" s="220">
        <f t="shared" si="107"/>
        <v>11.4</v>
      </c>
      <c r="Y426" s="220">
        <f t="shared" si="96"/>
        <v>0</v>
      </c>
      <c r="AA426" s="220" t="str">
        <f t="shared" si="97"/>
        <v>溪州</v>
      </c>
      <c r="AB426" s="220" t="s">
        <v>2293</v>
      </c>
      <c r="AC426" s="220" t="str">
        <f t="shared" si="110"/>
        <v>IF38</v>
      </c>
      <c r="BB426" s="514" t="s">
        <v>2352</v>
      </c>
      <c r="BC426" s="514">
        <v>3226</v>
      </c>
      <c r="BD426" s="514">
        <v>2</v>
      </c>
      <c r="BE426" s="514">
        <v>3228</v>
      </c>
      <c r="BG426" s="229" t="s">
        <v>8637</v>
      </c>
      <c r="BH426" s="230" t="s">
        <v>8650</v>
      </c>
      <c r="BI426" t="s">
        <v>2293</v>
      </c>
      <c r="BJ426" t="s">
        <v>2289</v>
      </c>
    </row>
    <row r="427" spans="1:62">
      <c r="A427" s="229" t="s">
        <v>48</v>
      </c>
      <c r="B427" s="230" t="s">
        <v>530</v>
      </c>
      <c r="C427" s="230" t="s">
        <v>1049</v>
      </c>
      <c r="D427" s="229" t="s">
        <v>850</v>
      </c>
      <c r="E427" s="229" t="s">
        <v>807</v>
      </c>
      <c r="F427" s="229" t="s">
        <v>850</v>
      </c>
      <c r="G427" s="229" t="s">
        <v>7460</v>
      </c>
      <c r="H427" s="229" t="s">
        <v>850</v>
      </c>
      <c r="I427" s="229" t="s">
        <v>1049</v>
      </c>
      <c r="J427" s="231" t="s">
        <v>7174</v>
      </c>
      <c r="K427" s="231" t="s">
        <v>5975</v>
      </c>
      <c r="L427" s="220" t="str">
        <f t="shared" si="98"/>
        <v>IF36</v>
      </c>
      <c r="M427" s="220" t="str">
        <f t="shared" si="99"/>
        <v/>
      </c>
      <c r="N427" s="220" t="str">
        <f t="shared" si="100"/>
        <v/>
      </c>
      <c r="O427" s="220" t="str">
        <f t="shared" si="101"/>
        <v/>
      </c>
      <c r="P427" s="52" t="str">
        <f t="shared" si="102"/>
        <v>IF36</v>
      </c>
      <c r="Q427" s="231" t="str">
        <f t="shared" si="108"/>
        <v>171</v>
      </c>
      <c r="R427" s="224">
        <f t="shared" si="109"/>
        <v>130</v>
      </c>
      <c r="S427" s="52">
        <f t="shared" si="103"/>
        <v>104</v>
      </c>
      <c r="T427" s="221">
        <f t="shared" ca="1" si="104"/>
        <v>3.38</v>
      </c>
      <c r="U427" s="221" t="str">
        <f t="shared" si="105"/>
        <v/>
      </c>
      <c r="V427" s="220" t="str">
        <f t="array" ref="V427">INDEX(P:P,MAX(U$3:U427))</f>
        <v>IF#3MTR</v>
      </c>
      <c r="W427" s="220" t="str">
        <f t="shared" ca="1" si="106"/>
        <v/>
      </c>
      <c r="X427" s="220">
        <f t="shared" si="107"/>
        <v>11.4</v>
      </c>
      <c r="Y427" s="220">
        <f t="shared" si="96"/>
        <v>0</v>
      </c>
      <c r="AA427" s="220" t="str">
        <f t="shared" si="97"/>
        <v>溪州</v>
      </c>
      <c r="AB427" s="220" t="s">
        <v>2294</v>
      </c>
      <c r="AC427" s="220" t="str">
        <f t="shared" si="110"/>
        <v>IF36</v>
      </c>
      <c r="BB427" s="514" t="s">
        <v>2343</v>
      </c>
      <c r="BC427" s="514">
        <v>1279</v>
      </c>
      <c r="BD427" s="514">
        <v>2</v>
      </c>
      <c r="BE427" s="514">
        <v>1281</v>
      </c>
      <c r="BG427" s="229" t="s">
        <v>8642</v>
      </c>
      <c r="BH427" s="230" t="s">
        <v>8651</v>
      </c>
      <c r="BI427" t="s">
        <v>2294</v>
      </c>
      <c r="BJ427" t="s">
        <v>2289</v>
      </c>
    </row>
    <row r="428" spans="1:62">
      <c r="A428" s="229" t="s">
        <v>48</v>
      </c>
      <c r="B428" s="230" t="s">
        <v>531</v>
      </c>
      <c r="C428" s="230" t="s">
        <v>4699</v>
      </c>
      <c r="D428" s="229" t="s">
        <v>797</v>
      </c>
      <c r="E428" s="229" t="s">
        <v>4700</v>
      </c>
      <c r="F428" s="229" t="s">
        <v>7461</v>
      </c>
      <c r="G428" s="229" t="s">
        <v>4681</v>
      </c>
      <c r="H428" s="229" t="s">
        <v>846</v>
      </c>
      <c r="I428" s="229" t="s">
        <v>4699</v>
      </c>
      <c r="J428" s="231" t="s">
        <v>358</v>
      </c>
      <c r="K428" s="231" t="s">
        <v>358</v>
      </c>
      <c r="L428" s="220" t="str">
        <f t="shared" si="98"/>
        <v>IF#4MTR</v>
      </c>
      <c r="M428" s="220" t="str">
        <f t="shared" si="99"/>
        <v/>
      </c>
      <c r="N428" s="220" t="str">
        <f t="shared" si="100"/>
        <v>IF#4MTR</v>
      </c>
      <c r="O428" s="220" t="str">
        <f t="shared" si="101"/>
        <v/>
      </c>
      <c r="P428" s="52" t="str">
        <f t="shared" si="102"/>
        <v>IF#4MTR</v>
      </c>
      <c r="Q428" s="231" t="str">
        <f t="shared" si="108"/>
        <v>574</v>
      </c>
      <c r="R428" s="224">
        <f t="shared" si="109"/>
        <v>540.33333333333337</v>
      </c>
      <c r="S428" s="52">
        <f t="shared" si="103"/>
        <v>492</v>
      </c>
      <c r="T428" s="221">
        <f t="shared" ca="1" si="104"/>
        <v>11.33</v>
      </c>
      <c r="U428" s="221">
        <f t="shared" si="105"/>
        <v>428</v>
      </c>
      <c r="V428" s="220" t="str">
        <f t="array" ref="V428">INDEX(P:P,MAX(U$3:U428))</f>
        <v>IF#4MTR</v>
      </c>
      <c r="W428" s="220">
        <f t="shared" ca="1" si="106"/>
        <v>25</v>
      </c>
      <c r="X428" s="220" t="str">
        <f t="shared" si="107"/>
        <v/>
      </c>
      <c r="Y428" s="220">
        <f t="shared" si="96"/>
        <v>0</v>
      </c>
      <c r="AA428" s="220" t="str">
        <f t="shared" si="97"/>
        <v>溪州</v>
      </c>
      <c r="AB428" s="220" t="s">
        <v>2295</v>
      </c>
      <c r="AC428" s="220" t="str">
        <f t="shared" si="110"/>
        <v>#4MT</v>
      </c>
      <c r="BB428" s="514" t="s">
        <v>2346</v>
      </c>
      <c r="BC428" s="514">
        <v>1209</v>
      </c>
      <c r="BD428" s="514">
        <v>2</v>
      </c>
      <c r="BE428" s="514">
        <v>1211</v>
      </c>
      <c r="BG428" s="229" t="s">
        <v>8642</v>
      </c>
      <c r="BH428" s="230" t="s">
        <v>531</v>
      </c>
      <c r="BI428" t="s">
        <v>2295</v>
      </c>
      <c r="BJ428" t="s">
        <v>2295</v>
      </c>
    </row>
    <row r="429" spans="1:62">
      <c r="A429" s="229" t="s">
        <v>48</v>
      </c>
      <c r="B429" s="230" t="s">
        <v>532</v>
      </c>
      <c r="C429" s="230" t="s">
        <v>7462</v>
      </c>
      <c r="D429" s="229" t="s">
        <v>7072</v>
      </c>
      <c r="E429" s="229" t="s">
        <v>868</v>
      </c>
      <c r="F429" s="229" t="s">
        <v>846</v>
      </c>
      <c r="G429" s="229" t="s">
        <v>889</v>
      </c>
      <c r="H429" s="229" t="s">
        <v>797</v>
      </c>
      <c r="I429" s="229" t="s">
        <v>889</v>
      </c>
      <c r="J429" s="231" t="s">
        <v>7463</v>
      </c>
      <c r="K429" s="231" t="s">
        <v>789</v>
      </c>
      <c r="L429" s="220" t="str">
        <f t="shared" si="98"/>
        <v>IF27</v>
      </c>
      <c r="M429" s="220" t="str">
        <f t="shared" si="99"/>
        <v/>
      </c>
      <c r="N429" s="220" t="str">
        <f t="shared" si="100"/>
        <v/>
      </c>
      <c r="O429" s="220" t="str">
        <f t="shared" si="101"/>
        <v/>
      </c>
      <c r="P429" s="52" t="str">
        <f t="shared" si="102"/>
        <v>IF27</v>
      </c>
      <c r="Q429" s="231" t="str">
        <f t="shared" si="108"/>
        <v>46</v>
      </c>
      <c r="R429" s="224">
        <f t="shared" si="109"/>
        <v>45.333333333333336</v>
      </c>
      <c r="S429" s="52">
        <f t="shared" si="103"/>
        <v>45</v>
      </c>
      <c r="T429" s="221">
        <f t="shared" ca="1" si="104"/>
        <v>0.91</v>
      </c>
      <c r="U429" s="221" t="str">
        <f t="shared" si="105"/>
        <v/>
      </c>
      <c r="V429" s="220" t="str">
        <f t="array" ref="V429">INDEX(P:P,MAX(U$3:U429))</f>
        <v>IF#4MTR</v>
      </c>
      <c r="W429" s="220" t="str">
        <f t="shared" ca="1" si="106"/>
        <v/>
      </c>
      <c r="X429" s="220">
        <f t="shared" si="107"/>
        <v>11.4</v>
      </c>
      <c r="Y429" s="220">
        <f t="shared" si="96"/>
        <v>0</v>
      </c>
      <c r="AA429" s="220" t="str">
        <f t="shared" si="97"/>
        <v>溪州</v>
      </c>
      <c r="AB429" s="220" t="s">
        <v>2296</v>
      </c>
      <c r="AC429" s="220" t="str">
        <f>LEFT(B429,3)</f>
        <v>元埔線</v>
      </c>
      <c r="BB429" s="514" t="s">
        <v>3256</v>
      </c>
      <c r="BC429" s="514" t="s">
        <v>85</v>
      </c>
      <c r="BD429" s="514" t="s">
        <v>85</v>
      </c>
      <c r="BE429" s="514">
        <v>0</v>
      </c>
      <c r="BG429" s="229" t="s">
        <v>8642</v>
      </c>
      <c r="BH429" s="230" t="s">
        <v>8652</v>
      </c>
      <c r="BI429" t="s">
        <v>2296</v>
      </c>
      <c r="BJ429" t="s">
        <v>2295</v>
      </c>
    </row>
    <row r="430" spans="1:62">
      <c r="A430" s="229" t="s">
        <v>48</v>
      </c>
      <c r="B430" s="230" t="s">
        <v>533</v>
      </c>
      <c r="C430" s="230" t="s">
        <v>3171</v>
      </c>
      <c r="D430" s="229" t="s">
        <v>797</v>
      </c>
      <c r="E430" s="229" t="s">
        <v>4667</v>
      </c>
      <c r="F430" s="229" t="s">
        <v>7050</v>
      </c>
      <c r="G430" s="229" t="s">
        <v>1010</v>
      </c>
      <c r="H430" s="229" t="s">
        <v>846</v>
      </c>
      <c r="I430" s="229" t="s">
        <v>7464</v>
      </c>
      <c r="J430" s="231" t="s">
        <v>881</v>
      </c>
      <c r="K430" s="231" t="s">
        <v>5949</v>
      </c>
      <c r="L430" s="220" t="str">
        <f t="shared" si="98"/>
        <v>IF20</v>
      </c>
      <c r="M430" s="220" t="str">
        <f t="shared" si="99"/>
        <v/>
      </c>
      <c r="N430" s="220" t="str">
        <f t="shared" si="100"/>
        <v/>
      </c>
      <c r="O430" s="220" t="str">
        <f t="shared" si="101"/>
        <v/>
      </c>
      <c r="P430" s="52" t="str">
        <f t="shared" si="102"/>
        <v>IF20</v>
      </c>
      <c r="Q430" s="231" t="str">
        <f t="shared" si="108"/>
        <v>319</v>
      </c>
      <c r="R430" s="224">
        <f t="shared" si="109"/>
        <v>302</v>
      </c>
      <c r="S430" s="52">
        <f t="shared" si="103"/>
        <v>281</v>
      </c>
      <c r="T430" s="221">
        <f t="shared" ca="1" si="104"/>
        <v>6.3</v>
      </c>
      <c r="U430" s="221" t="str">
        <f t="shared" si="105"/>
        <v/>
      </c>
      <c r="V430" s="220" t="str">
        <f t="array" ref="V430">INDEX(P:P,MAX(U$3:U430))</f>
        <v>IF#4MTR</v>
      </c>
      <c r="W430" s="220" t="str">
        <f t="shared" ca="1" si="106"/>
        <v/>
      </c>
      <c r="X430" s="220">
        <f t="shared" si="107"/>
        <v>11.4</v>
      </c>
      <c r="Y430" s="220">
        <f t="shared" si="96"/>
        <v>0</v>
      </c>
      <c r="AA430" s="220" t="str">
        <f t="shared" si="97"/>
        <v>溪州</v>
      </c>
      <c r="AB430" s="220" t="s">
        <v>2297</v>
      </c>
      <c r="AC430" s="220" t="str">
        <f>LEFT(B430,3)</f>
        <v>溪斗線</v>
      </c>
      <c r="BB430" s="514" t="s">
        <v>2360</v>
      </c>
      <c r="BC430" s="514">
        <v>1299</v>
      </c>
      <c r="BD430" s="514">
        <v>6</v>
      </c>
      <c r="BE430" s="514">
        <v>1305</v>
      </c>
      <c r="BG430" s="229" t="s">
        <v>8642</v>
      </c>
      <c r="BH430" s="230" t="s">
        <v>8653</v>
      </c>
      <c r="BI430" t="s">
        <v>2297</v>
      </c>
      <c r="BJ430" t="s">
        <v>2295</v>
      </c>
    </row>
    <row r="431" spans="1:62">
      <c r="A431" s="229" t="s">
        <v>7456</v>
      </c>
      <c r="B431" s="230" t="s">
        <v>534</v>
      </c>
      <c r="C431" s="230" t="s">
        <v>820</v>
      </c>
      <c r="D431" s="229" t="s">
        <v>797</v>
      </c>
      <c r="E431" s="229" t="s">
        <v>980</v>
      </c>
      <c r="F431" s="229" t="s">
        <v>846</v>
      </c>
      <c r="G431" s="229" t="s">
        <v>995</v>
      </c>
      <c r="H431" s="229" t="s">
        <v>846</v>
      </c>
      <c r="I431" s="229" t="s">
        <v>820</v>
      </c>
      <c r="J431" s="231" t="s">
        <v>7465</v>
      </c>
      <c r="K431" s="231" t="s">
        <v>832</v>
      </c>
      <c r="L431" s="220" t="str">
        <f t="shared" si="98"/>
        <v>IF28</v>
      </c>
      <c r="M431" s="220" t="str">
        <f t="shared" si="99"/>
        <v/>
      </c>
      <c r="N431" s="220" t="str">
        <f t="shared" si="100"/>
        <v/>
      </c>
      <c r="O431" s="220" t="str">
        <f t="shared" si="101"/>
        <v/>
      </c>
      <c r="P431" s="52" t="str">
        <f t="shared" si="102"/>
        <v>IF28</v>
      </c>
      <c r="Q431" s="231" t="str">
        <f t="shared" si="108"/>
        <v>144</v>
      </c>
      <c r="R431" s="224">
        <f t="shared" si="109"/>
        <v>135.33333333333334</v>
      </c>
      <c r="S431" s="52">
        <f t="shared" si="103"/>
        <v>130</v>
      </c>
      <c r="T431" s="221">
        <f t="shared" ca="1" si="104"/>
        <v>2.84</v>
      </c>
      <c r="U431" s="221" t="str">
        <f t="shared" si="105"/>
        <v/>
      </c>
      <c r="V431" s="220" t="str">
        <f t="array" ref="V431">INDEX(P:P,MAX(U$3:U431))</f>
        <v>IF#4MTR</v>
      </c>
      <c r="W431" s="220" t="str">
        <f t="shared" ca="1" si="106"/>
        <v/>
      </c>
      <c r="X431" s="220">
        <f t="shared" si="107"/>
        <v>11.4</v>
      </c>
      <c r="Y431" s="220">
        <f t="shared" si="96"/>
        <v>0</v>
      </c>
      <c r="AA431" s="220" t="str">
        <f t="shared" si="97"/>
        <v>溪州</v>
      </c>
      <c r="AB431" s="220" t="s">
        <v>2298</v>
      </c>
      <c r="AC431" s="220" t="str">
        <f>LEFT(B431,3)</f>
        <v>南州線</v>
      </c>
      <c r="BB431" s="514" t="s">
        <v>2361</v>
      </c>
      <c r="BC431" s="514">
        <v>149</v>
      </c>
      <c r="BD431" s="514">
        <v>1</v>
      </c>
      <c r="BE431" s="514">
        <v>150</v>
      </c>
      <c r="BG431" s="229" t="s">
        <v>8637</v>
      </c>
      <c r="BH431" s="230" t="s">
        <v>8654</v>
      </c>
      <c r="BI431" t="s">
        <v>2298</v>
      </c>
      <c r="BJ431" t="s">
        <v>2295</v>
      </c>
    </row>
    <row r="432" spans="1:62">
      <c r="A432" s="229" t="s">
        <v>48</v>
      </c>
      <c r="B432" s="230" t="s">
        <v>535</v>
      </c>
      <c r="C432" s="230" t="s">
        <v>825</v>
      </c>
      <c r="D432" s="229" t="s">
        <v>850</v>
      </c>
      <c r="E432" s="229" t="s">
        <v>793</v>
      </c>
      <c r="F432" s="229" t="s">
        <v>6514</v>
      </c>
      <c r="G432" s="229" t="s">
        <v>1009</v>
      </c>
      <c r="H432" s="229" t="s">
        <v>845</v>
      </c>
      <c r="I432" s="229" t="s">
        <v>7466</v>
      </c>
      <c r="J432" s="231" t="s">
        <v>844</v>
      </c>
      <c r="K432" s="231" t="s">
        <v>850</v>
      </c>
      <c r="L432" s="220" t="str">
        <f t="shared" si="98"/>
        <v>IF32</v>
      </c>
      <c r="M432" s="220" t="str">
        <f t="shared" si="99"/>
        <v/>
      </c>
      <c r="N432" s="220" t="str">
        <f t="shared" si="100"/>
        <v/>
      </c>
      <c r="O432" s="220" t="str">
        <f t="shared" si="101"/>
        <v/>
      </c>
      <c r="P432" s="52" t="str">
        <f t="shared" si="102"/>
        <v>IF32</v>
      </c>
      <c r="Q432" s="231" t="str">
        <f t="shared" si="108"/>
        <v>89</v>
      </c>
      <c r="R432" s="224">
        <f t="shared" si="109"/>
        <v>61.666666666666664</v>
      </c>
      <c r="S432" s="52">
        <f t="shared" si="103"/>
        <v>37</v>
      </c>
      <c r="T432" s="221">
        <f t="shared" ca="1" si="104"/>
        <v>1.76</v>
      </c>
      <c r="U432" s="221" t="str">
        <f t="shared" si="105"/>
        <v/>
      </c>
      <c r="V432" s="220" t="str">
        <f t="array" ref="V432">INDEX(P:P,MAX(U$3:U432))</f>
        <v>IF#4MTR</v>
      </c>
      <c r="W432" s="220" t="str">
        <f t="shared" ca="1" si="106"/>
        <v/>
      </c>
      <c r="X432" s="220">
        <f t="shared" si="107"/>
        <v>11.4</v>
      </c>
      <c r="Y432" s="220">
        <f t="shared" si="96"/>
        <v>0</v>
      </c>
      <c r="AA432" s="220" t="str">
        <f t="shared" si="97"/>
        <v>溪州</v>
      </c>
      <c r="AB432" s="220" t="s">
        <v>2299</v>
      </c>
      <c r="AC432" s="220" t="str">
        <f>LEFT(B432,3)</f>
        <v>溪林線</v>
      </c>
      <c r="BB432" s="514" t="s">
        <v>2362</v>
      </c>
      <c r="BC432" s="514">
        <v>924</v>
      </c>
      <c r="BD432" s="514">
        <v>4</v>
      </c>
      <c r="BE432" s="514">
        <v>928</v>
      </c>
      <c r="BG432" s="229" t="s">
        <v>48</v>
      </c>
      <c r="BH432" s="230" t="s">
        <v>8655</v>
      </c>
      <c r="BI432" t="s">
        <v>2299</v>
      </c>
      <c r="BJ432" t="s">
        <v>2295</v>
      </c>
    </row>
    <row r="433" spans="1:62">
      <c r="A433" s="229" t="s">
        <v>7467</v>
      </c>
      <c r="B433" s="230" t="s">
        <v>536</v>
      </c>
      <c r="C433" s="230" t="s">
        <v>1038</v>
      </c>
      <c r="D433" s="229" t="s">
        <v>846</v>
      </c>
      <c r="E433" s="229" t="s">
        <v>349</v>
      </c>
      <c r="F433" s="229" t="s">
        <v>832</v>
      </c>
      <c r="G433" s="229" t="s">
        <v>1032</v>
      </c>
      <c r="H433" s="229" t="s">
        <v>832</v>
      </c>
      <c r="I433" s="229" t="s">
        <v>349</v>
      </c>
      <c r="J433" s="231" t="s">
        <v>806</v>
      </c>
      <c r="K433" s="231" t="s">
        <v>804</v>
      </c>
      <c r="L433" s="220" t="str">
        <f t="shared" si="98"/>
        <v>IF29</v>
      </c>
      <c r="M433" s="220" t="str">
        <f t="shared" si="99"/>
        <v/>
      </c>
      <c r="N433" s="220" t="str">
        <f t="shared" si="100"/>
        <v/>
      </c>
      <c r="O433" s="220" t="str">
        <f t="shared" si="101"/>
        <v/>
      </c>
      <c r="P433" s="52" t="str">
        <f t="shared" si="102"/>
        <v>IF29</v>
      </c>
      <c r="Q433" s="231" t="str">
        <f t="shared" si="108"/>
        <v>11</v>
      </c>
      <c r="R433" s="224">
        <f t="shared" si="109"/>
        <v>8.6666666666666661</v>
      </c>
      <c r="S433" s="52">
        <f t="shared" si="103"/>
        <v>5</v>
      </c>
      <c r="T433" s="221">
        <f t="shared" ca="1" si="104"/>
        <v>0.22</v>
      </c>
      <c r="U433" s="221" t="str">
        <f t="shared" si="105"/>
        <v/>
      </c>
      <c r="V433" s="220" t="str">
        <f t="array" ref="V433">INDEX(P:P,MAX(U$3:U433))</f>
        <v>IF#4MTR</v>
      </c>
      <c r="W433" s="220" t="str">
        <f t="shared" ca="1" si="106"/>
        <v/>
      </c>
      <c r="X433" s="220">
        <f t="shared" si="107"/>
        <v>11.4</v>
      </c>
      <c r="Y433" s="220">
        <f t="shared" si="96"/>
        <v>0</v>
      </c>
      <c r="AA433" s="220" t="str">
        <f t="shared" si="97"/>
        <v>溪州</v>
      </c>
      <c r="AB433" s="220" t="s">
        <v>2300</v>
      </c>
      <c r="AC433" s="220" t="str">
        <f>LEFT(B433,3)</f>
        <v>合興線</v>
      </c>
      <c r="BB433" s="514" t="s">
        <v>2363</v>
      </c>
      <c r="BC433" s="514">
        <v>2704</v>
      </c>
      <c r="BD433" s="514">
        <v>8</v>
      </c>
      <c r="BE433" s="514">
        <v>2712</v>
      </c>
      <c r="BG433" s="229" t="s">
        <v>48</v>
      </c>
      <c r="BH433" s="230" t="s">
        <v>8656</v>
      </c>
      <c r="BI433" t="s">
        <v>2300</v>
      </c>
      <c r="BJ433" t="s">
        <v>2295</v>
      </c>
    </row>
    <row r="434" spans="1:62">
      <c r="A434" s="229" t="s">
        <v>49</v>
      </c>
      <c r="B434" s="230" t="s">
        <v>7468</v>
      </c>
      <c r="C434" s="230" t="s">
        <v>7469</v>
      </c>
      <c r="D434" s="229" t="s">
        <v>5641</v>
      </c>
      <c r="E434" s="229" t="s">
        <v>7470</v>
      </c>
      <c r="F434" s="229" t="s">
        <v>5641</v>
      </c>
      <c r="G434" s="229" t="s">
        <v>7471</v>
      </c>
      <c r="H434" s="229" t="s">
        <v>5641</v>
      </c>
      <c r="I434" s="229" t="s">
        <v>3167</v>
      </c>
      <c r="J434" s="231" t="s">
        <v>358</v>
      </c>
      <c r="K434" s="231" t="s">
        <v>7069</v>
      </c>
      <c r="L434" s="220" t="str">
        <f t="shared" si="98"/>
        <v>IG#1DTR(A)</v>
      </c>
      <c r="M434" s="220" t="str">
        <f t="shared" si="99"/>
        <v>(A)</v>
      </c>
      <c r="N434" s="220" t="str">
        <f t="shared" si="100"/>
        <v>IG#1DTR</v>
      </c>
      <c r="O434" s="220" t="str">
        <f t="shared" si="101"/>
        <v>(A)</v>
      </c>
      <c r="P434" s="52" t="str">
        <f t="shared" si="102"/>
        <v>IG#1DTR(A)</v>
      </c>
      <c r="Q434" s="231" t="str">
        <f t="shared" si="108"/>
        <v>726</v>
      </c>
      <c r="R434" s="224">
        <f t="shared" si="109"/>
        <v>711.33333333333337</v>
      </c>
      <c r="S434" s="52">
        <f t="shared" si="103"/>
        <v>698</v>
      </c>
      <c r="T434" s="221">
        <f t="shared" ca="1" si="104"/>
        <v>14.34</v>
      </c>
      <c r="U434" s="221">
        <f t="shared" si="105"/>
        <v>434</v>
      </c>
      <c r="V434" s="220" t="str">
        <f t="array" ref="V434">INDEX(P:P,MAX(U$3:U434))</f>
        <v>IG#1DTR(A)</v>
      </c>
      <c r="W434" s="220">
        <f t="shared" ca="1" si="106"/>
        <v>30</v>
      </c>
      <c r="X434" s="220" t="str">
        <f t="shared" si="107"/>
        <v/>
      </c>
      <c r="Y434" s="220">
        <f t="shared" si="96"/>
        <v>0</v>
      </c>
      <c r="AA434" s="220" t="str">
        <f t="shared" si="97"/>
        <v>田中</v>
      </c>
      <c r="AB434" s="220" t="s">
        <v>2301</v>
      </c>
      <c r="BB434" s="514" t="s">
        <v>2364</v>
      </c>
      <c r="BC434" s="514">
        <v>324</v>
      </c>
      <c r="BD434" s="514" t="s">
        <v>85</v>
      </c>
      <c r="BE434" s="514">
        <v>324</v>
      </c>
      <c r="BG434" s="229" t="s">
        <v>8657</v>
      </c>
      <c r="BH434" s="230" t="s">
        <v>8346</v>
      </c>
      <c r="BI434" t="s">
        <v>2301</v>
      </c>
      <c r="BJ434" t="s">
        <v>2301</v>
      </c>
    </row>
    <row r="435" spans="1:62">
      <c r="A435" s="229" t="s">
        <v>49</v>
      </c>
      <c r="B435" s="230" t="s">
        <v>537</v>
      </c>
      <c r="C435" s="230" t="s">
        <v>967</v>
      </c>
      <c r="D435" s="229" t="s">
        <v>5791</v>
      </c>
      <c r="E435" s="229" t="s">
        <v>955</v>
      </c>
      <c r="F435" s="229" t="s">
        <v>804</v>
      </c>
      <c r="G435" s="229" t="s">
        <v>848</v>
      </c>
      <c r="H435" s="229" t="s">
        <v>5791</v>
      </c>
      <c r="I435" s="229" t="s">
        <v>7472</v>
      </c>
      <c r="J435" s="231" t="s">
        <v>7473</v>
      </c>
      <c r="K435" s="231" t="s">
        <v>5791</v>
      </c>
      <c r="L435" s="220" t="str">
        <f t="shared" si="98"/>
        <v>IG30</v>
      </c>
      <c r="M435" s="220" t="str">
        <f t="shared" si="99"/>
        <v/>
      </c>
      <c r="N435" s="220" t="str">
        <f t="shared" si="100"/>
        <v/>
      </c>
      <c r="O435" s="220" t="str">
        <f t="shared" si="101"/>
        <v/>
      </c>
      <c r="P435" s="52" t="str">
        <f t="shared" si="102"/>
        <v>IG30</v>
      </c>
      <c r="Q435" s="231" t="str">
        <f t="shared" si="108"/>
        <v>68</v>
      </c>
      <c r="R435" s="224">
        <f t="shared" si="109"/>
        <v>56.666666666666664</v>
      </c>
      <c r="S435" s="52">
        <f t="shared" si="103"/>
        <v>42</v>
      </c>
      <c r="T435" s="221">
        <f t="shared" ca="1" si="104"/>
        <v>1.34</v>
      </c>
      <c r="U435" s="221" t="str">
        <f t="shared" si="105"/>
        <v/>
      </c>
      <c r="V435" s="220" t="str">
        <f t="array" ref="V435">INDEX(P:P,MAX(U$3:U435))</f>
        <v>IG#1DTR(A)</v>
      </c>
      <c r="W435" s="220" t="str">
        <f t="shared" ca="1" si="106"/>
        <v/>
      </c>
      <c r="X435" s="220">
        <f t="shared" si="107"/>
        <v>11.4</v>
      </c>
      <c r="Y435" s="220">
        <f t="shared" si="96"/>
        <v>0</v>
      </c>
      <c r="AA435" s="220" t="str">
        <f t="shared" si="97"/>
        <v>田中</v>
      </c>
      <c r="AB435" s="220" t="s">
        <v>1876</v>
      </c>
      <c r="AC435" s="220" t="str">
        <f t="shared" ref="AC435:AC460" si="111">LEFT(B435,4)</f>
        <v>IG30</v>
      </c>
      <c r="BB435" s="514" t="s">
        <v>2365</v>
      </c>
      <c r="BC435" s="514" t="s">
        <v>85</v>
      </c>
      <c r="BD435" s="514" t="s">
        <v>85</v>
      </c>
      <c r="BE435" s="514">
        <v>0</v>
      </c>
      <c r="BG435" s="229" t="s">
        <v>8658</v>
      </c>
      <c r="BH435" s="230" t="s">
        <v>8659</v>
      </c>
      <c r="BI435" t="s">
        <v>1876</v>
      </c>
      <c r="BJ435" t="s">
        <v>2301</v>
      </c>
    </row>
    <row r="436" spans="1:62">
      <c r="A436" s="229" t="s">
        <v>7474</v>
      </c>
      <c r="B436" s="230" t="s">
        <v>538</v>
      </c>
      <c r="C436" s="230" t="s">
        <v>964</v>
      </c>
      <c r="D436" s="229" t="s">
        <v>797</v>
      </c>
      <c r="E436" s="229" t="s">
        <v>913</v>
      </c>
      <c r="F436" s="229" t="s">
        <v>7457</v>
      </c>
      <c r="G436" s="229" t="s">
        <v>974</v>
      </c>
      <c r="H436" s="229" t="s">
        <v>797</v>
      </c>
      <c r="I436" s="229" t="s">
        <v>913</v>
      </c>
      <c r="J436" s="231" t="s">
        <v>1012</v>
      </c>
      <c r="K436" s="231" t="s">
        <v>7475</v>
      </c>
      <c r="L436" s="220" t="str">
        <f t="shared" si="98"/>
        <v>IG31</v>
      </c>
      <c r="M436" s="220" t="str">
        <f t="shared" si="99"/>
        <v/>
      </c>
      <c r="N436" s="220" t="str">
        <f t="shared" si="100"/>
        <v/>
      </c>
      <c r="O436" s="220" t="str">
        <f t="shared" si="101"/>
        <v/>
      </c>
      <c r="P436" s="52" t="str">
        <f t="shared" si="102"/>
        <v>IG31</v>
      </c>
      <c r="Q436" s="231" t="str">
        <f t="shared" si="108"/>
        <v>219</v>
      </c>
      <c r="R436" s="224">
        <f t="shared" si="109"/>
        <v>214.66666666666666</v>
      </c>
      <c r="S436" s="52">
        <f t="shared" si="103"/>
        <v>212</v>
      </c>
      <c r="T436" s="221">
        <f t="shared" ca="1" si="104"/>
        <v>4.32</v>
      </c>
      <c r="U436" s="221" t="str">
        <f t="shared" si="105"/>
        <v/>
      </c>
      <c r="V436" s="220" t="str">
        <f t="array" ref="V436">INDEX(P:P,MAX(U$3:U436))</f>
        <v>IG#1DTR(A)</v>
      </c>
      <c r="W436" s="220" t="str">
        <f t="shared" ca="1" si="106"/>
        <v/>
      </c>
      <c r="X436" s="220">
        <f t="shared" si="107"/>
        <v>11.4</v>
      </c>
      <c r="Y436" s="220">
        <f t="shared" si="96"/>
        <v>0</v>
      </c>
      <c r="AA436" s="220" t="str">
        <f t="shared" si="97"/>
        <v>田中</v>
      </c>
      <c r="AB436" s="220" t="s">
        <v>1205</v>
      </c>
      <c r="AC436" s="220" t="str">
        <f t="shared" si="111"/>
        <v>IG31</v>
      </c>
      <c r="BB436" s="514" t="s">
        <v>2372</v>
      </c>
      <c r="BC436" s="514">
        <v>653</v>
      </c>
      <c r="BD436" s="514">
        <v>4</v>
      </c>
      <c r="BE436" s="514">
        <v>657</v>
      </c>
      <c r="BG436" s="229" t="s">
        <v>8657</v>
      </c>
      <c r="BH436" s="230" t="s">
        <v>538</v>
      </c>
      <c r="BI436" t="s">
        <v>1205</v>
      </c>
      <c r="BJ436" t="s">
        <v>2301</v>
      </c>
    </row>
    <row r="437" spans="1:62">
      <c r="A437" s="229" t="s">
        <v>7476</v>
      </c>
      <c r="B437" s="230" t="s">
        <v>7477</v>
      </c>
      <c r="C437" s="230" t="s">
        <v>969</v>
      </c>
      <c r="D437" s="229" t="s">
        <v>7478</v>
      </c>
      <c r="E437" s="229" t="s">
        <v>969</v>
      </c>
      <c r="F437" s="229" t="s">
        <v>804</v>
      </c>
      <c r="G437" s="229" t="s">
        <v>883</v>
      </c>
      <c r="H437" s="229" t="s">
        <v>7286</v>
      </c>
      <c r="I437" s="229" t="s">
        <v>7479</v>
      </c>
      <c r="J437" s="231" t="s">
        <v>7480</v>
      </c>
      <c r="K437" s="231" t="s">
        <v>804</v>
      </c>
      <c r="L437" s="220" t="str">
        <f t="shared" si="98"/>
        <v>IG32</v>
      </c>
      <c r="M437" s="220" t="str">
        <f t="shared" si="99"/>
        <v/>
      </c>
      <c r="N437" s="220" t="str">
        <f t="shared" si="100"/>
        <v/>
      </c>
      <c r="O437" s="220" t="str">
        <f t="shared" si="101"/>
        <v/>
      </c>
      <c r="P437" s="52" t="str">
        <f t="shared" si="102"/>
        <v>IG32</v>
      </c>
      <c r="Q437" s="231" t="str">
        <f t="shared" si="108"/>
        <v>169</v>
      </c>
      <c r="R437" s="224">
        <f t="shared" si="109"/>
        <v>167.66666666666666</v>
      </c>
      <c r="S437" s="52">
        <f t="shared" si="103"/>
        <v>165</v>
      </c>
      <c r="T437" s="221">
        <f t="shared" ca="1" si="104"/>
        <v>3.34</v>
      </c>
      <c r="U437" s="221" t="str">
        <f t="shared" si="105"/>
        <v/>
      </c>
      <c r="V437" s="220" t="str">
        <f t="array" ref="V437">INDEX(P:P,MAX(U$3:U437))</f>
        <v>IG#1DTR(A)</v>
      </c>
      <c r="W437" s="220" t="str">
        <f t="shared" ca="1" si="106"/>
        <v/>
      </c>
      <c r="X437" s="220">
        <f t="shared" si="107"/>
        <v>11.4</v>
      </c>
      <c r="Y437" s="220">
        <f t="shared" si="96"/>
        <v>0</v>
      </c>
      <c r="AA437" s="220" t="str">
        <f t="shared" si="97"/>
        <v>田中</v>
      </c>
      <c r="AB437" s="220" t="s">
        <v>1220</v>
      </c>
      <c r="AC437" s="220" t="str">
        <f t="shared" si="111"/>
        <v>IG32</v>
      </c>
      <c r="BB437" s="514" t="s">
        <v>2373</v>
      </c>
      <c r="BC437" s="514">
        <v>1085</v>
      </c>
      <c r="BD437" s="514">
        <v>5</v>
      </c>
      <c r="BE437" s="514">
        <v>1090</v>
      </c>
      <c r="BG437" s="229" t="s">
        <v>8657</v>
      </c>
      <c r="BH437" s="230" t="s">
        <v>8660</v>
      </c>
      <c r="BI437" t="s">
        <v>1220</v>
      </c>
      <c r="BJ437" t="s">
        <v>2301</v>
      </c>
    </row>
    <row r="438" spans="1:62">
      <c r="A438" s="229" t="s">
        <v>7481</v>
      </c>
      <c r="B438" s="230" t="s">
        <v>7482</v>
      </c>
      <c r="C438" s="230" t="s">
        <v>7483</v>
      </c>
      <c r="D438" s="229" t="s">
        <v>7050</v>
      </c>
      <c r="E438" s="229" t="s">
        <v>7484</v>
      </c>
      <c r="F438" s="229" t="s">
        <v>7304</v>
      </c>
      <c r="G438" s="229" t="s">
        <v>7485</v>
      </c>
      <c r="H438" s="229" t="s">
        <v>845</v>
      </c>
      <c r="I438" s="229" t="s">
        <v>7486</v>
      </c>
      <c r="J438" s="231" t="s">
        <v>937</v>
      </c>
      <c r="K438" s="231" t="s">
        <v>845</v>
      </c>
      <c r="L438" s="220" t="str">
        <f t="shared" si="98"/>
        <v>IG33</v>
      </c>
      <c r="M438" s="220" t="str">
        <f t="shared" si="99"/>
        <v/>
      </c>
      <c r="N438" s="220" t="str">
        <f t="shared" si="100"/>
        <v/>
      </c>
      <c r="O438" s="220" t="str">
        <f t="shared" si="101"/>
        <v/>
      </c>
      <c r="P438" s="52" t="str">
        <f t="shared" si="102"/>
        <v>IG33</v>
      </c>
      <c r="Q438" s="231" t="str">
        <f t="shared" si="108"/>
        <v>279</v>
      </c>
      <c r="R438" s="224">
        <f t="shared" si="109"/>
        <v>267</v>
      </c>
      <c r="S438" s="52">
        <f t="shared" si="103"/>
        <v>256</v>
      </c>
      <c r="T438" s="221">
        <f t="shared" ca="1" si="104"/>
        <v>5.51</v>
      </c>
      <c r="U438" s="221" t="str">
        <f t="shared" si="105"/>
        <v/>
      </c>
      <c r="V438" s="220" t="str">
        <f t="array" ref="V438">INDEX(P:P,MAX(U$3:U438))</f>
        <v>IG#1DTR(A)</v>
      </c>
      <c r="W438" s="220" t="str">
        <f t="shared" ca="1" si="106"/>
        <v/>
      </c>
      <c r="X438" s="220">
        <f t="shared" si="107"/>
        <v>11.4</v>
      </c>
      <c r="Y438" s="220">
        <f t="shared" si="96"/>
        <v>0</v>
      </c>
      <c r="AA438" s="220" t="str">
        <f t="shared" si="97"/>
        <v>田中</v>
      </c>
      <c r="AB438" s="220" t="s">
        <v>1244</v>
      </c>
      <c r="AC438" s="220" t="str">
        <f t="shared" si="111"/>
        <v>IG33</v>
      </c>
      <c r="BB438" s="514" t="s">
        <v>2374</v>
      </c>
      <c r="BC438" s="514">
        <v>598</v>
      </c>
      <c r="BD438" s="514">
        <v>7</v>
      </c>
      <c r="BE438" s="514">
        <v>605</v>
      </c>
      <c r="BG438" s="229" t="s">
        <v>49</v>
      </c>
      <c r="BH438" s="230" t="s">
        <v>8661</v>
      </c>
      <c r="BI438" t="s">
        <v>1244</v>
      </c>
      <c r="BJ438" t="s">
        <v>2301</v>
      </c>
    </row>
    <row r="439" spans="1:62">
      <c r="A439" s="229" t="s">
        <v>7487</v>
      </c>
      <c r="B439" s="230" t="s">
        <v>7488</v>
      </c>
      <c r="C439" s="230" t="s">
        <v>1015</v>
      </c>
      <c r="D439" s="229" t="s">
        <v>783</v>
      </c>
      <c r="E439" s="229" t="s">
        <v>1015</v>
      </c>
      <c r="F439" s="229" t="s">
        <v>804</v>
      </c>
      <c r="G439" s="229" t="s">
        <v>7489</v>
      </c>
      <c r="H439" s="229" t="s">
        <v>850</v>
      </c>
      <c r="I439" s="229" t="s">
        <v>1015</v>
      </c>
      <c r="J439" s="231" t="s">
        <v>873</v>
      </c>
      <c r="K439" s="231" t="s">
        <v>7490</v>
      </c>
      <c r="L439" s="220" t="str">
        <f t="shared" si="98"/>
        <v>IG34</v>
      </c>
      <c r="M439" s="220" t="str">
        <f t="shared" si="99"/>
        <v/>
      </c>
      <c r="N439" s="220" t="str">
        <f t="shared" si="100"/>
        <v/>
      </c>
      <c r="O439" s="220" t="str">
        <f t="shared" si="101"/>
        <v/>
      </c>
      <c r="P439" s="52" t="str">
        <f t="shared" si="102"/>
        <v>IG34</v>
      </c>
      <c r="Q439" s="231" t="str">
        <f t="shared" si="108"/>
        <v>86</v>
      </c>
      <c r="R439" s="224">
        <f t="shared" si="109"/>
        <v>79.666666666666671</v>
      </c>
      <c r="S439" s="52">
        <f t="shared" si="103"/>
        <v>67</v>
      </c>
      <c r="T439" s="221">
        <f t="shared" ca="1" si="104"/>
        <v>1.7</v>
      </c>
      <c r="U439" s="221" t="str">
        <f t="shared" si="105"/>
        <v/>
      </c>
      <c r="V439" s="220" t="str">
        <f t="array" ref="V439">INDEX(P:P,MAX(U$3:U439))</f>
        <v>IG#1DTR(A)</v>
      </c>
      <c r="W439" s="220" t="str">
        <f t="shared" ca="1" si="106"/>
        <v/>
      </c>
      <c r="X439" s="220">
        <f t="shared" si="107"/>
        <v>11.4</v>
      </c>
      <c r="Y439" s="220">
        <f t="shared" si="96"/>
        <v>0</v>
      </c>
      <c r="AA439" s="220" t="str">
        <f t="shared" si="97"/>
        <v>田中</v>
      </c>
      <c r="AB439" s="220" t="s">
        <v>1276</v>
      </c>
      <c r="AC439" s="220" t="str">
        <f t="shared" si="111"/>
        <v>IG34</v>
      </c>
      <c r="BB439" s="514" t="s">
        <v>2375</v>
      </c>
      <c r="BC439" s="514">
        <v>1267</v>
      </c>
      <c r="BD439" s="514">
        <v>4</v>
      </c>
      <c r="BE439" s="514">
        <v>1271</v>
      </c>
      <c r="BG439" s="229" t="s">
        <v>8658</v>
      </c>
      <c r="BH439" s="230" t="s">
        <v>8662</v>
      </c>
      <c r="BI439" t="s">
        <v>1276</v>
      </c>
      <c r="BJ439" t="s">
        <v>2301</v>
      </c>
    </row>
    <row r="440" spans="1:62">
      <c r="A440" s="229" t="s">
        <v>49</v>
      </c>
      <c r="B440" s="230" t="s">
        <v>392</v>
      </c>
      <c r="C440" s="230" t="s">
        <v>4701</v>
      </c>
      <c r="D440" s="229" t="s">
        <v>804</v>
      </c>
      <c r="E440" s="229" t="s">
        <v>7491</v>
      </c>
      <c r="F440" s="229" t="s">
        <v>846</v>
      </c>
      <c r="G440" s="229" t="s">
        <v>3195</v>
      </c>
      <c r="H440" s="229" t="s">
        <v>846</v>
      </c>
      <c r="I440" s="229" t="s">
        <v>3142</v>
      </c>
      <c r="J440" s="231" t="s">
        <v>358</v>
      </c>
      <c r="K440" s="231" t="s">
        <v>358</v>
      </c>
      <c r="L440" s="220" t="str">
        <f t="shared" si="98"/>
        <v>IG#1DTR(B)</v>
      </c>
      <c r="M440" s="220" t="str">
        <f t="shared" si="99"/>
        <v>(B)</v>
      </c>
      <c r="N440" s="220" t="str">
        <f t="shared" si="100"/>
        <v>IG#1DTR</v>
      </c>
      <c r="O440" s="220" t="str">
        <f t="shared" si="101"/>
        <v>(B)</v>
      </c>
      <c r="P440" s="52" t="str">
        <f t="shared" si="102"/>
        <v>IG#1DTR(B)</v>
      </c>
      <c r="Q440" s="231" t="str">
        <f t="shared" si="108"/>
        <v>767</v>
      </c>
      <c r="R440" s="224">
        <f t="shared" si="109"/>
        <v>752</v>
      </c>
      <c r="S440" s="52">
        <f t="shared" si="103"/>
        <v>725</v>
      </c>
      <c r="T440" s="221">
        <f t="shared" ca="1" si="104"/>
        <v>15.14</v>
      </c>
      <c r="U440" s="221">
        <f t="shared" si="105"/>
        <v>440</v>
      </c>
      <c r="V440" s="220" t="str">
        <f t="array" ref="V440">INDEX(P:P,MAX(U$3:U440))</f>
        <v>IG#1DTR(B)</v>
      </c>
      <c r="W440" s="220">
        <f t="shared" ca="1" si="106"/>
        <v>30</v>
      </c>
      <c r="X440" s="220" t="str">
        <f t="shared" si="107"/>
        <v/>
      </c>
      <c r="Y440" s="220">
        <f t="shared" si="96"/>
        <v>0</v>
      </c>
      <c r="AA440" s="220" t="str">
        <f t="shared" si="97"/>
        <v>田中</v>
      </c>
      <c r="AB440" s="220" t="s">
        <v>2302</v>
      </c>
      <c r="AC440" s="220" t="str">
        <f t="shared" si="111"/>
        <v>#1BD</v>
      </c>
      <c r="BB440" s="514" t="s">
        <v>2382</v>
      </c>
      <c r="BC440" s="514">
        <v>2178</v>
      </c>
      <c r="BD440" s="514">
        <v>2</v>
      </c>
      <c r="BE440" s="514">
        <v>2180</v>
      </c>
      <c r="BG440" s="229" t="s">
        <v>49</v>
      </c>
      <c r="BH440" s="230" t="s">
        <v>8405</v>
      </c>
      <c r="BI440" t="s">
        <v>2302</v>
      </c>
      <c r="BJ440" t="s">
        <v>2302</v>
      </c>
    </row>
    <row r="441" spans="1:62">
      <c r="A441" s="229" t="s">
        <v>49</v>
      </c>
      <c r="B441" s="230" t="s">
        <v>7492</v>
      </c>
      <c r="C441" s="230" t="s">
        <v>871</v>
      </c>
      <c r="D441" s="229" t="s">
        <v>5580</v>
      </c>
      <c r="E441" s="229" t="s">
        <v>809</v>
      </c>
      <c r="F441" s="229" t="s">
        <v>859</v>
      </c>
      <c r="G441" s="229" t="s">
        <v>807</v>
      </c>
      <c r="H441" s="229" t="s">
        <v>832</v>
      </c>
      <c r="I441" s="229" t="s">
        <v>871</v>
      </c>
      <c r="J441" s="231" t="s">
        <v>7139</v>
      </c>
      <c r="K441" s="231" t="s">
        <v>6514</v>
      </c>
      <c r="L441" s="220" t="str">
        <f t="shared" si="98"/>
        <v>IG35</v>
      </c>
      <c r="M441" s="220" t="str">
        <f t="shared" si="99"/>
        <v/>
      </c>
      <c r="N441" s="220" t="str">
        <f t="shared" si="100"/>
        <v/>
      </c>
      <c r="O441" s="220" t="str">
        <f t="shared" si="101"/>
        <v/>
      </c>
      <c r="P441" s="52" t="str">
        <f t="shared" si="102"/>
        <v>IG35</v>
      </c>
      <c r="Q441" s="231" t="str">
        <f t="shared" si="108"/>
        <v>114</v>
      </c>
      <c r="R441" s="224">
        <f t="shared" si="109"/>
        <v>108</v>
      </c>
      <c r="S441" s="52">
        <f t="shared" si="103"/>
        <v>104</v>
      </c>
      <c r="T441" s="221">
        <f t="shared" ca="1" si="104"/>
        <v>2.25</v>
      </c>
      <c r="U441" s="221" t="str">
        <f t="shared" si="105"/>
        <v/>
      </c>
      <c r="V441" s="220" t="str">
        <f t="array" ref="V441">INDEX(P:P,MAX(U$3:U441))</f>
        <v>IG#1DTR(B)</v>
      </c>
      <c r="W441" s="220" t="str">
        <f t="shared" ca="1" si="106"/>
        <v/>
      </c>
      <c r="X441" s="220">
        <f t="shared" si="107"/>
        <v>11.4</v>
      </c>
      <c r="Y441" s="220">
        <f t="shared" si="96"/>
        <v>0</v>
      </c>
      <c r="AA441" s="220" t="str">
        <f t="shared" si="97"/>
        <v>田中</v>
      </c>
      <c r="AB441" s="220" t="s">
        <v>1878</v>
      </c>
      <c r="AC441" s="220" t="str">
        <f t="shared" si="111"/>
        <v>IG35</v>
      </c>
      <c r="BB441" s="514" t="s">
        <v>2381</v>
      </c>
      <c r="BC441" s="514">
        <v>1846</v>
      </c>
      <c r="BD441" s="514">
        <v>2</v>
      </c>
      <c r="BE441" s="514">
        <v>1848</v>
      </c>
      <c r="BG441" s="229" t="s">
        <v>49</v>
      </c>
      <c r="BH441" s="230" t="s">
        <v>539</v>
      </c>
      <c r="BI441" t="s">
        <v>1878</v>
      </c>
      <c r="BJ441" t="s">
        <v>2302</v>
      </c>
    </row>
    <row r="442" spans="1:62">
      <c r="A442" s="229" t="s">
        <v>7487</v>
      </c>
      <c r="B442" s="230" t="s">
        <v>7493</v>
      </c>
      <c r="C442" s="230" t="s">
        <v>6655</v>
      </c>
      <c r="D442" s="229" t="s">
        <v>845</v>
      </c>
      <c r="E442" s="229" t="s">
        <v>812</v>
      </c>
      <c r="F442" s="229" t="s">
        <v>846</v>
      </c>
      <c r="G442" s="229" t="s">
        <v>880</v>
      </c>
      <c r="H442" s="229" t="s">
        <v>7323</v>
      </c>
      <c r="I442" s="229" t="s">
        <v>6655</v>
      </c>
      <c r="J442" s="231" t="s">
        <v>6982</v>
      </c>
      <c r="K442" s="231" t="s">
        <v>845</v>
      </c>
      <c r="L442" s="220" t="str">
        <f t="shared" si="98"/>
        <v>IG36</v>
      </c>
      <c r="M442" s="220" t="str">
        <f t="shared" si="99"/>
        <v/>
      </c>
      <c r="N442" s="220" t="str">
        <f t="shared" si="100"/>
        <v/>
      </c>
      <c r="O442" s="220" t="str">
        <f t="shared" si="101"/>
        <v/>
      </c>
      <c r="P442" s="52" t="str">
        <f t="shared" si="102"/>
        <v>IG36</v>
      </c>
      <c r="Q442" s="231" t="str">
        <f t="shared" si="108"/>
        <v>147</v>
      </c>
      <c r="R442" s="224">
        <f t="shared" si="109"/>
        <v>129</v>
      </c>
      <c r="S442" s="52">
        <f t="shared" si="103"/>
        <v>119</v>
      </c>
      <c r="T442" s="221">
        <f t="shared" ca="1" si="104"/>
        <v>2.9</v>
      </c>
      <c r="U442" s="221" t="str">
        <f t="shared" si="105"/>
        <v/>
      </c>
      <c r="V442" s="220" t="str">
        <f t="array" ref="V442">INDEX(P:P,MAX(U$3:U442))</f>
        <v>IG#1DTR(B)</v>
      </c>
      <c r="W442" s="220" t="str">
        <f t="shared" ca="1" si="106"/>
        <v/>
      </c>
      <c r="X442" s="220">
        <f t="shared" si="107"/>
        <v>11.4</v>
      </c>
      <c r="Y442" s="220">
        <f t="shared" si="96"/>
        <v>0</v>
      </c>
      <c r="AA442" s="220" t="str">
        <f t="shared" si="97"/>
        <v>田中</v>
      </c>
      <c r="AB442" s="220" t="s">
        <v>1346</v>
      </c>
      <c r="AC442" s="220" t="str">
        <f t="shared" si="111"/>
        <v>IG36</v>
      </c>
      <c r="BB442" s="514" t="s">
        <v>2380</v>
      </c>
      <c r="BC442" s="514">
        <v>5237</v>
      </c>
      <c r="BD442" s="514">
        <v>4</v>
      </c>
      <c r="BE442" s="514">
        <v>5241</v>
      </c>
      <c r="BG442" s="229" t="s">
        <v>8657</v>
      </c>
      <c r="BH442" s="230" t="s">
        <v>8663</v>
      </c>
      <c r="BI442" t="s">
        <v>1346</v>
      </c>
      <c r="BJ442" t="s">
        <v>2302</v>
      </c>
    </row>
    <row r="443" spans="1:62">
      <c r="A443" s="229" t="s">
        <v>49</v>
      </c>
      <c r="B443" s="230" t="s">
        <v>540</v>
      </c>
      <c r="C443" s="230" t="s">
        <v>981</v>
      </c>
      <c r="D443" s="229" t="s">
        <v>783</v>
      </c>
      <c r="E443" s="229" t="s">
        <v>921</v>
      </c>
      <c r="F443" s="229" t="s">
        <v>804</v>
      </c>
      <c r="G443" s="229" t="s">
        <v>1045</v>
      </c>
      <c r="H443" s="229" t="s">
        <v>7056</v>
      </c>
      <c r="I443" s="229" t="s">
        <v>1045</v>
      </c>
      <c r="J443" s="231" t="s">
        <v>7494</v>
      </c>
      <c r="K443" s="231" t="s">
        <v>846</v>
      </c>
      <c r="L443" s="220" t="str">
        <f t="shared" si="98"/>
        <v>IG37</v>
      </c>
      <c r="M443" s="220" t="str">
        <f t="shared" si="99"/>
        <v/>
      </c>
      <c r="N443" s="220" t="str">
        <f t="shared" si="100"/>
        <v/>
      </c>
      <c r="O443" s="220" t="str">
        <f t="shared" si="101"/>
        <v/>
      </c>
      <c r="P443" s="52" t="str">
        <f t="shared" si="102"/>
        <v>IG37</v>
      </c>
      <c r="Q443" s="231" t="str">
        <f t="shared" si="108"/>
        <v>246</v>
      </c>
      <c r="R443" s="224">
        <f t="shared" si="109"/>
        <v>238.33333333333334</v>
      </c>
      <c r="S443" s="52">
        <f t="shared" si="103"/>
        <v>233</v>
      </c>
      <c r="T443" s="221">
        <f t="shared" ca="1" si="104"/>
        <v>4.8600000000000003</v>
      </c>
      <c r="U443" s="221" t="str">
        <f t="shared" si="105"/>
        <v/>
      </c>
      <c r="V443" s="220" t="str">
        <f t="array" ref="V443">INDEX(P:P,MAX(U$3:U443))</f>
        <v>IG#1DTR(B)</v>
      </c>
      <c r="W443" s="220" t="str">
        <f t="shared" ca="1" si="106"/>
        <v/>
      </c>
      <c r="X443" s="220">
        <f t="shared" si="107"/>
        <v>11.4</v>
      </c>
      <c r="Y443" s="220">
        <f t="shared" si="96"/>
        <v>0</v>
      </c>
      <c r="AA443" s="220" t="str">
        <f t="shared" si="97"/>
        <v>田中</v>
      </c>
      <c r="AB443" s="220" t="s">
        <v>1374</v>
      </c>
      <c r="AC443" s="220" t="str">
        <f t="shared" si="111"/>
        <v>IG37</v>
      </c>
      <c r="BB443" s="514" t="s">
        <v>2379</v>
      </c>
      <c r="BC443" s="514">
        <v>1368</v>
      </c>
      <c r="BD443" s="514">
        <v>4</v>
      </c>
      <c r="BE443" s="514">
        <v>1372</v>
      </c>
      <c r="BG443" s="229" t="s">
        <v>8657</v>
      </c>
      <c r="BH443" s="230" t="s">
        <v>8664</v>
      </c>
      <c r="BI443" t="s">
        <v>1374</v>
      </c>
      <c r="BJ443" t="s">
        <v>2302</v>
      </c>
    </row>
    <row r="444" spans="1:62">
      <c r="A444" s="229" t="s">
        <v>7481</v>
      </c>
      <c r="B444" s="230" t="s">
        <v>541</v>
      </c>
      <c r="C444" s="230" t="s">
        <v>7495</v>
      </c>
      <c r="D444" s="229" t="s">
        <v>7050</v>
      </c>
      <c r="E444" s="229" t="s">
        <v>855</v>
      </c>
      <c r="F444" s="229" t="s">
        <v>850</v>
      </c>
      <c r="G444" s="229" t="s">
        <v>6143</v>
      </c>
      <c r="H444" s="229" t="s">
        <v>7496</v>
      </c>
      <c r="I444" s="229" t="s">
        <v>854</v>
      </c>
      <c r="J444" s="231" t="s">
        <v>1009</v>
      </c>
      <c r="K444" s="231" t="s">
        <v>850</v>
      </c>
      <c r="L444" s="220" t="str">
        <f t="shared" si="98"/>
        <v>IG38</v>
      </c>
      <c r="M444" s="220" t="str">
        <f t="shared" si="99"/>
        <v/>
      </c>
      <c r="N444" s="220" t="str">
        <f t="shared" si="100"/>
        <v/>
      </c>
      <c r="O444" s="220" t="str">
        <f t="shared" si="101"/>
        <v/>
      </c>
      <c r="P444" s="52" t="str">
        <f t="shared" si="102"/>
        <v>IG38</v>
      </c>
      <c r="Q444" s="231" t="str">
        <f t="shared" si="108"/>
        <v>217</v>
      </c>
      <c r="R444" s="224">
        <f t="shared" si="109"/>
        <v>199.33333333333334</v>
      </c>
      <c r="S444" s="52">
        <f t="shared" si="103"/>
        <v>179</v>
      </c>
      <c r="T444" s="221">
        <f t="shared" ca="1" si="104"/>
        <v>4.28</v>
      </c>
      <c r="U444" s="221" t="str">
        <f t="shared" si="105"/>
        <v/>
      </c>
      <c r="V444" s="220" t="str">
        <f t="array" ref="V444">INDEX(P:P,MAX(U$3:U444))</f>
        <v>IG#1DTR(B)</v>
      </c>
      <c r="W444" s="220" t="str">
        <f t="shared" ca="1" si="106"/>
        <v/>
      </c>
      <c r="X444" s="220">
        <f t="shared" si="107"/>
        <v>11.4</v>
      </c>
      <c r="Y444" s="220">
        <f t="shared" si="96"/>
        <v>0</v>
      </c>
      <c r="AA444" s="220" t="str">
        <f t="shared" si="97"/>
        <v>田中</v>
      </c>
      <c r="AB444" s="220" t="s">
        <v>1391</v>
      </c>
      <c r="AC444" s="220" t="str">
        <f t="shared" si="111"/>
        <v>IG38</v>
      </c>
      <c r="BB444" s="514" t="s">
        <v>2378</v>
      </c>
      <c r="BC444" s="514">
        <v>1775</v>
      </c>
      <c r="BD444" s="514">
        <v>6</v>
      </c>
      <c r="BE444" s="514">
        <v>1781</v>
      </c>
      <c r="BG444" s="229" t="s">
        <v>8657</v>
      </c>
      <c r="BH444" s="230" t="s">
        <v>8665</v>
      </c>
      <c r="BI444" t="s">
        <v>1391</v>
      </c>
      <c r="BJ444" t="s">
        <v>2302</v>
      </c>
    </row>
    <row r="445" spans="1:62">
      <c r="A445" s="229" t="s">
        <v>49</v>
      </c>
      <c r="B445" s="230" t="s">
        <v>7497</v>
      </c>
      <c r="C445" s="230" t="s">
        <v>978</v>
      </c>
      <c r="D445" s="229" t="s">
        <v>5975</v>
      </c>
      <c r="E445" s="229" t="s">
        <v>5651</v>
      </c>
      <c r="F445" s="229" t="s">
        <v>7498</v>
      </c>
      <c r="G445" s="229" t="s">
        <v>7499</v>
      </c>
      <c r="H445" s="229" t="s">
        <v>850</v>
      </c>
      <c r="I445" s="229" t="s">
        <v>5651</v>
      </c>
      <c r="J445" s="231" t="s">
        <v>923</v>
      </c>
      <c r="K445" s="231" t="s">
        <v>7089</v>
      </c>
      <c r="L445" s="220" t="str">
        <f t="shared" si="98"/>
        <v>IG39</v>
      </c>
      <c r="M445" s="220" t="str">
        <f t="shared" si="99"/>
        <v/>
      </c>
      <c r="N445" s="220" t="str">
        <f t="shared" si="100"/>
        <v/>
      </c>
      <c r="O445" s="220" t="str">
        <f t="shared" si="101"/>
        <v/>
      </c>
      <c r="P445" s="52" t="str">
        <f t="shared" si="102"/>
        <v>IG39</v>
      </c>
      <c r="Q445" s="231" t="str">
        <f t="shared" si="108"/>
        <v>163</v>
      </c>
      <c r="R445" s="224">
        <f t="shared" si="109"/>
        <v>145.33333333333334</v>
      </c>
      <c r="S445" s="52">
        <f t="shared" si="103"/>
        <v>136</v>
      </c>
      <c r="T445" s="221">
        <f t="shared" ca="1" si="104"/>
        <v>3.22</v>
      </c>
      <c r="U445" s="221" t="str">
        <f t="shared" si="105"/>
        <v/>
      </c>
      <c r="V445" s="220" t="str">
        <f t="array" ref="V445">INDEX(P:P,MAX(U$3:U445))</f>
        <v>IG#1DTR(B)</v>
      </c>
      <c r="W445" s="220" t="str">
        <f t="shared" ca="1" si="106"/>
        <v/>
      </c>
      <c r="X445" s="220">
        <f t="shared" si="107"/>
        <v>11.4</v>
      </c>
      <c r="Y445" s="220">
        <f t="shared" si="96"/>
        <v>0</v>
      </c>
      <c r="AA445" s="220" t="str">
        <f t="shared" si="97"/>
        <v>田中</v>
      </c>
      <c r="AB445" s="220" t="s">
        <v>1418</v>
      </c>
      <c r="AC445" s="220" t="str">
        <f t="shared" si="111"/>
        <v>IG39</v>
      </c>
      <c r="BB445" s="514" t="s">
        <v>2377</v>
      </c>
      <c r="BC445" s="514" t="s">
        <v>85</v>
      </c>
      <c r="BD445" s="514" t="s">
        <v>85</v>
      </c>
      <c r="BE445" s="514">
        <v>0</v>
      </c>
      <c r="BG445" s="229" t="s">
        <v>49</v>
      </c>
      <c r="BH445" s="230" t="s">
        <v>8666</v>
      </c>
      <c r="BI445" t="s">
        <v>1418</v>
      </c>
      <c r="BJ445" t="s">
        <v>2302</v>
      </c>
    </row>
    <row r="446" spans="1:62">
      <c r="A446" s="229" t="s">
        <v>7487</v>
      </c>
      <c r="B446" s="230" t="s">
        <v>394</v>
      </c>
      <c r="C446" s="230" t="s">
        <v>4702</v>
      </c>
      <c r="D446" s="229" t="s">
        <v>7490</v>
      </c>
      <c r="E446" s="229" t="s">
        <v>4703</v>
      </c>
      <c r="F446" s="229" t="s">
        <v>5682</v>
      </c>
      <c r="G446" s="229" t="s">
        <v>2747</v>
      </c>
      <c r="H446" s="229" t="s">
        <v>7257</v>
      </c>
      <c r="I446" s="229" t="s">
        <v>7500</v>
      </c>
      <c r="J446" s="231" t="s">
        <v>358</v>
      </c>
      <c r="K446" s="231" t="s">
        <v>358</v>
      </c>
      <c r="L446" s="220" t="str">
        <f t="shared" si="98"/>
        <v>IG#2DTR(A)</v>
      </c>
      <c r="M446" s="220" t="str">
        <f t="shared" si="99"/>
        <v>(A)</v>
      </c>
      <c r="N446" s="220" t="str">
        <f t="shared" si="100"/>
        <v>IG#2DTR</v>
      </c>
      <c r="O446" s="220" t="str">
        <f t="shared" si="101"/>
        <v>(A1)</v>
      </c>
      <c r="P446" s="52" t="str">
        <f t="shared" si="102"/>
        <v>IG#2DTR(A)</v>
      </c>
      <c r="Q446" s="231" t="str">
        <f t="shared" si="108"/>
        <v>516</v>
      </c>
      <c r="R446" s="224">
        <f t="shared" si="109"/>
        <v>505.33333333333331</v>
      </c>
      <c r="S446" s="52">
        <f t="shared" si="103"/>
        <v>488</v>
      </c>
      <c r="T446" s="221">
        <f t="shared" ca="1" si="104"/>
        <v>10.19</v>
      </c>
      <c r="U446" s="221">
        <f t="shared" si="105"/>
        <v>446</v>
      </c>
      <c r="V446" s="220" t="str">
        <f t="array" ref="V446">INDEX(P:P,MAX(U$3:U446))</f>
        <v>IG#2DTR(A)</v>
      </c>
      <c r="W446" s="220">
        <f t="shared" ca="1" si="106"/>
        <v>30</v>
      </c>
      <c r="X446" s="220" t="str">
        <f t="shared" si="107"/>
        <v/>
      </c>
      <c r="Y446" s="220">
        <f t="shared" si="96"/>
        <v>0</v>
      </c>
      <c r="AA446" s="220" t="str">
        <f t="shared" si="97"/>
        <v>田中</v>
      </c>
      <c r="AB446" s="220" t="s">
        <v>2303</v>
      </c>
      <c r="AC446" s="220" t="str">
        <f t="shared" si="111"/>
        <v>#2A1</v>
      </c>
      <c r="BB446" s="514" t="s">
        <v>2370</v>
      </c>
      <c r="BC446" s="514" t="s">
        <v>85</v>
      </c>
      <c r="BD446" s="514">
        <v>1</v>
      </c>
      <c r="BE446" s="514">
        <v>1</v>
      </c>
      <c r="BG446" s="229" t="s">
        <v>8658</v>
      </c>
      <c r="BH446" s="230" t="s">
        <v>8358</v>
      </c>
      <c r="BI446" t="s">
        <v>2303</v>
      </c>
      <c r="BJ446" t="s">
        <v>2303</v>
      </c>
    </row>
    <row r="447" spans="1:62">
      <c r="A447" s="229" t="s">
        <v>49</v>
      </c>
      <c r="B447" s="230" t="s">
        <v>542</v>
      </c>
      <c r="C447" s="230" t="s">
        <v>1036</v>
      </c>
      <c r="D447" s="229" t="s">
        <v>804</v>
      </c>
      <c r="E447" s="229" t="s">
        <v>892</v>
      </c>
      <c r="F447" s="229" t="s">
        <v>804</v>
      </c>
      <c r="G447" s="229" t="s">
        <v>997</v>
      </c>
      <c r="H447" s="229" t="s">
        <v>804</v>
      </c>
      <c r="I447" s="229" t="s">
        <v>1036</v>
      </c>
      <c r="J447" s="231" t="s">
        <v>799</v>
      </c>
      <c r="K447" s="231" t="s">
        <v>5791</v>
      </c>
      <c r="L447" s="220" t="str">
        <f t="shared" si="98"/>
        <v>IG40</v>
      </c>
      <c r="M447" s="220" t="str">
        <f t="shared" si="99"/>
        <v/>
      </c>
      <c r="N447" s="220" t="str">
        <f t="shared" si="100"/>
        <v/>
      </c>
      <c r="O447" s="220" t="str">
        <f t="shared" si="101"/>
        <v/>
      </c>
      <c r="P447" s="52" t="str">
        <f t="shared" si="102"/>
        <v>IG40</v>
      </c>
      <c r="Q447" s="231" t="str">
        <f t="shared" si="108"/>
        <v>282</v>
      </c>
      <c r="R447" s="224">
        <f t="shared" si="109"/>
        <v>274.33333333333331</v>
      </c>
      <c r="S447" s="52">
        <f t="shared" si="103"/>
        <v>268</v>
      </c>
      <c r="T447" s="221">
        <f t="shared" ca="1" si="104"/>
        <v>5.57</v>
      </c>
      <c r="U447" s="221" t="str">
        <f t="shared" si="105"/>
        <v/>
      </c>
      <c r="V447" s="220" t="str">
        <f t="array" ref="V447">INDEX(P:P,MAX(U$3:U447))</f>
        <v>IG#2DTR(A)</v>
      </c>
      <c r="W447" s="220" t="str">
        <f t="shared" ca="1" si="106"/>
        <v/>
      </c>
      <c r="X447" s="220">
        <f t="shared" si="107"/>
        <v>11.4</v>
      </c>
      <c r="Y447" s="220">
        <f t="shared" si="96"/>
        <v>0</v>
      </c>
      <c r="AA447" s="220" t="str">
        <f t="shared" si="97"/>
        <v>田中</v>
      </c>
      <c r="AB447" s="220" t="s">
        <v>1879</v>
      </c>
      <c r="AC447" s="220" t="str">
        <f t="shared" si="111"/>
        <v>IG40</v>
      </c>
      <c r="BB447" s="514" t="s">
        <v>2369</v>
      </c>
      <c r="BC447" s="514">
        <v>2340</v>
      </c>
      <c r="BD447" s="514" t="s">
        <v>85</v>
      </c>
      <c r="BE447" s="514">
        <v>2340</v>
      </c>
      <c r="BG447" s="229" t="s">
        <v>8658</v>
      </c>
      <c r="BH447" s="230" t="s">
        <v>542</v>
      </c>
      <c r="BI447" t="s">
        <v>1879</v>
      </c>
      <c r="BJ447" t="s">
        <v>2303</v>
      </c>
    </row>
    <row r="448" spans="1:62">
      <c r="A448" s="229" t="s">
        <v>49</v>
      </c>
      <c r="B448" s="230" t="s">
        <v>543</v>
      </c>
      <c r="C448" s="230" t="s">
        <v>916</v>
      </c>
      <c r="D448" s="229" t="s">
        <v>5682</v>
      </c>
      <c r="E448" s="229" t="s">
        <v>970</v>
      </c>
      <c r="F448" s="229" t="s">
        <v>5682</v>
      </c>
      <c r="G448" s="229" t="s">
        <v>7299</v>
      </c>
      <c r="H448" s="229" t="s">
        <v>5682</v>
      </c>
      <c r="I448" s="229" t="s">
        <v>875</v>
      </c>
      <c r="J448" s="231" t="s">
        <v>1009</v>
      </c>
      <c r="K448" s="231" t="s">
        <v>804</v>
      </c>
      <c r="L448" s="220" t="str">
        <f t="shared" si="98"/>
        <v>IG41</v>
      </c>
      <c r="M448" s="220" t="str">
        <f t="shared" si="99"/>
        <v/>
      </c>
      <c r="N448" s="220" t="str">
        <f t="shared" si="100"/>
        <v/>
      </c>
      <c r="O448" s="220" t="str">
        <f t="shared" si="101"/>
        <v/>
      </c>
      <c r="P448" s="52" t="str">
        <f t="shared" si="102"/>
        <v>IG41</v>
      </c>
      <c r="Q448" s="231" t="str">
        <f t="shared" si="108"/>
        <v>227</v>
      </c>
      <c r="R448" s="224">
        <f t="shared" si="109"/>
        <v>205.66666666666666</v>
      </c>
      <c r="S448" s="52">
        <f t="shared" si="103"/>
        <v>190</v>
      </c>
      <c r="T448" s="221">
        <f t="shared" ca="1" si="104"/>
        <v>4.4800000000000004</v>
      </c>
      <c r="U448" s="221" t="str">
        <f t="shared" si="105"/>
        <v/>
      </c>
      <c r="V448" s="220" t="str">
        <f t="array" ref="V448">INDEX(P:P,MAX(U$3:U448))</f>
        <v>IG#2DTR(A)</v>
      </c>
      <c r="W448" s="220" t="str">
        <f t="shared" ca="1" si="106"/>
        <v/>
      </c>
      <c r="X448" s="220">
        <f t="shared" si="107"/>
        <v>11.4</v>
      </c>
      <c r="Y448" s="220">
        <f t="shared" si="96"/>
        <v>0</v>
      </c>
      <c r="AA448" s="220" t="str">
        <f t="shared" si="97"/>
        <v>田中</v>
      </c>
      <c r="AB448" s="220" t="s">
        <v>1446</v>
      </c>
      <c r="AC448" s="220" t="str">
        <f t="shared" si="111"/>
        <v>IG41</v>
      </c>
      <c r="BB448" s="514" t="s">
        <v>2368</v>
      </c>
      <c r="BC448" s="514">
        <v>1103</v>
      </c>
      <c r="BD448" s="514">
        <v>3</v>
      </c>
      <c r="BE448" s="514">
        <v>1106</v>
      </c>
      <c r="BG448" s="229" t="s">
        <v>8657</v>
      </c>
      <c r="BH448" s="230" t="s">
        <v>8667</v>
      </c>
      <c r="BI448" t="s">
        <v>1446</v>
      </c>
      <c r="BJ448" t="s">
        <v>2303</v>
      </c>
    </row>
    <row r="449" spans="1:62">
      <c r="A449" s="229" t="s">
        <v>49</v>
      </c>
      <c r="B449" s="230" t="s">
        <v>544</v>
      </c>
      <c r="C449" s="230" t="s">
        <v>7407</v>
      </c>
      <c r="D449" s="229" t="s">
        <v>804</v>
      </c>
      <c r="E449" s="229" t="s">
        <v>927</v>
      </c>
      <c r="F449" s="229" t="s">
        <v>804</v>
      </c>
      <c r="G449" s="229" t="s">
        <v>825</v>
      </c>
      <c r="H449" s="229" t="s">
        <v>804</v>
      </c>
      <c r="I449" s="229" t="s">
        <v>809</v>
      </c>
      <c r="J449" s="231" t="s">
        <v>7501</v>
      </c>
      <c r="K449" s="231" t="s">
        <v>5949</v>
      </c>
      <c r="L449" s="220" t="str">
        <f t="shared" si="98"/>
        <v>IG42</v>
      </c>
      <c r="M449" s="220" t="str">
        <f t="shared" si="99"/>
        <v/>
      </c>
      <c r="N449" s="220" t="str">
        <f t="shared" si="100"/>
        <v/>
      </c>
      <c r="O449" s="220" t="str">
        <f t="shared" si="101"/>
        <v/>
      </c>
      <c r="P449" s="52" t="str">
        <f t="shared" si="102"/>
        <v>IG42</v>
      </c>
      <c r="Q449" s="231" t="str">
        <f t="shared" si="108"/>
        <v>106</v>
      </c>
      <c r="R449" s="224">
        <f t="shared" si="109"/>
        <v>98.333333333333329</v>
      </c>
      <c r="S449" s="52">
        <f t="shared" si="103"/>
        <v>89</v>
      </c>
      <c r="T449" s="221">
        <f t="shared" ca="1" si="104"/>
        <v>2.09</v>
      </c>
      <c r="U449" s="221" t="str">
        <f t="shared" si="105"/>
        <v/>
      </c>
      <c r="V449" s="220" t="str">
        <f t="array" ref="V449">INDEX(P:P,MAX(U$3:U449))</f>
        <v>IG#2DTR(A)</v>
      </c>
      <c r="W449" s="220" t="str">
        <f t="shared" ca="1" si="106"/>
        <v/>
      </c>
      <c r="X449" s="220">
        <f t="shared" si="107"/>
        <v>11.4</v>
      </c>
      <c r="Y449" s="220">
        <f t="shared" si="96"/>
        <v>0</v>
      </c>
      <c r="AA449" s="220" t="str">
        <f t="shared" si="97"/>
        <v>田中</v>
      </c>
      <c r="AB449" s="220" t="s">
        <v>1467</v>
      </c>
      <c r="AC449" s="220" t="str">
        <f t="shared" si="111"/>
        <v>IG42</v>
      </c>
      <c r="BB449" s="514" t="s">
        <v>2367</v>
      </c>
      <c r="BC449" s="514">
        <v>2315</v>
      </c>
      <c r="BD449" s="514">
        <v>6</v>
      </c>
      <c r="BE449" s="514">
        <v>2321</v>
      </c>
      <c r="BG449" s="229" t="s">
        <v>8657</v>
      </c>
      <c r="BH449" s="230" t="s">
        <v>8668</v>
      </c>
      <c r="BI449" t="s">
        <v>1467</v>
      </c>
      <c r="BJ449" t="s">
        <v>2303</v>
      </c>
    </row>
    <row r="450" spans="1:62">
      <c r="A450" s="229" t="s">
        <v>49</v>
      </c>
      <c r="B450" s="230" t="s">
        <v>395</v>
      </c>
      <c r="C450" s="230" t="s">
        <v>3192</v>
      </c>
      <c r="D450" s="229" t="s">
        <v>804</v>
      </c>
      <c r="E450" s="229" t="s">
        <v>973</v>
      </c>
      <c r="F450" s="229" t="s">
        <v>7502</v>
      </c>
      <c r="G450" s="229" t="s">
        <v>7503</v>
      </c>
      <c r="H450" s="229" t="s">
        <v>804</v>
      </c>
      <c r="I450" s="229" t="s">
        <v>3192</v>
      </c>
      <c r="J450" s="231" t="s">
        <v>7078</v>
      </c>
      <c r="K450" s="231" t="s">
        <v>358</v>
      </c>
      <c r="L450" s="220" t="str">
        <f t="shared" si="98"/>
        <v>IG#2DTR(A)</v>
      </c>
      <c r="M450" s="220" t="str">
        <f t="shared" si="99"/>
        <v>(A)</v>
      </c>
      <c r="N450" s="220" t="str">
        <f t="shared" si="100"/>
        <v>IG#2DTR</v>
      </c>
      <c r="O450" s="220" t="str">
        <f t="shared" si="101"/>
        <v>(A2)</v>
      </c>
      <c r="P450" s="52" t="str">
        <f t="shared" si="102"/>
        <v>IG#2DTR(A)</v>
      </c>
      <c r="Q450" s="231" t="str">
        <f t="shared" si="108"/>
        <v>341</v>
      </c>
      <c r="R450" s="224">
        <f t="shared" si="109"/>
        <v>338</v>
      </c>
      <c r="S450" s="52">
        <f t="shared" si="103"/>
        <v>335</v>
      </c>
      <c r="T450" s="221">
        <f t="shared" ca="1" si="104"/>
        <v>6.73</v>
      </c>
      <c r="U450" s="221">
        <f t="shared" si="105"/>
        <v>450</v>
      </c>
      <c r="V450" s="220" t="str">
        <f t="array" ref="V450">INDEX(P:P,MAX(U$3:U450))</f>
        <v>IG#2DTR(A)</v>
      </c>
      <c r="W450" s="220">
        <f t="shared" ca="1" si="106"/>
        <v>30</v>
      </c>
      <c r="X450" s="220" t="str">
        <f t="shared" si="107"/>
        <v/>
      </c>
      <c r="Y450" s="220">
        <f t="shared" si="96"/>
        <v>0</v>
      </c>
      <c r="AA450" s="220" t="str">
        <f t="shared" si="97"/>
        <v>田中</v>
      </c>
      <c r="AB450" s="220" t="s">
        <v>2303</v>
      </c>
      <c r="AC450" s="220" t="str">
        <f t="shared" si="111"/>
        <v>#2A2</v>
      </c>
      <c r="BB450" s="514" t="s">
        <v>3257</v>
      </c>
      <c r="BC450" s="514" t="s">
        <v>85</v>
      </c>
      <c r="BD450" s="514" t="s">
        <v>85</v>
      </c>
      <c r="BE450" s="514">
        <v>0</v>
      </c>
      <c r="BG450" s="229" t="s">
        <v>8658</v>
      </c>
      <c r="BH450" s="230" t="s">
        <v>8669</v>
      </c>
      <c r="BI450" t="s">
        <v>2303</v>
      </c>
      <c r="BJ450" t="s">
        <v>2303</v>
      </c>
    </row>
    <row r="451" spans="1:62">
      <c r="A451" s="229" t="s">
        <v>49</v>
      </c>
      <c r="B451" s="230" t="s">
        <v>545</v>
      </c>
      <c r="C451" s="230" t="s">
        <v>999</v>
      </c>
      <c r="D451" s="229" t="s">
        <v>804</v>
      </c>
      <c r="E451" s="229" t="s">
        <v>951</v>
      </c>
      <c r="F451" s="229" t="s">
        <v>5641</v>
      </c>
      <c r="G451" s="229" t="s">
        <v>953</v>
      </c>
      <c r="H451" s="229" t="s">
        <v>804</v>
      </c>
      <c r="I451" s="229" t="s">
        <v>999</v>
      </c>
      <c r="J451" s="231" t="s">
        <v>910</v>
      </c>
      <c r="K451" s="231" t="s">
        <v>6179</v>
      </c>
      <c r="L451" s="220" t="str">
        <f t="shared" si="98"/>
        <v>IG43</v>
      </c>
      <c r="M451" s="220" t="str">
        <f t="shared" si="99"/>
        <v/>
      </c>
      <c r="N451" s="220" t="str">
        <f t="shared" si="100"/>
        <v/>
      </c>
      <c r="O451" s="220" t="str">
        <f t="shared" si="101"/>
        <v/>
      </c>
      <c r="P451" s="52" t="str">
        <f t="shared" si="102"/>
        <v>IG43</v>
      </c>
      <c r="Q451" s="231" t="str">
        <f t="shared" si="108"/>
        <v>283</v>
      </c>
      <c r="R451" s="224">
        <f t="shared" si="109"/>
        <v>273.33333333333331</v>
      </c>
      <c r="S451" s="52">
        <f t="shared" si="103"/>
        <v>259</v>
      </c>
      <c r="T451" s="221">
        <f t="shared" ca="1" si="104"/>
        <v>5.59</v>
      </c>
      <c r="U451" s="221" t="str">
        <f t="shared" si="105"/>
        <v/>
      </c>
      <c r="V451" s="220" t="str">
        <f t="array" ref="V451">INDEX(P:P,MAX(U$3:U451))</f>
        <v>IG#2DTR(A)</v>
      </c>
      <c r="W451" s="220" t="str">
        <f t="shared" ca="1" si="106"/>
        <v/>
      </c>
      <c r="X451" s="220">
        <f t="shared" si="107"/>
        <v>11.4</v>
      </c>
      <c r="Y451" s="220">
        <f t="shared" ref="Y451:Y514" si="112">SUMIF(L:L,L451,I:I)</f>
        <v>0</v>
      </c>
      <c r="AA451" s="220" t="str">
        <f t="shared" ref="AA451:AA514" si="113">LEFT(A451,2)</f>
        <v>田中</v>
      </c>
      <c r="AB451" s="220" t="s">
        <v>1880</v>
      </c>
      <c r="AC451" s="220" t="str">
        <f t="shared" si="111"/>
        <v>IG43</v>
      </c>
      <c r="BB451" s="514" t="s">
        <v>2397</v>
      </c>
      <c r="BC451" s="514">
        <v>2</v>
      </c>
      <c r="BD451" s="514">
        <v>1</v>
      </c>
      <c r="BE451" s="514">
        <v>3</v>
      </c>
      <c r="BG451" s="229" t="s">
        <v>8657</v>
      </c>
      <c r="BH451" s="230" t="s">
        <v>8670</v>
      </c>
      <c r="BI451" t="s">
        <v>1880</v>
      </c>
      <c r="BJ451" t="s">
        <v>2303</v>
      </c>
    </row>
    <row r="452" spans="1:62">
      <c r="A452" s="229" t="s">
        <v>49</v>
      </c>
      <c r="B452" s="230" t="s">
        <v>7504</v>
      </c>
      <c r="C452" s="230" t="s">
        <v>831</v>
      </c>
      <c r="D452" s="229" t="s">
        <v>7505</v>
      </c>
      <c r="E452" s="229" t="s">
        <v>7506</v>
      </c>
      <c r="F452" s="229" t="s">
        <v>850</v>
      </c>
      <c r="G452" s="229" t="s">
        <v>809</v>
      </c>
      <c r="H452" s="229" t="s">
        <v>850</v>
      </c>
      <c r="I452" s="229" t="s">
        <v>7507</v>
      </c>
      <c r="J452" s="231" t="s">
        <v>7508</v>
      </c>
      <c r="K452" s="231" t="s">
        <v>783</v>
      </c>
      <c r="L452" s="220" t="str">
        <f t="shared" ref="L452:L515" si="114">IF(LEFT(B452,1)="#",IF(LEN(B452)=5,RIGHT(A452,2)&amp;B452,N452&amp;M452),MID(B452,FIND("(",B452)+1,4))</f>
        <v>IG44</v>
      </c>
      <c r="M452" s="220" t="str">
        <f t="shared" ref="M452:M515" si="115">IF(LEFT(B452,1)="#",IF(LEN(B452)&lt;&gt;5,"("&amp;MID(B452,3,1)&amp;")",""),"")</f>
        <v/>
      </c>
      <c r="N452" s="220" t="str">
        <f t="shared" ref="N452:N515" si="116">IF(LEFT(B452,1)="#",IF(LEN(B452)=5,RIGHT(A452,2)&amp;B452,RIGHT(A452,2)&amp;LEFT(B452,2)&amp;"DTR"),"")</f>
        <v/>
      </c>
      <c r="O452" s="220" t="str">
        <f t="shared" ref="O452:O515" si="117">IF(LEFT(B452,1)="#",IF(LEN(B452)&lt;&gt;5,IF(LEN(B452)&lt;&gt;7,"("&amp;MID(B452,3,1)&amp;")","("&amp;MID(B452,3,2)&amp;")"),""),"")</f>
        <v/>
      </c>
      <c r="P452" s="52" t="str">
        <f t="shared" ref="P452:P515" si="118">IF(LEFT(B452,1)="#",IF(LEN(B452)=5,RIGHT(A452,2)&amp;B452,N452&amp;M452),MID(B452,FIND("(",B452)+1,4))</f>
        <v>IG44</v>
      </c>
      <c r="Q452" s="231" t="str">
        <f t="shared" si="108"/>
        <v>106</v>
      </c>
      <c r="R452" s="224">
        <f t="shared" si="109"/>
        <v>87</v>
      </c>
      <c r="S452" s="52">
        <f t="shared" ref="S452:S515" si="119">MIN(C452*1,E452*1,G452*1)</f>
        <v>73</v>
      </c>
      <c r="T452" s="221">
        <f t="shared" ref="T452:T515" ca="1" si="120">IF(LEFT(B452,1)="#",ROUND(OFFSET(X452,1,0,1,1)*Q452*SQRT(3)/1000,2),ROUND(Q452*X452*SQRT(3)/1000,2))</f>
        <v>2.09</v>
      </c>
      <c r="U452" s="221" t="str">
        <f t="shared" ref="U452:U515" si="121">IF(ISNUMBER(FIND("#",B452)),ROW(),"")</f>
        <v/>
      </c>
      <c r="V452" s="220" t="str">
        <f t="array" ref="V452">INDEX(P:P,MAX(U$3:U452))</f>
        <v>IG#2DTR(A)</v>
      </c>
      <c r="W452" s="220" t="str">
        <f t="shared" ref="W452:W515" ca="1" si="122">IF(LEFT(B452,1)="#",IF(ISNUMBER(FIND("DTR",B452)),IF(MID(OFFSET(P452,1,0,1,1),3,1)*1&lt;5,30,60),25),"")</f>
        <v/>
      </c>
      <c r="X452" s="220">
        <f t="shared" ref="X452:X515" si="123">IF(LEFT(B452,1)="#","",IF(MID(P452,3,1)*1&lt;5,11.4,22.8))</f>
        <v>11.4</v>
      </c>
      <c r="Y452" s="220">
        <f t="shared" si="112"/>
        <v>0</v>
      </c>
      <c r="AA452" s="220" t="str">
        <f t="shared" si="113"/>
        <v>田中</v>
      </c>
      <c r="AB452" s="220" t="s">
        <v>1881</v>
      </c>
      <c r="AC452" s="220" t="str">
        <f t="shared" si="111"/>
        <v>IG44</v>
      </c>
      <c r="BB452" s="514" t="s">
        <v>2390</v>
      </c>
      <c r="BC452" s="514">
        <v>1461</v>
      </c>
      <c r="BD452" s="514">
        <v>3</v>
      </c>
      <c r="BE452" s="514">
        <v>1464</v>
      </c>
      <c r="BG452" s="229" t="s">
        <v>8658</v>
      </c>
      <c r="BH452" s="230" t="s">
        <v>8671</v>
      </c>
      <c r="BI452" t="s">
        <v>1881</v>
      </c>
      <c r="BJ452" t="s">
        <v>2303</v>
      </c>
    </row>
    <row r="453" spans="1:62">
      <c r="A453" s="229" t="s">
        <v>49</v>
      </c>
      <c r="B453" s="230" t="s">
        <v>396</v>
      </c>
      <c r="C453" s="230" t="s">
        <v>4704</v>
      </c>
      <c r="D453" s="229" t="s">
        <v>804</v>
      </c>
      <c r="E453" s="229" t="s">
        <v>1018</v>
      </c>
      <c r="F453" s="229" t="s">
        <v>804</v>
      </c>
      <c r="G453" s="229" t="s">
        <v>1054</v>
      </c>
      <c r="H453" s="229" t="s">
        <v>7239</v>
      </c>
      <c r="I453" s="229" t="s">
        <v>1054</v>
      </c>
      <c r="J453" s="231" t="s">
        <v>358</v>
      </c>
      <c r="K453" s="231" t="s">
        <v>358</v>
      </c>
      <c r="L453" s="220" t="str">
        <f t="shared" si="114"/>
        <v>IG#2DTR(B)</v>
      </c>
      <c r="M453" s="220" t="str">
        <f t="shared" si="115"/>
        <v>(B)</v>
      </c>
      <c r="N453" s="220" t="str">
        <f t="shared" si="116"/>
        <v>IG#2DTR</v>
      </c>
      <c r="O453" s="220" t="str">
        <f t="shared" si="117"/>
        <v>(B1)</v>
      </c>
      <c r="P453" s="52" t="str">
        <f t="shared" si="118"/>
        <v>IG#2DTR(B)</v>
      </c>
      <c r="Q453" s="231" t="str">
        <f t="shared" si="108"/>
        <v>317</v>
      </c>
      <c r="R453" s="224">
        <f t="shared" si="109"/>
        <v>304.33333333333331</v>
      </c>
      <c r="S453" s="52">
        <f t="shared" si="119"/>
        <v>285</v>
      </c>
      <c r="T453" s="221">
        <f t="shared" ca="1" si="120"/>
        <v>6.26</v>
      </c>
      <c r="U453" s="221">
        <f t="shared" si="121"/>
        <v>453</v>
      </c>
      <c r="V453" s="220" t="str">
        <f t="array" ref="V453">INDEX(P:P,MAX(U$3:U453))</f>
        <v>IG#2DTR(B)</v>
      </c>
      <c r="W453" s="220">
        <f t="shared" ca="1" si="122"/>
        <v>30</v>
      </c>
      <c r="X453" s="220" t="str">
        <f t="shared" si="123"/>
        <v/>
      </c>
      <c r="Y453" s="220">
        <f t="shared" si="112"/>
        <v>0</v>
      </c>
      <c r="AA453" s="220" t="str">
        <f t="shared" si="113"/>
        <v>田中</v>
      </c>
      <c r="AB453" s="220" t="s">
        <v>2304</v>
      </c>
      <c r="AC453" s="220" t="str">
        <f t="shared" si="111"/>
        <v>#2B1</v>
      </c>
      <c r="BB453" s="514" t="s">
        <v>2389</v>
      </c>
      <c r="BC453" s="514">
        <v>4264</v>
      </c>
      <c r="BD453" s="514">
        <v>2</v>
      </c>
      <c r="BE453" s="514">
        <v>4266</v>
      </c>
      <c r="BG453" s="229" t="s">
        <v>8657</v>
      </c>
      <c r="BH453" s="230" t="s">
        <v>8672</v>
      </c>
      <c r="BI453" t="s">
        <v>2304</v>
      </c>
      <c r="BJ453" t="s">
        <v>2304</v>
      </c>
    </row>
    <row r="454" spans="1:62">
      <c r="A454" s="229" t="s">
        <v>7487</v>
      </c>
      <c r="B454" s="230" t="s">
        <v>546</v>
      </c>
      <c r="C454" s="230" t="s">
        <v>7509</v>
      </c>
      <c r="D454" s="229" t="s">
        <v>7149</v>
      </c>
      <c r="E454" s="229" t="s">
        <v>7510</v>
      </c>
      <c r="F454" s="229" t="s">
        <v>832</v>
      </c>
      <c r="G454" s="229" t="s">
        <v>892</v>
      </c>
      <c r="H454" s="229" t="s">
        <v>832</v>
      </c>
      <c r="I454" s="229" t="s">
        <v>891</v>
      </c>
      <c r="J454" s="231" t="s">
        <v>7511</v>
      </c>
      <c r="K454" s="231" t="s">
        <v>845</v>
      </c>
      <c r="L454" s="220" t="str">
        <f t="shared" si="114"/>
        <v>IG45</v>
      </c>
      <c r="M454" s="220" t="str">
        <f t="shared" si="115"/>
        <v/>
      </c>
      <c r="N454" s="220" t="str">
        <f t="shared" si="116"/>
        <v/>
      </c>
      <c r="O454" s="220" t="str">
        <f t="shared" si="117"/>
        <v/>
      </c>
      <c r="P454" s="52" t="str">
        <f t="shared" si="118"/>
        <v>IG45</v>
      </c>
      <c r="Q454" s="231" t="str">
        <f t="shared" si="108"/>
        <v>276</v>
      </c>
      <c r="R454" s="224">
        <f t="shared" si="109"/>
        <v>267.66666666666669</v>
      </c>
      <c r="S454" s="52">
        <f t="shared" si="119"/>
        <v>259</v>
      </c>
      <c r="T454" s="221">
        <f t="shared" ca="1" si="120"/>
        <v>5.45</v>
      </c>
      <c r="U454" s="221" t="str">
        <f t="shared" si="121"/>
        <v/>
      </c>
      <c r="V454" s="220" t="str">
        <f t="array" ref="V454">INDEX(P:P,MAX(U$3:U454))</f>
        <v>IG#2DTR(B)</v>
      </c>
      <c r="W454" s="220" t="str">
        <f t="shared" ca="1" si="122"/>
        <v/>
      </c>
      <c r="X454" s="220">
        <f t="shared" si="123"/>
        <v>11.4</v>
      </c>
      <c r="Y454" s="220">
        <f t="shared" si="112"/>
        <v>0</v>
      </c>
      <c r="AA454" s="220" t="str">
        <f t="shared" si="113"/>
        <v>田中</v>
      </c>
      <c r="AB454" s="220" t="s">
        <v>1882</v>
      </c>
      <c r="AC454" s="220" t="str">
        <f t="shared" si="111"/>
        <v>IG45</v>
      </c>
      <c r="BB454" s="514" t="s">
        <v>2391</v>
      </c>
      <c r="BC454" s="514">
        <v>741</v>
      </c>
      <c r="BD454" s="514">
        <v>4</v>
      </c>
      <c r="BE454" s="514">
        <v>745</v>
      </c>
      <c r="BG454" s="229" t="s">
        <v>8657</v>
      </c>
      <c r="BH454" s="230" t="s">
        <v>8673</v>
      </c>
      <c r="BI454" t="s">
        <v>1882</v>
      </c>
      <c r="BJ454" t="s">
        <v>2304</v>
      </c>
    </row>
    <row r="455" spans="1:62">
      <c r="A455" s="229" t="s">
        <v>49</v>
      </c>
      <c r="B455" s="230" t="s">
        <v>547</v>
      </c>
      <c r="C455" s="230" t="s">
        <v>7512</v>
      </c>
      <c r="D455" s="229" t="s">
        <v>5975</v>
      </c>
      <c r="E455" s="229" t="s">
        <v>923</v>
      </c>
      <c r="F455" s="229" t="s">
        <v>7346</v>
      </c>
      <c r="G455" s="229" t="s">
        <v>7513</v>
      </c>
      <c r="H455" s="229" t="s">
        <v>797</v>
      </c>
      <c r="I455" s="229" t="s">
        <v>802</v>
      </c>
      <c r="J455" s="231" t="s">
        <v>5735</v>
      </c>
      <c r="K455" s="231" t="s">
        <v>5733</v>
      </c>
      <c r="L455" s="220" t="str">
        <f t="shared" si="114"/>
        <v>IG46</v>
      </c>
      <c r="M455" s="220" t="str">
        <f t="shared" si="115"/>
        <v/>
      </c>
      <c r="N455" s="220" t="str">
        <f t="shared" si="116"/>
        <v/>
      </c>
      <c r="O455" s="220" t="str">
        <f t="shared" si="117"/>
        <v/>
      </c>
      <c r="P455" s="52" t="str">
        <f t="shared" si="118"/>
        <v>IG46</v>
      </c>
      <c r="Q455" s="231" t="str">
        <f t="shared" si="108"/>
        <v>67</v>
      </c>
      <c r="R455" s="224">
        <f t="shared" si="109"/>
        <v>58.666666666666664</v>
      </c>
      <c r="S455" s="52">
        <f t="shared" si="119"/>
        <v>48</v>
      </c>
      <c r="T455" s="221">
        <f t="shared" ca="1" si="120"/>
        <v>1.32</v>
      </c>
      <c r="U455" s="221" t="str">
        <f t="shared" si="121"/>
        <v/>
      </c>
      <c r="V455" s="220" t="str">
        <f t="array" ref="V455">INDEX(P:P,MAX(U$3:U455))</f>
        <v>IG#2DTR(B)</v>
      </c>
      <c r="W455" s="220" t="str">
        <f t="shared" ca="1" si="122"/>
        <v/>
      </c>
      <c r="X455" s="220">
        <f t="shared" si="123"/>
        <v>11.4</v>
      </c>
      <c r="Y455" s="220">
        <f t="shared" si="112"/>
        <v>0</v>
      </c>
      <c r="AA455" s="220" t="str">
        <f t="shared" si="113"/>
        <v>田中</v>
      </c>
      <c r="AB455" s="220" t="s">
        <v>1883</v>
      </c>
      <c r="AC455" s="220" t="str">
        <f t="shared" si="111"/>
        <v>IG46</v>
      </c>
      <c r="BB455" s="514" t="s">
        <v>2392</v>
      </c>
      <c r="BC455" s="514">
        <v>49</v>
      </c>
      <c r="BD455" s="514">
        <v>4</v>
      </c>
      <c r="BE455" s="514">
        <v>53</v>
      </c>
      <c r="BG455" s="229" t="s">
        <v>8657</v>
      </c>
      <c r="BH455" s="230" t="s">
        <v>547</v>
      </c>
      <c r="BI455" t="s">
        <v>1883</v>
      </c>
      <c r="BJ455" t="s">
        <v>2304</v>
      </c>
    </row>
    <row r="456" spans="1:62">
      <c r="A456" s="229" t="s">
        <v>49</v>
      </c>
      <c r="B456" s="230" t="s">
        <v>398</v>
      </c>
      <c r="C456" s="230" t="s">
        <v>4705</v>
      </c>
      <c r="D456" s="229" t="s">
        <v>783</v>
      </c>
      <c r="E456" s="229" t="s">
        <v>4706</v>
      </c>
      <c r="F456" s="229" t="s">
        <v>783</v>
      </c>
      <c r="G456" s="229" t="s">
        <v>7514</v>
      </c>
      <c r="H456" s="229" t="s">
        <v>783</v>
      </c>
      <c r="I456" s="229" t="s">
        <v>7515</v>
      </c>
      <c r="J456" s="231" t="s">
        <v>358</v>
      </c>
      <c r="K456" s="231" t="s">
        <v>358</v>
      </c>
      <c r="L456" s="220" t="str">
        <f t="shared" si="114"/>
        <v>IG#2DTR(B)</v>
      </c>
      <c r="M456" s="220" t="str">
        <f t="shared" si="115"/>
        <v>(B)</v>
      </c>
      <c r="N456" s="220" t="str">
        <f t="shared" si="116"/>
        <v>IG#2DTR</v>
      </c>
      <c r="O456" s="220" t="str">
        <f t="shared" si="117"/>
        <v>(B2)</v>
      </c>
      <c r="P456" s="52" t="str">
        <f t="shared" si="118"/>
        <v>IG#2DTR(B)</v>
      </c>
      <c r="Q456" s="231" t="str">
        <f t="shared" si="108"/>
        <v>693</v>
      </c>
      <c r="R456" s="224">
        <f t="shared" si="109"/>
        <v>673.33333333333337</v>
      </c>
      <c r="S456" s="52">
        <f t="shared" si="119"/>
        <v>656</v>
      </c>
      <c r="T456" s="221">
        <f t="shared" ca="1" si="120"/>
        <v>13.68</v>
      </c>
      <c r="U456" s="221">
        <f t="shared" si="121"/>
        <v>456</v>
      </c>
      <c r="V456" s="220" t="str">
        <f t="array" ref="V456">INDEX(P:P,MAX(U$3:U456))</f>
        <v>IG#2DTR(B)</v>
      </c>
      <c r="W456" s="220">
        <f t="shared" ca="1" si="122"/>
        <v>30</v>
      </c>
      <c r="X456" s="220" t="str">
        <f t="shared" si="123"/>
        <v/>
      </c>
      <c r="Y456" s="220">
        <f t="shared" si="112"/>
        <v>0</v>
      </c>
      <c r="AA456" s="220" t="str">
        <f t="shared" si="113"/>
        <v>田中</v>
      </c>
      <c r="AB456" s="220" t="s">
        <v>2304</v>
      </c>
      <c r="AC456" s="220" t="str">
        <f t="shared" si="111"/>
        <v>#2B2</v>
      </c>
      <c r="BB456" s="514" t="s">
        <v>2396</v>
      </c>
      <c r="BC456" s="514">
        <v>2461</v>
      </c>
      <c r="BD456" s="514">
        <v>2</v>
      </c>
      <c r="BE456" s="514">
        <v>2463</v>
      </c>
      <c r="BG456" s="229" t="s">
        <v>49</v>
      </c>
      <c r="BH456" s="230" t="s">
        <v>8674</v>
      </c>
      <c r="BI456" t="s">
        <v>2304</v>
      </c>
      <c r="BJ456" t="s">
        <v>2304</v>
      </c>
    </row>
    <row r="457" spans="1:62">
      <c r="A457" s="229" t="s">
        <v>49</v>
      </c>
      <c r="B457" s="230" t="s">
        <v>7516</v>
      </c>
      <c r="C457" s="230" t="s">
        <v>951</v>
      </c>
      <c r="D457" s="229" t="s">
        <v>7113</v>
      </c>
      <c r="E457" s="229" t="s">
        <v>7517</v>
      </c>
      <c r="F457" s="229" t="s">
        <v>6190</v>
      </c>
      <c r="G457" s="229" t="s">
        <v>7518</v>
      </c>
      <c r="H457" s="229" t="s">
        <v>7519</v>
      </c>
      <c r="I457" s="229" t="s">
        <v>7520</v>
      </c>
      <c r="J457" s="231" t="s">
        <v>931</v>
      </c>
      <c r="K457" s="231" t="s">
        <v>5682</v>
      </c>
      <c r="L457" s="220" t="str">
        <f t="shared" si="114"/>
        <v>IG47</v>
      </c>
      <c r="M457" s="220" t="str">
        <f t="shared" si="115"/>
        <v/>
      </c>
      <c r="N457" s="220" t="str">
        <f t="shared" si="116"/>
        <v/>
      </c>
      <c r="O457" s="220" t="str">
        <f t="shared" si="117"/>
        <v/>
      </c>
      <c r="P457" s="52" t="str">
        <f t="shared" si="118"/>
        <v>IG47</v>
      </c>
      <c r="Q457" s="231" t="str">
        <f t="shared" si="108"/>
        <v>278</v>
      </c>
      <c r="R457" s="224">
        <f t="shared" si="109"/>
        <v>276.33333333333331</v>
      </c>
      <c r="S457" s="52">
        <f t="shared" si="119"/>
        <v>275</v>
      </c>
      <c r="T457" s="221">
        <f t="shared" ca="1" si="120"/>
        <v>5.49</v>
      </c>
      <c r="U457" s="221" t="str">
        <f t="shared" si="121"/>
        <v/>
      </c>
      <c r="V457" s="220" t="str">
        <f t="array" ref="V457">INDEX(P:P,MAX(U$3:U457))</f>
        <v>IG#2DTR(B)</v>
      </c>
      <c r="W457" s="220" t="str">
        <f t="shared" ca="1" si="122"/>
        <v/>
      </c>
      <c r="X457" s="220">
        <f t="shared" si="123"/>
        <v>11.4</v>
      </c>
      <c r="Y457" s="220">
        <f t="shared" si="112"/>
        <v>0</v>
      </c>
      <c r="AA457" s="220" t="str">
        <f t="shared" si="113"/>
        <v>田中</v>
      </c>
      <c r="AB457" s="220" t="s">
        <v>1884</v>
      </c>
      <c r="AC457" s="220" t="str">
        <f t="shared" si="111"/>
        <v>IG47</v>
      </c>
      <c r="BB457" s="514" t="s">
        <v>2398</v>
      </c>
      <c r="BC457" s="514">
        <v>2218</v>
      </c>
      <c r="BD457" s="514">
        <v>6</v>
      </c>
      <c r="BE457" s="514">
        <v>2224</v>
      </c>
      <c r="BG457" s="229" t="s">
        <v>8657</v>
      </c>
      <c r="BH457" s="230" t="s">
        <v>548</v>
      </c>
      <c r="BI457" t="s">
        <v>1884</v>
      </c>
      <c r="BJ457" t="s">
        <v>2304</v>
      </c>
    </row>
    <row r="458" spans="1:62">
      <c r="A458" s="229" t="s">
        <v>49</v>
      </c>
      <c r="B458" s="230" t="s">
        <v>549</v>
      </c>
      <c r="C458" s="230" t="s">
        <v>815</v>
      </c>
      <c r="D458" s="229" t="s">
        <v>832</v>
      </c>
      <c r="E458" s="229" t="s">
        <v>4666</v>
      </c>
      <c r="F458" s="229" t="s">
        <v>7521</v>
      </c>
      <c r="G458" s="229" t="s">
        <v>1007</v>
      </c>
      <c r="H458" s="229" t="s">
        <v>804</v>
      </c>
      <c r="I458" s="229" t="s">
        <v>4666</v>
      </c>
      <c r="J458" s="231" t="s">
        <v>7522</v>
      </c>
      <c r="K458" s="231" t="s">
        <v>804</v>
      </c>
      <c r="L458" s="220" t="str">
        <f t="shared" si="114"/>
        <v>IG48</v>
      </c>
      <c r="M458" s="220" t="str">
        <f t="shared" si="115"/>
        <v/>
      </c>
      <c r="N458" s="220" t="str">
        <f t="shared" si="116"/>
        <v/>
      </c>
      <c r="O458" s="220" t="str">
        <f t="shared" si="117"/>
        <v/>
      </c>
      <c r="P458" s="52" t="str">
        <f t="shared" si="118"/>
        <v>IG48</v>
      </c>
      <c r="Q458" s="231" t="str">
        <f t="shared" si="108"/>
        <v>292</v>
      </c>
      <c r="R458" s="224">
        <f t="shared" si="109"/>
        <v>266.33333333333331</v>
      </c>
      <c r="S458" s="52">
        <f t="shared" si="119"/>
        <v>251</v>
      </c>
      <c r="T458" s="221">
        <f t="shared" ca="1" si="120"/>
        <v>5.77</v>
      </c>
      <c r="U458" s="221" t="str">
        <f t="shared" si="121"/>
        <v/>
      </c>
      <c r="V458" s="220" t="str">
        <f t="array" ref="V458">INDEX(P:P,MAX(U$3:U458))</f>
        <v>IG#2DTR(B)</v>
      </c>
      <c r="W458" s="220" t="str">
        <f t="shared" ca="1" si="122"/>
        <v/>
      </c>
      <c r="X458" s="220">
        <f t="shared" si="123"/>
        <v>11.4</v>
      </c>
      <c r="Y458" s="220">
        <f t="shared" si="112"/>
        <v>0</v>
      </c>
      <c r="AA458" s="220" t="str">
        <f t="shared" si="113"/>
        <v>田中</v>
      </c>
      <c r="AB458" s="220" t="s">
        <v>1686</v>
      </c>
      <c r="AC458" s="220" t="str">
        <f t="shared" si="111"/>
        <v>IG48</v>
      </c>
      <c r="BB458" s="514" t="s">
        <v>2388</v>
      </c>
      <c r="BC458" s="514" t="s">
        <v>85</v>
      </c>
      <c r="BD458" s="514" t="s">
        <v>85</v>
      </c>
      <c r="BE458" s="514">
        <v>0</v>
      </c>
      <c r="BG458" s="229" t="s">
        <v>8658</v>
      </c>
      <c r="BH458" s="230" t="s">
        <v>8675</v>
      </c>
      <c r="BI458" t="s">
        <v>1686</v>
      </c>
      <c r="BJ458" t="s">
        <v>2304</v>
      </c>
    </row>
    <row r="459" spans="1:62">
      <c r="A459" s="229" t="s">
        <v>49</v>
      </c>
      <c r="B459" s="230" t="s">
        <v>7523</v>
      </c>
      <c r="C459" s="230" t="s">
        <v>992</v>
      </c>
      <c r="D459" s="229" t="s">
        <v>839</v>
      </c>
      <c r="E459" s="229" t="s">
        <v>894</v>
      </c>
      <c r="F459" s="229" t="s">
        <v>832</v>
      </c>
      <c r="G459" s="229" t="s">
        <v>964</v>
      </c>
      <c r="H459" s="229" t="s">
        <v>839</v>
      </c>
      <c r="I459" s="229" t="s">
        <v>964</v>
      </c>
      <c r="J459" s="231" t="s">
        <v>7501</v>
      </c>
      <c r="K459" s="231" t="s">
        <v>7141</v>
      </c>
      <c r="L459" s="220" t="str">
        <f t="shared" si="114"/>
        <v>IG49</v>
      </c>
      <c r="M459" s="220" t="str">
        <f t="shared" si="115"/>
        <v/>
      </c>
      <c r="N459" s="220" t="str">
        <f t="shared" si="116"/>
        <v/>
      </c>
      <c r="O459" s="220" t="str">
        <f t="shared" si="117"/>
        <v/>
      </c>
      <c r="P459" s="52" t="str">
        <f t="shared" si="118"/>
        <v>IG49</v>
      </c>
      <c r="Q459" s="231" t="str">
        <f t="shared" si="108"/>
        <v>212</v>
      </c>
      <c r="R459" s="224">
        <f t="shared" si="109"/>
        <v>205.66666666666666</v>
      </c>
      <c r="S459" s="52">
        <f t="shared" si="119"/>
        <v>194</v>
      </c>
      <c r="T459" s="221">
        <f t="shared" ca="1" si="120"/>
        <v>4.1900000000000004</v>
      </c>
      <c r="U459" s="221" t="str">
        <f t="shared" si="121"/>
        <v/>
      </c>
      <c r="V459" s="220" t="str">
        <f t="array" ref="V459">INDEX(P:P,MAX(U$3:U459))</f>
        <v>IG#2DTR(B)</v>
      </c>
      <c r="W459" s="220" t="str">
        <f t="shared" ca="1" si="122"/>
        <v/>
      </c>
      <c r="X459" s="220">
        <f t="shared" si="123"/>
        <v>11.4</v>
      </c>
      <c r="Y459" s="220">
        <f t="shared" si="112"/>
        <v>0</v>
      </c>
      <c r="AA459" s="220" t="str">
        <f t="shared" si="113"/>
        <v>田中</v>
      </c>
      <c r="AB459" s="220" t="s">
        <v>1695</v>
      </c>
      <c r="AC459" s="220" t="str">
        <f t="shared" si="111"/>
        <v>IG49</v>
      </c>
      <c r="BB459" s="514" t="s">
        <v>2401</v>
      </c>
      <c r="BC459" s="514">
        <v>1685</v>
      </c>
      <c r="BD459" s="514">
        <v>6</v>
      </c>
      <c r="BE459" s="514">
        <v>1691</v>
      </c>
      <c r="BG459" s="229" t="s">
        <v>8657</v>
      </c>
      <c r="BH459" s="230" t="s">
        <v>8676</v>
      </c>
      <c r="BI459" t="s">
        <v>1695</v>
      </c>
      <c r="BJ459" t="s">
        <v>2304</v>
      </c>
    </row>
    <row r="460" spans="1:62">
      <c r="A460" s="229" t="s">
        <v>7524</v>
      </c>
      <c r="B460" s="230" t="s">
        <v>7525</v>
      </c>
      <c r="C460" s="230" t="s">
        <v>4656</v>
      </c>
      <c r="D460" s="229" t="s">
        <v>7519</v>
      </c>
      <c r="E460" s="229" t="s">
        <v>4685</v>
      </c>
      <c r="F460" s="229" t="s">
        <v>783</v>
      </c>
      <c r="G460" s="229" t="s">
        <v>4707</v>
      </c>
      <c r="H460" s="229" t="s">
        <v>804</v>
      </c>
      <c r="I460" s="229" t="s">
        <v>4707</v>
      </c>
      <c r="J460" s="231" t="s">
        <v>358</v>
      </c>
      <c r="K460" s="231" t="s">
        <v>7526</v>
      </c>
      <c r="L460" s="220" t="str">
        <f t="shared" si="114"/>
        <v>IH#1MTR</v>
      </c>
      <c r="M460" s="220" t="str">
        <f t="shared" si="115"/>
        <v/>
      </c>
      <c r="N460" s="220" t="str">
        <f t="shared" si="116"/>
        <v>IH#1MTR</v>
      </c>
      <c r="O460" s="220" t="str">
        <f t="shared" si="117"/>
        <v/>
      </c>
      <c r="P460" s="52" t="str">
        <f t="shared" si="118"/>
        <v>IH#1MTR</v>
      </c>
      <c r="Q460" s="231" t="str">
        <f t="shared" si="108"/>
        <v>974</v>
      </c>
      <c r="R460" s="224">
        <f t="shared" si="109"/>
        <v>953.33333333333337</v>
      </c>
      <c r="S460" s="52">
        <f t="shared" si="119"/>
        <v>941</v>
      </c>
      <c r="T460" s="221">
        <f t="shared" ca="1" si="120"/>
        <v>19.23</v>
      </c>
      <c r="U460" s="221">
        <f t="shared" si="121"/>
        <v>460</v>
      </c>
      <c r="V460" s="220" t="str">
        <f t="array" ref="V460">INDEX(P:P,MAX(U$3:U460))</f>
        <v>IH#1MTR</v>
      </c>
      <c r="W460" s="220">
        <f t="shared" ca="1" si="122"/>
        <v>25</v>
      </c>
      <c r="X460" s="220" t="str">
        <f t="shared" si="123"/>
        <v/>
      </c>
      <c r="Y460" s="220">
        <f t="shared" si="112"/>
        <v>0</v>
      </c>
      <c r="AA460" s="220" t="str">
        <f t="shared" si="113"/>
        <v>彰西</v>
      </c>
      <c r="AB460" s="220" t="s">
        <v>2305</v>
      </c>
      <c r="AC460" s="220" t="str">
        <f t="shared" si="111"/>
        <v>#1MT</v>
      </c>
      <c r="BB460" s="514" t="s">
        <v>2395</v>
      </c>
      <c r="BC460" s="514">
        <v>1208</v>
      </c>
      <c r="BD460" s="514">
        <v>1</v>
      </c>
      <c r="BE460" s="514">
        <v>1209</v>
      </c>
      <c r="BG460" s="229" t="s">
        <v>8677</v>
      </c>
      <c r="BH460" s="230" t="s">
        <v>425</v>
      </c>
      <c r="BI460" t="s">
        <v>2305</v>
      </c>
      <c r="BJ460" t="s">
        <v>2305</v>
      </c>
    </row>
    <row r="461" spans="1:62">
      <c r="A461" s="229" t="s">
        <v>7527</v>
      </c>
      <c r="B461" s="230" t="s">
        <v>7528</v>
      </c>
      <c r="C461" s="230" t="s">
        <v>958</v>
      </c>
      <c r="D461" s="229" t="s">
        <v>804</v>
      </c>
      <c r="E461" s="229" t="s">
        <v>874</v>
      </c>
      <c r="F461" s="229" t="s">
        <v>7056</v>
      </c>
      <c r="G461" s="229" t="s">
        <v>1044</v>
      </c>
      <c r="H461" s="229" t="s">
        <v>804</v>
      </c>
      <c r="I461" s="229" t="s">
        <v>7529</v>
      </c>
      <c r="J461" s="231" t="s">
        <v>1015</v>
      </c>
      <c r="K461" s="231" t="s">
        <v>804</v>
      </c>
      <c r="L461" s="220" t="str">
        <f t="shared" si="114"/>
        <v>IH27</v>
      </c>
      <c r="M461" s="220" t="str">
        <f t="shared" si="115"/>
        <v/>
      </c>
      <c r="N461" s="220" t="str">
        <f t="shared" si="116"/>
        <v/>
      </c>
      <c r="O461" s="220" t="str">
        <f t="shared" si="117"/>
        <v/>
      </c>
      <c r="P461" s="52" t="str">
        <f t="shared" si="118"/>
        <v>IH27</v>
      </c>
      <c r="Q461" s="231" t="str">
        <f t="shared" si="108"/>
        <v>270</v>
      </c>
      <c r="R461" s="224">
        <f t="shared" si="109"/>
        <v>242.33333333333334</v>
      </c>
      <c r="S461" s="52">
        <f t="shared" si="119"/>
        <v>226</v>
      </c>
      <c r="T461" s="221">
        <f t="shared" ca="1" si="120"/>
        <v>5.33</v>
      </c>
      <c r="U461" s="221" t="str">
        <f t="shared" si="121"/>
        <v/>
      </c>
      <c r="V461" s="220" t="str">
        <f t="array" ref="V461">INDEX(P:P,MAX(U$3:U461))</f>
        <v>IH#1MTR</v>
      </c>
      <c r="W461" s="220" t="str">
        <f t="shared" ca="1" si="122"/>
        <v/>
      </c>
      <c r="X461" s="220">
        <f t="shared" si="123"/>
        <v>11.4</v>
      </c>
      <c r="Y461" s="220">
        <f t="shared" si="112"/>
        <v>0</v>
      </c>
      <c r="AA461" s="220" t="str">
        <f t="shared" si="113"/>
        <v>彰西</v>
      </c>
      <c r="AB461" s="220" t="s">
        <v>2306</v>
      </c>
      <c r="AC461" s="220" t="str">
        <f t="shared" ref="AC461:AC501" si="124">LEFT(B461,3)</f>
        <v>西鎮線</v>
      </c>
      <c r="BB461" s="514" t="s">
        <v>2400</v>
      </c>
      <c r="BC461" s="514">
        <v>3094</v>
      </c>
      <c r="BD461" s="514">
        <v>5</v>
      </c>
      <c r="BE461" s="514">
        <v>3099</v>
      </c>
      <c r="BG461" s="229" t="s">
        <v>8677</v>
      </c>
      <c r="BH461" s="230" t="s">
        <v>8678</v>
      </c>
      <c r="BI461" t="s">
        <v>2306</v>
      </c>
      <c r="BJ461" t="s">
        <v>2305</v>
      </c>
    </row>
    <row r="462" spans="1:62">
      <c r="A462" s="229" t="s">
        <v>7527</v>
      </c>
      <c r="B462" s="230" t="s">
        <v>7530</v>
      </c>
      <c r="C462" s="230" t="s">
        <v>7531</v>
      </c>
      <c r="D462" s="229" t="s">
        <v>7059</v>
      </c>
      <c r="E462" s="229" t="s">
        <v>7532</v>
      </c>
      <c r="F462" s="229" t="s">
        <v>832</v>
      </c>
      <c r="G462" s="229" t="s">
        <v>5888</v>
      </c>
      <c r="H462" s="229" t="s">
        <v>5791</v>
      </c>
      <c r="I462" s="229" t="s">
        <v>5888</v>
      </c>
      <c r="J462" s="231" t="s">
        <v>848</v>
      </c>
      <c r="K462" s="231" t="s">
        <v>7533</v>
      </c>
      <c r="L462" s="220" t="str">
        <f t="shared" si="114"/>
        <v>IH21</v>
      </c>
      <c r="M462" s="220" t="str">
        <f t="shared" si="115"/>
        <v/>
      </c>
      <c r="N462" s="220" t="str">
        <f t="shared" si="116"/>
        <v/>
      </c>
      <c r="O462" s="220" t="str">
        <f t="shared" si="117"/>
        <v/>
      </c>
      <c r="P462" s="52" t="str">
        <f t="shared" si="118"/>
        <v>IH21</v>
      </c>
      <c r="Q462" s="231" t="str">
        <f t="shared" si="108"/>
        <v>160</v>
      </c>
      <c r="R462" s="224">
        <f t="shared" si="109"/>
        <v>154</v>
      </c>
      <c r="S462" s="52">
        <f t="shared" si="119"/>
        <v>143</v>
      </c>
      <c r="T462" s="221">
        <f t="shared" ca="1" si="120"/>
        <v>3.16</v>
      </c>
      <c r="U462" s="221" t="str">
        <f t="shared" si="121"/>
        <v/>
      </c>
      <c r="V462" s="220" t="str">
        <f t="array" ref="V462">INDEX(P:P,MAX(U$3:U462))</f>
        <v>IH#1MTR</v>
      </c>
      <c r="W462" s="220" t="str">
        <f t="shared" ca="1" si="122"/>
        <v/>
      </c>
      <c r="X462" s="220">
        <f t="shared" si="123"/>
        <v>11.4</v>
      </c>
      <c r="Y462" s="220">
        <f t="shared" si="112"/>
        <v>0</v>
      </c>
      <c r="AA462" s="220" t="str">
        <f t="shared" si="113"/>
        <v>彰西</v>
      </c>
      <c r="AB462" s="220" t="s">
        <v>2307</v>
      </c>
      <c r="AC462" s="220" t="str">
        <f t="shared" si="124"/>
        <v>西美線</v>
      </c>
      <c r="BB462" s="514" t="s">
        <v>2402</v>
      </c>
      <c r="BC462" s="514">
        <v>2204</v>
      </c>
      <c r="BD462" s="514">
        <v>7</v>
      </c>
      <c r="BE462" s="514">
        <v>2211</v>
      </c>
      <c r="BG462" s="229" t="s">
        <v>8677</v>
      </c>
      <c r="BH462" s="230" t="s">
        <v>8679</v>
      </c>
      <c r="BI462" t="s">
        <v>2307</v>
      </c>
      <c r="BJ462" t="s">
        <v>2305</v>
      </c>
    </row>
    <row r="463" spans="1:62">
      <c r="A463" s="229" t="s">
        <v>7524</v>
      </c>
      <c r="B463" s="230" t="s">
        <v>550</v>
      </c>
      <c r="C463" s="230" t="s">
        <v>7534</v>
      </c>
      <c r="D463" s="229" t="s">
        <v>783</v>
      </c>
      <c r="E463" s="229" t="s">
        <v>939</v>
      </c>
      <c r="F463" s="229" t="s">
        <v>832</v>
      </c>
      <c r="G463" s="229" t="s">
        <v>7535</v>
      </c>
      <c r="H463" s="229" t="s">
        <v>832</v>
      </c>
      <c r="I463" s="229" t="s">
        <v>7536</v>
      </c>
      <c r="J463" s="231" t="s">
        <v>6297</v>
      </c>
      <c r="K463" s="231" t="s">
        <v>7149</v>
      </c>
      <c r="L463" s="220" t="str">
        <f t="shared" si="114"/>
        <v>IH25</v>
      </c>
      <c r="M463" s="220" t="str">
        <f t="shared" si="115"/>
        <v/>
      </c>
      <c r="N463" s="220" t="str">
        <f t="shared" si="116"/>
        <v/>
      </c>
      <c r="O463" s="220" t="str">
        <f t="shared" si="117"/>
        <v/>
      </c>
      <c r="P463" s="52" t="str">
        <f t="shared" si="118"/>
        <v>IH25</v>
      </c>
      <c r="Q463" s="231" t="str">
        <f t="shared" ref="Q463:Q526" si="125">I463</f>
        <v>124</v>
      </c>
      <c r="R463" s="224">
        <f t="shared" si="109"/>
        <v>113.66666666666667</v>
      </c>
      <c r="S463" s="52">
        <f t="shared" si="119"/>
        <v>101</v>
      </c>
      <c r="T463" s="221">
        <f t="shared" ca="1" si="120"/>
        <v>2.4500000000000002</v>
      </c>
      <c r="U463" s="221" t="str">
        <f t="shared" si="121"/>
        <v/>
      </c>
      <c r="V463" s="220" t="str">
        <f t="array" ref="V463">INDEX(P:P,MAX(U$3:U463))</f>
        <v>IH#1MTR</v>
      </c>
      <c r="W463" s="220" t="str">
        <f t="shared" ca="1" si="122"/>
        <v/>
      </c>
      <c r="X463" s="220">
        <f t="shared" si="123"/>
        <v>11.4</v>
      </c>
      <c r="Y463" s="220">
        <f t="shared" si="112"/>
        <v>0</v>
      </c>
      <c r="AA463" s="220" t="str">
        <f t="shared" si="113"/>
        <v>彰西</v>
      </c>
      <c r="AB463" s="220" t="s">
        <v>2308</v>
      </c>
      <c r="AC463" s="220" t="str">
        <f t="shared" si="124"/>
        <v>西安線</v>
      </c>
      <c r="BB463" s="514" t="s">
        <v>2394</v>
      </c>
      <c r="BC463" s="514">
        <v>1776</v>
      </c>
      <c r="BD463" s="514">
        <v>2</v>
      </c>
      <c r="BE463" s="514">
        <v>1778</v>
      </c>
      <c r="BG463" s="229" t="s">
        <v>8677</v>
      </c>
      <c r="BH463" s="230" t="s">
        <v>550</v>
      </c>
      <c r="BI463" t="s">
        <v>2308</v>
      </c>
      <c r="BJ463" t="s">
        <v>2305</v>
      </c>
    </row>
    <row r="464" spans="1:62">
      <c r="A464" s="229" t="s">
        <v>7527</v>
      </c>
      <c r="B464" s="230" t="s">
        <v>7537</v>
      </c>
      <c r="C464" s="230" t="s">
        <v>7538</v>
      </c>
      <c r="D464" s="229" t="s">
        <v>832</v>
      </c>
      <c r="E464" s="229" t="s">
        <v>885</v>
      </c>
      <c r="F464" s="229" t="s">
        <v>783</v>
      </c>
      <c r="G464" s="229" t="s">
        <v>874</v>
      </c>
      <c r="H464" s="229" t="s">
        <v>7149</v>
      </c>
      <c r="I464" s="229" t="s">
        <v>7539</v>
      </c>
      <c r="J464" s="231" t="s">
        <v>889</v>
      </c>
      <c r="K464" s="231" t="s">
        <v>850</v>
      </c>
      <c r="L464" s="220" t="str">
        <f t="shared" si="114"/>
        <v>IH24</v>
      </c>
      <c r="M464" s="220" t="str">
        <f t="shared" si="115"/>
        <v/>
      </c>
      <c r="N464" s="220" t="str">
        <f t="shared" si="116"/>
        <v/>
      </c>
      <c r="O464" s="220" t="str">
        <f t="shared" si="117"/>
        <v/>
      </c>
      <c r="P464" s="52" t="str">
        <f t="shared" si="118"/>
        <v>IH24</v>
      </c>
      <c r="Q464" s="231" t="str">
        <f t="shared" si="125"/>
        <v>258</v>
      </c>
      <c r="R464" s="224">
        <f t="shared" si="109"/>
        <v>245.66666666666666</v>
      </c>
      <c r="S464" s="52">
        <f t="shared" si="119"/>
        <v>231</v>
      </c>
      <c r="T464" s="221">
        <f t="shared" ca="1" si="120"/>
        <v>5.09</v>
      </c>
      <c r="U464" s="221" t="str">
        <f t="shared" si="121"/>
        <v/>
      </c>
      <c r="V464" s="220" t="str">
        <f t="array" ref="V464">INDEX(P:P,MAX(U$3:U464))</f>
        <v>IH#1MTR</v>
      </c>
      <c r="W464" s="220" t="str">
        <f t="shared" ca="1" si="122"/>
        <v/>
      </c>
      <c r="X464" s="220">
        <f t="shared" si="123"/>
        <v>11.4</v>
      </c>
      <c r="Y464" s="220">
        <f t="shared" si="112"/>
        <v>0</v>
      </c>
      <c r="AA464" s="220" t="str">
        <f t="shared" si="113"/>
        <v>彰西</v>
      </c>
      <c r="AB464" s="220" t="s">
        <v>2309</v>
      </c>
      <c r="AC464" s="220" t="str">
        <f t="shared" si="124"/>
        <v>下湳線</v>
      </c>
      <c r="BB464" s="514" t="s">
        <v>3258</v>
      </c>
      <c r="BC464" s="514" t="s">
        <v>85</v>
      </c>
      <c r="BD464" s="514" t="s">
        <v>85</v>
      </c>
      <c r="BE464" s="514">
        <v>0</v>
      </c>
      <c r="BG464" s="229" t="s">
        <v>8677</v>
      </c>
      <c r="BH464" s="230" t="s">
        <v>8680</v>
      </c>
      <c r="BI464" t="s">
        <v>2309</v>
      </c>
      <c r="BJ464" t="s">
        <v>2305</v>
      </c>
    </row>
    <row r="465" spans="1:62">
      <c r="A465" s="229" t="s">
        <v>7527</v>
      </c>
      <c r="B465" s="230" t="s">
        <v>551</v>
      </c>
      <c r="C465" s="230" t="s">
        <v>3161</v>
      </c>
      <c r="D465" s="229" t="s">
        <v>783</v>
      </c>
      <c r="E465" s="229" t="s">
        <v>7540</v>
      </c>
      <c r="F465" s="229" t="s">
        <v>783</v>
      </c>
      <c r="G465" s="229" t="s">
        <v>1030</v>
      </c>
      <c r="H465" s="229" t="s">
        <v>783</v>
      </c>
      <c r="I465" s="229" t="s">
        <v>7540</v>
      </c>
      <c r="J465" s="231" t="s">
        <v>1020</v>
      </c>
      <c r="K465" s="231" t="s">
        <v>859</v>
      </c>
      <c r="L465" s="220" t="str">
        <f t="shared" si="114"/>
        <v>IH28</v>
      </c>
      <c r="M465" s="220" t="str">
        <f t="shared" si="115"/>
        <v/>
      </c>
      <c r="N465" s="220" t="str">
        <f t="shared" si="116"/>
        <v/>
      </c>
      <c r="O465" s="220" t="str">
        <f t="shared" si="117"/>
        <v/>
      </c>
      <c r="P465" s="52" t="str">
        <f t="shared" si="118"/>
        <v>IH28</v>
      </c>
      <c r="Q465" s="231" t="str">
        <f t="shared" si="125"/>
        <v>299</v>
      </c>
      <c r="R465" s="224">
        <f t="shared" si="109"/>
        <v>285</v>
      </c>
      <c r="S465" s="52">
        <f t="shared" si="119"/>
        <v>266</v>
      </c>
      <c r="T465" s="221">
        <f t="shared" ca="1" si="120"/>
        <v>5.9</v>
      </c>
      <c r="U465" s="221" t="str">
        <f t="shared" si="121"/>
        <v/>
      </c>
      <c r="V465" s="220" t="str">
        <f t="array" ref="V465">INDEX(P:P,MAX(U$3:U465))</f>
        <v>IH#1MTR</v>
      </c>
      <c r="W465" s="220" t="str">
        <f t="shared" ca="1" si="122"/>
        <v/>
      </c>
      <c r="X465" s="220">
        <f t="shared" si="123"/>
        <v>11.4</v>
      </c>
      <c r="Y465" s="220">
        <f t="shared" si="112"/>
        <v>0</v>
      </c>
      <c r="AA465" s="220" t="str">
        <f t="shared" si="113"/>
        <v>彰西</v>
      </c>
      <c r="AB465" s="220" t="s">
        <v>2310</v>
      </c>
      <c r="AC465" s="220" t="str">
        <f t="shared" si="124"/>
        <v>西溝線</v>
      </c>
      <c r="BB465" s="514" t="s">
        <v>3259</v>
      </c>
      <c r="BC465" s="514" t="s">
        <v>85</v>
      </c>
      <c r="BD465" s="514" t="s">
        <v>85</v>
      </c>
      <c r="BE465" s="514">
        <v>0</v>
      </c>
      <c r="BG465" s="229" t="s">
        <v>8677</v>
      </c>
      <c r="BH465" s="230" t="s">
        <v>8681</v>
      </c>
      <c r="BI465" t="s">
        <v>2310</v>
      </c>
      <c r="BJ465" t="s">
        <v>2305</v>
      </c>
    </row>
    <row r="466" spans="1:62">
      <c r="A466" s="229" t="s">
        <v>7527</v>
      </c>
      <c r="B466" s="230" t="s">
        <v>7541</v>
      </c>
      <c r="C466" s="230" t="s">
        <v>7542</v>
      </c>
      <c r="D466" s="229" t="s">
        <v>850</v>
      </c>
      <c r="E466" s="229" t="s">
        <v>4697</v>
      </c>
      <c r="F466" s="229" t="s">
        <v>5975</v>
      </c>
      <c r="G466" s="229" t="s">
        <v>7543</v>
      </c>
      <c r="H466" s="229" t="s">
        <v>5975</v>
      </c>
      <c r="I466" s="229" t="s">
        <v>7542</v>
      </c>
      <c r="J466" s="231" t="s">
        <v>358</v>
      </c>
      <c r="K466" s="231" t="s">
        <v>358</v>
      </c>
      <c r="L466" s="220" t="str">
        <f t="shared" si="114"/>
        <v>IH#2MTR</v>
      </c>
      <c r="M466" s="220" t="str">
        <f t="shared" si="115"/>
        <v/>
      </c>
      <c r="N466" s="220" t="str">
        <f t="shared" si="116"/>
        <v>IH#2MTR</v>
      </c>
      <c r="O466" s="220" t="str">
        <f t="shared" si="117"/>
        <v/>
      </c>
      <c r="P466" s="52" t="str">
        <f t="shared" si="118"/>
        <v>IH#2MTR</v>
      </c>
      <c r="Q466" s="231" t="str">
        <f t="shared" si="125"/>
        <v>723</v>
      </c>
      <c r="R466" s="224">
        <f t="shared" si="109"/>
        <v>659</v>
      </c>
      <c r="S466" s="52">
        <f t="shared" si="119"/>
        <v>590</v>
      </c>
      <c r="T466" s="221">
        <f t="shared" ca="1" si="120"/>
        <v>14.28</v>
      </c>
      <c r="U466" s="221">
        <f t="shared" si="121"/>
        <v>466</v>
      </c>
      <c r="V466" s="220" t="str">
        <f t="array" ref="V466">INDEX(P:P,MAX(U$3:U466))</f>
        <v>IH#2MTR</v>
      </c>
      <c r="W466" s="220">
        <f t="shared" ca="1" si="122"/>
        <v>25</v>
      </c>
      <c r="X466" s="220" t="str">
        <f t="shared" si="123"/>
        <v/>
      </c>
      <c r="Y466" s="220">
        <f t="shared" si="112"/>
        <v>0</v>
      </c>
      <c r="AA466" s="220" t="str">
        <f t="shared" si="113"/>
        <v>彰西</v>
      </c>
      <c r="AB466" s="220" t="s">
        <v>2311</v>
      </c>
      <c r="AC466" s="220" t="str">
        <f t="shared" si="124"/>
        <v>#2M</v>
      </c>
      <c r="BB466" s="514" t="s">
        <v>3260</v>
      </c>
      <c r="BC466" s="514" t="s">
        <v>85</v>
      </c>
      <c r="BD466" s="514" t="s">
        <v>85</v>
      </c>
      <c r="BE466" s="514">
        <v>0</v>
      </c>
      <c r="BG466" s="229" t="s">
        <v>7527</v>
      </c>
      <c r="BH466" s="230" t="s">
        <v>427</v>
      </c>
      <c r="BI466" t="s">
        <v>2311</v>
      </c>
      <c r="BJ466" t="s">
        <v>2311</v>
      </c>
    </row>
    <row r="467" spans="1:62">
      <c r="A467" s="229" t="s">
        <v>7527</v>
      </c>
      <c r="B467" s="230" t="s">
        <v>552</v>
      </c>
      <c r="C467" s="230" t="s">
        <v>970</v>
      </c>
      <c r="D467" s="229" t="s">
        <v>804</v>
      </c>
      <c r="E467" s="229" t="s">
        <v>984</v>
      </c>
      <c r="F467" s="229" t="s">
        <v>804</v>
      </c>
      <c r="G467" s="229" t="s">
        <v>6081</v>
      </c>
      <c r="H467" s="229" t="s">
        <v>804</v>
      </c>
      <c r="I467" s="229" t="s">
        <v>984</v>
      </c>
      <c r="J467" s="231" t="s">
        <v>6266</v>
      </c>
      <c r="K467" s="231" t="s">
        <v>835</v>
      </c>
      <c r="L467" s="220" t="str">
        <f t="shared" si="114"/>
        <v>IH33</v>
      </c>
      <c r="M467" s="220" t="str">
        <f t="shared" si="115"/>
        <v/>
      </c>
      <c r="N467" s="220" t="str">
        <f t="shared" si="116"/>
        <v/>
      </c>
      <c r="O467" s="220" t="str">
        <f t="shared" si="117"/>
        <v/>
      </c>
      <c r="P467" s="52" t="str">
        <f t="shared" si="118"/>
        <v>IH33</v>
      </c>
      <c r="Q467" s="231" t="str">
        <f t="shared" si="125"/>
        <v>216</v>
      </c>
      <c r="R467" s="224">
        <f t="shared" si="109"/>
        <v>194</v>
      </c>
      <c r="S467" s="52">
        <f t="shared" si="119"/>
        <v>176</v>
      </c>
      <c r="T467" s="221">
        <f t="shared" ca="1" si="120"/>
        <v>4.2699999999999996</v>
      </c>
      <c r="U467" s="221" t="str">
        <f t="shared" si="121"/>
        <v/>
      </c>
      <c r="V467" s="220" t="str">
        <f t="array" ref="V467">INDEX(P:P,MAX(U$3:U467))</f>
        <v>IH#2MTR</v>
      </c>
      <c r="W467" s="220" t="str">
        <f t="shared" ca="1" si="122"/>
        <v/>
      </c>
      <c r="X467" s="220">
        <f t="shared" si="123"/>
        <v>11.4</v>
      </c>
      <c r="Y467" s="220">
        <f t="shared" si="112"/>
        <v>0</v>
      </c>
      <c r="AA467" s="220" t="str">
        <f t="shared" si="113"/>
        <v>彰西</v>
      </c>
      <c r="AB467" s="220" t="s">
        <v>2312</v>
      </c>
      <c r="AC467" s="220" t="str">
        <f t="shared" si="124"/>
        <v>建和線</v>
      </c>
      <c r="BB467" s="514" t="s">
        <v>2408</v>
      </c>
      <c r="BC467" s="514">
        <v>1256</v>
      </c>
      <c r="BD467" s="514">
        <v>4</v>
      </c>
      <c r="BE467" s="514">
        <v>1260</v>
      </c>
      <c r="BG467" s="229" t="s">
        <v>8677</v>
      </c>
      <c r="BH467" s="230" t="s">
        <v>8682</v>
      </c>
      <c r="BI467" t="s">
        <v>2312</v>
      </c>
      <c r="BJ467" t="s">
        <v>2311</v>
      </c>
    </row>
    <row r="468" spans="1:62">
      <c r="A468" s="229" t="s">
        <v>7527</v>
      </c>
      <c r="B468" s="230" t="s">
        <v>7544</v>
      </c>
      <c r="C468" s="230" t="s">
        <v>872</v>
      </c>
      <c r="D468" s="229" t="s">
        <v>850</v>
      </c>
      <c r="E468" s="229" t="s">
        <v>920</v>
      </c>
      <c r="F468" s="229" t="s">
        <v>7050</v>
      </c>
      <c r="G468" s="229" t="s">
        <v>7545</v>
      </c>
      <c r="H468" s="229" t="s">
        <v>7546</v>
      </c>
      <c r="I468" s="229" t="s">
        <v>920</v>
      </c>
      <c r="J468" s="231" t="s">
        <v>945</v>
      </c>
      <c r="K468" s="231" t="s">
        <v>839</v>
      </c>
      <c r="L468" s="220" t="str">
        <f t="shared" si="114"/>
        <v>IH32</v>
      </c>
      <c r="M468" s="220" t="str">
        <f t="shared" si="115"/>
        <v/>
      </c>
      <c r="N468" s="220" t="str">
        <f t="shared" si="116"/>
        <v/>
      </c>
      <c r="O468" s="220" t="str">
        <f t="shared" si="117"/>
        <v/>
      </c>
      <c r="P468" s="52" t="str">
        <f t="shared" si="118"/>
        <v>IH32</v>
      </c>
      <c r="Q468" s="231" t="str">
        <f t="shared" si="125"/>
        <v>63</v>
      </c>
      <c r="R468" s="224">
        <f t="shared" si="109"/>
        <v>60.333333333333336</v>
      </c>
      <c r="S468" s="52">
        <f t="shared" si="119"/>
        <v>56</v>
      </c>
      <c r="T468" s="221">
        <f t="shared" ca="1" si="120"/>
        <v>1.24</v>
      </c>
      <c r="U468" s="221" t="str">
        <f t="shared" si="121"/>
        <v/>
      </c>
      <c r="V468" s="220" t="str">
        <f t="array" ref="V468">INDEX(P:P,MAX(U$3:U468))</f>
        <v>IH#2MTR</v>
      </c>
      <c r="W468" s="220" t="str">
        <f t="shared" ca="1" si="122"/>
        <v/>
      </c>
      <c r="X468" s="220">
        <f t="shared" si="123"/>
        <v>11.4</v>
      </c>
      <c r="Y468" s="220">
        <f t="shared" si="112"/>
        <v>0</v>
      </c>
      <c r="AA468" s="220" t="str">
        <f t="shared" si="113"/>
        <v>彰西</v>
      </c>
      <c r="AB468" s="220" t="s">
        <v>2313</v>
      </c>
      <c r="AC468" s="220" t="str">
        <f t="shared" si="124"/>
        <v>中華線</v>
      </c>
      <c r="BB468" s="514" t="s">
        <v>1959</v>
      </c>
      <c r="BC468" s="514" t="s">
        <v>85</v>
      </c>
      <c r="BD468" s="514" t="s">
        <v>85</v>
      </c>
      <c r="BE468" s="514">
        <v>0</v>
      </c>
      <c r="BG468" s="229" t="s">
        <v>8677</v>
      </c>
      <c r="BH468" s="230" t="s">
        <v>8683</v>
      </c>
      <c r="BI468" t="s">
        <v>2313</v>
      </c>
      <c r="BJ468" t="s">
        <v>2311</v>
      </c>
    </row>
    <row r="469" spans="1:62">
      <c r="A469" s="229" t="s">
        <v>7527</v>
      </c>
      <c r="B469" s="230" t="s">
        <v>7547</v>
      </c>
      <c r="C469" s="230" t="s">
        <v>869</v>
      </c>
      <c r="D469" s="229" t="s">
        <v>850</v>
      </c>
      <c r="E469" s="229" t="s">
        <v>975</v>
      </c>
      <c r="F469" s="229" t="s">
        <v>845</v>
      </c>
      <c r="G469" s="229" t="s">
        <v>831</v>
      </c>
      <c r="H469" s="229" t="s">
        <v>846</v>
      </c>
      <c r="I469" s="229" t="s">
        <v>869</v>
      </c>
      <c r="J469" s="231" t="s">
        <v>7548</v>
      </c>
      <c r="K469" s="231" t="s">
        <v>797</v>
      </c>
      <c r="L469" s="220" t="str">
        <f t="shared" si="114"/>
        <v>IH31</v>
      </c>
      <c r="M469" s="220" t="str">
        <f t="shared" si="115"/>
        <v/>
      </c>
      <c r="N469" s="220" t="str">
        <f t="shared" si="116"/>
        <v/>
      </c>
      <c r="O469" s="220" t="str">
        <f t="shared" si="117"/>
        <v/>
      </c>
      <c r="P469" s="52" t="str">
        <f t="shared" si="118"/>
        <v>IH31</v>
      </c>
      <c r="Q469" s="231" t="str">
        <f t="shared" si="125"/>
        <v>124</v>
      </c>
      <c r="R469" s="224">
        <f t="shared" si="109"/>
        <v>104.66666666666667</v>
      </c>
      <c r="S469" s="52">
        <f t="shared" si="119"/>
        <v>73</v>
      </c>
      <c r="T469" s="221">
        <f t="shared" ca="1" si="120"/>
        <v>2.4500000000000002</v>
      </c>
      <c r="U469" s="221" t="str">
        <f t="shared" si="121"/>
        <v/>
      </c>
      <c r="V469" s="220" t="str">
        <f t="array" ref="V469">INDEX(P:P,MAX(U$3:U469))</f>
        <v>IH#2MTR</v>
      </c>
      <c r="W469" s="220" t="str">
        <f t="shared" ca="1" si="122"/>
        <v/>
      </c>
      <c r="X469" s="220">
        <f t="shared" si="123"/>
        <v>11.4</v>
      </c>
      <c r="Y469" s="220">
        <f t="shared" si="112"/>
        <v>0</v>
      </c>
      <c r="AA469" s="220" t="str">
        <f t="shared" si="113"/>
        <v>彰西</v>
      </c>
      <c r="AB469" s="220" t="s">
        <v>2314</v>
      </c>
      <c r="AC469" s="220" t="str">
        <f t="shared" si="124"/>
        <v>林森線</v>
      </c>
      <c r="BB469" s="514" t="s">
        <v>2407</v>
      </c>
      <c r="BC469" s="514">
        <v>1437</v>
      </c>
      <c r="BD469" s="514">
        <v>2</v>
      </c>
      <c r="BE469" s="514">
        <v>1439</v>
      </c>
      <c r="BG469" s="229" t="s">
        <v>8677</v>
      </c>
      <c r="BH469" s="230" t="s">
        <v>553</v>
      </c>
      <c r="BI469" t="s">
        <v>2314</v>
      </c>
      <c r="BJ469" t="s">
        <v>2311</v>
      </c>
    </row>
    <row r="470" spans="1:62">
      <c r="A470" s="229" t="s">
        <v>7527</v>
      </c>
      <c r="B470" s="230" t="s">
        <v>7549</v>
      </c>
      <c r="C470" s="230" t="s">
        <v>7550</v>
      </c>
      <c r="D470" s="229" t="s">
        <v>5949</v>
      </c>
      <c r="E470" s="229" t="s">
        <v>7551</v>
      </c>
      <c r="F470" s="229" t="s">
        <v>832</v>
      </c>
      <c r="G470" s="229" t="s">
        <v>833</v>
      </c>
      <c r="H470" s="229" t="s">
        <v>7056</v>
      </c>
      <c r="I470" s="229" t="s">
        <v>788</v>
      </c>
      <c r="J470" s="231" t="s">
        <v>967</v>
      </c>
      <c r="K470" s="231" t="s">
        <v>5949</v>
      </c>
      <c r="L470" s="220" t="str">
        <f t="shared" si="114"/>
        <v>IH34</v>
      </c>
      <c r="M470" s="220" t="str">
        <f t="shared" si="115"/>
        <v/>
      </c>
      <c r="N470" s="220" t="str">
        <f t="shared" si="116"/>
        <v/>
      </c>
      <c r="O470" s="220" t="str">
        <f t="shared" si="117"/>
        <v/>
      </c>
      <c r="P470" s="52" t="str">
        <f t="shared" si="118"/>
        <v>IH34</v>
      </c>
      <c r="Q470" s="231" t="str">
        <f t="shared" si="125"/>
        <v>151</v>
      </c>
      <c r="R470" s="224">
        <f t="shared" si="109"/>
        <v>116.33333333333333</v>
      </c>
      <c r="S470" s="52">
        <f t="shared" si="119"/>
        <v>89</v>
      </c>
      <c r="T470" s="221">
        <f t="shared" ca="1" si="120"/>
        <v>2.98</v>
      </c>
      <c r="U470" s="221" t="str">
        <f t="shared" si="121"/>
        <v/>
      </c>
      <c r="V470" s="220" t="str">
        <f t="array" ref="V470">INDEX(P:P,MAX(U$3:U470))</f>
        <v>IH#2MTR</v>
      </c>
      <c r="W470" s="220" t="str">
        <f t="shared" ca="1" si="122"/>
        <v/>
      </c>
      <c r="X470" s="220">
        <f t="shared" si="123"/>
        <v>11.4</v>
      </c>
      <c r="Y470" s="220">
        <f t="shared" si="112"/>
        <v>0</v>
      </c>
      <c r="AA470" s="220" t="str">
        <f t="shared" si="113"/>
        <v>彰西</v>
      </c>
      <c r="AB470" s="220" t="s">
        <v>2315</v>
      </c>
      <c r="AC470" s="220" t="str">
        <f t="shared" si="124"/>
        <v>平和線</v>
      </c>
      <c r="BB470" s="514" t="s">
        <v>2414</v>
      </c>
      <c r="BC470" s="514">
        <v>604</v>
      </c>
      <c r="BD470" s="514">
        <v>0</v>
      </c>
      <c r="BE470" s="514">
        <v>604</v>
      </c>
      <c r="BG470" s="229" t="s">
        <v>8677</v>
      </c>
      <c r="BH470" s="230" t="s">
        <v>554</v>
      </c>
      <c r="BI470" t="s">
        <v>2315</v>
      </c>
      <c r="BJ470" t="s">
        <v>2311</v>
      </c>
    </row>
    <row r="471" spans="1:62">
      <c r="A471" s="229" t="s">
        <v>7527</v>
      </c>
      <c r="B471" s="230" t="s">
        <v>555</v>
      </c>
      <c r="C471" s="230" t="s">
        <v>863</v>
      </c>
      <c r="D471" s="229" t="s">
        <v>850</v>
      </c>
      <c r="E471" s="229" t="s">
        <v>7552</v>
      </c>
      <c r="F471" s="229" t="s">
        <v>5975</v>
      </c>
      <c r="G471" s="229" t="s">
        <v>1037</v>
      </c>
      <c r="H471" s="229" t="s">
        <v>850</v>
      </c>
      <c r="I471" s="229" t="s">
        <v>863</v>
      </c>
      <c r="J471" s="231" t="s">
        <v>967</v>
      </c>
      <c r="K471" s="231" t="s">
        <v>804</v>
      </c>
      <c r="L471" s="220" t="str">
        <f t="shared" si="114"/>
        <v>IH35</v>
      </c>
      <c r="M471" s="220" t="str">
        <f t="shared" si="115"/>
        <v/>
      </c>
      <c r="N471" s="220" t="str">
        <f t="shared" si="116"/>
        <v/>
      </c>
      <c r="O471" s="220" t="str">
        <f t="shared" si="117"/>
        <v/>
      </c>
      <c r="P471" s="52" t="str">
        <f t="shared" si="118"/>
        <v>IH35</v>
      </c>
      <c r="Q471" s="231" t="str">
        <f t="shared" si="125"/>
        <v>230</v>
      </c>
      <c r="R471" s="224">
        <f t="shared" si="109"/>
        <v>222.66666666666666</v>
      </c>
      <c r="S471" s="52">
        <f t="shared" si="119"/>
        <v>214</v>
      </c>
      <c r="T471" s="221">
        <f t="shared" ca="1" si="120"/>
        <v>4.54</v>
      </c>
      <c r="U471" s="221" t="str">
        <f t="shared" si="121"/>
        <v/>
      </c>
      <c r="V471" s="220" t="str">
        <f t="array" ref="V471">INDEX(P:P,MAX(U$3:U471))</f>
        <v>IH#2MTR</v>
      </c>
      <c r="W471" s="220" t="str">
        <f t="shared" ca="1" si="122"/>
        <v/>
      </c>
      <c r="X471" s="220">
        <f t="shared" si="123"/>
        <v>11.4</v>
      </c>
      <c r="Y471" s="220">
        <f t="shared" si="112"/>
        <v>0</v>
      </c>
      <c r="AA471" s="220" t="str">
        <f t="shared" si="113"/>
        <v>彰西</v>
      </c>
      <c r="AB471" s="220" t="s">
        <v>2316</v>
      </c>
      <c r="AC471" s="220" t="str">
        <f t="shared" si="124"/>
        <v>崙平線</v>
      </c>
      <c r="BB471" s="514" t="s">
        <v>2413</v>
      </c>
      <c r="BC471" s="514">
        <v>1653</v>
      </c>
      <c r="BD471" s="514">
        <v>1</v>
      </c>
      <c r="BE471" s="514">
        <v>1654</v>
      </c>
      <c r="BG471" s="229" t="s">
        <v>8677</v>
      </c>
      <c r="BH471" s="230" t="s">
        <v>8684</v>
      </c>
      <c r="BI471" t="s">
        <v>2316</v>
      </c>
      <c r="BJ471" t="s">
        <v>2311</v>
      </c>
    </row>
    <row r="472" spans="1:62">
      <c r="A472" s="229" t="s">
        <v>7527</v>
      </c>
      <c r="B472" s="230" t="s">
        <v>430</v>
      </c>
      <c r="C472" s="230" t="s">
        <v>4708</v>
      </c>
      <c r="D472" s="229" t="s">
        <v>832</v>
      </c>
      <c r="E472" s="229" t="s">
        <v>4709</v>
      </c>
      <c r="F472" s="229" t="s">
        <v>7502</v>
      </c>
      <c r="G472" s="229" t="s">
        <v>4710</v>
      </c>
      <c r="H472" s="229" t="s">
        <v>832</v>
      </c>
      <c r="I472" s="229" t="s">
        <v>7553</v>
      </c>
      <c r="J472" s="231" t="s">
        <v>358</v>
      </c>
      <c r="K472" s="231" t="s">
        <v>358</v>
      </c>
      <c r="L472" s="220" t="str">
        <f t="shared" si="114"/>
        <v>IH#3MTR</v>
      </c>
      <c r="M472" s="220" t="str">
        <f t="shared" si="115"/>
        <v/>
      </c>
      <c r="N472" s="220" t="str">
        <f t="shared" si="116"/>
        <v>IH#3MTR</v>
      </c>
      <c r="O472" s="220" t="str">
        <f t="shared" si="117"/>
        <v/>
      </c>
      <c r="P472" s="52" t="str">
        <f t="shared" si="118"/>
        <v>IH#3MTR</v>
      </c>
      <c r="Q472" s="231" t="str">
        <f t="shared" si="125"/>
        <v>964</v>
      </c>
      <c r="R472" s="224">
        <f t="shared" si="109"/>
        <v>934</v>
      </c>
      <c r="S472" s="52">
        <f t="shared" si="119"/>
        <v>917</v>
      </c>
      <c r="T472" s="221">
        <f t="shared" ca="1" si="120"/>
        <v>19.03</v>
      </c>
      <c r="U472" s="221">
        <f t="shared" si="121"/>
        <v>472</v>
      </c>
      <c r="V472" s="220" t="str">
        <f t="array" ref="V472">INDEX(P:P,MAX(U$3:U472))</f>
        <v>IH#3MTR</v>
      </c>
      <c r="W472" s="220">
        <f t="shared" ca="1" si="122"/>
        <v>25</v>
      </c>
      <c r="X472" s="220" t="str">
        <f t="shared" si="123"/>
        <v/>
      </c>
      <c r="Y472" s="220">
        <f t="shared" si="112"/>
        <v>0</v>
      </c>
      <c r="AA472" s="220" t="str">
        <f t="shared" si="113"/>
        <v>彰西</v>
      </c>
      <c r="AB472" s="220" t="s">
        <v>2317</v>
      </c>
      <c r="AC472" s="220" t="str">
        <f t="shared" si="124"/>
        <v>#3M</v>
      </c>
      <c r="BB472" s="514" t="s">
        <v>2412</v>
      </c>
      <c r="BC472" s="514">
        <v>2604</v>
      </c>
      <c r="BD472" s="514">
        <v>1</v>
      </c>
      <c r="BE472" s="514">
        <v>2605</v>
      </c>
      <c r="BG472" s="229" t="s">
        <v>8685</v>
      </c>
      <c r="BH472" s="230" t="s">
        <v>430</v>
      </c>
      <c r="BI472" t="s">
        <v>2317</v>
      </c>
      <c r="BJ472" t="s">
        <v>2317</v>
      </c>
    </row>
    <row r="473" spans="1:62">
      <c r="A473" s="229" t="s">
        <v>7527</v>
      </c>
      <c r="B473" s="230" t="s">
        <v>556</v>
      </c>
      <c r="C473" s="230" t="s">
        <v>1036</v>
      </c>
      <c r="D473" s="229" t="s">
        <v>7554</v>
      </c>
      <c r="E473" s="229" t="s">
        <v>4653</v>
      </c>
      <c r="F473" s="229" t="s">
        <v>804</v>
      </c>
      <c r="G473" s="229" t="s">
        <v>2745</v>
      </c>
      <c r="H473" s="229" t="s">
        <v>7521</v>
      </c>
      <c r="I473" s="229" t="s">
        <v>7555</v>
      </c>
      <c r="J473" s="231" t="s">
        <v>7556</v>
      </c>
      <c r="K473" s="231" t="s">
        <v>804</v>
      </c>
      <c r="L473" s="220" t="str">
        <f t="shared" si="114"/>
        <v>IH29</v>
      </c>
      <c r="M473" s="220" t="str">
        <f t="shared" si="115"/>
        <v/>
      </c>
      <c r="N473" s="220" t="str">
        <f t="shared" si="116"/>
        <v/>
      </c>
      <c r="O473" s="220" t="str">
        <f t="shared" si="117"/>
        <v/>
      </c>
      <c r="P473" s="52" t="str">
        <f t="shared" si="118"/>
        <v>IH29</v>
      </c>
      <c r="Q473" s="231" t="str">
        <f t="shared" si="125"/>
        <v>362</v>
      </c>
      <c r="R473" s="224">
        <f t="shared" si="109"/>
        <v>319.66666666666669</v>
      </c>
      <c r="S473" s="52">
        <f t="shared" si="119"/>
        <v>282</v>
      </c>
      <c r="T473" s="221">
        <f t="shared" ca="1" si="120"/>
        <v>7.15</v>
      </c>
      <c r="U473" s="221" t="str">
        <f t="shared" si="121"/>
        <v/>
      </c>
      <c r="V473" s="220" t="str">
        <f t="array" ref="V473">INDEX(P:P,MAX(U$3:U473))</f>
        <v>IH#3MTR</v>
      </c>
      <c r="W473" s="220" t="str">
        <f t="shared" ca="1" si="122"/>
        <v/>
      </c>
      <c r="X473" s="220">
        <f t="shared" si="123"/>
        <v>11.4</v>
      </c>
      <c r="Y473" s="220">
        <f t="shared" si="112"/>
        <v>0</v>
      </c>
      <c r="AA473" s="220" t="str">
        <f t="shared" si="113"/>
        <v>彰西</v>
      </c>
      <c r="AB473" s="220" t="s">
        <v>2318</v>
      </c>
      <c r="AC473" s="220" t="str">
        <f t="shared" si="124"/>
        <v>西南線</v>
      </c>
      <c r="BB473" s="514" t="s">
        <v>2406</v>
      </c>
      <c r="BC473" s="514">
        <v>1527</v>
      </c>
      <c r="BD473" s="514">
        <v>1</v>
      </c>
      <c r="BE473" s="514">
        <v>1528</v>
      </c>
      <c r="BG473" s="229" t="s">
        <v>8677</v>
      </c>
      <c r="BH473" s="230" t="s">
        <v>8686</v>
      </c>
      <c r="BI473" t="s">
        <v>2318</v>
      </c>
      <c r="BJ473" t="s">
        <v>2317</v>
      </c>
    </row>
    <row r="474" spans="1:62">
      <c r="A474" s="229" t="s">
        <v>7527</v>
      </c>
      <c r="B474" s="230" t="s">
        <v>557</v>
      </c>
      <c r="C474" s="230" t="s">
        <v>7557</v>
      </c>
      <c r="D474" s="229" t="s">
        <v>7558</v>
      </c>
      <c r="E474" s="229" t="s">
        <v>1021</v>
      </c>
      <c r="F474" s="229" t="s">
        <v>846</v>
      </c>
      <c r="G474" s="229" t="s">
        <v>916</v>
      </c>
      <c r="H474" s="229" t="s">
        <v>846</v>
      </c>
      <c r="I474" s="229" t="s">
        <v>916</v>
      </c>
      <c r="J474" s="231" t="s">
        <v>6266</v>
      </c>
      <c r="K474" s="231" t="s">
        <v>5933</v>
      </c>
      <c r="L474" s="220" t="str">
        <f t="shared" si="114"/>
        <v>IH23</v>
      </c>
      <c r="M474" s="220" t="str">
        <f t="shared" si="115"/>
        <v/>
      </c>
      <c r="N474" s="220" t="str">
        <f t="shared" si="116"/>
        <v/>
      </c>
      <c r="O474" s="220" t="str">
        <f t="shared" si="117"/>
        <v/>
      </c>
      <c r="P474" s="52" t="str">
        <f t="shared" si="118"/>
        <v>IH23</v>
      </c>
      <c r="Q474" s="231" t="str">
        <f t="shared" si="125"/>
        <v>200</v>
      </c>
      <c r="R474" s="224">
        <f t="shared" si="109"/>
        <v>175.33333333333334</v>
      </c>
      <c r="S474" s="52">
        <f t="shared" si="119"/>
        <v>152</v>
      </c>
      <c r="T474" s="221">
        <f t="shared" ca="1" si="120"/>
        <v>3.95</v>
      </c>
      <c r="U474" s="221" t="str">
        <f t="shared" si="121"/>
        <v/>
      </c>
      <c r="V474" s="220" t="str">
        <f t="array" ref="V474">INDEX(P:P,MAX(U$3:U474))</f>
        <v>IH#3MTR</v>
      </c>
      <c r="W474" s="220" t="str">
        <f t="shared" ca="1" si="122"/>
        <v/>
      </c>
      <c r="X474" s="220">
        <f t="shared" si="123"/>
        <v>11.4</v>
      </c>
      <c r="Y474" s="220">
        <f t="shared" si="112"/>
        <v>0</v>
      </c>
      <c r="AA474" s="220" t="str">
        <f t="shared" si="113"/>
        <v>彰西</v>
      </c>
      <c r="AB474" s="220" t="s">
        <v>2319</v>
      </c>
      <c r="AC474" s="220" t="str">
        <f t="shared" si="124"/>
        <v>頂湳線</v>
      </c>
      <c r="BB474" s="514" t="s">
        <v>2411</v>
      </c>
      <c r="BC474" s="514">
        <v>1444</v>
      </c>
      <c r="BD474" s="514">
        <v>2</v>
      </c>
      <c r="BE474" s="514">
        <v>1446</v>
      </c>
      <c r="BG474" s="229" t="s">
        <v>8677</v>
      </c>
      <c r="BH474" s="230" t="s">
        <v>557</v>
      </c>
      <c r="BI474" t="s">
        <v>2319</v>
      </c>
      <c r="BJ474" t="s">
        <v>2317</v>
      </c>
    </row>
    <row r="475" spans="1:62">
      <c r="A475" s="229" t="s">
        <v>7527</v>
      </c>
      <c r="B475" s="230" t="s">
        <v>558</v>
      </c>
      <c r="C475" s="230" t="s">
        <v>915</v>
      </c>
      <c r="D475" s="229" t="s">
        <v>839</v>
      </c>
      <c r="E475" s="229" t="s">
        <v>1013</v>
      </c>
      <c r="F475" s="229" t="s">
        <v>7559</v>
      </c>
      <c r="G475" s="229" t="s">
        <v>895</v>
      </c>
      <c r="H475" s="229" t="s">
        <v>783</v>
      </c>
      <c r="I475" s="229" t="s">
        <v>7560</v>
      </c>
      <c r="J475" s="231" t="s">
        <v>7561</v>
      </c>
      <c r="K475" s="231" t="s">
        <v>7562</v>
      </c>
      <c r="L475" s="220" t="str">
        <f t="shared" si="114"/>
        <v>IH22</v>
      </c>
      <c r="M475" s="220" t="str">
        <f t="shared" si="115"/>
        <v/>
      </c>
      <c r="N475" s="220" t="str">
        <f t="shared" si="116"/>
        <v/>
      </c>
      <c r="O475" s="220" t="str">
        <f t="shared" si="117"/>
        <v/>
      </c>
      <c r="P475" s="52" t="str">
        <f t="shared" si="118"/>
        <v>IH22</v>
      </c>
      <c r="Q475" s="231" t="str">
        <f t="shared" si="125"/>
        <v>203</v>
      </c>
      <c r="R475" s="224">
        <f t="shared" si="109"/>
        <v>187.33333333333334</v>
      </c>
      <c r="S475" s="52">
        <f t="shared" si="119"/>
        <v>175</v>
      </c>
      <c r="T475" s="221">
        <f t="shared" ca="1" si="120"/>
        <v>4.01</v>
      </c>
      <c r="U475" s="221" t="str">
        <f t="shared" si="121"/>
        <v/>
      </c>
      <c r="V475" s="220" t="str">
        <f t="array" ref="V475">INDEX(P:P,MAX(U$3:U475))</f>
        <v>IH#3MTR</v>
      </c>
      <c r="W475" s="220" t="str">
        <f t="shared" ca="1" si="122"/>
        <v/>
      </c>
      <c r="X475" s="220">
        <f t="shared" si="123"/>
        <v>11.4</v>
      </c>
      <c r="Y475" s="220">
        <f t="shared" si="112"/>
        <v>0</v>
      </c>
      <c r="AA475" s="220" t="str">
        <f t="shared" si="113"/>
        <v>彰西</v>
      </c>
      <c r="AB475" s="220" t="s">
        <v>2320</v>
      </c>
      <c r="AC475" s="220" t="str">
        <f t="shared" si="124"/>
        <v>源埤線</v>
      </c>
      <c r="BB475" s="514" t="s">
        <v>2410</v>
      </c>
      <c r="BC475" s="514">
        <v>596</v>
      </c>
      <c r="BD475" s="514">
        <v>1</v>
      </c>
      <c r="BE475" s="514">
        <v>597</v>
      </c>
      <c r="BG475" s="229" t="s">
        <v>8677</v>
      </c>
      <c r="BH475" s="230" t="s">
        <v>8687</v>
      </c>
      <c r="BI475" t="s">
        <v>2320</v>
      </c>
      <c r="BJ475" t="s">
        <v>2317</v>
      </c>
    </row>
    <row r="476" spans="1:62">
      <c r="A476" s="229" t="s">
        <v>7527</v>
      </c>
      <c r="B476" s="230" t="s">
        <v>559</v>
      </c>
      <c r="C476" s="230" t="s">
        <v>1006</v>
      </c>
      <c r="D476" s="229" t="s">
        <v>832</v>
      </c>
      <c r="E476" s="229" t="s">
        <v>7563</v>
      </c>
      <c r="F476" s="229" t="s">
        <v>804</v>
      </c>
      <c r="G476" s="229" t="s">
        <v>895</v>
      </c>
      <c r="H476" s="229" t="s">
        <v>832</v>
      </c>
      <c r="I476" s="229" t="s">
        <v>1006</v>
      </c>
      <c r="J476" s="231" t="s">
        <v>844</v>
      </c>
      <c r="K476" s="231" t="s">
        <v>7207</v>
      </c>
      <c r="L476" s="220" t="str">
        <f t="shared" si="114"/>
        <v>IH26</v>
      </c>
      <c r="M476" s="220" t="str">
        <f t="shared" si="115"/>
        <v/>
      </c>
      <c r="N476" s="220" t="str">
        <f t="shared" si="116"/>
        <v/>
      </c>
      <c r="O476" s="220" t="str">
        <f t="shared" si="117"/>
        <v/>
      </c>
      <c r="P476" s="52" t="str">
        <f t="shared" si="118"/>
        <v>IH26</v>
      </c>
      <c r="Q476" s="231" t="str">
        <f t="shared" si="125"/>
        <v>218</v>
      </c>
      <c r="R476" s="224">
        <f t="shared" si="109"/>
        <v>194.66666666666666</v>
      </c>
      <c r="S476" s="52">
        <f t="shared" si="119"/>
        <v>182</v>
      </c>
      <c r="T476" s="221">
        <f t="shared" ca="1" si="120"/>
        <v>4.3</v>
      </c>
      <c r="U476" s="221" t="str">
        <f t="shared" si="121"/>
        <v/>
      </c>
      <c r="V476" s="220" t="str">
        <f t="array" ref="V476">INDEX(P:P,MAX(U$3:U476))</f>
        <v>IH#3MTR</v>
      </c>
      <c r="W476" s="220" t="str">
        <f t="shared" ca="1" si="122"/>
        <v/>
      </c>
      <c r="X476" s="220">
        <f t="shared" si="123"/>
        <v>11.4</v>
      </c>
      <c r="Y476" s="220">
        <f t="shared" si="112"/>
        <v>0</v>
      </c>
      <c r="AA476" s="220" t="str">
        <f t="shared" si="113"/>
        <v>彰西</v>
      </c>
      <c r="AB476" s="220" t="s">
        <v>2321</v>
      </c>
      <c r="AC476" s="220" t="str">
        <f t="shared" si="124"/>
        <v>西華線</v>
      </c>
      <c r="BB476" s="514" t="s">
        <v>2405</v>
      </c>
      <c r="BC476" s="514">
        <v>2770</v>
      </c>
      <c r="BD476" s="514">
        <v>7</v>
      </c>
      <c r="BE476" s="514">
        <v>2777</v>
      </c>
      <c r="BG476" s="229" t="s">
        <v>8685</v>
      </c>
      <c r="BH476" s="230" t="s">
        <v>8688</v>
      </c>
      <c r="BI476" t="s">
        <v>2321</v>
      </c>
      <c r="BJ476" t="s">
        <v>2317</v>
      </c>
    </row>
    <row r="477" spans="1:62">
      <c r="A477" s="229" t="s">
        <v>7527</v>
      </c>
      <c r="B477" s="230" t="s">
        <v>7564</v>
      </c>
      <c r="C477" s="230" t="s">
        <v>7565</v>
      </c>
      <c r="D477" s="229" t="s">
        <v>783</v>
      </c>
      <c r="E477" s="229" t="s">
        <v>829</v>
      </c>
      <c r="F477" s="229" t="s">
        <v>783</v>
      </c>
      <c r="G477" s="229" t="s">
        <v>5651</v>
      </c>
      <c r="H477" s="229" t="s">
        <v>783</v>
      </c>
      <c r="I477" s="229" t="s">
        <v>5651</v>
      </c>
      <c r="J477" s="231" t="s">
        <v>7566</v>
      </c>
      <c r="K477" s="231" t="s">
        <v>7056</v>
      </c>
      <c r="L477" s="220" t="str">
        <f t="shared" si="114"/>
        <v>IH20</v>
      </c>
      <c r="M477" s="220" t="str">
        <f t="shared" si="115"/>
        <v/>
      </c>
      <c r="N477" s="220" t="str">
        <f t="shared" si="116"/>
        <v/>
      </c>
      <c r="O477" s="220" t="str">
        <f t="shared" si="117"/>
        <v/>
      </c>
      <c r="P477" s="52" t="str">
        <f t="shared" si="118"/>
        <v>IH20</v>
      </c>
      <c r="Q477" s="231" t="str">
        <f t="shared" si="125"/>
        <v>163</v>
      </c>
      <c r="R477" s="224">
        <f t="shared" si="109"/>
        <v>140.66666666666666</v>
      </c>
      <c r="S477" s="52">
        <f t="shared" si="119"/>
        <v>115</v>
      </c>
      <c r="T477" s="221">
        <f t="shared" ca="1" si="120"/>
        <v>3.22</v>
      </c>
      <c r="U477" s="221" t="str">
        <f t="shared" si="121"/>
        <v/>
      </c>
      <c r="V477" s="220" t="str">
        <f t="array" ref="V477">INDEX(P:P,MAX(U$3:U477))</f>
        <v>IH#3MTR</v>
      </c>
      <c r="W477" s="220" t="str">
        <f t="shared" ca="1" si="122"/>
        <v/>
      </c>
      <c r="X477" s="220">
        <f t="shared" si="123"/>
        <v>11.4</v>
      </c>
      <c r="Y477" s="220">
        <f t="shared" si="112"/>
        <v>0</v>
      </c>
      <c r="AA477" s="220" t="str">
        <f t="shared" si="113"/>
        <v>彰西</v>
      </c>
      <c r="AB477" s="220" t="s">
        <v>2322</v>
      </c>
      <c r="AC477" s="220" t="str">
        <f t="shared" si="124"/>
        <v>後港線</v>
      </c>
      <c r="BB477" s="514" t="s">
        <v>2404</v>
      </c>
      <c r="BC477" s="514">
        <v>2352</v>
      </c>
      <c r="BD477" s="514">
        <v>2</v>
      </c>
      <c r="BE477" s="514">
        <v>2354</v>
      </c>
      <c r="BG477" s="229" t="s">
        <v>8685</v>
      </c>
      <c r="BH477" s="230" t="s">
        <v>8689</v>
      </c>
      <c r="BI477" t="s">
        <v>2322</v>
      </c>
      <c r="BJ477" t="s">
        <v>2317</v>
      </c>
    </row>
    <row r="478" spans="1:62">
      <c r="A478" s="229" t="s">
        <v>51</v>
      </c>
      <c r="B478" s="230" t="s">
        <v>425</v>
      </c>
      <c r="C478" s="230" t="s">
        <v>4688</v>
      </c>
      <c r="D478" s="229" t="s">
        <v>7558</v>
      </c>
      <c r="E478" s="229" t="s">
        <v>3175</v>
      </c>
      <c r="F478" s="229" t="s">
        <v>804</v>
      </c>
      <c r="G478" s="229" t="s">
        <v>4711</v>
      </c>
      <c r="H478" s="229" t="s">
        <v>804</v>
      </c>
      <c r="I478" s="229" t="s">
        <v>4688</v>
      </c>
      <c r="J478" s="231" t="s">
        <v>7078</v>
      </c>
      <c r="K478" s="231" t="s">
        <v>7567</v>
      </c>
      <c r="L478" s="220" t="str">
        <f t="shared" si="114"/>
        <v>II#1MTR</v>
      </c>
      <c r="M478" s="220" t="str">
        <f t="shared" si="115"/>
        <v/>
      </c>
      <c r="N478" s="220" t="str">
        <f t="shared" si="116"/>
        <v>II#1MTR</v>
      </c>
      <c r="O478" s="220" t="str">
        <f t="shared" si="117"/>
        <v/>
      </c>
      <c r="P478" s="52" t="str">
        <f t="shared" si="118"/>
        <v>II#1MTR</v>
      </c>
      <c r="Q478" s="231" t="str">
        <f t="shared" si="125"/>
        <v>450</v>
      </c>
      <c r="R478" s="224">
        <f t="shared" si="109"/>
        <v>427.66666666666669</v>
      </c>
      <c r="S478" s="52">
        <f t="shared" si="119"/>
        <v>400</v>
      </c>
      <c r="T478" s="221">
        <f t="shared" ca="1" si="120"/>
        <v>8.89</v>
      </c>
      <c r="U478" s="221">
        <f t="shared" si="121"/>
        <v>478</v>
      </c>
      <c r="V478" s="220" t="str">
        <f t="array" ref="V478">INDEX(P:P,MAX(U$3:U478))</f>
        <v>II#1MTR</v>
      </c>
      <c r="W478" s="220">
        <f t="shared" ca="1" si="122"/>
        <v>25</v>
      </c>
      <c r="X478" s="220" t="str">
        <f t="shared" si="123"/>
        <v/>
      </c>
      <c r="Y478" s="220">
        <f t="shared" si="112"/>
        <v>0</v>
      </c>
      <c r="AA478" s="220" t="str">
        <f t="shared" si="113"/>
        <v>彰南</v>
      </c>
      <c r="AB478" s="220" t="s">
        <v>2323</v>
      </c>
      <c r="AC478" s="220" t="str">
        <f t="shared" si="124"/>
        <v>#1M</v>
      </c>
      <c r="BB478" s="514" t="s">
        <v>1886</v>
      </c>
      <c r="BC478" s="514" t="s">
        <v>85</v>
      </c>
      <c r="BD478" s="514" t="s">
        <v>85</v>
      </c>
      <c r="BE478" s="514">
        <v>0</v>
      </c>
      <c r="BG478" s="229" t="s">
        <v>8690</v>
      </c>
      <c r="BH478" s="230" t="s">
        <v>8591</v>
      </c>
      <c r="BI478" t="s">
        <v>2323</v>
      </c>
      <c r="BJ478" t="s">
        <v>2323</v>
      </c>
    </row>
    <row r="479" spans="1:62">
      <c r="A479" s="229" t="s">
        <v>51</v>
      </c>
      <c r="B479" s="230" t="s">
        <v>560</v>
      </c>
      <c r="C479" s="230" t="s">
        <v>897</v>
      </c>
      <c r="D479" s="229" t="s">
        <v>839</v>
      </c>
      <c r="E479" s="229" t="s">
        <v>867</v>
      </c>
      <c r="F479" s="229" t="s">
        <v>804</v>
      </c>
      <c r="G479" s="229" t="s">
        <v>7568</v>
      </c>
      <c r="H479" s="229" t="s">
        <v>783</v>
      </c>
      <c r="I479" s="229" t="s">
        <v>7569</v>
      </c>
      <c r="J479" s="231" t="s">
        <v>925</v>
      </c>
      <c r="K479" s="231" t="s">
        <v>835</v>
      </c>
      <c r="L479" s="220" t="str">
        <f t="shared" si="114"/>
        <v>II22</v>
      </c>
      <c r="M479" s="220" t="str">
        <f t="shared" si="115"/>
        <v/>
      </c>
      <c r="N479" s="220" t="str">
        <f t="shared" si="116"/>
        <v/>
      </c>
      <c r="O479" s="220" t="str">
        <f t="shared" si="117"/>
        <v/>
      </c>
      <c r="P479" s="52" t="str">
        <f t="shared" si="118"/>
        <v>II22</v>
      </c>
      <c r="Q479" s="231" t="str">
        <f t="shared" si="125"/>
        <v>58</v>
      </c>
      <c r="R479" s="224">
        <f t="shared" si="109"/>
        <v>56</v>
      </c>
      <c r="S479" s="52">
        <f t="shared" si="119"/>
        <v>54</v>
      </c>
      <c r="T479" s="221">
        <f t="shared" ca="1" si="120"/>
        <v>1.1499999999999999</v>
      </c>
      <c r="U479" s="221" t="str">
        <f t="shared" si="121"/>
        <v/>
      </c>
      <c r="V479" s="220" t="str">
        <f t="array" ref="V479">INDEX(P:P,MAX(U$3:U479))</f>
        <v>II#1MTR</v>
      </c>
      <c r="W479" s="220" t="str">
        <f t="shared" ca="1" si="122"/>
        <v/>
      </c>
      <c r="X479" s="220">
        <f t="shared" si="123"/>
        <v>11.4</v>
      </c>
      <c r="Y479" s="220">
        <f t="shared" si="112"/>
        <v>0</v>
      </c>
      <c r="AA479" s="220" t="str">
        <f t="shared" si="113"/>
        <v>彰南</v>
      </c>
      <c r="AB479" s="220" t="s">
        <v>2324</v>
      </c>
      <c r="AC479" s="220" t="str">
        <f t="shared" si="124"/>
        <v>縣府線</v>
      </c>
      <c r="BB479" s="514" t="s">
        <v>1885</v>
      </c>
      <c r="BC479" s="514">
        <v>81</v>
      </c>
      <c r="BD479" s="514">
        <v>1</v>
      </c>
      <c r="BE479" s="514">
        <v>82</v>
      </c>
      <c r="BG479" s="229" t="s">
        <v>8690</v>
      </c>
      <c r="BH479" s="230" t="s">
        <v>8691</v>
      </c>
      <c r="BI479" t="s">
        <v>2324</v>
      </c>
      <c r="BJ479" t="s">
        <v>2323</v>
      </c>
    </row>
    <row r="480" spans="1:62">
      <c r="A480" s="229" t="s">
        <v>51</v>
      </c>
      <c r="B480" s="230" t="s">
        <v>561</v>
      </c>
      <c r="C480" s="230" t="s">
        <v>795</v>
      </c>
      <c r="D480" s="229" t="s">
        <v>7521</v>
      </c>
      <c r="E480" s="229" t="s">
        <v>943</v>
      </c>
      <c r="F480" s="229" t="s">
        <v>832</v>
      </c>
      <c r="G480" s="229" t="s">
        <v>879</v>
      </c>
      <c r="H480" s="229" t="s">
        <v>832</v>
      </c>
      <c r="I480" s="229" t="s">
        <v>943</v>
      </c>
      <c r="J480" s="231" t="s">
        <v>6100</v>
      </c>
      <c r="K480" s="231" t="s">
        <v>839</v>
      </c>
      <c r="L480" s="220" t="str">
        <f t="shared" si="114"/>
        <v>II25</v>
      </c>
      <c r="M480" s="220" t="str">
        <f t="shared" si="115"/>
        <v/>
      </c>
      <c r="N480" s="220" t="str">
        <f t="shared" si="116"/>
        <v/>
      </c>
      <c r="O480" s="220" t="str">
        <f t="shared" si="117"/>
        <v/>
      </c>
      <c r="P480" s="52" t="str">
        <f t="shared" si="118"/>
        <v>II25</v>
      </c>
      <c r="Q480" s="231" t="str">
        <f t="shared" si="125"/>
        <v>94</v>
      </c>
      <c r="R480" s="224">
        <f t="shared" si="109"/>
        <v>75.666666666666671</v>
      </c>
      <c r="S480" s="52">
        <f t="shared" si="119"/>
        <v>64</v>
      </c>
      <c r="T480" s="221">
        <f t="shared" ca="1" si="120"/>
        <v>1.86</v>
      </c>
      <c r="U480" s="221" t="str">
        <f t="shared" si="121"/>
        <v/>
      </c>
      <c r="V480" s="220" t="str">
        <f t="array" ref="V480">INDEX(P:P,MAX(U$3:U480))</f>
        <v>II#1MTR</v>
      </c>
      <c r="W480" s="220" t="str">
        <f t="shared" ca="1" si="122"/>
        <v/>
      </c>
      <c r="X480" s="220">
        <f t="shared" si="123"/>
        <v>11.4</v>
      </c>
      <c r="Y480" s="220">
        <f t="shared" si="112"/>
        <v>0</v>
      </c>
      <c r="AA480" s="220" t="str">
        <f t="shared" si="113"/>
        <v>彰南</v>
      </c>
      <c r="AB480" s="220" t="s">
        <v>2325</v>
      </c>
      <c r="AC480" s="220" t="str">
        <f t="shared" si="124"/>
        <v>西門線</v>
      </c>
      <c r="BB480" s="514" t="s">
        <v>2422</v>
      </c>
      <c r="BC480" s="514">
        <v>3663</v>
      </c>
      <c r="BD480" s="514">
        <v>5</v>
      </c>
      <c r="BE480" s="514">
        <v>3668</v>
      </c>
      <c r="BG480" s="229" t="s">
        <v>51</v>
      </c>
      <c r="BH480" s="230" t="s">
        <v>8692</v>
      </c>
      <c r="BI480" t="s">
        <v>2325</v>
      </c>
      <c r="BJ480" t="s">
        <v>2323</v>
      </c>
    </row>
    <row r="481" spans="1:62">
      <c r="A481" s="229" t="s">
        <v>51</v>
      </c>
      <c r="B481" s="230" t="s">
        <v>7570</v>
      </c>
      <c r="C481" s="230" t="s">
        <v>7571</v>
      </c>
      <c r="D481" s="229" t="s">
        <v>850</v>
      </c>
      <c r="E481" s="229" t="s">
        <v>946</v>
      </c>
      <c r="F481" s="229" t="s">
        <v>846</v>
      </c>
      <c r="G481" s="229" t="s">
        <v>1031</v>
      </c>
      <c r="H481" s="229" t="s">
        <v>846</v>
      </c>
      <c r="I481" s="229" t="s">
        <v>7571</v>
      </c>
      <c r="J481" s="231" t="s">
        <v>785</v>
      </c>
      <c r="K481" s="231" t="s">
        <v>5949</v>
      </c>
      <c r="L481" s="220" t="str">
        <f t="shared" si="114"/>
        <v>II20</v>
      </c>
      <c r="M481" s="220" t="str">
        <f t="shared" si="115"/>
        <v/>
      </c>
      <c r="N481" s="220" t="str">
        <f t="shared" si="116"/>
        <v/>
      </c>
      <c r="O481" s="220" t="str">
        <f t="shared" si="117"/>
        <v/>
      </c>
      <c r="P481" s="52" t="str">
        <f t="shared" si="118"/>
        <v>II20</v>
      </c>
      <c r="Q481" s="231" t="str">
        <f t="shared" si="125"/>
        <v>206</v>
      </c>
      <c r="R481" s="224">
        <f t="shared" ref="R481:R544" si="126">AVERAGE(C481*1,E481*1,G481*1)</f>
        <v>199</v>
      </c>
      <c r="S481" s="52">
        <f t="shared" si="119"/>
        <v>193</v>
      </c>
      <c r="T481" s="221">
        <f t="shared" ca="1" si="120"/>
        <v>4.07</v>
      </c>
      <c r="U481" s="221" t="str">
        <f t="shared" si="121"/>
        <v/>
      </c>
      <c r="V481" s="220" t="str">
        <f t="array" ref="V481">INDEX(P:P,MAX(U$3:U481))</f>
        <v>II#1MTR</v>
      </c>
      <c r="W481" s="220" t="str">
        <f t="shared" ca="1" si="122"/>
        <v/>
      </c>
      <c r="X481" s="220">
        <f t="shared" si="123"/>
        <v>11.4</v>
      </c>
      <c r="Y481" s="220">
        <f t="shared" si="112"/>
        <v>0</v>
      </c>
      <c r="AA481" s="220" t="str">
        <f t="shared" si="113"/>
        <v>彰南</v>
      </c>
      <c r="AB481" s="220" t="s">
        <v>2326</v>
      </c>
      <c r="AC481" s="220" t="str">
        <f t="shared" si="124"/>
        <v>新生線</v>
      </c>
      <c r="BB481" s="514" t="s">
        <v>2423</v>
      </c>
      <c r="BC481" s="514">
        <v>181</v>
      </c>
      <c r="BD481" s="514">
        <v>1</v>
      </c>
      <c r="BE481" s="514">
        <v>182</v>
      </c>
      <c r="BG481" s="229" t="s">
        <v>8690</v>
      </c>
      <c r="BH481" s="230" t="s">
        <v>8693</v>
      </c>
      <c r="BI481" t="s">
        <v>2326</v>
      </c>
      <c r="BJ481" t="s">
        <v>2323</v>
      </c>
    </row>
    <row r="482" spans="1:62">
      <c r="A482" s="229" t="s">
        <v>7572</v>
      </c>
      <c r="B482" s="230" t="s">
        <v>7573</v>
      </c>
      <c r="C482" s="230" t="s">
        <v>830</v>
      </c>
      <c r="D482" s="229" t="s">
        <v>7496</v>
      </c>
      <c r="E482" s="229" t="s">
        <v>795</v>
      </c>
      <c r="F482" s="229" t="s">
        <v>7574</v>
      </c>
      <c r="G482" s="229" t="s">
        <v>7575</v>
      </c>
      <c r="H482" s="229" t="s">
        <v>7496</v>
      </c>
      <c r="I482" s="229" t="s">
        <v>7576</v>
      </c>
      <c r="J482" s="231" t="s">
        <v>872</v>
      </c>
      <c r="K482" s="231" t="s">
        <v>7546</v>
      </c>
      <c r="L482" s="220" t="str">
        <f t="shared" si="114"/>
        <v>II26</v>
      </c>
      <c r="M482" s="220" t="str">
        <f t="shared" si="115"/>
        <v/>
      </c>
      <c r="N482" s="220" t="str">
        <f t="shared" si="116"/>
        <v/>
      </c>
      <c r="O482" s="220" t="str">
        <f t="shared" si="117"/>
        <v/>
      </c>
      <c r="P482" s="52" t="str">
        <f t="shared" si="118"/>
        <v>II26</v>
      </c>
      <c r="Q482" s="231" t="str">
        <f t="shared" si="125"/>
        <v>112</v>
      </c>
      <c r="R482" s="224">
        <f t="shared" si="126"/>
        <v>79</v>
      </c>
      <c r="S482" s="52">
        <f t="shared" si="119"/>
        <v>56</v>
      </c>
      <c r="T482" s="221">
        <f t="shared" ca="1" si="120"/>
        <v>2.21</v>
      </c>
      <c r="U482" s="221" t="str">
        <f t="shared" si="121"/>
        <v/>
      </c>
      <c r="V482" s="220" t="str">
        <f t="array" ref="V482">INDEX(P:P,MAX(U$3:U482))</f>
        <v>II#1MTR</v>
      </c>
      <c r="W482" s="220" t="str">
        <f t="shared" ca="1" si="122"/>
        <v/>
      </c>
      <c r="X482" s="220">
        <f t="shared" si="123"/>
        <v>11.4</v>
      </c>
      <c r="Y482" s="220">
        <f t="shared" si="112"/>
        <v>0</v>
      </c>
      <c r="AA482" s="220" t="str">
        <f t="shared" si="113"/>
        <v>彰南</v>
      </c>
      <c r="AB482" s="220" t="s">
        <v>2327</v>
      </c>
      <c r="AC482" s="220" t="str">
        <f t="shared" si="124"/>
        <v>南興線</v>
      </c>
      <c r="BB482" s="514" t="s">
        <v>2418</v>
      </c>
      <c r="BC482" s="514">
        <v>39</v>
      </c>
      <c r="BD482" s="514">
        <v>2</v>
      </c>
      <c r="BE482" s="514">
        <v>41</v>
      </c>
      <c r="BG482" s="229" t="s">
        <v>8694</v>
      </c>
      <c r="BH482" s="230" t="s">
        <v>8695</v>
      </c>
      <c r="BI482" t="s">
        <v>2327</v>
      </c>
      <c r="BJ482" t="s">
        <v>2323</v>
      </c>
    </row>
    <row r="483" spans="1:62">
      <c r="A483" s="229" t="s">
        <v>51</v>
      </c>
      <c r="B483" s="230" t="s">
        <v>562</v>
      </c>
      <c r="C483" s="230" t="s">
        <v>955</v>
      </c>
      <c r="D483" s="229" t="s">
        <v>846</v>
      </c>
      <c r="E483" s="229" t="s">
        <v>785</v>
      </c>
      <c r="F483" s="229" t="s">
        <v>832</v>
      </c>
      <c r="G483" s="229" t="s">
        <v>7301</v>
      </c>
      <c r="H483" s="229" t="s">
        <v>832</v>
      </c>
      <c r="I483" s="229" t="s">
        <v>920</v>
      </c>
      <c r="J483" s="231" t="s">
        <v>884</v>
      </c>
      <c r="K483" s="231" t="s">
        <v>832</v>
      </c>
      <c r="L483" s="220" t="str">
        <f t="shared" si="114"/>
        <v>II27</v>
      </c>
      <c r="M483" s="220" t="str">
        <f t="shared" si="115"/>
        <v/>
      </c>
      <c r="N483" s="220" t="str">
        <f t="shared" si="116"/>
        <v/>
      </c>
      <c r="O483" s="220" t="str">
        <f t="shared" si="117"/>
        <v/>
      </c>
      <c r="P483" s="52" t="str">
        <f t="shared" si="118"/>
        <v>II27</v>
      </c>
      <c r="Q483" s="231" t="str">
        <f t="shared" si="125"/>
        <v>63</v>
      </c>
      <c r="R483" s="224">
        <f t="shared" si="126"/>
        <v>51.666666666666664</v>
      </c>
      <c r="S483" s="52">
        <f t="shared" si="119"/>
        <v>42</v>
      </c>
      <c r="T483" s="221">
        <f t="shared" ca="1" si="120"/>
        <v>1.24</v>
      </c>
      <c r="U483" s="221" t="str">
        <f t="shared" si="121"/>
        <v/>
      </c>
      <c r="V483" s="220" t="str">
        <f t="array" ref="V483">INDEX(P:P,MAX(U$3:U483))</f>
        <v>II#1MTR</v>
      </c>
      <c r="W483" s="220" t="str">
        <f t="shared" ca="1" si="122"/>
        <v/>
      </c>
      <c r="X483" s="220">
        <f t="shared" si="123"/>
        <v>11.4</v>
      </c>
      <c r="Y483" s="220">
        <f t="shared" si="112"/>
        <v>0</v>
      </c>
      <c r="AA483" s="220" t="str">
        <f t="shared" si="113"/>
        <v>彰南</v>
      </c>
      <c r="AB483" s="220" t="s">
        <v>2328</v>
      </c>
      <c r="AC483" s="220" t="str">
        <f t="shared" si="124"/>
        <v>南和線</v>
      </c>
      <c r="BB483" s="514" t="s">
        <v>2430</v>
      </c>
      <c r="BC483" s="514">
        <v>556</v>
      </c>
      <c r="BD483" s="514" t="s">
        <v>85</v>
      </c>
      <c r="BE483" s="514">
        <v>556</v>
      </c>
      <c r="BG483" s="229" t="s">
        <v>8690</v>
      </c>
      <c r="BH483" s="230" t="s">
        <v>8696</v>
      </c>
      <c r="BI483" t="s">
        <v>2328</v>
      </c>
      <c r="BJ483" t="s">
        <v>2323</v>
      </c>
    </row>
    <row r="484" spans="1:62">
      <c r="A484" s="229" t="s">
        <v>7577</v>
      </c>
      <c r="B484" s="230" t="s">
        <v>7541</v>
      </c>
      <c r="C484" s="230" t="s">
        <v>7578</v>
      </c>
      <c r="D484" s="229" t="s">
        <v>7302</v>
      </c>
      <c r="E484" s="229" t="s">
        <v>4712</v>
      </c>
      <c r="F484" s="229" t="s">
        <v>804</v>
      </c>
      <c r="G484" s="229" t="s">
        <v>7579</v>
      </c>
      <c r="H484" s="229" t="s">
        <v>797</v>
      </c>
      <c r="I484" s="229" t="s">
        <v>7580</v>
      </c>
      <c r="J484" s="231" t="s">
        <v>358</v>
      </c>
      <c r="K484" s="231" t="s">
        <v>358</v>
      </c>
      <c r="L484" s="220" t="str">
        <f t="shared" si="114"/>
        <v>II#2MTR</v>
      </c>
      <c r="M484" s="220" t="str">
        <f t="shared" si="115"/>
        <v/>
      </c>
      <c r="N484" s="220" t="str">
        <f t="shared" si="116"/>
        <v>II#2MTR</v>
      </c>
      <c r="O484" s="220" t="str">
        <f t="shared" si="117"/>
        <v/>
      </c>
      <c r="P484" s="52" t="str">
        <f t="shared" si="118"/>
        <v>II#2MTR</v>
      </c>
      <c r="Q484" s="231" t="str">
        <f t="shared" si="125"/>
        <v>929</v>
      </c>
      <c r="R484" s="224">
        <f t="shared" si="126"/>
        <v>896</v>
      </c>
      <c r="S484" s="52">
        <f t="shared" si="119"/>
        <v>860</v>
      </c>
      <c r="T484" s="221">
        <f t="shared" ca="1" si="120"/>
        <v>18.34</v>
      </c>
      <c r="U484" s="221">
        <f t="shared" si="121"/>
        <v>484</v>
      </c>
      <c r="V484" s="220" t="str">
        <f t="array" ref="V484">INDEX(P:P,MAX(U$3:U484))</f>
        <v>II#2MTR</v>
      </c>
      <c r="W484" s="220">
        <f t="shared" ca="1" si="122"/>
        <v>25</v>
      </c>
      <c r="X484" s="220" t="str">
        <f t="shared" si="123"/>
        <v/>
      </c>
      <c r="Y484" s="220">
        <f t="shared" si="112"/>
        <v>0</v>
      </c>
      <c r="AA484" s="220" t="str">
        <f t="shared" si="113"/>
        <v>彰南</v>
      </c>
      <c r="AB484" s="220" t="s">
        <v>2329</v>
      </c>
      <c r="AC484" s="220" t="str">
        <f t="shared" si="124"/>
        <v>#2M</v>
      </c>
      <c r="BB484" s="514" t="s">
        <v>2425</v>
      </c>
      <c r="BC484" s="514">
        <v>792</v>
      </c>
      <c r="BD484" s="514">
        <v>8</v>
      </c>
      <c r="BE484" s="514">
        <v>800</v>
      </c>
      <c r="BG484" s="229" t="s">
        <v>8694</v>
      </c>
      <c r="BH484" s="230" t="s">
        <v>8597</v>
      </c>
      <c r="BI484" t="s">
        <v>2329</v>
      </c>
      <c r="BJ484" t="s">
        <v>2329</v>
      </c>
    </row>
    <row r="485" spans="1:62">
      <c r="A485" s="229" t="s">
        <v>51</v>
      </c>
      <c r="B485" s="230" t="s">
        <v>7581</v>
      </c>
      <c r="C485" s="230" t="s">
        <v>7582</v>
      </c>
      <c r="D485" s="229" t="s">
        <v>7583</v>
      </c>
      <c r="E485" s="229" t="s">
        <v>7584</v>
      </c>
      <c r="F485" s="229" t="s">
        <v>7056</v>
      </c>
      <c r="G485" s="229" t="s">
        <v>7585</v>
      </c>
      <c r="H485" s="229" t="s">
        <v>5641</v>
      </c>
      <c r="I485" s="229" t="s">
        <v>7586</v>
      </c>
      <c r="J485" s="231" t="s">
        <v>7587</v>
      </c>
      <c r="K485" s="231" t="s">
        <v>5836</v>
      </c>
      <c r="L485" s="220" t="str">
        <f t="shared" si="114"/>
        <v>II32</v>
      </c>
      <c r="M485" s="220" t="str">
        <f t="shared" si="115"/>
        <v/>
      </c>
      <c r="N485" s="220" t="str">
        <f t="shared" si="116"/>
        <v/>
      </c>
      <c r="O485" s="220" t="str">
        <f t="shared" si="117"/>
        <v/>
      </c>
      <c r="P485" s="52" t="str">
        <f t="shared" si="118"/>
        <v>II32</v>
      </c>
      <c r="Q485" s="231" t="str">
        <f t="shared" si="125"/>
        <v>169</v>
      </c>
      <c r="R485" s="224">
        <f t="shared" si="126"/>
        <v>151.33333333333334</v>
      </c>
      <c r="S485" s="52">
        <f t="shared" si="119"/>
        <v>127</v>
      </c>
      <c r="T485" s="221">
        <f t="shared" ca="1" si="120"/>
        <v>3.34</v>
      </c>
      <c r="U485" s="221" t="str">
        <f t="shared" si="121"/>
        <v/>
      </c>
      <c r="V485" s="220" t="str">
        <f t="array" ref="V485">INDEX(P:P,MAX(U$3:U485))</f>
        <v>II#2MTR</v>
      </c>
      <c r="W485" s="220" t="str">
        <f t="shared" ca="1" si="122"/>
        <v/>
      </c>
      <c r="X485" s="220">
        <f t="shared" si="123"/>
        <v>11.4</v>
      </c>
      <c r="Y485" s="220">
        <f t="shared" si="112"/>
        <v>0</v>
      </c>
      <c r="AA485" s="220" t="str">
        <f t="shared" si="113"/>
        <v>彰南</v>
      </c>
      <c r="AB485" s="220" t="s">
        <v>2330</v>
      </c>
      <c r="AC485" s="220" t="str">
        <f t="shared" si="124"/>
        <v>南郭線</v>
      </c>
      <c r="BB485" s="514" t="s">
        <v>2426</v>
      </c>
      <c r="BC485" s="514">
        <v>997</v>
      </c>
      <c r="BD485" s="514" t="s">
        <v>85</v>
      </c>
      <c r="BE485" s="514">
        <v>997</v>
      </c>
      <c r="BG485" s="229" t="s">
        <v>8690</v>
      </c>
      <c r="BH485" s="230" t="s">
        <v>563</v>
      </c>
      <c r="BI485" t="s">
        <v>2330</v>
      </c>
      <c r="BJ485" t="s">
        <v>2329</v>
      </c>
    </row>
    <row r="486" spans="1:62">
      <c r="A486" s="229" t="s">
        <v>7588</v>
      </c>
      <c r="B486" s="230" t="s">
        <v>564</v>
      </c>
      <c r="C486" s="230" t="s">
        <v>978</v>
      </c>
      <c r="D486" s="229" t="s">
        <v>7072</v>
      </c>
      <c r="E486" s="229" t="s">
        <v>7186</v>
      </c>
      <c r="F486" s="229" t="s">
        <v>5641</v>
      </c>
      <c r="G486" s="229" t="s">
        <v>7589</v>
      </c>
      <c r="H486" s="229" t="s">
        <v>7072</v>
      </c>
      <c r="I486" s="229" t="s">
        <v>7146</v>
      </c>
      <c r="J486" s="231" t="s">
        <v>7375</v>
      </c>
      <c r="K486" s="231" t="s">
        <v>7104</v>
      </c>
      <c r="L486" s="220" t="str">
        <f t="shared" si="114"/>
        <v>II34</v>
      </c>
      <c r="M486" s="220" t="str">
        <f t="shared" si="115"/>
        <v/>
      </c>
      <c r="N486" s="220" t="str">
        <f t="shared" si="116"/>
        <v/>
      </c>
      <c r="O486" s="220" t="str">
        <f t="shared" si="117"/>
        <v/>
      </c>
      <c r="P486" s="52" t="str">
        <f t="shared" si="118"/>
        <v>II34</v>
      </c>
      <c r="Q486" s="231" t="str">
        <f t="shared" si="125"/>
        <v>136</v>
      </c>
      <c r="R486" s="224">
        <f t="shared" si="126"/>
        <v>129.66666666666666</v>
      </c>
      <c r="S486" s="52">
        <f t="shared" si="119"/>
        <v>120</v>
      </c>
      <c r="T486" s="221">
        <f t="shared" ca="1" si="120"/>
        <v>2.69</v>
      </c>
      <c r="U486" s="221" t="str">
        <f t="shared" si="121"/>
        <v/>
      </c>
      <c r="V486" s="220" t="str">
        <f t="array" ref="V486">INDEX(P:P,MAX(U$3:U486))</f>
        <v>II#2MTR</v>
      </c>
      <c r="W486" s="220" t="str">
        <f t="shared" ca="1" si="122"/>
        <v/>
      </c>
      <c r="X486" s="220">
        <f t="shared" si="123"/>
        <v>11.4</v>
      </c>
      <c r="Y486" s="220">
        <f t="shared" si="112"/>
        <v>0</v>
      </c>
      <c r="AA486" s="220" t="str">
        <f t="shared" si="113"/>
        <v>彰南</v>
      </c>
      <c r="AB486" s="220" t="s">
        <v>2331</v>
      </c>
      <c r="AC486" s="220" t="str">
        <f t="shared" si="124"/>
        <v>民權線</v>
      </c>
      <c r="BB486" s="514" t="s">
        <v>2417</v>
      </c>
      <c r="BC486" s="514">
        <v>2336</v>
      </c>
      <c r="BD486" s="514">
        <v>3</v>
      </c>
      <c r="BE486" s="514">
        <v>2339</v>
      </c>
      <c r="BG486" s="229" t="s">
        <v>51</v>
      </c>
      <c r="BH486" s="230" t="s">
        <v>8697</v>
      </c>
      <c r="BI486" t="s">
        <v>2331</v>
      </c>
      <c r="BJ486" t="s">
        <v>2329</v>
      </c>
    </row>
    <row r="487" spans="1:62">
      <c r="A487" s="229" t="s">
        <v>51</v>
      </c>
      <c r="B487" s="230" t="s">
        <v>565</v>
      </c>
      <c r="C487" s="230" t="s">
        <v>982</v>
      </c>
      <c r="D487" s="229" t="s">
        <v>832</v>
      </c>
      <c r="E487" s="229" t="s">
        <v>952</v>
      </c>
      <c r="F487" s="229" t="s">
        <v>804</v>
      </c>
      <c r="G487" s="229" t="s">
        <v>6956</v>
      </c>
      <c r="H487" s="229" t="s">
        <v>804</v>
      </c>
      <c r="I487" s="229" t="s">
        <v>982</v>
      </c>
      <c r="J487" s="231" t="s">
        <v>975</v>
      </c>
      <c r="K487" s="231" t="s">
        <v>832</v>
      </c>
      <c r="L487" s="220" t="str">
        <f t="shared" si="114"/>
        <v>II30</v>
      </c>
      <c r="M487" s="220" t="str">
        <f t="shared" si="115"/>
        <v/>
      </c>
      <c r="N487" s="220" t="str">
        <f t="shared" si="116"/>
        <v/>
      </c>
      <c r="O487" s="220" t="str">
        <f t="shared" si="117"/>
        <v/>
      </c>
      <c r="P487" s="52" t="str">
        <f t="shared" si="118"/>
        <v>II30</v>
      </c>
      <c r="Q487" s="231" t="str">
        <f t="shared" si="125"/>
        <v>262</v>
      </c>
      <c r="R487" s="224">
        <f t="shared" si="126"/>
        <v>236</v>
      </c>
      <c r="S487" s="52">
        <f t="shared" si="119"/>
        <v>188</v>
      </c>
      <c r="T487" s="221">
        <f t="shared" ca="1" si="120"/>
        <v>5.17</v>
      </c>
      <c r="U487" s="221" t="str">
        <f t="shared" si="121"/>
        <v/>
      </c>
      <c r="V487" s="220" t="str">
        <f t="array" ref="V487">INDEX(P:P,MAX(U$3:U487))</f>
        <v>II#2MTR</v>
      </c>
      <c r="W487" s="220" t="str">
        <f t="shared" ca="1" si="122"/>
        <v/>
      </c>
      <c r="X487" s="220">
        <f t="shared" si="123"/>
        <v>11.4</v>
      </c>
      <c r="Y487" s="220">
        <f t="shared" si="112"/>
        <v>0</v>
      </c>
      <c r="AA487" s="220" t="str">
        <f t="shared" si="113"/>
        <v>彰南</v>
      </c>
      <c r="AB487" s="220" t="s">
        <v>2332</v>
      </c>
      <c r="AC487" s="220" t="str">
        <f t="shared" si="124"/>
        <v>虎山線</v>
      </c>
      <c r="BB487" s="514" t="s">
        <v>2420</v>
      </c>
      <c r="BC487" s="514">
        <v>344</v>
      </c>
      <c r="BD487" s="514">
        <v>1</v>
      </c>
      <c r="BE487" s="514">
        <v>345</v>
      </c>
      <c r="BG487" s="229" t="s">
        <v>8690</v>
      </c>
      <c r="BH487" s="230" t="s">
        <v>8698</v>
      </c>
      <c r="BI487" t="s">
        <v>2332</v>
      </c>
      <c r="BJ487" t="s">
        <v>2329</v>
      </c>
    </row>
    <row r="488" spans="1:62">
      <c r="A488" s="229" t="s">
        <v>51</v>
      </c>
      <c r="B488" s="230" t="s">
        <v>566</v>
      </c>
      <c r="C488" s="230" t="s">
        <v>7590</v>
      </c>
      <c r="D488" s="229" t="s">
        <v>797</v>
      </c>
      <c r="E488" s="229" t="s">
        <v>864</v>
      </c>
      <c r="F488" s="229" t="s">
        <v>804</v>
      </c>
      <c r="G488" s="229" t="s">
        <v>981</v>
      </c>
      <c r="H488" s="229" t="s">
        <v>797</v>
      </c>
      <c r="I488" s="229" t="s">
        <v>981</v>
      </c>
      <c r="J488" s="231" t="s">
        <v>872</v>
      </c>
      <c r="K488" s="231" t="s">
        <v>846</v>
      </c>
      <c r="L488" s="220" t="str">
        <f t="shared" si="114"/>
        <v>II31</v>
      </c>
      <c r="M488" s="220" t="str">
        <f t="shared" si="115"/>
        <v/>
      </c>
      <c r="N488" s="220" t="str">
        <f t="shared" si="116"/>
        <v/>
      </c>
      <c r="O488" s="220" t="str">
        <f t="shared" si="117"/>
        <v/>
      </c>
      <c r="P488" s="52" t="str">
        <f t="shared" si="118"/>
        <v>II31</v>
      </c>
      <c r="Q488" s="231" t="str">
        <f t="shared" si="125"/>
        <v>233</v>
      </c>
      <c r="R488" s="224">
        <f t="shared" si="126"/>
        <v>210.33333333333334</v>
      </c>
      <c r="S488" s="52">
        <f t="shared" si="119"/>
        <v>183</v>
      </c>
      <c r="T488" s="221">
        <f t="shared" ca="1" si="120"/>
        <v>4.5999999999999996</v>
      </c>
      <c r="U488" s="221" t="str">
        <f t="shared" si="121"/>
        <v/>
      </c>
      <c r="V488" s="220" t="str">
        <f t="array" ref="V488">INDEX(P:P,MAX(U$3:U488))</f>
        <v>II#2MTR</v>
      </c>
      <c r="W488" s="220" t="str">
        <f t="shared" ca="1" si="122"/>
        <v/>
      </c>
      <c r="X488" s="220">
        <f t="shared" si="123"/>
        <v>11.4</v>
      </c>
      <c r="Y488" s="220">
        <f t="shared" si="112"/>
        <v>0</v>
      </c>
      <c r="AA488" s="220" t="str">
        <f t="shared" si="113"/>
        <v>彰南</v>
      </c>
      <c r="AB488" s="220" t="s">
        <v>2333</v>
      </c>
      <c r="AC488" s="220" t="str">
        <f t="shared" si="124"/>
        <v>民族線</v>
      </c>
      <c r="BB488" s="514" t="s">
        <v>2431</v>
      </c>
      <c r="BC488" s="514">
        <v>8</v>
      </c>
      <c r="BD488" s="514" t="s">
        <v>85</v>
      </c>
      <c r="BE488" s="514">
        <v>8</v>
      </c>
      <c r="BG488" s="229" t="s">
        <v>8694</v>
      </c>
      <c r="BH488" s="230" t="s">
        <v>8699</v>
      </c>
      <c r="BI488" t="s">
        <v>2333</v>
      </c>
      <c r="BJ488" t="s">
        <v>2329</v>
      </c>
    </row>
    <row r="489" spans="1:62">
      <c r="A489" s="229" t="s">
        <v>51</v>
      </c>
      <c r="B489" s="230" t="s">
        <v>567</v>
      </c>
      <c r="C489" s="230" t="s">
        <v>1028</v>
      </c>
      <c r="D489" s="229" t="s">
        <v>850</v>
      </c>
      <c r="E489" s="229" t="s">
        <v>863</v>
      </c>
      <c r="F489" s="229" t="s">
        <v>846</v>
      </c>
      <c r="G489" s="229" t="s">
        <v>813</v>
      </c>
      <c r="H489" s="229" t="s">
        <v>850</v>
      </c>
      <c r="I489" s="229" t="s">
        <v>863</v>
      </c>
      <c r="J489" s="231" t="s">
        <v>7058</v>
      </c>
      <c r="K489" s="231" t="s">
        <v>5650</v>
      </c>
      <c r="L489" s="220" t="str">
        <f t="shared" si="114"/>
        <v>II28</v>
      </c>
      <c r="M489" s="220" t="str">
        <f t="shared" si="115"/>
        <v/>
      </c>
      <c r="N489" s="220" t="str">
        <f t="shared" si="116"/>
        <v/>
      </c>
      <c r="O489" s="220" t="str">
        <f t="shared" si="117"/>
        <v/>
      </c>
      <c r="P489" s="52" t="str">
        <f t="shared" si="118"/>
        <v>II28</v>
      </c>
      <c r="Q489" s="231" t="str">
        <f t="shared" si="125"/>
        <v>230</v>
      </c>
      <c r="R489" s="224">
        <f t="shared" si="126"/>
        <v>213.33333333333334</v>
      </c>
      <c r="S489" s="52">
        <f t="shared" si="119"/>
        <v>185</v>
      </c>
      <c r="T489" s="221">
        <f t="shared" ca="1" si="120"/>
        <v>4.54</v>
      </c>
      <c r="U489" s="221" t="str">
        <f t="shared" si="121"/>
        <v/>
      </c>
      <c r="V489" s="220" t="str">
        <f t="array" ref="V489">INDEX(P:P,MAX(U$3:U489))</f>
        <v>II#2MTR</v>
      </c>
      <c r="W489" s="220" t="str">
        <f t="shared" ca="1" si="122"/>
        <v/>
      </c>
      <c r="X489" s="220">
        <f t="shared" si="123"/>
        <v>11.4</v>
      </c>
      <c r="Y489" s="220">
        <f t="shared" si="112"/>
        <v>0</v>
      </c>
      <c r="AA489" s="220" t="str">
        <f t="shared" si="113"/>
        <v>彰南</v>
      </c>
      <c r="AB489" s="220" t="s">
        <v>2334</v>
      </c>
      <c r="AC489" s="220" t="str">
        <f t="shared" si="124"/>
        <v>大埔線</v>
      </c>
      <c r="BB489" s="514" t="s">
        <v>2419</v>
      </c>
      <c r="BC489" s="514">
        <v>2023</v>
      </c>
      <c r="BD489" s="514">
        <v>2</v>
      </c>
      <c r="BE489" s="514">
        <v>2025</v>
      </c>
      <c r="BG489" s="229" t="s">
        <v>8690</v>
      </c>
      <c r="BH489" s="230" t="s">
        <v>8700</v>
      </c>
      <c r="BI489" t="s">
        <v>2334</v>
      </c>
      <c r="BJ489" t="s">
        <v>2329</v>
      </c>
    </row>
    <row r="490" spans="1:62">
      <c r="A490" s="229" t="s">
        <v>51</v>
      </c>
      <c r="B490" s="230" t="s">
        <v>430</v>
      </c>
      <c r="C490" s="230" t="s">
        <v>1059</v>
      </c>
      <c r="D490" s="229" t="s">
        <v>804</v>
      </c>
      <c r="E490" s="229" t="s">
        <v>4713</v>
      </c>
      <c r="F490" s="229" t="s">
        <v>832</v>
      </c>
      <c r="G490" s="229" t="s">
        <v>3139</v>
      </c>
      <c r="H490" s="229" t="s">
        <v>804</v>
      </c>
      <c r="I490" s="229" t="s">
        <v>3139</v>
      </c>
      <c r="J490" s="231" t="s">
        <v>358</v>
      </c>
      <c r="K490" s="231" t="s">
        <v>358</v>
      </c>
      <c r="L490" s="220" t="str">
        <f t="shared" si="114"/>
        <v>II#3MTR</v>
      </c>
      <c r="M490" s="220" t="str">
        <f t="shared" si="115"/>
        <v/>
      </c>
      <c r="N490" s="220" t="str">
        <f t="shared" si="116"/>
        <v>II#3MTR</v>
      </c>
      <c r="O490" s="220" t="str">
        <f t="shared" si="117"/>
        <v/>
      </c>
      <c r="P490" s="52" t="str">
        <f t="shared" si="118"/>
        <v>II#3MTR</v>
      </c>
      <c r="Q490" s="231" t="str">
        <f t="shared" si="125"/>
        <v>485</v>
      </c>
      <c r="R490" s="224">
        <f t="shared" si="126"/>
        <v>450</v>
      </c>
      <c r="S490" s="52">
        <f t="shared" si="119"/>
        <v>396</v>
      </c>
      <c r="T490" s="221">
        <f t="shared" ca="1" si="120"/>
        <v>9.58</v>
      </c>
      <c r="U490" s="221">
        <f t="shared" si="121"/>
        <v>490</v>
      </c>
      <c r="V490" s="220" t="str">
        <f t="array" ref="V490">INDEX(P:P,MAX(U$3:U490))</f>
        <v>II#3MTR</v>
      </c>
      <c r="W490" s="220">
        <f t="shared" ca="1" si="122"/>
        <v>25</v>
      </c>
      <c r="X490" s="220" t="str">
        <f t="shared" si="123"/>
        <v/>
      </c>
      <c r="Y490" s="220">
        <f t="shared" si="112"/>
        <v>0</v>
      </c>
      <c r="AA490" s="220" t="str">
        <f t="shared" si="113"/>
        <v>彰南</v>
      </c>
      <c r="AB490" s="220" t="s">
        <v>2335</v>
      </c>
      <c r="AC490" s="220" t="str">
        <f t="shared" si="124"/>
        <v>#3M</v>
      </c>
      <c r="BB490" s="514" t="s">
        <v>2424</v>
      </c>
      <c r="BC490" s="514">
        <v>376</v>
      </c>
      <c r="BD490" s="514">
        <v>7</v>
      </c>
      <c r="BE490" s="514">
        <v>383</v>
      </c>
      <c r="BG490" s="229" t="s">
        <v>8690</v>
      </c>
      <c r="BH490" s="230" t="s">
        <v>8538</v>
      </c>
      <c r="BI490" t="s">
        <v>2335</v>
      </c>
      <c r="BJ490" t="s">
        <v>2335</v>
      </c>
    </row>
    <row r="491" spans="1:62">
      <c r="A491" s="229" t="s">
        <v>51</v>
      </c>
      <c r="B491" s="230" t="s">
        <v>568</v>
      </c>
      <c r="C491" s="230" t="s">
        <v>7591</v>
      </c>
      <c r="D491" s="229" t="s">
        <v>5650</v>
      </c>
      <c r="E491" s="229" t="s">
        <v>7592</v>
      </c>
      <c r="F491" s="229" t="s">
        <v>7593</v>
      </c>
      <c r="G491" s="229" t="s">
        <v>977</v>
      </c>
      <c r="H491" s="229" t="s">
        <v>804</v>
      </c>
      <c r="I491" s="229" t="s">
        <v>827</v>
      </c>
      <c r="J491" s="231" t="s">
        <v>796</v>
      </c>
      <c r="K491" s="231" t="s">
        <v>789</v>
      </c>
      <c r="L491" s="220" t="str">
        <f t="shared" si="114"/>
        <v>II24</v>
      </c>
      <c r="M491" s="220" t="str">
        <f t="shared" si="115"/>
        <v/>
      </c>
      <c r="N491" s="220" t="str">
        <f t="shared" si="116"/>
        <v/>
      </c>
      <c r="O491" s="220" t="str">
        <f t="shared" si="117"/>
        <v/>
      </c>
      <c r="P491" s="52" t="str">
        <f t="shared" si="118"/>
        <v>II24</v>
      </c>
      <c r="Q491" s="231" t="str">
        <f t="shared" si="125"/>
        <v>159</v>
      </c>
      <c r="R491" s="224">
        <f t="shared" si="126"/>
        <v>156</v>
      </c>
      <c r="S491" s="52">
        <f t="shared" si="119"/>
        <v>151</v>
      </c>
      <c r="T491" s="221">
        <f t="shared" ca="1" si="120"/>
        <v>3.14</v>
      </c>
      <c r="U491" s="221" t="str">
        <f t="shared" si="121"/>
        <v/>
      </c>
      <c r="V491" s="220" t="str">
        <f t="array" ref="V491">INDEX(P:P,MAX(U$3:U491))</f>
        <v>II#3MTR</v>
      </c>
      <c r="W491" s="220" t="str">
        <f t="shared" ca="1" si="122"/>
        <v/>
      </c>
      <c r="X491" s="220">
        <f t="shared" si="123"/>
        <v>11.4</v>
      </c>
      <c r="Y491" s="220">
        <f t="shared" si="112"/>
        <v>0</v>
      </c>
      <c r="AA491" s="220" t="str">
        <f t="shared" si="113"/>
        <v>彰南</v>
      </c>
      <c r="AB491" s="220" t="s">
        <v>2336</v>
      </c>
      <c r="AC491" s="220" t="str">
        <f t="shared" si="124"/>
        <v>建寶線</v>
      </c>
      <c r="BB491" s="514" t="s">
        <v>2429</v>
      </c>
      <c r="BC491" s="514">
        <v>3063</v>
      </c>
      <c r="BD491" s="514">
        <v>4</v>
      </c>
      <c r="BE491" s="514">
        <v>3067</v>
      </c>
      <c r="BG491" s="229" t="s">
        <v>8694</v>
      </c>
      <c r="BH491" s="230" t="s">
        <v>8701</v>
      </c>
      <c r="BI491" t="s">
        <v>2336</v>
      </c>
      <c r="BJ491" t="s">
        <v>2335</v>
      </c>
    </row>
    <row r="492" spans="1:62">
      <c r="A492" s="229" t="s">
        <v>7594</v>
      </c>
      <c r="B492" s="230" t="s">
        <v>569</v>
      </c>
      <c r="C492" s="230" t="s">
        <v>956</v>
      </c>
      <c r="D492" s="229" t="s">
        <v>7302</v>
      </c>
      <c r="E492" s="229" t="s">
        <v>792</v>
      </c>
      <c r="F492" s="229" t="s">
        <v>804</v>
      </c>
      <c r="G492" s="229" t="s">
        <v>862</v>
      </c>
      <c r="H492" s="229" t="s">
        <v>804</v>
      </c>
      <c r="I492" s="229" t="s">
        <v>862</v>
      </c>
      <c r="J492" s="231" t="s">
        <v>1020</v>
      </c>
      <c r="K492" s="231" t="s">
        <v>797</v>
      </c>
      <c r="L492" s="220" t="str">
        <f t="shared" si="114"/>
        <v>II33</v>
      </c>
      <c r="M492" s="220" t="str">
        <f t="shared" si="115"/>
        <v/>
      </c>
      <c r="N492" s="220" t="str">
        <f t="shared" si="116"/>
        <v/>
      </c>
      <c r="O492" s="220" t="str">
        <f t="shared" si="117"/>
        <v/>
      </c>
      <c r="P492" s="52" t="str">
        <f t="shared" si="118"/>
        <v>II33</v>
      </c>
      <c r="Q492" s="231" t="str">
        <f t="shared" si="125"/>
        <v>199</v>
      </c>
      <c r="R492" s="224">
        <f t="shared" si="126"/>
        <v>175.33333333333334</v>
      </c>
      <c r="S492" s="52">
        <f t="shared" si="119"/>
        <v>140</v>
      </c>
      <c r="T492" s="221">
        <f t="shared" ca="1" si="120"/>
        <v>3.93</v>
      </c>
      <c r="U492" s="221" t="str">
        <f t="shared" si="121"/>
        <v/>
      </c>
      <c r="V492" s="220" t="str">
        <f t="array" ref="V492">INDEX(P:P,MAX(U$3:U492))</f>
        <v>II#3MTR</v>
      </c>
      <c r="W492" s="220" t="str">
        <f t="shared" ca="1" si="122"/>
        <v/>
      </c>
      <c r="X492" s="220">
        <f t="shared" si="123"/>
        <v>11.4</v>
      </c>
      <c r="Y492" s="220">
        <f t="shared" si="112"/>
        <v>0</v>
      </c>
      <c r="AA492" s="220" t="str">
        <f t="shared" si="113"/>
        <v>彰南</v>
      </c>
      <c r="AB492" s="220" t="s">
        <v>2337</v>
      </c>
      <c r="AC492" s="220" t="str">
        <f t="shared" si="124"/>
        <v>天祥線</v>
      </c>
      <c r="BB492" s="514" t="s">
        <v>2428</v>
      </c>
      <c r="BC492" s="514">
        <v>1051</v>
      </c>
      <c r="BD492" s="514">
        <v>2</v>
      </c>
      <c r="BE492" s="514">
        <v>1053</v>
      </c>
      <c r="BG492" s="229" t="s">
        <v>8694</v>
      </c>
      <c r="BH492" s="230" t="s">
        <v>8702</v>
      </c>
      <c r="BI492" t="s">
        <v>2337</v>
      </c>
      <c r="BJ492" t="s">
        <v>2335</v>
      </c>
    </row>
    <row r="493" spans="1:62">
      <c r="A493" s="229" t="s">
        <v>51</v>
      </c>
      <c r="B493" s="230" t="s">
        <v>570</v>
      </c>
      <c r="C493" s="230" t="s">
        <v>945</v>
      </c>
      <c r="D493" s="229" t="s">
        <v>835</v>
      </c>
      <c r="E493" s="229" t="s">
        <v>925</v>
      </c>
      <c r="F493" s="229" t="s">
        <v>839</v>
      </c>
      <c r="G493" s="229" t="s">
        <v>796</v>
      </c>
      <c r="H493" s="229" t="s">
        <v>804</v>
      </c>
      <c r="I493" s="229" t="s">
        <v>7595</v>
      </c>
      <c r="J493" s="231" t="s">
        <v>931</v>
      </c>
      <c r="K493" s="231" t="s">
        <v>7056</v>
      </c>
      <c r="L493" s="220" t="str">
        <f t="shared" si="114"/>
        <v>II21</v>
      </c>
      <c r="M493" s="220" t="str">
        <f t="shared" si="115"/>
        <v/>
      </c>
      <c r="N493" s="220" t="str">
        <f t="shared" si="116"/>
        <v/>
      </c>
      <c r="O493" s="220" t="str">
        <f t="shared" si="117"/>
        <v/>
      </c>
      <c r="P493" s="52" t="str">
        <f t="shared" si="118"/>
        <v>II21</v>
      </c>
      <c r="Q493" s="231" t="str">
        <f t="shared" si="125"/>
        <v>36</v>
      </c>
      <c r="R493" s="224">
        <f t="shared" si="126"/>
        <v>24.333333333333332</v>
      </c>
      <c r="S493" s="52">
        <f t="shared" si="119"/>
        <v>17</v>
      </c>
      <c r="T493" s="221">
        <f t="shared" ca="1" si="120"/>
        <v>0.71</v>
      </c>
      <c r="U493" s="221" t="str">
        <f t="shared" si="121"/>
        <v/>
      </c>
      <c r="V493" s="220" t="str">
        <f t="array" ref="V493">INDEX(P:P,MAX(U$3:U493))</f>
        <v>II#3MTR</v>
      </c>
      <c r="W493" s="220" t="str">
        <f t="shared" ca="1" si="122"/>
        <v/>
      </c>
      <c r="X493" s="220">
        <f t="shared" si="123"/>
        <v>11.4</v>
      </c>
      <c r="Y493" s="220">
        <f t="shared" si="112"/>
        <v>0</v>
      </c>
      <c r="AA493" s="220" t="str">
        <f t="shared" si="113"/>
        <v>彰南</v>
      </c>
      <c r="AB493" s="220" t="s">
        <v>2338</v>
      </c>
      <c r="AC493" s="220" t="str">
        <f t="shared" si="124"/>
        <v>南瑤線</v>
      </c>
      <c r="BB493" s="514" t="s">
        <v>3261</v>
      </c>
      <c r="BC493" s="514" t="s">
        <v>85</v>
      </c>
      <c r="BD493" s="514" t="s">
        <v>85</v>
      </c>
      <c r="BE493" s="514">
        <v>0</v>
      </c>
      <c r="BG493" s="229" t="s">
        <v>8694</v>
      </c>
      <c r="BH493" s="230" t="s">
        <v>8703</v>
      </c>
      <c r="BI493" t="s">
        <v>2338</v>
      </c>
      <c r="BJ493" t="s">
        <v>2335</v>
      </c>
    </row>
    <row r="494" spans="1:62">
      <c r="A494" s="229" t="s">
        <v>51</v>
      </c>
      <c r="B494" s="230" t="s">
        <v>571</v>
      </c>
      <c r="C494" s="230" t="s">
        <v>1009</v>
      </c>
      <c r="D494" s="229" t="s">
        <v>832</v>
      </c>
      <c r="E494" s="229" t="s">
        <v>843</v>
      </c>
      <c r="F494" s="229" t="s">
        <v>832</v>
      </c>
      <c r="G494" s="229" t="s">
        <v>889</v>
      </c>
      <c r="H494" s="229" t="s">
        <v>832</v>
      </c>
      <c r="I494" s="229" t="s">
        <v>1009</v>
      </c>
      <c r="J494" s="231" t="s">
        <v>794</v>
      </c>
      <c r="K494" s="231" t="s">
        <v>7498</v>
      </c>
      <c r="L494" s="220" t="str">
        <f t="shared" si="114"/>
        <v>II29</v>
      </c>
      <c r="M494" s="220" t="str">
        <f t="shared" si="115"/>
        <v/>
      </c>
      <c r="N494" s="220" t="str">
        <f t="shared" si="116"/>
        <v/>
      </c>
      <c r="O494" s="220" t="str">
        <f t="shared" si="117"/>
        <v/>
      </c>
      <c r="P494" s="52" t="str">
        <f t="shared" si="118"/>
        <v>II29</v>
      </c>
      <c r="Q494" s="231" t="str">
        <f t="shared" si="125"/>
        <v>59</v>
      </c>
      <c r="R494" s="224">
        <f t="shared" si="126"/>
        <v>54</v>
      </c>
      <c r="S494" s="52">
        <f t="shared" si="119"/>
        <v>46</v>
      </c>
      <c r="T494" s="221">
        <f t="shared" ca="1" si="120"/>
        <v>1.1599999999999999</v>
      </c>
      <c r="U494" s="221" t="str">
        <f t="shared" si="121"/>
        <v/>
      </c>
      <c r="V494" s="220" t="str">
        <f t="array" ref="V494">INDEX(P:P,MAX(U$3:U494))</f>
        <v>II#3MTR</v>
      </c>
      <c r="W494" s="220" t="str">
        <f t="shared" ca="1" si="122"/>
        <v/>
      </c>
      <c r="X494" s="220">
        <f t="shared" si="123"/>
        <v>11.4</v>
      </c>
      <c r="Y494" s="220">
        <f t="shared" si="112"/>
        <v>0</v>
      </c>
      <c r="AA494" s="220" t="str">
        <f t="shared" si="113"/>
        <v>彰南</v>
      </c>
      <c r="AB494" s="220" t="s">
        <v>2339</v>
      </c>
      <c r="AC494" s="220" t="str">
        <f t="shared" si="124"/>
        <v>口庄線</v>
      </c>
      <c r="BB494" s="514" t="s">
        <v>2438</v>
      </c>
      <c r="BC494" s="514">
        <v>2329</v>
      </c>
      <c r="BD494" s="514">
        <v>1</v>
      </c>
      <c r="BE494" s="514">
        <v>2330</v>
      </c>
      <c r="BG494" s="229" t="s">
        <v>51</v>
      </c>
      <c r="BH494" s="230" t="s">
        <v>8704</v>
      </c>
      <c r="BI494" t="s">
        <v>2339</v>
      </c>
      <c r="BJ494" t="s">
        <v>2335</v>
      </c>
    </row>
    <row r="495" spans="1:62">
      <c r="A495" s="229" t="s">
        <v>51</v>
      </c>
      <c r="B495" s="230" t="s">
        <v>572</v>
      </c>
      <c r="C495" s="230" t="s">
        <v>878</v>
      </c>
      <c r="D495" s="229" t="s">
        <v>5791</v>
      </c>
      <c r="E495" s="229" t="s">
        <v>922</v>
      </c>
      <c r="F495" s="229" t="s">
        <v>859</v>
      </c>
      <c r="G495" s="229" t="s">
        <v>7596</v>
      </c>
      <c r="H495" s="229" t="s">
        <v>7421</v>
      </c>
      <c r="I495" s="229" t="s">
        <v>922</v>
      </c>
      <c r="J495" s="231" t="s">
        <v>6297</v>
      </c>
      <c r="K495" s="231" t="s">
        <v>859</v>
      </c>
      <c r="L495" s="220" t="str">
        <f t="shared" si="114"/>
        <v>II23</v>
      </c>
      <c r="M495" s="220" t="str">
        <f t="shared" si="115"/>
        <v/>
      </c>
      <c r="N495" s="220" t="str">
        <f t="shared" si="116"/>
        <v/>
      </c>
      <c r="O495" s="220" t="str">
        <f t="shared" si="117"/>
        <v/>
      </c>
      <c r="P495" s="52" t="str">
        <f t="shared" si="118"/>
        <v>II23</v>
      </c>
      <c r="Q495" s="231" t="str">
        <f t="shared" si="125"/>
        <v>76</v>
      </c>
      <c r="R495" s="224">
        <f t="shared" si="126"/>
        <v>67.333333333333329</v>
      </c>
      <c r="S495" s="52">
        <f t="shared" si="119"/>
        <v>53</v>
      </c>
      <c r="T495" s="221">
        <f t="shared" ca="1" si="120"/>
        <v>1.5</v>
      </c>
      <c r="U495" s="221" t="str">
        <f t="shared" si="121"/>
        <v/>
      </c>
      <c r="V495" s="220" t="str">
        <f t="array" ref="V495">INDEX(P:P,MAX(U$3:U495))</f>
        <v>II#3MTR</v>
      </c>
      <c r="W495" s="220" t="str">
        <f t="shared" ca="1" si="122"/>
        <v/>
      </c>
      <c r="X495" s="220">
        <f t="shared" si="123"/>
        <v>11.4</v>
      </c>
      <c r="Y495" s="220">
        <f t="shared" si="112"/>
        <v>0</v>
      </c>
      <c r="AA495" s="220" t="str">
        <f t="shared" si="113"/>
        <v>彰南</v>
      </c>
      <c r="AB495" s="220" t="s">
        <v>2340</v>
      </c>
      <c r="AC495" s="220" t="str">
        <f t="shared" si="124"/>
        <v>田寮線</v>
      </c>
      <c r="BB495" s="514" t="s">
        <v>2437</v>
      </c>
      <c r="BC495" s="514">
        <v>2608</v>
      </c>
      <c r="BD495" s="514">
        <v>1</v>
      </c>
      <c r="BE495" s="514">
        <v>2609</v>
      </c>
      <c r="BG495" s="229" t="s">
        <v>8690</v>
      </c>
      <c r="BH495" s="230" t="s">
        <v>8705</v>
      </c>
      <c r="BI495" t="s">
        <v>2340</v>
      </c>
      <c r="BJ495" t="s">
        <v>2335</v>
      </c>
    </row>
    <row r="496" spans="1:62">
      <c r="A496" s="229" t="s">
        <v>7597</v>
      </c>
      <c r="B496" s="230" t="s">
        <v>425</v>
      </c>
      <c r="C496" s="230" t="s">
        <v>4714</v>
      </c>
      <c r="D496" s="229" t="s">
        <v>7302</v>
      </c>
      <c r="E496" s="229" t="s">
        <v>2954</v>
      </c>
      <c r="F496" s="229" t="s">
        <v>832</v>
      </c>
      <c r="G496" s="229" t="s">
        <v>3140</v>
      </c>
      <c r="H496" s="229" t="s">
        <v>804</v>
      </c>
      <c r="I496" s="229" t="s">
        <v>4714</v>
      </c>
      <c r="J496" s="231" t="s">
        <v>358</v>
      </c>
      <c r="K496" s="231" t="s">
        <v>358</v>
      </c>
      <c r="L496" s="220" t="str">
        <f t="shared" si="114"/>
        <v>IJ#1MTR</v>
      </c>
      <c r="M496" s="220" t="str">
        <f t="shared" si="115"/>
        <v/>
      </c>
      <c r="N496" s="220" t="str">
        <f t="shared" si="116"/>
        <v>IJ#1MTR</v>
      </c>
      <c r="O496" s="220" t="str">
        <f t="shared" si="117"/>
        <v/>
      </c>
      <c r="P496" s="52" t="str">
        <f t="shared" si="118"/>
        <v>IJ#1MTR</v>
      </c>
      <c r="Q496" s="231" t="str">
        <f t="shared" si="125"/>
        <v>737</v>
      </c>
      <c r="R496" s="224">
        <f t="shared" si="126"/>
        <v>714.33333333333337</v>
      </c>
      <c r="S496" s="52">
        <f t="shared" si="119"/>
        <v>696</v>
      </c>
      <c r="T496" s="221">
        <f t="shared" ca="1" si="120"/>
        <v>14.55</v>
      </c>
      <c r="U496" s="221">
        <f t="shared" si="121"/>
        <v>496</v>
      </c>
      <c r="V496" s="220" t="str">
        <f t="array" ref="V496">INDEX(P:P,MAX(U$3:U496))</f>
        <v>IJ#1MTR</v>
      </c>
      <c r="W496" s="220">
        <f t="shared" ca="1" si="122"/>
        <v>25</v>
      </c>
      <c r="X496" s="220" t="str">
        <f t="shared" si="123"/>
        <v/>
      </c>
      <c r="Y496" s="220">
        <f t="shared" si="112"/>
        <v>0</v>
      </c>
      <c r="AA496" s="220" t="str">
        <f t="shared" si="113"/>
        <v>和美</v>
      </c>
      <c r="AB496" s="220" t="s">
        <v>2341</v>
      </c>
      <c r="AC496" s="220" t="str">
        <f t="shared" si="124"/>
        <v>#1M</v>
      </c>
      <c r="BB496" s="514" t="s">
        <v>2436</v>
      </c>
      <c r="BC496" s="514">
        <v>496</v>
      </c>
      <c r="BD496" s="514">
        <v>1</v>
      </c>
      <c r="BE496" s="514">
        <v>497</v>
      </c>
      <c r="BG496" s="229" t="s">
        <v>8706</v>
      </c>
      <c r="BH496" s="230" t="s">
        <v>8591</v>
      </c>
      <c r="BI496" t="s">
        <v>2341</v>
      </c>
      <c r="BJ496" t="s">
        <v>2341</v>
      </c>
    </row>
    <row r="497" spans="1:62">
      <c r="A497" s="229" t="s">
        <v>7597</v>
      </c>
      <c r="B497" s="230" t="s">
        <v>573</v>
      </c>
      <c r="C497" s="230" t="s">
        <v>7152</v>
      </c>
      <c r="D497" s="229" t="s">
        <v>804</v>
      </c>
      <c r="E497" s="229" t="s">
        <v>6217</v>
      </c>
      <c r="F497" s="229" t="s">
        <v>7598</v>
      </c>
      <c r="G497" s="229" t="s">
        <v>7182</v>
      </c>
      <c r="H497" s="229" t="s">
        <v>832</v>
      </c>
      <c r="I497" s="229" t="s">
        <v>988</v>
      </c>
      <c r="J497" s="231" t="s">
        <v>7599</v>
      </c>
      <c r="K497" s="231" t="s">
        <v>845</v>
      </c>
      <c r="L497" s="220" t="str">
        <f t="shared" si="114"/>
        <v>IJ23</v>
      </c>
      <c r="M497" s="220" t="str">
        <f t="shared" si="115"/>
        <v/>
      </c>
      <c r="N497" s="220" t="str">
        <f t="shared" si="116"/>
        <v/>
      </c>
      <c r="O497" s="220" t="str">
        <f t="shared" si="117"/>
        <v/>
      </c>
      <c r="P497" s="52" t="str">
        <f t="shared" si="118"/>
        <v>IJ23</v>
      </c>
      <c r="Q497" s="231" t="str">
        <f t="shared" si="125"/>
        <v>164</v>
      </c>
      <c r="R497" s="224">
        <f t="shared" si="126"/>
        <v>150.33333333333334</v>
      </c>
      <c r="S497" s="52">
        <f t="shared" si="119"/>
        <v>140</v>
      </c>
      <c r="T497" s="221">
        <f t="shared" ca="1" si="120"/>
        <v>3.24</v>
      </c>
      <c r="U497" s="221" t="str">
        <f t="shared" si="121"/>
        <v/>
      </c>
      <c r="V497" s="220" t="str">
        <f t="array" ref="V497">INDEX(P:P,MAX(U$3:U497))</f>
        <v>IJ#1MTR</v>
      </c>
      <c r="W497" s="220" t="str">
        <f t="shared" ca="1" si="122"/>
        <v/>
      </c>
      <c r="X497" s="220">
        <f t="shared" si="123"/>
        <v>11.4</v>
      </c>
      <c r="Y497" s="220">
        <f t="shared" si="112"/>
        <v>0</v>
      </c>
      <c r="AA497" s="220" t="str">
        <f t="shared" si="113"/>
        <v>和美</v>
      </c>
      <c r="AB497" s="220" t="s">
        <v>2342</v>
      </c>
      <c r="AC497" s="220" t="str">
        <f t="shared" si="124"/>
        <v>和美線</v>
      </c>
      <c r="BB497" s="514" t="s">
        <v>2435</v>
      </c>
      <c r="BC497" s="514">
        <v>2573</v>
      </c>
      <c r="BD497" s="514" t="s">
        <v>85</v>
      </c>
      <c r="BE497" s="514">
        <v>2573</v>
      </c>
      <c r="BG497" s="229" t="s">
        <v>8707</v>
      </c>
      <c r="BH497" s="230" t="s">
        <v>8708</v>
      </c>
      <c r="BI497" t="s">
        <v>2342</v>
      </c>
      <c r="BJ497" t="s">
        <v>2341</v>
      </c>
    </row>
    <row r="498" spans="1:62">
      <c r="A498" s="229" t="s">
        <v>7597</v>
      </c>
      <c r="B498" s="230" t="s">
        <v>7600</v>
      </c>
      <c r="C498" s="230" t="s">
        <v>6765</v>
      </c>
      <c r="D498" s="229" t="s">
        <v>7149</v>
      </c>
      <c r="E498" s="229" t="s">
        <v>928</v>
      </c>
      <c r="F498" s="229" t="s">
        <v>5791</v>
      </c>
      <c r="G498" s="229" t="s">
        <v>837</v>
      </c>
      <c r="H498" s="229" t="s">
        <v>7601</v>
      </c>
      <c r="I498" s="229" t="s">
        <v>928</v>
      </c>
      <c r="J498" s="231" t="s">
        <v>868</v>
      </c>
      <c r="K498" s="231" t="s">
        <v>5650</v>
      </c>
      <c r="L498" s="220" t="str">
        <f t="shared" si="114"/>
        <v>IJ33</v>
      </c>
      <c r="M498" s="220" t="str">
        <f t="shared" si="115"/>
        <v/>
      </c>
      <c r="N498" s="220" t="str">
        <f t="shared" si="116"/>
        <v/>
      </c>
      <c r="O498" s="220" t="str">
        <f t="shared" si="117"/>
        <v/>
      </c>
      <c r="P498" s="52" t="str">
        <f t="shared" si="118"/>
        <v>IJ33</v>
      </c>
      <c r="Q498" s="231" t="str">
        <f t="shared" si="125"/>
        <v>154</v>
      </c>
      <c r="R498" s="224">
        <f t="shared" si="126"/>
        <v>148.66666666666666</v>
      </c>
      <c r="S498" s="52">
        <f t="shared" si="119"/>
        <v>143</v>
      </c>
      <c r="T498" s="221">
        <f t="shared" ca="1" si="120"/>
        <v>3.04</v>
      </c>
      <c r="U498" s="221" t="str">
        <f t="shared" si="121"/>
        <v/>
      </c>
      <c r="V498" s="220" t="str">
        <f t="array" ref="V498">INDEX(P:P,MAX(U$3:U498))</f>
        <v>IJ#1MTR</v>
      </c>
      <c r="W498" s="220" t="str">
        <f t="shared" ca="1" si="122"/>
        <v/>
      </c>
      <c r="X498" s="220">
        <f t="shared" si="123"/>
        <v>11.4</v>
      </c>
      <c r="Y498" s="220">
        <f t="shared" si="112"/>
        <v>0</v>
      </c>
      <c r="AA498" s="220" t="str">
        <f t="shared" si="113"/>
        <v>和美</v>
      </c>
      <c r="AB498" s="220" t="s">
        <v>2343</v>
      </c>
      <c r="AC498" s="220" t="str">
        <f t="shared" si="124"/>
        <v>和崁線</v>
      </c>
      <c r="BB498" s="514" t="s">
        <v>2434</v>
      </c>
      <c r="BC498" s="514">
        <v>121</v>
      </c>
      <c r="BD498" s="514">
        <v>1</v>
      </c>
      <c r="BE498" s="514">
        <v>122</v>
      </c>
      <c r="BG498" s="229" t="s">
        <v>8706</v>
      </c>
      <c r="BH498" s="230" t="s">
        <v>8709</v>
      </c>
      <c r="BI498" t="s">
        <v>2343</v>
      </c>
      <c r="BJ498" t="s">
        <v>2341</v>
      </c>
    </row>
    <row r="499" spans="1:62">
      <c r="A499" s="229" t="s">
        <v>7597</v>
      </c>
      <c r="B499" s="230" t="s">
        <v>574</v>
      </c>
      <c r="C499" s="230" t="s">
        <v>914</v>
      </c>
      <c r="D499" s="229" t="s">
        <v>832</v>
      </c>
      <c r="E499" s="229" t="s">
        <v>875</v>
      </c>
      <c r="F499" s="229" t="s">
        <v>804</v>
      </c>
      <c r="G499" s="229" t="s">
        <v>1004</v>
      </c>
      <c r="H499" s="229" t="s">
        <v>7207</v>
      </c>
      <c r="I499" s="229" t="s">
        <v>875</v>
      </c>
      <c r="J499" s="231" t="s">
        <v>6100</v>
      </c>
      <c r="K499" s="231" t="s">
        <v>832</v>
      </c>
      <c r="L499" s="220" t="str">
        <f t="shared" si="114"/>
        <v>IJ30</v>
      </c>
      <c r="M499" s="220" t="str">
        <f t="shared" si="115"/>
        <v/>
      </c>
      <c r="N499" s="220" t="str">
        <f t="shared" si="116"/>
        <v/>
      </c>
      <c r="O499" s="220" t="str">
        <f t="shared" si="117"/>
        <v/>
      </c>
      <c r="P499" s="52" t="str">
        <f t="shared" si="118"/>
        <v>IJ30</v>
      </c>
      <c r="Q499" s="231" t="str">
        <f t="shared" si="125"/>
        <v>227</v>
      </c>
      <c r="R499" s="224">
        <f t="shared" si="126"/>
        <v>218</v>
      </c>
      <c r="S499" s="52">
        <f t="shared" si="119"/>
        <v>206</v>
      </c>
      <c r="T499" s="221">
        <f t="shared" ca="1" si="120"/>
        <v>4.4800000000000004</v>
      </c>
      <c r="U499" s="221" t="str">
        <f t="shared" si="121"/>
        <v/>
      </c>
      <c r="V499" s="220" t="str">
        <f t="array" ref="V499">INDEX(P:P,MAX(U$3:U499))</f>
        <v>IJ#1MTR</v>
      </c>
      <c r="W499" s="220" t="str">
        <f t="shared" ca="1" si="122"/>
        <v/>
      </c>
      <c r="X499" s="220">
        <f t="shared" si="123"/>
        <v>11.4</v>
      </c>
      <c r="Y499" s="220">
        <f t="shared" si="112"/>
        <v>0</v>
      </c>
      <c r="AA499" s="220" t="str">
        <f t="shared" si="113"/>
        <v>和美</v>
      </c>
      <c r="AB499" s="220" t="s">
        <v>2344</v>
      </c>
      <c r="AC499" s="220" t="str">
        <f t="shared" si="124"/>
        <v>汴頭線</v>
      </c>
      <c r="BB499" s="514" t="s">
        <v>2433</v>
      </c>
      <c r="BC499" s="514">
        <v>3050</v>
      </c>
      <c r="BD499" s="514">
        <v>4</v>
      </c>
      <c r="BE499" s="514">
        <v>3054</v>
      </c>
      <c r="BG499" s="229" t="s">
        <v>8707</v>
      </c>
      <c r="BH499" s="230" t="s">
        <v>8710</v>
      </c>
      <c r="BI499" t="s">
        <v>2344</v>
      </c>
      <c r="BJ499" t="s">
        <v>2341</v>
      </c>
    </row>
    <row r="500" spans="1:62">
      <c r="A500" s="229" t="s">
        <v>7597</v>
      </c>
      <c r="B500" s="230" t="s">
        <v>575</v>
      </c>
      <c r="C500" s="230" t="s">
        <v>6956</v>
      </c>
      <c r="D500" s="229" t="s">
        <v>850</v>
      </c>
      <c r="E500" s="229" t="s">
        <v>5946</v>
      </c>
      <c r="F500" s="229" t="s">
        <v>5682</v>
      </c>
      <c r="G500" s="229" t="s">
        <v>985</v>
      </c>
      <c r="H500" s="229" t="s">
        <v>850</v>
      </c>
      <c r="I500" s="229" t="s">
        <v>985</v>
      </c>
      <c r="J500" s="231" t="s">
        <v>7602</v>
      </c>
      <c r="K500" s="231" t="s">
        <v>6190</v>
      </c>
      <c r="L500" s="220" t="str">
        <f t="shared" si="114"/>
        <v>IJ22</v>
      </c>
      <c r="M500" s="220" t="str">
        <f t="shared" si="115"/>
        <v/>
      </c>
      <c r="N500" s="220" t="str">
        <f t="shared" si="116"/>
        <v/>
      </c>
      <c r="O500" s="220" t="str">
        <f t="shared" si="117"/>
        <v/>
      </c>
      <c r="P500" s="52" t="str">
        <f t="shared" si="118"/>
        <v>IJ22</v>
      </c>
      <c r="Q500" s="231" t="str">
        <f t="shared" si="125"/>
        <v>215</v>
      </c>
      <c r="R500" s="224">
        <f t="shared" si="126"/>
        <v>185</v>
      </c>
      <c r="S500" s="52">
        <f t="shared" si="119"/>
        <v>152</v>
      </c>
      <c r="T500" s="221">
        <f t="shared" ca="1" si="120"/>
        <v>4.25</v>
      </c>
      <c r="U500" s="221" t="str">
        <f t="shared" si="121"/>
        <v/>
      </c>
      <c r="V500" s="220" t="str">
        <f t="array" ref="V500">INDEX(P:P,MAX(U$3:U500))</f>
        <v>IJ#1MTR</v>
      </c>
      <c r="W500" s="220" t="str">
        <f t="shared" ca="1" si="122"/>
        <v/>
      </c>
      <c r="X500" s="220">
        <f t="shared" si="123"/>
        <v>11.4</v>
      </c>
      <c r="Y500" s="220">
        <f t="shared" si="112"/>
        <v>0</v>
      </c>
      <c r="AA500" s="220" t="str">
        <f t="shared" si="113"/>
        <v>和美</v>
      </c>
      <c r="AB500" s="220" t="s">
        <v>2345</v>
      </c>
      <c r="AC500" s="220" t="str">
        <f t="shared" si="124"/>
        <v>和西線</v>
      </c>
      <c r="BB500" s="514" t="s">
        <v>2440</v>
      </c>
      <c r="BC500" s="514">
        <v>40</v>
      </c>
      <c r="BD500" s="514">
        <v>14</v>
      </c>
      <c r="BE500" s="514">
        <v>54</v>
      </c>
      <c r="BG500" s="229" t="s">
        <v>8707</v>
      </c>
      <c r="BH500" s="230" t="s">
        <v>8711</v>
      </c>
      <c r="BI500" t="s">
        <v>2345</v>
      </c>
      <c r="BJ500" t="s">
        <v>2341</v>
      </c>
    </row>
    <row r="501" spans="1:62">
      <c r="A501" s="229" t="s">
        <v>7603</v>
      </c>
      <c r="B501" s="230" t="s">
        <v>576</v>
      </c>
      <c r="C501" s="230" t="s">
        <v>7604</v>
      </c>
      <c r="D501" s="229" t="s">
        <v>7605</v>
      </c>
      <c r="E501" s="229" t="s">
        <v>967</v>
      </c>
      <c r="F501" s="229" t="s">
        <v>6179</v>
      </c>
      <c r="G501" s="229" t="s">
        <v>868</v>
      </c>
      <c r="H501" s="229" t="s">
        <v>850</v>
      </c>
      <c r="I501" s="229" t="s">
        <v>934</v>
      </c>
      <c r="J501" s="231" t="s">
        <v>7379</v>
      </c>
      <c r="K501" s="231" t="s">
        <v>5949</v>
      </c>
      <c r="L501" s="220" t="str">
        <f t="shared" si="114"/>
        <v>IJ34</v>
      </c>
      <c r="M501" s="220" t="str">
        <f t="shared" si="115"/>
        <v/>
      </c>
      <c r="N501" s="220" t="str">
        <f t="shared" si="116"/>
        <v/>
      </c>
      <c r="O501" s="220" t="str">
        <f t="shared" si="117"/>
        <v/>
      </c>
      <c r="P501" s="52" t="str">
        <f t="shared" si="118"/>
        <v>IJ34</v>
      </c>
      <c r="Q501" s="231" t="str">
        <f t="shared" si="125"/>
        <v>77</v>
      </c>
      <c r="R501" s="224">
        <f t="shared" si="126"/>
        <v>63.333333333333336</v>
      </c>
      <c r="S501" s="52">
        <f t="shared" si="119"/>
        <v>45</v>
      </c>
      <c r="T501" s="221">
        <f t="shared" ca="1" si="120"/>
        <v>1.52</v>
      </c>
      <c r="U501" s="221" t="str">
        <f t="shared" si="121"/>
        <v/>
      </c>
      <c r="V501" s="220" t="str">
        <f t="array" ref="V501">INDEX(P:P,MAX(U$3:U501))</f>
        <v>IJ#1MTR</v>
      </c>
      <c r="W501" s="220" t="str">
        <f t="shared" ca="1" si="122"/>
        <v/>
      </c>
      <c r="X501" s="220">
        <f t="shared" si="123"/>
        <v>11.4</v>
      </c>
      <c r="Y501" s="220">
        <f t="shared" si="112"/>
        <v>0</v>
      </c>
      <c r="AA501" s="220" t="str">
        <f t="shared" si="113"/>
        <v>和美</v>
      </c>
      <c r="AB501" s="220" t="s">
        <v>2346</v>
      </c>
      <c r="AC501" s="220" t="str">
        <f t="shared" si="124"/>
        <v>和張線</v>
      </c>
      <c r="BB501" s="514" t="s">
        <v>2441</v>
      </c>
      <c r="BC501" s="514">
        <v>5</v>
      </c>
      <c r="BD501" s="514">
        <v>5</v>
      </c>
      <c r="BE501" s="514">
        <v>10</v>
      </c>
      <c r="BG501" s="229" t="s">
        <v>8706</v>
      </c>
      <c r="BH501" s="230" t="s">
        <v>8712</v>
      </c>
      <c r="BI501" t="s">
        <v>2346</v>
      </c>
      <c r="BJ501" t="s">
        <v>2341</v>
      </c>
    </row>
    <row r="502" spans="1:62">
      <c r="A502" s="229" t="s">
        <v>7597</v>
      </c>
      <c r="B502" s="230" t="s">
        <v>427</v>
      </c>
      <c r="C502" s="230" t="s">
        <v>3188</v>
      </c>
      <c r="D502" s="229" t="s">
        <v>804</v>
      </c>
      <c r="E502" s="229" t="s">
        <v>7606</v>
      </c>
      <c r="F502" s="229" t="s">
        <v>7607</v>
      </c>
      <c r="G502" s="229" t="s">
        <v>4715</v>
      </c>
      <c r="H502" s="229" t="s">
        <v>846</v>
      </c>
      <c r="I502" s="229" t="s">
        <v>3151</v>
      </c>
      <c r="J502" s="231" t="s">
        <v>358</v>
      </c>
      <c r="K502" s="231" t="s">
        <v>358</v>
      </c>
      <c r="L502" s="220" t="str">
        <f t="shared" si="114"/>
        <v>IJ#2MTR</v>
      </c>
      <c r="M502" s="220" t="str">
        <f t="shared" si="115"/>
        <v/>
      </c>
      <c r="N502" s="220" t="str">
        <f t="shared" si="116"/>
        <v>IJ#2MTR</v>
      </c>
      <c r="O502" s="220" t="str">
        <f t="shared" si="117"/>
        <v/>
      </c>
      <c r="P502" s="52" t="str">
        <f t="shared" si="118"/>
        <v>IJ#2MTR</v>
      </c>
      <c r="Q502" s="231" t="str">
        <f t="shared" si="125"/>
        <v>869</v>
      </c>
      <c r="R502" s="224">
        <f t="shared" si="126"/>
        <v>850.33333333333337</v>
      </c>
      <c r="S502" s="52">
        <f t="shared" si="119"/>
        <v>827</v>
      </c>
      <c r="T502" s="221">
        <f t="shared" ca="1" si="120"/>
        <v>17.16</v>
      </c>
      <c r="U502" s="221">
        <f t="shared" si="121"/>
        <v>502</v>
      </c>
      <c r="V502" s="220" t="str">
        <f t="array" ref="V502">INDEX(P:P,MAX(U$3:U502))</f>
        <v>IJ#2MTR</v>
      </c>
      <c r="W502" s="220">
        <f t="shared" ca="1" si="122"/>
        <v>25</v>
      </c>
      <c r="X502" s="220" t="str">
        <f t="shared" si="123"/>
        <v/>
      </c>
      <c r="Y502" s="220">
        <f t="shared" si="112"/>
        <v>0</v>
      </c>
      <c r="AA502" s="220" t="str">
        <f t="shared" si="113"/>
        <v>和美</v>
      </c>
      <c r="AB502" s="220" t="s">
        <v>2347</v>
      </c>
      <c r="BB502" s="514" t="s">
        <v>2442</v>
      </c>
      <c r="BC502" s="514">
        <v>30</v>
      </c>
      <c r="BD502" s="514">
        <v>4</v>
      </c>
      <c r="BE502" s="514">
        <v>34</v>
      </c>
      <c r="BG502" s="229" t="s">
        <v>8707</v>
      </c>
      <c r="BH502" s="230" t="s">
        <v>427</v>
      </c>
      <c r="BI502" t="s">
        <v>2347</v>
      </c>
      <c r="BJ502" t="s">
        <v>2347</v>
      </c>
    </row>
    <row r="503" spans="1:62">
      <c r="A503" s="229" t="s">
        <v>7597</v>
      </c>
      <c r="B503" s="230" t="s">
        <v>577</v>
      </c>
      <c r="C503" s="230" t="s">
        <v>818</v>
      </c>
      <c r="D503" s="229" t="s">
        <v>5685</v>
      </c>
      <c r="E503" s="229" t="s">
        <v>943</v>
      </c>
      <c r="F503" s="229" t="s">
        <v>846</v>
      </c>
      <c r="G503" s="229" t="s">
        <v>995</v>
      </c>
      <c r="H503" s="229" t="s">
        <v>845</v>
      </c>
      <c r="I503" s="229" t="s">
        <v>995</v>
      </c>
      <c r="J503" s="231" t="s">
        <v>7140</v>
      </c>
      <c r="K503" s="231" t="s">
        <v>5949</v>
      </c>
      <c r="L503" s="220" t="str">
        <f t="shared" si="114"/>
        <v>IJ26</v>
      </c>
      <c r="M503" s="220" t="str">
        <f t="shared" si="115"/>
        <v/>
      </c>
      <c r="N503" s="220" t="str">
        <f t="shared" si="116"/>
        <v/>
      </c>
      <c r="O503" s="220" t="str">
        <f t="shared" si="117"/>
        <v/>
      </c>
      <c r="P503" s="52" t="str">
        <f t="shared" si="118"/>
        <v>IJ26</v>
      </c>
      <c r="Q503" s="231" t="str">
        <f t="shared" si="125"/>
        <v>132</v>
      </c>
      <c r="R503" s="224">
        <f t="shared" si="126"/>
        <v>110.33333333333333</v>
      </c>
      <c r="S503" s="52">
        <f t="shared" si="119"/>
        <v>94</v>
      </c>
      <c r="T503" s="221">
        <f t="shared" ca="1" si="120"/>
        <v>2.61</v>
      </c>
      <c r="U503" s="221" t="str">
        <f t="shared" si="121"/>
        <v/>
      </c>
      <c r="V503" s="220" t="str">
        <f t="array" ref="V503">INDEX(P:P,MAX(U$3:U503))</f>
        <v>IJ#2MTR</v>
      </c>
      <c r="W503" s="220" t="str">
        <f t="shared" ca="1" si="122"/>
        <v/>
      </c>
      <c r="X503" s="220">
        <f t="shared" si="123"/>
        <v>11.4</v>
      </c>
      <c r="Y503" s="220">
        <f t="shared" si="112"/>
        <v>0</v>
      </c>
      <c r="AA503" s="220" t="str">
        <f t="shared" si="113"/>
        <v>和美</v>
      </c>
      <c r="AB503" s="220" t="s">
        <v>2348</v>
      </c>
      <c r="AC503" s="220" t="str">
        <f>LEFT(B503,3)</f>
        <v>和發線</v>
      </c>
      <c r="BB503" s="514" t="s">
        <v>2443</v>
      </c>
      <c r="BC503" s="514">
        <v>64</v>
      </c>
      <c r="BD503" s="514">
        <v>5</v>
      </c>
      <c r="BE503" s="514">
        <v>69</v>
      </c>
      <c r="BG503" s="229" t="s">
        <v>7597</v>
      </c>
      <c r="BH503" s="230" t="s">
        <v>577</v>
      </c>
      <c r="BI503" t="s">
        <v>2348</v>
      </c>
      <c r="BJ503" t="s">
        <v>2347</v>
      </c>
    </row>
    <row r="504" spans="1:62">
      <c r="A504" s="229" t="s">
        <v>7608</v>
      </c>
      <c r="B504" s="230" t="s">
        <v>7609</v>
      </c>
      <c r="C504" s="230" t="s">
        <v>7610</v>
      </c>
      <c r="D504" s="229" t="s">
        <v>5791</v>
      </c>
      <c r="E504" s="229" t="s">
        <v>7611</v>
      </c>
      <c r="F504" s="229" t="s">
        <v>6548</v>
      </c>
      <c r="G504" s="229" t="s">
        <v>813</v>
      </c>
      <c r="H504" s="229" t="s">
        <v>7141</v>
      </c>
      <c r="I504" s="229" t="s">
        <v>7300</v>
      </c>
      <c r="J504" s="231" t="s">
        <v>934</v>
      </c>
      <c r="K504" s="231" t="s">
        <v>7521</v>
      </c>
      <c r="L504" s="220" t="str">
        <f t="shared" si="114"/>
        <v>IJ28</v>
      </c>
      <c r="M504" s="220" t="str">
        <f t="shared" si="115"/>
        <v/>
      </c>
      <c r="N504" s="220" t="str">
        <f t="shared" si="116"/>
        <v/>
      </c>
      <c r="O504" s="220" t="str">
        <f t="shared" si="117"/>
        <v/>
      </c>
      <c r="P504" s="52" t="str">
        <f t="shared" si="118"/>
        <v>IJ28</v>
      </c>
      <c r="Q504" s="231" t="str">
        <f t="shared" si="125"/>
        <v>212</v>
      </c>
      <c r="R504" s="224">
        <f t="shared" si="126"/>
        <v>186.66666666666666</v>
      </c>
      <c r="S504" s="52">
        <f t="shared" si="119"/>
        <v>163</v>
      </c>
      <c r="T504" s="221">
        <f t="shared" ca="1" si="120"/>
        <v>4.1900000000000004</v>
      </c>
      <c r="U504" s="221" t="str">
        <f t="shared" si="121"/>
        <v/>
      </c>
      <c r="V504" s="220" t="str">
        <f t="array" ref="V504">INDEX(P:P,MAX(U$3:U504))</f>
        <v>IJ#2MTR</v>
      </c>
      <c r="W504" s="220" t="str">
        <f t="shared" ca="1" si="122"/>
        <v/>
      </c>
      <c r="X504" s="220">
        <f t="shared" si="123"/>
        <v>11.4</v>
      </c>
      <c r="Y504" s="220">
        <f t="shared" si="112"/>
        <v>0</v>
      </c>
      <c r="AA504" s="220" t="str">
        <f t="shared" si="113"/>
        <v>和美</v>
      </c>
      <c r="AB504" s="220" t="s">
        <v>2349</v>
      </c>
      <c r="AC504" s="220" t="str">
        <f>LEFT(B504,3)</f>
        <v>和南線</v>
      </c>
      <c r="BB504" s="514" t="s">
        <v>2444</v>
      </c>
      <c r="BC504" s="514">
        <v>15</v>
      </c>
      <c r="BD504" s="514">
        <v>6</v>
      </c>
      <c r="BE504" s="514">
        <v>21</v>
      </c>
      <c r="BG504" s="229" t="s">
        <v>8707</v>
      </c>
      <c r="BH504" s="230" t="s">
        <v>8713</v>
      </c>
      <c r="BI504" t="s">
        <v>2349</v>
      </c>
      <c r="BJ504" t="s">
        <v>2347</v>
      </c>
    </row>
    <row r="505" spans="1:62">
      <c r="A505" s="229" t="s">
        <v>7597</v>
      </c>
      <c r="B505" s="230" t="s">
        <v>578</v>
      </c>
      <c r="C505" s="230" t="s">
        <v>977</v>
      </c>
      <c r="D505" s="229" t="s">
        <v>7217</v>
      </c>
      <c r="E505" s="229" t="s">
        <v>7154</v>
      </c>
      <c r="F505" s="229" t="s">
        <v>5650</v>
      </c>
      <c r="G505" s="229" t="s">
        <v>1040</v>
      </c>
      <c r="H505" s="229" t="s">
        <v>5650</v>
      </c>
      <c r="I505" s="229" t="s">
        <v>7585</v>
      </c>
      <c r="J505" s="231" t="s">
        <v>7443</v>
      </c>
      <c r="K505" s="231" t="s">
        <v>7612</v>
      </c>
      <c r="L505" s="220" t="str">
        <f t="shared" si="114"/>
        <v>IJ20</v>
      </c>
      <c r="M505" s="220" t="str">
        <f t="shared" si="115"/>
        <v/>
      </c>
      <c r="N505" s="220" t="str">
        <f t="shared" si="116"/>
        <v/>
      </c>
      <c r="O505" s="220" t="str">
        <f t="shared" si="117"/>
        <v/>
      </c>
      <c r="P505" s="52" t="str">
        <f t="shared" si="118"/>
        <v>IJ20</v>
      </c>
      <c r="Q505" s="231" t="str">
        <f t="shared" si="125"/>
        <v>158</v>
      </c>
      <c r="R505" s="224">
        <f t="shared" si="126"/>
        <v>154.66666666666666</v>
      </c>
      <c r="S505" s="52">
        <f t="shared" si="119"/>
        <v>153</v>
      </c>
      <c r="T505" s="221">
        <f t="shared" ca="1" si="120"/>
        <v>3.12</v>
      </c>
      <c r="U505" s="221" t="str">
        <f t="shared" si="121"/>
        <v/>
      </c>
      <c r="V505" s="220" t="str">
        <f t="array" ref="V505">INDEX(P:P,MAX(U$3:U505))</f>
        <v>IJ#2MTR</v>
      </c>
      <c r="W505" s="220" t="str">
        <f t="shared" ca="1" si="122"/>
        <v/>
      </c>
      <c r="X505" s="220">
        <f t="shared" si="123"/>
        <v>11.4</v>
      </c>
      <c r="Y505" s="220">
        <f t="shared" si="112"/>
        <v>0</v>
      </c>
      <c r="AA505" s="220" t="str">
        <f t="shared" si="113"/>
        <v>和美</v>
      </c>
      <c r="AB505" s="220" t="s">
        <v>2350</v>
      </c>
      <c r="AC505" s="220" t="str">
        <f>LEFT(B505,3)</f>
        <v>和伸線</v>
      </c>
      <c r="BB505" s="514" t="s">
        <v>2445</v>
      </c>
      <c r="BC505" s="514">
        <v>5</v>
      </c>
      <c r="BD505" s="514">
        <v>17</v>
      </c>
      <c r="BE505" s="514">
        <v>22</v>
      </c>
      <c r="BG505" s="229" t="s">
        <v>8706</v>
      </c>
      <c r="BH505" s="230" t="s">
        <v>8714</v>
      </c>
      <c r="BI505" t="s">
        <v>2350</v>
      </c>
      <c r="BJ505" t="s">
        <v>2347</v>
      </c>
    </row>
    <row r="506" spans="1:62">
      <c r="A506" s="229" t="s">
        <v>7597</v>
      </c>
      <c r="B506" s="230" t="s">
        <v>579</v>
      </c>
      <c r="C506" s="230" t="s">
        <v>830</v>
      </c>
      <c r="D506" s="229" t="s">
        <v>797</v>
      </c>
      <c r="E506" s="229" t="s">
        <v>880</v>
      </c>
      <c r="F506" s="229" t="s">
        <v>797</v>
      </c>
      <c r="G506" s="229" t="s">
        <v>888</v>
      </c>
      <c r="H506" s="229" t="s">
        <v>832</v>
      </c>
      <c r="I506" s="229" t="s">
        <v>880</v>
      </c>
      <c r="J506" s="231" t="s">
        <v>836</v>
      </c>
      <c r="K506" s="231" t="s">
        <v>797</v>
      </c>
      <c r="L506" s="220" t="str">
        <f t="shared" si="114"/>
        <v>IJ29</v>
      </c>
      <c r="M506" s="220" t="str">
        <f t="shared" si="115"/>
        <v/>
      </c>
      <c r="N506" s="220" t="str">
        <f t="shared" si="116"/>
        <v/>
      </c>
      <c r="O506" s="220" t="str">
        <f t="shared" si="117"/>
        <v/>
      </c>
      <c r="P506" s="52" t="str">
        <f t="shared" si="118"/>
        <v>IJ29</v>
      </c>
      <c r="Q506" s="231" t="str">
        <f t="shared" si="125"/>
        <v>119</v>
      </c>
      <c r="R506" s="224">
        <f t="shared" si="126"/>
        <v>110.66666666666667</v>
      </c>
      <c r="S506" s="52">
        <f t="shared" si="119"/>
        <v>101</v>
      </c>
      <c r="T506" s="221">
        <f t="shared" ca="1" si="120"/>
        <v>2.35</v>
      </c>
      <c r="U506" s="221" t="str">
        <f t="shared" si="121"/>
        <v/>
      </c>
      <c r="V506" s="220" t="str">
        <f t="array" ref="V506">INDEX(P:P,MAX(U$3:U506))</f>
        <v>IJ#2MTR</v>
      </c>
      <c r="W506" s="220" t="str">
        <f t="shared" ca="1" si="122"/>
        <v/>
      </c>
      <c r="X506" s="220">
        <f t="shared" si="123"/>
        <v>11.4</v>
      </c>
      <c r="Y506" s="220">
        <f t="shared" si="112"/>
        <v>0</v>
      </c>
      <c r="AA506" s="220" t="str">
        <f t="shared" si="113"/>
        <v>和美</v>
      </c>
      <c r="AB506" s="220" t="s">
        <v>2351</v>
      </c>
      <c r="AC506" s="220" t="str">
        <f>LEFT(B506,3)</f>
        <v>和東線</v>
      </c>
      <c r="BB506" s="514" t="s">
        <v>2447</v>
      </c>
      <c r="BC506" s="514">
        <v>3</v>
      </c>
      <c r="BD506" s="514">
        <v>1</v>
      </c>
      <c r="BE506" s="514">
        <v>4</v>
      </c>
      <c r="BG506" s="229" t="s">
        <v>8706</v>
      </c>
      <c r="BH506" s="230" t="s">
        <v>8715</v>
      </c>
      <c r="BI506" t="s">
        <v>2351</v>
      </c>
      <c r="BJ506" t="s">
        <v>2347</v>
      </c>
    </row>
    <row r="507" spans="1:62">
      <c r="A507" s="229" t="s">
        <v>7597</v>
      </c>
      <c r="B507" s="230" t="s">
        <v>580</v>
      </c>
      <c r="C507" s="230" t="s">
        <v>962</v>
      </c>
      <c r="D507" s="229" t="s">
        <v>846</v>
      </c>
      <c r="E507" s="229" t="s">
        <v>7613</v>
      </c>
      <c r="F507" s="229" t="s">
        <v>846</v>
      </c>
      <c r="G507" s="229" t="s">
        <v>899</v>
      </c>
      <c r="H507" s="229" t="s">
        <v>846</v>
      </c>
      <c r="I507" s="229" t="s">
        <v>874</v>
      </c>
      <c r="J507" s="231" t="s">
        <v>879</v>
      </c>
      <c r="K507" s="231" t="s">
        <v>7614</v>
      </c>
      <c r="L507" s="220" t="str">
        <f t="shared" si="114"/>
        <v>IJ32</v>
      </c>
      <c r="M507" s="220" t="str">
        <f t="shared" si="115"/>
        <v/>
      </c>
      <c r="N507" s="220" t="str">
        <f t="shared" si="116"/>
        <v/>
      </c>
      <c r="O507" s="220" t="str">
        <f t="shared" si="117"/>
        <v/>
      </c>
      <c r="P507" s="52" t="str">
        <f t="shared" si="118"/>
        <v>IJ32</v>
      </c>
      <c r="Q507" s="231" t="str">
        <f t="shared" si="125"/>
        <v>231</v>
      </c>
      <c r="R507" s="224">
        <f t="shared" si="126"/>
        <v>210.33333333333334</v>
      </c>
      <c r="S507" s="52">
        <f t="shared" si="119"/>
        <v>191</v>
      </c>
      <c r="T507" s="221">
        <f t="shared" ca="1" si="120"/>
        <v>4.5599999999999996</v>
      </c>
      <c r="U507" s="221" t="str">
        <f t="shared" si="121"/>
        <v/>
      </c>
      <c r="V507" s="220" t="str">
        <f t="array" ref="V507">INDEX(P:P,MAX(U$3:U507))</f>
        <v>IJ#2MTR</v>
      </c>
      <c r="W507" s="220" t="str">
        <f t="shared" ca="1" si="122"/>
        <v/>
      </c>
      <c r="X507" s="220">
        <f t="shared" si="123"/>
        <v>11.4</v>
      </c>
      <c r="Y507" s="220">
        <f t="shared" si="112"/>
        <v>0</v>
      </c>
      <c r="AA507" s="220" t="str">
        <f t="shared" si="113"/>
        <v>和美</v>
      </c>
      <c r="AB507" s="220" t="s">
        <v>2352</v>
      </c>
      <c r="AC507" s="220" t="str">
        <f>LEFT(B507,3)</f>
        <v>和雅線</v>
      </c>
      <c r="BB507" s="514" t="s">
        <v>2448</v>
      </c>
      <c r="BC507" s="514">
        <v>0</v>
      </c>
      <c r="BD507" s="514">
        <v>1</v>
      </c>
      <c r="BE507" s="514">
        <v>1</v>
      </c>
      <c r="BG507" s="229" t="s">
        <v>8706</v>
      </c>
      <c r="BH507" s="230" t="s">
        <v>580</v>
      </c>
      <c r="BI507" t="s">
        <v>2352</v>
      </c>
      <c r="BJ507" t="s">
        <v>2347</v>
      </c>
    </row>
    <row r="508" spans="1:62">
      <c r="A508" s="229" t="s">
        <v>7597</v>
      </c>
      <c r="B508" s="230" t="s">
        <v>430</v>
      </c>
      <c r="C508" s="230" t="s">
        <v>5614</v>
      </c>
      <c r="D508" s="229" t="s">
        <v>784</v>
      </c>
      <c r="E508" s="229" t="s">
        <v>5614</v>
      </c>
      <c r="F508" s="229" t="s">
        <v>5628</v>
      </c>
      <c r="G508" s="229" t="s">
        <v>7264</v>
      </c>
      <c r="H508" s="229" t="s">
        <v>784</v>
      </c>
      <c r="I508" s="229" t="s">
        <v>5614</v>
      </c>
      <c r="J508" s="231" t="s">
        <v>358</v>
      </c>
      <c r="K508" s="231" t="s">
        <v>358</v>
      </c>
      <c r="L508" s="220" t="str">
        <f t="shared" si="114"/>
        <v>IJ#3MTR</v>
      </c>
      <c r="M508" s="220" t="str">
        <f t="shared" si="115"/>
        <v/>
      </c>
      <c r="N508" s="220" t="str">
        <f t="shared" si="116"/>
        <v>IJ#3MTR</v>
      </c>
      <c r="O508" s="220" t="str">
        <f t="shared" si="117"/>
        <v/>
      </c>
      <c r="P508" s="52" t="str">
        <f t="shared" si="118"/>
        <v>IJ#3MTR</v>
      </c>
      <c r="Q508" s="231" t="str">
        <f t="shared" si="125"/>
        <v>0</v>
      </c>
      <c r="R508" s="224">
        <f t="shared" si="126"/>
        <v>0</v>
      </c>
      <c r="S508" s="52">
        <f t="shared" si="119"/>
        <v>0</v>
      </c>
      <c r="T508" s="221">
        <f t="shared" ca="1" si="120"/>
        <v>0</v>
      </c>
      <c r="U508" s="221">
        <f t="shared" si="121"/>
        <v>508</v>
      </c>
      <c r="V508" s="220" t="str">
        <f t="array" ref="V508">INDEX(P:P,MAX(U$3:U508))</f>
        <v>IJ#3MTR</v>
      </c>
      <c r="W508" s="220">
        <f t="shared" ca="1" si="122"/>
        <v>25</v>
      </c>
      <c r="X508" s="220" t="str">
        <f t="shared" si="123"/>
        <v/>
      </c>
      <c r="Y508" s="220">
        <f t="shared" si="112"/>
        <v>0</v>
      </c>
      <c r="AA508" s="220" t="str">
        <f t="shared" si="113"/>
        <v>和美</v>
      </c>
      <c r="AB508" s="220" t="s">
        <v>2353</v>
      </c>
      <c r="BB508" s="514" t="s">
        <v>2449</v>
      </c>
      <c r="BC508" s="514">
        <v>23</v>
      </c>
      <c r="BD508" s="514">
        <v>14</v>
      </c>
      <c r="BE508" s="514">
        <v>37</v>
      </c>
      <c r="BG508" s="229" t="s">
        <v>8706</v>
      </c>
      <c r="BH508" s="230" t="s">
        <v>8481</v>
      </c>
      <c r="BI508" t="s">
        <v>2353</v>
      </c>
      <c r="BJ508" t="s">
        <v>2353</v>
      </c>
    </row>
    <row r="509" spans="1:62">
      <c r="A509" s="229" t="s">
        <v>7603</v>
      </c>
      <c r="B509" s="230" t="s">
        <v>581</v>
      </c>
      <c r="C509" s="230" t="s">
        <v>5614</v>
      </c>
      <c r="D509" s="229" t="s">
        <v>784</v>
      </c>
      <c r="E509" s="229" t="s">
        <v>5614</v>
      </c>
      <c r="F509" s="229" t="s">
        <v>784</v>
      </c>
      <c r="G509" s="229" t="s">
        <v>5614</v>
      </c>
      <c r="H509" s="229" t="s">
        <v>7269</v>
      </c>
      <c r="I509" s="229" t="s">
        <v>5614</v>
      </c>
      <c r="J509" s="231" t="s">
        <v>5699</v>
      </c>
      <c r="K509" s="231" t="s">
        <v>784</v>
      </c>
      <c r="L509" s="220" t="str">
        <f t="shared" si="114"/>
        <v>IJ31</v>
      </c>
      <c r="M509" s="220" t="str">
        <f t="shared" si="115"/>
        <v/>
      </c>
      <c r="N509" s="220" t="str">
        <f t="shared" si="116"/>
        <v/>
      </c>
      <c r="O509" s="220" t="str">
        <f t="shared" si="117"/>
        <v/>
      </c>
      <c r="P509" s="52" t="str">
        <f t="shared" si="118"/>
        <v>IJ31</v>
      </c>
      <c r="Q509" s="231" t="str">
        <f t="shared" si="125"/>
        <v>0</v>
      </c>
      <c r="R509" s="224">
        <f t="shared" si="126"/>
        <v>0</v>
      </c>
      <c r="S509" s="52">
        <f t="shared" si="119"/>
        <v>0</v>
      </c>
      <c r="T509" s="221">
        <f t="shared" ca="1" si="120"/>
        <v>0</v>
      </c>
      <c r="U509" s="221" t="str">
        <f t="shared" si="121"/>
        <v/>
      </c>
      <c r="V509" s="220" t="str">
        <f t="array" ref="V509">INDEX(P:P,MAX(U$3:U509))</f>
        <v>IJ#3MTR</v>
      </c>
      <c r="W509" s="220" t="str">
        <f t="shared" ca="1" si="122"/>
        <v/>
      </c>
      <c r="X509" s="220">
        <f t="shared" si="123"/>
        <v>11.4</v>
      </c>
      <c r="Y509" s="220">
        <f t="shared" si="112"/>
        <v>0</v>
      </c>
      <c r="AA509" s="220" t="str">
        <f t="shared" si="113"/>
        <v>和美</v>
      </c>
      <c r="AB509" s="220" t="s">
        <v>2354</v>
      </c>
      <c r="AC509" s="220" t="str">
        <f>LEFT(B509,3)</f>
        <v>地政線</v>
      </c>
      <c r="BB509" s="514" t="s">
        <v>2450</v>
      </c>
      <c r="BC509" s="514">
        <v>118</v>
      </c>
      <c r="BD509" s="514">
        <v>13</v>
      </c>
      <c r="BE509" s="514">
        <v>131</v>
      </c>
      <c r="BG509" s="229" t="s">
        <v>8706</v>
      </c>
      <c r="BH509" s="230" t="s">
        <v>8716</v>
      </c>
      <c r="BI509" t="s">
        <v>2354</v>
      </c>
      <c r="BJ509" t="s">
        <v>2353</v>
      </c>
    </row>
    <row r="510" spans="1:62">
      <c r="A510" s="229" t="s">
        <v>7597</v>
      </c>
      <c r="B510" s="230" t="s">
        <v>582</v>
      </c>
      <c r="C510" s="230" t="s">
        <v>821</v>
      </c>
      <c r="D510" s="229" t="s">
        <v>804</v>
      </c>
      <c r="E510" s="229" t="s">
        <v>7615</v>
      </c>
      <c r="F510" s="229" t="s">
        <v>5641</v>
      </c>
      <c r="G510" s="229" t="s">
        <v>961</v>
      </c>
      <c r="H510" s="229" t="s">
        <v>804</v>
      </c>
      <c r="I510" s="229" t="s">
        <v>7616</v>
      </c>
      <c r="J510" s="231" t="s">
        <v>920</v>
      </c>
      <c r="K510" s="231" t="s">
        <v>7617</v>
      </c>
      <c r="L510" s="220" t="str">
        <f t="shared" si="114"/>
        <v>IJ24</v>
      </c>
      <c r="M510" s="220" t="str">
        <f t="shared" si="115"/>
        <v/>
      </c>
      <c r="N510" s="220" t="str">
        <f t="shared" si="116"/>
        <v/>
      </c>
      <c r="O510" s="220" t="str">
        <f t="shared" si="117"/>
        <v/>
      </c>
      <c r="P510" s="52" t="str">
        <f t="shared" si="118"/>
        <v>IJ24</v>
      </c>
      <c r="Q510" s="231" t="str">
        <f t="shared" si="125"/>
        <v>196</v>
      </c>
      <c r="R510" s="224">
        <f t="shared" si="126"/>
        <v>174.33333333333334</v>
      </c>
      <c r="S510" s="52">
        <f t="shared" si="119"/>
        <v>161</v>
      </c>
      <c r="T510" s="221">
        <f t="shared" ca="1" si="120"/>
        <v>3.87</v>
      </c>
      <c r="U510" s="221" t="str">
        <f t="shared" si="121"/>
        <v/>
      </c>
      <c r="V510" s="220" t="str">
        <f t="array" ref="V510">INDEX(P:P,MAX(U$3:U510))</f>
        <v>IJ#3MTR</v>
      </c>
      <c r="W510" s="220" t="str">
        <f t="shared" ca="1" si="122"/>
        <v/>
      </c>
      <c r="X510" s="220">
        <f t="shared" si="123"/>
        <v>11.4</v>
      </c>
      <c r="Y510" s="220">
        <f t="shared" si="112"/>
        <v>0</v>
      </c>
      <c r="AA510" s="220" t="str">
        <f t="shared" si="113"/>
        <v>和美</v>
      </c>
      <c r="AB510" s="220" t="s">
        <v>2355</v>
      </c>
      <c r="AC510" s="220" t="str">
        <f>LEFT(B510,3)</f>
        <v>溪底線</v>
      </c>
      <c r="BB510" s="514" t="s">
        <v>2451</v>
      </c>
      <c r="BC510" s="514">
        <v>8</v>
      </c>
      <c r="BD510" s="514">
        <v>3</v>
      </c>
      <c r="BE510" s="514">
        <v>11</v>
      </c>
      <c r="BG510" s="229" t="s">
        <v>8706</v>
      </c>
      <c r="BH510" s="230" t="s">
        <v>8717</v>
      </c>
      <c r="BI510" t="s">
        <v>2355</v>
      </c>
      <c r="BJ510" t="s">
        <v>2353</v>
      </c>
    </row>
    <row r="511" spans="1:62">
      <c r="A511" s="229" t="s">
        <v>7597</v>
      </c>
      <c r="B511" s="230" t="s">
        <v>583</v>
      </c>
      <c r="C511" s="230" t="s">
        <v>5699</v>
      </c>
      <c r="D511" s="229" t="s">
        <v>784</v>
      </c>
      <c r="E511" s="229" t="s">
        <v>5614</v>
      </c>
      <c r="F511" s="229" t="s">
        <v>5628</v>
      </c>
      <c r="G511" s="229" t="s">
        <v>5699</v>
      </c>
      <c r="H511" s="229" t="s">
        <v>784</v>
      </c>
      <c r="I511" s="229" t="s">
        <v>5614</v>
      </c>
      <c r="J511" s="231" t="s">
        <v>5614</v>
      </c>
      <c r="K511" s="231" t="s">
        <v>5628</v>
      </c>
      <c r="L511" s="220" t="str">
        <f t="shared" si="114"/>
        <v>IJ25</v>
      </c>
      <c r="M511" s="220" t="str">
        <f t="shared" si="115"/>
        <v/>
      </c>
      <c r="N511" s="220" t="str">
        <f t="shared" si="116"/>
        <v/>
      </c>
      <c r="O511" s="220" t="str">
        <f t="shared" si="117"/>
        <v/>
      </c>
      <c r="P511" s="52" t="str">
        <f t="shared" si="118"/>
        <v>IJ25</v>
      </c>
      <c r="Q511" s="231" t="str">
        <f t="shared" si="125"/>
        <v>0</v>
      </c>
      <c r="R511" s="224">
        <f t="shared" si="126"/>
        <v>0</v>
      </c>
      <c r="S511" s="52">
        <f t="shared" si="119"/>
        <v>0</v>
      </c>
      <c r="T511" s="221">
        <f t="shared" ca="1" si="120"/>
        <v>0</v>
      </c>
      <c r="U511" s="221" t="str">
        <f t="shared" si="121"/>
        <v/>
      </c>
      <c r="V511" s="220" t="str">
        <f t="array" ref="V511">INDEX(P:P,MAX(U$3:U511))</f>
        <v>IJ#3MTR</v>
      </c>
      <c r="W511" s="220" t="str">
        <f t="shared" ca="1" si="122"/>
        <v/>
      </c>
      <c r="X511" s="220">
        <f t="shared" si="123"/>
        <v>11.4</v>
      </c>
      <c r="Y511" s="220">
        <f t="shared" si="112"/>
        <v>0</v>
      </c>
      <c r="AA511" s="220" t="str">
        <f t="shared" si="113"/>
        <v>和美</v>
      </c>
      <c r="AB511" s="220" t="s">
        <v>2356</v>
      </c>
      <c r="AC511" s="220" t="str">
        <f>LEFT(B511,3)</f>
        <v>下犁線</v>
      </c>
      <c r="BB511" s="514" t="s">
        <v>2452</v>
      </c>
      <c r="BC511" s="514">
        <v>1</v>
      </c>
      <c r="BD511" s="514">
        <v>7</v>
      </c>
      <c r="BE511" s="514">
        <v>8</v>
      </c>
      <c r="BG511" s="229" t="s">
        <v>8707</v>
      </c>
      <c r="BH511" s="230" t="s">
        <v>8718</v>
      </c>
      <c r="BI511" t="s">
        <v>2356</v>
      </c>
      <c r="BJ511" t="s">
        <v>2353</v>
      </c>
    </row>
    <row r="512" spans="1:62">
      <c r="A512" s="229" t="s">
        <v>7597</v>
      </c>
      <c r="B512" s="230" t="s">
        <v>7618</v>
      </c>
      <c r="C512" s="230" t="s">
        <v>5614</v>
      </c>
      <c r="D512" s="229" t="s">
        <v>5628</v>
      </c>
      <c r="E512" s="229" t="s">
        <v>5614</v>
      </c>
      <c r="F512" s="229" t="s">
        <v>784</v>
      </c>
      <c r="G512" s="229" t="s">
        <v>5614</v>
      </c>
      <c r="H512" s="229" t="s">
        <v>5628</v>
      </c>
      <c r="I512" s="229" t="s">
        <v>5614</v>
      </c>
      <c r="J512" s="231" t="s">
        <v>5614</v>
      </c>
      <c r="K512" s="231" t="s">
        <v>784</v>
      </c>
      <c r="L512" s="220" t="str">
        <f t="shared" si="114"/>
        <v>IJ21</v>
      </c>
      <c r="M512" s="220" t="str">
        <f t="shared" si="115"/>
        <v/>
      </c>
      <c r="N512" s="220" t="str">
        <f t="shared" si="116"/>
        <v/>
      </c>
      <c r="O512" s="220" t="str">
        <f t="shared" si="117"/>
        <v/>
      </c>
      <c r="P512" s="52" t="str">
        <f t="shared" si="118"/>
        <v>IJ21</v>
      </c>
      <c r="Q512" s="231" t="str">
        <f t="shared" si="125"/>
        <v>0</v>
      </c>
      <c r="R512" s="224">
        <f t="shared" si="126"/>
        <v>0</v>
      </c>
      <c r="S512" s="52">
        <f t="shared" si="119"/>
        <v>0</v>
      </c>
      <c r="T512" s="221">
        <f t="shared" ca="1" si="120"/>
        <v>0</v>
      </c>
      <c r="U512" s="221" t="str">
        <f t="shared" si="121"/>
        <v/>
      </c>
      <c r="V512" s="220" t="str">
        <f t="array" ref="V512">INDEX(P:P,MAX(U$3:U512))</f>
        <v>IJ#3MTR</v>
      </c>
      <c r="W512" s="220" t="str">
        <f t="shared" ca="1" si="122"/>
        <v/>
      </c>
      <c r="X512" s="220">
        <f t="shared" si="123"/>
        <v>11.4</v>
      </c>
      <c r="Y512" s="220">
        <f t="shared" si="112"/>
        <v>0</v>
      </c>
      <c r="AA512" s="220" t="str">
        <f t="shared" si="113"/>
        <v>和美</v>
      </c>
      <c r="AB512" s="220" t="s">
        <v>2357</v>
      </c>
      <c r="AC512" s="220" t="str">
        <f>LEFT(B512,3)</f>
        <v>頂犁線</v>
      </c>
      <c r="BB512" s="514" t="s">
        <v>2460</v>
      </c>
      <c r="BC512" s="514">
        <v>40</v>
      </c>
      <c r="BD512" s="514">
        <v>13</v>
      </c>
      <c r="BE512" s="514">
        <v>53</v>
      </c>
      <c r="BG512" s="229" t="s">
        <v>8707</v>
      </c>
      <c r="BH512" s="230" t="s">
        <v>584</v>
      </c>
      <c r="BI512" t="s">
        <v>2357</v>
      </c>
      <c r="BJ512" t="s">
        <v>2353</v>
      </c>
    </row>
    <row r="513" spans="1:62">
      <c r="A513" s="229" t="s">
        <v>7597</v>
      </c>
      <c r="B513" s="230" t="s">
        <v>7619</v>
      </c>
      <c r="C513" s="230" t="s">
        <v>5614</v>
      </c>
      <c r="D513" s="229" t="s">
        <v>784</v>
      </c>
      <c r="E513" s="229" t="s">
        <v>5614</v>
      </c>
      <c r="F513" s="229" t="s">
        <v>5628</v>
      </c>
      <c r="G513" s="229" t="s">
        <v>5699</v>
      </c>
      <c r="H513" s="229" t="s">
        <v>784</v>
      </c>
      <c r="I513" s="229" t="s">
        <v>5699</v>
      </c>
      <c r="J513" s="231" t="s">
        <v>5614</v>
      </c>
      <c r="K513" s="231" t="s">
        <v>784</v>
      </c>
      <c r="L513" s="220" t="str">
        <f t="shared" si="114"/>
        <v>IJ27</v>
      </c>
      <c r="M513" s="220" t="str">
        <f t="shared" si="115"/>
        <v/>
      </c>
      <c r="N513" s="220" t="str">
        <f t="shared" si="116"/>
        <v/>
      </c>
      <c r="O513" s="220" t="str">
        <f t="shared" si="117"/>
        <v/>
      </c>
      <c r="P513" s="52" t="str">
        <f t="shared" si="118"/>
        <v>IJ27</v>
      </c>
      <c r="Q513" s="231" t="str">
        <f t="shared" si="125"/>
        <v>0</v>
      </c>
      <c r="R513" s="224">
        <f t="shared" si="126"/>
        <v>0</v>
      </c>
      <c r="S513" s="52">
        <f t="shared" si="119"/>
        <v>0</v>
      </c>
      <c r="T513" s="221">
        <f t="shared" ca="1" si="120"/>
        <v>0</v>
      </c>
      <c r="U513" s="221" t="str">
        <f t="shared" si="121"/>
        <v/>
      </c>
      <c r="V513" s="220" t="str">
        <f t="array" ref="V513">INDEX(P:P,MAX(U$3:U513))</f>
        <v>IJ#3MTR</v>
      </c>
      <c r="W513" s="220" t="str">
        <f t="shared" ca="1" si="122"/>
        <v/>
      </c>
      <c r="X513" s="220">
        <f t="shared" si="123"/>
        <v>11.4</v>
      </c>
      <c r="Y513" s="220">
        <f t="shared" si="112"/>
        <v>0</v>
      </c>
      <c r="AA513" s="220" t="str">
        <f t="shared" si="113"/>
        <v>和美</v>
      </c>
      <c r="AB513" s="220" t="s">
        <v>2358</v>
      </c>
      <c r="AC513" s="220" t="str">
        <f>LEFT(B513,3)</f>
        <v>霞田線</v>
      </c>
      <c r="BB513" s="514" t="s">
        <v>2459</v>
      </c>
      <c r="BC513" s="514">
        <v>0</v>
      </c>
      <c r="BD513" s="514">
        <v>1</v>
      </c>
      <c r="BE513" s="514">
        <v>1</v>
      </c>
      <c r="BG513" s="229" t="s">
        <v>8706</v>
      </c>
      <c r="BH513" s="230" t="s">
        <v>8719</v>
      </c>
      <c r="BI513" t="s">
        <v>2358</v>
      </c>
      <c r="BJ513" t="s">
        <v>2353</v>
      </c>
    </row>
    <row r="514" spans="1:62">
      <c r="A514" s="229" t="s">
        <v>53</v>
      </c>
      <c r="B514" s="230" t="s">
        <v>391</v>
      </c>
      <c r="C514" s="230" t="s">
        <v>3195</v>
      </c>
      <c r="D514" s="229" t="s">
        <v>5580</v>
      </c>
      <c r="E514" s="229" t="s">
        <v>7620</v>
      </c>
      <c r="F514" s="229" t="s">
        <v>783</v>
      </c>
      <c r="G514" s="229" t="s">
        <v>4716</v>
      </c>
      <c r="H514" s="229" t="s">
        <v>783</v>
      </c>
      <c r="I514" s="229" t="s">
        <v>4701</v>
      </c>
      <c r="J514" s="231" t="s">
        <v>358</v>
      </c>
      <c r="K514" s="231" t="s">
        <v>5585</v>
      </c>
      <c r="L514" s="220" t="str">
        <f t="shared" si="114"/>
        <v>IK#1DTR(A)</v>
      </c>
      <c r="M514" s="220" t="str">
        <f t="shared" si="115"/>
        <v>(A)</v>
      </c>
      <c r="N514" s="220" t="str">
        <f t="shared" si="116"/>
        <v>IK#1DTR</v>
      </c>
      <c r="O514" s="220" t="str">
        <f t="shared" si="117"/>
        <v>(A)</v>
      </c>
      <c r="P514" s="52" t="str">
        <f t="shared" si="118"/>
        <v>IK#1DTR(A)</v>
      </c>
      <c r="Q514" s="231" t="str">
        <f t="shared" si="125"/>
        <v>764</v>
      </c>
      <c r="R514" s="224">
        <f t="shared" si="126"/>
        <v>734.66666666666663</v>
      </c>
      <c r="S514" s="52">
        <f t="shared" si="119"/>
        <v>715</v>
      </c>
      <c r="T514" s="221">
        <f t="shared" ca="1" si="120"/>
        <v>15.09</v>
      </c>
      <c r="U514" s="221">
        <f t="shared" si="121"/>
        <v>514</v>
      </c>
      <c r="V514" s="220" t="str">
        <f t="array" ref="V514">INDEX(P:P,MAX(U$3:U514))</f>
        <v>IK#1DTR(A)</v>
      </c>
      <c r="W514" s="220">
        <f t="shared" ca="1" si="122"/>
        <v>30</v>
      </c>
      <c r="X514" s="220" t="str">
        <f t="shared" si="123"/>
        <v/>
      </c>
      <c r="Y514" s="220">
        <f t="shared" si="112"/>
        <v>0</v>
      </c>
      <c r="AA514" s="220" t="str">
        <f t="shared" si="113"/>
        <v>彰化</v>
      </c>
      <c r="AB514" s="220" t="s">
        <v>2359</v>
      </c>
      <c r="BB514" s="514" t="s">
        <v>2458</v>
      </c>
      <c r="BC514" s="514">
        <v>53</v>
      </c>
      <c r="BD514" s="514">
        <v>7</v>
      </c>
      <c r="BE514" s="514">
        <v>60</v>
      </c>
      <c r="BG514" s="229" t="s">
        <v>8720</v>
      </c>
      <c r="BH514" s="230" t="s">
        <v>391</v>
      </c>
      <c r="BI514" t="s">
        <v>2359</v>
      </c>
      <c r="BJ514" t="s">
        <v>2359</v>
      </c>
    </row>
    <row r="515" spans="1:62">
      <c r="A515" s="229" t="s">
        <v>53</v>
      </c>
      <c r="B515" s="230" t="s">
        <v>585</v>
      </c>
      <c r="C515" s="230" t="s">
        <v>7517</v>
      </c>
      <c r="D515" s="229" t="s">
        <v>5641</v>
      </c>
      <c r="E515" s="229" t="s">
        <v>7621</v>
      </c>
      <c r="F515" s="229" t="s">
        <v>5641</v>
      </c>
      <c r="G515" s="229" t="s">
        <v>7622</v>
      </c>
      <c r="H515" s="229" t="s">
        <v>6190</v>
      </c>
      <c r="I515" s="229" t="s">
        <v>1018</v>
      </c>
      <c r="J515" s="231" t="s">
        <v>932</v>
      </c>
      <c r="K515" s="231" t="s">
        <v>850</v>
      </c>
      <c r="L515" s="220" t="str">
        <f t="shared" si="114"/>
        <v>IK30</v>
      </c>
      <c r="M515" s="220" t="str">
        <f t="shared" si="115"/>
        <v/>
      </c>
      <c r="N515" s="220" t="str">
        <f t="shared" si="116"/>
        <v/>
      </c>
      <c r="O515" s="220" t="str">
        <f t="shared" si="117"/>
        <v/>
      </c>
      <c r="P515" s="52" t="str">
        <f t="shared" si="118"/>
        <v>IK30</v>
      </c>
      <c r="Q515" s="231" t="str">
        <f t="shared" si="125"/>
        <v>285</v>
      </c>
      <c r="R515" s="224">
        <f t="shared" si="126"/>
        <v>277.33333333333331</v>
      </c>
      <c r="S515" s="52">
        <f t="shared" si="119"/>
        <v>271</v>
      </c>
      <c r="T515" s="221">
        <f t="shared" ca="1" si="120"/>
        <v>5.63</v>
      </c>
      <c r="U515" s="221" t="str">
        <f t="shared" si="121"/>
        <v/>
      </c>
      <c r="V515" s="220" t="str">
        <f t="array" ref="V515">INDEX(P:P,MAX(U$3:U515))</f>
        <v>IK#1DTR(A)</v>
      </c>
      <c r="W515" s="220" t="str">
        <f t="shared" ca="1" si="122"/>
        <v/>
      </c>
      <c r="X515" s="220">
        <f t="shared" si="123"/>
        <v>11.4</v>
      </c>
      <c r="Y515" s="220">
        <f t="shared" ref="Y515:Y578" si="127">SUMIF(L:L,L515,I:I)</f>
        <v>0</v>
      </c>
      <c r="AA515" s="220" t="str">
        <f t="shared" ref="AA515:AA578" si="128">LEFT(A515,2)</f>
        <v>彰化</v>
      </c>
      <c r="AB515" s="220" t="s">
        <v>2360</v>
      </c>
      <c r="AC515" s="220" t="str">
        <f t="shared" ref="AC515:AC520" si="129">LEFT(B515,4)</f>
        <v>IK30</v>
      </c>
      <c r="BB515" s="514" t="s">
        <v>2457</v>
      </c>
      <c r="BC515" s="514" t="s">
        <v>85</v>
      </c>
      <c r="BD515" s="514">
        <v>1</v>
      </c>
      <c r="BE515" s="514">
        <v>1</v>
      </c>
      <c r="BG515" s="229" t="s">
        <v>8720</v>
      </c>
      <c r="BH515" s="230" t="s">
        <v>8721</v>
      </c>
      <c r="BI515" t="s">
        <v>2360</v>
      </c>
      <c r="BJ515" t="s">
        <v>2359</v>
      </c>
    </row>
    <row r="516" spans="1:62">
      <c r="A516" s="229" t="s">
        <v>7623</v>
      </c>
      <c r="B516" s="230" t="s">
        <v>586</v>
      </c>
      <c r="C516" s="230" t="s">
        <v>969</v>
      </c>
      <c r="D516" s="229" t="s">
        <v>6190</v>
      </c>
      <c r="E516" s="229" t="s">
        <v>1049</v>
      </c>
      <c r="F516" s="229" t="s">
        <v>783</v>
      </c>
      <c r="G516" s="229" t="s">
        <v>6765</v>
      </c>
      <c r="H516" s="229" t="s">
        <v>783</v>
      </c>
      <c r="I516" s="229" t="s">
        <v>1049</v>
      </c>
      <c r="J516" s="231" t="s">
        <v>852</v>
      </c>
      <c r="K516" s="231" t="s">
        <v>6095</v>
      </c>
      <c r="L516" s="220" t="str">
        <f t="shared" ref="L516:L579" si="130">IF(LEFT(B516,1)="#",IF(LEN(B516)=5,RIGHT(A516,2)&amp;B516,N516&amp;M516),MID(B516,FIND("(",B516)+1,4))</f>
        <v>IK31</v>
      </c>
      <c r="M516" s="220" t="str">
        <f t="shared" ref="M516:M579" si="131">IF(LEFT(B516,1)="#",IF(LEN(B516)&lt;&gt;5,"("&amp;MID(B516,3,1)&amp;")",""),"")</f>
        <v/>
      </c>
      <c r="N516" s="220" t="str">
        <f t="shared" ref="N516:N579" si="132">IF(LEFT(B516,1)="#",IF(LEN(B516)=5,RIGHT(A516,2)&amp;B516,RIGHT(A516,2)&amp;LEFT(B516,2)&amp;"DTR"),"")</f>
        <v/>
      </c>
      <c r="O516" s="220" t="str">
        <f t="shared" ref="O516:O579" si="133">IF(LEFT(B516,1)="#",IF(LEN(B516)&lt;&gt;5,IF(LEN(B516)&lt;&gt;7,"("&amp;MID(B516,3,1)&amp;")","("&amp;MID(B516,3,2)&amp;")"),""),"")</f>
        <v/>
      </c>
      <c r="P516" s="52" t="str">
        <f t="shared" ref="P516:P579" si="134">IF(LEFT(B516,1)="#",IF(LEN(B516)=5,RIGHT(A516,2)&amp;B516,N516&amp;M516),MID(B516,FIND("(",B516)+1,4))</f>
        <v>IK31</v>
      </c>
      <c r="Q516" s="231" t="str">
        <f t="shared" si="125"/>
        <v>171</v>
      </c>
      <c r="R516" s="224">
        <f t="shared" si="126"/>
        <v>163</v>
      </c>
      <c r="S516" s="52">
        <f t="shared" ref="S516:S579" si="135">MIN(C516*1,E516*1,G516*1)</f>
        <v>149</v>
      </c>
      <c r="T516" s="221">
        <f t="shared" ref="T516:T579" ca="1" si="136">IF(LEFT(B516,1)="#",ROUND(OFFSET(X516,1,0,1,1)*Q516*SQRT(3)/1000,2),ROUND(Q516*X516*SQRT(3)/1000,2))</f>
        <v>3.38</v>
      </c>
      <c r="U516" s="221" t="str">
        <f t="shared" ref="U516:U579" si="137">IF(ISNUMBER(FIND("#",B516)),ROW(),"")</f>
        <v/>
      </c>
      <c r="V516" s="220" t="str">
        <f t="array" ref="V516">INDEX(P:P,MAX(U$3:U516))</f>
        <v>IK#1DTR(A)</v>
      </c>
      <c r="W516" s="220" t="str">
        <f t="shared" ref="W516:W579" ca="1" si="138">IF(LEFT(B516,1)="#",IF(ISNUMBER(FIND("DTR",B516)),IF(MID(OFFSET(P516,1,0,1,1),3,1)*1&lt;5,30,60),25),"")</f>
        <v/>
      </c>
      <c r="X516" s="220">
        <f t="shared" ref="X516:X579" si="139">IF(LEFT(B516,1)="#","",IF(MID(P516,3,1)*1&lt;5,11.4,22.8))</f>
        <v>11.4</v>
      </c>
      <c r="Y516" s="220">
        <f t="shared" si="127"/>
        <v>0</v>
      </c>
      <c r="AA516" s="220" t="str">
        <f t="shared" si="128"/>
        <v>彰化</v>
      </c>
      <c r="AB516" s="220" t="s">
        <v>2361</v>
      </c>
      <c r="AC516" s="220" t="str">
        <f t="shared" si="129"/>
        <v>IK31</v>
      </c>
      <c r="BB516" s="514" t="s">
        <v>2456</v>
      </c>
      <c r="BC516" s="514">
        <v>13</v>
      </c>
      <c r="BD516" s="514">
        <v>10</v>
      </c>
      <c r="BE516" s="514">
        <v>23</v>
      </c>
      <c r="BG516" s="229" t="s">
        <v>8722</v>
      </c>
      <c r="BH516" s="230" t="s">
        <v>8723</v>
      </c>
      <c r="BI516" t="s">
        <v>2361</v>
      </c>
      <c r="BJ516" t="s">
        <v>2359</v>
      </c>
    </row>
    <row r="517" spans="1:62">
      <c r="A517" s="229" t="s">
        <v>7623</v>
      </c>
      <c r="B517" s="230" t="s">
        <v>587</v>
      </c>
      <c r="C517" s="230" t="s">
        <v>7624</v>
      </c>
      <c r="D517" s="229" t="s">
        <v>804</v>
      </c>
      <c r="E517" s="229" t="s">
        <v>7624</v>
      </c>
      <c r="F517" s="229" t="s">
        <v>804</v>
      </c>
      <c r="G517" s="229" t="s">
        <v>6554</v>
      </c>
      <c r="H517" s="229" t="s">
        <v>859</v>
      </c>
      <c r="I517" s="229" t="s">
        <v>919</v>
      </c>
      <c r="J517" s="231" t="s">
        <v>7376</v>
      </c>
      <c r="K517" s="231" t="s">
        <v>5764</v>
      </c>
      <c r="L517" s="220" t="str">
        <f t="shared" si="130"/>
        <v>IK32</v>
      </c>
      <c r="M517" s="220" t="str">
        <f t="shared" si="131"/>
        <v/>
      </c>
      <c r="N517" s="220" t="str">
        <f t="shared" si="132"/>
        <v/>
      </c>
      <c r="O517" s="220" t="str">
        <f t="shared" si="133"/>
        <v/>
      </c>
      <c r="P517" s="52" t="str">
        <f t="shared" si="134"/>
        <v>IK32</v>
      </c>
      <c r="Q517" s="231" t="str">
        <f t="shared" si="125"/>
        <v>103</v>
      </c>
      <c r="R517" s="224">
        <f t="shared" si="126"/>
        <v>96.333333333333329</v>
      </c>
      <c r="S517" s="52">
        <f t="shared" si="135"/>
        <v>83</v>
      </c>
      <c r="T517" s="221">
        <f t="shared" ca="1" si="136"/>
        <v>2.0299999999999998</v>
      </c>
      <c r="U517" s="221" t="str">
        <f t="shared" si="137"/>
        <v/>
      </c>
      <c r="V517" s="220" t="str">
        <f t="array" ref="V517">INDEX(P:P,MAX(U$3:U517))</f>
        <v>IK#1DTR(A)</v>
      </c>
      <c r="W517" s="220" t="str">
        <f t="shared" ca="1" si="138"/>
        <v/>
      </c>
      <c r="X517" s="220">
        <f t="shared" si="139"/>
        <v>11.4</v>
      </c>
      <c r="Y517" s="220">
        <f t="shared" si="127"/>
        <v>0</v>
      </c>
      <c r="AA517" s="220" t="str">
        <f t="shared" si="128"/>
        <v>彰化</v>
      </c>
      <c r="AB517" s="220" t="s">
        <v>2362</v>
      </c>
      <c r="AC517" s="220" t="str">
        <f t="shared" si="129"/>
        <v>IK32</v>
      </c>
      <c r="BB517" s="514" t="s">
        <v>2455</v>
      </c>
      <c r="BC517" s="514">
        <v>9</v>
      </c>
      <c r="BD517" s="514">
        <v>9</v>
      </c>
      <c r="BE517" s="514">
        <v>18</v>
      </c>
      <c r="BG517" s="229" t="s">
        <v>53</v>
      </c>
      <c r="BH517" s="230" t="s">
        <v>8724</v>
      </c>
      <c r="BI517" t="s">
        <v>2362</v>
      </c>
      <c r="BJ517" t="s">
        <v>2359</v>
      </c>
    </row>
    <row r="518" spans="1:62">
      <c r="A518" s="229" t="s">
        <v>7623</v>
      </c>
      <c r="B518" s="230" t="s">
        <v>7625</v>
      </c>
      <c r="C518" s="230" t="s">
        <v>987</v>
      </c>
      <c r="D518" s="229" t="s">
        <v>797</v>
      </c>
      <c r="E518" s="229" t="s">
        <v>1033</v>
      </c>
      <c r="F518" s="229" t="s">
        <v>5764</v>
      </c>
      <c r="G518" s="229" t="s">
        <v>7626</v>
      </c>
      <c r="H518" s="229" t="s">
        <v>783</v>
      </c>
      <c r="I518" s="229" t="s">
        <v>1033</v>
      </c>
      <c r="J518" s="231" t="s">
        <v>1020</v>
      </c>
      <c r="K518" s="231" t="s">
        <v>6190</v>
      </c>
      <c r="L518" s="220" t="str">
        <f t="shared" si="130"/>
        <v>IK33</v>
      </c>
      <c r="M518" s="220" t="str">
        <f t="shared" si="131"/>
        <v/>
      </c>
      <c r="N518" s="220" t="str">
        <f t="shared" si="132"/>
        <v/>
      </c>
      <c r="O518" s="220" t="str">
        <f t="shared" si="133"/>
        <v/>
      </c>
      <c r="P518" s="52" t="str">
        <f t="shared" si="134"/>
        <v>IK33</v>
      </c>
      <c r="Q518" s="231" t="str">
        <f t="shared" si="125"/>
        <v>253</v>
      </c>
      <c r="R518" s="224">
        <f t="shared" si="126"/>
        <v>227</v>
      </c>
      <c r="S518" s="52">
        <f t="shared" si="135"/>
        <v>210</v>
      </c>
      <c r="T518" s="221">
        <f t="shared" ca="1" si="136"/>
        <v>5</v>
      </c>
      <c r="U518" s="221" t="str">
        <f t="shared" si="137"/>
        <v/>
      </c>
      <c r="V518" s="220" t="str">
        <f t="array" ref="V518">INDEX(P:P,MAX(U$3:U518))</f>
        <v>IK#1DTR(A)</v>
      </c>
      <c r="W518" s="220" t="str">
        <f t="shared" ca="1" si="138"/>
        <v/>
      </c>
      <c r="X518" s="220">
        <f t="shared" si="139"/>
        <v>11.4</v>
      </c>
      <c r="Y518" s="220">
        <f t="shared" si="127"/>
        <v>0</v>
      </c>
      <c r="AA518" s="220" t="str">
        <f t="shared" si="128"/>
        <v>彰化</v>
      </c>
      <c r="AB518" s="220" t="s">
        <v>2363</v>
      </c>
      <c r="AC518" s="220" t="str">
        <f t="shared" si="129"/>
        <v>IK33</v>
      </c>
      <c r="BB518" s="514" t="s">
        <v>1888</v>
      </c>
      <c r="BC518" s="514">
        <v>1032</v>
      </c>
      <c r="BD518" s="514">
        <v>4</v>
      </c>
      <c r="BE518" s="514">
        <v>1036</v>
      </c>
      <c r="BG518" s="229" t="s">
        <v>8720</v>
      </c>
      <c r="BH518" s="230" t="s">
        <v>8725</v>
      </c>
      <c r="BI518" t="s">
        <v>2363</v>
      </c>
      <c r="BJ518" t="s">
        <v>2359</v>
      </c>
    </row>
    <row r="519" spans="1:62">
      <c r="A519" s="229" t="s">
        <v>53</v>
      </c>
      <c r="B519" s="230" t="s">
        <v>588</v>
      </c>
      <c r="C519" s="230" t="s">
        <v>805</v>
      </c>
      <c r="D519" s="229" t="s">
        <v>5641</v>
      </c>
      <c r="E519" s="229" t="s">
        <v>1022</v>
      </c>
      <c r="F519" s="229" t="s">
        <v>5641</v>
      </c>
      <c r="G519" s="229" t="s">
        <v>7296</v>
      </c>
      <c r="H519" s="229" t="s">
        <v>5641</v>
      </c>
      <c r="I519" s="229" t="s">
        <v>7627</v>
      </c>
      <c r="J519" s="231" t="s">
        <v>7628</v>
      </c>
      <c r="K519" s="231" t="s">
        <v>5685</v>
      </c>
      <c r="L519" s="220" t="str">
        <f t="shared" si="130"/>
        <v>IK34</v>
      </c>
      <c r="M519" s="220" t="str">
        <f t="shared" si="131"/>
        <v/>
      </c>
      <c r="N519" s="220" t="str">
        <f t="shared" si="132"/>
        <v/>
      </c>
      <c r="O519" s="220" t="str">
        <f t="shared" si="133"/>
        <v/>
      </c>
      <c r="P519" s="52" t="str">
        <f t="shared" si="134"/>
        <v>IK34</v>
      </c>
      <c r="Q519" s="231" t="str">
        <f t="shared" si="125"/>
        <v>18</v>
      </c>
      <c r="R519" s="224">
        <f t="shared" si="126"/>
        <v>14.333333333333334</v>
      </c>
      <c r="S519" s="52">
        <f t="shared" si="135"/>
        <v>8</v>
      </c>
      <c r="T519" s="221">
        <f t="shared" ca="1" si="136"/>
        <v>0.36</v>
      </c>
      <c r="U519" s="221" t="str">
        <f t="shared" si="137"/>
        <v/>
      </c>
      <c r="V519" s="220" t="str">
        <f t="array" ref="V519">INDEX(P:P,MAX(U$3:U519))</f>
        <v>IK#1DTR(A)</v>
      </c>
      <c r="W519" s="220" t="str">
        <f t="shared" ca="1" si="138"/>
        <v/>
      </c>
      <c r="X519" s="220">
        <f t="shared" si="139"/>
        <v>11.4</v>
      </c>
      <c r="Y519" s="220">
        <f t="shared" si="127"/>
        <v>0</v>
      </c>
      <c r="AA519" s="220" t="str">
        <f t="shared" si="128"/>
        <v>彰化</v>
      </c>
      <c r="AB519" s="220" t="s">
        <v>2364</v>
      </c>
      <c r="AC519" s="220" t="str">
        <f t="shared" si="129"/>
        <v>IK34</v>
      </c>
      <c r="BB519" s="514" t="s">
        <v>1890</v>
      </c>
      <c r="BC519" s="514">
        <v>2062</v>
      </c>
      <c r="BD519" s="514">
        <v>3</v>
      </c>
      <c r="BE519" s="514">
        <v>2065</v>
      </c>
      <c r="BG519" s="229" t="s">
        <v>8720</v>
      </c>
      <c r="BH519" s="230" t="s">
        <v>8726</v>
      </c>
      <c r="BI519" t="s">
        <v>2364</v>
      </c>
      <c r="BJ519" t="s">
        <v>2359</v>
      </c>
    </row>
    <row r="520" spans="1:62">
      <c r="A520" s="229" t="s">
        <v>7623</v>
      </c>
      <c r="B520" s="230" t="s">
        <v>589</v>
      </c>
      <c r="C520" s="230" t="s">
        <v>5699</v>
      </c>
      <c r="D520" s="229" t="s">
        <v>784</v>
      </c>
      <c r="E520" s="229" t="s">
        <v>5699</v>
      </c>
      <c r="F520" s="229" t="s">
        <v>5628</v>
      </c>
      <c r="G520" s="229" t="s">
        <v>5699</v>
      </c>
      <c r="H520" s="229" t="s">
        <v>5628</v>
      </c>
      <c r="I520" s="229" t="s">
        <v>5699</v>
      </c>
      <c r="J520" s="231" t="s">
        <v>5699</v>
      </c>
      <c r="K520" s="231" t="s">
        <v>5628</v>
      </c>
      <c r="L520" s="220" t="str">
        <f t="shared" si="130"/>
        <v>IK35</v>
      </c>
      <c r="M520" s="220" t="str">
        <f t="shared" si="131"/>
        <v/>
      </c>
      <c r="N520" s="220" t="str">
        <f t="shared" si="132"/>
        <v/>
      </c>
      <c r="O520" s="220" t="str">
        <f t="shared" si="133"/>
        <v/>
      </c>
      <c r="P520" s="52" t="str">
        <f t="shared" si="134"/>
        <v>IK35</v>
      </c>
      <c r="Q520" s="231" t="str">
        <f t="shared" si="125"/>
        <v>0</v>
      </c>
      <c r="R520" s="224">
        <f t="shared" si="126"/>
        <v>0</v>
      </c>
      <c r="S520" s="52">
        <f t="shared" si="135"/>
        <v>0</v>
      </c>
      <c r="T520" s="221">
        <f t="shared" ca="1" si="136"/>
        <v>0</v>
      </c>
      <c r="U520" s="221" t="str">
        <f t="shared" si="137"/>
        <v/>
      </c>
      <c r="V520" s="220" t="str">
        <f t="array" ref="V520">INDEX(P:P,MAX(U$3:U520))</f>
        <v>IK#1DTR(A)</v>
      </c>
      <c r="W520" s="220" t="str">
        <f t="shared" ca="1" si="138"/>
        <v/>
      </c>
      <c r="X520" s="220">
        <f t="shared" si="139"/>
        <v>11.4</v>
      </c>
      <c r="Y520" s="220">
        <f t="shared" si="127"/>
        <v>0</v>
      </c>
      <c r="AA520" s="220" t="str">
        <f t="shared" si="128"/>
        <v>彰化</v>
      </c>
      <c r="AB520" s="220" t="s">
        <v>2365</v>
      </c>
      <c r="AC520" s="220" t="str">
        <f t="shared" si="129"/>
        <v>IK35</v>
      </c>
      <c r="BB520" s="514" t="s">
        <v>2465</v>
      </c>
      <c r="BC520" s="514">
        <v>266</v>
      </c>
      <c r="BD520" s="514">
        <v>10</v>
      </c>
      <c r="BE520" s="514">
        <v>276</v>
      </c>
      <c r="BG520" s="229" t="s">
        <v>8722</v>
      </c>
      <c r="BH520" s="230" t="s">
        <v>589</v>
      </c>
      <c r="BI520" t="s">
        <v>2365</v>
      </c>
      <c r="BJ520" t="s">
        <v>2359</v>
      </c>
    </row>
    <row r="521" spans="1:62">
      <c r="A521" s="229" t="s">
        <v>7629</v>
      </c>
      <c r="B521" s="230" t="s">
        <v>7630</v>
      </c>
      <c r="C521" s="230" t="s">
        <v>7631</v>
      </c>
      <c r="D521" s="229" t="s">
        <v>5641</v>
      </c>
      <c r="E521" s="229" t="s">
        <v>7632</v>
      </c>
      <c r="F521" s="229" t="s">
        <v>5641</v>
      </c>
      <c r="G521" s="229" t="s">
        <v>7633</v>
      </c>
      <c r="H521" s="229" t="s">
        <v>5641</v>
      </c>
      <c r="I521" s="229" t="s">
        <v>7631</v>
      </c>
      <c r="J521" s="231" t="s">
        <v>358</v>
      </c>
      <c r="K521" s="231" t="s">
        <v>358</v>
      </c>
      <c r="L521" s="220" t="str">
        <f t="shared" si="130"/>
        <v>IK#1DTR(B)</v>
      </c>
      <c r="M521" s="220" t="str">
        <f t="shared" si="131"/>
        <v>(B)</v>
      </c>
      <c r="N521" s="220" t="str">
        <f t="shared" si="132"/>
        <v>IK#1DTR</v>
      </c>
      <c r="O521" s="220" t="str">
        <f t="shared" si="133"/>
        <v>(B)</v>
      </c>
      <c r="P521" s="52" t="str">
        <f t="shared" si="134"/>
        <v>IK#1DTR(B)</v>
      </c>
      <c r="Q521" s="231" t="str">
        <f t="shared" si="125"/>
        <v>584</v>
      </c>
      <c r="R521" s="224">
        <f t="shared" si="126"/>
        <v>581</v>
      </c>
      <c r="S521" s="52">
        <f t="shared" si="135"/>
        <v>577</v>
      </c>
      <c r="T521" s="221">
        <f t="shared" ca="1" si="136"/>
        <v>11.53</v>
      </c>
      <c r="U521" s="221">
        <f t="shared" si="137"/>
        <v>521</v>
      </c>
      <c r="V521" s="220" t="str">
        <f t="array" ref="V521">INDEX(P:P,MAX(U$3:U521))</f>
        <v>IK#1DTR(B)</v>
      </c>
      <c r="W521" s="220">
        <f t="shared" ca="1" si="138"/>
        <v>30</v>
      </c>
      <c r="X521" s="220" t="str">
        <f t="shared" si="139"/>
        <v/>
      </c>
      <c r="Y521" s="220">
        <f t="shared" si="127"/>
        <v>0</v>
      </c>
      <c r="AA521" s="220" t="str">
        <f t="shared" si="128"/>
        <v>彰化</v>
      </c>
      <c r="AB521" s="220" t="s">
        <v>2366</v>
      </c>
      <c r="BB521" s="514" t="s">
        <v>1964</v>
      </c>
      <c r="BC521" s="514" t="s">
        <v>85</v>
      </c>
      <c r="BD521" s="514">
        <v>1</v>
      </c>
      <c r="BE521" s="514">
        <v>1</v>
      </c>
      <c r="BG521" s="229" t="s">
        <v>8720</v>
      </c>
      <c r="BH521" s="230" t="s">
        <v>392</v>
      </c>
      <c r="BI521" t="s">
        <v>2366</v>
      </c>
      <c r="BJ521" t="s">
        <v>2366</v>
      </c>
    </row>
    <row r="522" spans="1:62">
      <c r="A522" s="229" t="s">
        <v>53</v>
      </c>
      <c r="B522" s="230" t="s">
        <v>7634</v>
      </c>
      <c r="C522" s="230" t="s">
        <v>876</v>
      </c>
      <c r="D522" s="229" t="s">
        <v>783</v>
      </c>
      <c r="E522" s="229" t="s">
        <v>7635</v>
      </c>
      <c r="F522" s="229" t="s">
        <v>783</v>
      </c>
      <c r="G522" s="229" t="s">
        <v>913</v>
      </c>
      <c r="H522" s="229" t="s">
        <v>783</v>
      </c>
      <c r="I522" s="229" t="s">
        <v>816</v>
      </c>
      <c r="J522" s="231" t="s">
        <v>7636</v>
      </c>
      <c r="K522" s="231" t="s">
        <v>783</v>
      </c>
      <c r="L522" s="220" t="str">
        <f t="shared" si="130"/>
        <v>IK49</v>
      </c>
      <c r="M522" s="220" t="str">
        <f t="shared" si="131"/>
        <v/>
      </c>
      <c r="N522" s="220" t="str">
        <f t="shared" si="132"/>
        <v/>
      </c>
      <c r="O522" s="220" t="str">
        <f t="shared" si="133"/>
        <v/>
      </c>
      <c r="P522" s="52" t="str">
        <f t="shared" si="134"/>
        <v>IK49</v>
      </c>
      <c r="Q522" s="231" t="str">
        <f t="shared" si="125"/>
        <v>249</v>
      </c>
      <c r="R522" s="224">
        <f t="shared" si="126"/>
        <v>235</v>
      </c>
      <c r="S522" s="52">
        <f t="shared" si="135"/>
        <v>219</v>
      </c>
      <c r="T522" s="221">
        <f t="shared" ca="1" si="136"/>
        <v>4.92</v>
      </c>
      <c r="U522" s="221" t="str">
        <f t="shared" si="137"/>
        <v/>
      </c>
      <c r="V522" s="220" t="str">
        <f t="array" ref="V522">INDEX(P:P,MAX(U$3:U522))</f>
        <v>IK#1DTR(B)</v>
      </c>
      <c r="W522" s="220" t="str">
        <f t="shared" ca="1" si="138"/>
        <v/>
      </c>
      <c r="X522" s="220">
        <f t="shared" si="139"/>
        <v>11.4</v>
      </c>
      <c r="Y522" s="220">
        <f t="shared" si="127"/>
        <v>0</v>
      </c>
      <c r="AA522" s="220" t="str">
        <f t="shared" si="128"/>
        <v>彰化</v>
      </c>
      <c r="AB522" s="220" t="s">
        <v>2367</v>
      </c>
      <c r="AC522" s="220" t="str">
        <f>LEFT(B522,4)</f>
        <v>IK49</v>
      </c>
      <c r="BB522" s="514" t="s">
        <v>2464</v>
      </c>
      <c r="BC522" s="514">
        <v>2</v>
      </c>
      <c r="BD522" s="514">
        <v>3</v>
      </c>
      <c r="BE522" s="514">
        <v>5</v>
      </c>
      <c r="BG522" s="229" t="s">
        <v>8722</v>
      </c>
      <c r="BH522" s="230" t="s">
        <v>8727</v>
      </c>
      <c r="BI522" t="s">
        <v>2367</v>
      </c>
      <c r="BJ522" t="s">
        <v>2366</v>
      </c>
    </row>
    <row r="523" spans="1:62">
      <c r="A523" s="229" t="s">
        <v>53</v>
      </c>
      <c r="B523" s="230" t="s">
        <v>7637</v>
      </c>
      <c r="C523" s="230" t="s">
        <v>992</v>
      </c>
      <c r="D523" s="229" t="s">
        <v>7421</v>
      </c>
      <c r="E523" s="229" t="s">
        <v>7638</v>
      </c>
      <c r="F523" s="229" t="s">
        <v>5791</v>
      </c>
      <c r="G523" s="229" t="s">
        <v>7639</v>
      </c>
      <c r="H523" s="229" t="s">
        <v>804</v>
      </c>
      <c r="I523" s="229" t="s">
        <v>7640</v>
      </c>
      <c r="J523" s="231" t="s">
        <v>1009</v>
      </c>
      <c r="K523" s="231" t="s">
        <v>7519</v>
      </c>
      <c r="L523" s="220" t="str">
        <f t="shared" si="130"/>
        <v>IK48</v>
      </c>
      <c r="M523" s="220" t="str">
        <f t="shared" si="131"/>
        <v/>
      </c>
      <c r="N523" s="220" t="str">
        <f t="shared" si="132"/>
        <v/>
      </c>
      <c r="O523" s="220" t="str">
        <f t="shared" si="133"/>
        <v/>
      </c>
      <c r="P523" s="52" t="str">
        <f t="shared" si="134"/>
        <v>IK48</v>
      </c>
      <c r="Q523" s="231" t="str">
        <f t="shared" si="125"/>
        <v>211</v>
      </c>
      <c r="R523" s="224">
        <f t="shared" si="126"/>
        <v>193.66666666666666</v>
      </c>
      <c r="S523" s="52">
        <f t="shared" si="135"/>
        <v>173</v>
      </c>
      <c r="T523" s="221">
        <f t="shared" ca="1" si="136"/>
        <v>4.17</v>
      </c>
      <c r="U523" s="221" t="str">
        <f t="shared" si="137"/>
        <v/>
      </c>
      <c r="V523" s="220" t="str">
        <f t="array" ref="V523">INDEX(P:P,MAX(U$3:U523))</f>
        <v>IK#1DTR(B)</v>
      </c>
      <c r="W523" s="220" t="str">
        <f t="shared" ca="1" si="138"/>
        <v/>
      </c>
      <c r="X523" s="220">
        <f t="shared" si="139"/>
        <v>11.4</v>
      </c>
      <c r="Y523" s="220">
        <f t="shared" si="127"/>
        <v>0</v>
      </c>
      <c r="AA523" s="220" t="str">
        <f t="shared" si="128"/>
        <v>彰化</v>
      </c>
      <c r="AB523" s="220" t="s">
        <v>2368</v>
      </c>
      <c r="AC523" s="220" t="str">
        <f>LEFT(B523,4)</f>
        <v>IK48</v>
      </c>
      <c r="BB523" s="514" t="s">
        <v>2469</v>
      </c>
      <c r="BC523" s="514">
        <v>6</v>
      </c>
      <c r="BD523" s="514">
        <v>4</v>
      </c>
      <c r="BE523" s="514">
        <v>10</v>
      </c>
      <c r="BG523" s="229" t="s">
        <v>8722</v>
      </c>
      <c r="BH523" s="230" t="s">
        <v>8728</v>
      </c>
      <c r="BI523" t="s">
        <v>2368</v>
      </c>
      <c r="BJ523" t="s">
        <v>2366</v>
      </c>
    </row>
    <row r="524" spans="1:62">
      <c r="A524" s="229" t="s">
        <v>53</v>
      </c>
      <c r="B524" s="230" t="s">
        <v>590</v>
      </c>
      <c r="C524" s="230" t="s">
        <v>1027</v>
      </c>
      <c r="D524" s="229" t="s">
        <v>850</v>
      </c>
      <c r="E524" s="229" t="s">
        <v>7641</v>
      </c>
      <c r="F524" s="229" t="s">
        <v>804</v>
      </c>
      <c r="G524" s="229" t="s">
        <v>893</v>
      </c>
      <c r="H524" s="229" t="s">
        <v>804</v>
      </c>
      <c r="I524" s="229" t="s">
        <v>893</v>
      </c>
      <c r="J524" s="231" t="s">
        <v>934</v>
      </c>
      <c r="K524" s="231" t="s">
        <v>7257</v>
      </c>
      <c r="L524" s="220" t="str">
        <f t="shared" si="130"/>
        <v>IK47</v>
      </c>
      <c r="M524" s="220" t="str">
        <f t="shared" si="131"/>
        <v/>
      </c>
      <c r="N524" s="220" t="str">
        <f t="shared" si="132"/>
        <v/>
      </c>
      <c r="O524" s="220" t="str">
        <f t="shared" si="133"/>
        <v/>
      </c>
      <c r="P524" s="52" t="str">
        <f t="shared" si="134"/>
        <v>IK47</v>
      </c>
      <c r="Q524" s="231" t="str">
        <f t="shared" si="125"/>
        <v>157</v>
      </c>
      <c r="R524" s="224">
        <f t="shared" si="126"/>
        <v>145.33333333333334</v>
      </c>
      <c r="S524" s="52">
        <f t="shared" si="135"/>
        <v>128</v>
      </c>
      <c r="T524" s="221">
        <f t="shared" ca="1" si="136"/>
        <v>3.1</v>
      </c>
      <c r="U524" s="221" t="str">
        <f t="shared" si="137"/>
        <v/>
      </c>
      <c r="V524" s="220" t="str">
        <f t="array" ref="V524">INDEX(P:P,MAX(U$3:U524))</f>
        <v>IK#1DTR(B)</v>
      </c>
      <c r="W524" s="220" t="str">
        <f t="shared" ca="1" si="138"/>
        <v/>
      </c>
      <c r="X524" s="220">
        <f t="shared" si="139"/>
        <v>11.4</v>
      </c>
      <c r="Y524" s="220">
        <f t="shared" si="127"/>
        <v>0</v>
      </c>
      <c r="AA524" s="220" t="str">
        <f t="shared" si="128"/>
        <v>彰化</v>
      </c>
      <c r="AB524" s="220" t="s">
        <v>2369</v>
      </c>
      <c r="AC524" s="220" t="str">
        <f>LEFT(B524,4)</f>
        <v>IK47</v>
      </c>
      <c r="BB524" s="514" t="s">
        <v>2471</v>
      </c>
      <c r="BC524" s="514">
        <v>278</v>
      </c>
      <c r="BD524" s="514">
        <v>6</v>
      </c>
      <c r="BE524" s="514">
        <v>284</v>
      </c>
      <c r="BG524" s="229" t="s">
        <v>8722</v>
      </c>
      <c r="BH524" s="230" t="s">
        <v>590</v>
      </c>
      <c r="BI524" t="s">
        <v>2369</v>
      </c>
      <c r="BJ524" t="s">
        <v>2366</v>
      </c>
    </row>
    <row r="525" spans="1:62">
      <c r="A525" s="229" t="s">
        <v>53</v>
      </c>
      <c r="B525" s="230" t="s">
        <v>591</v>
      </c>
      <c r="C525" s="230" t="s">
        <v>945</v>
      </c>
      <c r="D525" s="229" t="s">
        <v>804</v>
      </c>
      <c r="E525" s="229" t="s">
        <v>890</v>
      </c>
      <c r="F525" s="229" t="s">
        <v>804</v>
      </c>
      <c r="G525" s="229" t="s">
        <v>890</v>
      </c>
      <c r="H525" s="229" t="s">
        <v>7421</v>
      </c>
      <c r="I525" s="229" t="s">
        <v>890</v>
      </c>
      <c r="J525" s="231" t="s">
        <v>7642</v>
      </c>
      <c r="K525" s="231" t="s">
        <v>784</v>
      </c>
      <c r="L525" s="220" t="str">
        <f t="shared" si="130"/>
        <v>IK46</v>
      </c>
      <c r="M525" s="220" t="str">
        <f t="shared" si="131"/>
        <v/>
      </c>
      <c r="N525" s="220" t="str">
        <f t="shared" si="132"/>
        <v/>
      </c>
      <c r="O525" s="220" t="str">
        <f t="shared" si="133"/>
        <v/>
      </c>
      <c r="P525" s="52" t="str">
        <f t="shared" si="134"/>
        <v>IK46</v>
      </c>
      <c r="Q525" s="231" t="str">
        <f t="shared" si="125"/>
        <v>21</v>
      </c>
      <c r="R525" s="224">
        <f t="shared" si="126"/>
        <v>20.666666666666668</v>
      </c>
      <c r="S525" s="52">
        <f t="shared" si="135"/>
        <v>20</v>
      </c>
      <c r="T525" s="221">
        <f t="shared" ca="1" si="136"/>
        <v>0.41</v>
      </c>
      <c r="U525" s="221" t="str">
        <f t="shared" si="137"/>
        <v/>
      </c>
      <c r="V525" s="220" t="str">
        <f t="array" ref="V525">INDEX(P:P,MAX(U$3:U525))</f>
        <v>IK#1DTR(B)</v>
      </c>
      <c r="W525" s="220" t="str">
        <f t="shared" ca="1" si="138"/>
        <v/>
      </c>
      <c r="X525" s="220">
        <f t="shared" si="139"/>
        <v>11.4</v>
      </c>
      <c r="Y525" s="220">
        <f t="shared" si="127"/>
        <v>0</v>
      </c>
      <c r="AA525" s="220" t="str">
        <f t="shared" si="128"/>
        <v>彰化</v>
      </c>
      <c r="AB525" s="220" t="s">
        <v>2370</v>
      </c>
      <c r="AC525" s="220" t="str">
        <f>LEFT(B525,4)</f>
        <v>IK46</v>
      </c>
      <c r="BB525" s="514" t="s">
        <v>1961</v>
      </c>
      <c r="BC525" s="514">
        <v>1718</v>
      </c>
      <c r="BD525" s="514">
        <v>5</v>
      </c>
      <c r="BE525" s="514">
        <v>1723</v>
      </c>
      <c r="BG525" s="229" t="s">
        <v>8720</v>
      </c>
      <c r="BH525" s="230" t="s">
        <v>8729</v>
      </c>
      <c r="BI525" t="s">
        <v>2370</v>
      </c>
      <c r="BJ525" t="s">
        <v>2366</v>
      </c>
    </row>
    <row r="526" spans="1:62">
      <c r="A526" s="229" t="s">
        <v>53</v>
      </c>
      <c r="B526" s="230" t="s">
        <v>7643</v>
      </c>
      <c r="C526" s="230" t="s">
        <v>4717</v>
      </c>
      <c r="D526" s="229" t="s">
        <v>5791</v>
      </c>
      <c r="E526" s="229" t="s">
        <v>7644</v>
      </c>
      <c r="F526" s="229" t="s">
        <v>5791</v>
      </c>
      <c r="G526" s="229" t="s">
        <v>7645</v>
      </c>
      <c r="H526" s="229" t="s">
        <v>7257</v>
      </c>
      <c r="I526" s="229" t="s">
        <v>4718</v>
      </c>
      <c r="J526" s="231" t="s">
        <v>358</v>
      </c>
      <c r="K526" s="231" t="s">
        <v>358</v>
      </c>
      <c r="L526" s="220" t="str">
        <f t="shared" si="130"/>
        <v>IK#2DTR(A)</v>
      </c>
      <c r="M526" s="220" t="str">
        <f t="shared" si="131"/>
        <v>(A)</v>
      </c>
      <c r="N526" s="220" t="str">
        <f t="shared" si="132"/>
        <v>IK#2DTR</v>
      </c>
      <c r="O526" s="220" t="str">
        <f t="shared" si="133"/>
        <v>(A)</v>
      </c>
      <c r="P526" s="52" t="str">
        <f t="shared" si="134"/>
        <v>IK#2DTR(A)</v>
      </c>
      <c r="Q526" s="231" t="str">
        <f t="shared" si="125"/>
        <v>808</v>
      </c>
      <c r="R526" s="224">
        <f t="shared" si="126"/>
        <v>797</v>
      </c>
      <c r="S526" s="52">
        <f t="shared" si="135"/>
        <v>777</v>
      </c>
      <c r="T526" s="221">
        <f t="shared" ca="1" si="136"/>
        <v>15.95</v>
      </c>
      <c r="U526" s="221">
        <f t="shared" si="137"/>
        <v>526</v>
      </c>
      <c r="V526" s="220" t="str">
        <f t="array" ref="V526">INDEX(P:P,MAX(U$3:U526))</f>
        <v>IK#2DTR(A)</v>
      </c>
      <c r="W526" s="220">
        <f t="shared" ca="1" si="138"/>
        <v>30</v>
      </c>
      <c r="X526" s="220" t="str">
        <f t="shared" si="139"/>
        <v/>
      </c>
      <c r="Y526" s="220">
        <f t="shared" si="127"/>
        <v>0</v>
      </c>
      <c r="AA526" s="220" t="str">
        <f t="shared" si="128"/>
        <v>彰化</v>
      </c>
      <c r="AB526" s="220" t="s">
        <v>2371</v>
      </c>
      <c r="BB526" s="514" t="s">
        <v>1963</v>
      </c>
      <c r="BC526" s="514">
        <v>642</v>
      </c>
      <c r="BD526" s="514">
        <v>2</v>
      </c>
      <c r="BE526" s="514">
        <v>644</v>
      </c>
      <c r="BG526" s="229" t="s">
        <v>8720</v>
      </c>
      <c r="BH526" s="230" t="s">
        <v>8410</v>
      </c>
      <c r="BI526" t="s">
        <v>2371</v>
      </c>
      <c r="BJ526" t="s">
        <v>2371</v>
      </c>
    </row>
    <row r="527" spans="1:62">
      <c r="A527" s="229" t="s">
        <v>53</v>
      </c>
      <c r="B527" s="230" t="s">
        <v>592</v>
      </c>
      <c r="C527" s="230" t="s">
        <v>907</v>
      </c>
      <c r="D527" s="229" t="s">
        <v>804</v>
      </c>
      <c r="E527" s="229" t="s">
        <v>924</v>
      </c>
      <c r="F527" s="229" t="s">
        <v>5791</v>
      </c>
      <c r="G527" s="229" t="s">
        <v>927</v>
      </c>
      <c r="H527" s="229" t="s">
        <v>7421</v>
      </c>
      <c r="I527" s="229" t="s">
        <v>907</v>
      </c>
      <c r="J527" s="231" t="s">
        <v>889</v>
      </c>
      <c r="K527" s="231" t="s">
        <v>845</v>
      </c>
      <c r="L527" s="220" t="str">
        <f t="shared" si="130"/>
        <v>IK36</v>
      </c>
      <c r="M527" s="220" t="str">
        <f t="shared" si="131"/>
        <v/>
      </c>
      <c r="N527" s="220" t="str">
        <f t="shared" si="132"/>
        <v/>
      </c>
      <c r="O527" s="220" t="str">
        <f t="shared" si="133"/>
        <v/>
      </c>
      <c r="P527" s="52" t="str">
        <f t="shared" si="134"/>
        <v>IK36</v>
      </c>
      <c r="Q527" s="231" t="str">
        <f t="shared" ref="Q527:Q590" si="140">I527</f>
        <v>138</v>
      </c>
      <c r="R527" s="224">
        <f t="shared" si="126"/>
        <v>120</v>
      </c>
      <c r="S527" s="52">
        <f t="shared" si="135"/>
        <v>100</v>
      </c>
      <c r="T527" s="221">
        <f t="shared" ca="1" si="136"/>
        <v>2.72</v>
      </c>
      <c r="U527" s="221" t="str">
        <f t="shared" si="137"/>
        <v/>
      </c>
      <c r="V527" s="220" t="str">
        <f t="array" ref="V527">INDEX(P:P,MAX(U$3:U527))</f>
        <v>IK#2DTR(A)</v>
      </c>
      <c r="W527" s="220" t="str">
        <f t="shared" ca="1" si="138"/>
        <v/>
      </c>
      <c r="X527" s="220">
        <f t="shared" si="139"/>
        <v>11.4</v>
      </c>
      <c r="Y527" s="220">
        <f t="shared" si="127"/>
        <v>0</v>
      </c>
      <c r="AA527" s="220" t="str">
        <f t="shared" si="128"/>
        <v>彰化</v>
      </c>
      <c r="AB527" s="220" t="s">
        <v>2372</v>
      </c>
      <c r="AC527" s="220" t="str">
        <f>LEFT(B527,4)</f>
        <v>IK36</v>
      </c>
      <c r="BB527" s="514" t="s">
        <v>2463</v>
      </c>
      <c r="BC527" s="514">
        <v>2875</v>
      </c>
      <c r="BD527" s="514">
        <v>1</v>
      </c>
      <c r="BE527" s="514">
        <v>2876</v>
      </c>
      <c r="BG527" s="229" t="s">
        <v>8722</v>
      </c>
      <c r="BH527" s="230" t="s">
        <v>8730</v>
      </c>
      <c r="BI527" t="s">
        <v>2372</v>
      </c>
      <c r="BJ527" t="s">
        <v>2371</v>
      </c>
    </row>
    <row r="528" spans="1:62">
      <c r="A528" s="229" t="s">
        <v>7646</v>
      </c>
      <c r="B528" s="230" t="s">
        <v>593</v>
      </c>
      <c r="C528" s="230" t="s">
        <v>984</v>
      </c>
      <c r="D528" s="229" t="s">
        <v>804</v>
      </c>
      <c r="E528" s="229" t="s">
        <v>1026</v>
      </c>
      <c r="F528" s="229" t="s">
        <v>7302</v>
      </c>
      <c r="G528" s="229" t="s">
        <v>792</v>
      </c>
      <c r="H528" s="229" t="s">
        <v>804</v>
      </c>
      <c r="I528" s="229" t="s">
        <v>984</v>
      </c>
      <c r="J528" s="231" t="s">
        <v>848</v>
      </c>
      <c r="K528" s="231" t="s">
        <v>5733</v>
      </c>
      <c r="L528" s="220" t="str">
        <f t="shared" si="130"/>
        <v>IK37</v>
      </c>
      <c r="M528" s="220" t="str">
        <f t="shared" si="131"/>
        <v/>
      </c>
      <c r="N528" s="220" t="str">
        <f t="shared" si="132"/>
        <v/>
      </c>
      <c r="O528" s="220" t="str">
        <f t="shared" si="133"/>
        <v/>
      </c>
      <c r="P528" s="52" t="str">
        <f t="shared" si="134"/>
        <v>IK37</v>
      </c>
      <c r="Q528" s="231" t="str">
        <f t="shared" si="140"/>
        <v>216</v>
      </c>
      <c r="R528" s="224">
        <f t="shared" si="126"/>
        <v>205.66666666666666</v>
      </c>
      <c r="S528" s="52">
        <f t="shared" si="135"/>
        <v>187</v>
      </c>
      <c r="T528" s="221">
        <f t="shared" ca="1" si="136"/>
        <v>4.2699999999999996</v>
      </c>
      <c r="U528" s="221" t="str">
        <f t="shared" si="137"/>
        <v/>
      </c>
      <c r="V528" s="220" t="str">
        <f t="array" ref="V528">INDEX(P:P,MAX(U$3:U528))</f>
        <v>IK#2DTR(A)</v>
      </c>
      <c r="W528" s="220" t="str">
        <f t="shared" ca="1" si="138"/>
        <v/>
      </c>
      <c r="X528" s="220">
        <f t="shared" si="139"/>
        <v>11.4</v>
      </c>
      <c r="Y528" s="220">
        <f t="shared" si="127"/>
        <v>0</v>
      </c>
      <c r="AA528" s="220" t="str">
        <f t="shared" si="128"/>
        <v>彰化</v>
      </c>
      <c r="AB528" s="220" t="s">
        <v>2373</v>
      </c>
      <c r="AC528" s="220" t="str">
        <f>LEFT(B528,4)</f>
        <v>IK37</v>
      </c>
      <c r="BB528" s="514" t="s">
        <v>2468</v>
      </c>
      <c r="BC528" s="514">
        <v>13</v>
      </c>
      <c r="BD528" s="514">
        <v>7</v>
      </c>
      <c r="BE528" s="514">
        <v>20</v>
      </c>
      <c r="BG528" s="229" t="s">
        <v>8722</v>
      </c>
      <c r="BH528" s="230" t="s">
        <v>8731</v>
      </c>
      <c r="BI528" t="s">
        <v>2373</v>
      </c>
      <c r="BJ528" t="s">
        <v>2371</v>
      </c>
    </row>
    <row r="529" spans="1:62">
      <c r="A529" s="229" t="s">
        <v>7647</v>
      </c>
      <c r="B529" s="230" t="s">
        <v>7648</v>
      </c>
      <c r="C529" s="230" t="s">
        <v>4719</v>
      </c>
      <c r="D529" s="229" t="s">
        <v>5791</v>
      </c>
      <c r="E529" s="229" t="s">
        <v>3190</v>
      </c>
      <c r="F529" s="229" t="s">
        <v>5791</v>
      </c>
      <c r="G529" s="229" t="s">
        <v>4720</v>
      </c>
      <c r="H529" s="229" t="s">
        <v>5791</v>
      </c>
      <c r="I529" s="229" t="s">
        <v>4719</v>
      </c>
      <c r="J529" s="231" t="s">
        <v>1009</v>
      </c>
      <c r="K529" s="231" t="s">
        <v>804</v>
      </c>
      <c r="L529" s="220" t="str">
        <f t="shared" si="130"/>
        <v>IK38</v>
      </c>
      <c r="M529" s="220" t="str">
        <f t="shared" si="131"/>
        <v/>
      </c>
      <c r="N529" s="220" t="str">
        <f t="shared" si="132"/>
        <v/>
      </c>
      <c r="O529" s="220" t="str">
        <f t="shared" si="133"/>
        <v/>
      </c>
      <c r="P529" s="52" t="str">
        <f t="shared" si="134"/>
        <v>IK38</v>
      </c>
      <c r="Q529" s="231" t="str">
        <f t="shared" si="140"/>
        <v>377</v>
      </c>
      <c r="R529" s="224">
        <f t="shared" si="126"/>
        <v>362</v>
      </c>
      <c r="S529" s="52">
        <f t="shared" si="135"/>
        <v>348</v>
      </c>
      <c r="T529" s="221">
        <f t="shared" ca="1" si="136"/>
        <v>7.44</v>
      </c>
      <c r="U529" s="221" t="str">
        <f t="shared" si="137"/>
        <v/>
      </c>
      <c r="V529" s="220" t="str">
        <f t="array" ref="V529">INDEX(P:P,MAX(U$3:U529))</f>
        <v>IK#2DTR(A)</v>
      </c>
      <c r="W529" s="220" t="str">
        <f t="shared" ca="1" si="138"/>
        <v/>
      </c>
      <c r="X529" s="220">
        <f t="shared" si="139"/>
        <v>11.4</v>
      </c>
      <c r="Y529" s="220">
        <f t="shared" si="127"/>
        <v>0</v>
      </c>
      <c r="AA529" s="220" t="str">
        <f t="shared" si="128"/>
        <v>彰化</v>
      </c>
      <c r="AB529" s="220" t="s">
        <v>2374</v>
      </c>
      <c r="AC529" s="220" t="str">
        <f>LEFT(B529,4)</f>
        <v>IK38</v>
      </c>
      <c r="BB529" s="514" t="s">
        <v>2467</v>
      </c>
      <c r="BC529" s="514">
        <v>2149</v>
      </c>
      <c r="BD529" s="514">
        <v>3</v>
      </c>
      <c r="BE529" s="514">
        <v>2152</v>
      </c>
      <c r="BG529" s="229" t="s">
        <v>8720</v>
      </c>
      <c r="BH529" s="230" t="s">
        <v>8732</v>
      </c>
      <c r="BI529" t="s">
        <v>2374</v>
      </c>
      <c r="BJ529" t="s">
        <v>2371</v>
      </c>
    </row>
    <row r="530" spans="1:62">
      <c r="A530" s="229" t="s">
        <v>7646</v>
      </c>
      <c r="B530" s="230" t="s">
        <v>594</v>
      </c>
      <c r="C530" s="230" t="s">
        <v>1025</v>
      </c>
      <c r="D530" s="229" t="s">
        <v>804</v>
      </c>
      <c r="E530" s="229" t="s">
        <v>1002</v>
      </c>
      <c r="F530" s="229" t="s">
        <v>7302</v>
      </c>
      <c r="G530" s="229" t="s">
        <v>7649</v>
      </c>
      <c r="H530" s="229" t="s">
        <v>7421</v>
      </c>
      <c r="I530" s="229" t="s">
        <v>1002</v>
      </c>
      <c r="J530" s="231" t="s">
        <v>7650</v>
      </c>
      <c r="K530" s="231" t="s">
        <v>7521</v>
      </c>
      <c r="L530" s="220" t="str">
        <f t="shared" si="130"/>
        <v>IK39</v>
      </c>
      <c r="M530" s="220" t="str">
        <f t="shared" si="131"/>
        <v/>
      </c>
      <c r="N530" s="220" t="str">
        <f t="shared" si="132"/>
        <v/>
      </c>
      <c r="O530" s="220" t="str">
        <f t="shared" si="133"/>
        <v/>
      </c>
      <c r="P530" s="52" t="str">
        <f t="shared" si="134"/>
        <v>IK39</v>
      </c>
      <c r="Q530" s="231" t="str">
        <f t="shared" si="140"/>
        <v>182</v>
      </c>
      <c r="R530" s="224">
        <f t="shared" si="126"/>
        <v>179.33333333333334</v>
      </c>
      <c r="S530" s="52">
        <f t="shared" si="135"/>
        <v>176</v>
      </c>
      <c r="T530" s="221">
        <f t="shared" ca="1" si="136"/>
        <v>3.59</v>
      </c>
      <c r="U530" s="221" t="str">
        <f t="shared" si="137"/>
        <v/>
      </c>
      <c r="V530" s="220" t="str">
        <f t="array" ref="V530">INDEX(P:P,MAX(U$3:U530))</f>
        <v>IK#2DTR(A)</v>
      </c>
      <c r="W530" s="220" t="str">
        <f t="shared" ca="1" si="138"/>
        <v/>
      </c>
      <c r="X530" s="220">
        <f t="shared" si="139"/>
        <v>11.4</v>
      </c>
      <c r="Y530" s="220">
        <f t="shared" si="127"/>
        <v>0</v>
      </c>
      <c r="AA530" s="220" t="str">
        <f t="shared" si="128"/>
        <v>彰化</v>
      </c>
      <c r="AB530" s="220" t="s">
        <v>2375</v>
      </c>
      <c r="AC530" s="220" t="str">
        <f>LEFT(B530,4)</f>
        <v>IK39</v>
      </c>
      <c r="BB530" s="514" t="s">
        <v>2472</v>
      </c>
      <c r="BC530" s="514">
        <v>120</v>
      </c>
      <c r="BD530" s="514">
        <v>4</v>
      </c>
      <c r="BE530" s="514">
        <v>124</v>
      </c>
      <c r="BG530" s="229" t="s">
        <v>8722</v>
      </c>
      <c r="BH530" s="230" t="s">
        <v>8733</v>
      </c>
      <c r="BI530" t="s">
        <v>2375</v>
      </c>
      <c r="BJ530" t="s">
        <v>2371</v>
      </c>
    </row>
    <row r="531" spans="1:62">
      <c r="A531" s="229" t="s">
        <v>53</v>
      </c>
      <c r="B531" s="230" t="s">
        <v>7651</v>
      </c>
      <c r="C531" s="230" t="s">
        <v>3181</v>
      </c>
      <c r="D531" s="229" t="s">
        <v>7519</v>
      </c>
      <c r="E531" s="229" t="s">
        <v>3186</v>
      </c>
      <c r="F531" s="229" t="s">
        <v>846</v>
      </c>
      <c r="G531" s="229" t="s">
        <v>7652</v>
      </c>
      <c r="H531" s="229" t="s">
        <v>783</v>
      </c>
      <c r="I531" s="229" t="s">
        <v>3186</v>
      </c>
      <c r="J531" s="231" t="s">
        <v>358</v>
      </c>
      <c r="K531" s="231" t="s">
        <v>358</v>
      </c>
      <c r="L531" s="220" t="str">
        <f t="shared" si="130"/>
        <v>IK#2DTR(B)</v>
      </c>
      <c r="M531" s="220" t="str">
        <f t="shared" si="131"/>
        <v>(B)</v>
      </c>
      <c r="N531" s="220" t="str">
        <f t="shared" si="132"/>
        <v>IK#2DTR</v>
      </c>
      <c r="O531" s="220" t="str">
        <f t="shared" si="133"/>
        <v>(B)</v>
      </c>
      <c r="P531" s="52" t="str">
        <f t="shared" si="134"/>
        <v>IK#2DTR(B)</v>
      </c>
      <c r="Q531" s="231" t="str">
        <f t="shared" si="140"/>
        <v>939</v>
      </c>
      <c r="R531" s="224">
        <f t="shared" si="126"/>
        <v>909</v>
      </c>
      <c r="S531" s="52">
        <f t="shared" si="135"/>
        <v>892</v>
      </c>
      <c r="T531" s="221">
        <f t="shared" ca="1" si="136"/>
        <v>18.54</v>
      </c>
      <c r="U531" s="221">
        <f t="shared" si="137"/>
        <v>531</v>
      </c>
      <c r="V531" s="220" t="str">
        <f t="array" ref="V531">INDEX(P:P,MAX(U$3:U531))</f>
        <v>IK#2DTR(B)</v>
      </c>
      <c r="W531" s="220">
        <f t="shared" ca="1" si="138"/>
        <v>30</v>
      </c>
      <c r="X531" s="220" t="str">
        <f t="shared" si="139"/>
        <v/>
      </c>
      <c r="Y531" s="220">
        <f t="shared" si="127"/>
        <v>0</v>
      </c>
      <c r="AA531" s="220" t="str">
        <f t="shared" si="128"/>
        <v>彰化</v>
      </c>
      <c r="AB531" s="220" t="s">
        <v>2376</v>
      </c>
      <c r="BB531" s="514" t="s">
        <v>2473</v>
      </c>
      <c r="BC531" s="514">
        <v>2983</v>
      </c>
      <c r="BD531" s="514">
        <v>5</v>
      </c>
      <c r="BE531" s="514">
        <v>2988</v>
      </c>
      <c r="BG531" s="229" t="s">
        <v>53</v>
      </c>
      <c r="BH531" s="230" t="s">
        <v>8519</v>
      </c>
      <c r="BI531" t="s">
        <v>2376</v>
      </c>
      <c r="BJ531" t="s">
        <v>2376</v>
      </c>
    </row>
    <row r="532" spans="1:62">
      <c r="A532" s="229" t="s">
        <v>53</v>
      </c>
      <c r="B532" s="230" t="s">
        <v>595</v>
      </c>
      <c r="C532" s="230" t="s">
        <v>5614</v>
      </c>
      <c r="D532" s="229" t="s">
        <v>5628</v>
      </c>
      <c r="E532" s="229" t="s">
        <v>5699</v>
      </c>
      <c r="F532" s="229" t="s">
        <v>5628</v>
      </c>
      <c r="G532" s="229" t="s">
        <v>5699</v>
      </c>
      <c r="H532" s="229" t="s">
        <v>5628</v>
      </c>
      <c r="I532" s="229" t="s">
        <v>5699</v>
      </c>
      <c r="J532" s="231" t="s">
        <v>5699</v>
      </c>
      <c r="K532" s="231" t="s">
        <v>5628</v>
      </c>
      <c r="L532" s="220" t="str">
        <f t="shared" si="130"/>
        <v>IK45</v>
      </c>
      <c r="M532" s="220" t="str">
        <f t="shared" si="131"/>
        <v/>
      </c>
      <c r="N532" s="220" t="str">
        <f t="shared" si="132"/>
        <v/>
      </c>
      <c r="O532" s="220" t="str">
        <f t="shared" si="133"/>
        <v/>
      </c>
      <c r="P532" s="52" t="str">
        <f t="shared" si="134"/>
        <v>IK45</v>
      </c>
      <c r="Q532" s="231" t="str">
        <f t="shared" si="140"/>
        <v>0</v>
      </c>
      <c r="R532" s="224">
        <f t="shared" si="126"/>
        <v>0</v>
      </c>
      <c r="S532" s="52">
        <f t="shared" si="135"/>
        <v>0</v>
      </c>
      <c r="T532" s="221">
        <f t="shared" ca="1" si="136"/>
        <v>0</v>
      </c>
      <c r="U532" s="221" t="str">
        <f t="shared" si="137"/>
        <v/>
      </c>
      <c r="V532" s="220" t="str">
        <f t="array" ref="V532">INDEX(P:P,MAX(U$3:U532))</f>
        <v>IK#2DTR(B)</v>
      </c>
      <c r="W532" s="220" t="str">
        <f t="shared" ca="1" si="138"/>
        <v/>
      </c>
      <c r="X532" s="220">
        <f t="shared" si="139"/>
        <v>11.4</v>
      </c>
      <c r="Y532" s="220">
        <f t="shared" si="127"/>
        <v>0</v>
      </c>
      <c r="AA532" s="220" t="str">
        <f t="shared" si="128"/>
        <v>彰化</v>
      </c>
      <c r="AB532" s="220" t="s">
        <v>2377</v>
      </c>
      <c r="AC532" s="220" t="str">
        <f t="shared" ref="AC532:AC537" si="141">LEFT(B532,4)</f>
        <v>IK45</v>
      </c>
      <c r="BB532" s="514" t="s">
        <v>2474</v>
      </c>
      <c r="BC532" s="514">
        <v>1253</v>
      </c>
      <c r="BD532" s="514">
        <v>7</v>
      </c>
      <c r="BE532" s="514">
        <v>1260</v>
      </c>
      <c r="BG532" s="229" t="s">
        <v>8722</v>
      </c>
      <c r="BH532" s="230" t="s">
        <v>595</v>
      </c>
      <c r="BI532" t="s">
        <v>2377</v>
      </c>
      <c r="BJ532" t="s">
        <v>2376</v>
      </c>
    </row>
    <row r="533" spans="1:62">
      <c r="A533" s="229" t="s">
        <v>7623</v>
      </c>
      <c r="B533" s="230" t="s">
        <v>7653</v>
      </c>
      <c r="C533" s="230" t="s">
        <v>916</v>
      </c>
      <c r="D533" s="229" t="s">
        <v>832</v>
      </c>
      <c r="E533" s="229" t="s">
        <v>7654</v>
      </c>
      <c r="F533" s="229" t="s">
        <v>5580</v>
      </c>
      <c r="G533" s="229" t="s">
        <v>862</v>
      </c>
      <c r="H533" s="229" t="s">
        <v>832</v>
      </c>
      <c r="I533" s="229" t="s">
        <v>1033</v>
      </c>
      <c r="J533" s="231" t="s">
        <v>960</v>
      </c>
      <c r="K533" s="231" t="s">
        <v>783</v>
      </c>
      <c r="L533" s="220" t="str">
        <f t="shared" si="130"/>
        <v>IK44</v>
      </c>
      <c r="M533" s="220" t="str">
        <f t="shared" si="131"/>
        <v/>
      </c>
      <c r="N533" s="220" t="str">
        <f t="shared" si="132"/>
        <v/>
      </c>
      <c r="O533" s="220" t="str">
        <f t="shared" si="133"/>
        <v/>
      </c>
      <c r="P533" s="52" t="str">
        <f t="shared" si="134"/>
        <v>IK44</v>
      </c>
      <c r="Q533" s="231" t="str">
        <f t="shared" si="140"/>
        <v>253</v>
      </c>
      <c r="R533" s="224">
        <f t="shared" si="126"/>
        <v>217.33333333333334</v>
      </c>
      <c r="S533" s="52">
        <f t="shared" si="135"/>
        <v>199</v>
      </c>
      <c r="T533" s="221">
        <f t="shared" ca="1" si="136"/>
        <v>5</v>
      </c>
      <c r="U533" s="221" t="str">
        <f t="shared" si="137"/>
        <v/>
      </c>
      <c r="V533" s="220" t="str">
        <f t="array" ref="V533">INDEX(P:P,MAX(U$3:U533))</f>
        <v>IK#2DTR(B)</v>
      </c>
      <c r="W533" s="220" t="str">
        <f t="shared" ca="1" si="138"/>
        <v/>
      </c>
      <c r="X533" s="220">
        <f t="shared" si="139"/>
        <v>11.4</v>
      </c>
      <c r="Y533" s="220">
        <f t="shared" si="127"/>
        <v>0</v>
      </c>
      <c r="AA533" s="220" t="str">
        <f t="shared" si="128"/>
        <v>彰化</v>
      </c>
      <c r="AB533" s="220" t="s">
        <v>2378</v>
      </c>
      <c r="AC533" s="220" t="str">
        <f t="shared" si="141"/>
        <v>IK44</v>
      </c>
      <c r="BB533" s="514" t="s">
        <v>3262</v>
      </c>
      <c r="BC533" s="514" t="s">
        <v>85</v>
      </c>
      <c r="BD533" s="514" t="s">
        <v>85</v>
      </c>
      <c r="BE533" s="514">
        <v>0</v>
      </c>
      <c r="BG533" s="229" t="s">
        <v>53</v>
      </c>
      <c r="BH533" s="230" t="s">
        <v>8734</v>
      </c>
      <c r="BI533" t="s">
        <v>2378</v>
      </c>
      <c r="BJ533" t="s">
        <v>2376</v>
      </c>
    </row>
    <row r="534" spans="1:62">
      <c r="A534" s="229" t="s">
        <v>53</v>
      </c>
      <c r="B534" s="230" t="s">
        <v>596</v>
      </c>
      <c r="C534" s="230" t="s">
        <v>915</v>
      </c>
      <c r="D534" s="229" t="s">
        <v>832</v>
      </c>
      <c r="E534" s="229" t="s">
        <v>792</v>
      </c>
      <c r="F534" s="229" t="s">
        <v>783</v>
      </c>
      <c r="G534" s="229" t="s">
        <v>986</v>
      </c>
      <c r="H534" s="229" t="s">
        <v>832</v>
      </c>
      <c r="I534" s="229" t="s">
        <v>986</v>
      </c>
      <c r="J534" s="231" t="s">
        <v>7372</v>
      </c>
      <c r="K534" s="231" t="s">
        <v>901</v>
      </c>
      <c r="L534" s="220" t="str">
        <f t="shared" si="130"/>
        <v>IK43</v>
      </c>
      <c r="M534" s="220" t="str">
        <f t="shared" si="131"/>
        <v/>
      </c>
      <c r="N534" s="220" t="str">
        <f t="shared" si="132"/>
        <v/>
      </c>
      <c r="O534" s="220" t="str">
        <f t="shared" si="133"/>
        <v/>
      </c>
      <c r="P534" s="52" t="str">
        <f t="shared" si="134"/>
        <v>IK43</v>
      </c>
      <c r="Q534" s="231" t="str">
        <f t="shared" si="140"/>
        <v>229</v>
      </c>
      <c r="R534" s="224">
        <f t="shared" si="126"/>
        <v>206.33333333333334</v>
      </c>
      <c r="S534" s="52">
        <f t="shared" si="135"/>
        <v>187</v>
      </c>
      <c r="T534" s="221">
        <f t="shared" ca="1" si="136"/>
        <v>4.5199999999999996</v>
      </c>
      <c r="U534" s="221" t="str">
        <f t="shared" si="137"/>
        <v/>
      </c>
      <c r="V534" s="220" t="str">
        <f t="array" ref="V534">INDEX(P:P,MAX(U$3:U534))</f>
        <v>IK#2DTR(B)</v>
      </c>
      <c r="W534" s="220" t="str">
        <f t="shared" ca="1" si="138"/>
        <v/>
      </c>
      <c r="X534" s="220">
        <f t="shared" si="139"/>
        <v>11.4</v>
      </c>
      <c r="Y534" s="220">
        <f t="shared" si="127"/>
        <v>0</v>
      </c>
      <c r="AA534" s="220" t="str">
        <f t="shared" si="128"/>
        <v>彰化</v>
      </c>
      <c r="AB534" s="220" t="s">
        <v>2379</v>
      </c>
      <c r="AC534" s="220" t="str">
        <f t="shared" si="141"/>
        <v>IK43</v>
      </c>
      <c r="BB534" s="514" t="s">
        <v>2476</v>
      </c>
      <c r="BC534" s="514">
        <v>1331</v>
      </c>
      <c r="BD534" s="514">
        <v>9</v>
      </c>
      <c r="BE534" s="514">
        <v>1340</v>
      </c>
      <c r="BG534" s="229" t="s">
        <v>53</v>
      </c>
      <c r="BH534" s="230" t="s">
        <v>8735</v>
      </c>
      <c r="BI534" t="s">
        <v>2379</v>
      </c>
      <c r="BJ534" t="s">
        <v>2376</v>
      </c>
    </row>
    <row r="535" spans="1:62">
      <c r="A535" s="229" t="s">
        <v>53</v>
      </c>
      <c r="B535" s="230" t="s">
        <v>597</v>
      </c>
      <c r="C535" s="230" t="s">
        <v>7655</v>
      </c>
      <c r="D535" s="229" t="s">
        <v>846</v>
      </c>
      <c r="E535" s="229" t="s">
        <v>1053</v>
      </c>
      <c r="F535" s="229" t="s">
        <v>7393</v>
      </c>
      <c r="G535" s="229" t="s">
        <v>3199</v>
      </c>
      <c r="H535" s="229" t="s">
        <v>846</v>
      </c>
      <c r="I535" s="229" t="s">
        <v>1053</v>
      </c>
      <c r="J535" s="231" t="s">
        <v>843</v>
      </c>
      <c r="K535" s="231" t="s">
        <v>7656</v>
      </c>
      <c r="L535" s="220" t="str">
        <f t="shared" si="130"/>
        <v>IK42</v>
      </c>
      <c r="M535" s="220" t="str">
        <f t="shared" si="131"/>
        <v/>
      </c>
      <c r="N535" s="220" t="str">
        <f t="shared" si="132"/>
        <v/>
      </c>
      <c r="O535" s="220" t="str">
        <f t="shared" si="133"/>
        <v/>
      </c>
      <c r="P535" s="52" t="str">
        <f t="shared" si="134"/>
        <v>IK42</v>
      </c>
      <c r="Q535" s="231" t="str">
        <f t="shared" si="140"/>
        <v>332</v>
      </c>
      <c r="R535" s="224">
        <f t="shared" si="126"/>
        <v>322.66666666666669</v>
      </c>
      <c r="S535" s="52">
        <f t="shared" si="135"/>
        <v>307</v>
      </c>
      <c r="T535" s="221">
        <f t="shared" ca="1" si="136"/>
        <v>6.56</v>
      </c>
      <c r="U535" s="221" t="str">
        <f t="shared" si="137"/>
        <v/>
      </c>
      <c r="V535" s="220" t="str">
        <f t="array" ref="V535">INDEX(P:P,MAX(U$3:U535))</f>
        <v>IK#2DTR(B)</v>
      </c>
      <c r="W535" s="220" t="str">
        <f t="shared" ca="1" si="138"/>
        <v/>
      </c>
      <c r="X535" s="220">
        <f t="shared" si="139"/>
        <v>11.4</v>
      </c>
      <c r="Y535" s="220">
        <f t="shared" si="127"/>
        <v>0</v>
      </c>
      <c r="AA535" s="220" t="str">
        <f t="shared" si="128"/>
        <v>彰化</v>
      </c>
      <c r="AB535" s="220" t="s">
        <v>2380</v>
      </c>
      <c r="AC535" s="220" t="str">
        <f t="shared" si="141"/>
        <v>IK42</v>
      </c>
      <c r="BB535" s="514" t="s">
        <v>2477</v>
      </c>
      <c r="BC535" s="514">
        <v>499</v>
      </c>
      <c r="BD535" s="514">
        <v>2</v>
      </c>
      <c r="BE535" s="514">
        <v>501</v>
      </c>
      <c r="BG535" s="229" t="s">
        <v>8720</v>
      </c>
      <c r="BH535" s="230" t="s">
        <v>8736</v>
      </c>
      <c r="BI535" t="s">
        <v>2380</v>
      </c>
      <c r="BJ535" t="s">
        <v>2376</v>
      </c>
    </row>
    <row r="536" spans="1:62">
      <c r="A536" s="229" t="s">
        <v>7647</v>
      </c>
      <c r="B536" s="230" t="s">
        <v>598</v>
      </c>
      <c r="C536" s="230" t="s">
        <v>7657</v>
      </c>
      <c r="D536" s="229" t="s">
        <v>7302</v>
      </c>
      <c r="E536" s="229" t="s">
        <v>7658</v>
      </c>
      <c r="F536" s="229" t="s">
        <v>7421</v>
      </c>
      <c r="G536" s="229" t="s">
        <v>830</v>
      </c>
      <c r="H536" s="229" t="s">
        <v>804</v>
      </c>
      <c r="I536" s="229" t="s">
        <v>830</v>
      </c>
      <c r="J536" s="231" t="s">
        <v>932</v>
      </c>
      <c r="K536" s="231" t="s">
        <v>797</v>
      </c>
      <c r="L536" s="220" t="str">
        <f t="shared" si="130"/>
        <v>IK41</v>
      </c>
      <c r="M536" s="220" t="str">
        <f t="shared" si="131"/>
        <v/>
      </c>
      <c r="N536" s="220" t="str">
        <f t="shared" si="132"/>
        <v/>
      </c>
      <c r="O536" s="220" t="str">
        <f t="shared" si="133"/>
        <v/>
      </c>
      <c r="P536" s="52" t="str">
        <f t="shared" si="134"/>
        <v>IK41</v>
      </c>
      <c r="Q536" s="231" t="str">
        <f t="shared" si="140"/>
        <v>112</v>
      </c>
      <c r="R536" s="224">
        <f t="shared" si="126"/>
        <v>99.333333333333329</v>
      </c>
      <c r="S536" s="52">
        <f t="shared" si="135"/>
        <v>92</v>
      </c>
      <c r="T536" s="221">
        <f t="shared" ca="1" si="136"/>
        <v>2.21</v>
      </c>
      <c r="U536" s="221" t="str">
        <f t="shared" si="137"/>
        <v/>
      </c>
      <c r="V536" s="220" t="str">
        <f t="array" ref="V536">INDEX(P:P,MAX(U$3:U536))</f>
        <v>IK#2DTR(B)</v>
      </c>
      <c r="W536" s="220" t="str">
        <f t="shared" ca="1" si="138"/>
        <v/>
      </c>
      <c r="X536" s="220">
        <f t="shared" si="139"/>
        <v>11.4</v>
      </c>
      <c r="Y536" s="220">
        <f t="shared" si="127"/>
        <v>0</v>
      </c>
      <c r="AA536" s="220" t="str">
        <f t="shared" si="128"/>
        <v>彰化</v>
      </c>
      <c r="AB536" s="220" t="s">
        <v>2381</v>
      </c>
      <c r="AC536" s="220" t="str">
        <f t="shared" si="141"/>
        <v>IK41</v>
      </c>
      <c r="BB536" s="514" t="s">
        <v>2478</v>
      </c>
      <c r="BC536" s="514">
        <v>2151</v>
      </c>
      <c r="BD536" s="514">
        <v>2</v>
      </c>
      <c r="BE536" s="514">
        <v>2153</v>
      </c>
      <c r="BG536" s="229" t="s">
        <v>8720</v>
      </c>
      <c r="BH536" s="230" t="s">
        <v>8737</v>
      </c>
      <c r="BI536" t="s">
        <v>2381</v>
      </c>
      <c r="BJ536" t="s">
        <v>2376</v>
      </c>
    </row>
    <row r="537" spans="1:62">
      <c r="A537" s="229" t="s">
        <v>53</v>
      </c>
      <c r="B537" s="230" t="s">
        <v>599</v>
      </c>
      <c r="C537" s="230" t="s">
        <v>792</v>
      </c>
      <c r="D537" s="229" t="s">
        <v>804</v>
      </c>
      <c r="E537" s="229" t="s">
        <v>969</v>
      </c>
      <c r="F537" s="229" t="s">
        <v>832</v>
      </c>
      <c r="G537" s="229" t="s">
        <v>929</v>
      </c>
      <c r="H537" s="229" t="s">
        <v>804</v>
      </c>
      <c r="I537" s="229" t="s">
        <v>792</v>
      </c>
      <c r="J537" s="231" t="s">
        <v>803</v>
      </c>
      <c r="K537" s="231" t="s">
        <v>797</v>
      </c>
      <c r="L537" s="220" t="str">
        <f t="shared" si="130"/>
        <v>IK40</v>
      </c>
      <c r="M537" s="220" t="str">
        <f t="shared" si="131"/>
        <v/>
      </c>
      <c r="N537" s="220" t="str">
        <f t="shared" si="132"/>
        <v/>
      </c>
      <c r="O537" s="220" t="str">
        <f t="shared" si="133"/>
        <v/>
      </c>
      <c r="P537" s="52" t="str">
        <f t="shared" si="134"/>
        <v>IK40</v>
      </c>
      <c r="Q537" s="231" t="str">
        <f t="shared" si="140"/>
        <v>187</v>
      </c>
      <c r="R537" s="224">
        <f t="shared" si="126"/>
        <v>170.66666666666666</v>
      </c>
      <c r="S537" s="52">
        <f t="shared" si="135"/>
        <v>156</v>
      </c>
      <c r="T537" s="221">
        <f t="shared" ca="1" si="136"/>
        <v>3.69</v>
      </c>
      <c r="U537" s="221" t="str">
        <f t="shared" si="137"/>
        <v/>
      </c>
      <c r="V537" s="220" t="str">
        <f t="array" ref="V537">INDEX(P:P,MAX(U$3:U537))</f>
        <v>IK#2DTR(B)</v>
      </c>
      <c r="W537" s="220" t="str">
        <f t="shared" ca="1" si="138"/>
        <v/>
      </c>
      <c r="X537" s="220">
        <f t="shared" si="139"/>
        <v>11.4</v>
      </c>
      <c r="Y537" s="220">
        <f t="shared" si="127"/>
        <v>0</v>
      </c>
      <c r="AA537" s="220" t="str">
        <f t="shared" si="128"/>
        <v>彰化</v>
      </c>
      <c r="AB537" s="220" t="s">
        <v>2382</v>
      </c>
      <c r="AC537" s="220" t="str">
        <f t="shared" si="141"/>
        <v>IK40</v>
      </c>
      <c r="BB537" s="514" t="s">
        <v>2479</v>
      </c>
      <c r="BC537" s="514">
        <v>1149</v>
      </c>
      <c r="BD537" s="514">
        <v>2</v>
      </c>
      <c r="BE537" s="514">
        <v>1151</v>
      </c>
      <c r="BG537" s="229" t="s">
        <v>8722</v>
      </c>
      <c r="BH537" s="230" t="s">
        <v>8738</v>
      </c>
      <c r="BI537" t="s">
        <v>2382</v>
      </c>
      <c r="BJ537" t="s">
        <v>2376</v>
      </c>
    </row>
    <row r="538" spans="1:62">
      <c r="A538" s="229" t="s">
        <v>54</v>
      </c>
      <c r="B538" s="230" t="s">
        <v>425</v>
      </c>
      <c r="C538" s="230" t="s">
        <v>4654</v>
      </c>
      <c r="D538" s="229" t="s">
        <v>832</v>
      </c>
      <c r="E538" s="229" t="s">
        <v>358</v>
      </c>
      <c r="F538" s="229" t="s">
        <v>358</v>
      </c>
      <c r="G538" s="229" t="s">
        <v>358</v>
      </c>
      <c r="H538" s="229" t="s">
        <v>358</v>
      </c>
      <c r="I538" s="229" t="s">
        <v>4654</v>
      </c>
      <c r="J538" s="231" t="s">
        <v>358</v>
      </c>
      <c r="K538" s="231" t="s">
        <v>358</v>
      </c>
      <c r="L538" s="220" t="str">
        <f t="shared" si="130"/>
        <v>IK#1MTR</v>
      </c>
      <c r="M538" s="220" t="str">
        <f t="shared" si="131"/>
        <v/>
      </c>
      <c r="N538" s="220" t="str">
        <f t="shared" si="132"/>
        <v>IK#1MTR</v>
      </c>
      <c r="O538" s="220" t="str">
        <f t="shared" si="133"/>
        <v/>
      </c>
      <c r="P538" s="52" t="str">
        <f t="shared" si="134"/>
        <v>IK#1MTR</v>
      </c>
      <c r="Q538" s="231" t="str">
        <f t="shared" si="140"/>
        <v>954</v>
      </c>
      <c r="R538" s="224" t="e">
        <f t="shared" si="126"/>
        <v>#VALUE!</v>
      </c>
      <c r="S538" s="52" t="e">
        <f t="shared" si="135"/>
        <v>#VALUE!</v>
      </c>
      <c r="T538" s="221" t="e">
        <f t="shared" ca="1" si="136"/>
        <v>#VALUE!</v>
      </c>
      <c r="U538" s="221">
        <f t="shared" si="137"/>
        <v>538</v>
      </c>
      <c r="V538" s="220" t="str">
        <f t="array" ref="V538">INDEX(P:P,MAX(U$3:U538))</f>
        <v>IK#1MTR</v>
      </c>
      <c r="W538" s="220">
        <f t="shared" ca="1" si="138"/>
        <v>25</v>
      </c>
      <c r="X538" s="220" t="str">
        <f t="shared" si="139"/>
        <v/>
      </c>
      <c r="Y538" s="220">
        <f t="shared" si="127"/>
        <v>0</v>
      </c>
      <c r="AA538" s="220" t="str">
        <f t="shared" si="128"/>
        <v>彰化</v>
      </c>
      <c r="AB538" s="220" t="s">
        <v>2383</v>
      </c>
      <c r="BB538" s="514" t="s">
        <v>2480</v>
      </c>
      <c r="BC538" s="514">
        <v>1872</v>
      </c>
      <c r="BD538" s="514">
        <v>2</v>
      </c>
      <c r="BE538" s="514">
        <v>1874</v>
      </c>
      <c r="BG538" s="229" t="s">
        <v>8739</v>
      </c>
      <c r="BH538" s="230" t="s">
        <v>8470</v>
      </c>
      <c r="BI538" t="s">
        <v>2383</v>
      </c>
      <c r="BJ538" t="s">
        <v>2383</v>
      </c>
    </row>
    <row r="539" spans="1:62">
      <c r="A539" s="229" t="s">
        <v>54</v>
      </c>
      <c r="B539" s="230" t="s">
        <v>7659</v>
      </c>
      <c r="C539" s="230" t="s">
        <v>4721</v>
      </c>
      <c r="D539" s="229" t="s">
        <v>832</v>
      </c>
      <c r="E539" s="229" t="s">
        <v>358</v>
      </c>
      <c r="F539" s="229" t="s">
        <v>358</v>
      </c>
      <c r="G539" s="229" t="s">
        <v>7069</v>
      </c>
      <c r="H539" s="229" t="s">
        <v>5585</v>
      </c>
      <c r="I539" s="229" t="s">
        <v>4721</v>
      </c>
      <c r="J539" s="231" t="s">
        <v>358</v>
      </c>
      <c r="K539" s="231" t="s">
        <v>358</v>
      </c>
      <c r="L539" s="220" t="str">
        <f t="shared" si="130"/>
        <v>IK#2MTR</v>
      </c>
      <c r="M539" s="220" t="str">
        <f t="shared" si="131"/>
        <v/>
      </c>
      <c r="N539" s="220" t="str">
        <f t="shared" si="132"/>
        <v>IK#2MTR</v>
      </c>
      <c r="O539" s="220" t="str">
        <f t="shared" si="133"/>
        <v/>
      </c>
      <c r="P539" s="52" t="str">
        <f t="shared" si="134"/>
        <v>IK#2MTR</v>
      </c>
      <c r="Q539" s="231" t="str">
        <f t="shared" si="140"/>
        <v>1061</v>
      </c>
      <c r="R539" s="224" t="e">
        <f t="shared" si="126"/>
        <v>#VALUE!</v>
      </c>
      <c r="S539" s="52" t="e">
        <f t="shared" si="135"/>
        <v>#VALUE!</v>
      </c>
      <c r="T539" s="221" t="e">
        <f t="shared" ca="1" si="136"/>
        <v>#VALUE!</v>
      </c>
      <c r="U539" s="221">
        <f t="shared" si="137"/>
        <v>539</v>
      </c>
      <c r="V539" s="220" t="str">
        <f t="array" ref="V539">INDEX(P:P,MAX(U$3:U539))</f>
        <v>IK#2MTR</v>
      </c>
      <c r="W539" s="220">
        <f t="shared" ca="1" si="138"/>
        <v>25</v>
      </c>
      <c r="X539" s="220" t="str">
        <f t="shared" si="139"/>
        <v/>
      </c>
      <c r="Y539" s="220">
        <f t="shared" si="127"/>
        <v>0</v>
      </c>
      <c r="AA539" s="220" t="str">
        <f t="shared" si="128"/>
        <v>彰化</v>
      </c>
      <c r="AB539" s="220" t="s">
        <v>2384</v>
      </c>
      <c r="BB539" s="514" t="s">
        <v>2482</v>
      </c>
      <c r="BC539" s="514">
        <v>1432</v>
      </c>
      <c r="BD539" s="514">
        <v>2</v>
      </c>
      <c r="BE539" s="514">
        <v>1434</v>
      </c>
      <c r="BG539" s="229" t="s">
        <v>54</v>
      </c>
      <c r="BH539" s="230" t="s">
        <v>8597</v>
      </c>
      <c r="BI539" t="s">
        <v>2384</v>
      </c>
      <c r="BJ539" t="s">
        <v>2384</v>
      </c>
    </row>
    <row r="540" spans="1:62">
      <c r="A540" s="229" t="s">
        <v>54</v>
      </c>
      <c r="B540" s="230" t="s">
        <v>430</v>
      </c>
      <c r="C540" s="230" t="s">
        <v>4722</v>
      </c>
      <c r="D540" s="229" t="s">
        <v>7521</v>
      </c>
      <c r="E540" s="229" t="s">
        <v>5585</v>
      </c>
      <c r="F540" s="229" t="s">
        <v>358</v>
      </c>
      <c r="G540" s="229" t="s">
        <v>358</v>
      </c>
      <c r="H540" s="229" t="s">
        <v>7526</v>
      </c>
      <c r="I540" s="229" t="s">
        <v>4722</v>
      </c>
      <c r="J540" s="231" t="s">
        <v>5585</v>
      </c>
      <c r="K540" s="231" t="s">
        <v>7526</v>
      </c>
      <c r="L540" s="220" t="str">
        <f t="shared" si="130"/>
        <v>IK#3MTR</v>
      </c>
      <c r="M540" s="220" t="str">
        <f t="shared" si="131"/>
        <v/>
      </c>
      <c r="N540" s="220" t="str">
        <f t="shared" si="132"/>
        <v>IK#3MTR</v>
      </c>
      <c r="O540" s="220" t="str">
        <f t="shared" si="133"/>
        <v/>
      </c>
      <c r="P540" s="52" t="str">
        <f t="shared" si="134"/>
        <v>IK#3MTR</v>
      </c>
      <c r="Q540" s="231" t="str">
        <f t="shared" si="140"/>
        <v>1048</v>
      </c>
      <c r="R540" s="224" t="e">
        <f t="shared" si="126"/>
        <v>#VALUE!</v>
      </c>
      <c r="S540" s="52" t="e">
        <f t="shared" si="135"/>
        <v>#VALUE!</v>
      </c>
      <c r="T540" s="221" t="e">
        <f t="shared" ca="1" si="136"/>
        <v>#VALUE!</v>
      </c>
      <c r="U540" s="221">
        <f t="shared" si="137"/>
        <v>540</v>
      </c>
      <c r="V540" s="220" t="str">
        <f t="array" ref="V540">INDEX(P:P,MAX(U$3:U540))</f>
        <v>IK#3MTR</v>
      </c>
      <c r="W540" s="220">
        <f t="shared" ca="1" si="138"/>
        <v>25</v>
      </c>
      <c r="X540" s="220" t="str">
        <f t="shared" si="139"/>
        <v/>
      </c>
      <c r="Y540" s="220">
        <f t="shared" si="127"/>
        <v>0</v>
      </c>
      <c r="AA540" s="220" t="str">
        <f t="shared" si="128"/>
        <v>彰化</v>
      </c>
      <c r="AB540" s="220" t="s">
        <v>2385</v>
      </c>
      <c r="BB540" s="514" t="s">
        <v>2483</v>
      </c>
      <c r="BC540" s="514">
        <v>850</v>
      </c>
      <c r="BD540" s="514" t="s">
        <v>85</v>
      </c>
      <c r="BE540" s="514">
        <v>850</v>
      </c>
      <c r="BG540" s="229" t="s">
        <v>8740</v>
      </c>
      <c r="BH540" s="230" t="s">
        <v>8538</v>
      </c>
      <c r="BI540" t="s">
        <v>2385</v>
      </c>
      <c r="BJ540" t="s">
        <v>2385</v>
      </c>
    </row>
    <row r="541" spans="1:62">
      <c r="A541" s="229" t="s">
        <v>54</v>
      </c>
      <c r="B541" s="230" t="s">
        <v>531</v>
      </c>
      <c r="C541" s="230" t="s">
        <v>7660</v>
      </c>
      <c r="D541" s="229" t="s">
        <v>832</v>
      </c>
      <c r="E541" s="229" t="s">
        <v>358</v>
      </c>
      <c r="F541" s="229" t="s">
        <v>358</v>
      </c>
      <c r="G541" s="229" t="s">
        <v>358</v>
      </c>
      <c r="H541" s="229" t="s">
        <v>358</v>
      </c>
      <c r="I541" s="229" t="s">
        <v>4723</v>
      </c>
      <c r="J541" s="231" t="s">
        <v>5585</v>
      </c>
      <c r="K541" s="231" t="s">
        <v>358</v>
      </c>
      <c r="L541" s="220" t="str">
        <f t="shared" si="130"/>
        <v>IK#4MTR</v>
      </c>
      <c r="M541" s="220" t="str">
        <f t="shared" si="131"/>
        <v/>
      </c>
      <c r="N541" s="220" t="str">
        <f t="shared" si="132"/>
        <v>IK#4MTR</v>
      </c>
      <c r="O541" s="220" t="str">
        <f t="shared" si="133"/>
        <v/>
      </c>
      <c r="P541" s="52" t="str">
        <f t="shared" si="134"/>
        <v>IK#4MTR</v>
      </c>
      <c r="Q541" s="231" t="str">
        <f t="shared" si="140"/>
        <v>1031</v>
      </c>
      <c r="R541" s="224" t="e">
        <f t="shared" si="126"/>
        <v>#VALUE!</v>
      </c>
      <c r="S541" s="52" t="e">
        <f t="shared" si="135"/>
        <v>#VALUE!</v>
      </c>
      <c r="T541" s="221" t="e">
        <f t="shared" ca="1" si="136"/>
        <v>#VALUE!</v>
      </c>
      <c r="U541" s="221">
        <f t="shared" si="137"/>
        <v>541</v>
      </c>
      <c r="V541" s="220" t="str">
        <f t="array" ref="V541">INDEX(P:P,MAX(U$3:U541))</f>
        <v>IK#4MTR</v>
      </c>
      <c r="W541" s="220">
        <f t="shared" ca="1" si="138"/>
        <v>25</v>
      </c>
      <c r="X541" s="220" t="str">
        <f t="shared" si="139"/>
        <v/>
      </c>
      <c r="Y541" s="220">
        <f t="shared" si="127"/>
        <v>0</v>
      </c>
      <c r="AA541" s="220" t="str">
        <f t="shared" si="128"/>
        <v>彰化</v>
      </c>
      <c r="AB541" s="220" t="s">
        <v>2386</v>
      </c>
      <c r="BB541" s="514" t="s">
        <v>2484</v>
      </c>
      <c r="BC541" s="514">
        <v>2013</v>
      </c>
      <c r="BD541" s="514">
        <v>2</v>
      </c>
      <c r="BE541" s="514">
        <v>2015</v>
      </c>
      <c r="BG541" s="229" t="s">
        <v>8740</v>
      </c>
      <c r="BH541" s="230" t="s">
        <v>8741</v>
      </c>
      <c r="BI541" t="s">
        <v>2386</v>
      </c>
      <c r="BJ541" t="s">
        <v>2386</v>
      </c>
    </row>
    <row r="542" spans="1:62">
      <c r="A542" s="229" t="s">
        <v>7661</v>
      </c>
      <c r="B542" s="230" t="s">
        <v>7662</v>
      </c>
      <c r="C542" s="230" t="s">
        <v>7663</v>
      </c>
      <c r="D542" s="229" t="s">
        <v>6548</v>
      </c>
      <c r="E542" s="229" t="s">
        <v>7664</v>
      </c>
      <c r="F542" s="229" t="s">
        <v>7601</v>
      </c>
      <c r="G542" s="229" t="s">
        <v>4690</v>
      </c>
      <c r="H542" s="229" t="s">
        <v>5791</v>
      </c>
      <c r="I542" s="229" t="s">
        <v>4724</v>
      </c>
      <c r="J542" s="231" t="s">
        <v>358</v>
      </c>
      <c r="K542" s="231" t="s">
        <v>358</v>
      </c>
      <c r="L542" s="220" t="str">
        <f t="shared" si="130"/>
        <v>IL#1MTR</v>
      </c>
      <c r="M542" s="220" t="str">
        <f t="shared" si="131"/>
        <v/>
      </c>
      <c r="N542" s="220" t="str">
        <f t="shared" si="132"/>
        <v>IL#1MTR</v>
      </c>
      <c r="O542" s="220" t="str">
        <f t="shared" si="133"/>
        <v/>
      </c>
      <c r="P542" s="52" t="str">
        <f t="shared" si="134"/>
        <v>IL#1MTR</v>
      </c>
      <c r="Q542" s="231" t="str">
        <f t="shared" si="140"/>
        <v>793</v>
      </c>
      <c r="R542" s="224">
        <f t="shared" si="126"/>
        <v>786.33333333333337</v>
      </c>
      <c r="S542" s="52">
        <f t="shared" si="135"/>
        <v>782</v>
      </c>
      <c r="T542" s="221">
        <f t="shared" ca="1" si="136"/>
        <v>15.66</v>
      </c>
      <c r="U542" s="221">
        <f t="shared" si="137"/>
        <v>542</v>
      </c>
      <c r="V542" s="220" t="str">
        <f t="array" ref="V542">INDEX(P:P,MAX(U$3:U542))</f>
        <v>IL#1MTR</v>
      </c>
      <c r="W542" s="220">
        <f t="shared" ca="1" si="138"/>
        <v>25</v>
      </c>
      <c r="X542" s="220" t="str">
        <f t="shared" si="139"/>
        <v/>
      </c>
      <c r="Y542" s="220">
        <f t="shared" si="127"/>
        <v>0</v>
      </c>
      <c r="AA542" s="220" t="str">
        <f t="shared" si="128"/>
        <v>員南</v>
      </c>
      <c r="AB542" s="220" t="s">
        <v>2387</v>
      </c>
      <c r="BB542" s="514" t="s">
        <v>2485</v>
      </c>
      <c r="BC542" s="514">
        <v>4</v>
      </c>
      <c r="BD542" s="514" t="s">
        <v>85</v>
      </c>
      <c r="BE542" s="514">
        <v>4</v>
      </c>
      <c r="BG542" s="229" t="s">
        <v>8742</v>
      </c>
      <c r="BH542" s="230" t="s">
        <v>8591</v>
      </c>
      <c r="BI542" t="s">
        <v>2387</v>
      </c>
      <c r="BJ542" t="s">
        <v>2387</v>
      </c>
    </row>
    <row r="543" spans="1:62">
      <c r="A543" s="229" t="s">
        <v>7665</v>
      </c>
      <c r="B543" s="230" t="s">
        <v>600</v>
      </c>
      <c r="C543" s="230" t="s">
        <v>5614</v>
      </c>
      <c r="D543" s="229" t="s">
        <v>5628</v>
      </c>
      <c r="E543" s="229" t="s">
        <v>5614</v>
      </c>
      <c r="F543" s="229" t="s">
        <v>5628</v>
      </c>
      <c r="G543" s="229" t="s">
        <v>5614</v>
      </c>
      <c r="H543" s="229" t="s">
        <v>784</v>
      </c>
      <c r="I543" s="229" t="s">
        <v>7642</v>
      </c>
      <c r="J543" s="231" t="s">
        <v>5699</v>
      </c>
      <c r="K543" s="231" t="s">
        <v>5628</v>
      </c>
      <c r="L543" s="220" t="str">
        <f t="shared" si="130"/>
        <v>IL27</v>
      </c>
      <c r="M543" s="220" t="str">
        <f t="shared" si="131"/>
        <v/>
      </c>
      <c r="N543" s="220" t="str">
        <f t="shared" si="132"/>
        <v/>
      </c>
      <c r="O543" s="220" t="str">
        <f t="shared" si="133"/>
        <v/>
      </c>
      <c r="P543" s="52" t="str">
        <f t="shared" si="134"/>
        <v>IL27</v>
      </c>
      <c r="Q543" s="231" t="str">
        <f t="shared" si="140"/>
        <v>0</v>
      </c>
      <c r="R543" s="224">
        <f t="shared" si="126"/>
        <v>0</v>
      </c>
      <c r="S543" s="52">
        <f t="shared" si="135"/>
        <v>0</v>
      </c>
      <c r="T543" s="221">
        <f t="shared" ca="1" si="136"/>
        <v>0</v>
      </c>
      <c r="U543" s="221" t="str">
        <f t="shared" si="137"/>
        <v/>
      </c>
      <c r="V543" s="220" t="str">
        <f t="array" ref="V543">INDEX(P:P,MAX(U$3:U543))</f>
        <v>IL#1MTR</v>
      </c>
      <c r="W543" s="220" t="str">
        <f t="shared" ca="1" si="138"/>
        <v/>
      </c>
      <c r="X543" s="220">
        <f t="shared" si="139"/>
        <v>11.4</v>
      </c>
      <c r="Y543" s="220">
        <f t="shared" si="127"/>
        <v>0</v>
      </c>
      <c r="AA543" s="220" t="str">
        <f t="shared" si="128"/>
        <v>員南</v>
      </c>
      <c r="AB543" s="220" t="s">
        <v>2388</v>
      </c>
      <c r="AC543" s="220" t="str">
        <f t="shared" ref="AC543:AC553" si="142">LEFT(B543,3)</f>
        <v>萬年線</v>
      </c>
      <c r="BB543" s="514" t="s">
        <v>2486</v>
      </c>
      <c r="BC543" s="514">
        <v>1159</v>
      </c>
      <c r="BD543" s="514">
        <v>5</v>
      </c>
      <c r="BE543" s="514">
        <v>1164</v>
      </c>
      <c r="BG543" s="229" t="s">
        <v>7698</v>
      </c>
      <c r="BH543" s="230" t="s">
        <v>600</v>
      </c>
      <c r="BI543" t="s">
        <v>2388</v>
      </c>
      <c r="BJ543" t="s">
        <v>2387</v>
      </c>
    </row>
    <row r="544" spans="1:62">
      <c r="A544" s="229" t="s">
        <v>7661</v>
      </c>
      <c r="B544" s="230" t="s">
        <v>7666</v>
      </c>
      <c r="C544" s="230" t="s">
        <v>7667</v>
      </c>
      <c r="D544" s="229" t="s">
        <v>804</v>
      </c>
      <c r="E544" s="229" t="s">
        <v>7668</v>
      </c>
      <c r="F544" s="229" t="s">
        <v>5580</v>
      </c>
      <c r="G544" s="229" t="s">
        <v>7669</v>
      </c>
      <c r="H544" s="229" t="s">
        <v>7421</v>
      </c>
      <c r="I544" s="229" t="s">
        <v>7670</v>
      </c>
      <c r="J544" s="231" t="s">
        <v>967</v>
      </c>
      <c r="K544" s="231" t="s">
        <v>5682</v>
      </c>
      <c r="L544" s="220" t="str">
        <f t="shared" si="130"/>
        <v>IL22</v>
      </c>
      <c r="M544" s="220" t="str">
        <f t="shared" si="131"/>
        <v/>
      </c>
      <c r="N544" s="220" t="str">
        <f t="shared" si="132"/>
        <v/>
      </c>
      <c r="O544" s="220" t="str">
        <f t="shared" si="133"/>
        <v/>
      </c>
      <c r="P544" s="52" t="str">
        <f t="shared" si="134"/>
        <v>IL22</v>
      </c>
      <c r="Q544" s="231" t="str">
        <f t="shared" si="140"/>
        <v>299</v>
      </c>
      <c r="R544" s="224">
        <f t="shared" si="126"/>
        <v>284.33333333333331</v>
      </c>
      <c r="S544" s="52">
        <f t="shared" si="135"/>
        <v>274</v>
      </c>
      <c r="T544" s="221">
        <f t="shared" ca="1" si="136"/>
        <v>5.9</v>
      </c>
      <c r="U544" s="221" t="str">
        <f t="shared" si="137"/>
        <v/>
      </c>
      <c r="V544" s="220" t="str">
        <f t="array" ref="V544">INDEX(P:P,MAX(U$3:U544))</f>
        <v>IL#1MTR</v>
      </c>
      <c r="W544" s="220" t="str">
        <f t="shared" ca="1" si="138"/>
        <v/>
      </c>
      <c r="X544" s="220">
        <f t="shared" si="139"/>
        <v>11.4</v>
      </c>
      <c r="Y544" s="220">
        <f t="shared" si="127"/>
        <v>0</v>
      </c>
      <c r="AA544" s="220" t="str">
        <f t="shared" si="128"/>
        <v>員南</v>
      </c>
      <c r="AB544" s="220" t="s">
        <v>2389</v>
      </c>
      <c r="AC544" s="220" t="str">
        <f t="shared" si="142"/>
        <v>南靖線</v>
      </c>
      <c r="BB544" s="514" t="s">
        <v>2488</v>
      </c>
      <c r="BC544" s="514">
        <v>1058</v>
      </c>
      <c r="BD544" s="514">
        <v>3</v>
      </c>
      <c r="BE544" s="514">
        <v>1061</v>
      </c>
      <c r="BG544" s="229" t="s">
        <v>8742</v>
      </c>
      <c r="BH544" s="230" t="s">
        <v>8743</v>
      </c>
      <c r="BI544" t="s">
        <v>2389</v>
      </c>
      <c r="BJ544" t="s">
        <v>2387</v>
      </c>
    </row>
    <row r="545" spans="1:62">
      <c r="A545" s="229" t="s">
        <v>7661</v>
      </c>
      <c r="B545" s="230" t="s">
        <v>601</v>
      </c>
      <c r="C545" s="230" t="s">
        <v>7671</v>
      </c>
      <c r="D545" s="229" t="s">
        <v>5641</v>
      </c>
      <c r="E545" s="229" t="s">
        <v>6655</v>
      </c>
      <c r="F545" s="229" t="s">
        <v>832</v>
      </c>
      <c r="G545" s="229" t="s">
        <v>918</v>
      </c>
      <c r="H545" s="229" t="s">
        <v>5580</v>
      </c>
      <c r="I545" s="229" t="s">
        <v>7671</v>
      </c>
      <c r="J545" s="231" t="s">
        <v>7307</v>
      </c>
      <c r="K545" s="231" t="s">
        <v>6190</v>
      </c>
      <c r="L545" s="220" t="str">
        <f t="shared" si="130"/>
        <v>IL21</v>
      </c>
      <c r="M545" s="220" t="str">
        <f t="shared" si="131"/>
        <v/>
      </c>
      <c r="N545" s="220" t="str">
        <f t="shared" si="132"/>
        <v/>
      </c>
      <c r="O545" s="220" t="str">
        <f t="shared" si="133"/>
        <v/>
      </c>
      <c r="P545" s="52" t="str">
        <f t="shared" si="134"/>
        <v>IL21</v>
      </c>
      <c r="Q545" s="231" t="str">
        <f t="shared" si="140"/>
        <v>150</v>
      </c>
      <c r="R545" s="224">
        <f t="shared" ref="R545:R608" si="143">AVERAGE(C545*1,E545*1,G545*1)</f>
        <v>136.66666666666666</v>
      </c>
      <c r="S545" s="52">
        <f t="shared" si="135"/>
        <v>113</v>
      </c>
      <c r="T545" s="221">
        <f t="shared" ca="1" si="136"/>
        <v>2.96</v>
      </c>
      <c r="U545" s="221" t="str">
        <f t="shared" si="137"/>
        <v/>
      </c>
      <c r="V545" s="220" t="str">
        <f t="array" ref="V545">INDEX(P:P,MAX(U$3:U545))</f>
        <v>IL#1MTR</v>
      </c>
      <c r="W545" s="220" t="str">
        <f t="shared" ca="1" si="138"/>
        <v/>
      </c>
      <c r="X545" s="220">
        <f t="shared" si="139"/>
        <v>11.4</v>
      </c>
      <c r="Y545" s="220">
        <f t="shared" si="127"/>
        <v>0</v>
      </c>
      <c r="AA545" s="220" t="str">
        <f t="shared" si="128"/>
        <v>員南</v>
      </c>
      <c r="AB545" s="220" t="s">
        <v>2390</v>
      </c>
      <c r="AC545" s="220" t="str">
        <f t="shared" si="142"/>
        <v>經口線</v>
      </c>
      <c r="BB545" s="514" t="s">
        <v>2489</v>
      </c>
      <c r="BC545" s="514">
        <v>2397</v>
      </c>
      <c r="BD545" s="514" t="s">
        <v>85</v>
      </c>
      <c r="BE545" s="514">
        <v>2397</v>
      </c>
      <c r="BG545" s="229" t="s">
        <v>8742</v>
      </c>
      <c r="BH545" s="230" t="s">
        <v>8744</v>
      </c>
      <c r="BI545" t="s">
        <v>2390</v>
      </c>
      <c r="BJ545" t="s">
        <v>2387</v>
      </c>
    </row>
    <row r="546" spans="1:62">
      <c r="A546" s="229" t="s">
        <v>7661</v>
      </c>
      <c r="B546" s="230" t="s">
        <v>7672</v>
      </c>
      <c r="C546" s="230" t="s">
        <v>7673</v>
      </c>
      <c r="D546" s="229" t="s">
        <v>5641</v>
      </c>
      <c r="E546" s="229" t="s">
        <v>7674</v>
      </c>
      <c r="F546" s="229" t="s">
        <v>5641</v>
      </c>
      <c r="G546" s="229" t="s">
        <v>7621</v>
      </c>
      <c r="H546" s="229" t="s">
        <v>804</v>
      </c>
      <c r="I546" s="229" t="s">
        <v>7621</v>
      </c>
      <c r="J546" s="231" t="s">
        <v>879</v>
      </c>
      <c r="K546" s="231" t="s">
        <v>6190</v>
      </c>
      <c r="L546" s="220" t="str">
        <f t="shared" si="130"/>
        <v>IL23</v>
      </c>
      <c r="M546" s="220" t="str">
        <f t="shared" si="131"/>
        <v/>
      </c>
      <c r="N546" s="220" t="str">
        <f t="shared" si="132"/>
        <v/>
      </c>
      <c r="O546" s="220" t="str">
        <f t="shared" si="133"/>
        <v/>
      </c>
      <c r="P546" s="52" t="str">
        <f t="shared" si="134"/>
        <v>IL23</v>
      </c>
      <c r="Q546" s="231" t="str">
        <f t="shared" si="140"/>
        <v>271</v>
      </c>
      <c r="R546" s="224">
        <f t="shared" si="143"/>
        <v>254.66666666666666</v>
      </c>
      <c r="S546" s="52">
        <f t="shared" si="135"/>
        <v>236</v>
      </c>
      <c r="T546" s="221">
        <f t="shared" ca="1" si="136"/>
        <v>5.35</v>
      </c>
      <c r="U546" s="221" t="str">
        <f t="shared" si="137"/>
        <v/>
      </c>
      <c r="V546" s="220" t="str">
        <f t="array" ref="V546">INDEX(P:P,MAX(U$3:U546))</f>
        <v>IL#1MTR</v>
      </c>
      <c r="W546" s="220" t="str">
        <f t="shared" ca="1" si="138"/>
        <v/>
      </c>
      <c r="X546" s="220">
        <f t="shared" si="139"/>
        <v>11.4</v>
      </c>
      <c r="Y546" s="220">
        <f t="shared" si="127"/>
        <v>0</v>
      </c>
      <c r="AA546" s="220" t="str">
        <f t="shared" si="128"/>
        <v>員南</v>
      </c>
      <c r="AB546" s="220" t="s">
        <v>2391</v>
      </c>
      <c r="AC546" s="220" t="str">
        <f t="shared" si="142"/>
        <v>太平線</v>
      </c>
      <c r="BB546" s="514" t="s">
        <v>2490</v>
      </c>
      <c r="BC546" s="514">
        <v>992</v>
      </c>
      <c r="BD546" s="514">
        <v>1</v>
      </c>
      <c r="BE546" s="514">
        <v>993</v>
      </c>
      <c r="BG546" s="229" t="s">
        <v>7698</v>
      </c>
      <c r="BH546" s="230" t="s">
        <v>8745</v>
      </c>
      <c r="BI546" t="s">
        <v>2391</v>
      </c>
      <c r="BJ546" t="s">
        <v>2387</v>
      </c>
    </row>
    <row r="547" spans="1:62">
      <c r="A547" s="229" t="s">
        <v>7665</v>
      </c>
      <c r="B547" s="230" t="s">
        <v>7675</v>
      </c>
      <c r="C547" s="230" t="s">
        <v>7676</v>
      </c>
      <c r="D547" s="229" t="s">
        <v>5791</v>
      </c>
      <c r="E547" s="229" t="s">
        <v>969</v>
      </c>
      <c r="F547" s="229" t="s">
        <v>5791</v>
      </c>
      <c r="G547" s="229" t="s">
        <v>853</v>
      </c>
      <c r="H547" s="229" t="s">
        <v>5791</v>
      </c>
      <c r="I547" s="229" t="s">
        <v>7677</v>
      </c>
      <c r="J547" s="231" t="s">
        <v>7678</v>
      </c>
      <c r="K547" s="231" t="s">
        <v>7180</v>
      </c>
      <c r="L547" s="220" t="str">
        <f t="shared" si="130"/>
        <v>IL24</v>
      </c>
      <c r="M547" s="220" t="str">
        <f t="shared" si="131"/>
        <v/>
      </c>
      <c r="N547" s="220" t="str">
        <f t="shared" si="132"/>
        <v/>
      </c>
      <c r="O547" s="220" t="str">
        <f t="shared" si="133"/>
        <v/>
      </c>
      <c r="P547" s="52" t="str">
        <f t="shared" si="134"/>
        <v>IL24</v>
      </c>
      <c r="Q547" s="231" t="str">
        <f t="shared" si="140"/>
        <v>173</v>
      </c>
      <c r="R547" s="224">
        <f t="shared" si="143"/>
        <v>169.66666666666666</v>
      </c>
      <c r="S547" s="52">
        <f t="shared" si="135"/>
        <v>167</v>
      </c>
      <c r="T547" s="221">
        <f t="shared" ca="1" si="136"/>
        <v>3.42</v>
      </c>
      <c r="U547" s="221" t="str">
        <f t="shared" si="137"/>
        <v/>
      </c>
      <c r="V547" s="220" t="str">
        <f t="array" ref="V547">INDEX(P:P,MAX(U$3:U547))</f>
        <v>IL#1MTR</v>
      </c>
      <c r="W547" s="220" t="str">
        <f t="shared" ca="1" si="138"/>
        <v/>
      </c>
      <c r="X547" s="220">
        <f t="shared" si="139"/>
        <v>11.4</v>
      </c>
      <c r="Y547" s="220">
        <f t="shared" si="127"/>
        <v>0</v>
      </c>
      <c r="AA547" s="220" t="str">
        <f t="shared" si="128"/>
        <v>員南</v>
      </c>
      <c r="AB547" s="220" t="s">
        <v>2392</v>
      </c>
      <c r="AC547" s="220" t="str">
        <f t="shared" si="142"/>
        <v>中央線</v>
      </c>
      <c r="BB547" s="514" t="s">
        <v>2491</v>
      </c>
      <c r="BC547" s="514">
        <v>2201</v>
      </c>
      <c r="BD547" s="514" t="s">
        <v>85</v>
      </c>
      <c r="BE547" s="514">
        <v>2201</v>
      </c>
      <c r="BG547" s="229" t="s">
        <v>7698</v>
      </c>
      <c r="BH547" s="230" t="s">
        <v>8746</v>
      </c>
      <c r="BI547" t="s">
        <v>2392</v>
      </c>
      <c r="BJ547" t="s">
        <v>2387</v>
      </c>
    </row>
    <row r="548" spans="1:62">
      <c r="A548" s="229" t="s">
        <v>7661</v>
      </c>
      <c r="B548" s="230" t="s">
        <v>6768</v>
      </c>
      <c r="C548" s="230" t="s">
        <v>7679</v>
      </c>
      <c r="D548" s="229" t="s">
        <v>5641</v>
      </c>
      <c r="E548" s="229" t="s">
        <v>7680</v>
      </c>
      <c r="F548" s="229" t="s">
        <v>804</v>
      </c>
      <c r="G548" s="229" t="s">
        <v>7681</v>
      </c>
      <c r="H548" s="229" t="s">
        <v>5641</v>
      </c>
      <c r="I548" s="229" t="s">
        <v>1034</v>
      </c>
      <c r="J548" s="231" t="s">
        <v>5585</v>
      </c>
      <c r="K548" s="231" t="s">
        <v>5585</v>
      </c>
      <c r="L548" s="220" t="str">
        <f t="shared" si="130"/>
        <v>IL#2MTR</v>
      </c>
      <c r="M548" s="220" t="str">
        <f t="shared" si="131"/>
        <v/>
      </c>
      <c r="N548" s="220" t="str">
        <f t="shared" si="132"/>
        <v>IL#2MTR</v>
      </c>
      <c r="O548" s="220" t="str">
        <f t="shared" si="133"/>
        <v/>
      </c>
      <c r="P548" s="52" t="str">
        <f t="shared" si="134"/>
        <v>IL#2MTR</v>
      </c>
      <c r="Q548" s="231" t="str">
        <f t="shared" si="140"/>
        <v>732</v>
      </c>
      <c r="R548" s="224">
        <f t="shared" si="143"/>
        <v>680.66666666666663</v>
      </c>
      <c r="S548" s="52">
        <f t="shared" si="135"/>
        <v>638</v>
      </c>
      <c r="T548" s="221">
        <f t="shared" ca="1" si="136"/>
        <v>14.45</v>
      </c>
      <c r="U548" s="221">
        <f t="shared" si="137"/>
        <v>548</v>
      </c>
      <c r="V548" s="220" t="str">
        <f t="array" ref="V548">INDEX(P:P,MAX(U$3:U548))</f>
        <v>IL#2MTR</v>
      </c>
      <c r="W548" s="220">
        <f t="shared" ca="1" si="138"/>
        <v>25</v>
      </c>
      <c r="X548" s="220" t="str">
        <f t="shared" si="139"/>
        <v/>
      </c>
      <c r="Y548" s="220">
        <f t="shared" si="127"/>
        <v>0</v>
      </c>
      <c r="AA548" s="220" t="str">
        <f t="shared" si="128"/>
        <v>員南</v>
      </c>
      <c r="AB548" s="220" t="s">
        <v>2393</v>
      </c>
      <c r="AC548" s="220" t="str">
        <f t="shared" si="142"/>
        <v>#2M</v>
      </c>
      <c r="BB548" s="514" t="s">
        <v>2492</v>
      </c>
      <c r="BC548" s="514">
        <v>1433</v>
      </c>
      <c r="BD548" s="514">
        <v>3</v>
      </c>
      <c r="BE548" s="514">
        <v>1436</v>
      </c>
      <c r="BG548" s="229" t="s">
        <v>7665</v>
      </c>
      <c r="BH548" s="230" t="s">
        <v>427</v>
      </c>
      <c r="BI548" t="s">
        <v>2393</v>
      </c>
      <c r="BJ548" t="s">
        <v>2393</v>
      </c>
    </row>
    <row r="549" spans="1:62">
      <c r="A549" s="229" t="s">
        <v>7661</v>
      </c>
      <c r="B549" s="230" t="s">
        <v>7682</v>
      </c>
      <c r="C549" s="230" t="s">
        <v>7683</v>
      </c>
      <c r="D549" s="229" t="s">
        <v>7421</v>
      </c>
      <c r="E549" s="229" t="s">
        <v>1021</v>
      </c>
      <c r="F549" s="229" t="s">
        <v>5641</v>
      </c>
      <c r="G549" s="229" t="s">
        <v>7684</v>
      </c>
      <c r="H549" s="229" t="s">
        <v>5641</v>
      </c>
      <c r="I549" s="229" t="s">
        <v>970</v>
      </c>
      <c r="J549" s="231" t="s">
        <v>7234</v>
      </c>
      <c r="K549" s="231" t="s">
        <v>5764</v>
      </c>
      <c r="L549" s="220" t="str">
        <f t="shared" si="130"/>
        <v>IL32</v>
      </c>
      <c r="M549" s="220" t="str">
        <f t="shared" si="131"/>
        <v/>
      </c>
      <c r="N549" s="220" t="str">
        <f t="shared" si="132"/>
        <v/>
      </c>
      <c r="O549" s="220" t="str">
        <f t="shared" si="133"/>
        <v/>
      </c>
      <c r="P549" s="52" t="str">
        <f t="shared" si="134"/>
        <v>IL32</v>
      </c>
      <c r="Q549" s="231" t="str">
        <f t="shared" si="140"/>
        <v>190</v>
      </c>
      <c r="R549" s="224">
        <f t="shared" si="143"/>
        <v>178.66666666666666</v>
      </c>
      <c r="S549" s="52">
        <f t="shared" si="135"/>
        <v>172</v>
      </c>
      <c r="T549" s="221">
        <f t="shared" ca="1" si="136"/>
        <v>3.75</v>
      </c>
      <c r="U549" s="221" t="str">
        <f t="shared" si="137"/>
        <v/>
      </c>
      <c r="V549" s="220" t="str">
        <f t="array" ref="V549">INDEX(P:P,MAX(U$3:U549))</f>
        <v>IL#2MTR</v>
      </c>
      <c r="W549" s="220" t="str">
        <f t="shared" ca="1" si="138"/>
        <v/>
      </c>
      <c r="X549" s="220">
        <f t="shared" si="139"/>
        <v>11.4</v>
      </c>
      <c r="Y549" s="220">
        <f t="shared" si="127"/>
        <v>0</v>
      </c>
      <c r="AA549" s="220" t="str">
        <f t="shared" si="128"/>
        <v>員南</v>
      </c>
      <c r="AB549" s="220" t="s">
        <v>2394</v>
      </c>
      <c r="AC549" s="220" t="str">
        <f t="shared" si="142"/>
        <v>大華線</v>
      </c>
      <c r="BB549" s="514" t="s">
        <v>2501</v>
      </c>
      <c r="BC549" s="514">
        <v>4955</v>
      </c>
      <c r="BD549" s="514">
        <v>1</v>
      </c>
      <c r="BE549" s="514">
        <v>4956</v>
      </c>
      <c r="BG549" s="229" t="s">
        <v>7665</v>
      </c>
      <c r="BH549" s="230" t="s">
        <v>8747</v>
      </c>
      <c r="BI549" t="s">
        <v>2394</v>
      </c>
      <c r="BJ549" t="s">
        <v>2393</v>
      </c>
    </row>
    <row r="550" spans="1:62">
      <c r="A550" s="229" t="s">
        <v>7661</v>
      </c>
      <c r="B550" s="230" t="s">
        <v>7685</v>
      </c>
      <c r="C550" s="230" t="s">
        <v>7686</v>
      </c>
      <c r="D550" s="229" t="s">
        <v>6548</v>
      </c>
      <c r="E550" s="229" t="s">
        <v>7687</v>
      </c>
      <c r="F550" s="229" t="s">
        <v>7601</v>
      </c>
      <c r="G550" s="229" t="s">
        <v>7494</v>
      </c>
      <c r="H550" s="229" t="s">
        <v>6095</v>
      </c>
      <c r="I550" s="229" t="s">
        <v>7687</v>
      </c>
      <c r="J550" s="231" t="s">
        <v>6155</v>
      </c>
      <c r="K550" s="231" t="s">
        <v>7257</v>
      </c>
      <c r="L550" s="220" t="str">
        <f t="shared" si="130"/>
        <v>IL29</v>
      </c>
      <c r="M550" s="220" t="str">
        <f t="shared" si="131"/>
        <v/>
      </c>
      <c r="N550" s="220" t="str">
        <f t="shared" si="132"/>
        <v/>
      </c>
      <c r="O550" s="220" t="str">
        <f t="shared" si="133"/>
        <v/>
      </c>
      <c r="P550" s="52" t="str">
        <f t="shared" si="134"/>
        <v>IL29</v>
      </c>
      <c r="Q550" s="231" t="str">
        <f t="shared" si="140"/>
        <v>83</v>
      </c>
      <c r="R550" s="224">
        <f t="shared" si="143"/>
        <v>71</v>
      </c>
      <c r="S550" s="52">
        <f t="shared" si="135"/>
        <v>49</v>
      </c>
      <c r="T550" s="221">
        <f t="shared" ca="1" si="136"/>
        <v>1.64</v>
      </c>
      <c r="U550" s="221" t="str">
        <f t="shared" si="137"/>
        <v/>
      </c>
      <c r="V550" s="220" t="str">
        <f t="array" ref="V550">INDEX(P:P,MAX(U$3:U550))</f>
        <v>IL#2MTR</v>
      </c>
      <c r="W550" s="220" t="str">
        <f t="shared" ca="1" si="138"/>
        <v/>
      </c>
      <c r="X550" s="220">
        <f t="shared" si="139"/>
        <v>11.4</v>
      </c>
      <c r="Y550" s="220">
        <f t="shared" si="127"/>
        <v>0</v>
      </c>
      <c r="AA550" s="220" t="str">
        <f t="shared" si="128"/>
        <v>員南</v>
      </c>
      <c r="AB550" s="220" t="s">
        <v>2395</v>
      </c>
      <c r="AC550" s="220" t="str">
        <f t="shared" si="142"/>
        <v>瓦瑤線</v>
      </c>
      <c r="BB550" s="514" t="s">
        <v>2494</v>
      </c>
      <c r="BC550" s="514">
        <v>2778</v>
      </c>
      <c r="BD550" s="514">
        <v>1</v>
      </c>
      <c r="BE550" s="514">
        <v>2779</v>
      </c>
      <c r="BG550" s="229" t="s">
        <v>7698</v>
      </c>
      <c r="BH550" s="230" t="s">
        <v>8748</v>
      </c>
      <c r="BI550" t="s">
        <v>2395</v>
      </c>
      <c r="BJ550" t="s">
        <v>2393</v>
      </c>
    </row>
    <row r="551" spans="1:62">
      <c r="A551" s="229" t="s">
        <v>7688</v>
      </c>
      <c r="B551" s="230" t="s">
        <v>7689</v>
      </c>
      <c r="C551" s="230" t="s">
        <v>7690</v>
      </c>
      <c r="D551" s="229" t="s">
        <v>5641</v>
      </c>
      <c r="E551" s="229" t="s">
        <v>7691</v>
      </c>
      <c r="F551" s="229" t="s">
        <v>7496</v>
      </c>
      <c r="G551" s="229" t="s">
        <v>7692</v>
      </c>
      <c r="H551" s="229" t="s">
        <v>5641</v>
      </c>
      <c r="I551" s="229" t="s">
        <v>7693</v>
      </c>
      <c r="J551" s="231" t="s">
        <v>7694</v>
      </c>
      <c r="K551" s="231" t="s">
        <v>7498</v>
      </c>
      <c r="L551" s="220" t="str">
        <f t="shared" si="130"/>
        <v>IL25</v>
      </c>
      <c r="M551" s="220" t="str">
        <f t="shared" si="131"/>
        <v/>
      </c>
      <c r="N551" s="220" t="str">
        <f t="shared" si="132"/>
        <v/>
      </c>
      <c r="O551" s="220" t="str">
        <f t="shared" si="133"/>
        <v/>
      </c>
      <c r="P551" s="52" t="str">
        <f t="shared" si="134"/>
        <v>IL25</v>
      </c>
      <c r="Q551" s="231" t="str">
        <f t="shared" si="140"/>
        <v>208</v>
      </c>
      <c r="R551" s="224">
        <f t="shared" si="143"/>
        <v>194</v>
      </c>
      <c r="S551" s="52">
        <f t="shared" si="135"/>
        <v>180</v>
      </c>
      <c r="T551" s="221">
        <f t="shared" ca="1" si="136"/>
        <v>4.1100000000000003</v>
      </c>
      <c r="U551" s="221" t="str">
        <f t="shared" si="137"/>
        <v/>
      </c>
      <c r="V551" s="220" t="str">
        <f t="array" ref="V551">INDEX(P:P,MAX(U$3:U551))</f>
        <v>IL#2MTR</v>
      </c>
      <c r="W551" s="220" t="str">
        <f t="shared" ca="1" si="138"/>
        <v/>
      </c>
      <c r="X551" s="220">
        <f t="shared" si="139"/>
        <v>11.4</v>
      </c>
      <c r="Y551" s="220">
        <f t="shared" si="127"/>
        <v>0</v>
      </c>
      <c r="AA551" s="220" t="str">
        <f t="shared" si="128"/>
        <v>員南</v>
      </c>
      <c r="AB551" s="220" t="s">
        <v>2396</v>
      </c>
      <c r="AC551" s="220" t="str">
        <f t="shared" si="142"/>
        <v>溝皂線</v>
      </c>
      <c r="BB551" s="514" t="s">
        <v>2514</v>
      </c>
      <c r="BC551" s="514">
        <v>2337</v>
      </c>
      <c r="BD551" s="514">
        <v>2</v>
      </c>
      <c r="BE551" s="514">
        <v>2339</v>
      </c>
      <c r="BG551" s="229" t="s">
        <v>8742</v>
      </c>
      <c r="BH551" s="230" t="s">
        <v>8749</v>
      </c>
      <c r="BI551" t="s">
        <v>2396</v>
      </c>
      <c r="BJ551" t="s">
        <v>2393</v>
      </c>
    </row>
    <row r="552" spans="1:62">
      <c r="A552" s="229" t="s">
        <v>7665</v>
      </c>
      <c r="B552" s="230" t="s">
        <v>602</v>
      </c>
      <c r="C552" s="230" t="s">
        <v>976</v>
      </c>
      <c r="D552" s="229" t="s">
        <v>832</v>
      </c>
      <c r="E552" s="229" t="s">
        <v>976</v>
      </c>
      <c r="F552" s="229" t="s">
        <v>832</v>
      </c>
      <c r="G552" s="229" t="s">
        <v>880</v>
      </c>
      <c r="H552" s="229" t="s">
        <v>5733</v>
      </c>
      <c r="I552" s="229" t="s">
        <v>7695</v>
      </c>
      <c r="J552" s="231" t="s">
        <v>5614</v>
      </c>
      <c r="K552" s="231" t="s">
        <v>784</v>
      </c>
      <c r="L552" s="220" t="str">
        <f t="shared" si="130"/>
        <v>IL20</v>
      </c>
      <c r="M552" s="220" t="str">
        <f t="shared" si="131"/>
        <v/>
      </c>
      <c r="N552" s="220" t="str">
        <f t="shared" si="132"/>
        <v/>
      </c>
      <c r="O552" s="220" t="str">
        <f t="shared" si="133"/>
        <v/>
      </c>
      <c r="P552" s="52" t="str">
        <f t="shared" si="134"/>
        <v>IL20</v>
      </c>
      <c r="Q552" s="231" t="str">
        <f t="shared" si="140"/>
        <v>119</v>
      </c>
      <c r="R552" s="224">
        <f t="shared" si="143"/>
        <v>118.33333333333333</v>
      </c>
      <c r="S552" s="52">
        <f t="shared" si="135"/>
        <v>118</v>
      </c>
      <c r="T552" s="221">
        <f t="shared" ca="1" si="136"/>
        <v>2.35</v>
      </c>
      <c r="U552" s="221" t="str">
        <f t="shared" si="137"/>
        <v/>
      </c>
      <c r="V552" s="220" t="str">
        <f t="array" ref="V552">INDEX(P:P,MAX(U$3:U552))</f>
        <v>IL#2MTR</v>
      </c>
      <c r="W552" s="220" t="str">
        <f t="shared" ca="1" si="138"/>
        <v/>
      </c>
      <c r="X552" s="220">
        <f t="shared" si="139"/>
        <v>11.4</v>
      </c>
      <c r="Y552" s="220">
        <f t="shared" si="127"/>
        <v>0</v>
      </c>
      <c r="AA552" s="220" t="str">
        <f t="shared" si="128"/>
        <v>員南</v>
      </c>
      <c r="AB552" s="220" t="s">
        <v>2397</v>
      </c>
      <c r="AC552" s="220" t="str">
        <f t="shared" si="142"/>
        <v>百果線</v>
      </c>
      <c r="BB552" s="514" t="s">
        <v>2512</v>
      </c>
      <c r="BC552" s="514">
        <v>7041</v>
      </c>
      <c r="BD552" s="514">
        <v>4</v>
      </c>
      <c r="BE552" s="514">
        <v>7045</v>
      </c>
      <c r="BG552" s="229" t="s">
        <v>7665</v>
      </c>
      <c r="BH552" s="230" t="s">
        <v>8750</v>
      </c>
      <c r="BI552" t="s">
        <v>2397</v>
      </c>
      <c r="BJ552" t="s">
        <v>2393</v>
      </c>
    </row>
    <row r="553" spans="1:62">
      <c r="A553" s="229" t="s">
        <v>7665</v>
      </c>
      <c r="B553" s="230" t="s">
        <v>603</v>
      </c>
      <c r="C553" s="230" t="s">
        <v>1004</v>
      </c>
      <c r="D553" s="229" t="s">
        <v>804</v>
      </c>
      <c r="E553" s="229" t="s">
        <v>7696</v>
      </c>
      <c r="F553" s="229" t="s">
        <v>7302</v>
      </c>
      <c r="G553" s="229" t="s">
        <v>6081</v>
      </c>
      <c r="H553" s="229" t="s">
        <v>7697</v>
      </c>
      <c r="I553" s="229" t="s">
        <v>1004</v>
      </c>
      <c r="J553" s="231" t="s">
        <v>867</v>
      </c>
      <c r="K553" s="231" t="s">
        <v>5682</v>
      </c>
      <c r="L553" s="220" t="str">
        <f t="shared" si="130"/>
        <v>IL26</v>
      </c>
      <c r="M553" s="220" t="str">
        <f t="shared" si="131"/>
        <v/>
      </c>
      <c r="N553" s="220" t="str">
        <f t="shared" si="132"/>
        <v/>
      </c>
      <c r="O553" s="220" t="str">
        <f t="shared" si="133"/>
        <v/>
      </c>
      <c r="P553" s="52" t="str">
        <f t="shared" si="134"/>
        <v>IL26</v>
      </c>
      <c r="Q553" s="231" t="str">
        <f t="shared" si="140"/>
        <v>206</v>
      </c>
      <c r="R553" s="224">
        <f t="shared" si="143"/>
        <v>189</v>
      </c>
      <c r="S553" s="52">
        <f t="shared" si="135"/>
        <v>176</v>
      </c>
      <c r="T553" s="221">
        <f t="shared" ca="1" si="136"/>
        <v>4.07</v>
      </c>
      <c r="U553" s="221" t="str">
        <f t="shared" si="137"/>
        <v/>
      </c>
      <c r="V553" s="220" t="str">
        <f t="array" ref="V553">INDEX(P:P,MAX(U$3:U553))</f>
        <v>IL#2MTR</v>
      </c>
      <c r="W553" s="220" t="str">
        <f t="shared" ca="1" si="138"/>
        <v/>
      </c>
      <c r="X553" s="220">
        <f t="shared" si="139"/>
        <v>11.4</v>
      </c>
      <c r="Y553" s="220">
        <f t="shared" si="127"/>
        <v>0</v>
      </c>
      <c r="AA553" s="220" t="str">
        <f t="shared" si="128"/>
        <v>員南</v>
      </c>
      <c r="AB553" s="220" t="s">
        <v>2398</v>
      </c>
      <c r="AC553" s="220" t="str">
        <f t="shared" si="142"/>
        <v>大饒線</v>
      </c>
      <c r="BB553" s="514" t="s">
        <v>2516</v>
      </c>
      <c r="BC553" s="514">
        <v>1933</v>
      </c>
      <c r="BD553" s="514">
        <v>9</v>
      </c>
      <c r="BE553" s="514">
        <v>1942</v>
      </c>
      <c r="BG553" s="229" t="s">
        <v>8742</v>
      </c>
      <c r="BH553" s="230" t="s">
        <v>8751</v>
      </c>
      <c r="BI553" t="s">
        <v>2398</v>
      </c>
      <c r="BJ553" t="s">
        <v>2393</v>
      </c>
    </row>
    <row r="554" spans="1:62">
      <c r="A554" s="229" t="s">
        <v>7698</v>
      </c>
      <c r="B554" s="230" t="s">
        <v>430</v>
      </c>
      <c r="C554" s="230" t="s">
        <v>4725</v>
      </c>
      <c r="D554" s="229" t="s">
        <v>804</v>
      </c>
      <c r="E554" s="229" t="s">
        <v>3168</v>
      </c>
      <c r="F554" s="229" t="s">
        <v>7421</v>
      </c>
      <c r="G554" s="229" t="s">
        <v>7699</v>
      </c>
      <c r="H554" s="229" t="s">
        <v>804</v>
      </c>
      <c r="I554" s="229" t="s">
        <v>7700</v>
      </c>
      <c r="J554" s="231" t="s">
        <v>358</v>
      </c>
      <c r="K554" s="231" t="s">
        <v>358</v>
      </c>
      <c r="L554" s="220" t="str">
        <f t="shared" si="130"/>
        <v>IL#3MTR</v>
      </c>
      <c r="M554" s="220" t="str">
        <f t="shared" si="131"/>
        <v/>
      </c>
      <c r="N554" s="220" t="str">
        <f t="shared" si="132"/>
        <v>IL#3MTR</v>
      </c>
      <c r="O554" s="220" t="str">
        <f t="shared" si="133"/>
        <v/>
      </c>
      <c r="P554" s="52" t="str">
        <f t="shared" si="134"/>
        <v>IL#3MTR</v>
      </c>
      <c r="Q554" s="231" t="str">
        <f t="shared" si="140"/>
        <v>756</v>
      </c>
      <c r="R554" s="224">
        <f t="shared" si="143"/>
        <v>739.33333333333337</v>
      </c>
      <c r="S554" s="52">
        <f t="shared" si="135"/>
        <v>712</v>
      </c>
      <c r="T554" s="221">
        <f t="shared" ca="1" si="136"/>
        <v>14.93</v>
      </c>
      <c r="U554" s="221">
        <f t="shared" si="137"/>
        <v>554</v>
      </c>
      <c r="V554" s="220" t="str">
        <f t="array" ref="V554">INDEX(P:P,MAX(U$3:U554))</f>
        <v>IL#3MTR</v>
      </c>
      <c r="W554" s="220">
        <f t="shared" ca="1" si="138"/>
        <v>25</v>
      </c>
      <c r="X554" s="220" t="str">
        <f t="shared" si="139"/>
        <v/>
      </c>
      <c r="Y554" s="220">
        <f t="shared" si="127"/>
        <v>0</v>
      </c>
      <c r="AA554" s="220" t="str">
        <f t="shared" si="128"/>
        <v>員南</v>
      </c>
      <c r="AB554" s="220" t="s">
        <v>2399</v>
      </c>
      <c r="BB554" s="514" t="s">
        <v>2502</v>
      </c>
      <c r="BC554" s="514">
        <v>2251</v>
      </c>
      <c r="BD554" s="514">
        <v>1</v>
      </c>
      <c r="BE554" s="514">
        <v>2252</v>
      </c>
      <c r="BG554" s="229" t="s">
        <v>7665</v>
      </c>
      <c r="BH554" s="230" t="s">
        <v>8538</v>
      </c>
      <c r="BI554" t="s">
        <v>2399</v>
      </c>
      <c r="BJ554" t="s">
        <v>2399</v>
      </c>
    </row>
    <row r="555" spans="1:62">
      <c r="A555" s="229" t="s">
        <v>7665</v>
      </c>
      <c r="B555" s="230" t="s">
        <v>511</v>
      </c>
      <c r="C555" s="230" t="s">
        <v>7701</v>
      </c>
      <c r="D555" s="229" t="s">
        <v>5628</v>
      </c>
      <c r="E555" s="229" t="s">
        <v>7642</v>
      </c>
      <c r="F555" s="229" t="s">
        <v>784</v>
      </c>
      <c r="G555" s="229" t="s">
        <v>7642</v>
      </c>
      <c r="H555" s="229" t="s">
        <v>7702</v>
      </c>
      <c r="I555" s="229" t="s">
        <v>5614</v>
      </c>
      <c r="J555" s="231" t="s">
        <v>5614</v>
      </c>
      <c r="K555" s="231" t="s">
        <v>5628</v>
      </c>
      <c r="L555" s="220" t="str">
        <f t="shared" si="130"/>
        <v>F14)</v>
      </c>
      <c r="M555" s="220" t="str">
        <f t="shared" si="131"/>
        <v/>
      </c>
      <c r="N555" s="220" t="str">
        <f t="shared" si="132"/>
        <v/>
      </c>
      <c r="O555" s="220" t="str">
        <f t="shared" si="133"/>
        <v/>
      </c>
      <c r="P555" s="52" t="str">
        <f t="shared" si="134"/>
        <v>F14)</v>
      </c>
      <c r="Q555" s="231" t="str">
        <f t="shared" si="140"/>
        <v>0</v>
      </c>
      <c r="R555" s="224">
        <f t="shared" si="143"/>
        <v>0</v>
      </c>
      <c r="S555" s="52">
        <f t="shared" si="135"/>
        <v>0</v>
      </c>
      <c r="T555" s="221">
        <f t="shared" ca="1" si="136"/>
        <v>0</v>
      </c>
      <c r="U555" s="221" t="str">
        <f t="shared" si="137"/>
        <v/>
      </c>
      <c r="V555" s="220" t="str">
        <f t="array" ref="V555">INDEX(P:P,MAX(U$3:U555))</f>
        <v>IL#3MTR</v>
      </c>
      <c r="W555" s="220" t="str">
        <f t="shared" ca="1" si="138"/>
        <v/>
      </c>
      <c r="X555" s="220">
        <f t="shared" si="139"/>
        <v>11.4</v>
      </c>
      <c r="Y555" s="220">
        <f t="shared" si="127"/>
        <v>0</v>
      </c>
      <c r="AA555" s="220" t="str">
        <f t="shared" si="128"/>
        <v>員南</v>
      </c>
      <c r="AB555" s="220" t="s">
        <v>2263</v>
      </c>
      <c r="BB555" s="514" t="s">
        <v>2503</v>
      </c>
      <c r="BC555" s="514">
        <v>2504</v>
      </c>
      <c r="BD555" s="514">
        <v>3</v>
      </c>
      <c r="BE555" s="514">
        <v>2507</v>
      </c>
      <c r="BG555" s="229" t="s">
        <v>7698</v>
      </c>
      <c r="BH555" s="230" t="s">
        <v>511</v>
      </c>
      <c r="BI555" t="s">
        <v>2263</v>
      </c>
      <c r="BJ555" t="s">
        <v>2399</v>
      </c>
    </row>
    <row r="556" spans="1:62">
      <c r="A556" s="229" t="s">
        <v>7665</v>
      </c>
      <c r="B556" s="230" t="s">
        <v>7703</v>
      </c>
      <c r="C556" s="230" t="s">
        <v>7704</v>
      </c>
      <c r="D556" s="229" t="s">
        <v>7302</v>
      </c>
      <c r="E556" s="229" t="s">
        <v>7705</v>
      </c>
      <c r="F556" s="229" t="s">
        <v>783</v>
      </c>
      <c r="G556" s="229" t="s">
        <v>7706</v>
      </c>
      <c r="H556" s="229" t="s">
        <v>804</v>
      </c>
      <c r="I556" s="229" t="s">
        <v>4674</v>
      </c>
      <c r="J556" s="231" t="s">
        <v>7707</v>
      </c>
      <c r="K556" s="231" t="s">
        <v>797</v>
      </c>
      <c r="L556" s="220" t="str">
        <f t="shared" si="130"/>
        <v>IL30</v>
      </c>
      <c r="M556" s="220" t="str">
        <f t="shared" si="131"/>
        <v/>
      </c>
      <c r="N556" s="220" t="str">
        <f t="shared" si="132"/>
        <v/>
      </c>
      <c r="O556" s="220" t="str">
        <f t="shared" si="133"/>
        <v/>
      </c>
      <c r="P556" s="52" t="str">
        <f t="shared" si="134"/>
        <v>IL30</v>
      </c>
      <c r="Q556" s="231" t="str">
        <f t="shared" si="140"/>
        <v>379</v>
      </c>
      <c r="R556" s="224">
        <f t="shared" si="143"/>
        <v>357.66666666666669</v>
      </c>
      <c r="S556" s="52">
        <f t="shared" si="135"/>
        <v>338</v>
      </c>
      <c r="T556" s="221">
        <f t="shared" ca="1" si="136"/>
        <v>7.48</v>
      </c>
      <c r="U556" s="221" t="str">
        <f t="shared" si="137"/>
        <v/>
      </c>
      <c r="V556" s="220" t="str">
        <f t="array" ref="V556">INDEX(P:P,MAX(U$3:U556))</f>
        <v>IL#3MTR</v>
      </c>
      <c r="W556" s="220" t="str">
        <f t="shared" ca="1" si="138"/>
        <v/>
      </c>
      <c r="X556" s="220">
        <f t="shared" si="139"/>
        <v>11.4</v>
      </c>
      <c r="Y556" s="220">
        <f t="shared" si="127"/>
        <v>0</v>
      </c>
      <c r="AA556" s="220" t="str">
        <f t="shared" si="128"/>
        <v>員南</v>
      </c>
      <c r="AB556" s="220" t="s">
        <v>2400</v>
      </c>
      <c r="AC556" s="220" t="str">
        <f>LEFT(B556,3)</f>
        <v>南門線</v>
      </c>
      <c r="BB556" s="514" t="s">
        <v>2504</v>
      </c>
      <c r="BC556" s="514">
        <v>7262</v>
      </c>
      <c r="BD556" s="514">
        <v>4</v>
      </c>
      <c r="BE556" s="514">
        <v>7266</v>
      </c>
      <c r="BG556" s="229" t="s">
        <v>7665</v>
      </c>
      <c r="BH556" s="230" t="s">
        <v>8752</v>
      </c>
      <c r="BI556" t="s">
        <v>2400</v>
      </c>
      <c r="BJ556" t="s">
        <v>2399</v>
      </c>
    </row>
    <row r="557" spans="1:62">
      <c r="A557" s="229" t="s">
        <v>7665</v>
      </c>
      <c r="B557" s="230" t="s">
        <v>604</v>
      </c>
      <c r="C557" s="230" t="s">
        <v>916</v>
      </c>
      <c r="D557" s="229" t="s">
        <v>5791</v>
      </c>
      <c r="E557" s="229" t="s">
        <v>914</v>
      </c>
      <c r="F557" s="229" t="s">
        <v>5791</v>
      </c>
      <c r="G557" s="229" t="s">
        <v>7708</v>
      </c>
      <c r="H557" s="229" t="s">
        <v>7257</v>
      </c>
      <c r="I557" s="229" t="s">
        <v>7709</v>
      </c>
      <c r="J557" s="231" t="s">
        <v>942</v>
      </c>
      <c r="K557" s="231" t="s">
        <v>7710</v>
      </c>
      <c r="L557" s="220" t="str">
        <f t="shared" si="130"/>
        <v>IL28</v>
      </c>
      <c r="M557" s="220" t="str">
        <f t="shared" si="131"/>
        <v/>
      </c>
      <c r="N557" s="220" t="str">
        <f t="shared" si="132"/>
        <v/>
      </c>
      <c r="O557" s="220" t="str">
        <f t="shared" si="133"/>
        <v/>
      </c>
      <c r="P557" s="52" t="str">
        <f t="shared" si="134"/>
        <v>IL28</v>
      </c>
      <c r="Q557" s="231" t="str">
        <f t="shared" si="140"/>
        <v>221</v>
      </c>
      <c r="R557" s="224">
        <f t="shared" si="143"/>
        <v>211.66666666666666</v>
      </c>
      <c r="S557" s="52">
        <f t="shared" si="135"/>
        <v>200</v>
      </c>
      <c r="T557" s="221">
        <f t="shared" ca="1" si="136"/>
        <v>4.3600000000000003</v>
      </c>
      <c r="U557" s="221" t="str">
        <f t="shared" si="137"/>
        <v/>
      </c>
      <c r="V557" s="220" t="str">
        <f t="array" ref="V557">INDEX(P:P,MAX(U$3:U557))</f>
        <v>IL#3MTR</v>
      </c>
      <c r="W557" s="220" t="str">
        <f t="shared" ca="1" si="138"/>
        <v/>
      </c>
      <c r="X557" s="220">
        <f t="shared" si="139"/>
        <v>11.4</v>
      </c>
      <c r="Y557" s="220">
        <f t="shared" si="127"/>
        <v>0</v>
      </c>
      <c r="AA557" s="220" t="str">
        <f t="shared" si="128"/>
        <v>員南</v>
      </c>
      <c r="AB557" s="220" t="s">
        <v>2401</v>
      </c>
      <c r="AC557" s="220" t="str">
        <f>LEFT(B557,3)</f>
        <v>五汴線</v>
      </c>
      <c r="BB557" s="514" t="s">
        <v>2513</v>
      </c>
      <c r="BC557" s="514">
        <v>915</v>
      </c>
      <c r="BD557" s="514">
        <v>1</v>
      </c>
      <c r="BE557" s="514">
        <v>916</v>
      </c>
      <c r="BG557" s="229" t="s">
        <v>8742</v>
      </c>
      <c r="BH557" s="230" t="s">
        <v>604</v>
      </c>
      <c r="BI557" t="s">
        <v>2401</v>
      </c>
      <c r="BJ557" t="s">
        <v>2399</v>
      </c>
    </row>
    <row r="558" spans="1:62">
      <c r="A558" s="229" t="s">
        <v>7711</v>
      </c>
      <c r="B558" s="230" t="s">
        <v>605</v>
      </c>
      <c r="C558" s="230" t="s">
        <v>6566</v>
      </c>
      <c r="D558" s="229" t="s">
        <v>804</v>
      </c>
      <c r="E558" s="229" t="s">
        <v>7640</v>
      </c>
      <c r="F558" s="229" t="s">
        <v>804</v>
      </c>
      <c r="G558" s="229" t="s">
        <v>961</v>
      </c>
      <c r="H558" s="229" t="s">
        <v>804</v>
      </c>
      <c r="I558" s="229" t="s">
        <v>992</v>
      </c>
      <c r="J558" s="231" t="s">
        <v>7382</v>
      </c>
      <c r="K558" s="231" t="s">
        <v>789</v>
      </c>
      <c r="L558" s="220" t="str">
        <f t="shared" si="130"/>
        <v>IL31</v>
      </c>
      <c r="M558" s="220" t="str">
        <f t="shared" si="131"/>
        <v/>
      </c>
      <c r="N558" s="220" t="str">
        <f t="shared" si="132"/>
        <v/>
      </c>
      <c r="O558" s="220" t="str">
        <f t="shared" si="133"/>
        <v/>
      </c>
      <c r="P558" s="52" t="str">
        <f t="shared" si="134"/>
        <v>IL31</v>
      </c>
      <c r="Q558" s="231" t="str">
        <f t="shared" si="140"/>
        <v>211</v>
      </c>
      <c r="R558" s="224">
        <f t="shared" si="143"/>
        <v>197.66666666666666</v>
      </c>
      <c r="S558" s="52">
        <f t="shared" si="135"/>
        <v>186</v>
      </c>
      <c r="T558" s="221">
        <f t="shared" ca="1" si="136"/>
        <v>4.17</v>
      </c>
      <c r="U558" s="221" t="str">
        <f t="shared" si="137"/>
        <v/>
      </c>
      <c r="V558" s="220" t="str">
        <f t="array" ref="V558">INDEX(P:P,MAX(U$3:U558))</f>
        <v>IL#3MTR</v>
      </c>
      <c r="W558" s="220" t="str">
        <f t="shared" ca="1" si="138"/>
        <v/>
      </c>
      <c r="X558" s="220">
        <f t="shared" si="139"/>
        <v>11.4</v>
      </c>
      <c r="Y558" s="220">
        <f t="shared" si="127"/>
        <v>0</v>
      </c>
      <c r="AA558" s="220" t="str">
        <f t="shared" si="128"/>
        <v>員南</v>
      </c>
      <c r="AB558" s="220" t="s">
        <v>2402</v>
      </c>
      <c r="AC558" s="220" t="str">
        <f>LEFT(B558,3)</f>
        <v>莒光線</v>
      </c>
      <c r="BB558" s="514" t="s">
        <v>2515</v>
      </c>
      <c r="BC558" s="514">
        <v>3932</v>
      </c>
      <c r="BD558" s="514">
        <v>6</v>
      </c>
      <c r="BE558" s="514">
        <v>3938</v>
      </c>
      <c r="BG558" s="229" t="s">
        <v>8742</v>
      </c>
      <c r="BH558" s="230" t="s">
        <v>8753</v>
      </c>
      <c r="BI558" t="s">
        <v>2402</v>
      </c>
      <c r="BJ558" t="s">
        <v>2399</v>
      </c>
    </row>
    <row r="559" spans="1:62">
      <c r="A559" s="229" t="s">
        <v>56</v>
      </c>
      <c r="B559" s="230" t="s">
        <v>7712</v>
      </c>
      <c r="C559" s="230" t="s">
        <v>7713</v>
      </c>
      <c r="D559" s="229" t="s">
        <v>804</v>
      </c>
      <c r="E559" s="229" t="s">
        <v>7714</v>
      </c>
      <c r="F559" s="229" t="s">
        <v>804</v>
      </c>
      <c r="G559" s="229" t="s">
        <v>4727</v>
      </c>
      <c r="H559" s="229" t="s">
        <v>804</v>
      </c>
      <c r="I559" s="229" t="s">
        <v>4726</v>
      </c>
      <c r="J559" s="231" t="s">
        <v>5585</v>
      </c>
      <c r="K559" s="231" t="s">
        <v>7069</v>
      </c>
      <c r="L559" s="220" t="str">
        <f t="shared" si="130"/>
        <v>IM#1MTR</v>
      </c>
      <c r="M559" s="220" t="str">
        <f t="shared" si="131"/>
        <v/>
      </c>
      <c r="N559" s="220" t="str">
        <f t="shared" si="132"/>
        <v>IM#1MTR</v>
      </c>
      <c r="O559" s="220" t="str">
        <f t="shared" si="133"/>
        <v/>
      </c>
      <c r="P559" s="52" t="str">
        <f t="shared" si="134"/>
        <v>IM#1MTR</v>
      </c>
      <c r="Q559" s="231" t="str">
        <f t="shared" si="140"/>
        <v>944</v>
      </c>
      <c r="R559" s="224">
        <f t="shared" si="143"/>
        <v>902.33333333333337</v>
      </c>
      <c r="S559" s="52">
        <f t="shared" si="135"/>
        <v>853</v>
      </c>
      <c r="T559" s="221">
        <f t="shared" ca="1" si="136"/>
        <v>18.64</v>
      </c>
      <c r="U559" s="221">
        <f t="shared" si="137"/>
        <v>559</v>
      </c>
      <c r="V559" s="220" t="str">
        <f t="array" ref="V559">INDEX(P:P,MAX(U$3:U559))</f>
        <v>IM#1MTR</v>
      </c>
      <c r="W559" s="220">
        <f t="shared" ca="1" si="138"/>
        <v>25</v>
      </c>
      <c r="X559" s="220" t="str">
        <f t="shared" si="139"/>
        <v/>
      </c>
      <c r="Y559" s="220">
        <f t="shared" si="127"/>
        <v>0</v>
      </c>
      <c r="AA559" s="220" t="str">
        <f t="shared" si="128"/>
        <v>大竹</v>
      </c>
      <c r="AB559" s="220" t="s">
        <v>2403</v>
      </c>
      <c r="BB559" s="514" t="s">
        <v>3263</v>
      </c>
      <c r="BC559" s="514" t="s">
        <v>85</v>
      </c>
      <c r="BD559" s="514" t="s">
        <v>85</v>
      </c>
      <c r="BE559" s="514">
        <v>0</v>
      </c>
      <c r="BG559" s="229" t="s">
        <v>8754</v>
      </c>
      <c r="BH559" s="230" t="s">
        <v>8591</v>
      </c>
      <c r="BI559" t="s">
        <v>2403</v>
      </c>
      <c r="BJ559" t="s">
        <v>2403</v>
      </c>
    </row>
    <row r="560" spans="1:62">
      <c r="A560" s="229" t="s">
        <v>56</v>
      </c>
      <c r="B560" s="230" t="s">
        <v>7715</v>
      </c>
      <c r="C560" s="230" t="s">
        <v>988</v>
      </c>
      <c r="D560" s="229" t="s">
        <v>845</v>
      </c>
      <c r="E560" s="229" t="s">
        <v>7152</v>
      </c>
      <c r="F560" s="229" t="s">
        <v>783</v>
      </c>
      <c r="G560" s="229" t="s">
        <v>5651</v>
      </c>
      <c r="H560" s="229" t="s">
        <v>783</v>
      </c>
      <c r="I560" s="229" t="s">
        <v>988</v>
      </c>
      <c r="J560" s="231" t="s">
        <v>7716</v>
      </c>
      <c r="K560" s="231" t="s">
        <v>839</v>
      </c>
      <c r="L560" s="220" t="str">
        <f t="shared" si="130"/>
        <v>IM30</v>
      </c>
      <c r="M560" s="220" t="str">
        <f t="shared" si="131"/>
        <v/>
      </c>
      <c r="N560" s="220" t="str">
        <f t="shared" si="132"/>
        <v/>
      </c>
      <c r="O560" s="220" t="str">
        <f t="shared" si="133"/>
        <v/>
      </c>
      <c r="P560" s="52" t="str">
        <f t="shared" si="134"/>
        <v>IM30</v>
      </c>
      <c r="Q560" s="231" t="str">
        <f t="shared" si="140"/>
        <v>164</v>
      </c>
      <c r="R560" s="224">
        <f t="shared" si="143"/>
        <v>163.66666666666666</v>
      </c>
      <c r="S560" s="52">
        <f t="shared" si="135"/>
        <v>163</v>
      </c>
      <c r="T560" s="221">
        <f t="shared" ca="1" si="136"/>
        <v>3.24</v>
      </c>
      <c r="U560" s="221" t="str">
        <f t="shared" si="137"/>
        <v/>
      </c>
      <c r="V560" s="220" t="str">
        <f t="array" ref="V560">INDEX(P:P,MAX(U$3:U560))</f>
        <v>IM#1MTR</v>
      </c>
      <c r="W560" s="220" t="str">
        <f t="shared" ca="1" si="138"/>
        <v/>
      </c>
      <c r="X560" s="220">
        <f t="shared" si="139"/>
        <v>11.4</v>
      </c>
      <c r="Y560" s="220">
        <f t="shared" si="127"/>
        <v>0</v>
      </c>
      <c r="AA560" s="220" t="str">
        <f t="shared" si="128"/>
        <v>大竹</v>
      </c>
      <c r="AB560" s="220" t="s">
        <v>2404</v>
      </c>
      <c r="AC560" s="220" t="str">
        <f>LEFT(B560,3)</f>
        <v>竹彰線</v>
      </c>
      <c r="BB560" s="514" t="s">
        <v>2495</v>
      </c>
      <c r="BC560" s="514">
        <v>4163</v>
      </c>
      <c r="BD560" s="514">
        <v>4</v>
      </c>
      <c r="BE560" s="514">
        <v>4167</v>
      </c>
      <c r="BG560" s="229" t="s">
        <v>8755</v>
      </c>
      <c r="BH560" s="230" t="s">
        <v>8756</v>
      </c>
      <c r="BI560" t="s">
        <v>2404</v>
      </c>
      <c r="BJ560" t="s">
        <v>2403</v>
      </c>
    </row>
    <row r="561" spans="1:62">
      <c r="A561" s="229" t="s">
        <v>56</v>
      </c>
      <c r="B561" s="230" t="s">
        <v>7717</v>
      </c>
      <c r="C561" s="230" t="s">
        <v>827</v>
      </c>
      <c r="D561" s="229" t="s">
        <v>804</v>
      </c>
      <c r="E561" s="229" t="s">
        <v>6956</v>
      </c>
      <c r="F561" s="229" t="s">
        <v>7697</v>
      </c>
      <c r="G561" s="229" t="s">
        <v>827</v>
      </c>
      <c r="H561" s="229" t="s">
        <v>804</v>
      </c>
      <c r="I561" s="229" t="s">
        <v>6956</v>
      </c>
      <c r="J561" s="231" t="s">
        <v>868</v>
      </c>
      <c r="K561" s="231" t="s">
        <v>6214</v>
      </c>
      <c r="L561" s="220" t="str">
        <f t="shared" si="130"/>
        <v>IM29</v>
      </c>
      <c r="M561" s="220" t="str">
        <f t="shared" si="131"/>
        <v/>
      </c>
      <c r="N561" s="220" t="str">
        <f t="shared" si="132"/>
        <v/>
      </c>
      <c r="O561" s="220" t="str">
        <f t="shared" si="133"/>
        <v/>
      </c>
      <c r="P561" s="52" t="str">
        <f t="shared" si="134"/>
        <v>IM29</v>
      </c>
      <c r="Q561" s="231" t="str">
        <f t="shared" si="140"/>
        <v>188</v>
      </c>
      <c r="R561" s="224">
        <f t="shared" si="143"/>
        <v>168.66666666666666</v>
      </c>
      <c r="S561" s="52">
        <f t="shared" si="135"/>
        <v>159</v>
      </c>
      <c r="T561" s="221">
        <f t="shared" ca="1" si="136"/>
        <v>3.71</v>
      </c>
      <c r="U561" s="221" t="str">
        <f t="shared" si="137"/>
        <v/>
      </c>
      <c r="V561" s="220" t="str">
        <f t="array" ref="V561">INDEX(P:P,MAX(U$3:U561))</f>
        <v>IM#1MTR</v>
      </c>
      <c r="W561" s="220" t="str">
        <f t="shared" ca="1" si="138"/>
        <v/>
      </c>
      <c r="X561" s="220">
        <f t="shared" si="139"/>
        <v>11.4</v>
      </c>
      <c r="Y561" s="220">
        <f t="shared" si="127"/>
        <v>0</v>
      </c>
      <c r="AA561" s="220" t="str">
        <f t="shared" si="128"/>
        <v>大竹</v>
      </c>
      <c r="AB561" s="220" t="s">
        <v>2405</v>
      </c>
      <c r="AC561" s="220" t="str">
        <f>LEFT(B561,3)</f>
        <v>山坑線</v>
      </c>
      <c r="BB561" s="514" t="s">
        <v>2496</v>
      </c>
      <c r="BC561" s="514">
        <v>2157</v>
      </c>
      <c r="BD561" s="514">
        <v>4</v>
      </c>
      <c r="BE561" s="514">
        <v>2161</v>
      </c>
      <c r="BG561" s="229" t="s">
        <v>8754</v>
      </c>
      <c r="BH561" s="230" t="s">
        <v>8757</v>
      </c>
      <c r="BI561" t="s">
        <v>2405</v>
      </c>
      <c r="BJ561" t="s">
        <v>2403</v>
      </c>
    </row>
    <row r="562" spans="1:62">
      <c r="A562" s="229" t="s">
        <v>7718</v>
      </c>
      <c r="B562" s="230" t="s">
        <v>606</v>
      </c>
      <c r="C562" s="230" t="s">
        <v>969</v>
      </c>
      <c r="D562" s="229" t="s">
        <v>5641</v>
      </c>
      <c r="E562" s="229" t="s">
        <v>821</v>
      </c>
      <c r="F562" s="229" t="s">
        <v>804</v>
      </c>
      <c r="G562" s="229" t="s">
        <v>1000</v>
      </c>
      <c r="H562" s="229" t="s">
        <v>804</v>
      </c>
      <c r="I562" s="229" t="s">
        <v>7584</v>
      </c>
      <c r="J562" s="231" t="s">
        <v>6557</v>
      </c>
      <c r="K562" s="231" t="s">
        <v>5791</v>
      </c>
      <c r="L562" s="220" t="str">
        <f t="shared" si="130"/>
        <v>IM26</v>
      </c>
      <c r="M562" s="220" t="str">
        <f t="shared" si="131"/>
        <v/>
      </c>
      <c r="N562" s="220" t="str">
        <f t="shared" si="132"/>
        <v/>
      </c>
      <c r="O562" s="220" t="str">
        <f t="shared" si="133"/>
        <v/>
      </c>
      <c r="P562" s="52" t="str">
        <f t="shared" si="134"/>
        <v>IM26</v>
      </c>
      <c r="Q562" s="231" t="str">
        <f t="shared" si="140"/>
        <v>169</v>
      </c>
      <c r="R562" s="224">
        <f t="shared" si="143"/>
        <v>156.33333333333334</v>
      </c>
      <c r="S562" s="52">
        <f t="shared" si="135"/>
        <v>134</v>
      </c>
      <c r="T562" s="221">
        <f t="shared" ca="1" si="136"/>
        <v>3.34</v>
      </c>
      <c r="U562" s="221" t="str">
        <f t="shared" si="137"/>
        <v/>
      </c>
      <c r="V562" s="220" t="str">
        <f t="array" ref="V562">INDEX(P:P,MAX(U$3:U562))</f>
        <v>IM#1MTR</v>
      </c>
      <c r="W562" s="220" t="str">
        <f t="shared" ca="1" si="138"/>
        <v/>
      </c>
      <c r="X562" s="220">
        <f t="shared" si="139"/>
        <v>11.4</v>
      </c>
      <c r="Y562" s="220">
        <f t="shared" si="127"/>
        <v>0</v>
      </c>
      <c r="AA562" s="220" t="str">
        <f t="shared" si="128"/>
        <v>大竹</v>
      </c>
      <c r="AB562" s="220" t="s">
        <v>2406</v>
      </c>
      <c r="AC562" s="220" t="str">
        <f>LEFT(B562,3)</f>
        <v>牛埔線</v>
      </c>
      <c r="BB562" s="514" t="s">
        <v>2497</v>
      </c>
      <c r="BC562" s="514">
        <v>2824</v>
      </c>
      <c r="BD562" s="514">
        <v>1</v>
      </c>
      <c r="BE562" s="514">
        <v>2825</v>
      </c>
      <c r="BG562" s="229" t="s">
        <v>56</v>
      </c>
      <c r="BH562" s="230" t="s">
        <v>8758</v>
      </c>
      <c r="BI562" t="s">
        <v>2406</v>
      </c>
      <c r="BJ562" t="s">
        <v>2403</v>
      </c>
    </row>
    <row r="563" spans="1:62">
      <c r="A563" s="229" t="s">
        <v>56</v>
      </c>
      <c r="B563" s="230" t="s">
        <v>607</v>
      </c>
      <c r="C563" s="230" t="s">
        <v>1006</v>
      </c>
      <c r="D563" s="229" t="s">
        <v>832</v>
      </c>
      <c r="E563" s="229" t="s">
        <v>816</v>
      </c>
      <c r="F563" s="229" t="s">
        <v>6190</v>
      </c>
      <c r="G563" s="229" t="s">
        <v>1003</v>
      </c>
      <c r="H563" s="229" t="s">
        <v>804</v>
      </c>
      <c r="I563" s="229" t="s">
        <v>816</v>
      </c>
      <c r="J563" s="231" t="s">
        <v>6983</v>
      </c>
      <c r="K563" s="231" t="s">
        <v>6190</v>
      </c>
      <c r="L563" s="220" t="str">
        <f t="shared" si="130"/>
        <v>IM22</v>
      </c>
      <c r="M563" s="220" t="str">
        <f t="shared" si="131"/>
        <v/>
      </c>
      <c r="N563" s="220" t="str">
        <f t="shared" si="132"/>
        <v/>
      </c>
      <c r="O563" s="220" t="str">
        <f t="shared" si="133"/>
        <v/>
      </c>
      <c r="P563" s="52" t="str">
        <f t="shared" si="134"/>
        <v>IM22</v>
      </c>
      <c r="Q563" s="231" t="str">
        <f t="shared" si="140"/>
        <v>249</v>
      </c>
      <c r="R563" s="224">
        <f t="shared" si="143"/>
        <v>224.66666666666666</v>
      </c>
      <c r="S563" s="52">
        <f t="shared" si="135"/>
        <v>207</v>
      </c>
      <c r="T563" s="221">
        <f t="shared" ca="1" si="136"/>
        <v>4.92</v>
      </c>
      <c r="U563" s="221" t="str">
        <f t="shared" si="137"/>
        <v/>
      </c>
      <c r="V563" s="220" t="str">
        <f t="array" ref="V563">INDEX(P:P,MAX(U$3:U563))</f>
        <v>IM#1MTR</v>
      </c>
      <c r="W563" s="220" t="str">
        <f t="shared" ca="1" si="138"/>
        <v/>
      </c>
      <c r="X563" s="220">
        <f t="shared" si="139"/>
        <v>11.4</v>
      </c>
      <c r="Y563" s="220">
        <f t="shared" si="127"/>
        <v>0</v>
      </c>
      <c r="AA563" s="220" t="str">
        <f t="shared" si="128"/>
        <v>大竹</v>
      </c>
      <c r="AB563" s="220" t="s">
        <v>2407</v>
      </c>
      <c r="AC563" s="220" t="str">
        <f>LEFT(B563,3)</f>
        <v>大竹線</v>
      </c>
      <c r="BB563" s="514" t="s">
        <v>2498</v>
      </c>
      <c r="BC563" s="514">
        <v>651</v>
      </c>
      <c r="BD563" s="514">
        <v>3</v>
      </c>
      <c r="BE563" s="514">
        <v>654</v>
      </c>
      <c r="BG563" s="229" t="s">
        <v>8754</v>
      </c>
      <c r="BH563" s="230" t="s">
        <v>607</v>
      </c>
      <c r="BI563" t="s">
        <v>2407</v>
      </c>
      <c r="BJ563" t="s">
        <v>2403</v>
      </c>
    </row>
    <row r="564" spans="1:62">
      <c r="A564" s="229" t="s">
        <v>56</v>
      </c>
      <c r="B564" s="230" t="s">
        <v>7719</v>
      </c>
      <c r="C564" s="230" t="s">
        <v>823</v>
      </c>
      <c r="D564" s="229" t="s">
        <v>5641</v>
      </c>
      <c r="E564" s="229" t="s">
        <v>876</v>
      </c>
      <c r="F564" s="229" t="s">
        <v>5641</v>
      </c>
      <c r="G564" s="229" t="s">
        <v>7720</v>
      </c>
      <c r="H564" s="229" t="s">
        <v>832</v>
      </c>
      <c r="I564" s="229" t="s">
        <v>950</v>
      </c>
      <c r="J564" s="231" t="s">
        <v>7376</v>
      </c>
      <c r="K564" s="231" t="s">
        <v>5682</v>
      </c>
      <c r="L564" s="220" t="str">
        <f t="shared" si="130"/>
        <v>IM20</v>
      </c>
      <c r="M564" s="220" t="str">
        <f t="shared" si="131"/>
        <v/>
      </c>
      <c r="N564" s="220" t="str">
        <f t="shared" si="132"/>
        <v/>
      </c>
      <c r="O564" s="220" t="str">
        <f t="shared" si="133"/>
        <v/>
      </c>
      <c r="P564" s="52" t="str">
        <f t="shared" si="134"/>
        <v>IM20</v>
      </c>
      <c r="Q564" s="231" t="str">
        <f t="shared" si="140"/>
        <v>245</v>
      </c>
      <c r="R564" s="224">
        <f t="shared" si="143"/>
        <v>241</v>
      </c>
      <c r="S564" s="52">
        <f t="shared" si="135"/>
        <v>237</v>
      </c>
      <c r="T564" s="221">
        <f t="shared" ca="1" si="136"/>
        <v>4.84</v>
      </c>
      <c r="U564" s="221" t="str">
        <f t="shared" si="137"/>
        <v/>
      </c>
      <c r="V564" s="220" t="str">
        <f t="array" ref="V564">INDEX(P:P,MAX(U$3:U564))</f>
        <v>IM#1MTR</v>
      </c>
      <c r="W564" s="220" t="str">
        <f t="shared" ca="1" si="138"/>
        <v/>
      </c>
      <c r="X564" s="220">
        <f t="shared" si="139"/>
        <v>11.4</v>
      </c>
      <c r="Y564" s="220">
        <f t="shared" si="127"/>
        <v>0</v>
      </c>
      <c r="AA564" s="220" t="str">
        <f t="shared" si="128"/>
        <v>大竹</v>
      </c>
      <c r="AB564" s="220" t="s">
        <v>2408</v>
      </c>
      <c r="AC564" s="220" t="str">
        <f>LEFT(B564,3)</f>
        <v>渡船線</v>
      </c>
      <c r="BB564" s="514" t="s">
        <v>2500</v>
      </c>
      <c r="BC564" s="514">
        <v>1855</v>
      </c>
      <c r="BD564" s="514">
        <v>4</v>
      </c>
      <c r="BE564" s="514">
        <v>1859</v>
      </c>
      <c r="BG564" s="229" t="s">
        <v>8755</v>
      </c>
      <c r="BH564" s="230" t="s">
        <v>8759</v>
      </c>
      <c r="BI564" t="s">
        <v>2408</v>
      </c>
      <c r="BJ564" t="s">
        <v>2403</v>
      </c>
    </row>
    <row r="565" spans="1:62">
      <c r="A565" s="229" t="s">
        <v>7721</v>
      </c>
      <c r="B565" s="230" t="s">
        <v>427</v>
      </c>
      <c r="C565" s="230" t="s">
        <v>4728</v>
      </c>
      <c r="D565" s="229" t="s">
        <v>804</v>
      </c>
      <c r="E565" s="229" t="s">
        <v>4729</v>
      </c>
      <c r="F565" s="229" t="s">
        <v>783</v>
      </c>
      <c r="G565" s="229" t="s">
        <v>7722</v>
      </c>
      <c r="H565" s="229" t="s">
        <v>7723</v>
      </c>
      <c r="I565" s="229" t="s">
        <v>7724</v>
      </c>
      <c r="J565" s="231" t="s">
        <v>7725</v>
      </c>
      <c r="K565" s="231" t="s">
        <v>358</v>
      </c>
      <c r="L565" s="220" t="str">
        <f t="shared" si="130"/>
        <v>IM#2MTR</v>
      </c>
      <c r="M565" s="220" t="str">
        <f t="shared" si="131"/>
        <v/>
      </c>
      <c r="N565" s="220" t="str">
        <f t="shared" si="132"/>
        <v>IM#2MTR</v>
      </c>
      <c r="O565" s="220" t="str">
        <f t="shared" si="133"/>
        <v/>
      </c>
      <c r="P565" s="52" t="str">
        <f t="shared" si="134"/>
        <v>IM#2MTR</v>
      </c>
      <c r="Q565" s="231" t="str">
        <f t="shared" si="140"/>
        <v>530</v>
      </c>
      <c r="R565" s="224">
        <f t="shared" si="143"/>
        <v>502.33333333333331</v>
      </c>
      <c r="S565" s="52">
        <f t="shared" si="135"/>
        <v>481</v>
      </c>
      <c r="T565" s="221">
        <f t="shared" ca="1" si="136"/>
        <v>10.47</v>
      </c>
      <c r="U565" s="221">
        <f t="shared" si="137"/>
        <v>565</v>
      </c>
      <c r="V565" s="220" t="str">
        <f t="array" ref="V565">INDEX(P:P,MAX(U$3:U565))</f>
        <v>IM#2MTR</v>
      </c>
      <c r="W565" s="220">
        <f t="shared" ca="1" si="138"/>
        <v>25</v>
      </c>
      <c r="X565" s="220" t="str">
        <f t="shared" si="139"/>
        <v/>
      </c>
      <c r="Y565" s="220">
        <f t="shared" si="127"/>
        <v>0</v>
      </c>
      <c r="AA565" s="220" t="str">
        <f t="shared" si="128"/>
        <v>大竹</v>
      </c>
      <c r="AB565" s="220" t="s">
        <v>2409</v>
      </c>
      <c r="BB565" s="514" t="s">
        <v>2507</v>
      </c>
      <c r="BC565" s="514" t="s">
        <v>85</v>
      </c>
      <c r="BD565" s="514" t="s">
        <v>85</v>
      </c>
      <c r="BE565" s="514">
        <v>0</v>
      </c>
      <c r="BG565" s="229" t="s">
        <v>8754</v>
      </c>
      <c r="BH565" s="230" t="s">
        <v>8477</v>
      </c>
      <c r="BI565" t="s">
        <v>2409</v>
      </c>
      <c r="BJ565" t="s">
        <v>2409</v>
      </c>
    </row>
    <row r="566" spans="1:62">
      <c r="A566" s="229" t="s">
        <v>56</v>
      </c>
      <c r="B566" s="230" t="s">
        <v>608</v>
      </c>
      <c r="C566" s="230" t="s">
        <v>922</v>
      </c>
      <c r="D566" s="229" t="s">
        <v>783</v>
      </c>
      <c r="E566" s="229" t="s">
        <v>7726</v>
      </c>
      <c r="F566" s="229" t="s">
        <v>804</v>
      </c>
      <c r="G566" s="229" t="s">
        <v>5906</v>
      </c>
      <c r="H566" s="229" t="s">
        <v>804</v>
      </c>
      <c r="I566" s="229" t="s">
        <v>828</v>
      </c>
      <c r="J566" s="231" t="s">
        <v>7727</v>
      </c>
      <c r="K566" s="231" t="s">
        <v>859</v>
      </c>
      <c r="L566" s="220" t="str">
        <f t="shared" si="130"/>
        <v>IM28</v>
      </c>
      <c r="M566" s="220" t="str">
        <f t="shared" si="131"/>
        <v/>
      </c>
      <c r="N566" s="220" t="str">
        <f t="shared" si="132"/>
        <v/>
      </c>
      <c r="O566" s="220" t="str">
        <f t="shared" si="133"/>
        <v/>
      </c>
      <c r="P566" s="52" t="str">
        <f t="shared" si="134"/>
        <v>IM28</v>
      </c>
      <c r="Q566" s="231" t="str">
        <f t="shared" si="140"/>
        <v>111</v>
      </c>
      <c r="R566" s="224">
        <f t="shared" si="143"/>
        <v>98</v>
      </c>
      <c r="S566" s="52">
        <f t="shared" si="135"/>
        <v>76</v>
      </c>
      <c r="T566" s="221">
        <f t="shared" ca="1" si="136"/>
        <v>2.19</v>
      </c>
      <c r="U566" s="221" t="str">
        <f t="shared" si="137"/>
        <v/>
      </c>
      <c r="V566" s="220" t="str">
        <f t="array" ref="V566">INDEX(P:P,MAX(U$3:U566))</f>
        <v>IM#2MTR</v>
      </c>
      <c r="W566" s="220" t="str">
        <f t="shared" ca="1" si="138"/>
        <v/>
      </c>
      <c r="X566" s="220">
        <f t="shared" si="139"/>
        <v>11.4</v>
      </c>
      <c r="Y566" s="220">
        <f t="shared" si="127"/>
        <v>0</v>
      </c>
      <c r="AA566" s="220" t="str">
        <f t="shared" si="128"/>
        <v>大竹</v>
      </c>
      <c r="AB566" s="220" t="s">
        <v>2410</v>
      </c>
      <c r="AC566" s="220" t="str">
        <f t="shared" ref="AC566:AC591" si="144">LEFT(B566,3)</f>
        <v>渡橋線</v>
      </c>
      <c r="BB566" s="514" t="s">
        <v>2506</v>
      </c>
      <c r="BC566" s="514" t="s">
        <v>85</v>
      </c>
      <c r="BD566" s="514" t="s">
        <v>85</v>
      </c>
      <c r="BE566" s="514">
        <v>0</v>
      </c>
      <c r="BG566" s="229" t="s">
        <v>8754</v>
      </c>
      <c r="BH566" s="230" t="s">
        <v>8760</v>
      </c>
      <c r="BI566" t="s">
        <v>2410</v>
      </c>
      <c r="BJ566" t="s">
        <v>2409</v>
      </c>
    </row>
    <row r="567" spans="1:62">
      <c r="A567" s="229" t="s">
        <v>56</v>
      </c>
      <c r="B567" s="230" t="s">
        <v>609</v>
      </c>
      <c r="C567" s="230" t="s">
        <v>956</v>
      </c>
      <c r="D567" s="229" t="s">
        <v>5791</v>
      </c>
      <c r="E567" s="229" t="s">
        <v>828</v>
      </c>
      <c r="F567" s="229" t="s">
        <v>783</v>
      </c>
      <c r="G567" s="229" t="s">
        <v>838</v>
      </c>
      <c r="H567" s="229" t="s">
        <v>7728</v>
      </c>
      <c r="I567" s="229" t="s">
        <v>6217</v>
      </c>
      <c r="J567" s="231" t="s">
        <v>844</v>
      </c>
      <c r="K567" s="231" t="s">
        <v>5791</v>
      </c>
      <c r="L567" s="220" t="str">
        <f t="shared" si="130"/>
        <v>IM27</v>
      </c>
      <c r="M567" s="220" t="str">
        <f t="shared" si="131"/>
        <v/>
      </c>
      <c r="N567" s="220" t="str">
        <f t="shared" si="132"/>
        <v/>
      </c>
      <c r="O567" s="220" t="str">
        <f t="shared" si="133"/>
        <v/>
      </c>
      <c r="P567" s="52" t="str">
        <f t="shared" si="134"/>
        <v>IM27</v>
      </c>
      <c r="Q567" s="231" t="str">
        <f t="shared" si="140"/>
        <v>140</v>
      </c>
      <c r="R567" s="224">
        <f t="shared" si="143"/>
        <v>125.66666666666667</v>
      </c>
      <c r="S567" s="52">
        <f t="shared" si="135"/>
        <v>111</v>
      </c>
      <c r="T567" s="221">
        <f t="shared" ca="1" si="136"/>
        <v>2.76</v>
      </c>
      <c r="U567" s="221" t="str">
        <f t="shared" si="137"/>
        <v/>
      </c>
      <c r="V567" s="220" t="str">
        <f t="array" ref="V567">INDEX(P:P,MAX(U$3:U567))</f>
        <v>IM#2MTR</v>
      </c>
      <c r="W567" s="220" t="str">
        <f t="shared" ca="1" si="138"/>
        <v/>
      </c>
      <c r="X567" s="220">
        <f t="shared" si="139"/>
        <v>11.4</v>
      </c>
      <c r="Y567" s="220">
        <f t="shared" si="127"/>
        <v>0</v>
      </c>
      <c r="AA567" s="220" t="str">
        <f t="shared" si="128"/>
        <v>大竹</v>
      </c>
      <c r="AB567" s="220" t="s">
        <v>2411</v>
      </c>
      <c r="AC567" s="220" t="str">
        <f t="shared" si="144"/>
        <v>香山線</v>
      </c>
      <c r="BB567" s="514" t="s">
        <v>2508</v>
      </c>
      <c r="BC567" s="514" t="s">
        <v>85</v>
      </c>
      <c r="BD567" s="514" t="s">
        <v>85</v>
      </c>
      <c r="BE567" s="514">
        <v>0</v>
      </c>
      <c r="BG567" s="229" t="s">
        <v>8755</v>
      </c>
      <c r="BH567" s="230" t="s">
        <v>8761</v>
      </c>
      <c r="BI567" t="s">
        <v>2411</v>
      </c>
      <c r="BJ567" t="s">
        <v>2409</v>
      </c>
    </row>
    <row r="568" spans="1:62">
      <c r="A568" s="229" t="s">
        <v>56</v>
      </c>
      <c r="B568" s="230" t="s">
        <v>7729</v>
      </c>
      <c r="C568" s="230" t="s">
        <v>1013</v>
      </c>
      <c r="D568" s="229" t="s">
        <v>845</v>
      </c>
      <c r="E568" s="229" t="s">
        <v>5651</v>
      </c>
      <c r="F568" s="229" t="s">
        <v>5641</v>
      </c>
      <c r="G568" s="229" t="s">
        <v>6655</v>
      </c>
      <c r="H568" s="229" t="s">
        <v>804</v>
      </c>
      <c r="I568" s="229" t="s">
        <v>1013</v>
      </c>
      <c r="J568" s="231" t="s">
        <v>868</v>
      </c>
      <c r="K568" s="231" t="s">
        <v>789</v>
      </c>
      <c r="L568" s="220" t="str">
        <f t="shared" si="130"/>
        <v>IM25</v>
      </c>
      <c r="M568" s="220" t="str">
        <f t="shared" si="131"/>
        <v/>
      </c>
      <c r="N568" s="220" t="str">
        <f t="shared" si="132"/>
        <v/>
      </c>
      <c r="O568" s="220" t="str">
        <f t="shared" si="133"/>
        <v/>
      </c>
      <c r="P568" s="52" t="str">
        <f t="shared" si="134"/>
        <v>IM25</v>
      </c>
      <c r="Q568" s="231" t="str">
        <f t="shared" si="140"/>
        <v>175</v>
      </c>
      <c r="R568" s="224">
        <f t="shared" si="143"/>
        <v>161.66666666666666</v>
      </c>
      <c r="S568" s="52">
        <f t="shared" si="135"/>
        <v>147</v>
      </c>
      <c r="T568" s="221">
        <f t="shared" ca="1" si="136"/>
        <v>3.46</v>
      </c>
      <c r="U568" s="221" t="str">
        <f t="shared" si="137"/>
        <v/>
      </c>
      <c r="V568" s="220" t="str">
        <f t="array" ref="V568">INDEX(P:P,MAX(U$3:U568))</f>
        <v>IM#2MTR</v>
      </c>
      <c r="W568" s="220" t="str">
        <f t="shared" ca="1" si="138"/>
        <v/>
      </c>
      <c r="X568" s="220">
        <f t="shared" si="139"/>
        <v>11.4</v>
      </c>
      <c r="Y568" s="220">
        <f t="shared" si="127"/>
        <v>0</v>
      </c>
      <c r="AA568" s="220" t="str">
        <f t="shared" si="128"/>
        <v>大竹</v>
      </c>
      <c r="AB568" s="220" t="s">
        <v>2412</v>
      </c>
      <c r="AC568" s="220" t="str">
        <f t="shared" si="144"/>
        <v>福山線</v>
      </c>
      <c r="BB568" s="514" t="s">
        <v>2509</v>
      </c>
      <c r="BC568" s="514" t="s">
        <v>85</v>
      </c>
      <c r="BD568" s="514" t="s">
        <v>85</v>
      </c>
      <c r="BE568" s="514">
        <v>0</v>
      </c>
      <c r="BG568" s="229" t="s">
        <v>8755</v>
      </c>
      <c r="BH568" s="230" t="s">
        <v>8762</v>
      </c>
      <c r="BI568" t="s">
        <v>2412</v>
      </c>
      <c r="BJ568" t="s">
        <v>2409</v>
      </c>
    </row>
    <row r="569" spans="1:62">
      <c r="A569" s="229" t="s">
        <v>56</v>
      </c>
      <c r="B569" s="230" t="s">
        <v>610</v>
      </c>
      <c r="C569" s="230" t="s">
        <v>909</v>
      </c>
      <c r="D569" s="229" t="s">
        <v>804</v>
      </c>
      <c r="E569" s="229" t="s">
        <v>927</v>
      </c>
      <c r="F569" s="229" t="s">
        <v>5682</v>
      </c>
      <c r="G569" s="229" t="s">
        <v>908</v>
      </c>
      <c r="H569" s="229" t="s">
        <v>832</v>
      </c>
      <c r="I569" s="229" t="s">
        <v>927</v>
      </c>
      <c r="J569" s="231" t="s">
        <v>6035</v>
      </c>
      <c r="K569" s="231" t="s">
        <v>845</v>
      </c>
      <c r="L569" s="220" t="str">
        <f t="shared" si="130"/>
        <v>IM24</v>
      </c>
      <c r="M569" s="220" t="str">
        <f t="shared" si="131"/>
        <v/>
      </c>
      <c r="N569" s="220" t="str">
        <f t="shared" si="132"/>
        <v/>
      </c>
      <c r="O569" s="220" t="str">
        <f t="shared" si="133"/>
        <v/>
      </c>
      <c r="P569" s="52" t="str">
        <f t="shared" si="134"/>
        <v>IM24</v>
      </c>
      <c r="Q569" s="231" t="str">
        <f t="shared" si="140"/>
        <v>100</v>
      </c>
      <c r="R569" s="224">
        <f t="shared" si="143"/>
        <v>97.666666666666671</v>
      </c>
      <c r="S569" s="52">
        <f t="shared" si="135"/>
        <v>96</v>
      </c>
      <c r="T569" s="221">
        <f t="shared" ca="1" si="136"/>
        <v>1.97</v>
      </c>
      <c r="U569" s="221" t="str">
        <f t="shared" si="137"/>
        <v/>
      </c>
      <c r="V569" s="220" t="str">
        <f t="array" ref="V569">INDEX(P:P,MAX(U$3:U569))</f>
        <v>IM#2MTR</v>
      </c>
      <c r="W569" s="220" t="str">
        <f t="shared" ca="1" si="138"/>
        <v/>
      </c>
      <c r="X569" s="220">
        <f t="shared" si="139"/>
        <v>11.4</v>
      </c>
      <c r="Y569" s="220">
        <f t="shared" si="127"/>
        <v>0</v>
      </c>
      <c r="AA569" s="220" t="str">
        <f t="shared" si="128"/>
        <v>大竹</v>
      </c>
      <c r="AB569" s="220" t="s">
        <v>2413</v>
      </c>
      <c r="AC569" s="220" t="str">
        <f t="shared" si="144"/>
        <v>中莊線</v>
      </c>
      <c r="BB569" s="514" t="s">
        <v>2510</v>
      </c>
      <c r="BC569" s="514" t="s">
        <v>85</v>
      </c>
      <c r="BD569" s="514" t="s">
        <v>85</v>
      </c>
      <c r="BE569" s="514">
        <v>0</v>
      </c>
      <c r="BG569" s="229" t="s">
        <v>8754</v>
      </c>
      <c r="BH569" s="230" t="s">
        <v>8763</v>
      </c>
      <c r="BI569" t="s">
        <v>2413</v>
      </c>
      <c r="BJ569" t="s">
        <v>2409</v>
      </c>
    </row>
    <row r="570" spans="1:62">
      <c r="A570" s="229" t="s">
        <v>56</v>
      </c>
      <c r="B570" s="230" t="s">
        <v>611</v>
      </c>
      <c r="C570" s="230" t="s">
        <v>841</v>
      </c>
      <c r="D570" s="229" t="s">
        <v>783</v>
      </c>
      <c r="E570" s="229" t="s">
        <v>887</v>
      </c>
      <c r="F570" s="229" t="s">
        <v>804</v>
      </c>
      <c r="G570" s="229" t="s">
        <v>878</v>
      </c>
      <c r="H570" s="229" t="s">
        <v>804</v>
      </c>
      <c r="I570" s="229" t="s">
        <v>887</v>
      </c>
      <c r="J570" s="231" t="s">
        <v>872</v>
      </c>
      <c r="K570" s="231" t="s">
        <v>804</v>
      </c>
      <c r="L570" s="220" t="str">
        <f t="shared" si="130"/>
        <v>IM23</v>
      </c>
      <c r="M570" s="220" t="str">
        <f t="shared" si="131"/>
        <v/>
      </c>
      <c r="N570" s="220" t="str">
        <f t="shared" si="132"/>
        <v/>
      </c>
      <c r="O570" s="220" t="str">
        <f t="shared" si="133"/>
        <v/>
      </c>
      <c r="P570" s="52" t="str">
        <f t="shared" si="134"/>
        <v>IM23</v>
      </c>
      <c r="Q570" s="231" t="str">
        <f t="shared" si="140"/>
        <v>78</v>
      </c>
      <c r="R570" s="224">
        <f t="shared" si="143"/>
        <v>53.333333333333336</v>
      </c>
      <c r="S570" s="52">
        <f t="shared" si="135"/>
        <v>29</v>
      </c>
      <c r="T570" s="221">
        <f t="shared" ca="1" si="136"/>
        <v>1.54</v>
      </c>
      <c r="U570" s="221" t="str">
        <f t="shared" si="137"/>
        <v/>
      </c>
      <c r="V570" s="220" t="str">
        <f t="array" ref="V570">INDEX(P:P,MAX(U$3:U570))</f>
        <v>IM#2MTR</v>
      </c>
      <c r="W570" s="220" t="str">
        <f t="shared" ca="1" si="138"/>
        <v/>
      </c>
      <c r="X570" s="220">
        <f t="shared" si="139"/>
        <v>11.4</v>
      </c>
      <c r="Y570" s="220">
        <f t="shared" si="127"/>
        <v>0</v>
      </c>
      <c r="AA570" s="220" t="str">
        <f t="shared" si="128"/>
        <v>大竹</v>
      </c>
      <c r="AB570" s="220" t="s">
        <v>2414</v>
      </c>
      <c r="AC570" s="220" t="str">
        <f t="shared" si="144"/>
        <v>快官線</v>
      </c>
      <c r="BB570" s="514" t="s">
        <v>2518</v>
      </c>
      <c r="BC570" s="514">
        <v>2317</v>
      </c>
      <c r="BD570" s="514" t="s">
        <v>85</v>
      </c>
      <c r="BE570" s="514">
        <v>2317</v>
      </c>
      <c r="BG570" s="229" t="s">
        <v>8755</v>
      </c>
      <c r="BH570" s="230" t="s">
        <v>8764</v>
      </c>
      <c r="BI570" t="s">
        <v>2414</v>
      </c>
      <c r="BJ570" t="s">
        <v>2409</v>
      </c>
    </row>
    <row r="571" spans="1:62">
      <c r="A571" s="229" t="s">
        <v>56</v>
      </c>
      <c r="B571" s="230" t="s">
        <v>7730</v>
      </c>
      <c r="C571" s="230" t="s">
        <v>5614</v>
      </c>
      <c r="D571" s="229" t="s">
        <v>784</v>
      </c>
      <c r="E571" s="229" t="s">
        <v>5614</v>
      </c>
      <c r="F571" s="229" t="s">
        <v>784</v>
      </c>
      <c r="G571" s="229" t="s">
        <v>5614</v>
      </c>
      <c r="H571" s="229" t="s">
        <v>784</v>
      </c>
      <c r="I571" s="229" t="s">
        <v>5614</v>
      </c>
      <c r="J571" s="231" t="s">
        <v>358</v>
      </c>
      <c r="K571" s="231" t="s">
        <v>358</v>
      </c>
      <c r="L571" s="220" t="str">
        <f t="shared" si="130"/>
        <v>IM#3MTR</v>
      </c>
      <c r="M571" s="220" t="str">
        <f t="shared" si="131"/>
        <v/>
      </c>
      <c r="N571" s="220" t="str">
        <f t="shared" si="132"/>
        <v>IM#3MTR</v>
      </c>
      <c r="O571" s="220" t="str">
        <f t="shared" si="133"/>
        <v/>
      </c>
      <c r="P571" s="52" t="str">
        <f t="shared" si="134"/>
        <v>IM#3MTR</v>
      </c>
      <c r="Q571" s="231" t="str">
        <f t="shared" si="140"/>
        <v>0</v>
      </c>
      <c r="R571" s="224">
        <f t="shared" si="143"/>
        <v>0</v>
      </c>
      <c r="S571" s="52">
        <f t="shared" si="135"/>
        <v>0</v>
      </c>
      <c r="T571" s="221">
        <f t="shared" ca="1" si="136"/>
        <v>0</v>
      </c>
      <c r="U571" s="221">
        <f t="shared" si="137"/>
        <v>571</v>
      </c>
      <c r="V571" s="220" t="str">
        <f t="array" ref="V571">INDEX(P:P,MAX(U$3:U571))</f>
        <v>IM#3MTR</v>
      </c>
      <c r="W571" s="220">
        <f t="shared" ca="1" si="138"/>
        <v>25</v>
      </c>
      <c r="X571" s="220" t="str">
        <f t="shared" si="139"/>
        <v/>
      </c>
      <c r="Y571" s="220">
        <f t="shared" si="127"/>
        <v>0</v>
      </c>
      <c r="AA571" s="220" t="str">
        <f t="shared" si="128"/>
        <v>大竹</v>
      </c>
      <c r="AB571" s="220" t="s">
        <v>2415</v>
      </c>
      <c r="AC571" s="220" t="str">
        <f t="shared" si="144"/>
        <v>#3M</v>
      </c>
      <c r="BB571" s="514" t="s">
        <v>2519</v>
      </c>
      <c r="BC571" s="514">
        <v>3027</v>
      </c>
      <c r="BD571" s="514">
        <v>1</v>
      </c>
      <c r="BE571" s="514">
        <v>3028</v>
      </c>
      <c r="BG571" s="229" t="s">
        <v>8754</v>
      </c>
      <c r="BH571" s="230" t="s">
        <v>8538</v>
      </c>
      <c r="BI571" t="s">
        <v>2415</v>
      </c>
      <c r="BJ571" t="s">
        <v>2415</v>
      </c>
    </row>
    <row r="572" spans="1:62">
      <c r="A572" s="229" t="s">
        <v>7731</v>
      </c>
      <c r="B572" s="230" t="s">
        <v>7732</v>
      </c>
      <c r="C572" s="230" t="s">
        <v>5699</v>
      </c>
      <c r="D572" s="229" t="s">
        <v>7368</v>
      </c>
      <c r="E572" s="229" t="s">
        <v>5614</v>
      </c>
      <c r="F572" s="229" t="s">
        <v>7089</v>
      </c>
      <c r="G572" s="229" t="s">
        <v>5614</v>
      </c>
      <c r="H572" s="229" t="s">
        <v>784</v>
      </c>
      <c r="I572" s="229" t="s">
        <v>5614</v>
      </c>
      <c r="J572" s="231" t="s">
        <v>5614</v>
      </c>
      <c r="K572" s="231" t="s">
        <v>784</v>
      </c>
      <c r="L572" s="220" t="str">
        <f t="shared" si="130"/>
        <v>IM21</v>
      </c>
      <c r="M572" s="220" t="str">
        <f t="shared" si="131"/>
        <v/>
      </c>
      <c r="N572" s="220" t="str">
        <f t="shared" si="132"/>
        <v/>
      </c>
      <c r="O572" s="220" t="str">
        <f t="shared" si="133"/>
        <v/>
      </c>
      <c r="P572" s="52" t="str">
        <f t="shared" si="134"/>
        <v>IM21</v>
      </c>
      <c r="Q572" s="231" t="str">
        <f t="shared" si="140"/>
        <v>0</v>
      </c>
      <c r="R572" s="224">
        <f t="shared" si="143"/>
        <v>0</v>
      </c>
      <c r="S572" s="52">
        <f t="shared" si="135"/>
        <v>0</v>
      </c>
      <c r="T572" s="221">
        <f t="shared" ca="1" si="136"/>
        <v>0</v>
      </c>
      <c r="U572" s="221" t="str">
        <f t="shared" si="137"/>
        <v/>
      </c>
      <c r="V572" s="220" t="str">
        <f t="array" ref="V572">INDEX(P:P,MAX(U$3:U572))</f>
        <v>IM#3MTR</v>
      </c>
      <c r="W572" s="220" t="str">
        <f t="shared" ca="1" si="138"/>
        <v/>
      </c>
      <c r="X572" s="220">
        <f t="shared" si="139"/>
        <v>11.4</v>
      </c>
      <c r="Y572" s="220">
        <f t="shared" si="127"/>
        <v>0</v>
      </c>
      <c r="AA572" s="220" t="str">
        <f t="shared" si="128"/>
        <v>大竹</v>
      </c>
      <c r="AB572" s="220" t="s">
        <v>1959</v>
      </c>
      <c r="AC572" s="220" t="str">
        <f t="shared" si="144"/>
        <v>大東線</v>
      </c>
      <c r="BB572" s="514" t="s">
        <v>2520</v>
      </c>
      <c r="BC572" s="514">
        <v>3293</v>
      </c>
      <c r="BD572" s="514">
        <v>2</v>
      </c>
      <c r="BE572" s="514">
        <v>3295</v>
      </c>
      <c r="BG572" s="229" t="s">
        <v>8755</v>
      </c>
      <c r="BH572" s="230" t="s">
        <v>612</v>
      </c>
      <c r="BI572" t="s">
        <v>1959</v>
      </c>
      <c r="BJ572" t="s">
        <v>2415</v>
      </c>
    </row>
    <row r="573" spans="1:62">
      <c r="A573" s="229" t="s">
        <v>7733</v>
      </c>
      <c r="B573" s="230" t="s">
        <v>425</v>
      </c>
      <c r="C573" s="230" t="s">
        <v>4714</v>
      </c>
      <c r="D573" s="229" t="s">
        <v>7421</v>
      </c>
      <c r="E573" s="229" t="s">
        <v>7734</v>
      </c>
      <c r="F573" s="229" t="s">
        <v>804</v>
      </c>
      <c r="G573" s="229" t="s">
        <v>7735</v>
      </c>
      <c r="H573" s="229" t="s">
        <v>804</v>
      </c>
      <c r="I573" s="229" t="s">
        <v>7736</v>
      </c>
      <c r="J573" s="231" t="s">
        <v>358</v>
      </c>
      <c r="K573" s="231" t="s">
        <v>358</v>
      </c>
      <c r="L573" s="220" t="str">
        <f t="shared" si="130"/>
        <v>IN#1MTR</v>
      </c>
      <c r="M573" s="220" t="str">
        <f t="shared" si="131"/>
        <v/>
      </c>
      <c r="N573" s="220" t="str">
        <f t="shared" si="132"/>
        <v>IN#1MTR</v>
      </c>
      <c r="O573" s="220" t="str">
        <f t="shared" si="133"/>
        <v/>
      </c>
      <c r="P573" s="52" t="str">
        <f t="shared" si="134"/>
        <v>IN#1MTR</v>
      </c>
      <c r="Q573" s="231" t="str">
        <f t="shared" si="140"/>
        <v>772</v>
      </c>
      <c r="R573" s="224">
        <f t="shared" si="143"/>
        <v>740.33333333333337</v>
      </c>
      <c r="S573" s="52">
        <f t="shared" si="135"/>
        <v>712</v>
      </c>
      <c r="T573" s="221">
        <f t="shared" ca="1" si="136"/>
        <v>15.24</v>
      </c>
      <c r="U573" s="221">
        <f t="shared" si="137"/>
        <v>573</v>
      </c>
      <c r="V573" s="220" t="str">
        <f t="array" ref="V573">INDEX(P:P,MAX(U$3:U573))</f>
        <v>IN#1MTR</v>
      </c>
      <c r="W573" s="220">
        <f t="shared" ca="1" si="138"/>
        <v>25</v>
      </c>
      <c r="X573" s="220" t="str">
        <f t="shared" si="139"/>
        <v/>
      </c>
      <c r="Y573" s="220">
        <f t="shared" si="127"/>
        <v>0</v>
      </c>
      <c r="AA573" s="220" t="str">
        <f t="shared" si="128"/>
        <v>大村</v>
      </c>
      <c r="AB573" s="220" t="s">
        <v>2416</v>
      </c>
      <c r="AC573" s="220" t="str">
        <f t="shared" si="144"/>
        <v>#1M</v>
      </c>
      <c r="BB573" s="514" t="s">
        <v>2526</v>
      </c>
      <c r="BC573" s="514">
        <v>2823</v>
      </c>
      <c r="BD573" s="514" t="s">
        <v>85</v>
      </c>
      <c r="BE573" s="514">
        <v>2823</v>
      </c>
      <c r="BG573" s="229" t="s">
        <v>8765</v>
      </c>
      <c r="BH573" s="230" t="s">
        <v>425</v>
      </c>
      <c r="BI573" t="s">
        <v>2416</v>
      </c>
      <c r="BJ573" t="s">
        <v>2416</v>
      </c>
    </row>
    <row r="574" spans="1:62">
      <c r="A574" s="229" t="s">
        <v>7733</v>
      </c>
      <c r="B574" s="230" t="s">
        <v>613</v>
      </c>
      <c r="C574" s="230" t="s">
        <v>7737</v>
      </c>
      <c r="D574" s="229" t="s">
        <v>804</v>
      </c>
      <c r="E574" s="229" t="s">
        <v>7738</v>
      </c>
      <c r="F574" s="229" t="s">
        <v>804</v>
      </c>
      <c r="G574" s="229" t="s">
        <v>7739</v>
      </c>
      <c r="H574" s="229" t="s">
        <v>5641</v>
      </c>
      <c r="I574" s="229" t="s">
        <v>3172</v>
      </c>
      <c r="J574" s="231" t="s">
        <v>7740</v>
      </c>
      <c r="K574" s="231" t="s">
        <v>7741</v>
      </c>
      <c r="L574" s="220" t="str">
        <f t="shared" si="130"/>
        <v>IN28</v>
      </c>
      <c r="M574" s="220" t="str">
        <f t="shared" si="131"/>
        <v/>
      </c>
      <c r="N574" s="220" t="str">
        <f t="shared" si="132"/>
        <v/>
      </c>
      <c r="O574" s="220" t="str">
        <f t="shared" si="133"/>
        <v/>
      </c>
      <c r="P574" s="52" t="str">
        <f t="shared" si="134"/>
        <v>IN28</v>
      </c>
      <c r="Q574" s="231" t="str">
        <f t="shared" si="140"/>
        <v>384</v>
      </c>
      <c r="R574" s="224">
        <f t="shared" si="143"/>
        <v>360.66666666666669</v>
      </c>
      <c r="S574" s="52">
        <f t="shared" si="135"/>
        <v>346</v>
      </c>
      <c r="T574" s="221">
        <f t="shared" ca="1" si="136"/>
        <v>7.58</v>
      </c>
      <c r="U574" s="221" t="str">
        <f t="shared" si="137"/>
        <v/>
      </c>
      <c r="V574" s="220" t="str">
        <f t="array" ref="V574">INDEX(P:P,MAX(U$3:U574))</f>
        <v>IN#1MTR</v>
      </c>
      <c r="W574" s="220" t="str">
        <f t="shared" ca="1" si="138"/>
        <v/>
      </c>
      <c r="X574" s="220">
        <f t="shared" si="139"/>
        <v>11.4</v>
      </c>
      <c r="Y574" s="220">
        <f t="shared" si="127"/>
        <v>0</v>
      </c>
      <c r="AA574" s="220" t="str">
        <f t="shared" si="128"/>
        <v>大村</v>
      </c>
      <c r="AB574" s="220" t="s">
        <v>2417</v>
      </c>
      <c r="AC574" s="220" t="str">
        <f t="shared" si="144"/>
        <v>黃厝線</v>
      </c>
      <c r="BB574" s="514" t="s">
        <v>2527</v>
      </c>
      <c r="BC574" s="514">
        <v>2221</v>
      </c>
      <c r="BD574" s="514">
        <v>3</v>
      </c>
      <c r="BE574" s="514">
        <v>2224</v>
      </c>
      <c r="BG574" s="229" t="s">
        <v>8765</v>
      </c>
      <c r="BH574" s="230" t="s">
        <v>613</v>
      </c>
      <c r="BI574" t="s">
        <v>2417</v>
      </c>
      <c r="BJ574" t="s">
        <v>2416</v>
      </c>
    </row>
    <row r="575" spans="1:62">
      <c r="A575" s="229" t="s">
        <v>7733</v>
      </c>
      <c r="B575" s="230" t="s">
        <v>7742</v>
      </c>
      <c r="C575" s="230" t="s">
        <v>975</v>
      </c>
      <c r="D575" s="229" t="s">
        <v>7743</v>
      </c>
      <c r="E575" s="229" t="s">
        <v>812</v>
      </c>
      <c r="F575" s="229" t="s">
        <v>7744</v>
      </c>
      <c r="G575" s="229" t="s">
        <v>7745</v>
      </c>
      <c r="H575" s="229" t="s">
        <v>790</v>
      </c>
      <c r="I575" s="229" t="s">
        <v>7746</v>
      </c>
      <c r="J575" s="231" t="s">
        <v>7747</v>
      </c>
      <c r="K575" s="231" t="s">
        <v>5949</v>
      </c>
      <c r="L575" s="220" t="str">
        <f t="shared" si="130"/>
        <v>IN24</v>
      </c>
      <c r="M575" s="220" t="str">
        <f t="shared" si="131"/>
        <v/>
      </c>
      <c r="N575" s="220" t="str">
        <f t="shared" si="132"/>
        <v/>
      </c>
      <c r="O575" s="220" t="str">
        <f t="shared" si="133"/>
        <v/>
      </c>
      <c r="P575" s="52" t="str">
        <f t="shared" si="134"/>
        <v>IN24</v>
      </c>
      <c r="Q575" s="231" t="str">
        <f t="shared" si="140"/>
        <v>121</v>
      </c>
      <c r="R575" s="224">
        <f t="shared" si="143"/>
        <v>119.66666666666667</v>
      </c>
      <c r="S575" s="52">
        <f t="shared" si="135"/>
        <v>117</v>
      </c>
      <c r="T575" s="221">
        <f t="shared" ca="1" si="136"/>
        <v>2.39</v>
      </c>
      <c r="U575" s="221" t="str">
        <f t="shared" si="137"/>
        <v/>
      </c>
      <c r="V575" s="220" t="str">
        <f t="array" ref="V575">INDEX(P:P,MAX(U$3:U575))</f>
        <v>IN#1MTR</v>
      </c>
      <c r="W575" s="220" t="str">
        <f t="shared" ca="1" si="138"/>
        <v/>
      </c>
      <c r="X575" s="220">
        <f t="shared" si="139"/>
        <v>11.4</v>
      </c>
      <c r="Y575" s="220">
        <f t="shared" si="127"/>
        <v>0</v>
      </c>
      <c r="AA575" s="220" t="str">
        <f t="shared" si="128"/>
        <v>大村</v>
      </c>
      <c r="AB575" s="220" t="s">
        <v>2418</v>
      </c>
      <c r="AC575" s="220" t="str">
        <f t="shared" si="144"/>
        <v>中興線</v>
      </c>
      <c r="BB575" s="514" t="s">
        <v>2525</v>
      </c>
      <c r="BC575" s="514">
        <v>54</v>
      </c>
      <c r="BD575" s="514">
        <v>1</v>
      </c>
      <c r="BE575" s="514">
        <v>55</v>
      </c>
      <c r="BG575" s="229" t="s">
        <v>8765</v>
      </c>
      <c r="BH575" s="230" t="s">
        <v>614</v>
      </c>
      <c r="BI575" t="s">
        <v>2418</v>
      </c>
      <c r="BJ575" t="s">
        <v>2416</v>
      </c>
    </row>
    <row r="576" spans="1:62">
      <c r="A576" s="229" t="s">
        <v>7748</v>
      </c>
      <c r="B576" s="230" t="s">
        <v>7749</v>
      </c>
      <c r="C576" s="230" t="s">
        <v>5614</v>
      </c>
      <c r="D576" s="229" t="s">
        <v>784</v>
      </c>
      <c r="E576" s="229" t="s">
        <v>5614</v>
      </c>
      <c r="F576" s="229" t="s">
        <v>784</v>
      </c>
      <c r="G576" s="229" t="s">
        <v>5699</v>
      </c>
      <c r="H576" s="229" t="s">
        <v>7750</v>
      </c>
      <c r="I576" s="229" t="s">
        <v>5614</v>
      </c>
      <c r="J576" s="231" t="s">
        <v>5614</v>
      </c>
      <c r="K576" s="231" t="s">
        <v>784</v>
      </c>
      <c r="L576" s="220" t="str">
        <f t="shared" si="130"/>
        <v>IN20</v>
      </c>
      <c r="M576" s="220" t="str">
        <f t="shared" si="131"/>
        <v/>
      </c>
      <c r="N576" s="220" t="str">
        <f t="shared" si="132"/>
        <v/>
      </c>
      <c r="O576" s="220" t="str">
        <f t="shared" si="133"/>
        <v/>
      </c>
      <c r="P576" s="52" t="str">
        <f t="shared" si="134"/>
        <v>IN20</v>
      </c>
      <c r="Q576" s="231" t="str">
        <f t="shared" si="140"/>
        <v>0</v>
      </c>
      <c r="R576" s="224">
        <f t="shared" si="143"/>
        <v>0</v>
      </c>
      <c r="S576" s="52">
        <f t="shared" si="135"/>
        <v>0</v>
      </c>
      <c r="T576" s="221">
        <f t="shared" ca="1" si="136"/>
        <v>0</v>
      </c>
      <c r="U576" s="221" t="str">
        <f t="shared" si="137"/>
        <v/>
      </c>
      <c r="V576" s="220" t="str">
        <f t="array" ref="V576">INDEX(P:P,MAX(U$3:U576))</f>
        <v>IN#1MTR</v>
      </c>
      <c r="W576" s="220" t="str">
        <f t="shared" ca="1" si="138"/>
        <v/>
      </c>
      <c r="X576" s="220">
        <f t="shared" si="139"/>
        <v>11.4</v>
      </c>
      <c r="Y576" s="220">
        <f t="shared" si="127"/>
        <v>0</v>
      </c>
      <c r="AA576" s="220" t="str">
        <f t="shared" si="128"/>
        <v>大村</v>
      </c>
      <c r="AB576" s="220" t="s">
        <v>1886</v>
      </c>
      <c r="AC576" s="220" t="str">
        <f t="shared" si="144"/>
        <v>內庄線</v>
      </c>
      <c r="BB576" s="514" t="s">
        <v>2524</v>
      </c>
      <c r="BC576" s="514">
        <v>2025</v>
      </c>
      <c r="BD576" s="514" t="s">
        <v>85</v>
      </c>
      <c r="BE576" s="514">
        <v>2025</v>
      </c>
      <c r="BG576" s="229" t="s">
        <v>8766</v>
      </c>
      <c r="BH576" s="230" t="s">
        <v>8767</v>
      </c>
      <c r="BI576" t="s">
        <v>1886</v>
      </c>
      <c r="BJ576" t="s">
        <v>2416</v>
      </c>
    </row>
    <row r="577" spans="1:62">
      <c r="A577" s="229" t="s">
        <v>57</v>
      </c>
      <c r="B577" s="230" t="s">
        <v>7751</v>
      </c>
      <c r="C577" s="230" t="s">
        <v>988</v>
      </c>
      <c r="D577" s="229" t="s">
        <v>832</v>
      </c>
      <c r="E577" s="229" t="s">
        <v>7752</v>
      </c>
      <c r="F577" s="229" t="s">
        <v>7257</v>
      </c>
      <c r="G577" s="229" t="s">
        <v>7753</v>
      </c>
      <c r="H577" s="229" t="s">
        <v>804</v>
      </c>
      <c r="I577" s="229" t="s">
        <v>1021</v>
      </c>
      <c r="J577" s="231" t="s">
        <v>7754</v>
      </c>
      <c r="K577" s="231" t="s">
        <v>6095</v>
      </c>
      <c r="L577" s="220" t="str">
        <f t="shared" si="130"/>
        <v>IN31</v>
      </c>
      <c r="M577" s="220" t="str">
        <f t="shared" si="131"/>
        <v/>
      </c>
      <c r="N577" s="220" t="str">
        <f t="shared" si="132"/>
        <v/>
      </c>
      <c r="O577" s="220" t="str">
        <f t="shared" si="133"/>
        <v/>
      </c>
      <c r="P577" s="52" t="str">
        <f t="shared" si="134"/>
        <v>IN31</v>
      </c>
      <c r="Q577" s="231" t="str">
        <f t="shared" si="140"/>
        <v>174</v>
      </c>
      <c r="R577" s="224">
        <f t="shared" si="143"/>
        <v>166.33333333333334</v>
      </c>
      <c r="S577" s="52">
        <f t="shared" si="135"/>
        <v>161</v>
      </c>
      <c r="T577" s="221">
        <f t="shared" ca="1" si="136"/>
        <v>3.44</v>
      </c>
      <c r="U577" s="221" t="str">
        <f t="shared" si="137"/>
        <v/>
      </c>
      <c r="V577" s="220" t="str">
        <f t="array" ref="V577">INDEX(P:P,MAX(U$3:U577))</f>
        <v>IN#1MTR</v>
      </c>
      <c r="W577" s="220" t="str">
        <f t="shared" ca="1" si="138"/>
        <v/>
      </c>
      <c r="X577" s="220">
        <f t="shared" si="139"/>
        <v>11.4</v>
      </c>
      <c r="Y577" s="220">
        <f t="shared" si="127"/>
        <v>0</v>
      </c>
      <c r="AA577" s="220" t="str">
        <f t="shared" si="128"/>
        <v>大村</v>
      </c>
      <c r="AB577" s="220" t="s">
        <v>2419</v>
      </c>
      <c r="AC577" s="220" t="str">
        <f t="shared" si="144"/>
        <v>三芬線</v>
      </c>
      <c r="BB577" s="514" t="s">
        <v>2521</v>
      </c>
      <c r="BC577" s="514">
        <v>930</v>
      </c>
      <c r="BD577" s="514" t="s">
        <v>85</v>
      </c>
      <c r="BE577" s="514">
        <v>930</v>
      </c>
      <c r="BG577" s="229" t="s">
        <v>57</v>
      </c>
      <c r="BH577" s="230" t="s">
        <v>615</v>
      </c>
      <c r="BI577" t="s">
        <v>2419</v>
      </c>
      <c r="BJ577" t="s">
        <v>2416</v>
      </c>
    </row>
    <row r="578" spans="1:62">
      <c r="A578" s="229" t="s">
        <v>57</v>
      </c>
      <c r="B578" s="230" t="s">
        <v>616</v>
      </c>
      <c r="C578" s="230" t="s">
        <v>7755</v>
      </c>
      <c r="D578" s="229" t="s">
        <v>5791</v>
      </c>
      <c r="E578" s="229" t="s">
        <v>916</v>
      </c>
      <c r="F578" s="229" t="s">
        <v>6548</v>
      </c>
      <c r="G578" s="229" t="s">
        <v>6499</v>
      </c>
      <c r="H578" s="229" t="s">
        <v>6548</v>
      </c>
      <c r="I578" s="229" t="s">
        <v>974</v>
      </c>
      <c r="J578" s="231" t="s">
        <v>7756</v>
      </c>
      <c r="K578" s="231" t="s">
        <v>7156</v>
      </c>
      <c r="L578" s="220" t="str">
        <f t="shared" si="130"/>
        <v>IN29</v>
      </c>
      <c r="M578" s="220" t="str">
        <f t="shared" si="131"/>
        <v/>
      </c>
      <c r="N578" s="220" t="str">
        <f t="shared" si="132"/>
        <v/>
      </c>
      <c r="O578" s="220" t="str">
        <f t="shared" si="133"/>
        <v/>
      </c>
      <c r="P578" s="52" t="str">
        <f t="shared" si="134"/>
        <v>IN29</v>
      </c>
      <c r="Q578" s="231" t="str">
        <f t="shared" si="140"/>
        <v>213</v>
      </c>
      <c r="R578" s="224">
        <f t="shared" si="143"/>
        <v>204.33333333333334</v>
      </c>
      <c r="S578" s="52">
        <f t="shared" si="135"/>
        <v>200</v>
      </c>
      <c r="T578" s="221">
        <f t="shared" ca="1" si="136"/>
        <v>4.21</v>
      </c>
      <c r="U578" s="221" t="str">
        <f t="shared" si="137"/>
        <v/>
      </c>
      <c r="V578" s="220" t="str">
        <f t="array" ref="V578">INDEX(P:P,MAX(U$3:U578))</f>
        <v>IN#1MTR</v>
      </c>
      <c r="W578" s="220" t="str">
        <f t="shared" ca="1" si="138"/>
        <v/>
      </c>
      <c r="X578" s="220">
        <f t="shared" si="139"/>
        <v>11.4</v>
      </c>
      <c r="Y578" s="220">
        <f t="shared" si="127"/>
        <v>0</v>
      </c>
      <c r="AA578" s="220" t="str">
        <f t="shared" si="128"/>
        <v>大村</v>
      </c>
      <c r="AB578" s="220" t="s">
        <v>2420</v>
      </c>
      <c r="AC578" s="220" t="str">
        <f t="shared" si="144"/>
        <v>村上線</v>
      </c>
      <c r="BB578" s="514" t="s">
        <v>2528</v>
      </c>
      <c r="BC578" s="514">
        <v>265</v>
      </c>
      <c r="BD578" s="514" t="s">
        <v>85</v>
      </c>
      <c r="BE578" s="514">
        <v>265</v>
      </c>
      <c r="BG578" s="229" t="s">
        <v>8766</v>
      </c>
      <c r="BH578" s="230" t="s">
        <v>616</v>
      </c>
      <c r="BI578" t="s">
        <v>2420</v>
      </c>
      <c r="BJ578" t="s">
        <v>2416</v>
      </c>
    </row>
    <row r="579" spans="1:62">
      <c r="A579" s="229" t="s">
        <v>57</v>
      </c>
      <c r="B579" s="230" t="s">
        <v>427</v>
      </c>
      <c r="C579" s="230" t="s">
        <v>3164</v>
      </c>
      <c r="D579" s="229" t="s">
        <v>5641</v>
      </c>
      <c r="E579" s="229" t="s">
        <v>7757</v>
      </c>
      <c r="F579" s="229" t="s">
        <v>5641</v>
      </c>
      <c r="G579" s="229" t="s">
        <v>7758</v>
      </c>
      <c r="H579" s="229" t="s">
        <v>5791</v>
      </c>
      <c r="I579" s="229" t="s">
        <v>7759</v>
      </c>
      <c r="J579" s="231" t="s">
        <v>358</v>
      </c>
      <c r="K579" s="231" t="s">
        <v>358</v>
      </c>
      <c r="L579" s="220" t="str">
        <f t="shared" si="130"/>
        <v>IN#2MTR</v>
      </c>
      <c r="M579" s="220" t="str">
        <f t="shared" si="131"/>
        <v/>
      </c>
      <c r="N579" s="220" t="str">
        <f t="shared" si="132"/>
        <v>IN#2MTR</v>
      </c>
      <c r="O579" s="220" t="str">
        <f t="shared" si="133"/>
        <v/>
      </c>
      <c r="P579" s="52" t="str">
        <f t="shared" si="134"/>
        <v>IN#2MTR</v>
      </c>
      <c r="Q579" s="231" t="str">
        <f t="shared" si="140"/>
        <v>729</v>
      </c>
      <c r="R579" s="224">
        <f t="shared" si="143"/>
        <v>708.66666666666663</v>
      </c>
      <c r="S579" s="52">
        <f t="shared" si="135"/>
        <v>697</v>
      </c>
      <c r="T579" s="221">
        <f t="shared" ca="1" si="136"/>
        <v>14.39</v>
      </c>
      <c r="U579" s="221">
        <f t="shared" si="137"/>
        <v>579</v>
      </c>
      <c r="V579" s="220" t="str">
        <f t="array" ref="V579">INDEX(P:P,MAX(U$3:U579))</f>
        <v>IN#2MTR</v>
      </c>
      <c r="W579" s="220">
        <f t="shared" ca="1" si="138"/>
        <v>25</v>
      </c>
      <c r="X579" s="220" t="str">
        <f t="shared" si="139"/>
        <v/>
      </c>
      <c r="Y579" s="220">
        <f t="shared" ref="Y579:Y642" si="145">SUMIF(L:L,L579,I:I)</f>
        <v>0</v>
      </c>
      <c r="AA579" s="220" t="str">
        <f t="shared" ref="AA579:AA642" si="146">LEFT(A579,2)</f>
        <v>大村</v>
      </c>
      <c r="AB579" s="220" t="s">
        <v>2421</v>
      </c>
      <c r="AC579" s="220" t="str">
        <f t="shared" si="144"/>
        <v>#2M</v>
      </c>
      <c r="BB579" s="514" t="s">
        <v>2522</v>
      </c>
      <c r="BC579" s="514">
        <v>337</v>
      </c>
      <c r="BD579" s="514">
        <v>2</v>
      </c>
      <c r="BE579" s="514">
        <v>339</v>
      </c>
      <c r="BG579" s="229" t="s">
        <v>8765</v>
      </c>
      <c r="BH579" s="230" t="s">
        <v>8477</v>
      </c>
      <c r="BI579" t="s">
        <v>2421</v>
      </c>
      <c r="BJ579" t="s">
        <v>2421</v>
      </c>
    </row>
    <row r="580" spans="1:62">
      <c r="A580" s="229" t="s">
        <v>7733</v>
      </c>
      <c r="B580" s="230" t="s">
        <v>7760</v>
      </c>
      <c r="C580" s="230" t="s">
        <v>7761</v>
      </c>
      <c r="D580" s="229" t="s">
        <v>804</v>
      </c>
      <c r="E580" s="229" t="s">
        <v>7762</v>
      </c>
      <c r="F580" s="229" t="s">
        <v>804</v>
      </c>
      <c r="G580" s="229" t="s">
        <v>7654</v>
      </c>
      <c r="H580" s="229" t="s">
        <v>5764</v>
      </c>
      <c r="I580" s="229" t="s">
        <v>1033</v>
      </c>
      <c r="J580" s="231" t="s">
        <v>7763</v>
      </c>
      <c r="K580" s="231" t="s">
        <v>6179</v>
      </c>
      <c r="L580" s="220" t="str">
        <f t="shared" ref="L580:L643" si="147">IF(LEFT(B580,1)="#",IF(LEN(B580)=5,RIGHT(A580,2)&amp;B580,N580&amp;M580),MID(B580,FIND("(",B580)+1,4))</f>
        <v>IN22</v>
      </c>
      <c r="M580" s="220" t="str">
        <f t="shared" ref="M580:M643" si="148">IF(LEFT(B580,1)="#",IF(LEN(B580)&lt;&gt;5,"("&amp;MID(B580,3,1)&amp;")",""),"")</f>
        <v/>
      </c>
      <c r="N580" s="220" t="str">
        <f t="shared" ref="N580:N643" si="149">IF(LEFT(B580,1)="#",IF(LEN(B580)=5,RIGHT(A580,2)&amp;B580,RIGHT(A580,2)&amp;LEFT(B580,2)&amp;"DTR"),"")</f>
        <v/>
      </c>
      <c r="O580" s="220" t="str">
        <f t="shared" ref="O580:O643" si="150">IF(LEFT(B580,1)="#",IF(LEN(B580)&lt;&gt;5,IF(LEN(B580)&lt;&gt;7,"("&amp;MID(B580,3,1)&amp;")","("&amp;MID(B580,3,2)&amp;")"),""),"")</f>
        <v/>
      </c>
      <c r="P580" s="52" t="str">
        <f t="shared" ref="P580:P643" si="151">IF(LEFT(B580,1)="#",IF(LEN(B580)=5,RIGHT(A580,2)&amp;B580,N580&amp;M580),MID(B580,FIND("(",B580)+1,4))</f>
        <v>IN22</v>
      </c>
      <c r="Q580" s="231" t="str">
        <f t="shared" si="140"/>
        <v>253</v>
      </c>
      <c r="R580" s="224">
        <f t="shared" si="143"/>
        <v>238.33333333333334</v>
      </c>
      <c r="S580" s="52">
        <f t="shared" ref="S580:S643" si="152">MIN(C580*1,E580*1,G580*1)</f>
        <v>225</v>
      </c>
      <c r="T580" s="221">
        <f t="shared" ref="T580:T643" ca="1" si="153">IF(LEFT(B580,1)="#",ROUND(OFFSET(X580,1,0,1,1)*Q580*SQRT(3)/1000,2),ROUND(Q580*X580*SQRT(3)/1000,2))</f>
        <v>5</v>
      </c>
      <c r="U580" s="221" t="str">
        <f t="shared" ref="U580:U643" si="154">IF(ISNUMBER(FIND("#",B580)),ROW(),"")</f>
        <v/>
      </c>
      <c r="V580" s="220" t="str">
        <f t="array" ref="V580">INDEX(P:P,MAX(U$3:U580))</f>
        <v>IN#2MTR</v>
      </c>
      <c r="W580" s="220" t="str">
        <f t="shared" ref="W580:W643" ca="1" si="155">IF(LEFT(B580,1)="#",IF(ISNUMBER(FIND("DTR",B580)),IF(MID(OFFSET(P580,1,0,1,1),3,1)*1&lt;5,30,60),25),"")</f>
        <v/>
      </c>
      <c r="X580" s="220">
        <f t="shared" ref="X580:X643" si="156">IF(LEFT(B580,1)="#","",IF(MID(P580,3,1)*1&lt;5,11.4,22.8))</f>
        <v>11.4</v>
      </c>
      <c r="Y580" s="220">
        <f t="shared" si="145"/>
        <v>0</v>
      </c>
      <c r="AA580" s="220" t="str">
        <f t="shared" si="146"/>
        <v>大村</v>
      </c>
      <c r="AB580" s="220" t="s">
        <v>2422</v>
      </c>
      <c r="AC580" s="220" t="str">
        <f t="shared" si="144"/>
        <v>大橋線</v>
      </c>
      <c r="BB580" s="514" t="s">
        <v>2536</v>
      </c>
      <c r="BC580" s="514">
        <v>999</v>
      </c>
      <c r="BD580" s="514">
        <v>5</v>
      </c>
      <c r="BE580" s="514">
        <v>1004</v>
      </c>
      <c r="BG580" s="229" t="s">
        <v>8766</v>
      </c>
      <c r="BH580" s="230" t="s">
        <v>617</v>
      </c>
      <c r="BI580" t="s">
        <v>2422</v>
      </c>
      <c r="BJ580" t="s">
        <v>2421</v>
      </c>
    </row>
    <row r="581" spans="1:62">
      <c r="A581" s="229" t="s">
        <v>7764</v>
      </c>
      <c r="B581" s="230" t="s">
        <v>618</v>
      </c>
      <c r="C581" s="230" t="s">
        <v>976</v>
      </c>
      <c r="D581" s="229" t="s">
        <v>5580</v>
      </c>
      <c r="E581" s="229" t="s">
        <v>908</v>
      </c>
      <c r="F581" s="229" t="s">
        <v>804</v>
      </c>
      <c r="G581" s="229" t="s">
        <v>906</v>
      </c>
      <c r="H581" s="229" t="s">
        <v>5791</v>
      </c>
      <c r="I581" s="229" t="s">
        <v>7765</v>
      </c>
      <c r="J581" s="231" t="s">
        <v>802</v>
      </c>
      <c r="K581" s="231" t="s">
        <v>7141</v>
      </c>
      <c r="L581" s="220" t="str">
        <f t="shared" si="147"/>
        <v>IN23</v>
      </c>
      <c r="M581" s="220" t="str">
        <f t="shared" si="148"/>
        <v/>
      </c>
      <c r="N581" s="220" t="str">
        <f t="shared" si="149"/>
        <v/>
      </c>
      <c r="O581" s="220" t="str">
        <f t="shared" si="150"/>
        <v/>
      </c>
      <c r="P581" s="52" t="str">
        <f t="shared" si="151"/>
        <v>IN23</v>
      </c>
      <c r="Q581" s="231" t="str">
        <f t="shared" si="140"/>
        <v>118</v>
      </c>
      <c r="R581" s="224">
        <f t="shared" si="143"/>
        <v>98</v>
      </c>
      <c r="S581" s="52">
        <f t="shared" si="152"/>
        <v>79</v>
      </c>
      <c r="T581" s="221">
        <f t="shared" ca="1" si="153"/>
        <v>2.33</v>
      </c>
      <c r="U581" s="221" t="str">
        <f t="shared" si="154"/>
        <v/>
      </c>
      <c r="V581" s="220" t="str">
        <f t="array" ref="V581">INDEX(P:P,MAX(U$3:U581))</f>
        <v>IN#2MTR</v>
      </c>
      <c r="W581" s="220" t="str">
        <f t="shared" ca="1" si="155"/>
        <v/>
      </c>
      <c r="X581" s="220">
        <f t="shared" si="156"/>
        <v>11.4</v>
      </c>
      <c r="Y581" s="220">
        <f t="shared" si="145"/>
        <v>0</v>
      </c>
      <c r="AA581" s="220" t="str">
        <f t="shared" si="146"/>
        <v>大村</v>
      </c>
      <c r="AB581" s="220" t="s">
        <v>2423</v>
      </c>
      <c r="AC581" s="220" t="str">
        <f t="shared" si="144"/>
        <v>大村線</v>
      </c>
      <c r="BB581" s="514" t="s">
        <v>2542</v>
      </c>
      <c r="BC581" s="514">
        <v>2153</v>
      </c>
      <c r="BD581" s="514">
        <v>5</v>
      </c>
      <c r="BE581" s="514">
        <v>2158</v>
      </c>
      <c r="BG581" s="229" t="s">
        <v>8765</v>
      </c>
      <c r="BH581" s="230" t="s">
        <v>8768</v>
      </c>
      <c r="BI581" t="s">
        <v>2423</v>
      </c>
      <c r="BJ581" t="s">
        <v>2421</v>
      </c>
    </row>
    <row r="582" spans="1:62">
      <c r="A582" s="229" t="s">
        <v>57</v>
      </c>
      <c r="B582" s="230" t="s">
        <v>7766</v>
      </c>
      <c r="C582" s="230" t="s">
        <v>956</v>
      </c>
      <c r="D582" s="229" t="s">
        <v>804</v>
      </c>
      <c r="E582" s="229" t="s">
        <v>869</v>
      </c>
      <c r="F582" s="229" t="s">
        <v>804</v>
      </c>
      <c r="G582" s="229" t="s">
        <v>7767</v>
      </c>
      <c r="H582" s="229" t="s">
        <v>804</v>
      </c>
      <c r="I582" s="229" t="s">
        <v>822</v>
      </c>
      <c r="J582" s="231" t="s">
        <v>881</v>
      </c>
      <c r="K582" s="231" t="s">
        <v>5986</v>
      </c>
      <c r="L582" s="220" t="str">
        <f t="shared" si="147"/>
        <v>IN32</v>
      </c>
      <c r="M582" s="220" t="str">
        <f t="shared" si="148"/>
        <v/>
      </c>
      <c r="N582" s="220" t="str">
        <f t="shared" si="149"/>
        <v/>
      </c>
      <c r="O582" s="220" t="str">
        <f t="shared" si="150"/>
        <v/>
      </c>
      <c r="P582" s="52" t="str">
        <f t="shared" si="151"/>
        <v>IN32</v>
      </c>
      <c r="Q582" s="231" t="str">
        <f t="shared" si="140"/>
        <v>148</v>
      </c>
      <c r="R582" s="224">
        <f t="shared" si="143"/>
        <v>137.33333333333334</v>
      </c>
      <c r="S582" s="52">
        <f t="shared" si="152"/>
        <v>124</v>
      </c>
      <c r="T582" s="221">
        <f t="shared" ca="1" si="153"/>
        <v>2.92</v>
      </c>
      <c r="U582" s="221" t="str">
        <f t="shared" si="154"/>
        <v/>
      </c>
      <c r="V582" s="220" t="str">
        <f t="array" ref="V582">INDEX(P:P,MAX(U$3:U582))</f>
        <v>IN#2MTR</v>
      </c>
      <c r="W582" s="220" t="str">
        <f t="shared" ca="1" si="155"/>
        <v/>
      </c>
      <c r="X582" s="220">
        <f t="shared" si="156"/>
        <v>11.4</v>
      </c>
      <c r="Y582" s="220">
        <f t="shared" si="145"/>
        <v>0</v>
      </c>
      <c r="AA582" s="220" t="str">
        <f t="shared" si="146"/>
        <v>大村</v>
      </c>
      <c r="AB582" s="220" t="s">
        <v>2424</v>
      </c>
      <c r="AC582" s="220" t="str">
        <f t="shared" si="144"/>
        <v>長春線</v>
      </c>
      <c r="BB582" s="514" t="s">
        <v>2531</v>
      </c>
      <c r="BC582" s="514">
        <v>1765</v>
      </c>
      <c r="BD582" s="514">
        <v>2</v>
      </c>
      <c r="BE582" s="514">
        <v>1767</v>
      </c>
      <c r="BG582" s="229" t="s">
        <v>57</v>
      </c>
      <c r="BH582" s="230" t="s">
        <v>8769</v>
      </c>
      <c r="BI582" t="s">
        <v>2424</v>
      </c>
      <c r="BJ582" t="s">
        <v>2421</v>
      </c>
    </row>
    <row r="583" spans="1:62">
      <c r="A583" s="229" t="s">
        <v>7748</v>
      </c>
      <c r="B583" s="230" t="s">
        <v>619</v>
      </c>
      <c r="C583" s="230" t="s">
        <v>7761</v>
      </c>
      <c r="D583" s="229" t="s">
        <v>5791</v>
      </c>
      <c r="E583" s="229" t="s">
        <v>863</v>
      </c>
      <c r="F583" s="229" t="s">
        <v>6548</v>
      </c>
      <c r="G583" s="229" t="s">
        <v>7768</v>
      </c>
      <c r="H583" s="229" t="s">
        <v>5791</v>
      </c>
      <c r="I583" s="229" t="s">
        <v>7768</v>
      </c>
      <c r="J583" s="231" t="s">
        <v>1009</v>
      </c>
      <c r="K583" s="231" t="s">
        <v>5682</v>
      </c>
      <c r="L583" s="220" t="str">
        <f t="shared" si="147"/>
        <v>IN26</v>
      </c>
      <c r="M583" s="220" t="str">
        <f t="shared" si="148"/>
        <v/>
      </c>
      <c r="N583" s="220" t="str">
        <f t="shared" si="149"/>
        <v/>
      </c>
      <c r="O583" s="220" t="str">
        <f t="shared" si="150"/>
        <v/>
      </c>
      <c r="P583" s="52" t="str">
        <f t="shared" si="151"/>
        <v>IN26</v>
      </c>
      <c r="Q583" s="231" t="str">
        <f t="shared" si="140"/>
        <v>242</v>
      </c>
      <c r="R583" s="224">
        <f t="shared" si="143"/>
        <v>232.33333333333334</v>
      </c>
      <c r="S583" s="52">
        <f t="shared" si="152"/>
        <v>225</v>
      </c>
      <c r="T583" s="221">
        <f t="shared" ca="1" si="153"/>
        <v>4.78</v>
      </c>
      <c r="U583" s="221" t="str">
        <f t="shared" si="154"/>
        <v/>
      </c>
      <c r="V583" s="220" t="str">
        <f t="array" ref="V583">INDEX(P:P,MAX(U$3:U583))</f>
        <v>IN#2MTR</v>
      </c>
      <c r="W583" s="220" t="str">
        <f t="shared" ca="1" si="155"/>
        <v/>
      </c>
      <c r="X583" s="220">
        <f t="shared" si="156"/>
        <v>11.4</v>
      </c>
      <c r="Y583" s="220">
        <f t="shared" si="145"/>
        <v>0</v>
      </c>
      <c r="AA583" s="220" t="str">
        <f t="shared" si="146"/>
        <v>大村</v>
      </c>
      <c r="AB583" s="220" t="s">
        <v>2425</v>
      </c>
      <c r="AC583" s="220" t="str">
        <f t="shared" si="144"/>
        <v>金墩線</v>
      </c>
      <c r="BB583" s="514" t="s">
        <v>2533</v>
      </c>
      <c r="BC583" s="514">
        <v>1630</v>
      </c>
      <c r="BD583" s="514">
        <v>1</v>
      </c>
      <c r="BE583" s="514">
        <v>1631</v>
      </c>
      <c r="BG583" s="229" t="s">
        <v>8765</v>
      </c>
      <c r="BH583" s="230" t="s">
        <v>8770</v>
      </c>
      <c r="BI583" t="s">
        <v>2425</v>
      </c>
      <c r="BJ583" t="s">
        <v>2421</v>
      </c>
    </row>
    <row r="584" spans="1:62">
      <c r="A584" s="229" t="s">
        <v>57</v>
      </c>
      <c r="B584" s="230" t="s">
        <v>7769</v>
      </c>
      <c r="C584" s="230" t="s">
        <v>866</v>
      </c>
      <c r="D584" s="229" t="s">
        <v>804</v>
      </c>
      <c r="E584" s="229" t="s">
        <v>7763</v>
      </c>
      <c r="F584" s="229" t="s">
        <v>804</v>
      </c>
      <c r="G584" s="229" t="s">
        <v>941</v>
      </c>
      <c r="H584" s="229" t="s">
        <v>7207</v>
      </c>
      <c r="I584" s="229" t="s">
        <v>866</v>
      </c>
      <c r="J584" s="231" t="s">
        <v>897</v>
      </c>
      <c r="K584" s="231" t="s">
        <v>804</v>
      </c>
      <c r="L584" s="220" t="str">
        <f t="shared" si="147"/>
        <v>IN27</v>
      </c>
      <c r="M584" s="220" t="str">
        <f t="shared" si="148"/>
        <v/>
      </c>
      <c r="N584" s="220" t="str">
        <f t="shared" si="149"/>
        <v/>
      </c>
      <c r="O584" s="220" t="str">
        <f t="shared" si="150"/>
        <v/>
      </c>
      <c r="P584" s="52" t="str">
        <f t="shared" si="151"/>
        <v>IN27</v>
      </c>
      <c r="Q584" s="231" t="str">
        <f t="shared" si="140"/>
        <v>80</v>
      </c>
      <c r="R584" s="224">
        <f t="shared" si="143"/>
        <v>59.333333333333336</v>
      </c>
      <c r="S584" s="52">
        <f t="shared" si="152"/>
        <v>49</v>
      </c>
      <c r="T584" s="221">
        <f t="shared" ca="1" si="153"/>
        <v>1.58</v>
      </c>
      <c r="U584" s="221" t="str">
        <f t="shared" si="154"/>
        <v/>
      </c>
      <c r="V584" s="220" t="str">
        <f t="array" ref="V584">INDEX(P:P,MAX(U$3:U584))</f>
        <v>IN#2MTR</v>
      </c>
      <c r="W584" s="220" t="str">
        <f t="shared" ca="1" si="155"/>
        <v/>
      </c>
      <c r="X584" s="220">
        <f t="shared" si="156"/>
        <v>11.4</v>
      </c>
      <c r="Y584" s="220">
        <f t="shared" si="145"/>
        <v>0</v>
      </c>
      <c r="AA584" s="220" t="str">
        <f t="shared" si="146"/>
        <v>大村</v>
      </c>
      <c r="AB584" s="220" t="s">
        <v>2426</v>
      </c>
      <c r="AC584" s="220" t="str">
        <f t="shared" si="144"/>
        <v>灣口線</v>
      </c>
      <c r="BB584" s="514" t="s">
        <v>2539</v>
      </c>
      <c r="BC584" s="514">
        <v>762</v>
      </c>
      <c r="BD584" s="514">
        <v>3</v>
      </c>
      <c r="BE584" s="514">
        <v>765</v>
      </c>
      <c r="BG584" s="229" t="s">
        <v>8765</v>
      </c>
      <c r="BH584" s="230" t="s">
        <v>8771</v>
      </c>
      <c r="BI584" t="s">
        <v>2426</v>
      </c>
      <c r="BJ584" t="s">
        <v>2421</v>
      </c>
    </row>
    <row r="585" spans="1:62">
      <c r="A585" s="229" t="s">
        <v>7748</v>
      </c>
      <c r="B585" s="230" t="s">
        <v>430</v>
      </c>
      <c r="C585" s="230" t="s">
        <v>4730</v>
      </c>
      <c r="D585" s="229" t="s">
        <v>5641</v>
      </c>
      <c r="E585" s="229" t="s">
        <v>7770</v>
      </c>
      <c r="F585" s="229" t="s">
        <v>6190</v>
      </c>
      <c r="G585" s="229" t="s">
        <v>7771</v>
      </c>
      <c r="H585" s="229" t="s">
        <v>7772</v>
      </c>
      <c r="I585" s="229" t="s">
        <v>7773</v>
      </c>
      <c r="J585" s="231" t="s">
        <v>7069</v>
      </c>
      <c r="K585" s="231" t="s">
        <v>7069</v>
      </c>
      <c r="L585" s="220" t="str">
        <f t="shared" si="147"/>
        <v>IN#3MTR</v>
      </c>
      <c r="M585" s="220" t="str">
        <f t="shared" si="148"/>
        <v/>
      </c>
      <c r="N585" s="220" t="str">
        <f t="shared" si="149"/>
        <v>IN#3MTR</v>
      </c>
      <c r="O585" s="220" t="str">
        <f t="shared" si="150"/>
        <v/>
      </c>
      <c r="P585" s="52" t="str">
        <f t="shared" si="151"/>
        <v>IN#3MTR</v>
      </c>
      <c r="Q585" s="231" t="str">
        <f t="shared" si="140"/>
        <v>383</v>
      </c>
      <c r="R585" s="224">
        <f t="shared" si="143"/>
        <v>368.66666666666669</v>
      </c>
      <c r="S585" s="52">
        <f t="shared" si="152"/>
        <v>346</v>
      </c>
      <c r="T585" s="221">
        <f t="shared" ca="1" si="153"/>
        <v>7.56</v>
      </c>
      <c r="U585" s="221">
        <f t="shared" si="154"/>
        <v>585</v>
      </c>
      <c r="V585" s="220" t="str">
        <f t="array" ref="V585">INDEX(P:P,MAX(U$3:U585))</f>
        <v>IN#3MTR</v>
      </c>
      <c r="W585" s="220">
        <f t="shared" ca="1" si="155"/>
        <v>25</v>
      </c>
      <c r="X585" s="220" t="str">
        <f t="shared" si="156"/>
        <v/>
      </c>
      <c r="Y585" s="220">
        <f t="shared" si="145"/>
        <v>0</v>
      </c>
      <c r="AA585" s="220" t="str">
        <f t="shared" si="146"/>
        <v>大村</v>
      </c>
      <c r="AB585" s="220" t="s">
        <v>2427</v>
      </c>
      <c r="AC585" s="220" t="str">
        <f t="shared" si="144"/>
        <v>#3M</v>
      </c>
      <c r="BB585" s="514" t="s">
        <v>2534</v>
      </c>
      <c r="BC585" s="514">
        <v>986</v>
      </c>
      <c r="BD585" s="514">
        <v>1</v>
      </c>
      <c r="BE585" s="514">
        <v>987</v>
      </c>
      <c r="BG585" s="229" t="s">
        <v>8765</v>
      </c>
      <c r="BH585" s="230" t="s">
        <v>8481</v>
      </c>
      <c r="BI585" t="s">
        <v>2427</v>
      </c>
      <c r="BJ585" t="s">
        <v>2427</v>
      </c>
    </row>
    <row r="586" spans="1:62">
      <c r="A586" s="229" t="s">
        <v>57</v>
      </c>
      <c r="B586" s="230" t="s">
        <v>620</v>
      </c>
      <c r="C586" s="230" t="s">
        <v>7774</v>
      </c>
      <c r="D586" s="229" t="s">
        <v>5580</v>
      </c>
      <c r="E586" s="229" t="s">
        <v>7686</v>
      </c>
      <c r="F586" s="229" t="s">
        <v>832</v>
      </c>
      <c r="G586" s="229" t="s">
        <v>826</v>
      </c>
      <c r="H586" s="229" t="s">
        <v>846</v>
      </c>
      <c r="I586" s="229" t="s">
        <v>7381</v>
      </c>
      <c r="J586" s="231" t="s">
        <v>7775</v>
      </c>
      <c r="K586" s="231" t="s">
        <v>5986</v>
      </c>
      <c r="L586" s="220" t="str">
        <f t="shared" si="147"/>
        <v>IN34</v>
      </c>
      <c r="M586" s="220" t="str">
        <f t="shared" si="148"/>
        <v/>
      </c>
      <c r="N586" s="220" t="str">
        <f t="shared" si="149"/>
        <v/>
      </c>
      <c r="O586" s="220" t="str">
        <f t="shared" si="150"/>
        <v/>
      </c>
      <c r="P586" s="52" t="str">
        <f t="shared" si="151"/>
        <v>IN34</v>
      </c>
      <c r="Q586" s="231" t="str">
        <f t="shared" si="140"/>
        <v>92</v>
      </c>
      <c r="R586" s="224">
        <f t="shared" si="143"/>
        <v>86.666666666666671</v>
      </c>
      <c r="S586" s="52">
        <f t="shared" si="152"/>
        <v>81</v>
      </c>
      <c r="T586" s="221">
        <f t="shared" ca="1" si="153"/>
        <v>1.82</v>
      </c>
      <c r="U586" s="221" t="str">
        <f t="shared" si="154"/>
        <v/>
      </c>
      <c r="V586" s="220" t="str">
        <f t="array" ref="V586">INDEX(P:P,MAX(U$3:U586))</f>
        <v>IN#3MTR</v>
      </c>
      <c r="W586" s="220" t="str">
        <f t="shared" ca="1" si="155"/>
        <v/>
      </c>
      <c r="X586" s="220">
        <f t="shared" si="156"/>
        <v>11.4</v>
      </c>
      <c r="Y586" s="220">
        <f t="shared" si="145"/>
        <v>0</v>
      </c>
      <c r="AA586" s="220" t="str">
        <f t="shared" si="146"/>
        <v>大村</v>
      </c>
      <c r="AB586" s="220" t="s">
        <v>2428</v>
      </c>
      <c r="AC586" s="220" t="str">
        <f t="shared" si="144"/>
        <v>南寮線</v>
      </c>
      <c r="BB586" s="514" t="s">
        <v>2544</v>
      </c>
      <c r="BC586" s="514">
        <v>393</v>
      </c>
      <c r="BD586" s="514">
        <v>0</v>
      </c>
      <c r="BE586" s="514">
        <v>393</v>
      </c>
      <c r="BG586" s="229" t="s">
        <v>8765</v>
      </c>
      <c r="BH586" s="230" t="s">
        <v>8772</v>
      </c>
      <c r="BI586" t="s">
        <v>2428</v>
      </c>
      <c r="BJ586" t="s">
        <v>2427</v>
      </c>
    </row>
    <row r="587" spans="1:62">
      <c r="A587" s="229" t="s">
        <v>57</v>
      </c>
      <c r="B587" s="230" t="s">
        <v>621</v>
      </c>
      <c r="C587" s="230" t="s">
        <v>7776</v>
      </c>
      <c r="D587" s="229" t="s">
        <v>5641</v>
      </c>
      <c r="E587" s="229" t="s">
        <v>947</v>
      </c>
      <c r="F587" s="229" t="s">
        <v>804</v>
      </c>
      <c r="G587" s="229" t="s">
        <v>875</v>
      </c>
      <c r="H587" s="229" t="s">
        <v>5641</v>
      </c>
      <c r="I587" s="229" t="s">
        <v>7777</v>
      </c>
      <c r="J587" s="231" t="s">
        <v>7778</v>
      </c>
      <c r="K587" s="231" t="s">
        <v>7185</v>
      </c>
      <c r="L587" s="220" t="str">
        <f t="shared" si="147"/>
        <v>IN33</v>
      </c>
      <c r="M587" s="220" t="str">
        <f t="shared" si="148"/>
        <v/>
      </c>
      <c r="N587" s="220" t="str">
        <f t="shared" si="149"/>
        <v/>
      </c>
      <c r="O587" s="220" t="str">
        <f t="shared" si="150"/>
        <v/>
      </c>
      <c r="P587" s="52" t="str">
        <f t="shared" si="151"/>
        <v>IN33</v>
      </c>
      <c r="Q587" s="231" t="str">
        <f t="shared" si="140"/>
        <v>227</v>
      </c>
      <c r="R587" s="224">
        <f t="shared" si="143"/>
        <v>203</v>
      </c>
      <c r="S587" s="52">
        <f t="shared" si="152"/>
        <v>185</v>
      </c>
      <c r="T587" s="221">
        <f t="shared" ca="1" si="153"/>
        <v>4.4800000000000004</v>
      </c>
      <c r="U587" s="221" t="str">
        <f t="shared" si="154"/>
        <v/>
      </c>
      <c r="V587" s="220" t="str">
        <f t="array" ref="V587">INDEX(P:P,MAX(U$3:U587))</f>
        <v>IN#3MTR</v>
      </c>
      <c r="W587" s="220" t="str">
        <f t="shared" ca="1" si="155"/>
        <v/>
      </c>
      <c r="X587" s="220">
        <f t="shared" si="156"/>
        <v>11.4</v>
      </c>
      <c r="Y587" s="220">
        <f t="shared" si="145"/>
        <v>0</v>
      </c>
      <c r="AA587" s="220" t="str">
        <f t="shared" si="146"/>
        <v>大村</v>
      </c>
      <c r="AB587" s="220" t="s">
        <v>2429</v>
      </c>
      <c r="AC587" s="220" t="str">
        <f t="shared" si="144"/>
        <v>上莊線</v>
      </c>
      <c r="BB587" s="514" t="s">
        <v>2538</v>
      </c>
      <c r="BC587" s="514">
        <v>645</v>
      </c>
      <c r="BD587" s="514">
        <v>1</v>
      </c>
      <c r="BE587" s="514">
        <v>646</v>
      </c>
      <c r="BG587" s="229" t="s">
        <v>8766</v>
      </c>
      <c r="BH587" s="230" t="s">
        <v>621</v>
      </c>
      <c r="BI587" t="s">
        <v>2429</v>
      </c>
      <c r="BJ587" t="s">
        <v>2427</v>
      </c>
    </row>
    <row r="588" spans="1:62">
      <c r="A588" s="229" t="s">
        <v>57</v>
      </c>
      <c r="B588" s="230" t="s">
        <v>622</v>
      </c>
      <c r="C588" s="230" t="s">
        <v>920</v>
      </c>
      <c r="D588" s="229" t="s">
        <v>804</v>
      </c>
      <c r="E588" s="229" t="s">
        <v>843</v>
      </c>
      <c r="F588" s="229" t="s">
        <v>5791</v>
      </c>
      <c r="G588" s="229" t="s">
        <v>972</v>
      </c>
      <c r="H588" s="229" t="s">
        <v>5733</v>
      </c>
      <c r="I588" s="229" t="s">
        <v>920</v>
      </c>
      <c r="J588" s="231" t="s">
        <v>1038</v>
      </c>
      <c r="K588" s="231" t="s">
        <v>5949</v>
      </c>
      <c r="L588" s="220" t="str">
        <f t="shared" si="147"/>
        <v>IN21</v>
      </c>
      <c r="M588" s="220" t="str">
        <f t="shared" si="148"/>
        <v/>
      </c>
      <c r="N588" s="220" t="str">
        <f t="shared" si="149"/>
        <v/>
      </c>
      <c r="O588" s="220" t="str">
        <f t="shared" si="150"/>
        <v/>
      </c>
      <c r="P588" s="52" t="str">
        <f t="shared" si="151"/>
        <v>IN21</v>
      </c>
      <c r="Q588" s="231" t="str">
        <f t="shared" si="140"/>
        <v>63</v>
      </c>
      <c r="R588" s="224">
        <f t="shared" si="143"/>
        <v>58.333333333333336</v>
      </c>
      <c r="S588" s="52">
        <f t="shared" si="152"/>
        <v>55</v>
      </c>
      <c r="T588" s="221">
        <f t="shared" ca="1" si="153"/>
        <v>1.24</v>
      </c>
      <c r="U588" s="221" t="str">
        <f t="shared" si="154"/>
        <v/>
      </c>
      <c r="V588" s="220" t="str">
        <f t="array" ref="V588">INDEX(P:P,MAX(U$3:U588))</f>
        <v>IN#3MTR</v>
      </c>
      <c r="W588" s="220" t="str">
        <f t="shared" ca="1" si="155"/>
        <v/>
      </c>
      <c r="X588" s="220">
        <f t="shared" si="156"/>
        <v>11.4</v>
      </c>
      <c r="Y588" s="220">
        <f t="shared" si="145"/>
        <v>0</v>
      </c>
      <c r="AA588" s="220" t="str">
        <f t="shared" si="146"/>
        <v>大村</v>
      </c>
      <c r="AB588" s="220" t="s">
        <v>1885</v>
      </c>
      <c r="AC588" s="220" t="str">
        <f t="shared" si="144"/>
        <v>三春線</v>
      </c>
      <c r="BB588" s="514" t="s">
        <v>2546</v>
      </c>
      <c r="BC588" s="514">
        <v>153</v>
      </c>
      <c r="BD588" s="514">
        <v>1</v>
      </c>
      <c r="BE588" s="514">
        <v>154</v>
      </c>
      <c r="BG588" s="229" t="s">
        <v>8765</v>
      </c>
      <c r="BH588" s="230" t="s">
        <v>8773</v>
      </c>
      <c r="BI588" t="s">
        <v>1885</v>
      </c>
      <c r="BJ588" t="s">
        <v>2427</v>
      </c>
    </row>
    <row r="589" spans="1:62">
      <c r="A589" s="229" t="s">
        <v>57</v>
      </c>
      <c r="B589" s="230" t="s">
        <v>623</v>
      </c>
      <c r="C589" s="230" t="s">
        <v>793</v>
      </c>
      <c r="D589" s="229" t="s">
        <v>797</v>
      </c>
      <c r="E589" s="229" t="s">
        <v>7778</v>
      </c>
      <c r="F589" s="229" t="s">
        <v>832</v>
      </c>
      <c r="G589" s="229" t="s">
        <v>5735</v>
      </c>
      <c r="H589" s="229" t="s">
        <v>7779</v>
      </c>
      <c r="I589" s="229" t="s">
        <v>910</v>
      </c>
      <c r="J589" s="231" t="s">
        <v>881</v>
      </c>
      <c r="K589" s="231" t="s">
        <v>7521</v>
      </c>
      <c r="L589" s="220" t="str">
        <f t="shared" si="147"/>
        <v>IN25</v>
      </c>
      <c r="M589" s="220" t="str">
        <f t="shared" si="148"/>
        <v/>
      </c>
      <c r="N589" s="220" t="str">
        <f t="shared" si="149"/>
        <v/>
      </c>
      <c r="O589" s="220" t="str">
        <f t="shared" si="150"/>
        <v/>
      </c>
      <c r="P589" s="52" t="str">
        <f t="shared" si="151"/>
        <v>IN25</v>
      </c>
      <c r="Q589" s="231" t="str">
        <f t="shared" si="140"/>
        <v>66</v>
      </c>
      <c r="R589" s="224">
        <f t="shared" si="143"/>
        <v>45</v>
      </c>
      <c r="S589" s="52">
        <f t="shared" si="152"/>
        <v>32</v>
      </c>
      <c r="T589" s="221">
        <f t="shared" ca="1" si="153"/>
        <v>1.3</v>
      </c>
      <c r="U589" s="221" t="str">
        <f t="shared" si="154"/>
        <v/>
      </c>
      <c r="V589" s="220" t="str">
        <f t="array" ref="V589">INDEX(P:P,MAX(U$3:U589))</f>
        <v>IN#3MTR</v>
      </c>
      <c r="W589" s="220" t="str">
        <f t="shared" ca="1" si="155"/>
        <v/>
      </c>
      <c r="X589" s="220">
        <f t="shared" si="156"/>
        <v>11.4</v>
      </c>
      <c r="Y589" s="220">
        <f t="shared" si="145"/>
        <v>0</v>
      </c>
      <c r="AA589" s="220" t="str">
        <f t="shared" si="146"/>
        <v>大村</v>
      </c>
      <c r="AB589" s="220" t="s">
        <v>2430</v>
      </c>
      <c r="AC589" s="220" t="str">
        <f t="shared" si="144"/>
        <v>村北線</v>
      </c>
      <c r="BB589" s="514" t="s">
        <v>2530</v>
      </c>
      <c r="BC589" s="514">
        <v>639</v>
      </c>
      <c r="BD589" s="514" t="s">
        <v>85</v>
      </c>
      <c r="BE589" s="514">
        <v>639</v>
      </c>
      <c r="BG589" s="229" t="s">
        <v>57</v>
      </c>
      <c r="BH589" s="230" t="s">
        <v>8774</v>
      </c>
      <c r="BI589" t="s">
        <v>2430</v>
      </c>
      <c r="BJ589" t="s">
        <v>2427</v>
      </c>
    </row>
    <row r="590" spans="1:62">
      <c r="A590" s="229" t="s">
        <v>57</v>
      </c>
      <c r="B590" s="230" t="s">
        <v>624</v>
      </c>
      <c r="C590" s="230" t="s">
        <v>936</v>
      </c>
      <c r="D590" s="229" t="s">
        <v>5597</v>
      </c>
      <c r="E590" s="229" t="s">
        <v>7780</v>
      </c>
      <c r="F590" s="229" t="s">
        <v>5650</v>
      </c>
      <c r="G590" s="229" t="s">
        <v>1032</v>
      </c>
      <c r="H590" s="229" t="s">
        <v>839</v>
      </c>
      <c r="I590" s="229" t="s">
        <v>1032</v>
      </c>
      <c r="J590" s="231" t="s">
        <v>851</v>
      </c>
      <c r="K590" s="231" t="s">
        <v>839</v>
      </c>
      <c r="L590" s="220" t="str">
        <f t="shared" si="147"/>
        <v>IN30</v>
      </c>
      <c r="M590" s="220" t="str">
        <f t="shared" si="148"/>
        <v/>
      </c>
      <c r="N590" s="220" t="str">
        <f t="shared" si="149"/>
        <v/>
      </c>
      <c r="O590" s="220" t="str">
        <f t="shared" si="150"/>
        <v/>
      </c>
      <c r="P590" s="52" t="str">
        <f t="shared" si="151"/>
        <v>IN30</v>
      </c>
      <c r="Q590" s="231" t="str">
        <f t="shared" si="140"/>
        <v>5</v>
      </c>
      <c r="R590" s="224">
        <f t="shared" si="143"/>
        <v>4</v>
      </c>
      <c r="S590" s="52">
        <f t="shared" si="152"/>
        <v>3</v>
      </c>
      <c r="T590" s="221">
        <f t="shared" ca="1" si="153"/>
        <v>0.1</v>
      </c>
      <c r="U590" s="221" t="str">
        <f t="shared" si="154"/>
        <v/>
      </c>
      <c r="V590" s="220" t="str">
        <f t="array" ref="V590">INDEX(P:P,MAX(U$3:U590))</f>
        <v>IN#3MTR</v>
      </c>
      <c r="W590" s="220" t="str">
        <f t="shared" ca="1" si="155"/>
        <v/>
      </c>
      <c r="X590" s="220">
        <f t="shared" si="156"/>
        <v>11.4</v>
      </c>
      <c r="Y590" s="220">
        <f t="shared" si="145"/>
        <v>0</v>
      </c>
      <c r="AA590" s="220" t="str">
        <f t="shared" si="146"/>
        <v>大村</v>
      </c>
      <c r="AB590" s="220" t="s">
        <v>2431</v>
      </c>
      <c r="AC590" s="220" t="str">
        <f t="shared" si="144"/>
        <v>村宜線</v>
      </c>
      <c r="BB590" s="514" t="s">
        <v>2543</v>
      </c>
      <c r="BC590" s="514">
        <v>1802</v>
      </c>
      <c r="BD590" s="514">
        <v>4</v>
      </c>
      <c r="BE590" s="514">
        <v>1806</v>
      </c>
      <c r="BG590" s="229" t="s">
        <v>8765</v>
      </c>
      <c r="BH590" s="230" t="s">
        <v>8775</v>
      </c>
      <c r="BI590" t="s">
        <v>2431</v>
      </c>
      <c r="BJ590" t="s">
        <v>2427</v>
      </c>
    </row>
    <row r="591" spans="1:62">
      <c r="A591" s="229" t="s">
        <v>7781</v>
      </c>
      <c r="B591" s="230" t="s">
        <v>392</v>
      </c>
      <c r="C591" s="230" t="s">
        <v>4660</v>
      </c>
      <c r="D591" s="229" t="s">
        <v>846</v>
      </c>
      <c r="E591" s="229" t="s">
        <v>7782</v>
      </c>
      <c r="F591" s="229" t="s">
        <v>797</v>
      </c>
      <c r="G591" s="229" t="s">
        <v>4657</v>
      </c>
      <c r="H591" s="229" t="s">
        <v>797</v>
      </c>
      <c r="I591" s="229" t="s">
        <v>4660</v>
      </c>
      <c r="J591" s="231" t="s">
        <v>7069</v>
      </c>
      <c r="K591" s="231" t="s">
        <v>358</v>
      </c>
      <c r="L591" s="220" t="str">
        <f t="shared" si="147"/>
        <v>IO#1DTR(B)</v>
      </c>
      <c r="M591" s="220" t="str">
        <f t="shared" si="148"/>
        <v>(B)</v>
      </c>
      <c r="N591" s="220" t="str">
        <f t="shared" si="149"/>
        <v>IO#1DTR</v>
      </c>
      <c r="O591" s="220" t="str">
        <f t="shared" si="150"/>
        <v>(B)</v>
      </c>
      <c r="P591" s="52" t="str">
        <f t="shared" si="151"/>
        <v>IO#1DTR(B)</v>
      </c>
      <c r="Q591" s="231" t="str">
        <f t="shared" ref="Q591:Q654" si="157">I591</f>
        <v>831</v>
      </c>
      <c r="R591" s="224">
        <f t="shared" si="143"/>
        <v>775.66666666666663</v>
      </c>
      <c r="S591" s="52">
        <f t="shared" si="152"/>
        <v>747</v>
      </c>
      <c r="T591" s="221">
        <f t="shared" ca="1" si="153"/>
        <v>16.41</v>
      </c>
      <c r="U591" s="221">
        <f t="shared" si="154"/>
        <v>591</v>
      </c>
      <c r="V591" s="220" t="str">
        <f t="array" ref="V591">INDEX(P:P,MAX(U$3:U591))</f>
        <v>IO#1DTR(B)</v>
      </c>
      <c r="W591" s="220">
        <f t="shared" ca="1" si="155"/>
        <v>30</v>
      </c>
      <c r="X591" s="220" t="str">
        <f t="shared" si="156"/>
        <v/>
      </c>
      <c r="Y591" s="220">
        <f t="shared" si="145"/>
        <v>0</v>
      </c>
      <c r="AA591" s="220" t="str">
        <f t="shared" si="146"/>
        <v>鹿東</v>
      </c>
      <c r="AB591" s="220" t="s">
        <v>2432</v>
      </c>
      <c r="AC591" s="220" t="str">
        <f t="shared" si="144"/>
        <v>#1B</v>
      </c>
      <c r="BB591" s="514" t="s">
        <v>2545</v>
      </c>
      <c r="BC591" s="514">
        <v>292</v>
      </c>
      <c r="BD591" s="514">
        <v>1</v>
      </c>
      <c r="BE591" s="514">
        <v>293</v>
      </c>
      <c r="BG591" s="229" t="s">
        <v>8776</v>
      </c>
      <c r="BH591" s="230" t="s">
        <v>8405</v>
      </c>
      <c r="BI591" t="s">
        <v>2432</v>
      </c>
      <c r="BJ591" t="s">
        <v>2432</v>
      </c>
    </row>
    <row r="592" spans="1:62">
      <c r="A592" s="229" t="s">
        <v>58</v>
      </c>
      <c r="B592" s="230" t="s">
        <v>625</v>
      </c>
      <c r="C592" s="230" t="s">
        <v>984</v>
      </c>
      <c r="D592" s="229" t="s">
        <v>850</v>
      </c>
      <c r="E592" s="229" t="s">
        <v>916</v>
      </c>
      <c r="F592" s="229" t="s">
        <v>850</v>
      </c>
      <c r="G592" s="229" t="s">
        <v>986</v>
      </c>
      <c r="H592" s="229" t="s">
        <v>850</v>
      </c>
      <c r="I592" s="229" t="s">
        <v>986</v>
      </c>
      <c r="J592" s="231" t="s">
        <v>935</v>
      </c>
      <c r="K592" s="231" t="s">
        <v>6179</v>
      </c>
      <c r="L592" s="220" t="str">
        <f t="shared" si="147"/>
        <v>IO26</v>
      </c>
      <c r="M592" s="220" t="str">
        <f t="shared" si="148"/>
        <v/>
      </c>
      <c r="N592" s="220" t="str">
        <f t="shared" si="149"/>
        <v/>
      </c>
      <c r="O592" s="220" t="str">
        <f t="shared" si="150"/>
        <v/>
      </c>
      <c r="P592" s="52" t="str">
        <f t="shared" si="151"/>
        <v>IO26</v>
      </c>
      <c r="Q592" s="231" t="str">
        <f t="shared" si="157"/>
        <v>229</v>
      </c>
      <c r="R592" s="224">
        <f t="shared" si="143"/>
        <v>215</v>
      </c>
      <c r="S592" s="52">
        <f t="shared" si="152"/>
        <v>200</v>
      </c>
      <c r="T592" s="221">
        <f t="shared" ca="1" si="153"/>
        <v>4.5199999999999996</v>
      </c>
      <c r="U592" s="221" t="str">
        <f t="shared" si="154"/>
        <v/>
      </c>
      <c r="V592" s="220" t="str">
        <f t="array" ref="V592">INDEX(P:P,MAX(U$3:U592))</f>
        <v>IO#1DTR(B)</v>
      </c>
      <c r="W592" s="220" t="str">
        <f t="shared" ca="1" si="155"/>
        <v/>
      </c>
      <c r="X592" s="220">
        <f t="shared" si="156"/>
        <v>11.4</v>
      </c>
      <c r="Y592" s="220">
        <f t="shared" si="145"/>
        <v>0</v>
      </c>
      <c r="AA592" s="220" t="str">
        <f t="shared" si="146"/>
        <v>鹿東</v>
      </c>
      <c r="AB592" s="220" t="s">
        <v>2433</v>
      </c>
      <c r="AC592" s="220" t="str">
        <f t="shared" ref="AC592:AC619" si="158">LEFT(B592,4)</f>
        <v>IO26</v>
      </c>
      <c r="BB592" s="514" t="s">
        <v>2540</v>
      </c>
      <c r="BC592" s="514">
        <v>1204</v>
      </c>
      <c r="BD592" s="514">
        <v>5</v>
      </c>
      <c r="BE592" s="514">
        <v>1209</v>
      </c>
      <c r="BG592" s="229" t="s">
        <v>8777</v>
      </c>
      <c r="BH592" s="230" t="s">
        <v>8778</v>
      </c>
      <c r="BI592" t="s">
        <v>2433</v>
      </c>
      <c r="BJ592" t="s">
        <v>2432</v>
      </c>
    </row>
    <row r="593" spans="1:62">
      <c r="A593" s="229" t="s">
        <v>58</v>
      </c>
      <c r="B593" s="230" t="s">
        <v>7783</v>
      </c>
      <c r="C593" s="230" t="s">
        <v>5735</v>
      </c>
      <c r="D593" s="229" t="s">
        <v>832</v>
      </c>
      <c r="E593" s="229" t="s">
        <v>852</v>
      </c>
      <c r="F593" s="229" t="s">
        <v>783</v>
      </c>
      <c r="G593" s="229" t="s">
        <v>7784</v>
      </c>
      <c r="H593" s="229" t="s">
        <v>832</v>
      </c>
      <c r="I593" s="229" t="s">
        <v>5735</v>
      </c>
      <c r="J593" s="231" t="s">
        <v>6035</v>
      </c>
      <c r="K593" s="231" t="s">
        <v>832</v>
      </c>
      <c r="L593" s="220" t="str">
        <f t="shared" si="147"/>
        <v>IO25</v>
      </c>
      <c r="M593" s="220" t="str">
        <f t="shared" si="148"/>
        <v/>
      </c>
      <c r="N593" s="220" t="str">
        <f t="shared" si="149"/>
        <v/>
      </c>
      <c r="O593" s="220" t="str">
        <f t="shared" si="150"/>
        <v/>
      </c>
      <c r="P593" s="52" t="str">
        <f t="shared" si="151"/>
        <v>IO25</v>
      </c>
      <c r="Q593" s="231" t="str">
        <f t="shared" si="157"/>
        <v>32</v>
      </c>
      <c r="R593" s="224">
        <f t="shared" si="143"/>
        <v>24</v>
      </c>
      <c r="S593" s="52">
        <f t="shared" si="152"/>
        <v>13</v>
      </c>
      <c r="T593" s="221">
        <f t="shared" ca="1" si="153"/>
        <v>0.63</v>
      </c>
      <c r="U593" s="221" t="str">
        <f t="shared" si="154"/>
        <v/>
      </c>
      <c r="V593" s="220" t="str">
        <f t="array" ref="V593">INDEX(P:P,MAX(U$3:U593))</f>
        <v>IO#1DTR(B)</v>
      </c>
      <c r="W593" s="220" t="str">
        <f t="shared" ca="1" si="155"/>
        <v/>
      </c>
      <c r="X593" s="220">
        <f t="shared" si="156"/>
        <v>11.4</v>
      </c>
      <c r="Y593" s="220">
        <f t="shared" si="145"/>
        <v>0</v>
      </c>
      <c r="AA593" s="220" t="str">
        <f t="shared" si="146"/>
        <v>鹿東</v>
      </c>
      <c r="AB593" s="220" t="s">
        <v>2434</v>
      </c>
      <c r="AC593" s="220" t="str">
        <f t="shared" si="158"/>
        <v>IO25</v>
      </c>
      <c r="BB593" s="514" t="s">
        <v>2537</v>
      </c>
      <c r="BC593" s="514">
        <v>1252</v>
      </c>
      <c r="BD593" s="514">
        <v>2</v>
      </c>
      <c r="BE593" s="514">
        <v>1254</v>
      </c>
      <c r="BG593" s="229" t="s">
        <v>8776</v>
      </c>
      <c r="BH593" s="230" t="s">
        <v>8779</v>
      </c>
      <c r="BI593" t="s">
        <v>2434</v>
      </c>
      <c r="BJ593" t="s">
        <v>2432</v>
      </c>
    </row>
    <row r="594" spans="1:62">
      <c r="A594" s="229" t="s">
        <v>7785</v>
      </c>
      <c r="B594" s="230" t="s">
        <v>626</v>
      </c>
      <c r="C594" s="230" t="s">
        <v>5768</v>
      </c>
      <c r="D594" s="229" t="s">
        <v>797</v>
      </c>
      <c r="E594" s="229" t="s">
        <v>1021</v>
      </c>
      <c r="F594" s="229" t="s">
        <v>783</v>
      </c>
      <c r="G594" s="229" t="s">
        <v>929</v>
      </c>
      <c r="H594" s="229" t="s">
        <v>846</v>
      </c>
      <c r="I594" s="229" t="s">
        <v>963</v>
      </c>
      <c r="J594" s="231" t="s">
        <v>7786</v>
      </c>
      <c r="K594" s="231" t="s">
        <v>850</v>
      </c>
      <c r="L594" s="220" t="str">
        <f t="shared" si="147"/>
        <v>IO24</v>
      </c>
      <c r="M594" s="220" t="str">
        <f t="shared" si="148"/>
        <v/>
      </c>
      <c r="N594" s="220" t="str">
        <f t="shared" si="149"/>
        <v/>
      </c>
      <c r="O594" s="220" t="str">
        <f t="shared" si="150"/>
        <v/>
      </c>
      <c r="P594" s="52" t="str">
        <f t="shared" si="151"/>
        <v>IO24</v>
      </c>
      <c r="Q594" s="231" t="str">
        <f t="shared" si="157"/>
        <v>201</v>
      </c>
      <c r="R594" s="224">
        <f t="shared" si="143"/>
        <v>177</v>
      </c>
      <c r="S594" s="52">
        <f t="shared" si="152"/>
        <v>156</v>
      </c>
      <c r="T594" s="221">
        <f t="shared" ca="1" si="153"/>
        <v>3.97</v>
      </c>
      <c r="U594" s="221" t="str">
        <f t="shared" si="154"/>
        <v/>
      </c>
      <c r="V594" s="220" t="str">
        <f t="array" ref="V594">INDEX(P:P,MAX(U$3:U594))</f>
        <v>IO#1DTR(B)</v>
      </c>
      <c r="W594" s="220" t="str">
        <f t="shared" ca="1" si="155"/>
        <v/>
      </c>
      <c r="X594" s="220">
        <f t="shared" si="156"/>
        <v>11.4</v>
      </c>
      <c r="Y594" s="220">
        <f t="shared" si="145"/>
        <v>0</v>
      </c>
      <c r="AA594" s="220" t="str">
        <f t="shared" si="146"/>
        <v>鹿東</v>
      </c>
      <c r="AB594" s="220" t="s">
        <v>2435</v>
      </c>
      <c r="AC594" s="220" t="str">
        <f t="shared" si="158"/>
        <v>IO24</v>
      </c>
      <c r="BB594" s="514" t="s">
        <v>2532</v>
      </c>
      <c r="BC594" s="514">
        <v>682</v>
      </c>
      <c r="BD594" s="514">
        <v>4</v>
      </c>
      <c r="BE594" s="514">
        <v>686</v>
      </c>
      <c r="BG594" s="229" t="s">
        <v>8777</v>
      </c>
      <c r="BH594" s="230" t="s">
        <v>8780</v>
      </c>
      <c r="BI594" t="s">
        <v>2435</v>
      </c>
      <c r="BJ594" t="s">
        <v>2432</v>
      </c>
    </row>
    <row r="595" spans="1:62">
      <c r="A595" s="229" t="s">
        <v>58</v>
      </c>
      <c r="B595" s="230" t="s">
        <v>627</v>
      </c>
      <c r="C595" s="230" t="s">
        <v>6035</v>
      </c>
      <c r="D595" s="229" t="s">
        <v>804</v>
      </c>
      <c r="E595" s="229" t="s">
        <v>6297</v>
      </c>
      <c r="F595" s="229" t="s">
        <v>783</v>
      </c>
      <c r="G595" s="229" t="s">
        <v>917</v>
      </c>
      <c r="H595" s="229" t="s">
        <v>797</v>
      </c>
      <c r="I595" s="229" t="s">
        <v>917</v>
      </c>
      <c r="J595" s="231" t="s">
        <v>6035</v>
      </c>
      <c r="K595" s="231" t="s">
        <v>797</v>
      </c>
      <c r="L595" s="220" t="str">
        <f t="shared" si="147"/>
        <v>IO23</v>
      </c>
      <c r="M595" s="220" t="str">
        <f t="shared" si="148"/>
        <v/>
      </c>
      <c r="N595" s="220" t="str">
        <f t="shared" si="149"/>
        <v/>
      </c>
      <c r="O595" s="220" t="str">
        <f t="shared" si="150"/>
        <v/>
      </c>
      <c r="P595" s="52" t="str">
        <f t="shared" si="151"/>
        <v>IO23</v>
      </c>
      <c r="Q595" s="231" t="str">
        <f t="shared" si="157"/>
        <v>61</v>
      </c>
      <c r="R595" s="224">
        <f t="shared" si="143"/>
        <v>47.666666666666664</v>
      </c>
      <c r="S595" s="52">
        <f t="shared" si="152"/>
        <v>38</v>
      </c>
      <c r="T595" s="221">
        <f t="shared" ca="1" si="153"/>
        <v>1.2</v>
      </c>
      <c r="U595" s="221" t="str">
        <f t="shared" si="154"/>
        <v/>
      </c>
      <c r="V595" s="220" t="str">
        <f t="array" ref="V595">INDEX(P:P,MAX(U$3:U595))</f>
        <v>IO#1DTR(B)</v>
      </c>
      <c r="W595" s="220" t="str">
        <f t="shared" ca="1" si="155"/>
        <v/>
      </c>
      <c r="X595" s="220">
        <f t="shared" si="156"/>
        <v>11.4</v>
      </c>
      <c r="Y595" s="220">
        <f t="shared" si="145"/>
        <v>0</v>
      </c>
      <c r="AA595" s="220" t="str">
        <f t="shared" si="146"/>
        <v>鹿東</v>
      </c>
      <c r="AB595" s="220" t="s">
        <v>2436</v>
      </c>
      <c r="AC595" s="220" t="str">
        <f t="shared" si="158"/>
        <v>IO23</v>
      </c>
      <c r="BB595" s="514" t="s">
        <v>3264</v>
      </c>
      <c r="BC595" s="514" t="s">
        <v>85</v>
      </c>
      <c r="BD595" s="514" t="s">
        <v>85</v>
      </c>
      <c r="BE595" s="514">
        <v>0</v>
      </c>
      <c r="BG595" s="229" t="s">
        <v>8777</v>
      </c>
      <c r="BH595" s="230" t="s">
        <v>8781</v>
      </c>
      <c r="BI595" t="s">
        <v>2436</v>
      </c>
      <c r="BJ595" t="s">
        <v>2432</v>
      </c>
    </row>
    <row r="596" spans="1:62">
      <c r="A596" s="229" t="s">
        <v>7787</v>
      </c>
      <c r="B596" s="230" t="s">
        <v>7788</v>
      </c>
      <c r="C596" s="230" t="s">
        <v>7789</v>
      </c>
      <c r="D596" s="229" t="s">
        <v>5986</v>
      </c>
      <c r="E596" s="229" t="s">
        <v>876</v>
      </c>
      <c r="F596" s="229" t="s">
        <v>832</v>
      </c>
      <c r="G596" s="229" t="s">
        <v>855</v>
      </c>
      <c r="H596" s="229" t="s">
        <v>832</v>
      </c>
      <c r="I596" s="229" t="s">
        <v>876</v>
      </c>
      <c r="J596" s="231" t="s">
        <v>944</v>
      </c>
      <c r="K596" s="231" t="s">
        <v>832</v>
      </c>
      <c r="L596" s="220" t="str">
        <f t="shared" si="147"/>
        <v>IO22</v>
      </c>
      <c r="M596" s="220" t="str">
        <f t="shared" si="148"/>
        <v/>
      </c>
      <c r="N596" s="220" t="str">
        <f t="shared" si="149"/>
        <v/>
      </c>
      <c r="O596" s="220" t="str">
        <f t="shared" si="150"/>
        <v/>
      </c>
      <c r="P596" s="52" t="str">
        <f t="shared" si="151"/>
        <v>IO22</v>
      </c>
      <c r="Q596" s="231" t="str">
        <f t="shared" si="157"/>
        <v>237</v>
      </c>
      <c r="R596" s="224">
        <f t="shared" si="143"/>
        <v>214.66666666666666</v>
      </c>
      <c r="S596" s="52">
        <f t="shared" si="152"/>
        <v>202</v>
      </c>
      <c r="T596" s="221">
        <f t="shared" ca="1" si="153"/>
        <v>4.68</v>
      </c>
      <c r="U596" s="221" t="str">
        <f t="shared" si="154"/>
        <v/>
      </c>
      <c r="V596" s="220" t="str">
        <f t="array" ref="V596">INDEX(P:P,MAX(U$3:U596))</f>
        <v>IO#1DTR(B)</v>
      </c>
      <c r="W596" s="220" t="str">
        <f t="shared" ca="1" si="155"/>
        <v/>
      </c>
      <c r="X596" s="220">
        <f t="shared" si="156"/>
        <v>11.4</v>
      </c>
      <c r="Y596" s="220">
        <f t="shared" si="145"/>
        <v>0</v>
      </c>
      <c r="AA596" s="220" t="str">
        <f t="shared" si="146"/>
        <v>鹿東</v>
      </c>
      <c r="AB596" s="220" t="s">
        <v>2437</v>
      </c>
      <c r="AC596" s="220" t="str">
        <f t="shared" si="158"/>
        <v>IO22</v>
      </c>
      <c r="BB596" s="514" t="s">
        <v>2548</v>
      </c>
      <c r="BC596" s="514">
        <v>1091</v>
      </c>
      <c r="BD596" s="514">
        <v>7</v>
      </c>
      <c r="BE596" s="514">
        <v>1098</v>
      </c>
      <c r="BG596" s="229" t="s">
        <v>8776</v>
      </c>
      <c r="BH596" s="230" t="s">
        <v>8782</v>
      </c>
      <c r="BI596" t="s">
        <v>2437</v>
      </c>
      <c r="BJ596" t="s">
        <v>2432</v>
      </c>
    </row>
    <row r="597" spans="1:62">
      <c r="A597" s="229" t="s">
        <v>7785</v>
      </c>
      <c r="B597" s="230" t="s">
        <v>628</v>
      </c>
      <c r="C597" s="230" t="s">
        <v>969</v>
      </c>
      <c r="D597" s="229" t="s">
        <v>797</v>
      </c>
      <c r="E597" s="229" t="s">
        <v>837</v>
      </c>
      <c r="F597" s="229" t="s">
        <v>845</v>
      </c>
      <c r="G597" s="229" t="s">
        <v>1000</v>
      </c>
      <c r="H597" s="229" t="s">
        <v>797</v>
      </c>
      <c r="I597" s="229" t="s">
        <v>969</v>
      </c>
      <c r="J597" s="231" t="s">
        <v>872</v>
      </c>
      <c r="K597" s="231" t="s">
        <v>5949</v>
      </c>
      <c r="L597" s="220" t="str">
        <f t="shared" si="147"/>
        <v>IO21</v>
      </c>
      <c r="M597" s="220" t="str">
        <f t="shared" si="148"/>
        <v/>
      </c>
      <c r="N597" s="220" t="str">
        <f t="shared" si="149"/>
        <v/>
      </c>
      <c r="O597" s="220" t="str">
        <f t="shared" si="150"/>
        <v/>
      </c>
      <c r="P597" s="52" t="str">
        <f t="shared" si="151"/>
        <v>IO21</v>
      </c>
      <c r="Q597" s="231" t="str">
        <f t="shared" si="157"/>
        <v>169</v>
      </c>
      <c r="R597" s="224">
        <f t="shared" si="143"/>
        <v>148.66666666666666</v>
      </c>
      <c r="S597" s="52">
        <f t="shared" si="152"/>
        <v>134</v>
      </c>
      <c r="T597" s="221">
        <f t="shared" ca="1" si="153"/>
        <v>3.34</v>
      </c>
      <c r="U597" s="221" t="str">
        <f t="shared" si="154"/>
        <v/>
      </c>
      <c r="V597" s="220" t="str">
        <f t="array" ref="V597">INDEX(P:P,MAX(U$3:U597))</f>
        <v>IO#1DTR(B)</v>
      </c>
      <c r="W597" s="220" t="str">
        <f t="shared" ca="1" si="155"/>
        <v/>
      </c>
      <c r="X597" s="220">
        <f t="shared" si="156"/>
        <v>11.4</v>
      </c>
      <c r="Y597" s="220">
        <f t="shared" si="145"/>
        <v>0</v>
      </c>
      <c r="AA597" s="220" t="str">
        <f t="shared" si="146"/>
        <v>鹿東</v>
      </c>
      <c r="AB597" s="220" t="s">
        <v>2438</v>
      </c>
      <c r="AC597" s="220" t="str">
        <f t="shared" si="158"/>
        <v>IO21</v>
      </c>
      <c r="BB597" s="514" t="s">
        <v>2549</v>
      </c>
      <c r="BC597" s="514">
        <v>226</v>
      </c>
      <c r="BD597" s="514">
        <v>4</v>
      </c>
      <c r="BE597" s="514">
        <v>230</v>
      </c>
      <c r="BG597" s="229" t="s">
        <v>58</v>
      </c>
      <c r="BH597" s="230" t="s">
        <v>628</v>
      </c>
      <c r="BI597" t="s">
        <v>2438</v>
      </c>
      <c r="BJ597" t="s">
        <v>2432</v>
      </c>
    </row>
    <row r="598" spans="1:62">
      <c r="A598" s="229" t="s">
        <v>7785</v>
      </c>
      <c r="B598" s="230" t="s">
        <v>7790</v>
      </c>
      <c r="C598" s="230" t="s">
        <v>7791</v>
      </c>
      <c r="D598" s="229" t="s">
        <v>5764</v>
      </c>
      <c r="E598" s="229" t="s">
        <v>7792</v>
      </c>
      <c r="F598" s="229" t="s">
        <v>797</v>
      </c>
      <c r="G598" s="229" t="s">
        <v>3196</v>
      </c>
      <c r="H598" s="229" t="s">
        <v>7062</v>
      </c>
      <c r="I598" s="229" t="s">
        <v>4731</v>
      </c>
      <c r="J598" s="231" t="s">
        <v>358</v>
      </c>
      <c r="K598" s="231" t="s">
        <v>358</v>
      </c>
      <c r="L598" s="220" t="str">
        <f t="shared" si="147"/>
        <v>IO#1DTR(A)</v>
      </c>
      <c r="M598" s="220" t="str">
        <f t="shared" si="148"/>
        <v>(A)</v>
      </c>
      <c r="N598" s="220" t="str">
        <f t="shared" si="149"/>
        <v>IO#1DTR</v>
      </c>
      <c r="O598" s="220" t="str">
        <f t="shared" si="150"/>
        <v>(A)</v>
      </c>
      <c r="P598" s="52" t="str">
        <f t="shared" si="151"/>
        <v>IO#1DTR(A)</v>
      </c>
      <c r="Q598" s="231" t="str">
        <f t="shared" si="157"/>
        <v>414</v>
      </c>
      <c r="R598" s="224">
        <f t="shared" si="143"/>
        <v>407</v>
      </c>
      <c r="S598" s="52">
        <f t="shared" si="152"/>
        <v>403</v>
      </c>
      <c r="T598" s="221">
        <f t="shared" ca="1" si="153"/>
        <v>16.350000000000001</v>
      </c>
      <c r="U598" s="221">
        <f t="shared" si="154"/>
        <v>598</v>
      </c>
      <c r="V598" s="220" t="str">
        <f t="array" ref="V598">INDEX(P:P,MAX(U$3:U598))</f>
        <v>IO#1DTR(A)</v>
      </c>
      <c r="W598" s="220">
        <f t="shared" ca="1" si="155"/>
        <v>60</v>
      </c>
      <c r="X598" s="220" t="str">
        <f t="shared" si="156"/>
        <v/>
      </c>
      <c r="Y598" s="220">
        <f t="shared" si="145"/>
        <v>0</v>
      </c>
      <c r="AA598" s="220" t="str">
        <f t="shared" si="146"/>
        <v>鹿東</v>
      </c>
      <c r="AB598" s="220" t="s">
        <v>2439</v>
      </c>
      <c r="AC598" s="220" t="str">
        <f t="shared" si="158"/>
        <v>#1AD</v>
      </c>
      <c r="BB598" s="514" t="s">
        <v>2550</v>
      </c>
      <c r="BC598" s="514">
        <v>1933</v>
      </c>
      <c r="BD598" s="514">
        <v>5</v>
      </c>
      <c r="BE598" s="514">
        <v>1938</v>
      </c>
      <c r="BG598" s="229" t="s">
        <v>58</v>
      </c>
      <c r="BH598" s="230" t="s">
        <v>8346</v>
      </c>
      <c r="BI598" t="s">
        <v>2439</v>
      </c>
      <c r="BJ598" t="s">
        <v>2439</v>
      </c>
    </row>
    <row r="599" spans="1:62">
      <c r="A599" s="229" t="s">
        <v>58</v>
      </c>
      <c r="B599" s="230" t="s">
        <v>629</v>
      </c>
      <c r="C599" s="230" t="s">
        <v>829</v>
      </c>
      <c r="D599" s="229" t="s">
        <v>859</v>
      </c>
      <c r="E599" s="229" t="s">
        <v>818</v>
      </c>
      <c r="F599" s="229" t="s">
        <v>859</v>
      </c>
      <c r="G599" s="229" t="s">
        <v>7793</v>
      </c>
      <c r="H599" s="229" t="s">
        <v>859</v>
      </c>
      <c r="I599" s="229" t="s">
        <v>829</v>
      </c>
      <c r="J599" s="231" t="s">
        <v>5654</v>
      </c>
      <c r="K599" s="231" t="s">
        <v>5682</v>
      </c>
      <c r="L599" s="220" t="str">
        <f t="shared" si="147"/>
        <v>IO51</v>
      </c>
      <c r="M599" s="220" t="str">
        <f t="shared" si="148"/>
        <v/>
      </c>
      <c r="N599" s="220" t="str">
        <f t="shared" si="149"/>
        <v/>
      </c>
      <c r="O599" s="220" t="str">
        <f t="shared" si="150"/>
        <v/>
      </c>
      <c r="P599" s="52" t="str">
        <f t="shared" si="151"/>
        <v>IO51</v>
      </c>
      <c r="Q599" s="231" t="str">
        <f t="shared" si="157"/>
        <v>115</v>
      </c>
      <c r="R599" s="224">
        <f t="shared" si="143"/>
        <v>109</v>
      </c>
      <c r="S599" s="52">
        <f t="shared" si="152"/>
        <v>105</v>
      </c>
      <c r="T599" s="221">
        <f t="shared" ca="1" si="153"/>
        <v>4.54</v>
      </c>
      <c r="U599" s="221" t="str">
        <f t="shared" si="154"/>
        <v/>
      </c>
      <c r="V599" s="220" t="str">
        <f t="array" ref="V599">INDEX(P:P,MAX(U$3:U599))</f>
        <v>IO#1DTR(A)</v>
      </c>
      <c r="W599" s="220" t="str">
        <f t="shared" ca="1" si="155"/>
        <v/>
      </c>
      <c r="X599" s="220">
        <f t="shared" si="156"/>
        <v>22.8</v>
      </c>
      <c r="Y599" s="220">
        <f t="shared" si="145"/>
        <v>0</v>
      </c>
      <c r="AA599" s="220" t="str">
        <f t="shared" si="146"/>
        <v>鹿東</v>
      </c>
      <c r="AB599" s="220" t="s">
        <v>2440</v>
      </c>
      <c r="AC599" s="220" t="str">
        <f t="shared" si="158"/>
        <v>IO51</v>
      </c>
      <c r="BB599" s="514" t="s">
        <v>2551</v>
      </c>
      <c r="BC599" s="514">
        <v>1181</v>
      </c>
      <c r="BD599" s="514">
        <v>2</v>
      </c>
      <c r="BE599" s="514">
        <v>1183</v>
      </c>
      <c r="BG599" s="229" t="s">
        <v>58</v>
      </c>
      <c r="BH599" s="230" t="s">
        <v>8783</v>
      </c>
      <c r="BI599" t="s">
        <v>2440</v>
      </c>
      <c r="BJ599" t="s">
        <v>2439</v>
      </c>
    </row>
    <row r="600" spans="1:62">
      <c r="A600" s="229" t="s">
        <v>58</v>
      </c>
      <c r="B600" s="230" t="s">
        <v>630</v>
      </c>
      <c r="C600" s="230" t="s">
        <v>868</v>
      </c>
      <c r="D600" s="229" t="s">
        <v>804</v>
      </c>
      <c r="E600" s="229" t="s">
        <v>7382</v>
      </c>
      <c r="F600" s="229" t="s">
        <v>804</v>
      </c>
      <c r="G600" s="229" t="s">
        <v>868</v>
      </c>
      <c r="H600" s="229" t="s">
        <v>804</v>
      </c>
      <c r="I600" s="229" t="s">
        <v>889</v>
      </c>
      <c r="J600" s="231" t="s">
        <v>5614</v>
      </c>
      <c r="K600" s="231" t="s">
        <v>784</v>
      </c>
      <c r="L600" s="220" t="str">
        <f t="shared" si="147"/>
        <v>IO52</v>
      </c>
      <c r="M600" s="220" t="str">
        <f t="shared" si="148"/>
        <v/>
      </c>
      <c r="N600" s="220" t="str">
        <f t="shared" si="149"/>
        <v/>
      </c>
      <c r="O600" s="220" t="str">
        <f t="shared" si="150"/>
        <v/>
      </c>
      <c r="P600" s="52" t="str">
        <f t="shared" si="151"/>
        <v>IO52</v>
      </c>
      <c r="Q600" s="231" t="str">
        <f t="shared" si="157"/>
        <v>46</v>
      </c>
      <c r="R600" s="224">
        <f t="shared" si="143"/>
        <v>45.333333333333336</v>
      </c>
      <c r="S600" s="52">
        <f t="shared" si="152"/>
        <v>45</v>
      </c>
      <c r="T600" s="221">
        <f t="shared" ca="1" si="153"/>
        <v>1.82</v>
      </c>
      <c r="U600" s="221" t="str">
        <f t="shared" si="154"/>
        <v/>
      </c>
      <c r="V600" s="220" t="str">
        <f t="array" ref="V600">INDEX(P:P,MAX(U$3:U600))</f>
        <v>IO#1DTR(A)</v>
      </c>
      <c r="W600" s="220" t="str">
        <f t="shared" ca="1" si="155"/>
        <v/>
      </c>
      <c r="X600" s="220">
        <f t="shared" si="156"/>
        <v>22.8</v>
      </c>
      <c r="Y600" s="220">
        <f t="shared" si="145"/>
        <v>0</v>
      </c>
      <c r="AA600" s="220" t="str">
        <f t="shared" si="146"/>
        <v>鹿東</v>
      </c>
      <c r="AB600" s="220" t="s">
        <v>2441</v>
      </c>
      <c r="AC600" s="220" t="str">
        <f t="shared" si="158"/>
        <v>IO52</v>
      </c>
      <c r="BB600" s="514" t="s">
        <v>2552</v>
      </c>
      <c r="BC600" s="514">
        <v>3648</v>
      </c>
      <c r="BD600" s="514">
        <v>0</v>
      </c>
      <c r="BE600" s="514">
        <v>3648</v>
      </c>
      <c r="BG600" s="229" t="s">
        <v>8776</v>
      </c>
      <c r="BH600" s="230" t="s">
        <v>8784</v>
      </c>
      <c r="BI600" t="s">
        <v>2441</v>
      </c>
      <c r="BJ600" t="s">
        <v>2439</v>
      </c>
    </row>
    <row r="601" spans="1:62">
      <c r="A601" s="229" t="s">
        <v>7785</v>
      </c>
      <c r="B601" s="230" t="s">
        <v>631</v>
      </c>
      <c r="C601" s="230" t="s">
        <v>1020</v>
      </c>
      <c r="D601" s="229" t="s">
        <v>797</v>
      </c>
      <c r="E601" s="229" t="s">
        <v>934</v>
      </c>
      <c r="F601" s="229" t="s">
        <v>7062</v>
      </c>
      <c r="G601" s="229" t="s">
        <v>831</v>
      </c>
      <c r="H601" s="229" t="s">
        <v>7794</v>
      </c>
      <c r="I601" s="229" t="s">
        <v>7795</v>
      </c>
      <c r="J601" s="231" t="s">
        <v>5614</v>
      </c>
      <c r="K601" s="231" t="s">
        <v>7089</v>
      </c>
      <c r="L601" s="220" t="str">
        <f t="shared" si="147"/>
        <v>IO53</v>
      </c>
      <c r="M601" s="220" t="str">
        <f t="shared" si="148"/>
        <v/>
      </c>
      <c r="N601" s="220" t="str">
        <f t="shared" si="149"/>
        <v/>
      </c>
      <c r="O601" s="220" t="str">
        <f t="shared" si="150"/>
        <v/>
      </c>
      <c r="P601" s="52" t="str">
        <f t="shared" si="151"/>
        <v>IO53</v>
      </c>
      <c r="Q601" s="231" t="str">
        <f t="shared" si="157"/>
        <v>77</v>
      </c>
      <c r="R601" s="224">
        <f t="shared" si="143"/>
        <v>75</v>
      </c>
      <c r="S601" s="52">
        <f t="shared" si="152"/>
        <v>73</v>
      </c>
      <c r="T601" s="221">
        <f t="shared" ca="1" si="153"/>
        <v>3.04</v>
      </c>
      <c r="U601" s="221" t="str">
        <f t="shared" si="154"/>
        <v/>
      </c>
      <c r="V601" s="220" t="str">
        <f t="array" ref="V601">INDEX(P:P,MAX(U$3:U601))</f>
        <v>IO#1DTR(A)</v>
      </c>
      <c r="W601" s="220" t="str">
        <f t="shared" ca="1" si="155"/>
        <v/>
      </c>
      <c r="X601" s="220">
        <f t="shared" si="156"/>
        <v>22.8</v>
      </c>
      <c r="Y601" s="220">
        <f t="shared" si="145"/>
        <v>0</v>
      </c>
      <c r="AA601" s="220" t="str">
        <f t="shared" si="146"/>
        <v>鹿東</v>
      </c>
      <c r="AB601" s="220" t="s">
        <v>2442</v>
      </c>
      <c r="AC601" s="220" t="str">
        <f t="shared" si="158"/>
        <v>IO53</v>
      </c>
      <c r="BB601" s="514" t="s">
        <v>1891</v>
      </c>
      <c r="BC601" s="514">
        <v>3796</v>
      </c>
      <c r="BD601" s="514">
        <v>1</v>
      </c>
      <c r="BE601" s="514">
        <v>3797</v>
      </c>
      <c r="BG601" s="229" t="s">
        <v>8776</v>
      </c>
      <c r="BH601" s="230" t="s">
        <v>8785</v>
      </c>
      <c r="BI601" t="s">
        <v>2442</v>
      </c>
      <c r="BJ601" t="s">
        <v>2439</v>
      </c>
    </row>
    <row r="602" spans="1:62">
      <c r="A602" s="229" t="s">
        <v>7787</v>
      </c>
      <c r="B602" s="230" t="s">
        <v>632</v>
      </c>
      <c r="C602" s="230" t="s">
        <v>6556</v>
      </c>
      <c r="D602" s="229" t="s">
        <v>783</v>
      </c>
      <c r="E602" s="229" t="s">
        <v>910</v>
      </c>
      <c r="F602" s="229" t="s">
        <v>5933</v>
      </c>
      <c r="G602" s="229" t="s">
        <v>879</v>
      </c>
      <c r="H602" s="229" t="s">
        <v>783</v>
      </c>
      <c r="I602" s="229" t="s">
        <v>6556</v>
      </c>
      <c r="J602" s="231" t="s">
        <v>1055</v>
      </c>
      <c r="K602" s="231" t="s">
        <v>5733</v>
      </c>
      <c r="L602" s="220" t="str">
        <f t="shared" si="147"/>
        <v>IO54</v>
      </c>
      <c r="M602" s="220" t="str">
        <f t="shared" si="148"/>
        <v/>
      </c>
      <c r="N602" s="220" t="str">
        <f t="shared" si="149"/>
        <v/>
      </c>
      <c r="O602" s="220" t="str">
        <f t="shared" si="150"/>
        <v/>
      </c>
      <c r="P602" s="52" t="str">
        <f t="shared" si="151"/>
        <v>IO54</v>
      </c>
      <c r="Q602" s="231" t="str">
        <f t="shared" si="157"/>
        <v>71</v>
      </c>
      <c r="R602" s="224">
        <f t="shared" si="143"/>
        <v>67</v>
      </c>
      <c r="S602" s="52">
        <f t="shared" si="152"/>
        <v>64</v>
      </c>
      <c r="T602" s="221">
        <f t="shared" ca="1" si="153"/>
        <v>2.8</v>
      </c>
      <c r="U602" s="221" t="str">
        <f t="shared" si="154"/>
        <v/>
      </c>
      <c r="V602" s="220" t="str">
        <f t="array" ref="V602">INDEX(P:P,MAX(U$3:U602))</f>
        <v>IO#1DTR(A)</v>
      </c>
      <c r="W602" s="220" t="str">
        <f t="shared" ca="1" si="155"/>
        <v/>
      </c>
      <c r="X602" s="220">
        <f t="shared" si="156"/>
        <v>22.8</v>
      </c>
      <c r="Y602" s="220">
        <f t="shared" si="145"/>
        <v>0</v>
      </c>
      <c r="AA602" s="220" t="str">
        <f t="shared" si="146"/>
        <v>鹿東</v>
      </c>
      <c r="AB602" s="220" t="s">
        <v>2443</v>
      </c>
      <c r="AC602" s="220" t="str">
        <f t="shared" si="158"/>
        <v>IO54</v>
      </c>
      <c r="BB602" s="514" t="s">
        <v>1893</v>
      </c>
      <c r="BC602" s="514">
        <v>1724</v>
      </c>
      <c r="BD602" s="514">
        <v>2</v>
      </c>
      <c r="BE602" s="514">
        <v>1726</v>
      </c>
      <c r="BG602" s="229" t="s">
        <v>8776</v>
      </c>
      <c r="BH602" s="230" t="s">
        <v>8786</v>
      </c>
      <c r="BI602" t="s">
        <v>2443</v>
      </c>
      <c r="BJ602" t="s">
        <v>2439</v>
      </c>
    </row>
    <row r="603" spans="1:62">
      <c r="A603" s="229" t="s">
        <v>58</v>
      </c>
      <c r="B603" s="230" t="s">
        <v>7796</v>
      </c>
      <c r="C603" s="230" t="s">
        <v>6776</v>
      </c>
      <c r="D603" s="229" t="s">
        <v>5650</v>
      </c>
      <c r="E603" s="229" t="s">
        <v>1020</v>
      </c>
      <c r="F603" s="229" t="s">
        <v>5650</v>
      </c>
      <c r="G603" s="229" t="s">
        <v>922</v>
      </c>
      <c r="H603" s="229" t="s">
        <v>5650</v>
      </c>
      <c r="I603" s="229" t="s">
        <v>6776</v>
      </c>
      <c r="J603" s="231" t="s">
        <v>5699</v>
      </c>
      <c r="K603" s="231" t="s">
        <v>784</v>
      </c>
      <c r="L603" s="220" t="str">
        <f t="shared" si="147"/>
        <v>IO55</v>
      </c>
      <c r="M603" s="220" t="str">
        <f t="shared" si="148"/>
        <v/>
      </c>
      <c r="N603" s="220" t="str">
        <f t="shared" si="149"/>
        <v/>
      </c>
      <c r="O603" s="220" t="str">
        <f t="shared" si="150"/>
        <v/>
      </c>
      <c r="P603" s="52" t="str">
        <f t="shared" si="151"/>
        <v>IO55</v>
      </c>
      <c r="Q603" s="231" t="str">
        <f t="shared" si="157"/>
        <v>76</v>
      </c>
      <c r="R603" s="224">
        <f t="shared" si="143"/>
        <v>75.666666666666671</v>
      </c>
      <c r="S603" s="52">
        <f t="shared" si="152"/>
        <v>75</v>
      </c>
      <c r="T603" s="221">
        <f t="shared" ca="1" si="153"/>
        <v>3</v>
      </c>
      <c r="U603" s="221" t="str">
        <f t="shared" si="154"/>
        <v/>
      </c>
      <c r="V603" s="220" t="str">
        <f t="array" ref="V603">INDEX(P:P,MAX(U$3:U603))</f>
        <v>IO#1DTR(A)</v>
      </c>
      <c r="W603" s="220" t="str">
        <f t="shared" ca="1" si="155"/>
        <v/>
      </c>
      <c r="X603" s="220">
        <f t="shared" si="156"/>
        <v>22.8</v>
      </c>
      <c r="Y603" s="220">
        <f t="shared" si="145"/>
        <v>0</v>
      </c>
      <c r="AA603" s="220" t="str">
        <f t="shared" si="146"/>
        <v>鹿東</v>
      </c>
      <c r="AB603" s="220" t="s">
        <v>2444</v>
      </c>
      <c r="AC603" s="220" t="str">
        <f t="shared" si="158"/>
        <v>IO55</v>
      </c>
      <c r="BB603" s="514" t="s">
        <v>1894</v>
      </c>
      <c r="BC603" s="514">
        <v>3118</v>
      </c>
      <c r="BD603" s="514">
        <v>6</v>
      </c>
      <c r="BE603" s="514">
        <v>3124</v>
      </c>
      <c r="BG603" s="229" t="s">
        <v>8776</v>
      </c>
      <c r="BH603" s="230" t="s">
        <v>8787</v>
      </c>
      <c r="BI603" t="s">
        <v>2444</v>
      </c>
      <c r="BJ603" t="s">
        <v>2439</v>
      </c>
    </row>
    <row r="604" spans="1:62">
      <c r="A604" s="229" t="s">
        <v>7781</v>
      </c>
      <c r="B604" s="230" t="s">
        <v>633</v>
      </c>
      <c r="C604" s="230" t="s">
        <v>7797</v>
      </c>
      <c r="D604" s="229" t="s">
        <v>5580</v>
      </c>
      <c r="E604" s="229" t="s">
        <v>977</v>
      </c>
      <c r="F604" s="229" t="s">
        <v>5580</v>
      </c>
      <c r="G604" s="229" t="s">
        <v>7798</v>
      </c>
      <c r="H604" s="229" t="s">
        <v>7207</v>
      </c>
      <c r="I604" s="229" t="s">
        <v>7798</v>
      </c>
      <c r="J604" s="231" t="s">
        <v>5614</v>
      </c>
      <c r="K604" s="231" t="s">
        <v>5628</v>
      </c>
      <c r="L604" s="220" t="str">
        <f t="shared" si="147"/>
        <v>IO56</v>
      </c>
      <c r="M604" s="220" t="str">
        <f t="shared" si="148"/>
        <v/>
      </c>
      <c r="N604" s="220" t="str">
        <f t="shared" si="149"/>
        <v/>
      </c>
      <c r="O604" s="220" t="str">
        <f t="shared" si="150"/>
        <v/>
      </c>
      <c r="P604" s="52" t="str">
        <f t="shared" si="151"/>
        <v>IO56</v>
      </c>
      <c r="Q604" s="231" t="str">
        <f t="shared" si="157"/>
        <v>163</v>
      </c>
      <c r="R604" s="224">
        <f t="shared" si="143"/>
        <v>159.66666666666666</v>
      </c>
      <c r="S604" s="52">
        <f t="shared" si="152"/>
        <v>158</v>
      </c>
      <c r="T604" s="221">
        <f t="shared" ca="1" si="153"/>
        <v>6.44</v>
      </c>
      <c r="U604" s="221" t="str">
        <f t="shared" si="154"/>
        <v/>
      </c>
      <c r="V604" s="220" t="str">
        <f t="array" ref="V604">INDEX(P:P,MAX(U$3:U604))</f>
        <v>IO#1DTR(A)</v>
      </c>
      <c r="W604" s="220" t="str">
        <f t="shared" ca="1" si="155"/>
        <v/>
      </c>
      <c r="X604" s="220">
        <f t="shared" si="156"/>
        <v>22.8</v>
      </c>
      <c r="Y604" s="220">
        <f t="shared" si="145"/>
        <v>0</v>
      </c>
      <c r="AA604" s="220" t="str">
        <f t="shared" si="146"/>
        <v>鹿東</v>
      </c>
      <c r="AB604" s="220" t="s">
        <v>2445</v>
      </c>
      <c r="AC604" s="220" t="str">
        <f t="shared" si="158"/>
        <v>IO56</v>
      </c>
      <c r="BB604" s="514" t="s">
        <v>2556</v>
      </c>
      <c r="BC604" s="514">
        <v>4212</v>
      </c>
      <c r="BD604" s="514">
        <v>3</v>
      </c>
      <c r="BE604" s="514">
        <v>4215</v>
      </c>
      <c r="BG604" s="229" t="s">
        <v>8776</v>
      </c>
      <c r="BH604" s="230" t="s">
        <v>633</v>
      </c>
      <c r="BI604" t="s">
        <v>2445</v>
      </c>
      <c r="BJ604" t="s">
        <v>2439</v>
      </c>
    </row>
    <row r="605" spans="1:62">
      <c r="A605" s="229" t="s">
        <v>58</v>
      </c>
      <c r="B605" s="230" t="s">
        <v>357</v>
      </c>
      <c r="C605" s="230" t="s">
        <v>4651</v>
      </c>
      <c r="D605" s="229" t="s">
        <v>7779</v>
      </c>
      <c r="E605" s="229" t="s">
        <v>7799</v>
      </c>
      <c r="F605" s="229" t="s">
        <v>5682</v>
      </c>
      <c r="G605" s="229" t="s">
        <v>4651</v>
      </c>
      <c r="H605" s="229" t="s">
        <v>5682</v>
      </c>
      <c r="I605" s="229" t="s">
        <v>4651</v>
      </c>
      <c r="J605" s="231" t="s">
        <v>358</v>
      </c>
      <c r="K605" s="231" t="s">
        <v>358</v>
      </c>
      <c r="L605" s="220" t="str">
        <f t="shared" si="147"/>
        <v>IO#2DTR</v>
      </c>
      <c r="M605" s="220" t="str">
        <f t="shared" si="148"/>
        <v/>
      </c>
      <c r="N605" s="220" t="str">
        <f t="shared" si="149"/>
        <v>IO#2DTR</v>
      </c>
      <c r="O605" s="220" t="str">
        <f t="shared" si="150"/>
        <v/>
      </c>
      <c r="P605" s="52" t="str">
        <f t="shared" si="151"/>
        <v>IO#2DTR</v>
      </c>
      <c r="Q605" s="231" t="str">
        <f t="shared" si="157"/>
        <v>480</v>
      </c>
      <c r="R605" s="224">
        <f t="shared" si="143"/>
        <v>478</v>
      </c>
      <c r="S605" s="52">
        <f t="shared" si="152"/>
        <v>474</v>
      </c>
      <c r="T605" s="221">
        <f t="shared" ca="1" si="153"/>
        <v>18.96</v>
      </c>
      <c r="U605" s="221">
        <f t="shared" si="154"/>
        <v>605</v>
      </c>
      <c r="V605" s="220" t="str">
        <f t="array" ref="V605">INDEX(P:P,MAX(U$3:U605))</f>
        <v>IO#2DTR</v>
      </c>
      <c r="W605" s="220">
        <f t="shared" ca="1" si="155"/>
        <v>60</v>
      </c>
      <c r="X605" s="220" t="str">
        <f t="shared" si="156"/>
        <v/>
      </c>
      <c r="Y605" s="220">
        <f t="shared" si="145"/>
        <v>0</v>
      </c>
      <c r="AA605" s="220" t="str">
        <f t="shared" si="146"/>
        <v>鹿東</v>
      </c>
      <c r="AB605" s="220" t="s">
        <v>2446</v>
      </c>
      <c r="AC605" s="220" t="str">
        <f t="shared" si="158"/>
        <v>#2DT</v>
      </c>
      <c r="BB605" s="514" t="s">
        <v>1966</v>
      </c>
      <c r="BC605" s="514">
        <v>1608</v>
      </c>
      <c r="BD605" s="514">
        <v>2</v>
      </c>
      <c r="BE605" s="514">
        <v>1610</v>
      </c>
      <c r="BG605" s="229" t="s">
        <v>8777</v>
      </c>
      <c r="BH605" s="230" t="s">
        <v>8318</v>
      </c>
      <c r="BI605" t="s">
        <v>2446</v>
      </c>
      <c r="BJ605" t="s">
        <v>2446</v>
      </c>
    </row>
    <row r="606" spans="1:62">
      <c r="A606" s="229" t="s">
        <v>58</v>
      </c>
      <c r="B606" s="230" t="s">
        <v>634</v>
      </c>
      <c r="C606" s="230" t="s">
        <v>877</v>
      </c>
      <c r="D606" s="229" t="s">
        <v>859</v>
      </c>
      <c r="E606" s="229" t="s">
        <v>908</v>
      </c>
      <c r="F606" s="229" t="s">
        <v>790</v>
      </c>
      <c r="G606" s="229" t="s">
        <v>7800</v>
      </c>
      <c r="H606" s="229" t="s">
        <v>859</v>
      </c>
      <c r="I606" s="229" t="s">
        <v>7801</v>
      </c>
      <c r="J606" s="231" t="s">
        <v>5614</v>
      </c>
      <c r="K606" s="231" t="s">
        <v>784</v>
      </c>
      <c r="L606" s="220" t="str">
        <f t="shared" si="147"/>
        <v>IO61</v>
      </c>
      <c r="M606" s="220" t="str">
        <f t="shared" si="148"/>
        <v/>
      </c>
      <c r="N606" s="220" t="str">
        <f t="shared" si="149"/>
        <v/>
      </c>
      <c r="O606" s="220" t="str">
        <f t="shared" si="150"/>
        <v/>
      </c>
      <c r="P606" s="52" t="str">
        <f t="shared" si="151"/>
        <v>IO61</v>
      </c>
      <c r="Q606" s="231" t="str">
        <f t="shared" si="157"/>
        <v>98</v>
      </c>
      <c r="R606" s="224">
        <f t="shared" si="143"/>
        <v>97.666666666666671</v>
      </c>
      <c r="S606" s="52">
        <f t="shared" si="152"/>
        <v>97</v>
      </c>
      <c r="T606" s="221">
        <f t="shared" ca="1" si="153"/>
        <v>3.87</v>
      </c>
      <c r="U606" s="221" t="str">
        <f t="shared" si="154"/>
        <v/>
      </c>
      <c r="V606" s="220" t="str">
        <f t="array" ref="V606">INDEX(P:P,MAX(U$3:U606))</f>
        <v>IO#2DTR</v>
      </c>
      <c r="W606" s="220" t="str">
        <f t="shared" ca="1" si="155"/>
        <v/>
      </c>
      <c r="X606" s="220">
        <f t="shared" si="156"/>
        <v>22.8</v>
      </c>
      <c r="Y606" s="220">
        <f t="shared" si="145"/>
        <v>0</v>
      </c>
      <c r="AA606" s="220" t="str">
        <f t="shared" si="146"/>
        <v>鹿東</v>
      </c>
      <c r="AB606" s="220" t="s">
        <v>2447</v>
      </c>
      <c r="AC606" s="220" t="str">
        <f t="shared" si="158"/>
        <v>IO61</v>
      </c>
      <c r="BB606" s="514" t="s">
        <v>2554</v>
      </c>
      <c r="BC606" s="514">
        <v>1263</v>
      </c>
      <c r="BD606" s="514">
        <v>6</v>
      </c>
      <c r="BE606" s="514">
        <v>1269</v>
      </c>
      <c r="BG606" s="229" t="s">
        <v>8776</v>
      </c>
      <c r="BH606" s="230" t="s">
        <v>8788</v>
      </c>
      <c r="BI606" t="s">
        <v>2447</v>
      </c>
      <c r="BJ606" t="s">
        <v>2446</v>
      </c>
    </row>
    <row r="607" spans="1:62">
      <c r="A607" s="229" t="s">
        <v>7787</v>
      </c>
      <c r="B607" s="230" t="s">
        <v>635</v>
      </c>
      <c r="C607" s="230" t="s">
        <v>793</v>
      </c>
      <c r="D607" s="229" t="s">
        <v>7802</v>
      </c>
      <c r="E607" s="229" t="s">
        <v>6035</v>
      </c>
      <c r="F607" s="229" t="s">
        <v>7803</v>
      </c>
      <c r="G607" s="229" t="s">
        <v>6035</v>
      </c>
      <c r="H607" s="229" t="s">
        <v>7804</v>
      </c>
      <c r="I607" s="229" t="s">
        <v>6035</v>
      </c>
      <c r="J607" s="231" t="s">
        <v>5614</v>
      </c>
      <c r="K607" s="231" t="s">
        <v>784</v>
      </c>
      <c r="L607" s="220" t="str">
        <f t="shared" si="147"/>
        <v>IO62</v>
      </c>
      <c r="M607" s="220" t="str">
        <f t="shared" si="148"/>
        <v/>
      </c>
      <c r="N607" s="220" t="str">
        <f t="shared" si="149"/>
        <v/>
      </c>
      <c r="O607" s="220" t="str">
        <f t="shared" si="150"/>
        <v/>
      </c>
      <c r="P607" s="52" t="str">
        <f t="shared" si="151"/>
        <v>IO62</v>
      </c>
      <c r="Q607" s="231" t="str">
        <f t="shared" si="157"/>
        <v>38</v>
      </c>
      <c r="R607" s="224">
        <f t="shared" si="143"/>
        <v>37.666666666666664</v>
      </c>
      <c r="S607" s="52">
        <f t="shared" si="152"/>
        <v>37</v>
      </c>
      <c r="T607" s="221">
        <f t="shared" ca="1" si="153"/>
        <v>1.5</v>
      </c>
      <c r="U607" s="221" t="str">
        <f t="shared" si="154"/>
        <v/>
      </c>
      <c r="V607" s="220" t="str">
        <f t="array" ref="V607">INDEX(P:P,MAX(U$3:U607))</f>
        <v>IO#2DTR</v>
      </c>
      <c r="W607" s="220" t="str">
        <f t="shared" ca="1" si="155"/>
        <v/>
      </c>
      <c r="X607" s="220">
        <f t="shared" si="156"/>
        <v>22.8</v>
      </c>
      <c r="Y607" s="220">
        <f t="shared" si="145"/>
        <v>0</v>
      </c>
      <c r="AA607" s="220" t="str">
        <f t="shared" si="146"/>
        <v>鹿東</v>
      </c>
      <c r="AB607" s="220" t="s">
        <v>2448</v>
      </c>
      <c r="AC607" s="220" t="str">
        <f t="shared" si="158"/>
        <v>IO62</v>
      </c>
      <c r="BB607" s="514" t="s">
        <v>1895</v>
      </c>
      <c r="BC607" s="514">
        <v>3157</v>
      </c>
      <c r="BD607" s="514">
        <v>2</v>
      </c>
      <c r="BE607" s="514">
        <v>3159</v>
      </c>
      <c r="BG607" s="229" t="s">
        <v>58</v>
      </c>
      <c r="BH607" s="230" t="s">
        <v>635</v>
      </c>
      <c r="BI607" t="s">
        <v>2448</v>
      </c>
      <c r="BJ607" t="s">
        <v>2446</v>
      </c>
    </row>
    <row r="608" spans="1:62">
      <c r="A608" s="229" t="s">
        <v>58</v>
      </c>
      <c r="B608" s="230" t="s">
        <v>636</v>
      </c>
      <c r="C608" s="230" t="s">
        <v>5906</v>
      </c>
      <c r="D608" s="229" t="s">
        <v>783</v>
      </c>
      <c r="E608" s="229" t="s">
        <v>1001</v>
      </c>
      <c r="F608" s="229" t="s">
        <v>783</v>
      </c>
      <c r="G608" s="229" t="s">
        <v>1001</v>
      </c>
      <c r="H608" s="229" t="s">
        <v>783</v>
      </c>
      <c r="I608" s="229" t="s">
        <v>828</v>
      </c>
      <c r="J608" s="231" t="s">
        <v>5614</v>
      </c>
      <c r="K608" s="231" t="s">
        <v>784</v>
      </c>
      <c r="L608" s="220" t="str">
        <f t="shared" si="147"/>
        <v>IO63</v>
      </c>
      <c r="M608" s="220" t="str">
        <f t="shared" si="148"/>
        <v/>
      </c>
      <c r="N608" s="220" t="str">
        <f t="shared" si="149"/>
        <v/>
      </c>
      <c r="O608" s="220" t="str">
        <f t="shared" si="150"/>
        <v/>
      </c>
      <c r="P608" s="52" t="str">
        <f t="shared" si="151"/>
        <v>IO63</v>
      </c>
      <c r="Q608" s="231" t="str">
        <f t="shared" si="157"/>
        <v>111</v>
      </c>
      <c r="R608" s="224">
        <f t="shared" si="143"/>
        <v>109</v>
      </c>
      <c r="S608" s="52">
        <f t="shared" si="152"/>
        <v>108</v>
      </c>
      <c r="T608" s="221">
        <f t="shared" ca="1" si="153"/>
        <v>4.38</v>
      </c>
      <c r="U608" s="221" t="str">
        <f t="shared" si="154"/>
        <v/>
      </c>
      <c r="V608" s="220" t="str">
        <f t="array" ref="V608">INDEX(P:P,MAX(U$3:U608))</f>
        <v>IO#2DTR</v>
      </c>
      <c r="W608" s="220" t="str">
        <f t="shared" ca="1" si="155"/>
        <v/>
      </c>
      <c r="X608" s="220">
        <f t="shared" si="156"/>
        <v>22.8</v>
      </c>
      <c r="Y608" s="220">
        <f t="shared" si="145"/>
        <v>0</v>
      </c>
      <c r="AA608" s="220" t="str">
        <f t="shared" si="146"/>
        <v>鹿東</v>
      </c>
      <c r="AB608" s="220" t="s">
        <v>2449</v>
      </c>
      <c r="AC608" s="220" t="str">
        <f t="shared" si="158"/>
        <v>IO63</v>
      </c>
      <c r="BB608" s="514" t="s">
        <v>1897</v>
      </c>
      <c r="BC608" s="514">
        <v>3408</v>
      </c>
      <c r="BD608" s="514">
        <v>3</v>
      </c>
      <c r="BE608" s="514">
        <v>3411</v>
      </c>
      <c r="BG608" s="229" t="s">
        <v>8777</v>
      </c>
      <c r="BH608" s="230" t="s">
        <v>8789</v>
      </c>
      <c r="BI608" t="s">
        <v>2449</v>
      </c>
      <c r="BJ608" t="s">
        <v>2446</v>
      </c>
    </row>
    <row r="609" spans="1:62">
      <c r="A609" s="229" t="s">
        <v>58</v>
      </c>
      <c r="B609" s="230" t="s">
        <v>637</v>
      </c>
      <c r="C609" s="230" t="s">
        <v>961</v>
      </c>
      <c r="D609" s="229" t="s">
        <v>783</v>
      </c>
      <c r="E609" s="229" t="s">
        <v>7805</v>
      </c>
      <c r="F609" s="229" t="s">
        <v>783</v>
      </c>
      <c r="G609" s="229" t="s">
        <v>792</v>
      </c>
      <c r="H609" s="229" t="s">
        <v>859</v>
      </c>
      <c r="I609" s="229" t="s">
        <v>961</v>
      </c>
      <c r="J609" s="231" t="s">
        <v>5654</v>
      </c>
      <c r="K609" s="231" t="s">
        <v>784</v>
      </c>
      <c r="L609" s="220" t="str">
        <f t="shared" si="147"/>
        <v>IO64</v>
      </c>
      <c r="M609" s="220" t="str">
        <f t="shared" si="148"/>
        <v/>
      </c>
      <c r="N609" s="220" t="str">
        <f t="shared" si="149"/>
        <v/>
      </c>
      <c r="O609" s="220" t="str">
        <f t="shared" si="150"/>
        <v/>
      </c>
      <c r="P609" s="52" t="str">
        <f t="shared" si="151"/>
        <v>IO64</v>
      </c>
      <c r="Q609" s="231" t="str">
        <f t="shared" si="157"/>
        <v>196</v>
      </c>
      <c r="R609" s="224">
        <f t="shared" ref="R609:R672" si="159">AVERAGE(C609*1,E609*1,G609*1)</f>
        <v>192.33333333333334</v>
      </c>
      <c r="S609" s="52">
        <f t="shared" si="152"/>
        <v>187</v>
      </c>
      <c r="T609" s="221">
        <f t="shared" ca="1" si="153"/>
        <v>7.74</v>
      </c>
      <c r="U609" s="221" t="str">
        <f t="shared" si="154"/>
        <v/>
      </c>
      <c r="V609" s="220" t="str">
        <f t="array" ref="V609">INDEX(P:P,MAX(U$3:U609))</f>
        <v>IO#2DTR</v>
      </c>
      <c r="W609" s="220" t="str">
        <f t="shared" ca="1" si="155"/>
        <v/>
      </c>
      <c r="X609" s="220">
        <f t="shared" si="156"/>
        <v>22.8</v>
      </c>
      <c r="Y609" s="220">
        <f t="shared" si="145"/>
        <v>0</v>
      </c>
      <c r="AA609" s="220" t="str">
        <f t="shared" si="146"/>
        <v>鹿東</v>
      </c>
      <c r="AB609" s="220" t="s">
        <v>2450</v>
      </c>
      <c r="AC609" s="220" t="str">
        <f t="shared" si="158"/>
        <v>IO64</v>
      </c>
      <c r="BB609" s="514" t="s">
        <v>1899</v>
      </c>
      <c r="BC609" s="514">
        <v>2493</v>
      </c>
      <c r="BD609" s="514">
        <v>2</v>
      </c>
      <c r="BE609" s="514">
        <v>2495</v>
      </c>
      <c r="BG609" s="229" t="s">
        <v>8777</v>
      </c>
      <c r="BH609" s="230" t="s">
        <v>8790</v>
      </c>
      <c r="BI609" t="s">
        <v>2450</v>
      </c>
      <c r="BJ609" t="s">
        <v>2446</v>
      </c>
    </row>
    <row r="610" spans="1:62">
      <c r="A610" s="229" t="s">
        <v>7806</v>
      </c>
      <c r="B610" s="230" t="s">
        <v>7807</v>
      </c>
      <c r="C610" s="230" t="s">
        <v>7808</v>
      </c>
      <c r="D610" s="229" t="s">
        <v>835</v>
      </c>
      <c r="E610" s="229" t="s">
        <v>800</v>
      </c>
      <c r="F610" s="229" t="s">
        <v>846</v>
      </c>
      <c r="G610" s="229" t="s">
        <v>800</v>
      </c>
      <c r="H610" s="229" t="s">
        <v>7050</v>
      </c>
      <c r="I610" s="229" t="s">
        <v>7809</v>
      </c>
      <c r="J610" s="231" t="s">
        <v>5614</v>
      </c>
      <c r="K610" s="231" t="s">
        <v>784</v>
      </c>
      <c r="L610" s="220" t="str">
        <f t="shared" si="147"/>
        <v>IO65</v>
      </c>
      <c r="M610" s="220" t="str">
        <f t="shared" si="148"/>
        <v/>
      </c>
      <c r="N610" s="220" t="str">
        <f t="shared" si="149"/>
        <v/>
      </c>
      <c r="O610" s="220" t="str">
        <f t="shared" si="150"/>
        <v/>
      </c>
      <c r="P610" s="52" t="str">
        <f t="shared" si="151"/>
        <v>IO65</v>
      </c>
      <c r="Q610" s="231" t="str">
        <f t="shared" si="157"/>
        <v>33</v>
      </c>
      <c r="R610" s="224">
        <f t="shared" si="159"/>
        <v>32.666666666666664</v>
      </c>
      <c r="S610" s="52">
        <f t="shared" si="152"/>
        <v>32</v>
      </c>
      <c r="T610" s="221">
        <f t="shared" ca="1" si="153"/>
        <v>1.3</v>
      </c>
      <c r="U610" s="221" t="str">
        <f t="shared" si="154"/>
        <v/>
      </c>
      <c r="V610" s="220" t="str">
        <f t="array" ref="V610">INDEX(P:P,MAX(U$3:U610))</f>
        <v>IO#2DTR</v>
      </c>
      <c r="W610" s="220" t="str">
        <f t="shared" ca="1" si="155"/>
        <v/>
      </c>
      <c r="X610" s="220">
        <f t="shared" si="156"/>
        <v>22.8</v>
      </c>
      <c r="Y610" s="220">
        <f t="shared" si="145"/>
        <v>0</v>
      </c>
      <c r="AA610" s="220" t="str">
        <f t="shared" si="146"/>
        <v>鹿東</v>
      </c>
      <c r="AB610" s="220" t="s">
        <v>2451</v>
      </c>
      <c r="AC610" s="220" t="str">
        <f t="shared" si="158"/>
        <v>IO65</v>
      </c>
      <c r="BB610" s="514" t="s">
        <v>2558</v>
      </c>
      <c r="BC610" s="514">
        <v>4515</v>
      </c>
      <c r="BD610" s="514">
        <v>1</v>
      </c>
      <c r="BE610" s="514">
        <v>4516</v>
      </c>
      <c r="BG610" s="229" t="s">
        <v>8777</v>
      </c>
      <c r="BH610" s="230" t="s">
        <v>8791</v>
      </c>
      <c r="BI610" t="s">
        <v>2451</v>
      </c>
      <c r="BJ610" t="s">
        <v>2446</v>
      </c>
    </row>
    <row r="611" spans="1:62">
      <c r="A611" s="229" t="s">
        <v>7810</v>
      </c>
      <c r="B611" s="230" t="s">
        <v>638</v>
      </c>
      <c r="C611" s="230" t="s">
        <v>1009</v>
      </c>
      <c r="D611" s="229" t="s">
        <v>7072</v>
      </c>
      <c r="E611" s="229" t="s">
        <v>7811</v>
      </c>
      <c r="F611" s="229" t="s">
        <v>797</v>
      </c>
      <c r="G611" s="229" t="s">
        <v>843</v>
      </c>
      <c r="H611" s="229" t="s">
        <v>797</v>
      </c>
      <c r="I611" s="229" t="s">
        <v>1009</v>
      </c>
      <c r="J611" s="231" t="s">
        <v>7812</v>
      </c>
      <c r="K611" s="231" t="s">
        <v>5933</v>
      </c>
      <c r="L611" s="220" t="str">
        <f t="shared" si="147"/>
        <v>IO66</v>
      </c>
      <c r="M611" s="220" t="str">
        <f t="shared" si="148"/>
        <v/>
      </c>
      <c r="N611" s="220" t="str">
        <f t="shared" si="149"/>
        <v/>
      </c>
      <c r="O611" s="220" t="str">
        <f t="shared" si="150"/>
        <v/>
      </c>
      <c r="P611" s="52" t="str">
        <f t="shared" si="151"/>
        <v>IO66</v>
      </c>
      <c r="Q611" s="231" t="str">
        <f t="shared" si="157"/>
        <v>59</v>
      </c>
      <c r="R611" s="224">
        <f t="shared" si="159"/>
        <v>57.666666666666664</v>
      </c>
      <c r="S611" s="52">
        <f t="shared" si="152"/>
        <v>57</v>
      </c>
      <c r="T611" s="221">
        <f t="shared" ca="1" si="153"/>
        <v>2.33</v>
      </c>
      <c r="U611" s="221" t="str">
        <f t="shared" si="154"/>
        <v/>
      </c>
      <c r="V611" s="220" t="str">
        <f t="array" ref="V611">INDEX(P:P,MAX(U$3:U611))</f>
        <v>IO#2DTR</v>
      </c>
      <c r="W611" s="220" t="str">
        <f t="shared" ca="1" si="155"/>
        <v/>
      </c>
      <c r="X611" s="220">
        <f t="shared" si="156"/>
        <v>22.8</v>
      </c>
      <c r="Y611" s="220">
        <f t="shared" si="145"/>
        <v>0</v>
      </c>
      <c r="AA611" s="220" t="str">
        <f t="shared" si="146"/>
        <v>鹿東</v>
      </c>
      <c r="AB611" s="220" t="s">
        <v>2452</v>
      </c>
      <c r="AC611" s="220" t="str">
        <f t="shared" si="158"/>
        <v>IO66</v>
      </c>
      <c r="BB611" s="514" t="s">
        <v>2559</v>
      </c>
      <c r="BC611" s="514">
        <v>1007</v>
      </c>
      <c r="BD611" s="514">
        <v>4</v>
      </c>
      <c r="BE611" s="514">
        <v>1011</v>
      </c>
      <c r="BG611" s="229" t="s">
        <v>8776</v>
      </c>
      <c r="BH611" s="230" t="s">
        <v>8792</v>
      </c>
      <c r="BI611" t="s">
        <v>2452</v>
      </c>
      <c r="BJ611" t="s">
        <v>2446</v>
      </c>
    </row>
    <row r="612" spans="1:62">
      <c r="A612" s="229" t="s">
        <v>58</v>
      </c>
      <c r="B612" s="230" t="s">
        <v>7813</v>
      </c>
      <c r="C612" s="230" t="s">
        <v>857</v>
      </c>
      <c r="D612" s="229" t="s">
        <v>7521</v>
      </c>
      <c r="E612" s="229" t="s">
        <v>6554</v>
      </c>
      <c r="F612" s="229" t="s">
        <v>5580</v>
      </c>
      <c r="G612" s="229" t="s">
        <v>1016</v>
      </c>
      <c r="H612" s="229" t="s">
        <v>832</v>
      </c>
      <c r="I612" s="229" t="s">
        <v>6554</v>
      </c>
      <c r="J612" s="231" t="s">
        <v>7814</v>
      </c>
      <c r="K612" s="231" t="s">
        <v>839</v>
      </c>
      <c r="L612" s="220" t="str">
        <f t="shared" si="147"/>
        <v>IOW1</v>
      </c>
      <c r="M612" s="220" t="str">
        <f t="shared" si="148"/>
        <v/>
      </c>
      <c r="N612" s="220" t="str">
        <f t="shared" si="149"/>
        <v/>
      </c>
      <c r="O612" s="220" t="str">
        <f t="shared" si="150"/>
        <v/>
      </c>
      <c r="P612" s="52" t="str">
        <f t="shared" si="151"/>
        <v>IOW1</v>
      </c>
      <c r="Q612" s="231" t="str">
        <f t="shared" si="157"/>
        <v>83</v>
      </c>
      <c r="R612" s="224">
        <f t="shared" si="159"/>
        <v>82.666666666666671</v>
      </c>
      <c r="S612" s="52">
        <f t="shared" si="152"/>
        <v>82</v>
      </c>
      <c r="T612" s="221" t="e">
        <f t="shared" ca="1" si="153"/>
        <v>#VALUE!</v>
      </c>
      <c r="U612" s="221" t="str">
        <f t="shared" si="154"/>
        <v/>
      </c>
      <c r="V612" s="220" t="str">
        <f t="array" ref="V612">INDEX(P:P,MAX(U$3:U612))</f>
        <v>IO#2DTR</v>
      </c>
      <c r="W612" s="220" t="str">
        <f t="shared" ca="1" si="155"/>
        <v/>
      </c>
      <c r="X612" s="220" t="e">
        <f t="shared" si="156"/>
        <v>#VALUE!</v>
      </c>
      <c r="Y612" s="220">
        <f t="shared" si="145"/>
        <v>0</v>
      </c>
      <c r="AA612" s="220" t="str">
        <f t="shared" si="146"/>
        <v>鹿東</v>
      </c>
      <c r="AB612" s="220" t="s">
        <v>2453</v>
      </c>
      <c r="AC612" s="220" t="str">
        <f t="shared" si="158"/>
        <v>鹿威(I</v>
      </c>
      <c r="BB612" s="514" t="s">
        <v>1968</v>
      </c>
      <c r="BC612" s="514">
        <v>3657</v>
      </c>
      <c r="BD612" s="514">
        <v>1</v>
      </c>
      <c r="BE612" s="514">
        <v>3658</v>
      </c>
      <c r="BG612" s="229" t="s">
        <v>8777</v>
      </c>
      <c r="BH612" s="230" t="s">
        <v>8793</v>
      </c>
      <c r="BI612" t="s">
        <v>2453</v>
      </c>
      <c r="BJ612" t="s">
        <v>2446</v>
      </c>
    </row>
    <row r="613" spans="1:62">
      <c r="A613" s="229" t="s">
        <v>58</v>
      </c>
      <c r="B613" s="230" t="s">
        <v>366</v>
      </c>
      <c r="C613" s="230" t="s">
        <v>3179</v>
      </c>
      <c r="D613" s="229" t="s">
        <v>797</v>
      </c>
      <c r="E613" s="229" t="s">
        <v>4732</v>
      </c>
      <c r="F613" s="229" t="s">
        <v>7815</v>
      </c>
      <c r="G613" s="229" t="s">
        <v>3193</v>
      </c>
      <c r="H613" s="229" t="s">
        <v>797</v>
      </c>
      <c r="I613" s="229" t="s">
        <v>3179</v>
      </c>
      <c r="J613" s="231" t="s">
        <v>7725</v>
      </c>
      <c r="K613" s="231" t="s">
        <v>358</v>
      </c>
      <c r="L613" s="220" t="str">
        <f t="shared" si="147"/>
        <v>IO#3DTR</v>
      </c>
      <c r="M613" s="220" t="str">
        <f t="shared" si="148"/>
        <v/>
      </c>
      <c r="N613" s="220" t="str">
        <f t="shared" si="149"/>
        <v>IO#3DTR</v>
      </c>
      <c r="O613" s="220" t="str">
        <f t="shared" si="150"/>
        <v/>
      </c>
      <c r="P613" s="52" t="str">
        <f t="shared" si="151"/>
        <v>IO#3DTR</v>
      </c>
      <c r="Q613" s="231" t="str">
        <f t="shared" si="157"/>
        <v>542</v>
      </c>
      <c r="R613" s="224">
        <f t="shared" si="159"/>
        <v>539</v>
      </c>
      <c r="S613" s="52">
        <f t="shared" si="152"/>
        <v>536</v>
      </c>
      <c r="T613" s="221">
        <f t="shared" ca="1" si="153"/>
        <v>21.4</v>
      </c>
      <c r="U613" s="221">
        <f t="shared" si="154"/>
        <v>613</v>
      </c>
      <c r="V613" s="220" t="str">
        <f t="array" ref="V613">INDEX(P:P,MAX(U$3:U613))</f>
        <v>IO#3DTR</v>
      </c>
      <c r="W613" s="220">
        <f t="shared" ca="1" si="155"/>
        <v>60</v>
      </c>
      <c r="X613" s="220" t="str">
        <f t="shared" si="156"/>
        <v/>
      </c>
      <c r="Y613" s="220">
        <f t="shared" si="145"/>
        <v>0</v>
      </c>
      <c r="AA613" s="220" t="str">
        <f t="shared" si="146"/>
        <v>鹿東</v>
      </c>
      <c r="AB613" s="220" t="s">
        <v>2454</v>
      </c>
      <c r="AC613" s="220" t="str">
        <f t="shared" si="158"/>
        <v>#3DT</v>
      </c>
      <c r="BB613" s="514" t="s">
        <v>2560</v>
      </c>
      <c r="BC613" s="514">
        <v>217</v>
      </c>
      <c r="BD613" s="514">
        <v>6</v>
      </c>
      <c r="BE613" s="514">
        <v>223</v>
      </c>
      <c r="BG613" s="229" t="s">
        <v>8776</v>
      </c>
      <c r="BH613" s="230" t="s">
        <v>366</v>
      </c>
      <c r="BI613" t="s">
        <v>2454</v>
      </c>
      <c r="BJ613" t="s">
        <v>2454</v>
      </c>
    </row>
    <row r="614" spans="1:62">
      <c r="A614" s="229" t="s">
        <v>58</v>
      </c>
      <c r="B614" s="230" t="s">
        <v>639</v>
      </c>
      <c r="C614" s="230" t="s">
        <v>933</v>
      </c>
      <c r="D614" s="229" t="s">
        <v>797</v>
      </c>
      <c r="E614" s="229" t="s">
        <v>1000</v>
      </c>
      <c r="F614" s="229" t="s">
        <v>797</v>
      </c>
      <c r="G614" s="229" t="s">
        <v>948</v>
      </c>
      <c r="H614" s="229" t="s">
        <v>5764</v>
      </c>
      <c r="I614" s="229" t="s">
        <v>948</v>
      </c>
      <c r="J614" s="231" t="s">
        <v>5654</v>
      </c>
      <c r="K614" s="231" t="s">
        <v>859</v>
      </c>
      <c r="L614" s="220" t="str">
        <f t="shared" si="147"/>
        <v>IO76</v>
      </c>
      <c r="M614" s="220" t="str">
        <f t="shared" si="148"/>
        <v/>
      </c>
      <c r="N614" s="220" t="str">
        <f t="shared" si="149"/>
        <v/>
      </c>
      <c r="O614" s="220" t="str">
        <f t="shared" si="150"/>
        <v/>
      </c>
      <c r="P614" s="52" t="str">
        <f t="shared" si="151"/>
        <v>IO76</v>
      </c>
      <c r="Q614" s="231" t="str">
        <f t="shared" si="157"/>
        <v>135</v>
      </c>
      <c r="R614" s="224">
        <f t="shared" si="159"/>
        <v>134</v>
      </c>
      <c r="S614" s="52">
        <f t="shared" si="152"/>
        <v>133</v>
      </c>
      <c r="T614" s="221">
        <f t="shared" ca="1" si="153"/>
        <v>5.33</v>
      </c>
      <c r="U614" s="221" t="str">
        <f t="shared" si="154"/>
        <v/>
      </c>
      <c r="V614" s="220" t="str">
        <f t="array" ref="V614">INDEX(P:P,MAX(U$3:U614))</f>
        <v>IO#3DTR</v>
      </c>
      <c r="W614" s="220" t="str">
        <f t="shared" ca="1" si="155"/>
        <v/>
      </c>
      <c r="X614" s="220">
        <f t="shared" si="156"/>
        <v>22.8</v>
      </c>
      <c r="Y614" s="220">
        <f t="shared" si="145"/>
        <v>0</v>
      </c>
      <c r="AA614" s="220" t="str">
        <f t="shared" si="146"/>
        <v>鹿東</v>
      </c>
      <c r="AB614" s="220" t="s">
        <v>2455</v>
      </c>
      <c r="AC614" s="220" t="str">
        <f t="shared" si="158"/>
        <v>IO76</v>
      </c>
      <c r="BB614" s="514" t="s">
        <v>1970</v>
      </c>
      <c r="BC614" s="514">
        <v>107</v>
      </c>
      <c r="BD614" s="514" t="s">
        <v>85</v>
      </c>
      <c r="BE614" s="514">
        <v>107</v>
      </c>
      <c r="BG614" s="229" t="s">
        <v>8777</v>
      </c>
      <c r="BH614" s="230" t="s">
        <v>8794</v>
      </c>
      <c r="BI614" t="s">
        <v>2455</v>
      </c>
      <c r="BJ614" t="s">
        <v>2454</v>
      </c>
    </row>
    <row r="615" spans="1:62">
      <c r="A615" s="229" t="s">
        <v>7787</v>
      </c>
      <c r="B615" s="230" t="s">
        <v>640</v>
      </c>
      <c r="C615" s="230" t="s">
        <v>940</v>
      </c>
      <c r="D615" s="229" t="s">
        <v>797</v>
      </c>
      <c r="E615" s="229" t="s">
        <v>1014</v>
      </c>
      <c r="F615" s="229" t="s">
        <v>5764</v>
      </c>
      <c r="G615" s="229" t="s">
        <v>826</v>
      </c>
      <c r="H615" s="229" t="s">
        <v>797</v>
      </c>
      <c r="I615" s="229" t="s">
        <v>940</v>
      </c>
      <c r="J615" s="231" t="s">
        <v>936</v>
      </c>
      <c r="K615" s="231" t="s">
        <v>5733</v>
      </c>
      <c r="L615" s="220" t="str">
        <f t="shared" si="147"/>
        <v>IO75</v>
      </c>
      <c r="M615" s="220" t="str">
        <f t="shared" si="148"/>
        <v/>
      </c>
      <c r="N615" s="220" t="str">
        <f t="shared" si="149"/>
        <v/>
      </c>
      <c r="O615" s="220" t="str">
        <f t="shared" si="150"/>
        <v/>
      </c>
      <c r="P615" s="52" t="str">
        <f t="shared" si="151"/>
        <v>IO75</v>
      </c>
      <c r="Q615" s="231" t="str">
        <f t="shared" si="157"/>
        <v>95</v>
      </c>
      <c r="R615" s="224">
        <f t="shared" si="159"/>
        <v>92.333333333333329</v>
      </c>
      <c r="S615" s="52">
        <f t="shared" si="152"/>
        <v>90</v>
      </c>
      <c r="T615" s="221">
        <f t="shared" ca="1" si="153"/>
        <v>3.75</v>
      </c>
      <c r="U615" s="221" t="str">
        <f t="shared" si="154"/>
        <v/>
      </c>
      <c r="V615" s="220" t="str">
        <f t="array" ref="V615">INDEX(P:P,MAX(U$3:U615))</f>
        <v>IO#3DTR</v>
      </c>
      <c r="W615" s="220" t="str">
        <f t="shared" ca="1" si="155"/>
        <v/>
      </c>
      <c r="X615" s="220">
        <f t="shared" si="156"/>
        <v>22.8</v>
      </c>
      <c r="Y615" s="220">
        <f t="shared" si="145"/>
        <v>0</v>
      </c>
      <c r="AA615" s="220" t="str">
        <f t="shared" si="146"/>
        <v>鹿東</v>
      </c>
      <c r="AB615" s="220" t="s">
        <v>2456</v>
      </c>
      <c r="AC615" s="220" t="str">
        <f t="shared" si="158"/>
        <v>IO75</v>
      </c>
      <c r="BB615" s="514" t="s">
        <v>1972</v>
      </c>
      <c r="BC615" s="514">
        <v>1703</v>
      </c>
      <c r="BD615" s="514">
        <v>3</v>
      </c>
      <c r="BE615" s="514">
        <v>1706</v>
      </c>
      <c r="BG615" s="229" t="s">
        <v>58</v>
      </c>
      <c r="BH615" s="230" t="s">
        <v>8795</v>
      </c>
      <c r="BI615" t="s">
        <v>2456</v>
      </c>
      <c r="BJ615" t="s">
        <v>2454</v>
      </c>
    </row>
    <row r="616" spans="1:62">
      <c r="A616" s="229" t="s">
        <v>58</v>
      </c>
      <c r="B616" s="230" t="s">
        <v>641</v>
      </c>
      <c r="C616" s="230" t="s">
        <v>5974</v>
      </c>
      <c r="D616" s="229" t="s">
        <v>7389</v>
      </c>
      <c r="E616" s="229" t="s">
        <v>7816</v>
      </c>
      <c r="F616" s="229" t="s">
        <v>6514</v>
      </c>
      <c r="G616" s="229" t="s">
        <v>7628</v>
      </c>
      <c r="H616" s="229" t="s">
        <v>6514</v>
      </c>
      <c r="I616" s="229" t="s">
        <v>7628</v>
      </c>
      <c r="J616" s="231" t="s">
        <v>5645</v>
      </c>
      <c r="K616" s="231" t="s">
        <v>7817</v>
      </c>
      <c r="L616" s="220" t="str">
        <f t="shared" si="147"/>
        <v>IO74</v>
      </c>
      <c r="M616" s="220" t="str">
        <f t="shared" si="148"/>
        <v/>
      </c>
      <c r="N616" s="220" t="str">
        <f t="shared" si="149"/>
        <v/>
      </c>
      <c r="O616" s="220" t="str">
        <f t="shared" si="150"/>
        <v/>
      </c>
      <c r="P616" s="52" t="str">
        <f t="shared" si="151"/>
        <v>IO74</v>
      </c>
      <c r="Q616" s="231" t="str">
        <f t="shared" si="157"/>
        <v>14</v>
      </c>
      <c r="R616" s="224">
        <f t="shared" si="159"/>
        <v>13.666666666666666</v>
      </c>
      <c r="S616" s="52">
        <f t="shared" si="152"/>
        <v>13</v>
      </c>
      <c r="T616" s="221">
        <f t="shared" ca="1" si="153"/>
        <v>0.55000000000000004</v>
      </c>
      <c r="U616" s="221" t="str">
        <f t="shared" si="154"/>
        <v/>
      </c>
      <c r="V616" s="220" t="str">
        <f t="array" ref="V616">INDEX(P:P,MAX(U$3:U616))</f>
        <v>IO#3DTR</v>
      </c>
      <c r="W616" s="220" t="str">
        <f t="shared" ca="1" si="155"/>
        <v/>
      </c>
      <c r="X616" s="220">
        <f t="shared" si="156"/>
        <v>22.8</v>
      </c>
      <c r="Y616" s="220">
        <f t="shared" si="145"/>
        <v>0</v>
      </c>
      <c r="AA616" s="220" t="str">
        <f t="shared" si="146"/>
        <v>鹿東</v>
      </c>
      <c r="AB616" s="220" t="s">
        <v>2457</v>
      </c>
      <c r="AC616" s="220" t="str">
        <f t="shared" si="158"/>
        <v>IO74</v>
      </c>
      <c r="BB616" s="514" t="s">
        <v>3265</v>
      </c>
      <c r="BC616" s="514" t="s">
        <v>85</v>
      </c>
      <c r="BD616" s="514" t="s">
        <v>85</v>
      </c>
      <c r="BE616" s="514">
        <v>0</v>
      </c>
      <c r="BG616" s="229" t="s">
        <v>8777</v>
      </c>
      <c r="BH616" s="230" t="s">
        <v>8796</v>
      </c>
      <c r="BI616" t="s">
        <v>2457</v>
      </c>
      <c r="BJ616" t="s">
        <v>2454</v>
      </c>
    </row>
    <row r="617" spans="1:62">
      <c r="A617" s="229" t="s">
        <v>7787</v>
      </c>
      <c r="B617" s="230" t="s">
        <v>642</v>
      </c>
      <c r="C617" s="230" t="s">
        <v>1009</v>
      </c>
      <c r="D617" s="229" t="s">
        <v>5933</v>
      </c>
      <c r="E617" s="229" t="s">
        <v>1009</v>
      </c>
      <c r="F617" s="229" t="s">
        <v>5933</v>
      </c>
      <c r="G617" s="229" t="s">
        <v>917</v>
      </c>
      <c r="H617" s="229" t="s">
        <v>5650</v>
      </c>
      <c r="I617" s="229" t="s">
        <v>7818</v>
      </c>
      <c r="J617" s="231" t="s">
        <v>814</v>
      </c>
      <c r="K617" s="231" t="s">
        <v>789</v>
      </c>
      <c r="L617" s="220" t="str">
        <f t="shared" si="147"/>
        <v>IO73</v>
      </c>
      <c r="M617" s="220" t="str">
        <f t="shared" si="148"/>
        <v/>
      </c>
      <c r="N617" s="220" t="str">
        <f t="shared" si="149"/>
        <v/>
      </c>
      <c r="O617" s="220" t="str">
        <f t="shared" si="150"/>
        <v/>
      </c>
      <c r="P617" s="52" t="str">
        <f t="shared" si="151"/>
        <v>IO73</v>
      </c>
      <c r="Q617" s="231" t="str">
        <f t="shared" si="157"/>
        <v>61</v>
      </c>
      <c r="R617" s="224">
        <f t="shared" si="159"/>
        <v>59.666666666666664</v>
      </c>
      <c r="S617" s="52">
        <f t="shared" si="152"/>
        <v>59</v>
      </c>
      <c r="T617" s="221">
        <f t="shared" ca="1" si="153"/>
        <v>2.41</v>
      </c>
      <c r="U617" s="221" t="str">
        <f t="shared" si="154"/>
        <v/>
      </c>
      <c r="V617" s="220" t="str">
        <f t="array" ref="V617">INDEX(P:P,MAX(U$3:U617))</f>
        <v>IO#3DTR</v>
      </c>
      <c r="W617" s="220" t="str">
        <f t="shared" ca="1" si="155"/>
        <v/>
      </c>
      <c r="X617" s="220">
        <f t="shared" si="156"/>
        <v>22.8</v>
      </c>
      <c r="Y617" s="220">
        <f t="shared" si="145"/>
        <v>0</v>
      </c>
      <c r="AA617" s="220" t="str">
        <f t="shared" si="146"/>
        <v>鹿東</v>
      </c>
      <c r="AB617" s="220" t="s">
        <v>2458</v>
      </c>
      <c r="AC617" s="220" t="str">
        <f t="shared" si="158"/>
        <v>IO73</v>
      </c>
      <c r="BB617" s="514" t="s">
        <v>2572</v>
      </c>
      <c r="BC617" s="514">
        <v>1256</v>
      </c>
      <c r="BD617" s="514">
        <v>5</v>
      </c>
      <c r="BE617" s="514">
        <v>1261</v>
      </c>
      <c r="BG617" s="229" t="s">
        <v>8776</v>
      </c>
      <c r="BH617" s="230" t="s">
        <v>8797</v>
      </c>
      <c r="BI617" t="s">
        <v>2458</v>
      </c>
      <c r="BJ617" t="s">
        <v>2454</v>
      </c>
    </row>
    <row r="618" spans="1:62">
      <c r="A618" s="229" t="s">
        <v>58</v>
      </c>
      <c r="B618" s="230" t="s">
        <v>643</v>
      </c>
      <c r="C618" s="230" t="s">
        <v>7819</v>
      </c>
      <c r="D618" s="229" t="s">
        <v>783</v>
      </c>
      <c r="E618" s="229" t="s">
        <v>802</v>
      </c>
      <c r="F618" s="229" t="s">
        <v>6190</v>
      </c>
      <c r="G618" s="229" t="s">
        <v>7819</v>
      </c>
      <c r="H618" s="229" t="s">
        <v>783</v>
      </c>
      <c r="I618" s="229" t="s">
        <v>802</v>
      </c>
      <c r="J618" s="231" t="s">
        <v>5614</v>
      </c>
      <c r="K618" s="231" t="s">
        <v>784</v>
      </c>
      <c r="L618" s="220" t="str">
        <f t="shared" si="147"/>
        <v>IO72</v>
      </c>
      <c r="M618" s="220" t="str">
        <f t="shared" si="148"/>
        <v/>
      </c>
      <c r="N618" s="220" t="str">
        <f t="shared" si="149"/>
        <v/>
      </c>
      <c r="O618" s="220" t="str">
        <f t="shared" si="150"/>
        <v/>
      </c>
      <c r="P618" s="52" t="str">
        <f t="shared" si="151"/>
        <v>IO72</v>
      </c>
      <c r="Q618" s="231" t="str">
        <f t="shared" si="157"/>
        <v>67</v>
      </c>
      <c r="R618" s="224">
        <f t="shared" si="159"/>
        <v>66.333333333333329</v>
      </c>
      <c r="S618" s="52">
        <f t="shared" si="152"/>
        <v>66</v>
      </c>
      <c r="T618" s="221">
        <f t="shared" ca="1" si="153"/>
        <v>2.65</v>
      </c>
      <c r="U618" s="221" t="str">
        <f t="shared" si="154"/>
        <v/>
      </c>
      <c r="V618" s="220" t="str">
        <f t="array" ref="V618">INDEX(P:P,MAX(U$3:U618))</f>
        <v>IO#3DTR</v>
      </c>
      <c r="W618" s="220" t="str">
        <f t="shared" ca="1" si="155"/>
        <v/>
      </c>
      <c r="X618" s="220">
        <f t="shared" si="156"/>
        <v>22.8</v>
      </c>
      <c r="Y618" s="220">
        <f t="shared" si="145"/>
        <v>0</v>
      </c>
      <c r="AA618" s="220" t="str">
        <f t="shared" si="146"/>
        <v>鹿東</v>
      </c>
      <c r="AB618" s="220" t="s">
        <v>2459</v>
      </c>
      <c r="AC618" s="220" t="str">
        <f t="shared" si="158"/>
        <v>IO72</v>
      </c>
      <c r="BB618" s="514" t="s">
        <v>2571</v>
      </c>
      <c r="BC618" s="514">
        <v>4879</v>
      </c>
      <c r="BD618" s="514">
        <v>3</v>
      </c>
      <c r="BE618" s="514">
        <v>4882</v>
      </c>
      <c r="BG618" s="229" t="s">
        <v>8776</v>
      </c>
      <c r="BH618" s="230" t="s">
        <v>8798</v>
      </c>
      <c r="BI618" t="s">
        <v>2459</v>
      </c>
      <c r="BJ618" t="s">
        <v>2454</v>
      </c>
    </row>
    <row r="619" spans="1:62">
      <c r="A619" s="229" t="s">
        <v>58</v>
      </c>
      <c r="B619" s="230" t="s">
        <v>7820</v>
      </c>
      <c r="C619" s="230" t="s">
        <v>950</v>
      </c>
      <c r="D619" s="229" t="s">
        <v>859</v>
      </c>
      <c r="E619" s="229" t="s">
        <v>7821</v>
      </c>
      <c r="F619" s="229" t="s">
        <v>859</v>
      </c>
      <c r="G619" s="229" t="s">
        <v>1041</v>
      </c>
      <c r="H619" s="229" t="s">
        <v>859</v>
      </c>
      <c r="I619" s="229" t="s">
        <v>1041</v>
      </c>
      <c r="J619" s="231" t="s">
        <v>1055</v>
      </c>
      <c r="K619" s="231" t="s">
        <v>5733</v>
      </c>
      <c r="L619" s="220" t="str">
        <f t="shared" si="147"/>
        <v>IO71</v>
      </c>
      <c r="M619" s="220" t="str">
        <f t="shared" si="148"/>
        <v/>
      </c>
      <c r="N619" s="220" t="str">
        <f t="shared" si="149"/>
        <v/>
      </c>
      <c r="O619" s="220" t="str">
        <f t="shared" si="150"/>
        <v/>
      </c>
      <c r="P619" s="52" t="str">
        <f t="shared" si="151"/>
        <v>IO71</v>
      </c>
      <c r="Q619" s="231" t="str">
        <f t="shared" si="157"/>
        <v>247</v>
      </c>
      <c r="R619" s="224">
        <f t="shared" si="159"/>
        <v>243.66666666666666</v>
      </c>
      <c r="S619" s="52">
        <f t="shared" si="152"/>
        <v>239</v>
      </c>
      <c r="T619" s="221">
        <f t="shared" ca="1" si="153"/>
        <v>9.75</v>
      </c>
      <c r="U619" s="221" t="str">
        <f t="shared" si="154"/>
        <v/>
      </c>
      <c r="V619" s="220" t="str">
        <f t="array" ref="V619">INDEX(P:P,MAX(U$3:U619))</f>
        <v>IO#3DTR</v>
      </c>
      <c r="W619" s="220" t="str">
        <f t="shared" ca="1" si="155"/>
        <v/>
      </c>
      <c r="X619" s="220">
        <f t="shared" si="156"/>
        <v>22.8</v>
      </c>
      <c r="Y619" s="220">
        <f t="shared" si="145"/>
        <v>0</v>
      </c>
      <c r="AA619" s="220" t="str">
        <f t="shared" si="146"/>
        <v>鹿東</v>
      </c>
      <c r="AB619" s="220" t="s">
        <v>2460</v>
      </c>
      <c r="AC619" s="220" t="str">
        <f t="shared" si="158"/>
        <v>IO71</v>
      </c>
      <c r="BB619" s="514" t="s">
        <v>3266</v>
      </c>
      <c r="BC619" s="514" t="s">
        <v>85</v>
      </c>
      <c r="BD619" s="514" t="s">
        <v>85</v>
      </c>
      <c r="BE619" s="514">
        <v>0</v>
      </c>
      <c r="BG619" s="229" t="s">
        <v>8776</v>
      </c>
      <c r="BH619" s="230" t="s">
        <v>8799</v>
      </c>
      <c r="BI619" t="s">
        <v>2460</v>
      </c>
      <c r="BJ619" t="s">
        <v>2454</v>
      </c>
    </row>
    <row r="620" spans="1:62">
      <c r="A620" s="229" t="s">
        <v>7785</v>
      </c>
      <c r="B620" s="230" t="s">
        <v>644</v>
      </c>
      <c r="C620" s="230" t="s">
        <v>7822</v>
      </c>
      <c r="D620" s="229" t="s">
        <v>784</v>
      </c>
      <c r="E620" s="229" t="s">
        <v>1012</v>
      </c>
      <c r="F620" s="229" t="s">
        <v>784</v>
      </c>
      <c r="G620" s="229" t="s">
        <v>7823</v>
      </c>
      <c r="H620" s="229" t="s">
        <v>7089</v>
      </c>
      <c r="I620" s="229" t="s">
        <v>7824</v>
      </c>
      <c r="J620" s="231" t="s">
        <v>5614</v>
      </c>
      <c r="K620" s="231" t="s">
        <v>784</v>
      </c>
      <c r="L620" s="220" t="str">
        <f t="shared" si="147"/>
        <v>IOPV</v>
      </c>
      <c r="M620" s="220" t="str">
        <f t="shared" si="148"/>
        <v/>
      </c>
      <c r="N620" s="220" t="str">
        <f t="shared" si="149"/>
        <v/>
      </c>
      <c r="O620" s="220" t="str">
        <f t="shared" si="150"/>
        <v/>
      </c>
      <c r="P620" s="52" t="str">
        <f t="shared" si="151"/>
        <v>IOPV</v>
      </c>
      <c r="Q620" s="231" t="str">
        <f t="shared" si="157"/>
        <v>26</v>
      </c>
      <c r="R620" s="224">
        <f t="shared" si="159"/>
        <v>25.333333333333332</v>
      </c>
      <c r="S620" s="52">
        <f t="shared" si="152"/>
        <v>25</v>
      </c>
      <c r="T620" s="221" t="e">
        <f t="shared" ca="1" si="153"/>
        <v>#VALUE!</v>
      </c>
      <c r="U620" s="221" t="str">
        <f t="shared" si="154"/>
        <v/>
      </c>
      <c r="V620" s="220" t="str">
        <f t="array" ref="V620">INDEX(P:P,MAX(U$3:U620))</f>
        <v>IO#3DTR</v>
      </c>
      <c r="W620" s="220" t="str">
        <f t="shared" ca="1" si="155"/>
        <v/>
      </c>
      <c r="X620" s="220" t="e">
        <f t="shared" si="156"/>
        <v>#VALUE!</v>
      </c>
      <c r="Y620" s="220">
        <f t="shared" si="145"/>
        <v>0</v>
      </c>
      <c r="AA620" s="220" t="str">
        <f t="shared" si="146"/>
        <v>鹿東</v>
      </c>
      <c r="AB620" s="220" t="s">
        <v>2461</v>
      </c>
      <c r="BB620" s="514" t="s">
        <v>2569</v>
      </c>
      <c r="BC620" s="514">
        <v>1138</v>
      </c>
      <c r="BD620" s="514">
        <v>1</v>
      </c>
      <c r="BE620" s="514">
        <v>1139</v>
      </c>
      <c r="BG620" s="229" t="s">
        <v>58</v>
      </c>
      <c r="BH620" s="230" t="s">
        <v>8800</v>
      </c>
      <c r="BI620" t="s">
        <v>2461</v>
      </c>
      <c r="BJ620" t="s">
        <v>2454</v>
      </c>
    </row>
    <row r="621" spans="1:62">
      <c r="A621" s="229" t="s">
        <v>68</v>
      </c>
      <c r="B621" s="230" t="s">
        <v>7712</v>
      </c>
      <c r="C621" s="230" t="s">
        <v>4733</v>
      </c>
      <c r="D621" s="229" t="s">
        <v>832</v>
      </c>
      <c r="E621" s="229" t="s">
        <v>7825</v>
      </c>
      <c r="F621" s="229" t="s">
        <v>832</v>
      </c>
      <c r="G621" s="229" t="s">
        <v>4734</v>
      </c>
      <c r="H621" s="229" t="s">
        <v>832</v>
      </c>
      <c r="I621" s="229" t="s">
        <v>4733</v>
      </c>
      <c r="J621" s="231" t="s">
        <v>7078</v>
      </c>
      <c r="K621" s="231" t="s">
        <v>7826</v>
      </c>
      <c r="L621" s="220" t="str">
        <f t="shared" si="147"/>
        <v>IP#1MTR</v>
      </c>
      <c r="M621" s="220" t="str">
        <f t="shared" si="148"/>
        <v/>
      </c>
      <c r="N621" s="220" t="str">
        <f t="shared" si="149"/>
        <v>IP#1MTR</v>
      </c>
      <c r="O621" s="220" t="str">
        <f t="shared" si="150"/>
        <v/>
      </c>
      <c r="P621" s="52" t="str">
        <f t="shared" si="151"/>
        <v>IP#1MTR</v>
      </c>
      <c r="Q621" s="231" t="str">
        <f t="shared" si="157"/>
        <v>891</v>
      </c>
      <c r="R621" s="224">
        <f t="shared" si="159"/>
        <v>865.33333333333337</v>
      </c>
      <c r="S621" s="52">
        <f t="shared" si="152"/>
        <v>851</v>
      </c>
      <c r="T621" s="221">
        <f t="shared" ca="1" si="153"/>
        <v>17.59</v>
      </c>
      <c r="U621" s="221">
        <f t="shared" si="154"/>
        <v>621</v>
      </c>
      <c r="V621" s="220" t="str">
        <f t="array" ref="V621">INDEX(P:P,MAX(U$3:U621))</f>
        <v>IP#1MTR</v>
      </c>
      <c r="W621" s="220">
        <f t="shared" ca="1" si="155"/>
        <v>25</v>
      </c>
      <c r="X621" s="220" t="str">
        <f t="shared" si="156"/>
        <v/>
      </c>
      <c r="Y621" s="220">
        <f t="shared" si="145"/>
        <v>0</v>
      </c>
      <c r="AA621" s="220" t="str">
        <f t="shared" si="146"/>
        <v>福工</v>
      </c>
      <c r="AB621" s="220" t="s">
        <v>2462</v>
      </c>
      <c r="AC621" s="220" t="str">
        <f>LEFT(B621,4)</f>
        <v>#1MT</v>
      </c>
      <c r="BB621" s="514" t="s">
        <v>2570</v>
      </c>
      <c r="BC621" s="514">
        <v>844</v>
      </c>
      <c r="BD621" s="514">
        <v>3</v>
      </c>
      <c r="BE621" s="514">
        <v>847</v>
      </c>
      <c r="BG621" s="229" t="s">
        <v>68</v>
      </c>
      <c r="BH621" s="230" t="s">
        <v>425</v>
      </c>
      <c r="BI621" t="s">
        <v>2462</v>
      </c>
      <c r="BJ621" t="s">
        <v>2462</v>
      </c>
    </row>
    <row r="622" spans="1:62">
      <c r="A622" s="229" t="s">
        <v>68</v>
      </c>
      <c r="B622" s="230" t="s">
        <v>7827</v>
      </c>
      <c r="C622" s="230" t="s">
        <v>1004</v>
      </c>
      <c r="D622" s="229" t="s">
        <v>846</v>
      </c>
      <c r="E622" s="229" t="s">
        <v>855</v>
      </c>
      <c r="F622" s="229" t="s">
        <v>846</v>
      </c>
      <c r="G622" s="229" t="s">
        <v>894</v>
      </c>
      <c r="H622" s="229" t="s">
        <v>7050</v>
      </c>
      <c r="I622" s="229" t="s">
        <v>6174</v>
      </c>
      <c r="J622" s="231" t="s">
        <v>972</v>
      </c>
      <c r="K622" s="231" t="s">
        <v>783</v>
      </c>
      <c r="L622" s="220" t="str">
        <f t="shared" si="147"/>
        <v>IP29</v>
      </c>
      <c r="M622" s="220" t="str">
        <f t="shared" si="148"/>
        <v/>
      </c>
      <c r="N622" s="220" t="str">
        <f t="shared" si="149"/>
        <v/>
      </c>
      <c r="O622" s="220" t="str">
        <f t="shared" si="150"/>
        <v/>
      </c>
      <c r="P622" s="52" t="str">
        <f t="shared" si="151"/>
        <v>IP29</v>
      </c>
      <c r="Q622" s="231" t="str">
        <f t="shared" si="157"/>
        <v>206</v>
      </c>
      <c r="R622" s="224">
        <f t="shared" si="159"/>
        <v>200.66666666666666</v>
      </c>
      <c r="S622" s="52">
        <f t="shared" si="152"/>
        <v>194</v>
      </c>
      <c r="T622" s="221">
        <f t="shared" ca="1" si="153"/>
        <v>4.07</v>
      </c>
      <c r="U622" s="221" t="str">
        <f t="shared" si="154"/>
        <v/>
      </c>
      <c r="V622" s="220" t="str">
        <f t="array" ref="V622">INDEX(P:P,MAX(U$3:U622))</f>
        <v>IP#1MTR</v>
      </c>
      <c r="W622" s="220" t="str">
        <f t="shared" ca="1" si="155"/>
        <v/>
      </c>
      <c r="X622" s="220">
        <f t="shared" si="156"/>
        <v>11.4</v>
      </c>
      <c r="Y622" s="220">
        <f t="shared" si="145"/>
        <v>0</v>
      </c>
      <c r="AA622" s="220" t="str">
        <f t="shared" si="146"/>
        <v>福工</v>
      </c>
      <c r="AB622" s="220" t="s">
        <v>2463</v>
      </c>
      <c r="AC622" s="220" t="str">
        <f t="shared" ref="AC622:AC639" si="160">LEFT(B622,3)</f>
        <v>金崙線</v>
      </c>
      <c r="BB622" s="514" t="s">
        <v>3267</v>
      </c>
      <c r="BC622" s="514" t="s">
        <v>85</v>
      </c>
      <c r="BD622" s="514" t="s">
        <v>85</v>
      </c>
      <c r="BE622" s="514">
        <v>0</v>
      </c>
      <c r="BG622" s="229" t="s">
        <v>8801</v>
      </c>
      <c r="BH622" s="230" t="s">
        <v>8802</v>
      </c>
      <c r="BI622" t="s">
        <v>2463</v>
      </c>
      <c r="BJ622" t="s">
        <v>2462</v>
      </c>
    </row>
    <row r="623" spans="1:62">
      <c r="A623" s="229" t="s">
        <v>7828</v>
      </c>
      <c r="B623" s="230" t="s">
        <v>7829</v>
      </c>
      <c r="C623" s="230" t="s">
        <v>956</v>
      </c>
      <c r="D623" s="229" t="s">
        <v>804</v>
      </c>
      <c r="E623" s="229" t="s">
        <v>7830</v>
      </c>
      <c r="F623" s="229" t="s">
        <v>804</v>
      </c>
      <c r="G623" s="229" t="s">
        <v>5892</v>
      </c>
      <c r="H623" s="229" t="s">
        <v>804</v>
      </c>
      <c r="I623" s="229" t="s">
        <v>5892</v>
      </c>
      <c r="J623" s="231" t="s">
        <v>1023</v>
      </c>
      <c r="K623" s="231" t="s">
        <v>5650</v>
      </c>
      <c r="L623" s="220" t="str">
        <f t="shared" si="147"/>
        <v>IP24</v>
      </c>
      <c r="M623" s="220" t="str">
        <f t="shared" si="148"/>
        <v/>
      </c>
      <c r="N623" s="220" t="str">
        <f t="shared" si="149"/>
        <v/>
      </c>
      <c r="O623" s="220" t="str">
        <f t="shared" si="150"/>
        <v/>
      </c>
      <c r="P623" s="52" t="str">
        <f t="shared" si="151"/>
        <v>IP24</v>
      </c>
      <c r="Q623" s="231" t="str">
        <f t="shared" si="157"/>
        <v>142</v>
      </c>
      <c r="R623" s="224">
        <f t="shared" si="159"/>
        <v>139</v>
      </c>
      <c r="S623" s="52">
        <f t="shared" si="152"/>
        <v>135</v>
      </c>
      <c r="T623" s="221">
        <f t="shared" ca="1" si="153"/>
        <v>2.8</v>
      </c>
      <c r="U623" s="221" t="str">
        <f t="shared" si="154"/>
        <v/>
      </c>
      <c r="V623" s="220" t="str">
        <f t="array" ref="V623">INDEX(P:P,MAX(U$3:U623))</f>
        <v>IP#1MTR</v>
      </c>
      <c r="W623" s="220" t="str">
        <f t="shared" ca="1" si="155"/>
        <v/>
      </c>
      <c r="X623" s="220">
        <f t="shared" si="156"/>
        <v>11.4</v>
      </c>
      <c r="Y623" s="220">
        <f t="shared" si="145"/>
        <v>0</v>
      </c>
      <c r="AA623" s="220" t="str">
        <f t="shared" si="146"/>
        <v>福工</v>
      </c>
      <c r="AB623" s="220" t="s">
        <v>2464</v>
      </c>
      <c r="AC623" s="220" t="str">
        <f t="shared" si="160"/>
        <v>福工線</v>
      </c>
      <c r="BB623" s="514" t="s">
        <v>3268</v>
      </c>
      <c r="BC623" s="514" t="s">
        <v>85</v>
      </c>
      <c r="BD623" s="514" t="s">
        <v>85</v>
      </c>
      <c r="BE623" s="514">
        <v>0</v>
      </c>
      <c r="BG623" s="229" t="s">
        <v>68</v>
      </c>
      <c r="BH623" s="230" t="s">
        <v>8803</v>
      </c>
      <c r="BI623" t="s">
        <v>2464</v>
      </c>
      <c r="BJ623" t="s">
        <v>2462</v>
      </c>
    </row>
    <row r="624" spans="1:62">
      <c r="A624" s="229" t="s">
        <v>68</v>
      </c>
      <c r="B624" s="230" t="s">
        <v>645</v>
      </c>
      <c r="C624" s="230" t="s">
        <v>7831</v>
      </c>
      <c r="D624" s="229" t="s">
        <v>804</v>
      </c>
      <c r="E624" s="229" t="s">
        <v>7832</v>
      </c>
      <c r="F624" s="229" t="s">
        <v>804</v>
      </c>
      <c r="G624" s="229" t="s">
        <v>1003</v>
      </c>
      <c r="H624" s="229" t="s">
        <v>5733</v>
      </c>
      <c r="I624" s="229" t="s">
        <v>7831</v>
      </c>
      <c r="J624" s="231" t="s">
        <v>6297</v>
      </c>
      <c r="K624" s="231" t="s">
        <v>850</v>
      </c>
      <c r="L624" s="220" t="str">
        <f t="shared" si="147"/>
        <v>IP22</v>
      </c>
      <c r="M624" s="220" t="str">
        <f t="shared" si="148"/>
        <v/>
      </c>
      <c r="N624" s="220" t="str">
        <f t="shared" si="149"/>
        <v/>
      </c>
      <c r="O624" s="220" t="str">
        <f t="shared" si="150"/>
        <v/>
      </c>
      <c r="P624" s="52" t="str">
        <f t="shared" si="151"/>
        <v>IP22</v>
      </c>
      <c r="Q624" s="231" t="str">
        <f t="shared" si="157"/>
        <v>232</v>
      </c>
      <c r="R624" s="224">
        <f t="shared" si="159"/>
        <v>219</v>
      </c>
      <c r="S624" s="52">
        <f t="shared" si="152"/>
        <v>207</v>
      </c>
      <c r="T624" s="221">
        <f t="shared" ca="1" si="153"/>
        <v>4.58</v>
      </c>
      <c r="U624" s="221" t="str">
        <f t="shared" si="154"/>
        <v/>
      </c>
      <c r="V624" s="220" t="str">
        <f t="array" ref="V624">INDEX(P:P,MAX(U$3:U624))</f>
        <v>IP#1MTR</v>
      </c>
      <c r="W624" s="220" t="str">
        <f t="shared" ca="1" si="155"/>
        <v/>
      </c>
      <c r="X624" s="220">
        <f t="shared" si="156"/>
        <v>11.4</v>
      </c>
      <c r="Y624" s="220">
        <f t="shared" si="145"/>
        <v>0</v>
      </c>
      <c r="AA624" s="220" t="str">
        <f t="shared" si="146"/>
        <v>福工</v>
      </c>
      <c r="AB624" s="220" t="s">
        <v>2465</v>
      </c>
      <c r="AC624" s="220" t="str">
        <f t="shared" si="160"/>
        <v>廓仔線</v>
      </c>
      <c r="BB624" s="514" t="s">
        <v>3269</v>
      </c>
      <c r="BC624" s="514" t="s">
        <v>85</v>
      </c>
      <c r="BD624" s="514" t="s">
        <v>85</v>
      </c>
      <c r="BE624" s="514">
        <v>0</v>
      </c>
      <c r="BG624" s="229" t="s">
        <v>8801</v>
      </c>
      <c r="BH624" s="230" t="s">
        <v>645</v>
      </c>
      <c r="BI624" t="s">
        <v>2465</v>
      </c>
      <c r="BJ624" t="s">
        <v>2462</v>
      </c>
    </row>
    <row r="625" spans="1:62">
      <c r="A625" s="229" t="s">
        <v>7833</v>
      </c>
      <c r="B625" s="230" t="s">
        <v>7834</v>
      </c>
      <c r="C625" s="230" t="s">
        <v>6566</v>
      </c>
      <c r="D625" s="229" t="s">
        <v>5791</v>
      </c>
      <c r="E625" s="229" t="s">
        <v>963</v>
      </c>
      <c r="F625" s="229" t="s">
        <v>832</v>
      </c>
      <c r="G625" s="229" t="s">
        <v>7835</v>
      </c>
      <c r="H625" s="229" t="s">
        <v>7059</v>
      </c>
      <c r="I625" s="229" t="s">
        <v>963</v>
      </c>
      <c r="J625" s="231" t="s">
        <v>799</v>
      </c>
      <c r="K625" s="231" t="s">
        <v>850</v>
      </c>
      <c r="L625" s="220" t="str">
        <f t="shared" si="147"/>
        <v>IP21</v>
      </c>
      <c r="M625" s="220" t="str">
        <f t="shared" si="148"/>
        <v/>
      </c>
      <c r="N625" s="220" t="str">
        <f t="shared" si="149"/>
        <v/>
      </c>
      <c r="O625" s="220" t="str">
        <f t="shared" si="150"/>
        <v/>
      </c>
      <c r="P625" s="52" t="str">
        <f t="shared" si="151"/>
        <v>IP21</v>
      </c>
      <c r="Q625" s="231" t="str">
        <f t="shared" si="157"/>
        <v>201</v>
      </c>
      <c r="R625" s="224">
        <f t="shared" si="159"/>
        <v>194.66666666666666</v>
      </c>
      <c r="S625" s="52">
        <f t="shared" si="152"/>
        <v>186</v>
      </c>
      <c r="T625" s="221">
        <f t="shared" ca="1" si="153"/>
        <v>3.97</v>
      </c>
      <c r="U625" s="221" t="str">
        <f t="shared" si="154"/>
        <v/>
      </c>
      <c r="V625" s="220" t="str">
        <f t="array" ref="V625">INDEX(P:P,MAX(U$3:U625))</f>
        <v>IP#1MTR</v>
      </c>
      <c r="W625" s="220" t="str">
        <f t="shared" ca="1" si="155"/>
        <v/>
      </c>
      <c r="X625" s="220">
        <f t="shared" si="156"/>
        <v>11.4</v>
      </c>
      <c r="Y625" s="220">
        <f t="shared" si="145"/>
        <v>0</v>
      </c>
      <c r="AA625" s="220" t="str">
        <f t="shared" si="146"/>
        <v>福工</v>
      </c>
      <c r="AB625" s="220" t="s">
        <v>1890</v>
      </c>
      <c r="AC625" s="220" t="str">
        <f t="shared" si="160"/>
        <v>金興線</v>
      </c>
      <c r="BB625" s="514" t="s">
        <v>2573</v>
      </c>
      <c r="BC625" s="514">
        <v>2586</v>
      </c>
      <c r="BD625" s="514">
        <v>4</v>
      </c>
      <c r="BE625" s="514">
        <v>2590</v>
      </c>
      <c r="BG625" s="229" t="s">
        <v>8804</v>
      </c>
      <c r="BH625" s="230" t="s">
        <v>8805</v>
      </c>
      <c r="BI625" t="s">
        <v>1890</v>
      </c>
      <c r="BJ625" t="s">
        <v>2462</v>
      </c>
    </row>
    <row r="626" spans="1:62">
      <c r="A626" s="229" t="s">
        <v>68</v>
      </c>
      <c r="B626" s="230" t="s">
        <v>646</v>
      </c>
      <c r="C626" s="230" t="s">
        <v>964</v>
      </c>
      <c r="D626" s="229" t="s">
        <v>5791</v>
      </c>
      <c r="E626" s="229" t="s">
        <v>864</v>
      </c>
      <c r="F626" s="229" t="s">
        <v>7059</v>
      </c>
      <c r="G626" s="229" t="s">
        <v>964</v>
      </c>
      <c r="H626" s="229" t="s">
        <v>5791</v>
      </c>
      <c r="I626" s="229" t="s">
        <v>964</v>
      </c>
      <c r="J626" s="231" t="s">
        <v>920</v>
      </c>
      <c r="K626" s="231" t="s">
        <v>804</v>
      </c>
      <c r="L626" s="220" t="str">
        <f t="shared" si="147"/>
        <v>IP20</v>
      </c>
      <c r="M626" s="220" t="str">
        <f t="shared" si="148"/>
        <v/>
      </c>
      <c r="N626" s="220" t="str">
        <f t="shared" si="149"/>
        <v/>
      </c>
      <c r="O626" s="220" t="str">
        <f t="shared" si="150"/>
        <v/>
      </c>
      <c r="P626" s="52" t="str">
        <f t="shared" si="151"/>
        <v>IP20</v>
      </c>
      <c r="Q626" s="231" t="str">
        <f t="shared" si="157"/>
        <v>212</v>
      </c>
      <c r="R626" s="224">
        <f t="shared" si="159"/>
        <v>202.33333333333334</v>
      </c>
      <c r="S626" s="52">
        <f t="shared" si="152"/>
        <v>183</v>
      </c>
      <c r="T626" s="221">
        <f t="shared" ca="1" si="153"/>
        <v>4.1900000000000004</v>
      </c>
      <c r="U626" s="221" t="str">
        <f t="shared" si="154"/>
        <v/>
      </c>
      <c r="V626" s="220" t="str">
        <f t="array" ref="V626">INDEX(P:P,MAX(U$3:U626))</f>
        <v>IP#1MTR</v>
      </c>
      <c r="W626" s="220" t="str">
        <f t="shared" ca="1" si="155"/>
        <v/>
      </c>
      <c r="X626" s="220">
        <f t="shared" si="156"/>
        <v>11.4</v>
      </c>
      <c r="Y626" s="220">
        <f t="shared" si="145"/>
        <v>0</v>
      </c>
      <c r="AA626" s="220" t="str">
        <f t="shared" si="146"/>
        <v>福工</v>
      </c>
      <c r="AB626" s="220" t="s">
        <v>1888</v>
      </c>
      <c r="AC626" s="220" t="str">
        <f t="shared" si="160"/>
        <v>番社線</v>
      </c>
      <c r="BB626" s="514" t="s">
        <v>3270</v>
      </c>
      <c r="BC626" s="514" t="s">
        <v>85</v>
      </c>
      <c r="BD626" s="514" t="s">
        <v>85</v>
      </c>
      <c r="BE626" s="514">
        <v>0</v>
      </c>
      <c r="BG626" s="229" t="s">
        <v>8804</v>
      </c>
      <c r="BH626" s="230" t="s">
        <v>8806</v>
      </c>
      <c r="BI626" t="s">
        <v>1888</v>
      </c>
      <c r="BJ626" t="s">
        <v>2462</v>
      </c>
    </row>
    <row r="627" spans="1:62">
      <c r="A627" s="229" t="s">
        <v>68</v>
      </c>
      <c r="B627" s="230" t="s">
        <v>7541</v>
      </c>
      <c r="C627" s="230" t="s">
        <v>3160</v>
      </c>
      <c r="D627" s="229" t="s">
        <v>832</v>
      </c>
      <c r="E627" s="229" t="s">
        <v>7836</v>
      </c>
      <c r="F627" s="229" t="s">
        <v>832</v>
      </c>
      <c r="G627" s="229" t="s">
        <v>4735</v>
      </c>
      <c r="H627" s="229" t="s">
        <v>832</v>
      </c>
      <c r="I627" s="229" t="s">
        <v>4735</v>
      </c>
      <c r="J627" s="231" t="s">
        <v>358</v>
      </c>
      <c r="K627" s="231" t="s">
        <v>5585</v>
      </c>
      <c r="L627" s="220" t="str">
        <f t="shared" si="147"/>
        <v>IP#2MTR</v>
      </c>
      <c r="M627" s="220" t="str">
        <f t="shared" si="148"/>
        <v/>
      </c>
      <c r="N627" s="220" t="str">
        <f t="shared" si="149"/>
        <v>IP#2MTR</v>
      </c>
      <c r="O627" s="220" t="str">
        <f t="shared" si="150"/>
        <v/>
      </c>
      <c r="P627" s="52" t="str">
        <f t="shared" si="151"/>
        <v>IP#2MTR</v>
      </c>
      <c r="Q627" s="231" t="str">
        <f t="shared" si="157"/>
        <v>1012</v>
      </c>
      <c r="R627" s="224">
        <f t="shared" si="159"/>
        <v>1000.3333333333334</v>
      </c>
      <c r="S627" s="52">
        <f t="shared" si="152"/>
        <v>984</v>
      </c>
      <c r="T627" s="221">
        <f t="shared" ca="1" si="153"/>
        <v>19.98</v>
      </c>
      <c r="U627" s="221">
        <f t="shared" si="154"/>
        <v>627</v>
      </c>
      <c r="V627" s="220" t="str">
        <f t="array" ref="V627">INDEX(P:P,MAX(U$3:U627))</f>
        <v>IP#2MTR</v>
      </c>
      <c r="W627" s="220">
        <f t="shared" ca="1" si="155"/>
        <v>25</v>
      </c>
      <c r="X627" s="220" t="str">
        <f t="shared" si="156"/>
        <v/>
      </c>
      <c r="Y627" s="220">
        <f t="shared" si="145"/>
        <v>0</v>
      </c>
      <c r="AA627" s="220" t="str">
        <f t="shared" si="146"/>
        <v>福工</v>
      </c>
      <c r="AB627" s="220" t="s">
        <v>2466</v>
      </c>
      <c r="AC627" s="220" t="str">
        <f t="shared" si="160"/>
        <v>#2M</v>
      </c>
      <c r="BB627" s="514" t="s">
        <v>2567</v>
      </c>
      <c r="BC627" s="514">
        <v>989</v>
      </c>
      <c r="BD627" s="514" t="s">
        <v>85</v>
      </c>
      <c r="BE627" s="514">
        <v>989</v>
      </c>
      <c r="BG627" s="229" t="s">
        <v>8804</v>
      </c>
      <c r="BH627" s="230" t="s">
        <v>8477</v>
      </c>
      <c r="BI627" t="s">
        <v>2466</v>
      </c>
      <c r="BJ627" t="s">
        <v>2466</v>
      </c>
    </row>
    <row r="628" spans="1:62">
      <c r="A628" s="229" t="s">
        <v>7837</v>
      </c>
      <c r="B628" s="230" t="s">
        <v>647</v>
      </c>
      <c r="C628" s="230" t="s">
        <v>1052</v>
      </c>
      <c r="D628" s="229" t="s">
        <v>804</v>
      </c>
      <c r="E628" s="229" t="s">
        <v>3144</v>
      </c>
      <c r="F628" s="229" t="s">
        <v>7421</v>
      </c>
      <c r="G628" s="229" t="s">
        <v>7838</v>
      </c>
      <c r="H628" s="229" t="s">
        <v>804</v>
      </c>
      <c r="I628" s="229" t="s">
        <v>7839</v>
      </c>
      <c r="J628" s="231" t="s">
        <v>7840</v>
      </c>
      <c r="K628" s="231" t="s">
        <v>804</v>
      </c>
      <c r="L628" s="220" t="str">
        <f t="shared" si="147"/>
        <v>IP31</v>
      </c>
      <c r="M628" s="220" t="str">
        <f t="shared" si="148"/>
        <v/>
      </c>
      <c r="N628" s="220" t="str">
        <f t="shared" si="149"/>
        <v/>
      </c>
      <c r="O628" s="220" t="str">
        <f t="shared" si="150"/>
        <v/>
      </c>
      <c r="P628" s="52" t="str">
        <f t="shared" si="151"/>
        <v>IP31</v>
      </c>
      <c r="Q628" s="231" t="str">
        <f t="shared" si="157"/>
        <v>339</v>
      </c>
      <c r="R628" s="224">
        <f t="shared" si="159"/>
        <v>319.33333333333331</v>
      </c>
      <c r="S628" s="52">
        <f t="shared" si="152"/>
        <v>296</v>
      </c>
      <c r="T628" s="221">
        <f t="shared" ca="1" si="153"/>
        <v>6.69</v>
      </c>
      <c r="U628" s="221" t="str">
        <f t="shared" si="154"/>
        <v/>
      </c>
      <c r="V628" s="220" t="str">
        <f t="array" ref="V628">INDEX(P:P,MAX(U$3:U628))</f>
        <v>IP#2MTR</v>
      </c>
      <c r="W628" s="220" t="str">
        <f t="shared" ca="1" si="155"/>
        <v/>
      </c>
      <c r="X628" s="220">
        <f t="shared" si="156"/>
        <v>11.4</v>
      </c>
      <c r="Y628" s="220">
        <f t="shared" si="145"/>
        <v>0</v>
      </c>
      <c r="AA628" s="220" t="str">
        <f t="shared" si="146"/>
        <v>福工</v>
      </c>
      <c r="AB628" s="220" t="s">
        <v>2467</v>
      </c>
      <c r="AC628" s="220" t="str">
        <f t="shared" si="160"/>
        <v>福東線</v>
      </c>
      <c r="BB628" s="514" t="s">
        <v>2563</v>
      </c>
      <c r="BC628" s="514">
        <v>647</v>
      </c>
      <c r="BD628" s="514" t="s">
        <v>85</v>
      </c>
      <c r="BE628" s="514">
        <v>647</v>
      </c>
      <c r="BG628" s="229" t="s">
        <v>8804</v>
      </c>
      <c r="BH628" s="230" t="s">
        <v>8807</v>
      </c>
      <c r="BI628" t="s">
        <v>2467</v>
      </c>
      <c r="BJ628" t="s">
        <v>2466</v>
      </c>
    </row>
    <row r="629" spans="1:62">
      <c r="A629" s="229" t="s">
        <v>7841</v>
      </c>
      <c r="B629" s="230" t="s">
        <v>648</v>
      </c>
      <c r="C629" s="230" t="s">
        <v>5765</v>
      </c>
      <c r="D629" s="229" t="s">
        <v>859</v>
      </c>
      <c r="E629" s="229" t="s">
        <v>7842</v>
      </c>
      <c r="F629" s="229" t="s">
        <v>7843</v>
      </c>
      <c r="G629" s="229" t="s">
        <v>7844</v>
      </c>
      <c r="H629" s="229" t="s">
        <v>7207</v>
      </c>
      <c r="I629" s="229" t="s">
        <v>915</v>
      </c>
      <c r="J629" s="231" t="s">
        <v>5614</v>
      </c>
      <c r="K629" s="231" t="s">
        <v>7845</v>
      </c>
      <c r="L629" s="220" t="str">
        <f t="shared" si="147"/>
        <v>IP30</v>
      </c>
      <c r="M629" s="220" t="str">
        <f t="shared" si="148"/>
        <v/>
      </c>
      <c r="N629" s="220" t="str">
        <f t="shared" si="149"/>
        <v/>
      </c>
      <c r="O629" s="220" t="str">
        <f t="shared" si="150"/>
        <v/>
      </c>
      <c r="P629" s="52" t="str">
        <f t="shared" si="151"/>
        <v>IP30</v>
      </c>
      <c r="Q629" s="231" t="str">
        <f t="shared" si="157"/>
        <v>203</v>
      </c>
      <c r="R629" s="224">
        <f t="shared" si="159"/>
        <v>200</v>
      </c>
      <c r="S629" s="52">
        <f t="shared" si="152"/>
        <v>198</v>
      </c>
      <c r="T629" s="221">
        <f t="shared" ca="1" si="153"/>
        <v>4.01</v>
      </c>
      <c r="U629" s="221" t="str">
        <f t="shared" si="154"/>
        <v/>
      </c>
      <c r="V629" s="220" t="str">
        <f t="array" ref="V629">INDEX(P:P,MAX(U$3:U629))</f>
        <v>IP#2MTR</v>
      </c>
      <c r="W629" s="220" t="str">
        <f t="shared" ca="1" si="155"/>
        <v/>
      </c>
      <c r="X629" s="220">
        <f t="shared" si="156"/>
        <v>11.4</v>
      </c>
      <c r="Y629" s="220">
        <f t="shared" si="145"/>
        <v>0</v>
      </c>
      <c r="AA629" s="220" t="str">
        <f t="shared" si="146"/>
        <v>福工</v>
      </c>
      <c r="AB629" s="220" t="s">
        <v>2468</v>
      </c>
      <c r="AC629" s="220" t="str">
        <f t="shared" si="160"/>
        <v>福南線</v>
      </c>
      <c r="BB629" s="514" t="s">
        <v>2566</v>
      </c>
      <c r="BC629" s="514">
        <v>1936</v>
      </c>
      <c r="BD629" s="514">
        <v>6</v>
      </c>
      <c r="BE629" s="514">
        <v>1942</v>
      </c>
      <c r="BG629" s="229" t="s">
        <v>8801</v>
      </c>
      <c r="BH629" s="230" t="s">
        <v>8808</v>
      </c>
      <c r="BI629" t="s">
        <v>2468</v>
      </c>
      <c r="BJ629" t="s">
        <v>2466</v>
      </c>
    </row>
    <row r="630" spans="1:62">
      <c r="A630" s="229" t="s">
        <v>7846</v>
      </c>
      <c r="B630" s="230" t="s">
        <v>7847</v>
      </c>
      <c r="C630" s="230" t="s">
        <v>7848</v>
      </c>
      <c r="D630" s="229" t="s">
        <v>832</v>
      </c>
      <c r="E630" s="229" t="s">
        <v>810</v>
      </c>
      <c r="F630" s="229" t="s">
        <v>7521</v>
      </c>
      <c r="G630" s="229" t="s">
        <v>976</v>
      </c>
      <c r="H630" s="229" t="s">
        <v>832</v>
      </c>
      <c r="I630" s="229" t="s">
        <v>991</v>
      </c>
      <c r="J630" s="231" t="s">
        <v>793</v>
      </c>
      <c r="K630" s="231" t="s">
        <v>846</v>
      </c>
      <c r="L630" s="220" t="str">
        <f t="shared" si="147"/>
        <v>IP28</v>
      </c>
      <c r="M630" s="220" t="str">
        <f t="shared" si="148"/>
        <v/>
      </c>
      <c r="N630" s="220" t="str">
        <f t="shared" si="149"/>
        <v/>
      </c>
      <c r="O630" s="220" t="str">
        <f t="shared" si="150"/>
        <v/>
      </c>
      <c r="P630" s="52" t="str">
        <f t="shared" si="151"/>
        <v>IP28</v>
      </c>
      <c r="Q630" s="231" t="str">
        <f t="shared" si="157"/>
        <v>127</v>
      </c>
      <c r="R630" s="224">
        <f t="shared" si="159"/>
        <v>123.33333333333333</v>
      </c>
      <c r="S630" s="52">
        <f t="shared" si="152"/>
        <v>118</v>
      </c>
      <c r="T630" s="221">
        <f t="shared" ca="1" si="153"/>
        <v>2.5099999999999998</v>
      </c>
      <c r="U630" s="221" t="str">
        <f t="shared" si="154"/>
        <v/>
      </c>
      <c r="V630" s="220" t="str">
        <f t="array" ref="V630">INDEX(P:P,MAX(U$3:U630))</f>
        <v>IP#2MTR</v>
      </c>
      <c r="W630" s="220" t="str">
        <f t="shared" ca="1" si="155"/>
        <v/>
      </c>
      <c r="X630" s="220">
        <f t="shared" si="156"/>
        <v>11.4</v>
      </c>
      <c r="Y630" s="220">
        <f t="shared" si="145"/>
        <v>0</v>
      </c>
      <c r="AA630" s="220" t="str">
        <f t="shared" si="146"/>
        <v>福工</v>
      </c>
      <c r="AB630" s="220" t="s">
        <v>1963</v>
      </c>
      <c r="AC630" s="220" t="str">
        <f t="shared" si="160"/>
        <v>南港線</v>
      </c>
      <c r="BB630" s="514" t="s">
        <v>2564</v>
      </c>
      <c r="BC630" s="514">
        <v>842</v>
      </c>
      <c r="BD630" s="514">
        <v>8</v>
      </c>
      <c r="BE630" s="514">
        <v>850</v>
      </c>
      <c r="BG630" s="229" t="s">
        <v>8801</v>
      </c>
      <c r="BH630" s="230" t="s">
        <v>8809</v>
      </c>
      <c r="BI630" t="s">
        <v>1963</v>
      </c>
      <c r="BJ630" t="s">
        <v>2466</v>
      </c>
    </row>
    <row r="631" spans="1:62">
      <c r="A631" s="229" t="s">
        <v>7833</v>
      </c>
      <c r="B631" s="230" t="s">
        <v>649</v>
      </c>
      <c r="C631" s="230" t="s">
        <v>7821</v>
      </c>
      <c r="D631" s="229" t="s">
        <v>832</v>
      </c>
      <c r="E631" s="229" t="s">
        <v>7849</v>
      </c>
      <c r="F631" s="229" t="s">
        <v>832</v>
      </c>
      <c r="G631" s="229" t="s">
        <v>983</v>
      </c>
      <c r="H631" s="229" t="s">
        <v>832</v>
      </c>
      <c r="I631" s="229" t="s">
        <v>983</v>
      </c>
      <c r="J631" s="231" t="s">
        <v>5699</v>
      </c>
      <c r="K631" s="231" t="s">
        <v>784</v>
      </c>
      <c r="L631" s="220" t="str">
        <f t="shared" si="147"/>
        <v>IP25</v>
      </c>
      <c r="M631" s="220" t="str">
        <f t="shared" si="148"/>
        <v/>
      </c>
      <c r="N631" s="220" t="str">
        <f t="shared" si="149"/>
        <v/>
      </c>
      <c r="O631" s="220" t="str">
        <f t="shared" si="150"/>
        <v/>
      </c>
      <c r="P631" s="52" t="str">
        <f t="shared" si="151"/>
        <v>IP25</v>
      </c>
      <c r="Q631" s="231" t="str">
        <f t="shared" si="157"/>
        <v>239</v>
      </c>
      <c r="R631" s="224">
        <f t="shared" si="159"/>
        <v>237.66666666666666</v>
      </c>
      <c r="S631" s="52">
        <f t="shared" si="152"/>
        <v>235</v>
      </c>
      <c r="T631" s="221">
        <f t="shared" ca="1" si="153"/>
        <v>4.72</v>
      </c>
      <c r="U631" s="221" t="str">
        <f t="shared" si="154"/>
        <v/>
      </c>
      <c r="V631" s="220" t="str">
        <f t="array" ref="V631">INDEX(P:P,MAX(U$3:U631))</f>
        <v>IP#2MTR</v>
      </c>
      <c r="W631" s="220" t="str">
        <f t="shared" ca="1" si="155"/>
        <v/>
      </c>
      <c r="X631" s="220">
        <f t="shared" si="156"/>
        <v>11.4</v>
      </c>
      <c r="Y631" s="220">
        <f t="shared" si="145"/>
        <v>0</v>
      </c>
      <c r="AA631" s="220" t="str">
        <f t="shared" si="146"/>
        <v>福工</v>
      </c>
      <c r="AB631" s="220" t="s">
        <v>2469</v>
      </c>
      <c r="AC631" s="220" t="str">
        <f t="shared" si="160"/>
        <v>三汴線</v>
      </c>
      <c r="BB631" s="514" t="s">
        <v>2565</v>
      </c>
      <c r="BC631" s="514">
        <v>1061</v>
      </c>
      <c r="BD631" s="514">
        <v>0</v>
      </c>
      <c r="BE631" s="514">
        <v>1061</v>
      </c>
      <c r="BG631" s="229" t="s">
        <v>8801</v>
      </c>
      <c r="BH631" s="230" t="s">
        <v>649</v>
      </c>
      <c r="BI631" t="s">
        <v>2469</v>
      </c>
      <c r="BJ631" t="s">
        <v>2466</v>
      </c>
    </row>
    <row r="632" spans="1:62">
      <c r="A632" s="229" t="s">
        <v>68</v>
      </c>
      <c r="B632" s="230" t="s">
        <v>7850</v>
      </c>
      <c r="C632" s="230" t="s">
        <v>6174</v>
      </c>
      <c r="D632" s="229" t="s">
        <v>783</v>
      </c>
      <c r="E632" s="229" t="s">
        <v>974</v>
      </c>
      <c r="F632" s="229" t="s">
        <v>783</v>
      </c>
      <c r="G632" s="229" t="s">
        <v>6500</v>
      </c>
      <c r="H632" s="229" t="s">
        <v>6190</v>
      </c>
      <c r="I632" s="229" t="s">
        <v>974</v>
      </c>
      <c r="J632" s="231" t="s">
        <v>7851</v>
      </c>
      <c r="K632" s="231" t="s">
        <v>5949</v>
      </c>
      <c r="L632" s="220" t="str">
        <f t="shared" si="147"/>
        <v>IP27</v>
      </c>
      <c r="M632" s="220" t="str">
        <f t="shared" si="148"/>
        <v/>
      </c>
      <c r="N632" s="220" t="str">
        <f t="shared" si="149"/>
        <v/>
      </c>
      <c r="O632" s="220" t="str">
        <f t="shared" si="150"/>
        <v/>
      </c>
      <c r="P632" s="52" t="str">
        <f t="shared" si="151"/>
        <v>IP27</v>
      </c>
      <c r="Q632" s="231" t="str">
        <f t="shared" si="157"/>
        <v>213</v>
      </c>
      <c r="R632" s="224">
        <f t="shared" si="159"/>
        <v>207</v>
      </c>
      <c r="S632" s="52">
        <f t="shared" si="152"/>
        <v>202</v>
      </c>
      <c r="T632" s="221">
        <f t="shared" ca="1" si="153"/>
        <v>4.21</v>
      </c>
      <c r="U632" s="221" t="str">
        <f t="shared" si="154"/>
        <v/>
      </c>
      <c r="V632" s="220" t="str">
        <f t="array" ref="V632">INDEX(P:P,MAX(U$3:U632))</f>
        <v>IP#2MTR</v>
      </c>
      <c r="W632" s="220" t="str">
        <f t="shared" ca="1" si="155"/>
        <v/>
      </c>
      <c r="X632" s="220">
        <f t="shared" si="156"/>
        <v>11.4</v>
      </c>
      <c r="Y632" s="220">
        <f t="shared" si="145"/>
        <v>0</v>
      </c>
      <c r="AA632" s="220" t="str">
        <f t="shared" si="146"/>
        <v>福工</v>
      </c>
      <c r="AB632" s="220" t="s">
        <v>1961</v>
      </c>
      <c r="AC632" s="220" t="str">
        <f t="shared" si="160"/>
        <v>外埔線</v>
      </c>
      <c r="BB632" s="514" t="s">
        <v>1900</v>
      </c>
      <c r="BC632" s="514">
        <v>3</v>
      </c>
      <c r="BD632" s="514">
        <v>1</v>
      </c>
      <c r="BE632" s="514">
        <v>4</v>
      </c>
      <c r="BG632" s="229" t="s">
        <v>8804</v>
      </c>
      <c r="BH632" s="230" t="s">
        <v>8810</v>
      </c>
      <c r="BI632" t="s">
        <v>1961</v>
      </c>
      <c r="BJ632" t="s">
        <v>2466</v>
      </c>
    </row>
    <row r="633" spans="1:62">
      <c r="A633" s="229" t="s">
        <v>7837</v>
      </c>
      <c r="B633" s="230" t="s">
        <v>430</v>
      </c>
      <c r="C633" s="230" t="s">
        <v>7852</v>
      </c>
      <c r="D633" s="229" t="s">
        <v>7149</v>
      </c>
      <c r="E633" s="229" t="s">
        <v>3198</v>
      </c>
      <c r="F633" s="229" t="s">
        <v>5580</v>
      </c>
      <c r="G633" s="229" t="s">
        <v>3185</v>
      </c>
      <c r="H633" s="229" t="s">
        <v>832</v>
      </c>
      <c r="I633" s="229" t="s">
        <v>3185</v>
      </c>
      <c r="J633" s="231" t="s">
        <v>7078</v>
      </c>
      <c r="K633" s="231" t="s">
        <v>5585</v>
      </c>
      <c r="L633" s="220" t="str">
        <f t="shared" si="147"/>
        <v>IP#3MTR</v>
      </c>
      <c r="M633" s="220" t="str">
        <f t="shared" si="148"/>
        <v/>
      </c>
      <c r="N633" s="220" t="str">
        <f t="shared" si="149"/>
        <v>IP#3MTR</v>
      </c>
      <c r="O633" s="220" t="str">
        <f t="shared" si="150"/>
        <v/>
      </c>
      <c r="P633" s="52" t="str">
        <f t="shared" si="151"/>
        <v>IP#3MTR</v>
      </c>
      <c r="Q633" s="231" t="str">
        <f t="shared" si="157"/>
        <v>1025</v>
      </c>
      <c r="R633" s="224">
        <f t="shared" si="159"/>
        <v>1012.3333333333334</v>
      </c>
      <c r="S633" s="52">
        <f t="shared" si="152"/>
        <v>997</v>
      </c>
      <c r="T633" s="221">
        <f t="shared" ca="1" si="153"/>
        <v>20.239999999999998</v>
      </c>
      <c r="U633" s="221">
        <f t="shared" si="154"/>
        <v>633</v>
      </c>
      <c r="V633" s="220" t="str">
        <f t="array" ref="V633">INDEX(P:P,MAX(U$3:U633))</f>
        <v>IP#3MTR</v>
      </c>
      <c r="W633" s="220">
        <f t="shared" ca="1" si="155"/>
        <v>25</v>
      </c>
      <c r="X633" s="220" t="str">
        <f t="shared" si="156"/>
        <v/>
      </c>
      <c r="Y633" s="220">
        <f t="shared" si="145"/>
        <v>0</v>
      </c>
      <c r="AA633" s="220" t="str">
        <f t="shared" si="146"/>
        <v>福工</v>
      </c>
      <c r="AB633" s="220" t="s">
        <v>2470</v>
      </c>
      <c r="AC633" s="220" t="str">
        <f t="shared" si="160"/>
        <v>#3M</v>
      </c>
      <c r="BB633" s="514" t="s">
        <v>1208</v>
      </c>
      <c r="BC633" s="514">
        <v>3</v>
      </c>
      <c r="BD633" s="514">
        <v>4</v>
      </c>
      <c r="BE633" s="514">
        <v>7</v>
      </c>
      <c r="BG633" s="229" t="s">
        <v>8804</v>
      </c>
      <c r="BH633" s="230" t="s">
        <v>8538</v>
      </c>
      <c r="BI633" t="s">
        <v>2470</v>
      </c>
      <c r="BJ633" t="s">
        <v>2470</v>
      </c>
    </row>
    <row r="634" spans="1:62">
      <c r="A634" s="229" t="s">
        <v>68</v>
      </c>
      <c r="B634" s="230" t="s">
        <v>7853</v>
      </c>
      <c r="C634" s="230" t="s">
        <v>7585</v>
      </c>
      <c r="D634" s="229" t="s">
        <v>832</v>
      </c>
      <c r="E634" s="229" t="s">
        <v>7854</v>
      </c>
      <c r="F634" s="229" t="s">
        <v>7521</v>
      </c>
      <c r="G634" s="229" t="s">
        <v>893</v>
      </c>
      <c r="H634" s="229" t="s">
        <v>7521</v>
      </c>
      <c r="I634" s="229" t="s">
        <v>977</v>
      </c>
      <c r="J634" s="231" t="s">
        <v>5614</v>
      </c>
      <c r="K634" s="231" t="s">
        <v>5628</v>
      </c>
      <c r="L634" s="220" t="str">
        <f t="shared" si="147"/>
        <v>IP23</v>
      </c>
      <c r="M634" s="220" t="str">
        <f t="shared" si="148"/>
        <v/>
      </c>
      <c r="N634" s="220" t="str">
        <f t="shared" si="149"/>
        <v/>
      </c>
      <c r="O634" s="220" t="str">
        <f t="shared" si="150"/>
        <v/>
      </c>
      <c r="P634" s="52" t="str">
        <f t="shared" si="151"/>
        <v>IP23</v>
      </c>
      <c r="Q634" s="231" t="str">
        <f t="shared" si="157"/>
        <v>158</v>
      </c>
      <c r="R634" s="224">
        <f t="shared" si="159"/>
        <v>157</v>
      </c>
      <c r="S634" s="52">
        <f t="shared" si="152"/>
        <v>156</v>
      </c>
      <c r="T634" s="221">
        <f t="shared" ca="1" si="153"/>
        <v>3.12</v>
      </c>
      <c r="U634" s="221" t="str">
        <f t="shared" si="154"/>
        <v/>
      </c>
      <c r="V634" s="220" t="str">
        <f t="array" ref="V634">INDEX(P:P,MAX(U$3:U634))</f>
        <v>IP#3MTR</v>
      </c>
      <c r="W634" s="220" t="str">
        <f t="shared" ca="1" si="155"/>
        <v/>
      </c>
      <c r="X634" s="220">
        <f t="shared" si="156"/>
        <v>11.4</v>
      </c>
      <c r="Y634" s="220">
        <f t="shared" si="145"/>
        <v>0</v>
      </c>
      <c r="AA634" s="220" t="str">
        <f t="shared" si="146"/>
        <v>福工</v>
      </c>
      <c r="AB634" s="220" t="s">
        <v>1964</v>
      </c>
      <c r="AC634" s="220" t="str">
        <f t="shared" si="160"/>
        <v>埔崙線</v>
      </c>
      <c r="BB634" s="514" t="s">
        <v>1224</v>
      </c>
      <c r="BC634" s="514">
        <v>0</v>
      </c>
      <c r="BD634" s="514" t="s">
        <v>85</v>
      </c>
      <c r="BE634" s="514">
        <v>0</v>
      </c>
      <c r="BG634" s="229" t="s">
        <v>8801</v>
      </c>
      <c r="BH634" s="230" t="s">
        <v>8811</v>
      </c>
      <c r="BI634" t="s">
        <v>1964</v>
      </c>
      <c r="BJ634" t="s">
        <v>2470</v>
      </c>
    </row>
    <row r="635" spans="1:62">
      <c r="A635" s="229" t="s">
        <v>68</v>
      </c>
      <c r="B635" s="230" t="s">
        <v>7855</v>
      </c>
      <c r="C635" s="230" t="s">
        <v>5888</v>
      </c>
      <c r="D635" s="229" t="s">
        <v>783</v>
      </c>
      <c r="E635" s="229" t="s">
        <v>969</v>
      </c>
      <c r="F635" s="229" t="s">
        <v>6190</v>
      </c>
      <c r="G635" s="229" t="s">
        <v>988</v>
      </c>
      <c r="H635" s="229" t="s">
        <v>6190</v>
      </c>
      <c r="I635" s="229" t="s">
        <v>969</v>
      </c>
      <c r="J635" s="231" t="s">
        <v>1023</v>
      </c>
      <c r="K635" s="231" t="s">
        <v>845</v>
      </c>
      <c r="L635" s="220" t="str">
        <f t="shared" si="147"/>
        <v>IP26</v>
      </c>
      <c r="M635" s="220" t="str">
        <f t="shared" si="148"/>
        <v/>
      </c>
      <c r="N635" s="220" t="str">
        <f t="shared" si="149"/>
        <v/>
      </c>
      <c r="O635" s="220" t="str">
        <f t="shared" si="150"/>
        <v/>
      </c>
      <c r="P635" s="52" t="str">
        <f t="shared" si="151"/>
        <v>IP26</v>
      </c>
      <c r="Q635" s="231" t="str">
        <f t="shared" si="157"/>
        <v>169</v>
      </c>
      <c r="R635" s="224">
        <f t="shared" si="159"/>
        <v>164.33333333333334</v>
      </c>
      <c r="S635" s="52">
        <f t="shared" si="152"/>
        <v>160</v>
      </c>
      <c r="T635" s="221">
        <f t="shared" ca="1" si="153"/>
        <v>3.34</v>
      </c>
      <c r="U635" s="221" t="str">
        <f t="shared" si="154"/>
        <v/>
      </c>
      <c r="V635" s="220" t="str">
        <f t="array" ref="V635">INDEX(P:P,MAX(U$3:U635))</f>
        <v>IP#3MTR</v>
      </c>
      <c r="W635" s="220" t="str">
        <f t="shared" ca="1" si="155"/>
        <v/>
      </c>
      <c r="X635" s="220">
        <f t="shared" si="156"/>
        <v>11.4</v>
      </c>
      <c r="Y635" s="220">
        <f t="shared" si="145"/>
        <v>0</v>
      </c>
      <c r="AA635" s="220" t="str">
        <f t="shared" si="146"/>
        <v>福工</v>
      </c>
      <c r="AB635" s="220" t="s">
        <v>2471</v>
      </c>
      <c r="AC635" s="220" t="str">
        <f t="shared" si="160"/>
        <v>福北線</v>
      </c>
      <c r="BB635" s="514" t="s">
        <v>1259</v>
      </c>
      <c r="BC635" s="514">
        <v>3</v>
      </c>
      <c r="BD635" s="514">
        <v>3</v>
      </c>
      <c r="BE635" s="514">
        <v>6</v>
      </c>
      <c r="BG635" s="229" t="s">
        <v>68</v>
      </c>
      <c r="BH635" s="230" t="s">
        <v>8812</v>
      </c>
      <c r="BI635" t="s">
        <v>2471</v>
      </c>
      <c r="BJ635" t="s">
        <v>2470</v>
      </c>
    </row>
    <row r="636" spans="1:62">
      <c r="A636" s="229" t="s">
        <v>68</v>
      </c>
      <c r="B636" s="230" t="s">
        <v>650</v>
      </c>
      <c r="C636" s="230" t="s">
        <v>3170</v>
      </c>
      <c r="D636" s="229" t="s">
        <v>5791</v>
      </c>
      <c r="E636" s="229" t="s">
        <v>1048</v>
      </c>
      <c r="F636" s="229" t="s">
        <v>5791</v>
      </c>
      <c r="G636" s="229" t="s">
        <v>882</v>
      </c>
      <c r="H636" s="229" t="s">
        <v>5791</v>
      </c>
      <c r="I636" s="229" t="s">
        <v>882</v>
      </c>
      <c r="J636" s="231" t="s">
        <v>873</v>
      </c>
      <c r="K636" s="231" t="s">
        <v>5791</v>
      </c>
      <c r="L636" s="220" t="str">
        <f t="shared" si="147"/>
        <v>IP32</v>
      </c>
      <c r="M636" s="220" t="str">
        <f t="shared" si="148"/>
        <v/>
      </c>
      <c r="N636" s="220" t="str">
        <f t="shared" si="149"/>
        <v/>
      </c>
      <c r="O636" s="220" t="str">
        <f t="shared" si="150"/>
        <v/>
      </c>
      <c r="P636" s="52" t="str">
        <f t="shared" si="151"/>
        <v>IP32</v>
      </c>
      <c r="Q636" s="231" t="str">
        <f t="shared" si="157"/>
        <v>318</v>
      </c>
      <c r="R636" s="224">
        <f t="shared" si="159"/>
        <v>315</v>
      </c>
      <c r="S636" s="52">
        <f t="shared" si="152"/>
        <v>313</v>
      </c>
      <c r="T636" s="221">
        <f t="shared" ca="1" si="153"/>
        <v>6.28</v>
      </c>
      <c r="U636" s="221" t="str">
        <f t="shared" si="154"/>
        <v/>
      </c>
      <c r="V636" s="220" t="str">
        <f t="array" ref="V636">INDEX(P:P,MAX(U$3:U636))</f>
        <v>IP#3MTR</v>
      </c>
      <c r="W636" s="220" t="str">
        <f t="shared" ca="1" si="155"/>
        <v/>
      </c>
      <c r="X636" s="220">
        <f t="shared" si="156"/>
        <v>11.4</v>
      </c>
      <c r="Y636" s="220">
        <f t="shared" si="145"/>
        <v>0</v>
      </c>
      <c r="AA636" s="220" t="str">
        <f t="shared" si="146"/>
        <v>福工</v>
      </c>
      <c r="AB636" s="220" t="s">
        <v>2472</v>
      </c>
      <c r="AC636" s="220" t="str">
        <f t="shared" si="160"/>
        <v>福村線</v>
      </c>
      <c r="BB636" s="514" t="s">
        <v>1280</v>
      </c>
      <c r="BC636" s="514">
        <v>2</v>
      </c>
      <c r="BD636" s="514">
        <v>4</v>
      </c>
      <c r="BE636" s="514">
        <v>6</v>
      </c>
      <c r="BG636" s="229" t="s">
        <v>8801</v>
      </c>
      <c r="BH636" s="230" t="s">
        <v>8813</v>
      </c>
      <c r="BI636" t="s">
        <v>2472</v>
      </c>
      <c r="BJ636" t="s">
        <v>2470</v>
      </c>
    </row>
    <row r="637" spans="1:62">
      <c r="A637" s="229" t="s">
        <v>7833</v>
      </c>
      <c r="B637" s="230" t="s">
        <v>7856</v>
      </c>
      <c r="C637" s="230" t="s">
        <v>7857</v>
      </c>
      <c r="D637" s="229" t="s">
        <v>7059</v>
      </c>
      <c r="E637" s="229" t="s">
        <v>903</v>
      </c>
      <c r="F637" s="229" t="s">
        <v>7059</v>
      </c>
      <c r="G637" s="229" t="s">
        <v>7858</v>
      </c>
      <c r="H637" s="229" t="s">
        <v>804</v>
      </c>
      <c r="I637" s="229" t="s">
        <v>982</v>
      </c>
      <c r="J637" s="231" t="s">
        <v>7859</v>
      </c>
      <c r="K637" s="231" t="s">
        <v>7147</v>
      </c>
      <c r="L637" s="220" t="str">
        <f t="shared" si="147"/>
        <v>IP33</v>
      </c>
      <c r="M637" s="220" t="str">
        <f t="shared" si="148"/>
        <v/>
      </c>
      <c r="N637" s="220" t="str">
        <f t="shared" si="149"/>
        <v/>
      </c>
      <c r="O637" s="220" t="str">
        <f t="shared" si="150"/>
        <v/>
      </c>
      <c r="P637" s="52" t="str">
        <f t="shared" si="151"/>
        <v>IP33</v>
      </c>
      <c r="Q637" s="231" t="str">
        <f t="shared" si="157"/>
        <v>262</v>
      </c>
      <c r="R637" s="224">
        <f t="shared" si="159"/>
        <v>255</v>
      </c>
      <c r="S637" s="52">
        <f t="shared" si="152"/>
        <v>243</v>
      </c>
      <c r="T637" s="221">
        <f t="shared" ca="1" si="153"/>
        <v>5.17</v>
      </c>
      <c r="U637" s="221" t="str">
        <f t="shared" si="154"/>
        <v/>
      </c>
      <c r="V637" s="220" t="str">
        <f t="array" ref="V637">INDEX(P:P,MAX(U$3:U637))</f>
        <v>IP#3MTR</v>
      </c>
      <c r="W637" s="220" t="str">
        <f t="shared" ca="1" si="155"/>
        <v/>
      </c>
      <c r="X637" s="220">
        <f t="shared" si="156"/>
        <v>11.4</v>
      </c>
      <c r="Y637" s="220">
        <f t="shared" si="145"/>
        <v>0</v>
      </c>
      <c r="AA637" s="220" t="str">
        <f t="shared" si="146"/>
        <v>福工</v>
      </c>
      <c r="AB637" s="220" t="s">
        <v>2473</v>
      </c>
      <c r="AC637" s="220" t="str">
        <f t="shared" si="160"/>
        <v>福旗線</v>
      </c>
      <c r="BB637" s="514" t="s">
        <v>2588</v>
      </c>
      <c r="BC637" s="514">
        <v>3186</v>
      </c>
      <c r="BD637" s="514">
        <v>1</v>
      </c>
      <c r="BE637" s="514">
        <v>3187</v>
      </c>
      <c r="BG637" s="229" t="s">
        <v>8801</v>
      </c>
      <c r="BH637" s="230" t="s">
        <v>8814</v>
      </c>
      <c r="BI637" t="s">
        <v>2473</v>
      </c>
      <c r="BJ637" t="s">
        <v>2470</v>
      </c>
    </row>
    <row r="638" spans="1:62">
      <c r="A638" s="229" t="s">
        <v>68</v>
      </c>
      <c r="B638" s="230" t="s">
        <v>651</v>
      </c>
      <c r="C638" s="230" t="s">
        <v>898</v>
      </c>
      <c r="D638" s="229" t="s">
        <v>832</v>
      </c>
      <c r="E638" s="229" t="s">
        <v>2744</v>
      </c>
      <c r="F638" s="229" t="s">
        <v>832</v>
      </c>
      <c r="G638" s="229" t="s">
        <v>915</v>
      </c>
      <c r="H638" s="229" t="s">
        <v>832</v>
      </c>
      <c r="I638" s="229" t="s">
        <v>2744</v>
      </c>
      <c r="J638" s="231" t="s">
        <v>1020</v>
      </c>
      <c r="K638" s="231" t="s">
        <v>845</v>
      </c>
      <c r="L638" s="220" t="str">
        <f t="shared" si="147"/>
        <v>IP34</v>
      </c>
      <c r="M638" s="220" t="str">
        <f t="shared" si="148"/>
        <v/>
      </c>
      <c r="N638" s="220" t="str">
        <f t="shared" si="149"/>
        <v/>
      </c>
      <c r="O638" s="220" t="str">
        <f t="shared" si="150"/>
        <v/>
      </c>
      <c r="P638" s="52" t="str">
        <f t="shared" si="151"/>
        <v>IP34</v>
      </c>
      <c r="Q638" s="231" t="str">
        <f t="shared" si="157"/>
        <v>222</v>
      </c>
      <c r="R638" s="224">
        <f t="shared" si="159"/>
        <v>206.66666666666666</v>
      </c>
      <c r="S638" s="52">
        <f t="shared" si="152"/>
        <v>195</v>
      </c>
      <c r="T638" s="221">
        <f t="shared" ca="1" si="153"/>
        <v>4.38</v>
      </c>
      <c r="U638" s="221" t="str">
        <f t="shared" si="154"/>
        <v/>
      </c>
      <c r="V638" s="220" t="str">
        <f t="array" ref="V638">INDEX(P:P,MAX(U$3:U638))</f>
        <v>IP#3MTR</v>
      </c>
      <c r="W638" s="220" t="str">
        <f t="shared" ca="1" si="155"/>
        <v/>
      </c>
      <c r="X638" s="220">
        <f t="shared" si="156"/>
        <v>11.4</v>
      </c>
      <c r="Y638" s="220">
        <f t="shared" si="145"/>
        <v>0</v>
      </c>
      <c r="AA638" s="220" t="str">
        <f t="shared" si="146"/>
        <v>福工</v>
      </c>
      <c r="AB638" s="220" t="s">
        <v>2474</v>
      </c>
      <c r="AC638" s="220" t="str">
        <f t="shared" si="160"/>
        <v>福溪線</v>
      </c>
      <c r="BB638" s="514" t="s">
        <v>2587</v>
      </c>
      <c r="BC638" s="514">
        <v>860</v>
      </c>
      <c r="BD638" s="514">
        <v>3</v>
      </c>
      <c r="BE638" s="514">
        <v>863</v>
      </c>
      <c r="BG638" s="229" t="s">
        <v>8804</v>
      </c>
      <c r="BH638" s="230" t="s">
        <v>651</v>
      </c>
      <c r="BI638" t="s">
        <v>2474</v>
      </c>
      <c r="BJ638" t="s">
        <v>2470</v>
      </c>
    </row>
    <row r="639" spans="1:62">
      <c r="A639" s="229" t="s">
        <v>7860</v>
      </c>
      <c r="B639" s="230" t="s">
        <v>7712</v>
      </c>
      <c r="C639" s="230" t="s">
        <v>3178</v>
      </c>
      <c r="D639" s="229" t="s">
        <v>783</v>
      </c>
      <c r="E639" s="229" t="s">
        <v>4736</v>
      </c>
      <c r="F639" s="229" t="s">
        <v>783</v>
      </c>
      <c r="G639" s="229" t="s">
        <v>7861</v>
      </c>
      <c r="H639" s="229" t="s">
        <v>7862</v>
      </c>
      <c r="I639" s="229" t="s">
        <v>7863</v>
      </c>
      <c r="J639" s="231" t="s">
        <v>7078</v>
      </c>
      <c r="K639" s="231" t="s">
        <v>7078</v>
      </c>
      <c r="L639" s="220" t="str">
        <f t="shared" si="147"/>
        <v>IQ#1MTR</v>
      </c>
      <c r="M639" s="220" t="str">
        <f t="shared" si="148"/>
        <v/>
      </c>
      <c r="N639" s="220" t="str">
        <f t="shared" si="149"/>
        <v>IQ#1MTR</v>
      </c>
      <c r="O639" s="220" t="str">
        <f t="shared" si="150"/>
        <v/>
      </c>
      <c r="P639" s="52" t="str">
        <f t="shared" si="151"/>
        <v>IQ#1MTR</v>
      </c>
      <c r="Q639" s="231" t="str">
        <f t="shared" si="157"/>
        <v>786</v>
      </c>
      <c r="R639" s="224">
        <f t="shared" si="159"/>
        <v>756.66666666666663</v>
      </c>
      <c r="S639" s="52">
        <f t="shared" si="152"/>
        <v>729</v>
      </c>
      <c r="T639" s="221">
        <f t="shared" ca="1" si="153"/>
        <v>15.52</v>
      </c>
      <c r="U639" s="221">
        <f t="shared" si="154"/>
        <v>639</v>
      </c>
      <c r="V639" s="220" t="str">
        <f t="array" ref="V639">INDEX(P:P,MAX(U$3:U639))</f>
        <v>IQ#1MTR</v>
      </c>
      <c r="W639" s="220">
        <f t="shared" ca="1" si="155"/>
        <v>25</v>
      </c>
      <c r="X639" s="220" t="str">
        <f t="shared" si="156"/>
        <v/>
      </c>
      <c r="Y639" s="220">
        <f t="shared" si="145"/>
        <v>0</v>
      </c>
      <c r="AA639" s="220" t="str">
        <f t="shared" si="146"/>
        <v>彰東</v>
      </c>
      <c r="AB639" s="220" t="s">
        <v>2475</v>
      </c>
      <c r="AC639" s="220" t="str">
        <f t="shared" si="160"/>
        <v>#1M</v>
      </c>
      <c r="BB639" s="514" t="s">
        <v>2575</v>
      </c>
      <c r="BC639" s="514">
        <v>2128</v>
      </c>
      <c r="BD639" s="514">
        <v>1</v>
      </c>
      <c r="BE639" s="514">
        <v>2129</v>
      </c>
      <c r="BG639" s="229" t="s">
        <v>67</v>
      </c>
      <c r="BH639" s="230" t="s">
        <v>8591</v>
      </c>
      <c r="BI639" t="s">
        <v>2475</v>
      </c>
      <c r="BJ639" t="s">
        <v>2475</v>
      </c>
    </row>
    <row r="640" spans="1:62">
      <c r="A640" s="229" t="s">
        <v>67</v>
      </c>
      <c r="B640" s="230" t="s">
        <v>652</v>
      </c>
      <c r="C640" s="230" t="s">
        <v>914</v>
      </c>
      <c r="D640" s="229" t="s">
        <v>7421</v>
      </c>
      <c r="E640" s="229" t="s">
        <v>962</v>
      </c>
      <c r="F640" s="229" t="s">
        <v>7056</v>
      </c>
      <c r="G640" s="229" t="s">
        <v>7864</v>
      </c>
      <c r="H640" s="229" t="s">
        <v>804</v>
      </c>
      <c r="I640" s="229" t="s">
        <v>914</v>
      </c>
      <c r="J640" s="231" t="s">
        <v>955</v>
      </c>
      <c r="K640" s="231" t="s">
        <v>839</v>
      </c>
      <c r="L640" s="220" t="str">
        <f t="shared" si="147"/>
        <v>IQ21</v>
      </c>
      <c r="M640" s="220" t="str">
        <f t="shared" si="148"/>
        <v/>
      </c>
      <c r="N640" s="220" t="str">
        <f t="shared" si="149"/>
        <v/>
      </c>
      <c r="O640" s="220" t="str">
        <f t="shared" si="150"/>
        <v/>
      </c>
      <c r="P640" s="52" t="str">
        <f t="shared" si="151"/>
        <v>IQ21</v>
      </c>
      <c r="Q640" s="231" t="str">
        <f t="shared" si="157"/>
        <v>221</v>
      </c>
      <c r="R640" s="224">
        <f t="shared" si="159"/>
        <v>210.66666666666666</v>
      </c>
      <c r="S640" s="52">
        <f t="shared" si="152"/>
        <v>202</v>
      </c>
      <c r="T640" s="221">
        <f t="shared" ca="1" si="153"/>
        <v>4.3600000000000003</v>
      </c>
      <c r="U640" s="221" t="str">
        <f t="shared" si="154"/>
        <v/>
      </c>
      <c r="V640" s="220" t="str">
        <f t="array" ref="V640">INDEX(P:P,MAX(U$3:U640))</f>
        <v>IQ#1MTR</v>
      </c>
      <c r="W640" s="220" t="str">
        <f t="shared" ca="1" si="155"/>
        <v/>
      </c>
      <c r="X640" s="220">
        <f t="shared" si="156"/>
        <v>11.4</v>
      </c>
      <c r="Y640" s="220">
        <f t="shared" si="145"/>
        <v>0</v>
      </c>
      <c r="AA640" s="220" t="str">
        <f t="shared" si="146"/>
        <v>彰東</v>
      </c>
      <c r="AB640" s="220" t="s">
        <v>2476</v>
      </c>
      <c r="AC640" s="220" t="str">
        <f t="shared" ref="AC640:AC657" si="161">LEFT(B640,4)</f>
        <v>IQ21</v>
      </c>
      <c r="BB640" s="514" t="s">
        <v>2590</v>
      </c>
      <c r="BC640" s="514">
        <v>252</v>
      </c>
      <c r="BD640" s="514" t="s">
        <v>85</v>
      </c>
      <c r="BE640" s="514">
        <v>252</v>
      </c>
      <c r="BG640" s="229" t="s">
        <v>8815</v>
      </c>
      <c r="BH640" s="230" t="s">
        <v>8816</v>
      </c>
      <c r="BI640" t="s">
        <v>2476</v>
      </c>
      <c r="BJ640" t="s">
        <v>2475</v>
      </c>
    </row>
    <row r="641" spans="1:62">
      <c r="A641" s="229" t="s">
        <v>7865</v>
      </c>
      <c r="B641" s="230" t="s">
        <v>7866</v>
      </c>
      <c r="C641" s="230" t="s">
        <v>7867</v>
      </c>
      <c r="D641" s="229" t="s">
        <v>7156</v>
      </c>
      <c r="E641" s="229" t="s">
        <v>7868</v>
      </c>
      <c r="F641" s="229" t="s">
        <v>839</v>
      </c>
      <c r="G641" s="229" t="s">
        <v>1004</v>
      </c>
      <c r="H641" s="229" t="s">
        <v>839</v>
      </c>
      <c r="I641" s="229" t="s">
        <v>1004</v>
      </c>
      <c r="J641" s="231" t="s">
        <v>7869</v>
      </c>
      <c r="K641" s="231" t="s">
        <v>7393</v>
      </c>
      <c r="L641" s="220" t="str">
        <f t="shared" si="147"/>
        <v>IQ22</v>
      </c>
      <c r="M641" s="220" t="str">
        <f t="shared" si="148"/>
        <v/>
      </c>
      <c r="N641" s="220" t="str">
        <f t="shared" si="149"/>
        <v/>
      </c>
      <c r="O641" s="220" t="str">
        <f t="shared" si="150"/>
        <v/>
      </c>
      <c r="P641" s="52" t="str">
        <f t="shared" si="151"/>
        <v>IQ22</v>
      </c>
      <c r="Q641" s="231" t="str">
        <f t="shared" si="157"/>
        <v>206</v>
      </c>
      <c r="R641" s="224">
        <f t="shared" si="159"/>
        <v>203.33333333333334</v>
      </c>
      <c r="S641" s="52">
        <f t="shared" si="152"/>
        <v>199</v>
      </c>
      <c r="T641" s="221">
        <f t="shared" ca="1" si="153"/>
        <v>4.07</v>
      </c>
      <c r="U641" s="221" t="str">
        <f t="shared" si="154"/>
        <v/>
      </c>
      <c r="V641" s="220" t="str">
        <f t="array" ref="V641">INDEX(P:P,MAX(U$3:U641))</f>
        <v>IQ#1MTR</v>
      </c>
      <c r="W641" s="220" t="str">
        <f t="shared" ca="1" si="155"/>
        <v/>
      </c>
      <c r="X641" s="220">
        <f t="shared" si="156"/>
        <v>11.4</v>
      </c>
      <c r="Y641" s="220">
        <f t="shared" si="145"/>
        <v>0</v>
      </c>
      <c r="AA641" s="220" t="str">
        <f t="shared" si="146"/>
        <v>彰東</v>
      </c>
      <c r="AB641" s="220" t="s">
        <v>2477</v>
      </c>
      <c r="AC641" s="220" t="str">
        <f t="shared" si="161"/>
        <v>IQ22</v>
      </c>
      <c r="BB641" s="514" t="s">
        <v>2578</v>
      </c>
      <c r="BC641" s="514">
        <v>493</v>
      </c>
      <c r="BD641" s="514" t="s">
        <v>85</v>
      </c>
      <c r="BE641" s="514">
        <v>493</v>
      </c>
      <c r="BG641" s="229" t="s">
        <v>67</v>
      </c>
      <c r="BH641" s="230" t="s">
        <v>8817</v>
      </c>
      <c r="BI641" t="s">
        <v>2477</v>
      </c>
      <c r="BJ641" t="s">
        <v>2475</v>
      </c>
    </row>
    <row r="642" spans="1:62">
      <c r="A642" s="229" t="s">
        <v>67</v>
      </c>
      <c r="B642" s="230" t="s">
        <v>653</v>
      </c>
      <c r="C642" s="230" t="s">
        <v>7870</v>
      </c>
      <c r="D642" s="229" t="s">
        <v>797</v>
      </c>
      <c r="E642" s="229" t="s">
        <v>7058</v>
      </c>
      <c r="F642" s="229" t="s">
        <v>850</v>
      </c>
      <c r="G642" s="229" t="s">
        <v>1001</v>
      </c>
      <c r="H642" s="229" t="s">
        <v>5650</v>
      </c>
      <c r="I642" s="229" t="s">
        <v>905</v>
      </c>
      <c r="J642" s="231" t="s">
        <v>7871</v>
      </c>
      <c r="K642" s="231" t="s">
        <v>5764</v>
      </c>
      <c r="L642" s="220" t="str">
        <f t="shared" si="147"/>
        <v>IQ23</v>
      </c>
      <c r="M642" s="220" t="str">
        <f t="shared" si="148"/>
        <v/>
      </c>
      <c r="N642" s="220" t="str">
        <f t="shared" si="149"/>
        <v/>
      </c>
      <c r="O642" s="220" t="str">
        <f t="shared" si="150"/>
        <v/>
      </c>
      <c r="P642" s="52" t="str">
        <f t="shared" si="151"/>
        <v>IQ23</v>
      </c>
      <c r="Q642" s="231" t="str">
        <f t="shared" si="157"/>
        <v>131</v>
      </c>
      <c r="R642" s="224">
        <f t="shared" si="159"/>
        <v>107.33333333333333</v>
      </c>
      <c r="S642" s="52">
        <f t="shared" si="152"/>
        <v>83</v>
      </c>
      <c r="T642" s="221">
        <f t="shared" ca="1" si="153"/>
        <v>2.59</v>
      </c>
      <c r="U642" s="221" t="str">
        <f t="shared" si="154"/>
        <v/>
      </c>
      <c r="V642" s="220" t="str">
        <f t="array" ref="V642">INDEX(P:P,MAX(U$3:U642))</f>
        <v>IQ#1MTR</v>
      </c>
      <c r="W642" s="220" t="str">
        <f t="shared" ca="1" si="155"/>
        <v/>
      </c>
      <c r="X642" s="220">
        <f t="shared" si="156"/>
        <v>11.4</v>
      </c>
      <c r="Y642" s="220">
        <f t="shared" si="145"/>
        <v>0</v>
      </c>
      <c r="AA642" s="220" t="str">
        <f t="shared" si="146"/>
        <v>彰東</v>
      </c>
      <c r="AB642" s="220" t="s">
        <v>2478</v>
      </c>
      <c r="AC642" s="220" t="str">
        <f t="shared" si="161"/>
        <v>IQ23</v>
      </c>
      <c r="BB642" s="514" t="s">
        <v>2577</v>
      </c>
      <c r="BC642" s="514">
        <v>221</v>
      </c>
      <c r="BD642" s="514">
        <v>1</v>
      </c>
      <c r="BE642" s="514">
        <v>222</v>
      </c>
      <c r="BG642" s="229" t="s">
        <v>8815</v>
      </c>
      <c r="BH642" s="230" t="s">
        <v>8818</v>
      </c>
      <c r="BI642" t="s">
        <v>2478</v>
      </c>
      <c r="BJ642" t="s">
        <v>2475</v>
      </c>
    </row>
    <row r="643" spans="1:62">
      <c r="A643" s="229" t="s">
        <v>7872</v>
      </c>
      <c r="B643" s="230" t="s">
        <v>654</v>
      </c>
      <c r="C643" s="230" t="s">
        <v>1003</v>
      </c>
      <c r="D643" s="229" t="s">
        <v>7393</v>
      </c>
      <c r="E643" s="229" t="s">
        <v>7873</v>
      </c>
      <c r="F643" s="229" t="s">
        <v>783</v>
      </c>
      <c r="G643" s="229" t="s">
        <v>7874</v>
      </c>
      <c r="H643" s="229" t="s">
        <v>846</v>
      </c>
      <c r="I643" s="229" t="s">
        <v>7875</v>
      </c>
      <c r="J643" s="231" t="s">
        <v>7876</v>
      </c>
      <c r="K643" s="231" t="s">
        <v>5682</v>
      </c>
      <c r="L643" s="220" t="str">
        <f t="shared" si="147"/>
        <v>IQ24</v>
      </c>
      <c r="M643" s="220" t="str">
        <f t="shared" si="148"/>
        <v/>
      </c>
      <c r="N643" s="220" t="str">
        <f t="shared" si="149"/>
        <v/>
      </c>
      <c r="O643" s="220" t="str">
        <f t="shared" si="150"/>
        <v/>
      </c>
      <c r="P643" s="52" t="str">
        <f t="shared" si="151"/>
        <v>IQ24</v>
      </c>
      <c r="Q643" s="231" t="str">
        <f t="shared" si="157"/>
        <v>207</v>
      </c>
      <c r="R643" s="224">
        <f t="shared" si="159"/>
        <v>203.33333333333334</v>
      </c>
      <c r="S643" s="52">
        <f t="shared" si="152"/>
        <v>200</v>
      </c>
      <c r="T643" s="221">
        <f t="shared" ca="1" si="153"/>
        <v>4.09</v>
      </c>
      <c r="U643" s="221" t="str">
        <f t="shared" si="154"/>
        <v/>
      </c>
      <c r="V643" s="220" t="str">
        <f t="array" ref="V643">INDEX(P:P,MAX(U$3:U643))</f>
        <v>IQ#1MTR</v>
      </c>
      <c r="W643" s="220" t="str">
        <f t="shared" ca="1" si="155"/>
        <v/>
      </c>
      <c r="X643" s="220">
        <f t="shared" si="156"/>
        <v>11.4</v>
      </c>
      <c r="Y643" s="220">
        <f t="shared" ref="Y643:Y706" si="162">SUMIF(L:L,L643,I:I)</f>
        <v>0</v>
      </c>
      <c r="AA643" s="220" t="str">
        <f t="shared" ref="AA643:AA706" si="163">LEFT(A643,2)</f>
        <v>彰東</v>
      </c>
      <c r="AB643" s="220" t="s">
        <v>2479</v>
      </c>
      <c r="AC643" s="220" t="str">
        <f t="shared" si="161"/>
        <v>IQ24</v>
      </c>
      <c r="BB643" s="514" t="s">
        <v>2576</v>
      </c>
      <c r="BC643" s="514">
        <v>413</v>
      </c>
      <c r="BD643" s="514" t="s">
        <v>85</v>
      </c>
      <c r="BE643" s="514">
        <v>413</v>
      </c>
      <c r="BG643" s="229" t="s">
        <v>8815</v>
      </c>
      <c r="BH643" s="230" t="s">
        <v>8819</v>
      </c>
      <c r="BI643" t="s">
        <v>2479</v>
      </c>
      <c r="BJ643" t="s">
        <v>2475</v>
      </c>
    </row>
    <row r="644" spans="1:62">
      <c r="A644" s="229" t="s">
        <v>67</v>
      </c>
      <c r="B644" s="230" t="s">
        <v>7877</v>
      </c>
      <c r="C644" s="230" t="s">
        <v>939</v>
      </c>
      <c r="D644" s="229" t="s">
        <v>846</v>
      </c>
      <c r="E644" s="229" t="s">
        <v>1001</v>
      </c>
      <c r="F644" s="229" t="s">
        <v>5682</v>
      </c>
      <c r="G644" s="229" t="s">
        <v>7119</v>
      </c>
      <c r="H644" s="229" t="s">
        <v>7878</v>
      </c>
      <c r="I644" s="229" t="s">
        <v>939</v>
      </c>
      <c r="J644" s="231" t="s">
        <v>868</v>
      </c>
      <c r="K644" s="231" t="s">
        <v>7496</v>
      </c>
      <c r="L644" s="220" t="str">
        <f t="shared" ref="L644:L707" si="164">IF(LEFT(B644,1)="#",IF(LEN(B644)=5,RIGHT(A644,2)&amp;B644,N644&amp;M644),MID(B644,FIND("(",B644)+1,4))</f>
        <v>IQ25</v>
      </c>
      <c r="M644" s="220" t="str">
        <f t="shared" ref="M644:M707" si="165">IF(LEFT(B644,1)="#",IF(LEN(B644)&lt;&gt;5,"("&amp;MID(B644,3,1)&amp;")",""),"")</f>
        <v/>
      </c>
      <c r="N644" s="220" t="str">
        <f t="shared" ref="N644:N707" si="166">IF(LEFT(B644,1)="#",IF(LEN(B644)=5,RIGHT(A644,2)&amp;B644,RIGHT(A644,2)&amp;LEFT(B644,2)&amp;"DTR"),"")</f>
        <v/>
      </c>
      <c r="O644" s="220" t="str">
        <f t="shared" ref="O644:O707" si="167">IF(LEFT(B644,1)="#",IF(LEN(B644)&lt;&gt;5,IF(LEN(B644)&lt;&gt;7,"("&amp;MID(B644,3,1)&amp;")","("&amp;MID(B644,3,2)&amp;")"),""),"")</f>
        <v/>
      </c>
      <c r="P644" s="52" t="str">
        <f t="shared" ref="P644:P707" si="168">IF(LEFT(B644,1)="#",IF(LEN(B644)=5,RIGHT(A644,2)&amp;B644,N644&amp;M644),MID(B644,FIND("(",B644)+1,4))</f>
        <v>IQ25</v>
      </c>
      <c r="Q644" s="231" t="str">
        <f t="shared" si="157"/>
        <v>116</v>
      </c>
      <c r="R644" s="224">
        <f t="shared" si="159"/>
        <v>101.33333333333333</v>
      </c>
      <c r="S644" s="52">
        <f t="shared" ref="S644:S707" si="169">MIN(C644*1,E644*1,G644*1)</f>
        <v>80</v>
      </c>
      <c r="T644" s="221">
        <f t="shared" ref="T644:T707" ca="1" si="170">IF(LEFT(B644,1)="#",ROUND(OFFSET(X644,1,0,1,1)*Q644*SQRT(3)/1000,2),ROUND(Q644*X644*SQRT(3)/1000,2))</f>
        <v>2.29</v>
      </c>
      <c r="U644" s="221" t="str">
        <f t="shared" ref="U644:U707" si="171">IF(ISNUMBER(FIND("#",B644)),ROW(),"")</f>
        <v/>
      </c>
      <c r="V644" s="220" t="str">
        <f t="array" ref="V644">INDEX(P:P,MAX(U$3:U644))</f>
        <v>IQ#1MTR</v>
      </c>
      <c r="W644" s="220" t="str">
        <f t="shared" ref="W644:W707" ca="1" si="172">IF(LEFT(B644,1)="#",IF(ISNUMBER(FIND("DTR",B644)),IF(MID(OFFSET(P644,1,0,1,1),3,1)*1&lt;5,30,60),25),"")</f>
        <v/>
      </c>
      <c r="X644" s="220">
        <f t="shared" ref="X644:X707" si="173">IF(LEFT(B644,1)="#","",IF(MID(P644,3,1)*1&lt;5,11.4,22.8))</f>
        <v>11.4</v>
      </c>
      <c r="Y644" s="220">
        <f t="shared" si="162"/>
        <v>0</v>
      </c>
      <c r="AA644" s="220" t="str">
        <f t="shared" si="163"/>
        <v>彰東</v>
      </c>
      <c r="AB644" s="220" t="s">
        <v>2480</v>
      </c>
      <c r="AC644" s="220" t="str">
        <f t="shared" si="161"/>
        <v>IQ25</v>
      </c>
      <c r="BB644" s="514" t="s">
        <v>2589</v>
      </c>
      <c r="BC644" s="514">
        <v>4201</v>
      </c>
      <c r="BD644" s="514">
        <v>5</v>
      </c>
      <c r="BE644" s="514">
        <v>4206</v>
      </c>
      <c r="BG644" s="229" t="s">
        <v>8820</v>
      </c>
      <c r="BH644" s="230" t="s">
        <v>8821</v>
      </c>
      <c r="BI644" t="s">
        <v>2480</v>
      </c>
      <c r="BJ644" t="s">
        <v>2475</v>
      </c>
    </row>
    <row r="645" spans="1:62">
      <c r="A645" s="229" t="s">
        <v>7865</v>
      </c>
      <c r="B645" s="230" t="s">
        <v>427</v>
      </c>
      <c r="C645" s="230" t="s">
        <v>4737</v>
      </c>
      <c r="D645" s="229" t="s">
        <v>7879</v>
      </c>
      <c r="E645" s="229" t="s">
        <v>4738</v>
      </c>
      <c r="F645" s="229" t="s">
        <v>7879</v>
      </c>
      <c r="G645" s="229" t="s">
        <v>4739</v>
      </c>
      <c r="H645" s="229" t="s">
        <v>7880</v>
      </c>
      <c r="I645" s="229" t="s">
        <v>4739</v>
      </c>
      <c r="J645" s="231" t="s">
        <v>358</v>
      </c>
      <c r="K645" s="231" t="s">
        <v>7826</v>
      </c>
      <c r="L645" s="220" t="str">
        <f t="shared" si="164"/>
        <v>IQ#2MTR</v>
      </c>
      <c r="M645" s="220" t="str">
        <f t="shared" si="165"/>
        <v/>
      </c>
      <c r="N645" s="220" t="str">
        <f t="shared" si="166"/>
        <v>IQ#2MTR</v>
      </c>
      <c r="O645" s="220" t="str">
        <f t="shared" si="167"/>
        <v/>
      </c>
      <c r="P645" s="52" t="str">
        <f t="shared" si="168"/>
        <v>IQ#2MTR</v>
      </c>
      <c r="Q645" s="231" t="str">
        <f t="shared" si="157"/>
        <v>563</v>
      </c>
      <c r="R645" s="224">
        <f t="shared" si="159"/>
        <v>545.33333333333337</v>
      </c>
      <c r="S645" s="52">
        <f t="shared" si="169"/>
        <v>520</v>
      </c>
      <c r="T645" s="221">
        <f t="shared" ca="1" si="170"/>
        <v>11.12</v>
      </c>
      <c r="U645" s="221">
        <f t="shared" si="171"/>
        <v>645</v>
      </c>
      <c r="V645" s="220" t="str">
        <f t="array" ref="V645">INDEX(P:P,MAX(U$3:U645))</f>
        <v>IQ#2MTR</v>
      </c>
      <c r="W645" s="220">
        <f t="shared" ca="1" si="172"/>
        <v>25</v>
      </c>
      <c r="X645" s="220" t="str">
        <f t="shared" si="173"/>
        <v/>
      </c>
      <c r="Y645" s="220">
        <f t="shared" si="162"/>
        <v>0</v>
      </c>
      <c r="AA645" s="220" t="str">
        <f t="shared" si="163"/>
        <v>彰東</v>
      </c>
      <c r="AB645" s="220" t="s">
        <v>2481</v>
      </c>
      <c r="AC645" s="220" t="str">
        <f t="shared" si="161"/>
        <v>#2MT</v>
      </c>
      <c r="BB645" s="514" t="s">
        <v>2591</v>
      </c>
      <c r="BC645" s="514">
        <v>5323</v>
      </c>
      <c r="BD645" s="514">
        <v>3</v>
      </c>
      <c r="BE645" s="514">
        <v>5326</v>
      </c>
      <c r="BG645" s="229" t="s">
        <v>8815</v>
      </c>
      <c r="BH645" s="230" t="s">
        <v>427</v>
      </c>
      <c r="BI645" t="s">
        <v>2481</v>
      </c>
      <c r="BJ645" t="s">
        <v>2481</v>
      </c>
    </row>
    <row r="646" spans="1:62">
      <c r="A646" s="229" t="s">
        <v>7860</v>
      </c>
      <c r="B646" s="230" t="s">
        <v>7881</v>
      </c>
      <c r="C646" s="230" t="s">
        <v>6566</v>
      </c>
      <c r="D646" s="229" t="s">
        <v>839</v>
      </c>
      <c r="E646" s="229" t="s">
        <v>820</v>
      </c>
      <c r="F646" s="229" t="s">
        <v>7156</v>
      </c>
      <c r="G646" s="229" t="s">
        <v>787</v>
      </c>
      <c r="H646" s="229" t="s">
        <v>7879</v>
      </c>
      <c r="I646" s="229" t="s">
        <v>7882</v>
      </c>
      <c r="J646" s="231" t="s">
        <v>836</v>
      </c>
      <c r="K646" s="231" t="s">
        <v>846</v>
      </c>
      <c r="L646" s="220" t="str">
        <f t="shared" si="164"/>
        <v>IQ26</v>
      </c>
      <c r="M646" s="220" t="str">
        <f t="shared" si="165"/>
        <v/>
      </c>
      <c r="N646" s="220" t="str">
        <f t="shared" si="166"/>
        <v/>
      </c>
      <c r="O646" s="220" t="str">
        <f t="shared" si="167"/>
        <v/>
      </c>
      <c r="P646" s="52" t="str">
        <f t="shared" si="168"/>
        <v>IQ26</v>
      </c>
      <c r="Q646" s="231" t="str">
        <f t="shared" si="157"/>
        <v>186</v>
      </c>
      <c r="R646" s="224">
        <f t="shared" si="159"/>
        <v>169</v>
      </c>
      <c r="S646" s="52">
        <f t="shared" si="169"/>
        <v>144</v>
      </c>
      <c r="T646" s="221">
        <f t="shared" ca="1" si="170"/>
        <v>3.67</v>
      </c>
      <c r="U646" s="221" t="str">
        <f t="shared" si="171"/>
        <v/>
      </c>
      <c r="V646" s="220" t="str">
        <f t="array" ref="V646">INDEX(P:P,MAX(U$3:U646))</f>
        <v>IQ#2MTR</v>
      </c>
      <c r="W646" s="220" t="str">
        <f t="shared" ca="1" si="172"/>
        <v/>
      </c>
      <c r="X646" s="220">
        <f t="shared" si="173"/>
        <v>11.4</v>
      </c>
      <c r="Y646" s="220">
        <f t="shared" si="162"/>
        <v>0</v>
      </c>
      <c r="AA646" s="220" t="str">
        <f t="shared" si="163"/>
        <v>彰東</v>
      </c>
      <c r="AB646" s="220" t="s">
        <v>2482</v>
      </c>
      <c r="AC646" s="220" t="str">
        <f t="shared" si="161"/>
        <v>IQ26</v>
      </c>
      <c r="BB646" s="514" t="s">
        <v>2579</v>
      </c>
      <c r="BC646" s="514">
        <v>343</v>
      </c>
      <c r="BD646" s="514">
        <v>3</v>
      </c>
      <c r="BE646" s="514">
        <v>346</v>
      </c>
      <c r="BG646" s="229" t="s">
        <v>8815</v>
      </c>
      <c r="BH646" s="230" t="s">
        <v>655</v>
      </c>
      <c r="BI646" t="s">
        <v>2482</v>
      </c>
      <c r="BJ646" t="s">
        <v>2481</v>
      </c>
    </row>
    <row r="647" spans="1:62">
      <c r="A647" s="229" t="s">
        <v>67</v>
      </c>
      <c r="B647" s="230" t="s">
        <v>656</v>
      </c>
      <c r="C647" s="230" t="s">
        <v>7883</v>
      </c>
      <c r="D647" s="229" t="s">
        <v>839</v>
      </c>
      <c r="E647" s="229" t="s">
        <v>872</v>
      </c>
      <c r="F647" s="229" t="s">
        <v>839</v>
      </c>
      <c r="G647" s="229" t="s">
        <v>7884</v>
      </c>
      <c r="H647" s="229" t="s">
        <v>804</v>
      </c>
      <c r="I647" s="229" t="s">
        <v>830</v>
      </c>
      <c r="J647" s="231" t="s">
        <v>802</v>
      </c>
      <c r="K647" s="231" t="s">
        <v>832</v>
      </c>
      <c r="L647" s="220" t="str">
        <f t="shared" si="164"/>
        <v>IQ27</v>
      </c>
      <c r="M647" s="220" t="str">
        <f t="shared" si="165"/>
        <v/>
      </c>
      <c r="N647" s="220" t="str">
        <f t="shared" si="166"/>
        <v/>
      </c>
      <c r="O647" s="220" t="str">
        <f t="shared" si="167"/>
        <v/>
      </c>
      <c r="P647" s="52" t="str">
        <f t="shared" si="168"/>
        <v>IQ27</v>
      </c>
      <c r="Q647" s="231" t="str">
        <f t="shared" si="157"/>
        <v>112</v>
      </c>
      <c r="R647" s="224">
        <f t="shared" si="159"/>
        <v>87</v>
      </c>
      <c r="S647" s="52">
        <f t="shared" si="169"/>
        <v>62</v>
      </c>
      <c r="T647" s="221">
        <f t="shared" ca="1" si="170"/>
        <v>2.21</v>
      </c>
      <c r="U647" s="221" t="str">
        <f t="shared" si="171"/>
        <v/>
      </c>
      <c r="V647" s="220" t="str">
        <f t="array" ref="V647">INDEX(P:P,MAX(U$3:U647))</f>
        <v>IQ#2MTR</v>
      </c>
      <c r="W647" s="220" t="str">
        <f t="shared" ca="1" si="172"/>
        <v/>
      </c>
      <c r="X647" s="220">
        <f t="shared" si="173"/>
        <v>11.4</v>
      </c>
      <c r="Y647" s="220">
        <f t="shared" si="162"/>
        <v>0</v>
      </c>
      <c r="AA647" s="220" t="str">
        <f t="shared" si="163"/>
        <v>彰東</v>
      </c>
      <c r="AB647" s="220" t="s">
        <v>2483</v>
      </c>
      <c r="AC647" s="220" t="str">
        <f t="shared" si="161"/>
        <v>IQ27</v>
      </c>
      <c r="BB647" s="514" t="s">
        <v>2581</v>
      </c>
      <c r="BC647" s="514">
        <v>1833</v>
      </c>
      <c r="BD647" s="514">
        <v>1</v>
      </c>
      <c r="BE647" s="514">
        <v>1834</v>
      </c>
      <c r="BG647" s="229" t="s">
        <v>8815</v>
      </c>
      <c r="BH647" s="230" t="s">
        <v>8822</v>
      </c>
      <c r="BI647" t="s">
        <v>2483</v>
      </c>
      <c r="BJ647" t="s">
        <v>2481</v>
      </c>
    </row>
    <row r="648" spans="1:62">
      <c r="A648" s="229" t="s">
        <v>67</v>
      </c>
      <c r="B648" s="230" t="s">
        <v>7885</v>
      </c>
      <c r="C648" s="230" t="s">
        <v>7886</v>
      </c>
      <c r="D648" s="229" t="s">
        <v>804</v>
      </c>
      <c r="E648" s="229" t="s">
        <v>969</v>
      </c>
      <c r="F648" s="229" t="s">
        <v>832</v>
      </c>
      <c r="G648" s="229" t="s">
        <v>6606</v>
      </c>
      <c r="H648" s="229" t="s">
        <v>7056</v>
      </c>
      <c r="I648" s="229" t="s">
        <v>1002</v>
      </c>
      <c r="J648" s="231" t="s">
        <v>7887</v>
      </c>
      <c r="K648" s="231" t="s">
        <v>850</v>
      </c>
      <c r="L648" s="220" t="str">
        <f t="shared" si="164"/>
        <v>IQ28</v>
      </c>
      <c r="M648" s="220" t="str">
        <f t="shared" si="165"/>
        <v/>
      </c>
      <c r="N648" s="220" t="str">
        <f t="shared" si="166"/>
        <v/>
      </c>
      <c r="O648" s="220" t="str">
        <f t="shared" si="167"/>
        <v/>
      </c>
      <c r="P648" s="52" t="str">
        <f t="shared" si="168"/>
        <v>IQ28</v>
      </c>
      <c r="Q648" s="231" t="str">
        <f t="shared" si="157"/>
        <v>182</v>
      </c>
      <c r="R648" s="224">
        <f t="shared" si="159"/>
        <v>159</v>
      </c>
      <c r="S648" s="52">
        <f t="shared" si="169"/>
        <v>126</v>
      </c>
      <c r="T648" s="221">
        <f t="shared" ca="1" si="170"/>
        <v>3.59</v>
      </c>
      <c r="U648" s="221" t="str">
        <f t="shared" si="171"/>
        <v/>
      </c>
      <c r="V648" s="220" t="str">
        <f t="array" ref="V648">INDEX(P:P,MAX(U$3:U648))</f>
        <v>IQ#2MTR</v>
      </c>
      <c r="W648" s="220" t="str">
        <f t="shared" ca="1" si="172"/>
        <v/>
      </c>
      <c r="X648" s="220">
        <f t="shared" si="173"/>
        <v>11.4</v>
      </c>
      <c r="Y648" s="220">
        <f t="shared" si="162"/>
        <v>0</v>
      </c>
      <c r="AA648" s="220" t="str">
        <f t="shared" si="163"/>
        <v>彰東</v>
      </c>
      <c r="AB648" s="220" t="s">
        <v>2484</v>
      </c>
      <c r="AC648" s="220" t="str">
        <f t="shared" si="161"/>
        <v>IQ28</v>
      </c>
      <c r="BB648" s="514" t="s">
        <v>2582</v>
      </c>
      <c r="BC648" s="514">
        <v>1658</v>
      </c>
      <c r="BD648" s="514">
        <v>2</v>
      </c>
      <c r="BE648" s="514">
        <v>1660</v>
      </c>
      <c r="BG648" s="229" t="s">
        <v>8820</v>
      </c>
      <c r="BH648" s="230" t="s">
        <v>657</v>
      </c>
      <c r="BI648" t="s">
        <v>2484</v>
      </c>
      <c r="BJ648" t="s">
        <v>2481</v>
      </c>
    </row>
    <row r="649" spans="1:62">
      <c r="A649" s="229" t="s">
        <v>67</v>
      </c>
      <c r="B649" s="230" t="s">
        <v>658</v>
      </c>
      <c r="C649" s="230" t="s">
        <v>1038</v>
      </c>
      <c r="D649" s="229" t="s">
        <v>784</v>
      </c>
      <c r="E649" s="229" t="s">
        <v>1038</v>
      </c>
      <c r="F649" s="229" t="s">
        <v>7888</v>
      </c>
      <c r="G649" s="229" t="s">
        <v>349</v>
      </c>
      <c r="H649" s="229" t="s">
        <v>784</v>
      </c>
      <c r="I649" s="229" t="s">
        <v>349</v>
      </c>
      <c r="J649" s="231" t="s">
        <v>5614</v>
      </c>
      <c r="K649" s="231" t="s">
        <v>5628</v>
      </c>
      <c r="L649" s="220" t="str">
        <f t="shared" si="164"/>
        <v>IQ29</v>
      </c>
      <c r="M649" s="220" t="str">
        <f t="shared" si="165"/>
        <v/>
      </c>
      <c r="N649" s="220" t="str">
        <f t="shared" si="166"/>
        <v/>
      </c>
      <c r="O649" s="220" t="str">
        <f t="shared" si="167"/>
        <v/>
      </c>
      <c r="P649" s="52" t="str">
        <f t="shared" si="168"/>
        <v>IQ29</v>
      </c>
      <c r="Q649" s="231" t="str">
        <f t="shared" si="157"/>
        <v>11</v>
      </c>
      <c r="R649" s="224">
        <f t="shared" si="159"/>
        <v>10.333333333333334</v>
      </c>
      <c r="S649" s="52">
        <f t="shared" si="169"/>
        <v>10</v>
      </c>
      <c r="T649" s="221">
        <f t="shared" ca="1" si="170"/>
        <v>0.22</v>
      </c>
      <c r="U649" s="221" t="str">
        <f t="shared" si="171"/>
        <v/>
      </c>
      <c r="V649" s="220" t="str">
        <f t="array" ref="V649">INDEX(P:P,MAX(U$3:U649))</f>
        <v>IQ#2MTR</v>
      </c>
      <c r="W649" s="220" t="str">
        <f t="shared" ca="1" si="172"/>
        <v/>
      </c>
      <c r="X649" s="220">
        <f t="shared" si="173"/>
        <v>11.4</v>
      </c>
      <c r="Y649" s="220">
        <f t="shared" si="162"/>
        <v>0</v>
      </c>
      <c r="AA649" s="220" t="str">
        <f t="shared" si="163"/>
        <v>彰東</v>
      </c>
      <c r="AB649" s="220" t="s">
        <v>2485</v>
      </c>
      <c r="AC649" s="220" t="str">
        <f t="shared" si="161"/>
        <v>IQ29</v>
      </c>
      <c r="BB649" s="514" t="s">
        <v>2583</v>
      </c>
      <c r="BC649" s="514">
        <v>2420</v>
      </c>
      <c r="BD649" s="514" t="s">
        <v>85</v>
      </c>
      <c r="BE649" s="514">
        <v>2420</v>
      </c>
      <c r="BG649" s="229" t="s">
        <v>8815</v>
      </c>
      <c r="BH649" s="230" t="s">
        <v>8823</v>
      </c>
      <c r="BI649" t="s">
        <v>2485</v>
      </c>
      <c r="BJ649" t="s">
        <v>2481</v>
      </c>
    </row>
    <row r="650" spans="1:62">
      <c r="A650" s="229" t="s">
        <v>67</v>
      </c>
      <c r="B650" s="230" t="s">
        <v>659</v>
      </c>
      <c r="C650" s="230" t="s">
        <v>853</v>
      </c>
      <c r="D650" s="229" t="s">
        <v>832</v>
      </c>
      <c r="E650" s="229" t="s">
        <v>975</v>
      </c>
      <c r="F650" s="229" t="s">
        <v>839</v>
      </c>
      <c r="G650" s="229" t="s">
        <v>7889</v>
      </c>
      <c r="H650" s="229" t="s">
        <v>7521</v>
      </c>
      <c r="I650" s="229" t="s">
        <v>853</v>
      </c>
      <c r="J650" s="231" t="s">
        <v>7818</v>
      </c>
      <c r="K650" s="231" t="s">
        <v>804</v>
      </c>
      <c r="L650" s="220" t="str">
        <f t="shared" si="164"/>
        <v>IQ30</v>
      </c>
      <c r="M650" s="220" t="str">
        <f t="shared" si="165"/>
        <v/>
      </c>
      <c r="N650" s="220" t="str">
        <f t="shared" si="166"/>
        <v/>
      </c>
      <c r="O650" s="220" t="str">
        <f t="shared" si="167"/>
        <v/>
      </c>
      <c r="P650" s="52" t="str">
        <f t="shared" si="168"/>
        <v>IQ30</v>
      </c>
      <c r="Q650" s="231" t="str">
        <f t="shared" si="157"/>
        <v>173</v>
      </c>
      <c r="R650" s="224">
        <f t="shared" si="159"/>
        <v>143.66666666666666</v>
      </c>
      <c r="S650" s="52">
        <f t="shared" si="169"/>
        <v>117</v>
      </c>
      <c r="T650" s="221">
        <f t="shared" ca="1" si="170"/>
        <v>3.42</v>
      </c>
      <c r="U650" s="221" t="str">
        <f t="shared" si="171"/>
        <v/>
      </c>
      <c r="V650" s="220" t="str">
        <f t="array" ref="V650">INDEX(P:P,MAX(U$3:U650))</f>
        <v>IQ#2MTR</v>
      </c>
      <c r="W650" s="220" t="str">
        <f t="shared" ca="1" si="172"/>
        <v/>
      </c>
      <c r="X650" s="220">
        <f t="shared" si="173"/>
        <v>11.4</v>
      </c>
      <c r="Y650" s="220">
        <f t="shared" si="162"/>
        <v>0</v>
      </c>
      <c r="AA650" s="220" t="str">
        <f t="shared" si="163"/>
        <v>彰東</v>
      </c>
      <c r="AB650" s="220" t="s">
        <v>2486</v>
      </c>
      <c r="AC650" s="220" t="str">
        <f t="shared" si="161"/>
        <v>IQ30</v>
      </c>
      <c r="BB650" s="514" t="s">
        <v>2585</v>
      </c>
      <c r="BC650" s="514">
        <v>1</v>
      </c>
      <c r="BD650" s="514">
        <v>2</v>
      </c>
      <c r="BE650" s="514">
        <v>3</v>
      </c>
      <c r="BG650" s="229" t="s">
        <v>8820</v>
      </c>
      <c r="BH650" s="230" t="s">
        <v>8824</v>
      </c>
      <c r="BI650" t="s">
        <v>2486</v>
      </c>
      <c r="BJ650" t="s">
        <v>2481</v>
      </c>
    </row>
    <row r="651" spans="1:62">
      <c r="A651" s="229" t="s">
        <v>67</v>
      </c>
      <c r="B651" s="230" t="s">
        <v>430</v>
      </c>
      <c r="C651" s="230" t="s">
        <v>3196</v>
      </c>
      <c r="D651" s="229" t="s">
        <v>846</v>
      </c>
      <c r="E651" s="229" t="s">
        <v>4740</v>
      </c>
      <c r="F651" s="229" t="s">
        <v>7890</v>
      </c>
      <c r="G651" s="229" t="s">
        <v>7891</v>
      </c>
      <c r="H651" s="229" t="s">
        <v>846</v>
      </c>
      <c r="I651" s="229" t="s">
        <v>4741</v>
      </c>
      <c r="J651" s="231" t="s">
        <v>358</v>
      </c>
      <c r="K651" s="231" t="s">
        <v>358</v>
      </c>
      <c r="L651" s="220" t="str">
        <f t="shared" si="164"/>
        <v>IQ#3MTR</v>
      </c>
      <c r="M651" s="220" t="str">
        <f t="shared" si="165"/>
        <v/>
      </c>
      <c r="N651" s="220" t="str">
        <f t="shared" si="166"/>
        <v>IQ#3MTR</v>
      </c>
      <c r="O651" s="220" t="str">
        <f t="shared" si="167"/>
        <v/>
      </c>
      <c r="P651" s="52" t="str">
        <f t="shared" si="168"/>
        <v>IQ#3MTR</v>
      </c>
      <c r="Q651" s="231" t="str">
        <f t="shared" si="157"/>
        <v>497</v>
      </c>
      <c r="R651" s="224">
        <f t="shared" si="159"/>
        <v>453</v>
      </c>
      <c r="S651" s="52">
        <f t="shared" si="169"/>
        <v>403</v>
      </c>
      <c r="T651" s="221">
        <f t="shared" ca="1" si="170"/>
        <v>9.81</v>
      </c>
      <c r="U651" s="221">
        <f t="shared" si="171"/>
        <v>651</v>
      </c>
      <c r="V651" s="220" t="str">
        <f t="array" ref="V651">INDEX(P:P,MAX(U$3:U651))</f>
        <v>IQ#3MTR</v>
      </c>
      <c r="W651" s="220">
        <f t="shared" ca="1" si="172"/>
        <v>25</v>
      </c>
      <c r="X651" s="220" t="str">
        <f t="shared" si="173"/>
        <v/>
      </c>
      <c r="Y651" s="220">
        <f t="shared" si="162"/>
        <v>0</v>
      </c>
      <c r="AA651" s="220" t="str">
        <f t="shared" si="163"/>
        <v>彰東</v>
      </c>
      <c r="AB651" s="220" t="s">
        <v>2487</v>
      </c>
      <c r="AC651" s="220" t="str">
        <f t="shared" si="161"/>
        <v>#3MT</v>
      </c>
      <c r="BB651" s="514" t="s">
        <v>2584</v>
      </c>
      <c r="BC651" s="514">
        <v>4747</v>
      </c>
      <c r="BD651" s="514">
        <v>5</v>
      </c>
      <c r="BE651" s="514">
        <v>4752</v>
      </c>
      <c r="BG651" s="229" t="s">
        <v>8820</v>
      </c>
      <c r="BH651" s="230" t="s">
        <v>8538</v>
      </c>
      <c r="BI651" t="s">
        <v>2487</v>
      </c>
      <c r="BJ651" t="s">
        <v>2487</v>
      </c>
    </row>
    <row r="652" spans="1:62">
      <c r="A652" s="229" t="s">
        <v>67</v>
      </c>
      <c r="B652" s="230" t="s">
        <v>660</v>
      </c>
      <c r="C652" s="230" t="s">
        <v>926</v>
      </c>
      <c r="D652" s="229" t="s">
        <v>7496</v>
      </c>
      <c r="E652" s="229" t="s">
        <v>7892</v>
      </c>
      <c r="F652" s="229" t="s">
        <v>797</v>
      </c>
      <c r="G652" s="229" t="s">
        <v>866</v>
      </c>
      <c r="H652" s="229" t="s">
        <v>7496</v>
      </c>
      <c r="I652" s="229" t="s">
        <v>7893</v>
      </c>
      <c r="J652" s="231" t="s">
        <v>7894</v>
      </c>
      <c r="K652" s="231" t="s">
        <v>839</v>
      </c>
      <c r="L652" s="220" t="str">
        <f t="shared" si="164"/>
        <v>IQ31</v>
      </c>
      <c r="M652" s="220" t="str">
        <f t="shared" si="165"/>
        <v/>
      </c>
      <c r="N652" s="220" t="str">
        <f t="shared" si="166"/>
        <v/>
      </c>
      <c r="O652" s="220" t="str">
        <f t="shared" si="167"/>
        <v/>
      </c>
      <c r="P652" s="52" t="str">
        <f t="shared" si="168"/>
        <v>IQ31</v>
      </c>
      <c r="Q652" s="231" t="str">
        <f t="shared" si="157"/>
        <v>80</v>
      </c>
      <c r="R652" s="224">
        <f t="shared" si="159"/>
        <v>76.666666666666671</v>
      </c>
      <c r="S652" s="52">
        <f t="shared" si="169"/>
        <v>74</v>
      </c>
      <c r="T652" s="221">
        <f t="shared" ca="1" si="170"/>
        <v>1.58</v>
      </c>
      <c r="U652" s="221" t="str">
        <f t="shared" si="171"/>
        <v/>
      </c>
      <c r="V652" s="220" t="str">
        <f t="array" ref="V652">INDEX(P:P,MAX(U$3:U652))</f>
        <v>IQ#3MTR</v>
      </c>
      <c r="W652" s="220" t="str">
        <f t="shared" ca="1" si="172"/>
        <v/>
      </c>
      <c r="X652" s="220">
        <f t="shared" si="173"/>
        <v>11.4</v>
      </c>
      <c r="Y652" s="220">
        <f t="shared" si="162"/>
        <v>0</v>
      </c>
      <c r="AA652" s="220" t="str">
        <f t="shared" si="163"/>
        <v>彰東</v>
      </c>
      <c r="AB652" s="220" t="s">
        <v>2488</v>
      </c>
      <c r="AC652" s="220" t="str">
        <f t="shared" si="161"/>
        <v>IQ31</v>
      </c>
      <c r="BB652" s="514" t="s">
        <v>3271</v>
      </c>
      <c r="BC652" s="514" t="s">
        <v>85</v>
      </c>
      <c r="BD652" s="514" t="s">
        <v>85</v>
      </c>
      <c r="BE652" s="514">
        <v>0</v>
      </c>
      <c r="BG652" s="229" t="s">
        <v>8820</v>
      </c>
      <c r="BH652" s="230" t="s">
        <v>8825</v>
      </c>
      <c r="BI652" t="s">
        <v>2488</v>
      </c>
      <c r="BJ652" t="s">
        <v>2487</v>
      </c>
    </row>
    <row r="653" spans="1:62">
      <c r="A653" s="229" t="s">
        <v>5801</v>
      </c>
      <c r="B653" s="230" t="s">
        <v>7895</v>
      </c>
      <c r="C653" s="230" t="s">
        <v>7374</v>
      </c>
      <c r="D653" s="229" t="s">
        <v>5933</v>
      </c>
      <c r="E653" s="229" t="s">
        <v>7896</v>
      </c>
      <c r="F653" s="229" t="s">
        <v>5933</v>
      </c>
      <c r="G653" s="229" t="s">
        <v>7392</v>
      </c>
      <c r="H653" s="229" t="s">
        <v>5986</v>
      </c>
      <c r="I653" s="229" t="s">
        <v>7392</v>
      </c>
      <c r="J653" s="231" t="s">
        <v>5906</v>
      </c>
      <c r="K653" s="231" t="s">
        <v>5986</v>
      </c>
      <c r="L653" s="220" t="str">
        <f t="shared" si="164"/>
        <v>IQ32</v>
      </c>
      <c r="M653" s="220" t="str">
        <f t="shared" si="165"/>
        <v/>
      </c>
      <c r="N653" s="220" t="str">
        <f t="shared" si="166"/>
        <v/>
      </c>
      <c r="O653" s="220" t="str">
        <f t="shared" si="167"/>
        <v/>
      </c>
      <c r="P653" s="52" t="str">
        <f t="shared" si="168"/>
        <v>IQ32</v>
      </c>
      <c r="Q653" s="231" t="str">
        <f t="shared" si="157"/>
        <v>191</v>
      </c>
      <c r="R653" s="224">
        <f t="shared" si="159"/>
        <v>130.66666666666666</v>
      </c>
      <c r="S653" s="52">
        <f t="shared" si="169"/>
        <v>86</v>
      </c>
      <c r="T653" s="221">
        <f t="shared" ca="1" si="170"/>
        <v>3.77</v>
      </c>
      <c r="U653" s="221" t="str">
        <f t="shared" si="171"/>
        <v/>
      </c>
      <c r="V653" s="220" t="str">
        <f t="array" ref="V653">INDEX(P:P,MAX(U$3:U653))</f>
        <v>IQ#3MTR</v>
      </c>
      <c r="W653" s="220" t="str">
        <f t="shared" ca="1" si="172"/>
        <v/>
      </c>
      <c r="X653" s="220">
        <f t="shared" si="173"/>
        <v>11.4</v>
      </c>
      <c r="Y653" s="220">
        <f t="shared" si="162"/>
        <v>0</v>
      </c>
      <c r="AA653" s="220" t="str">
        <f t="shared" si="163"/>
        <v>彰東</v>
      </c>
      <c r="AB653" s="220" t="s">
        <v>2489</v>
      </c>
      <c r="AC653" s="220" t="str">
        <f t="shared" si="161"/>
        <v>IQ32</v>
      </c>
      <c r="BB653" s="514" t="s">
        <v>2606</v>
      </c>
      <c r="BC653" s="514">
        <v>3487</v>
      </c>
      <c r="BD653" s="514">
        <v>2</v>
      </c>
      <c r="BE653" s="514">
        <v>3489</v>
      </c>
      <c r="BG653" s="229" t="s">
        <v>8820</v>
      </c>
      <c r="BH653" s="230" t="s">
        <v>8826</v>
      </c>
      <c r="BI653" t="s">
        <v>2489</v>
      </c>
      <c r="BJ653" t="s">
        <v>2487</v>
      </c>
    </row>
    <row r="654" spans="1:62">
      <c r="A654" s="229" t="s">
        <v>67</v>
      </c>
      <c r="B654" s="230" t="s">
        <v>7897</v>
      </c>
      <c r="C654" s="230" t="s">
        <v>1020</v>
      </c>
      <c r="D654" s="229" t="s">
        <v>7521</v>
      </c>
      <c r="E654" s="229" t="s">
        <v>7898</v>
      </c>
      <c r="F654" s="229" t="s">
        <v>832</v>
      </c>
      <c r="G654" s="229" t="s">
        <v>7899</v>
      </c>
      <c r="H654" s="229" t="s">
        <v>832</v>
      </c>
      <c r="I654" s="229" t="s">
        <v>791</v>
      </c>
      <c r="J654" s="231" t="s">
        <v>785</v>
      </c>
      <c r="K654" s="231" t="s">
        <v>797</v>
      </c>
      <c r="L654" s="220" t="str">
        <f t="shared" si="164"/>
        <v>IQ33</v>
      </c>
      <c r="M654" s="220" t="str">
        <f t="shared" si="165"/>
        <v/>
      </c>
      <c r="N654" s="220" t="str">
        <f t="shared" si="166"/>
        <v/>
      </c>
      <c r="O654" s="220" t="str">
        <f t="shared" si="167"/>
        <v/>
      </c>
      <c r="P654" s="52" t="str">
        <f t="shared" si="168"/>
        <v>IQ33</v>
      </c>
      <c r="Q654" s="231" t="str">
        <f t="shared" si="157"/>
        <v>102</v>
      </c>
      <c r="R654" s="224">
        <f t="shared" si="159"/>
        <v>85</v>
      </c>
      <c r="S654" s="52">
        <f t="shared" si="169"/>
        <v>75</v>
      </c>
      <c r="T654" s="221">
        <f t="shared" ca="1" si="170"/>
        <v>2.0099999999999998</v>
      </c>
      <c r="U654" s="221" t="str">
        <f t="shared" si="171"/>
        <v/>
      </c>
      <c r="V654" s="220" t="str">
        <f t="array" ref="V654">INDEX(P:P,MAX(U$3:U654))</f>
        <v>IQ#3MTR</v>
      </c>
      <c r="W654" s="220" t="str">
        <f t="shared" ca="1" si="172"/>
        <v/>
      </c>
      <c r="X654" s="220">
        <f t="shared" si="173"/>
        <v>11.4</v>
      </c>
      <c r="Y654" s="220">
        <f t="shared" si="162"/>
        <v>0</v>
      </c>
      <c r="AA654" s="220" t="str">
        <f t="shared" si="163"/>
        <v>彰東</v>
      </c>
      <c r="AB654" s="220" t="s">
        <v>2490</v>
      </c>
      <c r="AC654" s="220" t="str">
        <f t="shared" si="161"/>
        <v>IQ33</v>
      </c>
      <c r="BB654" s="514" t="s">
        <v>2607</v>
      </c>
      <c r="BC654" s="514">
        <v>4713</v>
      </c>
      <c r="BD654" s="514">
        <v>2</v>
      </c>
      <c r="BE654" s="514">
        <v>4715</v>
      </c>
      <c r="BG654" s="229" t="s">
        <v>8815</v>
      </c>
      <c r="BH654" s="230" t="s">
        <v>8827</v>
      </c>
      <c r="BI654" t="s">
        <v>2490</v>
      </c>
      <c r="BJ654" t="s">
        <v>2487</v>
      </c>
    </row>
    <row r="655" spans="1:62">
      <c r="A655" s="229" t="s">
        <v>67</v>
      </c>
      <c r="B655" s="230" t="s">
        <v>7900</v>
      </c>
      <c r="C655" s="230" t="s">
        <v>826</v>
      </c>
      <c r="D655" s="229" t="s">
        <v>845</v>
      </c>
      <c r="E655" s="229" t="s">
        <v>833</v>
      </c>
      <c r="F655" s="229" t="s">
        <v>846</v>
      </c>
      <c r="G655" s="229" t="s">
        <v>909</v>
      </c>
      <c r="H655" s="229" t="s">
        <v>845</v>
      </c>
      <c r="I655" s="229" t="s">
        <v>7901</v>
      </c>
      <c r="J655" s="231" t="s">
        <v>7902</v>
      </c>
      <c r="K655" s="231" t="s">
        <v>789</v>
      </c>
      <c r="L655" s="220" t="str">
        <f t="shared" si="164"/>
        <v>IQ34</v>
      </c>
      <c r="M655" s="220" t="str">
        <f t="shared" si="165"/>
        <v/>
      </c>
      <c r="N655" s="220" t="str">
        <f t="shared" si="166"/>
        <v/>
      </c>
      <c r="O655" s="220" t="str">
        <f t="shared" si="167"/>
        <v/>
      </c>
      <c r="P655" s="52" t="str">
        <f t="shared" si="168"/>
        <v>IQ34</v>
      </c>
      <c r="Q655" s="231" t="str">
        <f t="shared" ref="Q655:Q718" si="174">I655</f>
        <v>109</v>
      </c>
      <c r="R655" s="224">
        <f t="shared" si="159"/>
        <v>99</v>
      </c>
      <c r="S655" s="52">
        <f t="shared" si="169"/>
        <v>92</v>
      </c>
      <c r="T655" s="221">
        <f t="shared" ca="1" si="170"/>
        <v>2.15</v>
      </c>
      <c r="U655" s="221" t="str">
        <f t="shared" si="171"/>
        <v/>
      </c>
      <c r="V655" s="220" t="str">
        <f t="array" ref="V655">INDEX(P:P,MAX(U$3:U655))</f>
        <v>IQ#3MTR</v>
      </c>
      <c r="W655" s="220" t="str">
        <f t="shared" ca="1" si="172"/>
        <v/>
      </c>
      <c r="X655" s="220">
        <f t="shared" si="173"/>
        <v>11.4</v>
      </c>
      <c r="Y655" s="220">
        <f t="shared" si="162"/>
        <v>0</v>
      </c>
      <c r="AA655" s="220" t="str">
        <f t="shared" si="163"/>
        <v>彰東</v>
      </c>
      <c r="AB655" s="220" t="s">
        <v>2491</v>
      </c>
      <c r="AC655" s="220" t="str">
        <f t="shared" si="161"/>
        <v>IQ34</v>
      </c>
      <c r="BB655" s="514" t="s">
        <v>2605</v>
      </c>
      <c r="BC655" s="514">
        <v>4376</v>
      </c>
      <c r="BD655" s="514" t="s">
        <v>85</v>
      </c>
      <c r="BE655" s="514">
        <v>4376</v>
      </c>
      <c r="BG655" s="229" t="s">
        <v>8820</v>
      </c>
      <c r="BH655" s="230" t="s">
        <v>8828</v>
      </c>
      <c r="BI655" t="s">
        <v>2491</v>
      </c>
      <c r="BJ655" t="s">
        <v>2487</v>
      </c>
    </row>
    <row r="656" spans="1:62">
      <c r="A656" s="229" t="s">
        <v>67</v>
      </c>
      <c r="B656" s="230" t="s">
        <v>661</v>
      </c>
      <c r="C656" s="230" t="s">
        <v>830</v>
      </c>
      <c r="D656" s="229" t="s">
        <v>846</v>
      </c>
      <c r="E656" s="229" t="s">
        <v>877</v>
      </c>
      <c r="F656" s="229" t="s">
        <v>7421</v>
      </c>
      <c r="G656" s="229" t="s">
        <v>826</v>
      </c>
      <c r="H656" s="229" t="s">
        <v>850</v>
      </c>
      <c r="I656" s="229" t="s">
        <v>830</v>
      </c>
      <c r="J656" s="231" t="s">
        <v>6100</v>
      </c>
      <c r="K656" s="231" t="s">
        <v>789</v>
      </c>
      <c r="L656" s="220" t="str">
        <f t="shared" si="164"/>
        <v>IQ35</v>
      </c>
      <c r="M656" s="220" t="str">
        <f t="shared" si="165"/>
        <v/>
      </c>
      <c r="N656" s="220" t="str">
        <f t="shared" si="166"/>
        <v/>
      </c>
      <c r="O656" s="220" t="str">
        <f t="shared" si="167"/>
        <v/>
      </c>
      <c r="P656" s="52" t="str">
        <f t="shared" si="168"/>
        <v>IQ35</v>
      </c>
      <c r="Q656" s="231" t="str">
        <f t="shared" si="174"/>
        <v>112</v>
      </c>
      <c r="R656" s="224">
        <f t="shared" si="159"/>
        <v>100.66666666666667</v>
      </c>
      <c r="S656" s="52">
        <f t="shared" si="169"/>
        <v>92</v>
      </c>
      <c r="T656" s="221">
        <f t="shared" ca="1" si="170"/>
        <v>2.21</v>
      </c>
      <c r="U656" s="221" t="str">
        <f t="shared" si="171"/>
        <v/>
      </c>
      <c r="V656" s="220" t="str">
        <f t="array" ref="V656">INDEX(P:P,MAX(U$3:U656))</f>
        <v>IQ#3MTR</v>
      </c>
      <c r="W656" s="220" t="str">
        <f t="shared" ca="1" si="172"/>
        <v/>
      </c>
      <c r="X656" s="220">
        <f t="shared" si="173"/>
        <v>11.4</v>
      </c>
      <c r="Y656" s="220">
        <f t="shared" si="162"/>
        <v>0</v>
      </c>
      <c r="AA656" s="220" t="str">
        <f t="shared" si="163"/>
        <v>彰東</v>
      </c>
      <c r="AB656" s="220" t="s">
        <v>2492</v>
      </c>
      <c r="AC656" s="220" t="str">
        <f t="shared" si="161"/>
        <v>IQ35</v>
      </c>
      <c r="BB656" s="514" t="s">
        <v>2594</v>
      </c>
      <c r="BC656" s="514" t="s">
        <v>85</v>
      </c>
      <c r="BD656" s="514" t="s">
        <v>85</v>
      </c>
      <c r="BE656" s="514">
        <v>0</v>
      </c>
      <c r="BG656" s="229" t="s">
        <v>8815</v>
      </c>
      <c r="BH656" s="230" t="s">
        <v>8829</v>
      </c>
      <c r="BI656" t="s">
        <v>2492</v>
      </c>
      <c r="BJ656" t="s">
        <v>2487</v>
      </c>
    </row>
    <row r="657" spans="1:62">
      <c r="A657" s="229" t="s">
        <v>7903</v>
      </c>
      <c r="B657" s="230" t="s">
        <v>425</v>
      </c>
      <c r="C657" s="230" t="s">
        <v>3194</v>
      </c>
      <c r="D657" s="229" t="s">
        <v>804</v>
      </c>
      <c r="E657" s="229" t="s">
        <v>4742</v>
      </c>
      <c r="F657" s="229" t="s">
        <v>804</v>
      </c>
      <c r="G657" s="229" t="s">
        <v>4743</v>
      </c>
      <c r="H657" s="229" t="s">
        <v>804</v>
      </c>
      <c r="I657" s="229" t="s">
        <v>3194</v>
      </c>
      <c r="J657" s="231" t="s">
        <v>358</v>
      </c>
      <c r="K657" s="231" t="s">
        <v>358</v>
      </c>
      <c r="L657" s="220" t="str">
        <f t="shared" si="164"/>
        <v>IR#1MTR</v>
      </c>
      <c r="M657" s="220" t="str">
        <f t="shared" si="165"/>
        <v/>
      </c>
      <c r="N657" s="220" t="str">
        <f t="shared" si="166"/>
        <v>IR#1MTR</v>
      </c>
      <c r="O657" s="220" t="str">
        <f t="shared" si="167"/>
        <v/>
      </c>
      <c r="P657" s="52" t="str">
        <f t="shared" si="168"/>
        <v>IR#1MTR</v>
      </c>
      <c r="Q657" s="231" t="str">
        <f t="shared" si="174"/>
        <v>910</v>
      </c>
      <c r="R657" s="224">
        <f t="shared" si="159"/>
        <v>887</v>
      </c>
      <c r="S657" s="52">
        <f t="shared" si="169"/>
        <v>865</v>
      </c>
      <c r="T657" s="221">
        <f t="shared" ca="1" si="170"/>
        <v>17.97</v>
      </c>
      <c r="U657" s="221">
        <f t="shared" si="171"/>
        <v>657</v>
      </c>
      <c r="V657" s="220" t="str">
        <f t="array" ref="V657">INDEX(P:P,MAX(U$3:U657))</f>
        <v>IR#1MTR</v>
      </c>
      <c r="W657" s="220">
        <f t="shared" ca="1" si="172"/>
        <v>25</v>
      </c>
      <c r="X657" s="220" t="str">
        <f t="shared" si="173"/>
        <v/>
      </c>
      <c r="Y657" s="220">
        <f t="shared" si="162"/>
        <v>0</v>
      </c>
      <c r="AA657" s="220" t="str">
        <f t="shared" si="163"/>
        <v>社頭</v>
      </c>
      <c r="AB657" s="220" t="s">
        <v>2493</v>
      </c>
      <c r="AC657" s="220" t="str">
        <f t="shared" si="161"/>
        <v>#1MT</v>
      </c>
      <c r="BB657" s="514" t="s">
        <v>2597</v>
      </c>
      <c r="BC657" s="514" t="s">
        <v>85</v>
      </c>
      <c r="BD657" s="514" t="s">
        <v>85</v>
      </c>
      <c r="BE657" s="514">
        <v>0</v>
      </c>
      <c r="BG657" s="229" t="s">
        <v>7906</v>
      </c>
      <c r="BH657" s="230" t="s">
        <v>8470</v>
      </c>
      <c r="BI657" t="s">
        <v>2493</v>
      </c>
      <c r="BJ657" t="s">
        <v>2493</v>
      </c>
    </row>
    <row r="658" spans="1:62">
      <c r="A658" s="229" t="s">
        <v>66</v>
      </c>
      <c r="B658" s="230" t="s">
        <v>662</v>
      </c>
      <c r="C658" s="230" t="s">
        <v>3162</v>
      </c>
      <c r="D658" s="229" t="s">
        <v>846</v>
      </c>
      <c r="E658" s="229" t="s">
        <v>7904</v>
      </c>
      <c r="F658" s="229" t="s">
        <v>5975</v>
      </c>
      <c r="G658" s="229" t="s">
        <v>896</v>
      </c>
      <c r="H658" s="229" t="s">
        <v>846</v>
      </c>
      <c r="I658" s="229" t="s">
        <v>3162</v>
      </c>
      <c r="J658" s="231" t="s">
        <v>841</v>
      </c>
      <c r="K658" s="231" t="s">
        <v>7905</v>
      </c>
      <c r="L658" s="220" t="str">
        <f t="shared" si="164"/>
        <v>IR21</v>
      </c>
      <c r="M658" s="220" t="str">
        <f t="shared" si="165"/>
        <v/>
      </c>
      <c r="N658" s="220" t="str">
        <f t="shared" si="166"/>
        <v/>
      </c>
      <c r="O658" s="220" t="str">
        <f t="shared" si="167"/>
        <v/>
      </c>
      <c r="P658" s="52" t="str">
        <f t="shared" si="168"/>
        <v>IR21</v>
      </c>
      <c r="Q658" s="231" t="str">
        <f t="shared" si="174"/>
        <v>168</v>
      </c>
      <c r="R658" s="224">
        <f t="shared" si="159"/>
        <v>158.66666666666666</v>
      </c>
      <c r="S658" s="52">
        <f t="shared" si="169"/>
        <v>146</v>
      </c>
      <c r="T658" s="221">
        <f t="shared" ca="1" si="170"/>
        <v>3.32</v>
      </c>
      <c r="U658" s="221" t="str">
        <f t="shared" si="171"/>
        <v/>
      </c>
      <c r="V658" s="220" t="str">
        <f t="array" ref="V658">INDEX(P:P,MAX(U$3:U658))</f>
        <v>IR#1MTR</v>
      </c>
      <c r="W658" s="220" t="str">
        <f t="shared" ca="1" si="172"/>
        <v/>
      </c>
      <c r="X658" s="220">
        <f t="shared" si="173"/>
        <v>11.4</v>
      </c>
      <c r="Y658" s="220">
        <f t="shared" si="162"/>
        <v>0</v>
      </c>
      <c r="AA658" s="220" t="str">
        <f t="shared" si="163"/>
        <v>社頭</v>
      </c>
      <c r="AB658" s="220" t="s">
        <v>2494</v>
      </c>
      <c r="AC658" s="220" t="str">
        <f t="shared" ref="AC658:AC669" si="175">LEFT(B658,3)</f>
        <v>社東線</v>
      </c>
      <c r="BB658" s="514" t="s">
        <v>2593</v>
      </c>
      <c r="BC658" s="514" t="s">
        <v>85</v>
      </c>
      <c r="BD658" s="514" t="s">
        <v>85</v>
      </c>
      <c r="BE658" s="514">
        <v>0</v>
      </c>
      <c r="BG658" s="229" t="s">
        <v>7906</v>
      </c>
      <c r="BH658" s="230" t="s">
        <v>8830</v>
      </c>
      <c r="BI658" t="s">
        <v>2494</v>
      </c>
      <c r="BJ658" t="s">
        <v>2493</v>
      </c>
    </row>
    <row r="659" spans="1:62">
      <c r="A659" s="229" t="s">
        <v>7906</v>
      </c>
      <c r="B659" s="230" t="s">
        <v>663</v>
      </c>
      <c r="C659" s="230" t="s">
        <v>7907</v>
      </c>
      <c r="D659" s="229" t="s">
        <v>7723</v>
      </c>
      <c r="E659" s="229" t="s">
        <v>7908</v>
      </c>
      <c r="F659" s="229" t="s">
        <v>804</v>
      </c>
      <c r="G659" s="229" t="s">
        <v>1039</v>
      </c>
      <c r="H659" s="229" t="s">
        <v>7723</v>
      </c>
      <c r="I659" s="229" t="s">
        <v>1053</v>
      </c>
      <c r="J659" s="231" t="s">
        <v>7892</v>
      </c>
      <c r="K659" s="231" t="s">
        <v>850</v>
      </c>
      <c r="L659" s="220" t="str">
        <f t="shared" si="164"/>
        <v>IR31</v>
      </c>
      <c r="M659" s="220" t="str">
        <f t="shared" si="165"/>
        <v/>
      </c>
      <c r="N659" s="220" t="str">
        <f t="shared" si="166"/>
        <v/>
      </c>
      <c r="O659" s="220" t="str">
        <f t="shared" si="167"/>
        <v/>
      </c>
      <c r="P659" s="52" t="str">
        <f t="shared" si="168"/>
        <v>IR31</v>
      </c>
      <c r="Q659" s="231" t="str">
        <f t="shared" si="174"/>
        <v>332</v>
      </c>
      <c r="R659" s="224">
        <f t="shared" si="159"/>
        <v>298.66666666666669</v>
      </c>
      <c r="S659" s="52">
        <f t="shared" si="169"/>
        <v>275</v>
      </c>
      <c r="T659" s="221">
        <f t="shared" ca="1" si="170"/>
        <v>6.56</v>
      </c>
      <c r="U659" s="221" t="str">
        <f t="shared" si="171"/>
        <v/>
      </c>
      <c r="V659" s="220" t="str">
        <f t="array" ref="V659">INDEX(P:P,MAX(U$3:U659))</f>
        <v>IR#1MTR</v>
      </c>
      <c r="W659" s="220" t="str">
        <f t="shared" ca="1" si="172"/>
        <v/>
      </c>
      <c r="X659" s="220">
        <f t="shared" si="173"/>
        <v>11.4</v>
      </c>
      <c r="Y659" s="220">
        <f t="shared" si="162"/>
        <v>0</v>
      </c>
      <c r="AA659" s="220" t="str">
        <f t="shared" si="163"/>
        <v>社頭</v>
      </c>
      <c r="AB659" s="220" t="s">
        <v>2495</v>
      </c>
      <c r="AC659" s="220" t="str">
        <f t="shared" si="175"/>
        <v>崙厝線</v>
      </c>
      <c r="BB659" s="514" t="s">
        <v>2595</v>
      </c>
      <c r="BC659" s="514" t="s">
        <v>85</v>
      </c>
      <c r="BD659" s="514" t="s">
        <v>85</v>
      </c>
      <c r="BE659" s="514">
        <v>0</v>
      </c>
      <c r="BG659" s="229" t="s">
        <v>8831</v>
      </c>
      <c r="BH659" s="230" t="s">
        <v>8832</v>
      </c>
      <c r="BI659" t="s">
        <v>2495</v>
      </c>
      <c r="BJ659" t="s">
        <v>2493</v>
      </c>
    </row>
    <row r="660" spans="1:62">
      <c r="A660" s="229" t="s">
        <v>7906</v>
      </c>
      <c r="B660" s="230" t="s">
        <v>664</v>
      </c>
      <c r="C660" s="230" t="s">
        <v>7909</v>
      </c>
      <c r="D660" s="229" t="s">
        <v>804</v>
      </c>
      <c r="E660" s="229" t="s">
        <v>970</v>
      </c>
      <c r="F660" s="229" t="s">
        <v>804</v>
      </c>
      <c r="G660" s="229" t="s">
        <v>962</v>
      </c>
      <c r="H660" s="229" t="s">
        <v>804</v>
      </c>
      <c r="I660" s="229" t="s">
        <v>7910</v>
      </c>
      <c r="J660" s="231" t="s">
        <v>7911</v>
      </c>
      <c r="K660" s="231" t="s">
        <v>783</v>
      </c>
      <c r="L660" s="220" t="str">
        <f t="shared" si="164"/>
        <v>IR32</v>
      </c>
      <c r="M660" s="220" t="str">
        <f t="shared" si="165"/>
        <v/>
      </c>
      <c r="N660" s="220" t="str">
        <f t="shared" si="166"/>
        <v/>
      </c>
      <c r="O660" s="220" t="str">
        <f t="shared" si="167"/>
        <v/>
      </c>
      <c r="P660" s="52" t="str">
        <f t="shared" si="168"/>
        <v>IR32</v>
      </c>
      <c r="Q660" s="231" t="str">
        <f t="shared" si="174"/>
        <v>209</v>
      </c>
      <c r="R660" s="224">
        <f t="shared" si="159"/>
        <v>186.66666666666666</v>
      </c>
      <c r="S660" s="52">
        <f t="shared" si="169"/>
        <v>161</v>
      </c>
      <c r="T660" s="221">
        <f t="shared" ca="1" si="170"/>
        <v>4.13</v>
      </c>
      <c r="U660" s="221" t="str">
        <f t="shared" si="171"/>
        <v/>
      </c>
      <c r="V660" s="220" t="str">
        <f t="array" ref="V660">INDEX(P:P,MAX(U$3:U660))</f>
        <v>IR#1MTR</v>
      </c>
      <c r="W660" s="220" t="str">
        <f t="shared" ca="1" si="172"/>
        <v/>
      </c>
      <c r="X660" s="220">
        <f t="shared" si="173"/>
        <v>11.4</v>
      </c>
      <c r="Y660" s="220">
        <f t="shared" si="162"/>
        <v>0</v>
      </c>
      <c r="AA660" s="220" t="str">
        <f t="shared" si="163"/>
        <v>社頭</v>
      </c>
      <c r="AB660" s="220" t="s">
        <v>2496</v>
      </c>
      <c r="AC660" s="220" t="str">
        <f t="shared" si="175"/>
        <v>雅果線</v>
      </c>
      <c r="BB660" s="514" t="s">
        <v>2609</v>
      </c>
      <c r="BC660" s="514">
        <v>254</v>
      </c>
      <c r="BD660" s="514" t="s">
        <v>85</v>
      </c>
      <c r="BE660" s="514">
        <v>254</v>
      </c>
      <c r="BG660" s="229" t="s">
        <v>7906</v>
      </c>
      <c r="BH660" s="230" t="s">
        <v>8833</v>
      </c>
      <c r="BI660" t="s">
        <v>2496</v>
      </c>
      <c r="BJ660" t="s">
        <v>2493</v>
      </c>
    </row>
    <row r="661" spans="1:62">
      <c r="A661" s="229" t="s">
        <v>7906</v>
      </c>
      <c r="B661" s="230" t="s">
        <v>665</v>
      </c>
      <c r="C661" s="230" t="s">
        <v>5892</v>
      </c>
      <c r="D661" s="229" t="s">
        <v>5682</v>
      </c>
      <c r="E661" s="229" t="s">
        <v>788</v>
      </c>
      <c r="F661" s="229" t="s">
        <v>7815</v>
      </c>
      <c r="G661" s="229" t="s">
        <v>855</v>
      </c>
      <c r="H661" s="229" t="s">
        <v>7912</v>
      </c>
      <c r="I661" s="229" t="s">
        <v>855</v>
      </c>
      <c r="J661" s="231" t="s">
        <v>920</v>
      </c>
      <c r="K661" s="231" t="s">
        <v>850</v>
      </c>
      <c r="L661" s="220" t="str">
        <f t="shared" si="164"/>
        <v>IR33</v>
      </c>
      <c r="M661" s="220" t="str">
        <f t="shared" si="165"/>
        <v/>
      </c>
      <c r="N661" s="220" t="str">
        <f t="shared" si="166"/>
        <v/>
      </c>
      <c r="O661" s="220" t="str">
        <f t="shared" si="167"/>
        <v/>
      </c>
      <c r="P661" s="52" t="str">
        <f t="shared" si="168"/>
        <v>IR33</v>
      </c>
      <c r="Q661" s="231" t="str">
        <f t="shared" si="174"/>
        <v>202</v>
      </c>
      <c r="R661" s="224">
        <f t="shared" si="159"/>
        <v>165</v>
      </c>
      <c r="S661" s="52">
        <f t="shared" si="169"/>
        <v>142</v>
      </c>
      <c r="T661" s="221">
        <f t="shared" ca="1" si="170"/>
        <v>3.99</v>
      </c>
      <c r="U661" s="221" t="str">
        <f t="shared" si="171"/>
        <v/>
      </c>
      <c r="V661" s="220" t="str">
        <f t="array" ref="V661">INDEX(P:P,MAX(U$3:U661))</f>
        <v>IR#1MTR</v>
      </c>
      <c r="W661" s="220" t="str">
        <f t="shared" ca="1" si="172"/>
        <v/>
      </c>
      <c r="X661" s="220">
        <f t="shared" si="173"/>
        <v>11.4</v>
      </c>
      <c r="Y661" s="220">
        <f t="shared" si="162"/>
        <v>0</v>
      </c>
      <c r="AA661" s="220" t="str">
        <f t="shared" si="163"/>
        <v>社頭</v>
      </c>
      <c r="AB661" s="220" t="s">
        <v>2497</v>
      </c>
      <c r="AC661" s="220" t="str">
        <f t="shared" si="175"/>
        <v>清水線</v>
      </c>
      <c r="BB661" s="514" t="s">
        <v>2599</v>
      </c>
      <c r="BC661" s="514">
        <v>797</v>
      </c>
      <c r="BD661" s="514">
        <v>10</v>
      </c>
      <c r="BE661" s="514">
        <v>807</v>
      </c>
      <c r="BG661" s="229" t="s">
        <v>7906</v>
      </c>
      <c r="BH661" s="230" t="s">
        <v>665</v>
      </c>
      <c r="BI661" t="s">
        <v>2497</v>
      </c>
      <c r="BJ661" t="s">
        <v>2493</v>
      </c>
    </row>
    <row r="662" spans="1:62">
      <c r="A662" s="229" t="s">
        <v>7906</v>
      </c>
      <c r="B662" s="230" t="s">
        <v>666</v>
      </c>
      <c r="C662" s="230" t="s">
        <v>798</v>
      </c>
      <c r="D662" s="229" t="s">
        <v>7913</v>
      </c>
      <c r="E662" s="229" t="s">
        <v>7914</v>
      </c>
      <c r="F662" s="229" t="s">
        <v>804</v>
      </c>
      <c r="G662" s="229" t="s">
        <v>943</v>
      </c>
      <c r="H662" s="229" t="s">
        <v>804</v>
      </c>
      <c r="I662" s="229" t="s">
        <v>798</v>
      </c>
      <c r="J662" s="231" t="s">
        <v>857</v>
      </c>
      <c r="K662" s="231" t="s">
        <v>7915</v>
      </c>
      <c r="L662" s="220" t="str">
        <f t="shared" si="164"/>
        <v>IR34</v>
      </c>
      <c r="M662" s="220" t="str">
        <f t="shared" si="165"/>
        <v/>
      </c>
      <c r="N662" s="220" t="str">
        <f t="shared" si="166"/>
        <v/>
      </c>
      <c r="O662" s="220" t="str">
        <f t="shared" si="167"/>
        <v/>
      </c>
      <c r="P662" s="52" t="str">
        <f t="shared" si="168"/>
        <v>IR34</v>
      </c>
      <c r="Q662" s="231" t="str">
        <f t="shared" si="174"/>
        <v>146</v>
      </c>
      <c r="R662" s="224">
        <f t="shared" si="159"/>
        <v>125.66666666666667</v>
      </c>
      <c r="S662" s="52">
        <f t="shared" si="169"/>
        <v>94</v>
      </c>
      <c r="T662" s="221">
        <f t="shared" ca="1" si="170"/>
        <v>2.88</v>
      </c>
      <c r="U662" s="221" t="str">
        <f t="shared" si="171"/>
        <v/>
      </c>
      <c r="V662" s="220" t="str">
        <f t="array" ref="V662">INDEX(P:P,MAX(U$3:U662))</f>
        <v>IR#1MTR</v>
      </c>
      <c r="W662" s="220" t="str">
        <f t="shared" ca="1" si="172"/>
        <v/>
      </c>
      <c r="X662" s="220">
        <f t="shared" si="173"/>
        <v>11.4</v>
      </c>
      <c r="Y662" s="220">
        <f t="shared" si="162"/>
        <v>0</v>
      </c>
      <c r="AA662" s="220" t="str">
        <f t="shared" si="163"/>
        <v>社頭</v>
      </c>
      <c r="AB662" s="220" t="s">
        <v>2498</v>
      </c>
      <c r="AC662" s="220" t="str">
        <f t="shared" si="175"/>
        <v>美雅線</v>
      </c>
      <c r="BB662" s="514" t="s">
        <v>2608</v>
      </c>
      <c r="BC662" s="514">
        <v>6039</v>
      </c>
      <c r="BD662" s="514">
        <v>2</v>
      </c>
      <c r="BE662" s="514">
        <v>6041</v>
      </c>
      <c r="BG662" s="229" t="s">
        <v>8831</v>
      </c>
      <c r="BH662" s="230" t="s">
        <v>8834</v>
      </c>
      <c r="BI662" t="s">
        <v>2498</v>
      </c>
      <c r="BJ662" t="s">
        <v>2493</v>
      </c>
    </row>
    <row r="663" spans="1:62">
      <c r="A663" s="229" t="s">
        <v>7916</v>
      </c>
      <c r="B663" s="230" t="s">
        <v>427</v>
      </c>
      <c r="C663" s="230" t="s">
        <v>3197</v>
      </c>
      <c r="D663" s="229" t="s">
        <v>846</v>
      </c>
      <c r="E663" s="229" t="s">
        <v>3186</v>
      </c>
      <c r="F663" s="229" t="s">
        <v>846</v>
      </c>
      <c r="G663" s="229" t="s">
        <v>4744</v>
      </c>
      <c r="H663" s="229" t="s">
        <v>846</v>
      </c>
      <c r="I663" s="229" t="s">
        <v>3197</v>
      </c>
      <c r="J663" s="231" t="s">
        <v>7078</v>
      </c>
      <c r="K663" s="231" t="s">
        <v>7917</v>
      </c>
      <c r="L663" s="220" t="str">
        <f t="shared" si="164"/>
        <v>IR#2MTR</v>
      </c>
      <c r="M663" s="220" t="str">
        <f t="shared" si="165"/>
        <v/>
      </c>
      <c r="N663" s="220" t="str">
        <f t="shared" si="166"/>
        <v>IR#2MTR</v>
      </c>
      <c r="O663" s="220" t="str">
        <f t="shared" si="167"/>
        <v/>
      </c>
      <c r="P663" s="52" t="str">
        <f t="shared" si="168"/>
        <v>IR#2MTR</v>
      </c>
      <c r="Q663" s="231" t="str">
        <f t="shared" si="174"/>
        <v>1052</v>
      </c>
      <c r="R663" s="224">
        <f t="shared" si="159"/>
        <v>985.33333333333337</v>
      </c>
      <c r="S663" s="52">
        <f t="shared" si="169"/>
        <v>939</v>
      </c>
      <c r="T663" s="221">
        <f t="shared" ca="1" si="170"/>
        <v>20.77</v>
      </c>
      <c r="U663" s="221">
        <f t="shared" si="171"/>
        <v>663</v>
      </c>
      <c r="V663" s="220" t="str">
        <f t="array" ref="V663">INDEX(P:P,MAX(U$3:U663))</f>
        <v>IR#2MTR</v>
      </c>
      <c r="W663" s="220">
        <f t="shared" ca="1" si="172"/>
        <v>25</v>
      </c>
      <c r="X663" s="220" t="str">
        <f t="shared" si="173"/>
        <v/>
      </c>
      <c r="Y663" s="220">
        <f t="shared" si="162"/>
        <v>0</v>
      </c>
      <c r="AA663" s="220" t="str">
        <f t="shared" si="163"/>
        <v>社頭</v>
      </c>
      <c r="AB663" s="220" t="s">
        <v>2499</v>
      </c>
      <c r="AC663" s="220" t="str">
        <f t="shared" si="175"/>
        <v>#2M</v>
      </c>
      <c r="BB663" s="514" t="s">
        <v>2596</v>
      </c>
      <c r="BC663" s="514" t="s">
        <v>85</v>
      </c>
      <c r="BD663" s="514" t="s">
        <v>85</v>
      </c>
      <c r="BE663" s="514">
        <v>0</v>
      </c>
      <c r="BG663" s="229" t="s">
        <v>8831</v>
      </c>
      <c r="BH663" s="230" t="s">
        <v>8477</v>
      </c>
      <c r="BI663" t="s">
        <v>2499</v>
      </c>
      <c r="BJ663" t="s">
        <v>2499</v>
      </c>
    </row>
    <row r="664" spans="1:62">
      <c r="A664" s="229" t="s">
        <v>7906</v>
      </c>
      <c r="B664" s="230" t="s">
        <v>667</v>
      </c>
      <c r="C664" s="230" t="s">
        <v>1027</v>
      </c>
      <c r="D664" s="229" t="s">
        <v>804</v>
      </c>
      <c r="E664" s="229" t="s">
        <v>808</v>
      </c>
      <c r="F664" s="229" t="s">
        <v>804</v>
      </c>
      <c r="G664" s="229" t="s">
        <v>956</v>
      </c>
      <c r="H664" s="229" t="s">
        <v>850</v>
      </c>
      <c r="I664" s="229" t="s">
        <v>956</v>
      </c>
      <c r="J664" s="231" t="s">
        <v>831</v>
      </c>
      <c r="K664" s="231" t="s">
        <v>835</v>
      </c>
      <c r="L664" s="220" t="str">
        <f t="shared" si="164"/>
        <v>IR35</v>
      </c>
      <c r="M664" s="220" t="str">
        <f t="shared" si="165"/>
        <v/>
      </c>
      <c r="N664" s="220" t="str">
        <f t="shared" si="166"/>
        <v/>
      </c>
      <c r="O664" s="220" t="str">
        <f t="shared" si="167"/>
        <v/>
      </c>
      <c r="P664" s="52" t="str">
        <f t="shared" si="168"/>
        <v>IR35</v>
      </c>
      <c r="Q664" s="231" t="str">
        <f t="shared" si="174"/>
        <v>140</v>
      </c>
      <c r="R664" s="224">
        <f t="shared" si="159"/>
        <v>125</v>
      </c>
      <c r="S664" s="52">
        <f t="shared" si="169"/>
        <v>107</v>
      </c>
      <c r="T664" s="221">
        <f t="shared" ca="1" si="170"/>
        <v>2.76</v>
      </c>
      <c r="U664" s="221" t="str">
        <f t="shared" si="171"/>
        <v/>
      </c>
      <c r="V664" s="220" t="str">
        <f t="array" ref="V664">INDEX(P:P,MAX(U$3:U664))</f>
        <v>IR#2MTR</v>
      </c>
      <c r="W664" s="220" t="str">
        <f t="shared" ca="1" si="172"/>
        <v/>
      </c>
      <c r="X664" s="220">
        <f t="shared" si="173"/>
        <v>11.4</v>
      </c>
      <c r="Y664" s="220">
        <f t="shared" si="162"/>
        <v>0</v>
      </c>
      <c r="AA664" s="220" t="str">
        <f t="shared" si="163"/>
        <v>社頭</v>
      </c>
      <c r="AB664" s="220" t="s">
        <v>2500</v>
      </c>
      <c r="AC664" s="220" t="str">
        <f t="shared" si="175"/>
        <v>八堡線</v>
      </c>
      <c r="BB664" s="514" t="s">
        <v>2600</v>
      </c>
      <c r="BC664" s="514">
        <v>1424</v>
      </c>
      <c r="BD664" s="514" t="s">
        <v>85</v>
      </c>
      <c r="BE664" s="514">
        <v>1424</v>
      </c>
      <c r="BG664" s="229" t="s">
        <v>8831</v>
      </c>
      <c r="BH664" s="230" t="s">
        <v>8835</v>
      </c>
      <c r="BI664" t="s">
        <v>2500</v>
      </c>
      <c r="BJ664" t="s">
        <v>2499</v>
      </c>
    </row>
    <row r="665" spans="1:62">
      <c r="A665" s="229" t="s">
        <v>7906</v>
      </c>
      <c r="B665" s="230" t="s">
        <v>668</v>
      </c>
      <c r="C665" s="230" t="s">
        <v>7918</v>
      </c>
      <c r="D665" s="229" t="s">
        <v>7496</v>
      </c>
      <c r="E665" s="229" t="s">
        <v>983</v>
      </c>
      <c r="F665" s="229" t="s">
        <v>846</v>
      </c>
      <c r="G665" s="229" t="s">
        <v>7919</v>
      </c>
      <c r="H665" s="229" t="s">
        <v>7920</v>
      </c>
      <c r="I665" s="229" t="s">
        <v>7921</v>
      </c>
      <c r="J665" s="231" t="s">
        <v>6285</v>
      </c>
      <c r="K665" s="231" t="s">
        <v>5949</v>
      </c>
      <c r="L665" s="220" t="str">
        <f t="shared" si="164"/>
        <v>IR20</v>
      </c>
      <c r="M665" s="220" t="str">
        <f t="shared" si="165"/>
        <v/>
      </c>
      <c r="N665" s="220" t="str">
        <f t="shared" si="166"/>
        <v/>
      </c>
      <c r="O665" s="220" t="str">
        <f t="shared" si="167"/>
        <v/>
      </c>
      <c r="P665" s="52" t="str">
        <f t="shared" si="168"/>
        <v>IR20</v>
      </c>
      <c r="Q665" s="231" t="str">
        <f t="shared" si="174"/>
        <v>285</v>
      </c>
      <c r="R665" s="224">
        <f t="shared" si="159"/>
        <v>240.66666666666666</v>
      </c>
      <c r="S665" s="52">
        <f t="shared" si="169"/>
        <v>198</v>
      </c>
      <c r="T665" s="221">
        <f t="shared" ca="1" si="170"/>
        <v>5.63</v>
      </c>
      <c r="U665" s="221" t="str">
        <f t="shared" si="171"/>
        <v/>
      </c>
      <c r="V665" s="220" t="str">
        <f t="array" ref="V665">INDEX(P:P,MAX(U$3:U665))</f>
        <v>IR#2MTR</v>
      </c>
      <c r="W665" s="220" t="str">
        <f t="shared" ca="1" si="172"/>
        <v/>
      </c>
      <c r="X665" s="220">
        <f t="shared" si="173"/>
        <v>11.4</v>
      </c>
      <c r="Y665" s="220">
        <f t="shared" si="162"/>
        <v>0</v>
      </c>
      <c r="AA665" s="220" t="str">
        <f t="shared" si="163"/>
        <v>社頭</v>
      </c>
      <c r="AB665" s="220" t="s">
        <v>2501</v>
      </c>
      <c r="AC665" s="220" t="str">
        <f t="shared" si="175"/>
        <v>新雅線</v>
      </c>
      <c r="BB665" s="514" t="s">
        <v>2601</v>
      </c>
      <c r="BC665" s="514">
        <v>1193</v>
      </c>
      <c r="BD665" s="514">
        <v>7</v>
      </c>
      <c r="BE665" s="514">
        <v>1200</v>
      </c>
      <c r="BG665" s="229" t="s">
        <v>8831</v>
      </c>
      <c r="BH665" s="230" t="s">
        <v>8836</v>
      </c>
      <c r="BI665" t="s">
        <v>2501</v>
      </c>
      <c r="BJ665" t="s">
        <v>2499</v>
      </c>
    </row>
    <row r="666" spans="1:62">
      <c r="A666" s="229" t="s">
        <v>7922</v>
      </c>
      <c r="B666" s="230" t="s">
        <v>669</v>
      </c>
      <c r="C666" s="230" t="s">
        <v>7923</v>
      </c>
      <c r="D666" s="229" t="s">
        <v>7924</v>
      </c>
      <c r="E666" s="229" t="s">
        <v>7925</v>
      </c>
      <c r="F666" s="229" t="s">
        <v>846</v>
      </c>
      <c r="G666" s="229" t="s">
        <v>908</v>
      </c>
      <c r="H666" s="229" t="s">
        <v>5650</v>
      </c>
      <c r="I666" s="229" t="s">
        <v>948</v>
      </c>
      <c r="J666" s="231" t="s">
        <v>7926</v>
      </c>
      <c r="K666" s="231" t="s">
        <v>835</v>
      </c>
      <c r="L666" s="220" t="str">
        <f t="shared" si="164"/>
        <v>IR25</v>
      </c>
      <c r="M666" s="220" t="str">
        <f t="shared" si="165"/>
        <v/>
      </c>
      <c r="N666" s="220" t="str">
        <f t="shared" si="166"/>
        <v/>
      </c>
      <c r="O666" s="220" t="str">
        <f t="shared" si="167"/>
        <v/>
      </c>
      <c r="P666" s="52" t="str">
        <f t="shared" si="168"/>
        <v>IR25</v>
      </c>
      <c r="Q666" s="231" t="str">
        <f t="shared" si="174"/>
        <v>135</v>
      </c>
      <c r="R666" s="224">
        <f t="shared" si="159"/>
        <v>112.33333333333333</v>
      </c>
      <c r="S666" s="52">
        <f t="shared" si="169"/>
        <v>97</v>
      </c>
      <c r="T666" s="221">
        <f t="shared" ca="1" si="170"/>
        <v>2.67</v>
      </c>
      <c r="U666" s="221" t="str">
        <f t="shared" si="171"/>
        <v/>
      </c>
      <c r="V666" s="220" t="str">
        <f t="array" ref="V666">INDEX(P:P,MAX(U$3:U666))</f>
        <v>IR#2MTR</v>
      </c>
      <c r="W666" s="220" t="str">
        <f t="shared" ca="1" si="172"/>
        <v/>
      </c>
      <c r="X666" s="220">
        <f t="shared" si="173"/>
        <v>11.4</v>
      </c>
      <c r="Y666" s="220">
        <f t="shared" si="162"/>
        <v>0</v>
      </c>
      <c r="AA666" s="220" t="str">
        <f t="shared" si="163"/>
        <v>社頭</v>
      </c>
      <c r="AB666" s="220" t="s">
        <v>2502</v>
      </c>
      <c r="AC666" s="220" t="str">
        <f t="shared" si="175"/>
        <v>崙雅線</v>
      </c>
      <c r="BB666" s="514" t="s">
        <v>2603</v>
      </c>
      <c r="BC666" s="514">
        <v>2852</v>
      </c>
      <c r="BD666" s="514">
        <v>2</v>
      </c>
      <c r="BE666" s="514">
        <v>2854</v>
      </c>
      <c r="BG666" s="229" t="s">
        <v>8837</v>
      </c>
      <c r="BH666" s="230" t="s">
        <v>8838</v>
      </c>
      <c r="BI666" t="s">
        <v>2502</v>
      </c>
      <c r="BJ666" t="s">
        <v>2499</v>
      </c>
    </row>
    <row r="667" spans="1:62">
      <c r="A667" s="229" t="s">
        <v>7906</v>
      </c>
      <c r="B667" s="230" t="s">
        <v>670</v>
      </c>
      <c r="C667" s="230" t="s">
        <v>7927</v>
      </c>
      <c r="D667" s="229" t="s">
        <v>7928</v>
      </c>
      <c r="E667" s="229" t="s">
        <v>1028</v>
      </c>
      <c r="F667" s="229" t="s">
        <v>783</v>
      </c>
      <c r="G667" s="229" t="s">
        <v>7929</v>
      </c>
      <c r="H667" s="229" t="s">
        <v>7930</v>
      </c>
      <c r="I667" s="229" t="s">
        <v>860</v>
      </c>
      <c r="J667" s="231" t="s">
        <v>935</v>
      </c>
      <c r="K667" s="231" t="s">
        <v>5682</v>
      </c>
      <c r="L667" s="220" t="str">
        <f t="shared" si="164"/>
        <v>IR26</v>
      </c>
      <c r="M667" s="220" t="str">
        <f t="shared" si="165"/>
        <v/>
      </c>
      <c r="N667" s="220" t="str">
        <f t="shared" si="166"/>
        <v/>
      </c>
      <c r="O667" s="220" t="str">
        <f t="shared" si="167"/>
        <v/>
      </c>
      <c r="P667" s="52" t="str">
        <f t="shared" si="168"/>
        <v>IR26</v>
      </c>
      <c r="Q667" s="231" t="str">
        <f t="shared" si="174"/>
        <v>255</v>
      </c>
      <c r="R667" s="224">
        <f t="shared" si="159"/>
        <v>226</v>
      </c>
      <c r="S667" s="52">
        <f t="shared" si="169"/>
        <v>198</v>
      </c>
      <c r="T667" s="221">
        <f t="shared" ca="1" si="170"/>
        <v>5.04</v>
      </c>
      <c r="U667" s="221" t="str">
        <f t="shared" si="171"/>
        <v/>
      </c>
      <c r="V667" s="220" t="str">
        <f t="array" ref="V667">INDEX(P:P,MAX(U$3:U667))</f>
        <v>IR#2MTR</v>
      </c>
      <c r="W667" s="220" t="str">
        <f t="shared" ca="1" si="172"/>
        <v/>
      </c>
      <c r="X667" s="220">
        <f t="shared" si="173"/>
        <v>11.4</v>
      </c>
      <c r="Y667" s="220">
        <f t="shared" si="162"/>
        <v>0</v>
      </c>
      <c r="AA667" s="220" t="str">
        <f t="shared" si="163"/>
        <v>社頭</v>
      </c>
      <c r="AB667" s="220" t="s">
        <v>2503</v>
      </c>
      <c r="AC667" s="220" t="str">
        <f t="shared" si="175"/>
        <v>朝興線</v>
      </c>
      <c r="BB667" s="514" t="s">
        <v>2602</v>
      </c>
      <c r="BC667" s="514">
        <v>6072</v>
      </c>
      <c r="BD667" s="514">
        <v>3</v>
      </c>
      <c r="BE667" s="514">
        <v>6075</v>
      </c>
      <c r="BG667" s="229" t="s">
        <v>8831</v>
      </c>
      <c r="BH667" s="230" t="s">
        <v>8839</v>
      </c>
      <c r="BI667" t="s">
        <v>2503</v>
      </c>
      <c r="BJ667" t="s">
        <v>2499</v>
      </c>
    </row>
    <row r="668" spans="1:62">
      <c r="A668" s="229" t="s">
        <v>7906</v>
      </c>
      <c r="B668" s="230" t="s">
        <v>7931</v>
      </c>
      <c r="C668" s="230" t="s">
        <v>3169</v>
      </c>
      <c r="D668" s="229" t="s">
        <v>850</v>
      </c>
      <c r="E668" s="229" t="s">
        <v>4745</v>
      </c>
      <c r="F668" s="229" t="s">
        <v>846</v>
      </c>
      <c r="G668" s="229" t="s">
        <v>7932</v>
      </c>
      <c r="H668" s="229" t="s">
        <v>7912</v>
      </c>
      <c r="I668" s="229" t="s">
        <v>3169</v>
      </c>
      <c r="J668" s="231" t="s">
        <v>7933</v>
      </c>
      <c r="K668" s="231" t="s">
        <v>850</v>
      </c>
      <c r="L668" s="220" t="str">
        <f t="shared" si="164"/>
        <v>IR27</v>
      </c>
      <c r="M668" s="220" t="str">
        <f t="shared" si="165"/>
        <v/>
      </c>
      <c r="N668" s="220" t="str">
        <f t="shared" si="166"/>
        <v/>
      </c>
      <c r="O668" s="220" t="str">
        <f t="shared" si="167"/>
        <v/>
      </c>
      <c r="P668" s="52" t="str">
        <f t="shared" si="168"/>
        <v>IR27</v>
      </c>
      <c r="Q668" s="231" t="str">
        <f t="shared" si="174"/>
        <v>383</v>
      </c>
      <c r="R668" s="224">
        <f t="shared" si="159"/>
        <v>332.33333333333331</v>
      </c>
      <c r="S668" s="52">
        <f t="shared" si="169"/>
        <v>302</v>
      </c>
      <c r="T668" s="221">
        <f t="shared" ca="1" si="170"/>
        <v>7.56</v>
      </c>
      <c r="U668" s="221" t="str">
        <f t="shared" si="171"/>
        <v/>
      </c>
      <c r="V668" s="220" t="str">
        <f t="array" ref="V668">INDEX(P:P,MAX(U$3:U668))</f>
        <v>IR#2MTR</v>
      </c>
      <c r="W668" s="220" t="str">
        <f t="shared" ca="1" si="172"/>
        <v/>
      </c>
      <c r="X668" s="220">
        <f t="shared" si="173"/>
        <v>11.4</v>
      </c>
      <c r="Y668" s="220">
        <f t="shared" si="162"/>
        <v>0</v>
      </c>
      <c r="AA668" s="220" t="str">
        <f t="shared" si="163"/>
        <v>社頭</v>
      </c>
      <c r="AB668" s="220" t="s">
        <v>2504</v>
      </c>
      <c r="AC668" s="220" t="str">
        <f t="shared" si="175"/>
        <v>社永線</v>
      </c>
      <c r="BB668" s="514" t="s">
        <v>3272</v>
      </c>
      <c r="BC668" s="514" t="s">
        <v>85</v>
      </c>
      <c r="BD668" s="514" t="s">
        <v>85</v>
      </c>
      <c r="BE668" s="514">
        <v>0</v>
      </c>
      <c r="BG668" s="229" t="s">
        <v>7906</v>
      </c>
      <c r="BH668" s="230" t="s">
        <v>8840</v>
      </c>
      <c r="BI668" t="s">
        <v>2504</v>
      </c>
      <c r="BJ668" t="s">
        <v>2499</v>
      </c>
    </row>
    <row r="669" spans="1:62">
      <c r="A669" s="229" t="s">
        <v>66</v>
      </c>
      <c r="B669" s="230" t="s">
        <v>430</v>
      </c>
      <c r="C669" s="230" t="s">
        <v>5614</v>
      </c>
      <c r="D669" s="229" t="s">
        <v>784</v>
      </c>
      <c r="E669" s="229" t="s">
        <v>7087</v>
      </c>
      <c r="F669" s="229" t="s">
        <v>5628</v>
      </c>
      <c r="G669" s="229" t="s">
        <v>5699</v>
      </c>
      <c r="H669" s="229" t="s">
        <v>5628</v>
      </c>
      <c r="I669" s="229" t="s">
        <v>7087</v>
      </c>
      <c r="J669" s="231" t="s">
        <v>5585</v>
      </c>
      <c r="K669" s="231" t="s">
        <v>7078</v>
      </c>
      <c r="L669" s="220" t="str">
        <f t="shared" si="164"/>
        <v>IR#3MTR</v>
      </c>
      <c r="M669" s="220" t="str">
        <f t="shared" si="165"/>
        <v/>
      </c>
      <c r="N669" s="220" t="str">
        <f t="shared" si="166"/>
        <v>IR#3MTR</v>
      </c>
      <c r="O669" s="220" t="str">
        <f t="shared" si="167"/>
        <v/>
      </c>
      <c r="P669" s="52" t="str">
        <f t="shared" si="168"/>
        <v>IR#3MTR</v>
      </c>
      <c r="Q669" s="231" t="str">
        <f t="shared" si="174"/>
        <v>0</v>
      </c>
      <c r="R669" s="224">
        <f t="shared" si="159"/>
        <v>0</v>
      </c>
      <c r="S669" s="52">
        <f t="shared" si="169"/>
        <v>0</v>
      </c>
      <c r="T669" s="221">
        <f t="shared" ca="1" si="170"/>
        <v>0</v>
      </c>
      <c r="U669" s="221">
        <f t="shared" si="171"/>
        <v>669</v>
      </c>
      <c r="V669" s="220" t="str">
        <f t="array" ref="V669">INDEX(P:P,MAX(U$3:U669))</f>
        <v>IR#3MTR</v>
      </c>
      <c r="W669" s="220">
        <f t="shared" ca="1" si="172"/>
        <v>25</v>
      </c>
      <c r="X669" s="220" t="str">
        <f t="shared" si="173"/>
        <v/>
      </c>
      <c r="Y669" s="220">
        <f t="shared" si="162"/>
        <v>0</v>
      </c>
      <c r="AA669" s="220" t="str">
        <f t="shared" si="163"/>
        <v>社頭</v>
      </c>
      <c r="AB669" s="220" t="s">
        <v>2505</v>
      </c>
      <c r="AC669" s="220" t="str">
        <f t="shared" si="175"/>
        <v>#3M</v>
      </c>
      <c r="BB669" s="514" t="s">
        <v>1973</v>
      </c>
      <c r="BC669" s="514">
        <v>1522</v>
      </c>
      <c r="BD669" s="514">
        <v>1</v>
      </c>
      <c r="BE669" s="514">
        <v>1523</v>
      </c>
      <c r="BG669" s="229" t="s">
        <v>8837</v>
      </c>
      <c r="BH669" s="230" t="s">
        <v>8538</v>
      </c>
      <c r="BI669" t="s">
        <v>2505</v>
      </c>
      <c r="BJ669" t="s">
        <v>2505</v>
      </c>
    </row>
    <row r="670" spans="1:62">
      <c r="A670" s="229" t="s">
        <v>7906</v>
      </c>
      <c r="B670" s="230" t="s">
        <v>7934</v>
      </c>
      <c r="C670" s="230" t="s">
        <v>5614</v>
      </c>
      <c r="D670" s="229" t="s">
        <v>5628</v>
      </c>
      <c r="E670" s="229" t="s">
        <v>5699</v>
      </c>
      <c r="F670" s="229" t="s">
        <v>5628</v>
      </c>
      <c r="G670" s="229" t="s">
        <v>5699</v>
      </c>
      <c r="H670" s="229" t="s">
        <v>5628</v>
      </c>
      <c r="I670" s="229" t="s">
        <v>5614</v>
      </c>
      <c r="J670" s="231" t="s">
        <v>5699</v>
      </c>
      <c r="K670" s="231" t="s">
        <v>5628</v>
      </c>
      <c r="L670" s="220" t="str">
        <f t="shared" si="164"/>
        <v>IR37</v>
      </c>
      <c r="M670" s="220" t="str">
        <f t="shared" si="165"/>
        <v/>
      </c>
      <c r="N670" s="220" t="str">
        <f t="shared" si="166"/>
        <v/>
      </c>
      <c r="O670" s="220" t="str">
        <f t="shared" si="167"/>
        <v/>
      </c>
      <c r="P670" s="52" t="str">
        <f t="shared" si="168"/>
        <v>IR37</v>
      </c>
      <c r="Q670" s="231" t="str">
        <f t="shared" si="174"/>
        <v>0</v>
      </c>
      <c r="R670" s="224">
        <f t="shared" si="159"/>
        <v>0</v>
      </c>
      <c r="S670" s="52">
        <f t="shared" si="169"/>
        <v>0</v>
      </c>
      <c r="T670" s="221">
        <f t="shared" ca="1" si="170"/>
        <v>0</v>
      </c>
      <c r="U670" s="221" t="str">
        <f t="shared" si="171"/>
        <v/>
      </c>
      <c r="V670" s="220" t="str">
        <f t="array" ref="V670">INDEX(P:P,MAX(U$3:U670))</f>
        <v>IR#3MTR</v>
      </c>
      <c r="W670" s="220" t="str">
        <f t="shared" ca="1" si="172"/>
        <v/>
      </c>
      <c r="X670" s="220">
        <f t="shared" si="173"/>
        <v>11.4</v>
      </c>
      <c r="Y670" s="220">
        <f t="shared" si="162"/>
        <v>0</v>
      </c>
      <c r="AA670" s="220" t="str">
        <f t="shared" si="163"/>
        <v>社頭</v>
      </c>
      <c r="AB670" s="220" t="s">
        <v>2506</v>
      </c>
      <c r="AC670" s="220" t="str">
        <f>LEFT(B670,4)</f>
        <v>IR37</v>
      </c>
      <c r="BB670" s="514" t="s">
        <v>1904</v>
      </c>
      <c r="BC670" s="514">
        <v>0</v>
      </c>
      <c r="BD670" s="514">
        <v>2</v>
      </c>
      <c r="BE670" s="514">
        <v>2</v>
      </c>
      <c r="BG670" s="229" t="s">
        <v>7906</v>
      </c>
      <c r="BH670" s="230" t="s">
        <v>8841</v>
      </c>
      <c r="BI670" t="s">
        <v>2506</v>
      </c>
      <c r="BJ670" t="s">
        <v>2505</v>
      </c>
    </row>
    <row r="671" spans="1:62">
      <c r="A671" s="229" t="s">
        <v>7906</v>
      </c>
      <c r="B671" s="230" t="s">
        <v>7935</v>
      </c>
      <c r="C671" s="230" t="s">
        <v>5614</v>
      </c>
      <c r="D671" s="229" t="s">
        <v>7363</v>
      </c>
      <c r="E671" s="229" t="s">
        <v>5614</v>
      </c>
      <c r="F671" s="229" t="s">
        <v>7817</v>
      </c>
      <c r="G671" s="229" t="s">
        <v>5614</v>
      </c>
      <c r="H671" s="229" t="s">
        <v>7368</v>
      </c>
      <c r="I671" s="229" t="s">
        <v>7936</v>
      </c>
      <c r="J671" s="231" t="s">
        <v>7936</v>
      </c>
      <c r="K671" s="231" t="s">
        <v>784</v>
      </c>
      <c r="L671" s="220" t="str">
        <f t="shared" si="164"/>
        <v>IR36</v>
      </c>
      <c r="M671" s="220" t="str">
        <f t="shared" si="165"/>
        <v/>
      </c>
      <c r="N671" s="220" t="str">
        <f t="shared" si="166"/>
        <v/>
      </c>
      <c r="O671" s="220" t="str">
        <f t="shared" si="167"/>
        <v/>
      </c>
      <c r="P671" s="52" t="str">
        <f t="shared" si="168"/>
        <v>IR36</v>
      </c>
      <c r="Q671" s="231" t="str">
        <f t="shared" si="174"/>
        <v>0</v>
      </c>
      <c r="R671" s="224">
        <f t="shared" si="159"/>
        <v>0</v>
      </c>
      <c r="S671" s="52">
        <f t="shared" si="169"/>
        <v>0</v>
      </c>
      <c r="T671" s="221">
        <f t="shared" ca="1" si="170"/>
        <v>0</v>
      </c>
      <c r="U671" s="221" t="str">
        <f t="shared" si="171"/>
        <v/>
      </c>
      <c r="V671" s="220" t="str">
        <f t="array" ref="V671">INDEX(P:P,MAX(U$3:U671))</f>
        <v>IR#3MTR</v>
      </c>
      <c r="W671" s="220" t="str">
        <f t="shared" ca="1" si="172"/>
        <v/>
      </c>
      <c r="X671" s="220">
        <f t="shared" si="173"/>
        <v>11.4</v>
      </c>
      <c r="Y671" s="220">
        <f t="shared" si="162"/>
        <v>0</v>
      </c>
      <c r="AA671" s="220" t="str">
        <f t="shared" si="163"/>
        <v>社頭</v>
      </c>
      <c r="AB671" s="220" t="s">
        <v>2507</v>
      </c>
      <c r="AC671" s="220" t="str">
        <f>LEFT(B671,4)</f>
        <v>IR36</v>
      </c>
      <c r="BB671" s="514" t="s">
        <v>1978</v>
      </c>
      <c r="BC671" s="514">
        <v>7</v>
      </c>
      <c r="BD671" s="514">
        <v>4</v>
      </c>
      <c r="BE671" s="514">
        <v>11</v>
      </c>
      <c r="BG671" s="229" t="s">
        <v>8831</v>
      </c>
      <c r="BH671" s="230" t="s">
        <v>8842</v>
      </c>
      <c r="BI671" t="s">
        <v>2507</v>
      </c>
      <c r="BJ671" t="s">
        <v>2505</v>
      </c>
    </row>
    <row r="672" spans="1:62">
      <c r="A672" s="229" t="s">
        <v>7906</v>
      </c>
      <c r="B672" s="230" t="s">
        <v>7937</v>
      </c>
      <c r="C672" s="230" t="s">
        <v>5614</v>
      </c>
      <c r="D672" s="229" t="s">
        <v>7269</v>
      </c>
      <c r="E672" s="229" t="s">
        <v>7268</v>
      </c>
      <c r="F672" s="229" t="s">
        <v>784</v>
      </c>
      <c r="G672" s="229" t="s">
        <v>5699</v>
      </c>
      <c r="H672" s="229" t="s">
        <v>7817</v>
      </c>
      <c r="I672" s="229" t="s">
        <v>7938</v>
      </c>
      <c r="J672" s="231" t="s">
        <v>5614</v>
      </c>
      <c r="K672" s="231" t="s">
        <v>784</v>
      </c>
      <c r="L672" s="220" t="str">
        <f t="shared" si="164"/>
        <v>IR38</v>
      </c>
      <c r="M672" s="220" t="str">
        <f t="shared" si="165"/>
        <v/>
      </c>
      <c r="N672" s="220" t="str">
        <f t="shared" si="166"/>
        <v/>
      </c>
      <c r="O672" s="220" t="str">
        <f t="shared" si="167"/>
        <v/>
      </c>
      <c r="P672" s="52" t="str">
        <f t="shared" si="168"/>
        <v>IR38</v>
      </c>
      <c r="Q672" s="231" t="str">
        <f t="shared" si="174"/>
        <v>0</v>
      </c>
      <c r="R672" s="224">
        <f t="shared" si="159"/>
        <v>0</v>
      </c>
      <c r="S672" s="52">
        <f t="shared" si="169"/>
        <v>0</v>
      </c>
      <c r="T672" s="221">
        <f t="shared" ca="1" si="170"/>
        <v>0</v>
      </c>
      <c r="U672" s="221" t="str">
        <f t="shared" si="171"/>
        <v/>
      </c>
      <c r="V672" s="220" t="str">
        <f t="array" ref="V672">INDEX(P:P,MAX(U$3:U672))</f>
        <v>IR#3MTR</v>
      </c>
      <c r="W672" s="220" t="str">
        <f t="shared" ca="1" si="172"/>
        <v/>
      </c>
      <c r="X672" s="220">
        <f t="shared" si="173"/>
        <v>11.4</v>
      </c>
      <c r="Y672" s="220">
        <f t="shared" si="162"/>
        <v>0</v>
      </c>
      <c r="AA672" s="220" t="str">
        <f t="shared" si="163"/>
        <v>社頭</v>
      </c>
      <c r="AB672" s="220" t="s">
        <v>2508</v>
      </c>
      <c r="AC672" s="220" t="str">
        <f>LEFT(B672,4)</f>
        <v>IR38</v>
      </c>
      <c r="BB672" s="514" t="s">
        <v>1979</v>
      </c>
      <c r="BC672" s="514">
        <v>13</v>
      </c>
      <c r="BD672" s="514">
        <v>9</v>
      </c>
      <c r="BE672" s="514">
        <v>22</v>
      </c>
      <c r="BG672" s="229" t="s">
        <v>7906</v>
      </c>
      <c r="BH672" s="230" t="s">
        <v>8843</v>
      </c>
      <c r="BI672" t="s">
        <v>2508</v>
      </c>
      <c r="BJ672" t="s">
        <v>2505</v>
      </c>
    </row>
    <row r="673" spans="1:62">
      <c r="A673" s="229" t="s">
        <v>7906</v>
      </c>
      <c r="B673" s="230" t="s">
        <v>7939</v>
      </c>
      <c r="C673" s="230" t="s">
        <v>5614</v>
      </c>
      <c r="D673" s="229" t="s">
        <v>784</v>
      </c>
      <c r="E673" s="229" t="s">
        <v>5614</v>
      </c>
      <c r="F673" s="229" t="s">
        <v>7363</v>
      </c>
      <c r="G673" s="229" t="s">
        <v>5699</v>
      </c>
      <c r="H673" s="229" t="s">
        <v>784</v>
      </c>
      <c r="I673" s="229" t="s">
        <v>5699</v>
      </c>
      <c r="J673" s="231" t="s">
        <v>5699</v>
      </c>
      <c r="K673" s="231" t="s">
        <v>784</v>
      </c>
      <c r="L673" s="220" t="str">
        <f t="shared" si="164"/>
        <v>IR39</v>
      </c>
      <c r="M673" s="220" t="str">
        <f t="shared" si="165"/>
        <v/>
      </c>
      <c r="N673" s="220" t="str">
        <f t="shared" si="166"/>
        <v/>
      </c>
      <c r="O673" s="220" t="str">
        <f t="shared" si="167"/>
        <v/>
      </c>
      <c r="P673" s="52" t="str">
        <f t="shared" si="168"/>
        <v>IR39</v>
      </c>
      <c r="Q673" s="231" t="str">
        <f t="shared" si="174"/>
        <v>0</v>
      </c>
      <c r="R673" s="224">
        <f t="shared" ref="R673:R736" si="176">AVERAGE(C673*1,E673*1,G673*1)</f>
        <v>0</v>
      </c>
      <c r="S673" s="52">
        <f t="shared" si="169"/>
        <v>0</v>
      </c>
      <c r="T673" s="221">
        <f t="shared" ca="1" si="170"/>
        <v>0</v>
      </c>
      <c r="U673" s="221" t="str">
        <f t="shared" si="171"/>
        <v/>
      </c>
      <c r="V673" s="220" t="str">
        <f t="array" ref="V673">INDEX(P:P,MAX(U$3:U673))</f>
        <v>IR#3MTR</v>
      </c>
      <c r="W673" s="220" t="str">
        <f t="shared" ca="1" si="172"/>
        <v/>
      </c>
      <c r="X673" s="220">
        <f t="shared" si="173"/>
        <v>11.4</v>
      </c>
      <c r="Y673" s="220">
        <f t="shared" si="162"/>
        <v>0</v>
      </c>
      <c r="AA673" s="220" t="str">
        <f t="shared" si="163"/>
        <v>社頭</v>
      </c>
      <c r="AB673" s="220" t="s">
        <v>2509</v>
      </c>
      <c r="AC673" s="220" t="str">
        <f>LEFT(B673,4)</f>
        <v>IR39</v>
      </c>
      <c r="BB673" s="514" t="s">
        <v>1974</v>
      </c>
      <c r="BC673" s="514">
        <v>1241</v>
      </c>
      <c r="BD673" s="514">
        <v>5</v>
      </c>
      <c r="BE673" s="514">
        <v>1246</v>
      </c>
      <c r="BG673" s="229" t="s">
        <v>7906</v>
      </c>
      <c r="BH673" s="230" t="s">
        <v>8844</v>
      </c>
      <c r="BI673" t="s">
        <v>2509</v>
      </c>
      <c r="BJ673" t="s">
        <v>2505</v>
      </c>
    </row>
    <row r="674" spans="1:62">
      <c r="A674" s="229" t="s">
        <v>7906</v>
      </c>
      <c r="B674" s="230" t="s">
        <v>671</v>
      </c>
      <c r="C674" s="230" t="s">
        <v>7087</v>
      </c>
      <c r="D674" s="229" t="s">
        <v>7368</v>
      </c>
      <c r="E674" s="229" t="s">
        <v>5614</v>
      </c>
      <c r="F674" s="229" t="s">
        <v>7817</v>
      </c>
      <c r="G674" s="229" t="s">
        <v>5614</v>
      </c>
      <c r="H674" s="229" t="s">
        <v>5628</v>
      </c>
      <c r="I674" s="229" t="s">
        <v>7087</v>
      </c>
      <c r="J674" s="231" t="s">
        <v>7940</v>
      </c>
      <c r="K674" s="231" t="s">
        <v>784</v>
      </c>
      <c r="L674" s="220" t="str">
        <f t="shared" si="164"/>
        <v>IR40</v>
      </c>
      <c r="M674" s="220" t="str">
        <f t="shared" si="165"/>
        <v/>
      </c>
      <c r="N674" s="220" t="str">
        <f t="shared" si="166"/>
        <v/>
      </c>
      <c r="O674" s="220" t="str">
        <f t="shared" si="167"/>
        <v/>
      </c>
      <c r="P674" s="52" t="str">
        <f t="shared" si="168"/>
        <v>IR40</v>
      </c>
      <c r="Q674" s="231" t="str">
        <f t="shared" si="174"/>
        <v>0</v>
      </c>
      <c r="R674" s="224">
        <f t="shared" si="176"/>
        <v>0</v>
      </c>
      <c r="S674" s="52">
        <f t="shared" si="169"/>
        <v>0</v>
      </c>
      <c r="T674" s="221">
        <f t="shared" ca="1" si="170"/>
        <v>0</v>
      </c>
      <c r="U674" s="221" t="str">
        <f t="shared" si="171"/>
        <v/>
      </c>
      <c r="V674" s="220" t="str">
        <f t="array" ref="V674">INDEX(P:P,MAX(U$3:U674))</f>
        <v>IR#3MTR</v>
      </c>
      <c r="W674" s="220" t="str">
        <f t="shared" ca="1" si="172"/>
        <v/>
      </c>
      <c r="X674" s="220">
        <f t="shared" si="173"/>
        <v>11.4</v>
      </c>
      <c r="Y674" s="220">
        <f t="shared" si="162"/>
        <v>0</v>
      </c>
      <c r="AA674" s="220" t="str">
        <f t="shared" si="163"/>
        <v>社頭</v>
      </c>
      <c r="AB674" s="220" t="s">
        <v>2510</v>
      </c>
      <c r="AC674" s="220" t="str">
        <f>LEFT(B674,4)</f>
        <v>IR40</v>
      </c>
      <c r="BB674" s="514" t="s">
        <v>1980</v>
      </c>
      <c r="BC674" s="514">
        <v>14</v>
      </c>
      <c r="BD674" s="514">
        <v>10</v>
      </c>
      <c r="BE674" s="514">
        <v>24</v>
      </c>
      <c r="BG674" s="229" t="s">
        <v>8831</v>
      </c>
      <c r="BH674" s="230" t="s">
        <v>8845</v>
      </c>
      <c r="BI674" t="s">
        <v>2510</v>
      </c>
      <c r="BJ674" t="s">
        <v>2505</v>
      </c>
    </row>
    <row r="675" spans="1:62">
      <c r="A675" s="229" t="s">
        <v>66</v>
      </c>
      <c r="B675" s="230" t="s">
        <v>7941</v>
      </c>
      <c r="C675" s="230" t="s">
        <v>3184</v>
      </c>
      <c r="D675" s="229" t="s">
        <v>6166</v>
      </c>
      <c r="E675" s="229" t="s">
        <v>7942</v>
      </c>
      <c r="F675" s="229" t="s">
        <v>5949</v>
      </c>
      <c r="G675" s="229" t="s">
        <v>7943</v>
      </c>
      <c r="H675" s="229" t="s">
        <v>7944</v>
      </c>
      <c r="I675" s="229" t="s">
        <v>7942</v>
      </c>
      <c r="J675" s="231" t="s">
        <v>5585</v>
      </c>
      <c r="K675" s="231" t="s">
        <v>7069</v>
      </c>
      <c r="L675" s="220" t="str">
        <f t="shared" si="164"/>
        <v>IR#4MTR</v>
      </c>
      <c r="M675" s="220" t="str">
        <f t="shared" si="165"/>
        <v/>
      </c>
      <c r="N675" s="220" t="str">
        <f t="shared" si="166"/>
        <v>IR#4MTR</v>
      </c>
      <c r="O675" s="220" t="str">
        <f t="shared" si="167"/>
        <v/>
      </c>
      <c r="P675" s="52" t="str">
        <f t="shared" si="168"/>
        <v>IR#4MTR</v>
      </c>
      <c r="Q675" s="231" t="str">
        <f t="shared" si="174"/>
        <v>1111</v>
      </c>
      <c r="R675" s="224">
        <f t="shared" si="176"/>
        <v>1069.6666666666667</v>
      </c>
      <c r="S675" s="52">
        <f t="shared" si="169"/>
        <v>1014</v>
      </c>
      <c r="T675" s="221">
        <f t="shared" ca="1" si="170"/>
        <v>21.94</v>
      </c>
      <c r="U675" s="221">
        <f t="shared" si="171"/>
        <v>675</v>
      </c>
      <c r="V675" s="220" t="str">
        <f t="array" ref="V675">INDEX(P:P,MAX(U$3:U675))</f>
        <v>IR#4MTR</v>
      </c>
      <c r="W675" s="220">
        <f t="shared" ca="1" si="172"/>
        <v>25</v>
      </c>
      <c r="X675" s="220" t="str">
        <f t="shared" si="173"/>
        <v/>
      </c>
      <c r="Y675" s="220">
        <f t="shared" si="162"/>
        <v>0</v>
      </c>
      <c r="AA675" s="220" t="str">
        <f t="shared" si="163"/>
        <v>社頭</v>
      </c>
      <c r="AB675" s="220" t="s">
        <v>2511</v>
      </c>
      <c r="AC675" s="220" t="str">
        <f t="shared" ref="AC675:AC710" si="177">LEFT(B675,3)</f>
        <v>#4M</v>
      </c>
      <c r="BB675" s="514" t="s">
        <v>1981</v>
      </c>
      <c r="BC675" s="514">
        <v>7</v>
      </c>
      <c r="BD675" s="514">
        <v>9</v>
      </c>
      <c r="BE675" s="514">
        <v>16</v>
      </c>
      <c r="BG675" s="229" t="s">
        <v>8837</v>
      </c>
      <c r="BH675" s="230" t="s">
        <v>8741</v>
      </c>
      <c r="BI675" t="s">
        <v>2511</v>
      </c>
      <c r="BJ675" t="s">
        <v>2511</v>
      </c>
    </row>
    <row r="676" spans="1:62">
      <c r="A676" s="229" t="s">
        <v>7945</v>
      </c>
      <c r="B676" s="230" t="s">
        <v>7946</v>
      </c>
      <c r="C676" s="230" t="s">
        <v>4650</v>
      </c>
      <c r="D676" s="229" t="s">
        <v>6095</v>
      </c>
      <c r="E676" s="229" t="s">
        <v>7947</v>
      </c>
      <c r="F676" s="229" t="s">
        <v>7948</v>
      </c>
      <c r="G676" s="229" t="s">
        <v>7949</v>
      </c>
      <c r="H676" s="229" t="s">
        <v>7950</v>
      </c>
      <c r="I676" s="229" t="s">
        <v>7951</v>
      </c>
      <c r="J676" s="231" t="s">
        <v>831</v>
      </c>
      <c r="K676" s="231" t="s">
        <v>6095</v>
      </c>
      <c r="L676" s="220" t="str">
        <f t="shared" si="164"/>
        <v>IR23</v>
      </c>
      <c r="M676" s="220" t="str">
        <f t="shared" si="165"/>
        <v/>
      </c>
      <c r="N676" s="220" t="str">
        <f t="shared" si="166"/>
        <v/>
      </c>
      <c r="O676" s="220" t="str">
        <f t="shared" si="167"/>
        <v/>
      </c>
      <c r="P676" s="52" t="str">
        <f t="shared" si="168"/>
        <v>IR23</v>
      </c>
      <c r="Q676" s="231" t="str">
        <f t="shared" si="174"/>
        <v>316</v>
      </c>
      <c r="R676" s="224">
        <f t="shared" si="176"/>
        <v>290.33333333333331</v>
      </c>
      <c r="S676" s="52">
        <f t="shared" si="169"/>
        <v>257</v>
      </c>
      <c r="T676" s="221">
        <f t="shared" ca="1" si="170"/>
        <v>6.24</v>
      </c>
      <c r="U676" s="221" t="str">
        <f t="shared" si="171"/>
        <v/>
      </c>
      <c r="V676" s="220" t="str">
        <f t="array" ref="V676">INDEX(P:P,MAX(U$3:U676))</f>
        <v>IR#4MTR</v>
      </c>
      <c r="W676" s="220" t="str">
        <f t="shared" ca="1" si="172"/>
        <v/>
      </c>
      <c r="X676" s="220">
        <f t="shared" si="173"/>
        <v>11.4</v>
      </c>
      <c r="Y676" s="220">
        <f t="shared" si="162"/>
        <v>0</v>
      </c>
      <c r="AA676" s="220" t="str">
        <f t="shared" si="163"/>
        <v>社頭</v>
      </c>
      <c r="AB676" s="220" t="s">
        <v>2512</v>
      </c>
      <c r="AC676" s="220" t="str">
        <f t="shared" si="177"/>
        <v>社斗線</v>
      </c>
      <c r="BB676" s="514" t="s">
        <v>1982</v>
      </c>
      <c r="BC676" s="514" t="s">
        <v>85</v>
      </c>
      <c r="BD676" s="514">
        <v>1</v>
      </c>
      <c r="BE676" s="514">
        <v>1</v>
      </c>
      <c r="BG676" s="229" t="s">
        <v>8837</v>
      </c>
      <c r="BH676" s="230" t="s">
        <v>8846</v>
      </c>
      <c r="BI676" t="s">
        <v>2512</v>
      </c>
      <c r="BJ676" t="s">
        <v>2511</v>
      </c>
    </row>
    <row r="677" spans="1:62">
      <c r="A677" s="229" t="s">
        <v>7916</v>
      </c>
      <c r="B677" s="230" t="s">
        <v>7952</v>
      </c>
      <c r="C677" s="230" t="s">
        <v>7953</v>
      </c>
      <c r="D677" s="229" t="s">
        <v>5641</v>
      </c>
      <c r="E677" s="229" t="s">
        <v>1009</v>
      </c>
      <c r="F677" s="229" t="s">
        <v>804</v>
      </c>
      <c r="G677" s="229" t="s">
        <v>7954</v>
      </c>
      <c r="H677" s="229" t="s">
        <v>7421</v>
      </c>
      <c r="I677" s="229" t="s">
        <v>7955</v>
      </c>
      <c r="J677" s="231" t="s">
        <v>7956</v>
      </c>
      <c r="K677" s="231" t="s">
        <v>7056</v>
      </c>
      <c r="L677" s="220" t="str">
        <f t="shared" si="164"/>
        <v>IR28</v>
      </c>
      <c r="M677" s="220" t="str">
        <f t="shared" si="165"/>
        <v/>
      </c>
      <c r="N677" s="220" t="str">
        <f t="shared" si="166"/>
        <v/>
      </c>
      <c r="O677" s="220" t="str">
        <f t="shared" si="167"/>
        <v/>
      </c>
      <c r="P677" s="52" t="str">
        <f t="shared" si="168"/>
        <v>IR28</v>
      </c>
      <c r="Q677" s="231" t="str">
        <f t="shared" si="174"/>
        <v>72</v>
      </c>
      <c r="R677" s="224">
        <f t="shared" si="176"/>
        <v>63.666666666666664</v>
      </c>
      <c r="S677" s="52">
        <f t="shared" si="169"/>
        <v>59</v>
      </c>
      <c r="T677" s="221">
        <f t="shared" ca="1" si="170"/>
        <v>1.42</v>
      </c>
      <c r="U677" s="221" t="str">
        <f t="shared" si="171"/>
        <v/>
      </c>
      <c r="V677" s="220" t="str">
        <f t="array" ref="V677">INDEX(P:P,MAX(U$3:U677))</f>
        <v>IR#4MTR</v>
      </c>
      <c r="W677" s="220" t="str">
        <f t="shared" ca="1" si="172"/>
        <v/>
      </c>
      <c r="X677" s="220">
        <f t="shared" si="173"/>
        <v>11.4</v>
      </c>
      <c r="Y677" s="220">
        <f t="shared" si="162"/>
        <v>0</v>
      </c>
      <c r="AA677" s="220" t="str">
        <f t="shared" si="163"/>
        <v>社頭</v>
      </c>
      <c r="AB677" s="220" t="s">
        <v>2513</v>
      </c>
      <c r="AC677" s="220" t="str">
        <f t="shared" si="177"/>
        <v>光雲線</v>
      </c>
      <c r="BB677" s="514" t="s">
        <v>1906</v>
      </c>
      <c r="BC677" s="514">
        <v>20</v>
      </c>
      <c r="BD677" s="514">
        <v>13</v>
      </c>
      <c r="BE677" s="514">
        <v>33</v>
      </c>
      <c r="BG677" s="229" t="s">
        <v>8831</v>
      </c>
      <c r="BH677" s="230" t="s">
        <v>8847</v>
      </c>
      <c r="BI677" t="s">
        <v>2513</v>
      </c>
      <c r="BJ677" t="s">
        <v>2511</v>
      </c>
    </row>
    <row r="678" spans="1:62">
      <c r="A678" s="229" t="s">
        <v>7916</v>
      </c>
      <c r="B678" s="230" t="s">
        <v>672</v>
      </c>
      <c r="C678" s="230" t="s">
        <v>6217</v>
      </c>
      <c r="D678" s="229" t="s">
        <v>7056</v>
      </c>
      <c r="E678" s="229" t="s">
        <v>7957</v>
      </c>
      <c r="F678" s="229" t="s">
        <v>7958</v>
      </c>
      <c r="G678" s="229" t="s">
        <v>7959</v>
      </c>
      <c r="H678" s="229" t="s">
        <v>6095</v>
      </c>
      <c r="I678" s="229" t="s">
        <v>6217</v>
      </c>
      <c r="J678" s="231" t="s">
        <v>7960</v>
      </c>
      <c r="K678" s="231" t="s">
        <v>7961</v>
      </c>
      <c r="L678" s="220" t="str">
        <f t="shared" si="164"/>
        <v>IR22</v>
      </c>
      <c r="M678" s="220" t="str">
        <f t="shared" si="165"/>
        <v/>
      </c>
      <c r="N678" s="220" t="str">
        <f t="shared" si="166"/>
        <v/>
      </c>
      <c r="O678" s="220" t="str">
        <f t="shared" si="167"/>
        <v/>
      </c>
      <c r="P678" s="52" t="str">
        <f t="shared" si="168"/>
        <v>IR22</v>
      </c>
      <c r="Q678" s="231" t="str">
        <f t="shared" si="174"/>
        <v>140</v>
      </c>
      <c r="R678" s="224">
        <f t="shared" si="176"/>
        <v>136</v>
      </c>
      <c r="S678" s="52">
        <f t="shared" si="169"/>
        <v>132</v>
      </c>
      <c r="T678" s="221">
        <f t="shared" ca="1" si="170"/>
        <v>2.76</v>
      </c>
      <c r="U678" s="221" t="str">
        <f t="shared" si="171"/>
        <v/>
      </c>
      <c r="V678" s="220" t="str">
        <f t="array" ref="V678">INDEX(P:P,MAX(U$3:U678))</f>
        <v>IR#4MTR</v>
      </c>
      <c r="W678" s="220" t="str">
        <f t="shared" ca="1" si="172"/>
        <v/>
      </c>
      <c r="X678" s="220">
        <f t="shared" si="173"/>
        <v>11.4</v>
      </c>
      <c r="Y678" s="220">
        <f t="shared" si="162"/>
        <v>0</v>
      </c>
      <c r="AA678" s="220" t="str">
        <f t="shared" si="163"/>
        <v>社頭</v>
      </c>
      <c r="AB678" s="220" t="s">
        <v>2514</v>
      </c>
      <c r="AC678" s="220" t="str">
        <f t="shared" si="177"/>
        <v>社西線</v>
      </c>
      <c r="BB678" s="514" t="s">
        <v>1907</v>
      </c>
      <c r="BC678" s="514">
        <v>2</v>
      </c>
      <c r="BD678" s="514">
        <v>7</v>
      </c>
      <c r="BE678" s="514">
        <v>9</v>
      </c>
      <c r="BG678" s="229" t="s">
        <v>8831</v>
      </c>
      <c r="BH678" s="230" t="s">
        <v>8848</v>
      </c>
      <c r="BI678" t="s">
        <v>2514</v>
      </c>
      <c r="BJ678" t="s">
        <v>2511</v>
      </c>
    </row>
    <row r="679" spans="1:62">
      <c r="A679" s="229" t="s">
        <v>7906</v>
      </c>
      <c r="B679" s="230" t="s">
        <v>7962</v>
      </c>
      <c r="C679" s="230" t="s">
        <v>7963</v>
      </c>
      <c r="D679" s="229" t="s">
        <v>7056</v>
      </c>
      <c r="E679" s="229" t="s">
        <v>1039</v>
      </c>
      <c r="F679" s="229" t="s">
        <v>804</v>
      </c>
      <c r="G679" s="229" t="s">
        <v>7964</v>
      </c>
      <c r="H679" s="229" t="s">
        <v>5641</v>
      </c>
      <c r="I679" s="229" t="s">
        <v>1039</v>
      </c>
      <c r="J679" s="231" t="s">
        <v>793</v>
      </c>
      <c r="K679" s="231" t="s">
        <v>850</v>
      </c>
      <c r="L679" s="220" t="str">
        <f t="shared" si="164"/>
        <v>IR29</v>
      </c>
      <c r="M679" s="220" t="str">
        <f t="shared" si="165"/>
        <v/>
      </c>
      <c r="N679" s="220" t="str">
        <f t="shared" si="166"/>
        <v/>
      </c>
      <c r="O679" s="220" t="str">
        <f t="shared" si="167"/>
        <v/>
      </c>
      <c r="P679" s="52" t="str">
        <f t="shared" si="168"/>
        <v>IR29</v>
      </c>
      <c r="Q679" s="231" t="str">
        <f t="shared" si="174"/>
        <v>275</v>
      </c>
      <c r="R679" s="224">
        <f t="shared" si="176"/>
        <v>266.33333333333331</v>
      </c>
      <c r="S679" s="52">
        <f t="shared" si="169"/>
        <v>254</v>
      </c>
      <c r="T679" s="221">
        <f t="shared" ca="1" si="170"/>
        <v>5.43</v>
      </c>
      <c r="U679" s="221" t="str">
        <f t="shared" si="171"/>
        <v/>
      </c>
      <c r="V679" s="220" t="str">
        <f t="array" ref="V679">INDEX(P:P,MAX(U$3:U679))</f>
        <v>IR#4MTR</v>
      </c>
      <c r="W679" s="220" t="str">
        <f t="shared" ca="1" si="172"/>
        <v/>
      </c>
      <c r="X679" s="220">
        <f t="shared" si="173"/>
        <v>11.4</v>
      </c>
      <c r="Y679" s="220">
        <f t="shared" si="162"/>
        <v>0</v>
      </c>
      <c r="AA679" s="220" t="str">
        <f t="shared" si="163"/>
        <v>社頭</v>
      </c>
      <c r="AB679" s="220" t="s">
        <v>2515</v>
      </c>
      <c r="AC679" s="220" t="str">
        <f t="shared" si="177"/>
        <v>圳尾線</v>
      </c>
      <c r="BB679" s="514" t="s">
        <v>3273</v>
      </c>
      <c r="BC679" s="514" t="s">
        <v>85</v>
      </c>
      <c r="BD679" s="514" t="s">
        <v>85</v>
      </c>
      <c r="BE679" s="514">
        <v>0</v>
      </c>
      <c r="BG679" s="229" t="s">
        <v>7906</v>
      </c>
      <c r="BH679" s="230" t="s">
        <v>8849</v>
      </c>
      <c r="BI679" t="s">
        <v>2515</v>
      </c>
      <c r="BJ679" t="s">
        <v>2511</v>
      </c>
    </row>
    <row r="680" spans="1:62">
      <c r="A680" s="229" t="s">
        <v>7906</v>
      </c>
      <c r="B680" s="230" t="s">
        <v>7965</v>
      </c>
      <c r="C680" s="230" t="s">
        <v>3138</v>
      </c>
      <c r="D680" s="229" t="s">
        <v>5949</v>
      </c>
      <c r="E680" s="229" t="s">
        <v>3153</v>
      </c>
      <c r="F680" s="229" t="s">
        <v>7966</v>
      </c>
      <c r="G680" s="229" t="s">
        <v>7967</v>
      </c>
      <c r="H680" s="229" t="s">
        <v>7546</v>
      </c>
      <c r="I680" s="229" t="s">
        <v>3153</v>
      </c>
      <c r="J680" s="231" t="s">
        <v>940</v>
      </c>
      <c r="K680" s="231" t="s">
        <v>7056</v>
      </c>
      <c r="L680" s="220" t="str">
        <f t="shared" si="164"/>
        <v>IR24</v>
      </c>
      <c r="M680" s="220" t="str">
        <f t="shared" si="165"/>
        <v/>
      </c>
      <c r="N680" s="220" t="str">
        <f t="shared" si="166"/>
        <v/>
      </c>
      <c r="O680" s="220" t="str">
        <f t="shared" si="167"/>
        <v/>
      </c>
      <c r="P680" s="52" t="str">
        <f t="shared" si="168"/>
        <v>IR24</v>
      </c>
      <c r="Q680" s="231" t="str">
        <f t="shared" si="174"/>
        <v>426</v>
      </c>
      <c r="R680" s="224">
        <f t="shared" si="176"/>
        <v>420.33333333333331</v>
      </c>
      <c r="S680" s="52">
        <f t="shared" si="169"/>
        <v>416</v>
      </c>
      <c r="T680" s="221">
        <f t="shared" ca="1" si="170"/>
        <v>8.41</v>
      </c>
      <c r="U680" s="221" t="str">
        <f t="shared" si="171"/>
        <v/>
      </c>
      <c r="V680" s="220" t="str">
        <f t="array" ref="V680">INDEX(P:P,MAX(U$3:U680))</f>
        <v>IR#4MTR</v>
      </c>
      <c r="W680" s="220" t="str">
        <f t="shared" ca="1" si="172"/>
        <v/>
      </c>
      <c r="X680" s="220">
        <f t="shared" si="173"/>
        <v>11.4</v>
      </c>
      <c r="Y680" s="220">
        <f t="shared" si="162"/>
        <v>0</v>
      </c>
      <c r="AA680" s="220" t="str">
        <f t="shared" si="163"/>
        <v>社頭</v>
      </c>
      <c r="AB680" s="220" t="s">
        <v>2516</v>
      </c>
      <c r="AC680" s="220" t="str">
        <f t="shared" si="177"/>
        <v>枋橋線</v>
      </c>
      <c r="BB680" s="514" t="s">
        <v>1908</v>
      </c>
      <c r="BC680" s="514">
        <v>883</v>
      </c>
      <c r="BD680" s="514">
        <v>1</v>
      </c>
      <c r="BE680" s="514">
        <v>884</v>
      </c>
      <c r="BG680" s="229" t="s">
        <v>8831</v>
      </c>
      <c r="BH680" s="230" t="s">
        <v>8850</v>
      </c>
      <c r="BI680" t="s">
        <v>2516</v>
      </c>
      <c r="BJ680" t="s">
        <v>2511</v>
      </c>
    </row>
    <row r="681" spans="1:62">
      <c r="A681" s="229" t="s">
        <v>7968</v>
      </c>
      <c r="B681" s="230" t="s">
        <v>7969</v>
      </c>
      <c r="C681" s="230" t="s">
        <v>4746</v>
      </c>
      <c r="D681" s="229" t="s">
        <v>7072</v>
      </c>
      <c r="E681" s="229" t="s">
        <v>7724</v>
      </c>
      <c r="F681" s="229" t="s">
        <v>5764</v>
      </c>
      <c r="G681" s="229" t="s">
        <v>7970</v>
      </c>
      <c r="H681" s="229" t="s">
        <v>5764</v>
      </c>
      <c r="I681" s="229" t="s">
        <v>7971</v>
      </c>
      <c r="J681" s="231" t="s">
        <v>7725</v>
      </c>
      <c r="K681" s="231" t="s">
        <v>7725</v>
      </c>
      <c r="L681" s="220" t="str">
        <f t="shared" si="164"/>
        <v>IS#1MTR</v>
      </c>
      <c r="M681" s="220" t="str">
        <f t="shared" si="165"/>
        <v/>
      </c>
      <c r="N681" s="220" t="str">
        <f t="shared" si="166"/>
        <v>IS#1MTR</v>
      </c>
      <c r="O681" s="220" t="str">
        <f t="shared" si="167"/>
        <v/>
      </c>
      <c r="P681" s="52" t="str">
        <f t="shared" si="168"/>
        <v>IS#1MTR</v>
      </c>
      <c r="Q681" s="231" t="str">
        <f t="shared" si="174"/>
        <v>559</v>
      </c>
      <c r="R681" s="224">
        <f t="shared" si="176"/>
        <v>538.66666666666663</v>
      </c>
      <c r="S681" s="52">
        <f t="shared" si="169"/>
        <v>527</v>
      </c>
      <c r="T681" s="221">
        <f t="shared" ca="1" si="170"/>
        <v>11.04</v>
      </c>
      <c r="U681" s="221">
        <f t="shared" si="171"/>
        <v>681</v>
      </c>
      <c r="V681" s="220" t="str">
        <f t="array" ref="V681">INDEX(P:P,MAX(U$3:U681))</f>
        <v>IS#1MTR</v>
      </c>
      <c r="W681" s="220">
        <f t="shared" ca="1" si="172"/>
        <v>25</v>
      </c>
      <c r="X681" s="220" t="str">
        <f t="shared" si="173"/>
        <v/>
      </c>
      <c r="Y681" s="220">
        <f t="shared" si="162"/>
        <v>0</v>
      </c>
      <c r="AA681" s="220" t="str">
        <f t="shared" si="163"/>
        <v>草湖</v>
      </c>
      <c r="AB681" s="220" t="s">
        <v>2517</v>
      </c>
      <c r="AC681" s="220" t="str">
        <f t="shared" si="177"/>
        <v>#1M</v>
      </c>
      <c r="BB681" s="514" t="s">
        <v>1909</v>
      </c>
      <c r="BC681" s="514">
        <v>33</v>
      </c>
      <c r="BD681" s="514">
        <v>13</v>
      </c>
      <c r="BE681" s="514">
        <v>46</v>
      </c>
      <c r="BG681" s="229" t="s">
        <v>8851</v>
      </c>
      <c r="BH681" s="230" t="s">
        <v>8470</v>
      </c>
      <c r="BI681" t="s">
        <v>2517</v>
      </c>
      <c r="BJ681" t="s">
        <v>2517</v>
      </c>
    </row>
    <row r="682" spans="1:62">
      <c r="A682" s="229" t="s">
        <v>65</v>
      </c>
      <c r="B682" s="230" t="s">
        <v>673</v>
      </c>
      <c r="C682" s="230" t="s">
        <v>7972</v>
      </c>
      <c r="D682" s="229" t="s">
        <v>797</v>
      </c>
      <c r="E682" s="229" t="s">
        <v>5651</v>
      </c>
      <c r="F682" s="229" t="s">
        <v>5650</v>
      </c>
      <c r="G682" s="229" t="s">
        <v>7854</v>
      </c>
      <c r="H682" s="229" t="s">
        <v>5650</v>
      </c>
      <c r="I682" s="229" t="s">
        <v>946</v>
      </c>
      <c r="J682" s="231" t="s">
        <v>7973</v>
      </c>
      <c r="K682" s="231" t="s">
        <v>5764</v>
      </c>
      <c r="L682" s="220" t="str">
        <f t="shared" si="164"/>
        <v>IS20</v>
      </c>
      <c r="M682" s="220" t="str">
        <f t="shared" si="165"/>
        <v/>
      </c>
      <c r="N682" s="220" t="str">
        <f t="shared" si="166"/>
        <v/>
      </c>
      <c r="O682" s="220" t="str">
        <f t="shared" si="167"/>
        <v/>
      </c>
      <c r="P682" s="52" t="str">
        <f t="shared" si="168"/>
        <v>IS20</v>
      </c>
      <c r="Q682" s="231" t="str">
        <f t="shared" si="174"/>
        <v>193</v>
      </c>
      <c r="R682" s="224">
        <f t="shared" si="176"/>
        <v>170.66666666666666</v>
      </c>
      <c r="S682" s="52">
        <f t="shared" si="169"/>
        <v>156</v>
      </c>
      <c r="T682" s="221">
        <f t="shared" ca="1" si="170"/>
        <v>3.81</v>
      </c>
      <c r="U682" s="221" t="str">
        <f t="shared" si="171"/>
        <v/>
      </c>
      <c r="V682" s="220" t="str">
        <f t="array" ref="V682">INDEX(P:P,MAX(U$3:U682))</f>
        <v>IS#1MTR</v>
      </c>
      <c r="W682" s="220" t="str">
        <f t="shared" ca="1" si="172"/>
        <v/>
      </c>
      <c r="X682" s="220">
        <f t="shared" si="173"/>
        <v>11.4</v>
      </c>
      <c r="Y682" s="220">
        <f t="shared" si="162"/>
        <v>0</v>
      </c>
      <c r="AA682" s="220" t="str">
        <f t="shared" si="163"/>
        <v>草湖</v>
      </c>
      <c r="AB682" s="220" t="s">
        <v>2518</v>
      </c>
      <c r="AC682" s="220" t="str">
        <f t="shared" si="177"/>
        <v>草北線</v>
      </c>
      <c r="BB682" s="514" t="s">
        <v>1975</v>
      </c>
      <c r="BC682" s="514">
        <v>339</v>
      </c>
      <c r="BD682" s="514" t="s">
        <v>85</v>
      </c>
      <c r="BE682" s="514">
        <v>339</v>
      </c>
      <c r="BG682" s="229" t="s">
        <v>8852</v>
      </c>
      <c r="BH682" s="230" t="s">
        <v>8853</v>
      </c>
      <c r="BI682" t="s">
        <v>2518</v>
      </c>
      <c r="BJ682" t="s">
        <v>2517</v>
      </c>
    </row>
    <row r="683" spans="1:62">
      <c r="A683" s="229" t="s">
        <v>7968</v>
      </c>
      <c r="B683" s="230" t="s">
        <v>674</v>
      </c>
      <c r="C683" s="230" t="s">
        <v>7974</v>
      </c>
      <c r="D683" s="229" t="s">
        <v>6095</v>
      </c>
      <c r="E683" s="229" t="s">
        <v>7975</v>
      </c>
      <c r="F683" s="229" t="s">
        <v>5986</v>
      </c>
      <c r="G683" s="229" t="s">
        <v>939</v>
      </c>
      <c r="H683" s="229" t="s">
        <v>7950</v>
      </c>
      <c r="I683" s="229" t="s">
        <v>939</v>
      </c>
      <c r="J683" s="231" t="s">
        <v>793</v>
      </c>
      <c r="K683" s="231" t="s">
        <v>845</v>
      </c>
      <c r="L683" s="220" t="str">
        <f t="shared" si="164"/>
        <v>IS21</v>
      </c>
      <c r="M683" s="220" t="str">
        <f t="shared" si="165"/>
        <v/>
      </c>
      <c r="N683" s="220" t="str">
        <f t="shared" si="166"/>
        <v/>
      </c>
      <c r="O683" s="220" t="str">
        <f t="shared" si="167"/>
        <v/>
      </c>
      <c r="P683" s="52" t="str">
        <f t="shared" si="168"/>
        <v>IS21</v>
      </c>
      <c r="Q683" s="231" t="str">
        <f t="shared" si="174"/>
        <v>116</v>
      </c>
      <c r="R683" s="224">
        <f t="shared" si="176"/>
        <v>110</v>
      </c>
      <c r="S683" s="52">
        <f t="shared" si="169"/>
        <v>105</v>
      </c>
      <c r="T683" s="221">
        <f t="shared" ca="1" si="170"/>
        <v>2.29</v>
      </c>
      <c r="U683" s="221" t="str">
        <f t="shared" si="171"/>
        <v/>
      </c>
      <c r="V683" s="220" t="str">
        <f t="array" ref="V683">INDEX(P:P,MAX(U$3:U683))</f>
        <v>IS#1MTR</v>
      </c>
      <c r="W683" s="220" t="str">
        <f t="shared" ca="1" si="172"/>
        <v/>
      </c>
      <c r="X683" s="220">
        <f t="shared" si="173"/>
        <v>11.4</v>
      </c>
      <c r="Y683" s="220">
        <f t="shared" si="162"/>
        <v>0</v>
      </c>
      <c r="AA683" s="220" t="str">
        <f t="shared" si="163"/>
        <v>草湖</v>
      </c>
      <c r="AB683" s="220" t="s">
        <v>2519</v>
      </c>
      <c r="AC683" s="220" t="str">
        <f t="shared" si="177"/>
        <v>竹寮線</v>
      </c>
      <c r="BB683" s="514" t="s">
        <v>1976</v>
      </c>
      <c r="BC683" s="514" t="s">
        <v>85</v>
      </c>
      <c r="BD683" s="514" t="s">
        <v>85</v>
      </c>
      <c r="BE683" s="514">
        <v>0</v>
      </c>
      <c r="BG683" s="229" t="s">
        <v>8852</v>
      </c>
      <c r="BH683" s="230" t="s">
        <v>8854</v>
      </c>
      <c r="BI683" t="s">
        <v>2519</v>
      </c>
      <c r="BJ683" t="s">
        <v>2517</v>
      </c>
    </row>
    <row r="684" spans="1:62">
      <c r="A684" s="229" t="s">
        <v>65</v>
      </c>
      <c r="B684" s="230" t="s">
        <v>7976</v>
      </c>
      <c r="C684" s="230" t="s">
        <v>965</v>
      </c>
      <c r="D684" s="229" t="s">
        <v>5764</v>
      </c>
      <c r="E684" s="229" t="s">
        <v>992</v>
      </c>
      <c r="F684" s="229" t="s">
        <v>7977</v>
      </c>
      <c r="G684" s="229" t="s">
        <v>1005</v>
      </c>
      <c r="H684" s="229" t="s">
        <v>7977</v>
      </c>
      <c r="I684" s="229" t="s">
        <v>7978</v>
      </c>
      <c r="J684" s="231" t="s">
        <v>7139</v>
      </c>
      <c r="K684" s="231" t="s">
        <v>7979</v>
      </c>
      <c r="L684" s="220" t="str">
        <f t="shared" si="164"/>
        <v>IS22</v>
      </c>
      <c r="M684" s="220" t="str">
        <f t="shared" si="165"/>
        <v/>
      </c>
      <c r="N684" s="220" t="str">
        <f t="shared" si="166"/>
        <v/>
      </c>
      <c r="O684" s="220" t="str">
        <f t="shared" si="167"/>
        <v/>
      </c>
      <c r="P684" s="52" t="str">
        <f t="shared" si="168"/>
        <v>IS22</v>
      </c>
      <c r="Q684" s="231" t="str">
        <f t="shared" si="174"/>
        <v>211</v>
      </c>
      <c r="R684" s="224">
        <f t="shared" si="176"/>
        <v>207.66666666666666</v>
      </c>
      <c r="S684" s="52">
        <f t="shared" si="169"/>
        <v>204</v>
      </c>
      <c r="T684" s="221">
        <f t="shared" ca="1" si="170"/>
        <v>4.17</v>
      </c>
      <c r="U684" s="221" t="str">
        <f t="shared" si="171"/>
        <v/>
      </c>
      <c r="V684" s="220" t="str">
        <f t="array" ref="V684">INDEX(P:P,MAX(U$3:U684))</f>
        <v>IS#1MTR</v>
      </c>
      <c r="W684" s="220" t="str">
        <f t="shared" ca="1" si="172"/>
        <v/>
      </c>
      <c r="X684" s="220">
        <f t="shared" si="173"/>
        <v>11.4</v>
      </c>
      <c r="Y684" s="220">
        <f t="shared" si="162"/>
        <v>0</v>
      </c>
      <c r="AA684" s="220" t="str">
        <f t="shared" si="163"/>
        <v>草湖</v>
      </c>
      <c r="AB684" s="220" t="s">
        <v>2520</v>
      </c>
      <c r="AC684" s="220" t="str">
        <f t="shared" si="177"/>
        <v>趙甲線</v>
      </c>
      <c r="BB684" s="514" t="s">
        <v>1977</v>
      </c>
      <c r="BC684" s="514">
        <v>744</v>
      </c>
      <c r="BD684" s="514">
        <v>1</v>
      </c>
      <c r="BE684" s="514">
        <v>745</v>
      </c>
      <c r="BG684" s="229" t="s">
        <v>65</v>
      </c>
      <c r="BH684" s="230" t="s">
        <v>8855</v>
      </c>
      <c r="BI684" t="s">
        <v>2520</v>
      </c>
      <c r="BJ684" t="s">
        <v>2517</v>
      </c>
    </row>
    <row r="685" spans="1:62">
      <c r="A685" s="229" t="s">
        <v>7968</v>
      </c>
      <c r="B685" s="230" t="s">
        <v>7980</v>
      </c>
      <c r="C685" s="230" t="s">
        <v>7981</v>
      </c>
      <c r="D685" s="229" t="s">
        <v>5764</v>
      </c>
      <c r="E685" s="229" t="s">
        <v>7382</v>
      </c>
      <c r="F685" s="229" t="s">
        <v>850</v>
      </c>
      <c r="G685" s="229" t="s">
        <v>7140</v>
      </c>
      <c r="H685" s="229" t="s">
        <v>6095</v>
      </c>
      <c r="I685" s="229" t="s">
        <v>7982</v>
      </c>
      <c r="J685" s="231" t="s">
        <v>7983</v>
      </c>
      <c r="K685" s="231" t="s">
        <v>7156</v>
      </c>
      <c r="L685" s="220" t="str">
        <f t="shared" si="164"/>
        <v>IS27</v>
      </c>
      <c r="M685" s="220" t="str">
        <f t="shared" si="165"/>
        <v/>
      </c>
      <c r="N685" s="220" t="str">
        <f t="shared" si="166"/>
        <v/>
      </c>
      <c r="O685" s="220" t="str">
        <f t="shared" si="167"/>
        <v/>
      </c>
      <c r="P685" s="52" t="str">
        <f t="shared" si="168"/>
        <v>IS27</v>
      </c>
      <c r="Q685" s="231" t="str">
        <f t="shared" si="174"/>
        <v>46</v>
      </c>
      <c r="R685" s="224">
        <f t="shared" si="176"/>
        <v>43.666666666666664</v>
      </c>
      <c r="S685" s="52">
        <f t="shared" si="169"/>
        <v>42</v>
      </c>
      <c r="T685" s="221">
        <f t="shared" ca="1" si="170"/>
        <v>0.91</v>
      </c>
      <c r="U685" s="221" t="str">
        <f t="shared" si="171"/>
        <v/>
      </c>
      <c r="V685" s="220" t="str">
        <f t="array" ref="V685">INDEX(P:P,MAX(U$3:U685))</f>
        <v>IS#1MTR</v>
      </c>
      <c r="W685" s="220" t="str">
        <f t="shared" ca="1" si="172"/>
        <v/>
      </c>
      <c r="X685" s="220">
        <f t="shared" si="173"/>
        <v>11.4</v>
      </c>
      <c r="Y685" s="220">
        <f t="shared" si="162"/>
        <v>0</v>
      </c>
      <c r="AA685" s="220" t="str">
        <f t="shared" si="163"/>
        <v>草湖</v>
      </c>
      <c r="AB685" s="220" t="s">
        <v>2521</v>
      </c>
      <c r="AC685" s="220" t="str">
        <f t="shared" si="177"/>
        <v>建平線</v>
      </c>
      <c r="BB685" s="514" t="s">
        <v>2617</v>
      </c>
      <c r="BC685" s="514">
        <v>1109</v>
      </c>
      <c r="BD685" s="514">
        <v>5</v>
      </c>
      <c r="BE685" s="514">
        <v>1114</v>
      </c>
      <c r="BG685" s="229" t="s">
        <v>65</v>
      </c>
      <c r="BH685" s="230" t="s">
        <v>8856</v>
      </c>
      <c r="BI685" t="s">
        <v>2521</v>
      </c>
      <c r="BJ685" t="s">
        <v>2517</v>
      </c>
    </row>
    <row r="686" spans="1:62">
      <c r="A686" s="229" t="s">
        <v>7984</v>
      </c>
      <c r="B686" s="230" t="s">
        <v>675</v>
      </c>
      <c r="C686" s="230" t="s">
        <v>7985</v>
      </c>
      <c r="D686" s="229" t="s">
        <v>7986</v>
      </c>
      <c r="E686" s="229" t="s">
        <v>803</v>
      </c>
      <c r="F686" s="229" t="s">
        <v>7113</v>
      </c>
      <c r="G686" s="229" t="s">
        <v>878</v>
      </c>
      <c r="H686" s="229" t="s">
        <v>7986</v>
      </c>
      <c r="I686" s="229" t="s">
        <v>7987</v>
      </c>
      <c r="J686" s="231" t="s">
        <v>890</v>
      </c>
      <c r="K686" s="231" t="s">
        <v>846</v>
      </c>
      <c r="L686" s="220" t="str">
        <f t="shared" si="164"/>
        <v>IS29</v>
      </c>
      <c r="M686" s="220" t="str">
        <f t="shared" si="165"/>
        <v/>
      </c>
      <c r="N686" s="220" t="str">
        <f t="shared" si="166"/>
        <v/>
      </c>
      <c r="O686" s="220" t="str">
        <f t="shared" si="167"/>
        <v/>
      </c>
      <c r="P686" s="52" t="str">
        <f t="shared" si="168"/>
        <v>IS29</v>
      </c>
      <c r="Q686" s="231" t="str">
        <f t="shared" si="174"/>
        <v>65</v>
      </c>
      <c r="R686" s="224">
        <f t="shared" si="176"/>
        <v>60.666666666666664</v>
      </c>
      <c r="S686" s="52">
        <f t="shared" si="169"/>
        <v>53</v>
      </c>
      <c r="T686" s="221">
        <f t="shared" ca="1" si="170"/>
        <v>1.28</v>
      </c>
      <c r="U686" s="221" t="str">
        <f t="shared" si="171"/>
        <v/>
      </c>
      <c r="V686" s="220" t="str">
        <f t="array" ref="V686">INDEX(P:P,MAX(U$3:U686))</f>
        <v>IS#1MTR</v>
      </c>
      <c r="W686" s="220" t="str">
        <f t="shared" ca="1" si="172"/>
        <v/>
      </c>
      <c r="X686" s="220">
        <f t="shared" si="173"/>
        <v>11.4</v>
      </c>
      <c r="Y686" s="220">
        <f t="shared" si="162"/>
        <v>0</v>
      </c>
      <c r="AA686" s="220" t="str">
        <f t="shared" si="163"/>
        <v>草湖</v>
      </c>
      <c r="AB686" s="220" t="s">
        <v>2522</v>
      </c>
      <c r="AC686" s="220" t="str">
        <f t="shared" si="177"/>
        <v>胡厝線</v>
      </c>
      <c r="BB686" s="514" t="s">
        <v>2616</v>
      </c>
      <c r="BC686" s="514">
        <v>1481</v>
      </c>
      <c r="BD686" s="514">
        <v>6</v>
      </c>
      <c r="BE686" s="514">
        <v>1487</v>
      </c>
      <c r="BG686" s="229" t="s">
        <v>8852</v>
      </c>
      <c r="BH686" s="230" t="s">
        <v>8857</v>
      </c>
      <c r="BI686" t="s">
        <v>2522</v>
      </c>
      <c r="BJ686" t="s">
        <v>2517</v>
      </c>
    </row>
    <row r="687" spans="1:62">
      <c r="A687" s="229" t="s">
        <v>65</v>
      </c>
      <c r="B687" s="230" t="s">
        <v>427</v>
      </c>
      <c r="C687" s="230" t="s">
        <v>3191</v>
      </c>
      <c r="D687" s="229" t="s">
        <v>797</v>
      </c>
      <c r="E687" s="229" t="s">
        <v>3147</v>
      </c>
      <c r="F687" s="229" t="s">
        <v>797</v>
      </c>
      <c r="G687" s="229" t="s">
        <v>7988</v>
      </c>
      <c r="H687" s="229" t="s">
        <v>797</v>
      </c>
      <c r="I687" s="229" t="s">
        <v>7988</v>
      </c>
      <c r="J687" s="231" t="s">
        <v>358</v>
      </c>
      <c r="K687" s="231" t="s">
        <v>358</v>
      </c>
      <c r="L687" s="220" t="str">
        <f t="shared" si="164"/>
        <v>IS#2MTR</v>
      </c>
      <c r="M687" s="220" t="str">
        <f t="shared" si="165"/>
        <v/>
      </c>
      <c r="N687" s="220" t="str">
        <f t="shared" si="166"/>
        <v>IS#2MTR</v>
      </c>
      <c r="O687" s="220" t="str">
        <f t="shared" si="167"/>
        <v/>
      </c>
      <c r="P687" s="52" t="str">
        <f t="shared" si="168"/>
        <v>IS#2MTR</v>
      </c>
      <c r="Q687" s="231" t="str">
        <f t="shared" si="174"/>
        <v>642</v>
      </c>
      <c r="R687" s="224">
        <f t="shared" si="176"/>
        <v>632.66666666666663</v>
      </c>
      <c r="S687" s="52">
        <f t="shared" si="169"/>
        <v>619</v>
      </c>
      <c r="T687" s="221">
        <f t="shared" ca="1" si="170"/>
        <v>12.68</v>
      </c>
      <c r="U687" s="221">
        <f t="shared" si="171"/>
        <v>687</v>
      </c>
      <c r="V687" s="220" t="str">
        <f t="array" ref="V687">INDEX(P:P,MAX(U$3:U687))</f>
        <v>IS#2MTR</v>
      </c>
      <c r="W687" s="220">
        <f t="shared" ca="1" si="172"/>
        <v>25</v>
      </c>
      <c r="X687" s="220" t="str">
        <f t="shared" si="173"/>
        <v/>
      </c>
      <c r="Y687" s="220">
        <f t="shared" si="162"/>
        <v>0</v>
      </c>
      <c r="AA687" s="220" t="str">
        <f t="shared" si="163"/>
        <v>草湖</v>
      </c>
      <c r="AB687" s="220" t="s">
        <v>2523</v>
      </c>
      <c r="AC687" s="220" t="str">
        <f t="shared" si="177"/>
        <v>#2M</v>
      </c>
      <c r="BB687" s="514" t="s">
        <v>2615</v>
      </c>
      <c r="BC687" s="514">
        <v>118</v>
      </c>
      <c r="BD687" s="514">
        <v>2</v>
      </c>
      <c r="BE687" s="514">
        <v>120</v>
      </c>
      <c r="BG687" s="229" t="s">
        <v>8851</v>
      </c>
      <c r="BH687" s="230" t="s">
        <v>8597</v>
      </c>
      <c r="BI687" t="s">
        <v>2523</v>
      </c>
      <c r="BJ687" t="s">
        <v>2523</v>
      </c>
    </row>
    <row r="688" spans="1:62">
      <c r="A688" s="229" t="s">
        <v>65</v>
      </c>
      <c r="B688" s="230" t="s">
        <v>7989</v>
      </c>
      <c r="C688" s="230" t="s">
        <v>1027</v>
      </c>
      <c r="D688" s="229" t="s">
        <v>5791</v>
      </c>
      <c r="E688" s="229" t="s">
        <v>905</v>
      </c>
      <c r="F688" s="229" t="s">
        <v>846</v>
      </c>
      <c r="G688" s="229" t="s">
        <v>905</v>
      </c>
      <c r="H688" s="229" t="s">
        <v>7990</v>
      </c>
      <c r="I688" s="229" t="s">
        <v>7991</v>
      </c>
      <c r="J688" s="231" t="s">
        <v>841</v>
      </c>
      <c r="K688" s="231" t="s">
        <v>901</v>
      </c>
      <c r="L688" s="220" t="str">
        <f t="shared" si="164"/>
        <v>IS26</v>
      </c>
      <c r="M688" s="220" t="str">
        <f t="shared" si="165"/>
        <v/>
      </c>
      <c r="N688" s="220" t="str">
        <f t="shared" si="166"/>
        <v/>
      </c>
      <c r="O688" s="220" t="str">
        <f t="shared" si="167"/>
        <v/>
      </c>
      <c r="P688" s="52" t="str">
        <f t="shared" si="168"/>
        <v>IS26</v>
      </c>
      <c r="Q688" s="231" t="str">
        <f t="shared" si="174"/>
        <v>131</v>
      </c>
      <c r="R688" s="224">
        <f t="shared" si="176"/>
        <v>130</v>
      </c>
      <c r="S688" s="52">
        <f t="shared" si="169"/>
        <v>128</v>
      </c>
      <c r="T688" s="221">
        <f t="shared" ca="1" si="170"/>
        <v>2.59</v>
      </c>
      <c r="U688" s="221" t="str">
        <f t="shared" si="171"/>
        <v/>
      </c>
      <c r="V688" s="220" t="str">
        <f t="array" ref="V688">INDEX(P:P,MAX(U$3:U688))</f>
        <v>IS#2MTR</v>
      </c>
      <c r="W688" s="220" t="str">
        <f t="shared" ca="1" si="172"/>
        <v/>
      </c>
      <c r="X688" s="220">
        <f t="shared" si="173"/>
        <v>11.4</v>
      </c>
      <c r="Y688" s="220">
        <f t="shared" si="162"/>
        <v>0</v>
      </c>
      <c r="AA688" s="220" t="str">
        <f t="shared" si="163"/>
        <v>草湖</v>
      </c>
      <c r="AB688" s="220" t="s">
        <v>2524</v>
      </c>
      <c r="AC688" s="220" t="str">
        <f t="shared" si="177"/>
        <v>八甲線</v>
      </c>
      <c r="BB688" s="514" t="s">
        <v>1983</v>
      </c>
      <c r="BC688" s="514">
        <v>1335</v>
      </c>
      <c r="BD688" s="514">
        <v>1</v>
      </c>
      <c r="BE688" s="514">
        <v>1336</v>
      </c>
      <c r="BG688" s="229" t="s">
        <v>8852</v>
      </c>
      <c r="BH688" s="230" t="s">
        <v>676</v>
      </c>
      <c r="BI688" t="s">
        <v>2524</v>
      </c>
      <c r="BJ688" t="s">
        <v>2523</v>
      </c>
    </row>
    <row r="689" spans="1:62">
      <c r="A689" s="229" t="s">
        <v>7992</v>
      </c>
      <c r="B689" s="230" t="s">
        <v>677</v>
      </c>
      <c r="C689" s="230" t="s">
        <v>7993</v>
      </c>
      <c r="D689" s="229" t="s">
        <v>797</v>
      </c>
      <c r="E689" s="229" t="s">
        <v>1027</v>
      </c>
      <c r="F689" s="229" t="s">
        <v>835</v>
      </c>
      <c r="G689" s="229" t="s">
        <v>7994</v>
      </c>
      <c r="H689" s="229" t="s">
        <v>797</v>
      </c>
      <c r="I689" s="229" t="s">
        <v>7995</v>
      </c>
      <c r="J689" s="231" t="s">
        <v>1012</v>
      </c>
      <c r="K689" s="231" t="s">
        <v>7996</v>
      </c>
      <c r="L689" s="220" t="str">
        <f t="shared" si="164"/>
        <v>IS25</v>
      </c>
      <c r="M689" s="220" t="str">
        <f t="shared" si="165"/>
        <v/>
      </c>
      <c r="N689" s="220" t="str">
        <f t="shared" si="166"/>
        <v/>
      </c>
      <c r="O689" s="220" t="str">
        <f t="shared" si="167"/>
        <v/>
      </c>
      <c r="P689" s="52" t="str">
        <f t="shared" si="168"/>
        <v>IS25</v>
      </c>
      <c r="Q689" s="231" t="str">
        <f t="shared" si="174"/>
        <v>131</v>
      </c>
      <c r="R689" s="224">
        <f t="shared" si="176"/>
        <v>121.33333333333333</v>
      </c>
      <c r="S689" s="52">
        <f t="shared" si="169"/>
        <v>105</v>
      </c>
      <c r="T689" s="221">
        <f t="shared" ca="1" si="170"/>
        <v>2.59</v>
      </c>
      <c r="U689" s="221" t="str">
        <f t="shared" si="171"/>
        <v/>
      </c>
      <c r="V689" s="220" t="str">
        <f t="array" ref="V689">INDEX(P:P,MAX(U$3:U689))</f>
        <v>IS#2MTR</v>
      </c>
      <c r="W689" s="220" t="str">
        <f t="shared" ca="1" si="172"/>
        <v/>
      </c>
      <c r="X689" s="220">
        <f t="shared" si="173"/>
        <v>11.4</v>
      </c>
      <c r="Y689" s="220">
        <f t="shared" si="162"/>
        <v>0</v>
      </c>
      <c r="AA689" s="220" t="str">
        <f t="shared" si="163"/>
        <v>草湖</v>
      </c>
      <c r="AB689" s="220" t="s">
        <v>2525</v>
      </c>
      <c r="AC689" s="220" t="str">
        <f t="shared" si="177"/>
        <v>川邊線</v>
      </c>
      <c r="BB689" s="514" t="s">
        <v>2619</v>
      </c>
      <c r="BC689" s="514">
        <v>1005</v>
      </c>
      <c r="BD689" s="514">
        <v>4</v>
      </c>
      <c r="BE689" s="514">
        <v>1009</v>
      </c>
      <c r="BG689" s="229" t="s">
        <v>8851</v>
      </c>
      <c r="BH689" s="230" t="s">
        <v>677</v>
      </c>
      <c r="BI689" t="s">
        <v>2525</v>
      </c>
      <c r="BJ689" t="s">
        <v>2523</v>
      </c>
    </row>
    <row r="690" spans="1:62">
      <c r="A690" s="229" t="s">
        <v>65</v>
      </c>
      <c r="B690" s="230" t="s">
        <v>678</v>
      </c>
      <c r="C690" s="230" t="s">
        <v>7997</v>
      </c>
      <c r="D690" s="229" t="s">
        <v>7072</v>
      </c>
      <c r="E690" s="229" t="s">
        <v>7998</v>
      </c>
      <c r="F690" s="229" t="s">
        <v>7999</v>
      </c>
      <c r="G690" s="229" t="s">
        <v>8000</v>
      </c>
      <c r="H690" s="229" t="s">
        <v>7072</v>
      </c>
      <c r="I690" s="229" t="s">
        <v>986</v>
      </c>
      <c r="J690" s="231" t="s">
        <v>8001</v>
      </c>
      <c r="K690" s="231" t="s">
        <v>859</v>
      </c>
      <c r="L690" s="220" t="str">
        <f t="shared" si="164"/>
        <v>IS23</v>
      </c>
      <c r="M690" s="220" t="str">
        <f t="shared" si="165"/>
        <v/>
      </c>
      <c r="N690" s="220" t="str">
        <f t="shared" si="166"/>
        <v/>
      </c>
      <c r="O690" s="220" t="str">
        <f t="shared" si="167"/>
        <v/>
      </c>
      <c r="P690" s="52" t="str">
        <f t="shared" si="168"/>
        <v>IS23</v>
      </c>
      <c r="Q690" s="231" t="str">
        <f t="shared" si="174"/>
        <v>229</v>
      </c>
      <c r="R690" s="224">
        <f t="shared" si="176"/>
        <v>226.66666666666666</v>
      </c>
      <c r="S690" s="52">
        <f t="shared" si="169"/>
        <v>224</v>
      </c>
      <c r="T690" s="221">
        <f t="shared" ca="1" si="170"/>
        <v>4.5199999999999996</v>
      </c>
      <c r="U690" s="221" t="str">
        <f t="shared" si="171"/>
        <v/>
      </c>
      <c r="V690" s="220" t="str">
        <f t="array" ref="V690">INDEX(P:P,MAX(U$3:U690))</f>
        <v>IS#2MTR</v>
      </c>
      <c r="W690" s="220" t="str">
        <f t="shared" ca="1" si="172"/>
        <v/>
      </c>
      <c r="X690" s="220">
        <f t="shared" si="173"/>
        <v>11.4</v>
      </c>
      <c r="Y690" s="220">
        <f t="shared" si="162"/>
        <v>0</v>
      </c>
      <c r="AA690" s="220" t="str">
        <f t="shared" si="163"/>
        <v>草湖</v>
      </c>
      <c r="AB690" s="220" t="s">
        <v>2526</v>
      </c>
      <c r="AC690" s="220" t="str">
        <f t="shared" si="177"/>
        <v>草苑線</v>
      </c>
      <c r="BB690" s="514" t="s">
        <v>1985</v>
      </c>
      <c r="BC690" s="514">
        <v>2478</v>
      </c>
      <c r="BD690" s="514">
        <v>10</v>
      </c>
      <c r="BE690" s="514">
        <v>2488</v>
      </c>
      <c r="BG690" s="229" t="s">
        <v>8852</v>
      </c>
      <c r="BH690" s="230" t="s">
        <v>678</v>
      </c>
      <c r="BI690" t="s">
        <v>2526</v>
      </c>
      <c r="BJ690" t="s">
        <v>2523</v>
      </c>
    </row>
    <row r="691" spans="1:62">
      <c r="A691" s="229" t="s">
        <v>8002</v>
      </c>
      <c r="B691" s="230" t="s">
        <v>679</v>
      </c>
      <c r="C691" s="230" t="s">
        <v>968</v>
      </c>
      <c r="D691" s="229" t="s">
        <v>797</v>
      </c>
      <c r="E691" s="229" t="s">
        <v>6081</v>
      </c>
      <c r="F691" s="229" t="s">
        <v>797</v>
      </c>
      <c r="G691" s="229" t="s">
        <v>8003</v>
      </c>
      <c r="H691" s="229" t="s">
        <v>797</v>
      </c>
      <c r="I691" s="229" t="s">
        <v>968</v>
      </c>
      <c r="J691" s="231" t="s">
        <v>879</v>
      </c>
      <c r="K691" s="231" t="s">
        <v>7269</v>
      </c>
      <c r="L691" s="220" t="str">
        <f t="shared" si="164"/>
        <v>IS24</v>
      </c>
      <c r="M691" s="220" t="str">
        <f t="shared" si="165"/>
        <v/>
      </c>
      <c r="N691" s="220" t="str">
        <f t="shared" si="166"/>
        <v/>
      </c>
      <c r="O691" s="220" t="str">
        <f t="shared" si="167"/>
        <v/>
      </c>
      <c r="P691" s="52" t="str">
        <f t="shared" si="168"/>
        <v>IS24</v>
      </c>
      <c r="Q691" s="231" t="str">
        <f t="shared" si="174"/>
        <v>205</v>
      </c>
      <c r="R691" s="224">
        <f t="shared" si="176"/>
        <v>194.33333333333334</v>
      </c>
      <c r="S691" s="52">
        <f t="shared" si="169"/>
        <v>176</v>
      </c>
      <c r="T691" s="221">
        <f t="shared" ca="1" si="170"/>
        <v>4.05</v>
      </c>
      <c r="U691" s="221" t="str">
        <f t="shared" si="171"/>
        <v/>
      </c>
      <c r="V691" s="220" t="str">
        <f t="array" ref="V691">INDEX(P:P,MAX(U$3:U691))</f>
        <v>IS#2MTR</v>
      </c>
      <c r="W691" s="220" t="str">
        <f t="shared" ca="1" si="172"/>
        <v/>
      </c>
      <c r="X691" s="220">
        <f t="shared" si="173"/>
        <v>11.4</v>
      </c>
      <c r="Y691" s="220">
        <f t="shared" si="162"/>
        <v>0</v>
      </c>
      <c r="AA691" s="220" t="str">
        <f t="shared" si="163"/>
        <v>草湖</v>
      </c>
      <c r="AB691" s="220" t="s">
        <v>2527</v>
      </c>
      <c r="AC691" s="220" t="str">
        <f t="shared" si="177"/>
        <v>崙腳線</v>
      </c>
      <c r="BB691" s="514" t="s">
        <v>1910</v>
      </c>
      <c r="BC691" s="514">
        <v>1</v>
      </c>
      <c r="BD691" s="514">
        <v>6</v>
      </c>
      <c r="BE691" s="514">
        <v>7</v>
      </c>
      <c r="BG691" s="229" t="s">
        <v>8852</v>
      </c>
      <c r="BH691" s="230" t="s">
        <v>8858</v>
      </c>
      <c r="BI691" t="s">
        <v>2527</v>
      </c>
      <c r="BJ691" t="s">
        <v>2523</v>
      </c>
    </row>
    <row r="692" spans="1:62">
      <c r="A692" s="229" t="s">
        <v>65</v>
      </c>
      <c r="B692" s="230" t="s">
        <v>680</v>
      </c>
      <c r="C692" s="230" t="s">
        <v>7800</v>
      </c>
      <c r="D692" s="229" t="s">
        <v>8004</v>
      </c>
      <c r="E692" s="229" t="s">
        <v>888</v>
      </c>
      <c r="F692" s="229" t="s">
        <v>804</v>
      </c>
      <c r="G692" s="229" t="s">
        <v>940</v>
      </c>
      <c r="H692" s="229" t="s">
        <v>804</v>
      </c>
      <c r="I692" s="229" t="s">
        <v>888</v>
      </c>
      <c r="J692" s="231" t="s">
        <v>942</v>
      </c>
      <c r="K692" s="231" t="s">
        <v>797</v>
      </c>
      <c r="L692" s="220" t="str">
        <f t="shared" si="164"/>
        <v>IS28</v>
      </c>
      <c r="M692" s="220" t="str">
        <f t="shared" si="165"/>
        <v/>
      </c>
      <c r="N692" s="220" t="str">
        <f t="shared" si="166"/>
        <v/>
      </c>
      <c r="O692" s="220" t="str">
        <f t="shared" si="167"/>
        <v/>
      </c>
      <c r="P692" s="52" t="str">
        <f t="shared" si="168"/>
        <v>IS28</v>
      </c>
      <c r="Q692" s="231" t="str">
        <f t="shared" si="174"/>
        <v>101</v>
      </c>
      <c r="R692" s="224">
        <f t="shared" si="176"/>
        <v>98</v>
      </c>
      <c r="S692" s="52">
        <f t="shared" si="169"/>
        <v>95</v>
      </c>
      <c r="T692" s="221">
        <f t="shared" ca="1" si="170"/>
        <v>1.99</v>
      </c>
      <c r="U692" s="221" t="str">
        <f t="shared" si="171"/>
        <v/>
      </c>
      <c r="V692" s="220" t="str">
        <f t="array" ref="V692">INDEX(P:P,MAX(U$3:U692))</f>
        <v>IS#2MTR</v>
      </c>
      <c r="W692" s="220" t="str">
        <f t="shared" ca="1" si="172"/>
        <v/>
      </c>
      <c r="X692" s="220">
        <f t="shared" si="173"/>
        <v>11.4</v>
      </c>
      <c r="Y692" s="220">
        <f t="shared" si="162"/>
        <v>0</v>
      </c>
      <c r="AA692" s="220" t="str">
        <f t="shared" si="163"/>
        <v>草湖</v>
      </c>
      <c r="AB692" s="220" t="s">
        <v>2528</v>
      </c>
      <c r="AC692" s="220" t="str">
        <f t="shared" si="177"/>
        <v>興海線</v>
      </c>
      <c r="BB692" s="514" t="s">
        <v>2621</v>
      </c>
      <c r="BC692" s="514">
        <v>12</v>
      </c>
      <c r="BD692" s="514">
        <v>5</v>
      </c>
      <c r="BE692" s="514">
        <v>17</v>
      </c>
      <c r="BG692" s="229" t="s">
        <v>8852</v>
      </c>
      <c r="BH692" s="230" t="s">
        <v>680</v>
      </c>
      <c r="BI692" t="s">
        <v>2528</v>
      </c>
      <c r="BJ692" t="s">
        <v>2523</v>
      </c>
    </row>
    <row r="693" spans="1:62">
      <c r="A693" s="229" t="s">
        <v>8005</v>
      </c>
      <c r="B693" s="230" t="s">
        <v>7238</v>
      </c>
      <c r="C693" s="230" t="s">
        <v>8006</v>
      </c>
      <c r="D693" s="229" t="s">
        <v>804</v>
      </c>
      <c r="E693" s="229" t="s">
        <v>4749</v>
      </c>
      <c r="F693" s="229" t="s">
        <v>804</v>
      </c>
      <c r="G693" s="229" t="s">
        <v>4750</v>
      </c>
      <c r="H693" s="229" t="s">
        <v>804</v>
      </c>
      <c r="I693" s="229" t="s">
        <v>4748</v>
      </c>
      <c r="J693" s="231" t="s">
        <v>8007</v>
      </c>
      <c r="K693" s="231" t="s">
        <v>358</v>
      </c>
      <c r="L693" s="220" t="str">
        <f t="shared" si="164"/>
        <v>IT#1MTR</v>
      </c>
      <c r="M693" s="220" t="str">
        <f t="shared" si="165"/>
        <v/>
      </c>
      <c r="N693" s="220" t="str">
        <f t="shared" si="166"/>
        <v>IT#1MTR</v>
      </c>
      <c r="O693" s="220" t="str">
        <f t="shared" si="167"/>
        <v/>
      </c>
      <c r="P693" s="52" t="str">
        <f t="shared" si="168"/>
        <v>IT#1MTR</v>
      </c>
      <c r="Q693" s="231" t="str">
        <f t="shared" si="174"/>
        <v>1028</v>
      </c>
      <c r="R693" s="224">
        <f t="shared" si="176"/>
        <v>1024.6666666666667</v>
      </c>
      <c r="S693" s="52">
        <f t="shared" si="169"/>
        <v>1019</v>
      </c>
      <c r="T693" s="221">
        <f t="shared" ca="1" si="170"/>
        <v>20.3</v>
      </c>
      <c r="U693" s="221">
        <f t="shared" si="171"/>
        <v>693</v>
      </c>
      <c r="V693" s="220" t="str">
        <f t="array" ref="V693">INDEX(P:P,MAX(U$3:U693))</f>
        <v>IT#1MTR</v>
      </c>
      <c r="W693" s="220">
        <f t="shared" ca="1" si="172"/>
        <v>25</v>
      </c>
      <c r="X693" s="220" t="str">
        <f t="shared" si="173"/>
        <v/>
      </c>
      <c r="Y693" s="220">
        <f t="shared" si="162"/>
        <v>0</v>
      </c>
      <c r="AA693" s="220" t="str">
        <f t="shared" si="163"/>
        <v>溝墘</v>
      </c>
      <c r="AB693" s="220" t="s">
        <v>2529</v>
      </c>
      <c r="AC693" s="220" t="str">
        <f t="shared" si="177"/>
        <v>#1M</v>
      </c>
      <c r="BB693" s="514" t="s">
        <v>2622</v>
      </c>
      <c r="BC693" s="514">
        <v>4</v>
      </c>
      <c r="BD693" s="514">
        <v>6</v>
      </c>
      <c r="BE693" s="514">
        <v>10</v>
      </c>
      <c r="BG693" s="229" t="s">
        <v>8859</v>
      </c>
      <c r="BH693" s="230" t="s">
        <v>8591</v>
      </c>
      <c r="BI693" t="s">
        <v>2529</v>
      </c>
      <c r="BJ693" t="s">
        <v>2529</v>
      </c>
    </row>
    <row r="694" spans="1:62">
      <c r="A694" s="229" t="s">
        <v>8005</v>
      </c>
      <c r="B694" s="230" t="s">
        <v>8008</v>
      </c>
      <c r="C694" s="230" t="s">
        <v>8009</v>
      </c>
      <c r="D694" s="229" t="s">
        <v>804</v>
      </c>
      <c r="E694" s="229" t="s">
        <v>8010</v>
      </c>
      <c r="F694" s="229" t="s">
        <v>804</v>
      </c>
      <c r="G694" s="229" t="s">
        <v>8011</v>
      </c>
      <c r="H694" s="229" t="s">
        <v>8012</v>
      </c>
      <c r="I694" s="229" t="s">
        <v>8013</v>
      </c>
      <c r="J694" s="231" t="s">
        <v>793</v>
      </c>
      <c r="K694" s="231" t="s">
        <v>811</v>
      </c>
      <c r="L694" s="220" t="str">
        <f t="shared" si="164"/>
        <v>IT29</v>
      </c>
      <c r="M694" s="220" t="str">
        <f t="shared" si="165"/>
        <v/>
      </c>
      <c r="N694" s="220" t="str">
        <f t="shared" si="166"/>
        <v/>
      </c>
      <c r="O694" s="220" t="str">
        <f t="shared" si="167"/>
        <v/>
      </c>
      <c r="P694" s="52" t="str">
        <f t="shared" si="168"/>
        <v>IT29</v>
      </c>
      <c r="Q694" s="231" t="str">
        <f t="shared" si="174"/>
        <v>73</v>
      </c>
      <c r="R694" s="224">
        <f t="shared" si="176"/>
        <v>59.666666666666664</v>
      </c>
      <c r="S694" s="52">
        <f t="shared" si="169"/>
        <v>44</v>
      </c>
      <c r="T694" s="221">
        <f t="shared" ca="1" si="170"/>
        <v>1.44</v>
      </c>
      <c r="U694" s="221" t="str">
        <f t="shared" si="171"/>
        <v/>
      </c>
      <c r="V694" s="220" t="str">
        <f t="array" ref="V694">INDEX(P:P,MAX(U$3:U694))</f>
        <v>IT#1MTR</v>
      </c>
      <c r="W694" s="220" t="str">
        <f t="shared" ca="1" si="172"/>
        <v/>
      </c>
      <c r="X694" s="220">
        <f t="shared" si="173"/>
        <v>11.4</v>
      </c>
      <c r="Y694" s="220">
        <f t="shared" si="162"/>
        <v>0</v>
      </c>
      <c r="AA694" s="220" t="str">
        <f t="shared" si="163"/>
        <v>溝墘</v>
      </c>
      <c r="AB694" s="220" t="s">
        <v>2530</v>
      </c>
      <c r="AC694" s="220" t="str">
        <f t="shared" si="177"/>
        <v>嘉佃線</v>
      </c>
      <c r="BB694" s="514" t="s">
        <v>2623</v>
      </c>
      <c r="BC694" s="514">
        <v>16</v>
      </c>
      <c r="BD694" s="514">
        <v>15</v>
      </c>
      <c r="BE694" s="514">
        <v>31</v>
      </c>
      <c r="BG694" s="229" t="s">
        <v>8859</v>
      </c>
      <c r="BH694" s="230" t="s">
        <v>8860</v>
      </c>
      <c r="BI694" t="s">
        <v>2530</v>
      </c>
      <c r="BJ694" t="s">
        <v>2529</v>
      </c>
    </row>
    <row r="695" spans="1:62">
      <c r="A695" s="229" t="s">
        <v>8014</v>
      </c>
      <c r="B695" s="230" t="s">
        <v>8015</v>
      </c>
      <c r="C695" s="230" t="s">
        <v>7621</v>
      </c>
      <c r="D695" s="229" t="s">
        <v>8016</v>
      </c>
      <c r="E695" s="229" t="s">
        <v>912</v>
      </c>
      <c r="F695" s="229" t="s">
        <v>8017</v>
      </c>
      <c r="G695" s="229" t="s">
        <v>892</v>
      </c>
      <c r="H695" s="229" t="s">
        <v>5641</v>
      </c>
      <c r="I695" s="229" t="s">
        <v>8018</v>
      </c>
      <c r="J695" s="231" t="s">
        <v>8019</v>
      </c>
      <c r="K695" s="231" t="s">
        <v>7412</v>
      </c>
      <c r="L695" s="220" t="str">
        <f t="shared" si="164"/>
        <v>IT22</v>
      </c>
      <c r="M695" s="220" t="str">
        <f t="shared" si="165"/>
        <v/>
      </c>
      <c r="N695" s="220" t="str">
        <f t="shared" si="166"/>
        <v/>
      </c>
      <c r="O695" s="220" t="str">
        <f t="shared" si="167"/>
        <v/>
      </c>
      <c r="P695" s="52" t="str">
        <f t="shared" si="168"/>
        <v>IT22</v>
      </c>
      <c r="Q695" s="231" t="str">
        <f t="shared" si="174"/>
        <v>271</v>
      </c>
      <c r="R695" s="224">
        <f t="shared" si="176"/>
        <v>267.66666666666669</v>
      </c>
      <c r="S695" s="52">
        <f t="shared" si="169"/>
        <v>264</v>
      </c>
      <c r="T695" s="221">
        <f t="shared" ca="1" si="170"/>
        <v>5.35</v>
      </c>
      <c r="U695" s="221" t="str">
        <f t="shared" si="171"/>
        <v/>
      </c>
      <c r="V695" s="220" t="str">
        <f t="array" ref="V695">INDEX(P:P,MAX(U$3:U695))</f>
        <v>IT#1MTR</v>
      </c>
      <c r="W695" s="220" t="str">
        <f t="shared" ca="1" si="172"/>
        <v/>
      </c>
      <c r="X695" s="220">
        <f t="shared" si="173"/>
        <v>11.4</v>
      </c>
      <c r="Y695" s="220">
        <f t="shared" si="162"/>
        <v>0</v>
      </c>
      <c r="AA695" s="220" t="str">
        <f t="shared" si="163"/>
        <v>溝墘</v>
      </c>
      <c r="AB695" s="220" t="s">
        <v>2531</v>
      </c>
      <c r="AC695" s="220" t="str">
        <f t="shared" si="177"/>
        <v>頭崙線</v>
      </c>
      <c r="BB695" s="514" t="s">
        <v>2624</v>
      </c>
      <c r="BC695" s="514">
        <v>6</v>
      </c>
      <c r="BD695" s="514">
        <v>8</v>
      </c>
      <c r="BE695" s="514">
        <v>14</v>
      </c>
      <c r="BG695" s="229" t="s">
        <v>8859</v>
      </c>
      <c r="BH695" s="230" t="s">
        <v>8861</v>
      </c>
      <c r="BI695" t="s">
        <v>2531</v>
      </c>
      <c r="BJ695" t="s">
        <v>2529</v>
      </c>
    </row>
    <row r="696" spans="1:62">
      <c r="A696" s="229" t="s">
        <v>8005</v>
      </c>
      <c r="B696" s="230" t="s">
        <v>8020</v>
      </c>
      <c r="C696" s="230" t="s">
        <v>8021</v>
      </c>
      <c r="D696" s="229" t="s">
        <v>8022</v>
      </c>
      <c r="E696" s="229" t="s">
        <v>8023</v>
      </c>
      <c r="F696" s="229" t="s">
        <v>7113</v>
      </c>
      <c r="G696" s="229" t="s">
        <v>8024</v>
      </c>
      <c r="H696" s="229" t="s">
        <v>8025</v>
      </c>
      <c r="I696" s="229" t="s">
        <v>8026</v>
      </c>
      <c r="J696" s="231" t="s">
        <v>8027</v>
      </c>
      <c r="K696" s="231" t="s">
        <v>846</v>
      </c>
      <c r="L696" s="220" t="str">
        <f t="shared" si="164"/>
        <v>IT34</v>
      </c>
      <c r="M696" s="220" t="str">
        <f t="shared" si="165"/>
        <v/>
      </c>
      <c r="N696" s="220" t="str">
        <f t="shared" si="166"/>
        <v/>
      </c>
      <c r="O696" s="220" t="str">
        <f t="shared" si="167"/>
        <v/>
      </c>
      <c r="P696" s="52" t="str">
        <f t="shared" si="168"/>
        <v>IT34</v>
      </c>
      <c r="Q696" s="231" t="str">
        <f t="shared" si="174"/>
        <v>311</v>
      </c>
      <c r="R696" s="224">
        <f t="shared" si="176"/>
        <v>300</v>
      </c>
      <c r="S696" s="52">
        <f t="shared" si="169"/>
        <v>284</v>
      </c>
      <c r="T696" s="221">
        <f t="shared" ca="1" si="170"/>
        <v>6.14</v>
      </c>
      <c r="U696" s="221" t="str">
        <f t="shared" si="171"/>
        <v/>
      </c>
      <c r="V696" s="220" t="str">
        <f t="array" ref="V696">INDEX(P:P,MAX(U$3:U696))</f>
        <v>IT#1MTR</v>
      </c>
      <c r="W696" s="220" t="str">
        <f t="shared" ca="1" si="172"/>
        <v/>
      </c>
      <c r="X696" s="220">
        <f t="shared" si="173"/>
        <v>11.4</v>
      </c>
      <c r="Y696" s="220">
        <f t="shared" si="162"/>
        <v>0</v>
      </c>
      <c r="AA696" s="220" t="str">
        <f t="shared" si="163"/>
        <v>溝墘</v>
      </c>
      <c r="AB696" s="220" t="s">
        <v>2532</v>
      </c>
      <c r="AC696" s="220" t="str">
        <f t="shared" si="177"/>
        <v>溝南線</v>
      </c>
      <c r="BB696" s="514" t="s">
        <v>1912</v>
      </c>
      <c r="BC696" s="514" t="s">
        <v>85</v>
      </c>
      <c r="BD696" s="514" t="s">
        <v>85</v>
      </c>
      <c r="BE696" s="514">
        <v>0</v>
      </c>
      <c r="BG696" s="229" t="s">
        <v>8859</v>
      </c>
      <c r="BH696" s="230" t="s">
        <v>8862</v>
      </c>
      <c r="BI696" t="s">
        <v>2532</v>
      </c>
      <c r="BJ696" t="s">
        <v>2529</v>
      </c>
    </row>
    <row r="697" spans="1:62">
      <c r="A697" s="229" t="s">
        <v>8005</v>
      </c>
      <c r="B697" s="230" t="s">
        <v>681</v>
      </c>
      <c r="C697" s="230" t="s">
        <v>1058</v>
      </c>
      <c r="D697" s="229" t="s">
        <v>8028</v>
      </c>
      <c r="E697" s="229" t="s">
        <v>8029</v>
      </c>
      <c r="F697" s="229" t="s">
        <v>8028</v>
      </c>
      <c r="G697" s="229" t="s">
        <v>8030</v>
      </c>
      <c r="H697" s="229" t="s">
        <v>832</v>
      </c>
      <c r="I697" s="229" t="s">
        <v>2745</v>
      </c>
      <c r="J697" s="231" t="s">
        <v>796</v>
      </c>
      <c r="K697" s="231" t="s">
        <v>8031</v>
      </c>
      <c r="L697" s="220" t="str">
        <f t="shared" si="164"/>
        <v>IT23</v>
      </c>
      <c r="M697" s="220" t="str">
        <f t="shared" si="165"/>
        <v/>
      </c>
      <c r="N697" s="220" t="str">
        <f t="shared" si="166"/>
        <v/>
      </c>
      <c r="O697" s="220" t="str">
        <f t="shared" si="167"/>
        <v/>
      </c>
      <c r="P697" s="52" t="str">
        <f t="shared" si="168"/>
        <v>IT23</v>
      </c>
      <c r="Q697" s="231" t="str">
        <f t="shared" si="174"/>
        <v>315</v>
      </c>
      <c r="R697" s="224">
        <f t="shared" si="176"/>
        <v>308.66666666666669</v>
      </c>
      <c r="S697" s="52">
        <f t="shared" si="169"/>
        <v>305</v>
      </c>
      <c r="T697" s="221">
        <f t="shared" ca="1" si="170"/>
        <v>6.22</v>
      </c>
      <c r="U697" s="221" t="str">
        <f t="shared" si="171"/>
        <v/>
      </c>
      <c r="V697" s="220" t="str">
        <f t="array" ref="V697">INDEX(P:P,MAX(U$3:U697))</f>
        <v>IT#1MTR</v>
      </c>
      <c r="W697" s="220" t="str">
        <f t="shared" ca="1" si="172"/>
        <v/>
      </c>
      <c r="X697" s="220">
        <f t="shared" si="173"/>
        <v>11.4</v>
      </c>
      <c r="Y697" s="220">
        <f t="shared" si="162"/>
        <v>0</v>
      </c>
      <c r="AA697" s="220" t="str">
        <f t="shared" si="163"/>
        <v>溝墘</v>
      </c>
      <c r="AB697" s="220" t="s">
        <v>2533</v>
      </c>
      <c r="AC697" s="220" t="str">
        <f t="shared" si="177"/>
        <v>馬興線</v>
      </c>
      <c r="BB697" s="514" t="s">
        <v>2626</v>
      </c>
      <c r="BC697" s="514">
        <v>7</v>
      </c>
      <c r="BD697" s="514">
        <v>6</v>
      </c>
      <c r="BE697" s="514">
        <v>13</v>
      </c>
      <c r="BG697" s="229" t="s">
        <v>8859</v>
      </c>
      <c r="BH697" s="230" t="s">
        <v>681</v>
      </c>
      <c r="BI697" t="s">
        <v>2533</v>
      </c>
      <c r="BJ697" t="s">
        <v>2529</v>
      </c>
    </row>
    <row r="698" spans="1:62">
      <c r="A698" s="229" t="s">
        <v>8014</v>
      </c>
      <c r="B698" s="230" t="s">
        <v>8032</v>
      </c>
      <c r="C698" s="230" t="s">
        <v>8033</v>
      </c>
      <c r="D698" s="229" t="s">
        <v>6548</v>
      </c>
      <c r="E698" s="229" t="s">
        <v>792</v>
      </c>
      <c r="F698" s="229" t="s">
        <v>8034</v>
      </c>
      <c r="G698" s="229" t="s">
        <v>8035</v>
      </c>
      <c r="H698" s="229" t="s">
        <v>7056</v>
      </c>
      <c r="I698" s="229" t="s">
        <v>792</v>
      </c>
      <c r="J698" s="231" t="s">
        <v>7451</v>
      </c>
      <c r="K698" s="231" t="s">
        <v>5949</v>
      </c>
      <c r="L698" s="220" t="str">
        <f t="shared" si="164"/>
        <v>IT25</v>
      </c>
      <c r="M698" s="220" t="str">
        <f t="shared" si="165"/>
        <v/>
      </c>
      <c r="N698" s="220" t="str">
        <f t="shared" si="166"/>
        <v/>
      </c>
      <c r="O698" s="220" t="str">
        <f t="shared" si="167"/>
        <v/>
      </c>
      <c r="P698" s="52" t="str">
        <f t="shared" si="168"/>
        <v>IT25</v>
      </c>
      <c r="Q698" s="231" t="str">
        <f t="shared" si="174"/>
        <v>187</v>
      </c>
      <c r="R698" s="224">
        <f t="shared" si="176"/>
        <v>179</v>
      </c>
      <c r="S698" s="52">
        <f t="shared" si="169"/>
        <v>173</v>
      </c>
      <c r="T698" s="221">
        <f t="shared" ca="1" si="170"/>
        <v>3.69</v>
      </c>
      <c r="U698" s="221" t="str">
        <f t="shared" si="171"/>
        <v/>
      </c>
      <c r="V698" s="220" t="str">
        <f t="array" ref="V698">INDEX(P:P,MAX(U$3:U698))</f>
        <v>IT#1MTR</v>
      </c>
      <c r="W698" s="220" t="str">
        <f t="shared" ca="1" si="172"/>
        <v/>
      </c>
      <c r="X698" s="220">
        <f t="shared" si="173"/>
        <v>11.4</v>
      </c>
      <c r="Y698" s="220">
        <f t="shared" si="162"/>
        <v>0</v>
      </c>
      <c r="AA698" s="220" t="str">
        <f t="shared" si="163"/>
        <v>溝墘</v>
      </c>
      <c r="AB698" s="220" t="s">
        <v>2534</v>
      </c>
      <c r="AC698" s="220" t="str">
        <f t="shared" si="177"/>
        <v>葉厝線</v>
      </c>
      <c r="BB698" s="514" t="s">
        <v>2627</v>
      </c>
      <c r="BC698" s="514">
        <v>1</v>
      </c>
      <c r="BD698" s="514">
        <v>6</v>
      </c>
      <c r="BE698" s="514">
        <v>7</v>
      </c>
      <c r="BG698" s="229" t="s">
        <v>8863</v>
      </c>
      <c r="BH698" s="230" t="s">
        <v>8864</v>
      </c>
      <c r="BI698" t="s">
        <v>2534</v>
      </c>
      <c r="BJ698" t="s">
        <v>2529</v>
      </c>
    </row>
    <row r="699" spans="1:62">
      <c r="A699" s="229" t="s">
        <v>8036</v>
      </c>
      <c r="B699" s="230" t="s">
        <v>427</v>
      </c>
      <c r="C699" s="230" t="s">
        <v>8037</v>
      </c>
      <c r="D699" s="229" t="s">
        <v>7607</v>
      </c>
      <c r="E699" s="229" t="s">
        <v>8038</v>
      </c>
      <c r="F699" s="229" t="s">
        <v>832</v>
      </c>
      <c r="G699" s="229" t="s">
        <v>4709</v>
      </c>
      <c r="H699" s="229" t="s">
        <v>8028</v>
      </c>
      <c r="I699" s="229" t="s">
        <v>8039</v>
      </c>
      <c r="J699" s="231" t="s">
        <v>8040</v>
      </c>
      <c r="K699" s="231" t="s">
        <v>5585</v>
      </c>
      <c r="L699" s="220" t="str">
        <f t="shared" si="164"/>
        <v>IT#2MTR</v>
      </c>
      <c r="M699" s="220" t="str">
        <f t="shared" si="165"/>
        <v/>
      </c>
      <c r="N699" s="220" t="str">
        <f t="shared" si="166"/>
        <v>IT#2MTR</v>
      </c>
      <c r="O699" s="220" t="str">
        <f t="shared" si="167"/>
        <v/>
      </c>
      <c r="P699" s="52" t="str">
        <f t="shared" si="168"/>
        <v>IT#2MTR</v>
      </c>
      <c r="Q699" s="231" t="str">
        <f t="shared" si="174"/>
        <v>921</v>
      </c>
      <c r="R699" s="224">
        <f t="shared" si="176"/>
        <v>868</v>
      </c>
      <c r="S699" s="52">
        <f t="shared" si="169"/>
        <v>824</v>
      </c>
      <c r="T699" s="221">
        <f t="shared" ca="1" si="170"/>
        <v>18.190000000000001</v>
      </c>
      <c r="U699" s="221">
        <f t="shared" si="171"/>
        <v>699</v>
      </c>
      <c r="V699" s="220" t="str">
        <f t="array" ref="V699">INDEX(P:P,MAX(U$3:U699))</f>
        <v>IT#2MTR</v>
      </c>
      <c r="W699" s="220">
        <f t="shared" ca="1" si="172"/>
        <v>25</v>
      </c>
      <c r="X699" s="220" t="str">
        <f t="shared" si="173"/>
        <v/>
      </c>
      <c r="Y699" s="220">
        <f t="shared" si="162"/>
        <v>0</v>
      </c>
      <c r="AA699" s="220" t="str">
        <f t="shared" si="163"/>
        <v>溝墘</v>
      </c>
      <c r="AB699" s="220" t="s">
        <v>2535</v>
      </c>
      <c r="AC699" s="220" t="str">
        <f t="shared" si="177"/>
        <v>#2M</v>
      </c>
      <c r="BB699" s="514" t="s">
        <v>2628</v>
      </c>
      <c r="BC699" s="514">
        <v>15</v>
      </c>
      <c r="BD699" s="514">
        <v>5</v>
      </c>
      <c r="BE699" s="514">
        <v>20</v>
      </c>
      <c r="BG699" s="229" t="s">
        <v>8859</v>
      </c>
      <c r="BH699" s="230" t="s">
        <v>8477</v>
      </c>
      <c r="BI699" t="s">
        <v>2535</v>
      </c>
      <c r="BJ699" t="s">
        <v>2535</v>
      </c>
    </row>
    <row r="700" spans="1:62">
      <c r="A700" s="229" t="s">
        <v>63</v>
      </c>
      <c r="B700" s="230" t="s">
        <v>8041</v>
      </c>
      <c r="C700" s="230" t="s">
        <v>8042</v>
      </c>
      <c r="D700" s="229" t="s">
        <v>7059</v>
      </c>
      <c r="E700" s="229" t="s">
        <v>8043</v>
      </c>
      <c r="F700" s="229" t="s">
        <v>8044</v>
      </c>
      <c r="G700" s="229" t="s">
        <v>6001</v>
      </c>
      <c r="H700" s="229" t="s">
        <v>7059</v>
      </c>
      <c r="I700" s="229" t="s">
        <v>8045</v>
      </c>
      <c r="J700" s="231" t="s">
        <v>8046</v>
      </c>
      <c r="K700" s="231" t="s">
        <v>7546</v>
      </c>
      <c r="L700" s="220" t="str">
        <f t="shared" si="164"/>
        <v>IT20</v>
      </c>
      <c r="M700" s="220" t="str">
        <f t="shared" si="165"/>
        <v/>
      </c>
      <c r="N700" s="220" t="str">
        <f t="shared" si="166"/>
        <v/>
      </c>
      <c r="O700" s="220" t="str">
        <f t="shared" si="167"/>
        <v/>
      </c>
      <c r="P700" s="52" t="str">
        <f t="shared" si="168"/>
        <v>IT20</v>
      </c>
      <c r="Q700" s="231" t="str">
        <f t="shared" si="174"/>
        <v>250</v>
      </c>
      <c r="R700" s="224">
        <f t="shared" si="176"/>
        <v>244.66666666666666</v>
      </c>
      <c r="S700" s="52">
        <f t="shared" si="169"/>
        <v>238</v>
      </c>
      <c r="T700" s="221">
        <f t="shared" ca="1" si="170"/>
        <v>4.9400000000000004</v>
      </c>
      <c r="U700" s="221" t="str">
        <f t="shared" si="171"/>
        <v/>
      </c>
      <c r="V700" s="220" t="str">
        <f t="array" ref="V700">INDEX(P:P,MAX(U$3:U700))</f>
        <v>IT#2MTR</v>
      </c>
      <c r="W700" s="220" t="str">
        <f t="shared" ca="1" si="172"/>
        <v/>
      </c>
      <c r="X700" s="220">
        <f t="shared" si="173"/>
        <v>11.4</v>
      </c>
      <c r="Y700" s="220">
        <f t="shared" si="162"/>
        <v>0</v>
      </c>
      <c r="AA700" s="220" t="str">
        <f t="shared" si="163"/>
        <v>溝墘</v>
      </c>
      <c r="AB700" s="220" t="s">
        <v>2536</v>
      </c>
      <c r="AC700" s="220" t="str">
        <f t="shared" si="177"/>
        <v>鎮平線</v>
      </c>
      <c r="BB700" s="514" t="s">
        <v>1987</v>
      </c>
      <c r="BC700" s="514">
        <v>6</v>
      </c>
      <c r="BD700" s="514">
        <v>2</v>
      </c>
      <c r="BE700" s="514">
        <v>8</v>
      </c>
      <c r="BG700" s="229" t="s">
        <v>8859</v>
      </c>
      <c r="BH700" s="230" t="s">
        <v>8865</v>
      </c>
      <c r="BI700" t="s">
        <v>2536</v>
      </c>
      <c r="BJ700" t="s">
        <v>2535</v>
      </c>
    </row>
    <row r="701" spans="1:62">
      <c r="A701" s="229" t="s">
        <v>8047</v>
      </c>
      <c r="B701" s="230" t="s">
        <v>682</v>
      </c>
      <c r="C701" s="230" t="s">
        <v>4666</v>
      </c>
      <c r="D701" s="229" t="s">
        <v>8034</v>
      </c>
      <c r="E701" s="229" t="s">
        <v>1019</v>
      </c>
      <c r="F701" s="229" t="s">
        <v>7149</v>
      </c>
      <c r="G701" s="229" t="s">
        <v>8048</v>
      </c>
      <c r="H701" s="229" t="s">
        <v>8034</v>
      </c>
      <c r="I701" s="229" t="s">
        <v>973</v>
      </c>
      <c r="J701" s="231" t="s">
        <v>831</v>
      </c>
      <c r="K701" s="231" t="s">
        <v>7804</v>
      </c>
      <c r="L701" s="220" t="str">
        <f t="shared" si="164"/>
        <v>IT33</v>
      </c>
      <c r="M701" s="220" t="str">
        <f t="shared" si="165"/>
        <v/>
      </c>
      <c r="N701" s="220" t="str">
        <f t="shared" si="166"/>
        <v/>
      </c>
      <c r="O701" s="220" t="str">
        <f t="shared" si="167"/>
        <v/>
      </c>
      <c r="P701" s="52" t="str">
        <f t="shared" si="168"/>
        <v>IT33</v>
      </c>
      <c r="Q701" s="231" t="str">
        <f t="shared" si="174"/>
        <v>335</v>
      </c>
      <c r="R701" s="224">
        <f t="shared" si="176"/>
        <v>309.66666666666669</v>
      </c>
      <c r="S701" s="52">
        <f t="shared" si="169"/>
        <v>292</v>
      </c>
      <c r="T701" s="221">
        <f t="shared" ca="1" si="170"/>
        <v>6.61</v>
      </c>
      <c r="U701" s="221" t="str">
        <f t="shared" si="171"/>
        <v/>
      </c>
      <c r="V701" s="220" t="str">
        <f t="array" ref="V701">INDEX(P:P,MAX(U$3:U701))</f>
        <v>IT#2MTR</v>
      </c>
      <c r="W701" s="220" t="str">
        <f t="shared" ca="1" si="172"/>
        <v/>
      </c>
      <c r="X701" s="220">
        <f t="shared" si="173"/>
        <v>11.4</v>
      </c>
      <c r="Y701" s="220">
        <f t="shared" si="162"/>
        <v>0</v>
      </c>
      <c r="AA701" s="220" t="str">
        <f t="shared" si="163"/>
        <v>溝墘</v>
      </c>
      <c r="AB701" s="220" t="s">
        <v>2537</v>
      </c>
      <c r="AC701" s="220" t="str">
        <f t="shared" si="177"/>
        <v>溝東線</v>
      </c>
      <c r="BB701" s="514" t="s">
        <v>2629</v>
      </c>
      <c r="BC701" s="514">
        <v>0</v>
      </c>
      <c r="BD701" s="514">
        <v>2</v>
      </c>
      <c r="BE701" s="514">
        <v>2</v>
      </c>
      <c r="BG701" s="229" t="s">
        <v>8863</v>
      </c>
      <c r="BH701" s="230" t="s">
        <v>8866</v>
      </c>
      <c r="BI701" t="s">
        <v>2537</v>
      </c>
      <c r="BJ701" t="s">
        <v>2535</v>
      </c>
    </row>
    <row r="702" spans="1:62">
      <c r="A702" s="229" t="s">
        <v>8049</v>
      </c>
      <c r="B702" s="230" t="s">
        <v>683</v>
      </c>
      <c r="C702" s="230" t="s">
        <v>7765</v>
      </c>
      <c r="D702" s="229" t="s">
        <v>8050</v>
      </c>
      <c r="E702" s="229" t="s">
        <v>825</v>
      </c>
      <c r="F702" s="229" t="s">
        <v>835</v>
      </c>
      <c r="G702" s="229" t="s">
        <v>8051</v>
      </c>
      <c r="H702" s="229" t="s">
        <v>832</v>
      </c>
      <c r="I702" s="229" t="s">
        <v>8052</v>
      </c>
      <c r="J702" s="231" t="s">
        <v>8053</v>
      </c>
      <c r="K702" s="231" t="s">
        <v>8050</v>
      </c>
      <c r="L702" s="220" t="str">
        <f t="shared" si="164"/>
        <v>IT27</v>
      </c>
      <c r="M702" s="220" t="str">
        <f t="shared" si="165"/>
        <v/>
      </c>
      <c r="N702" s="220" t="str">
        <f t="shared" si="166"/>
        <v/>
      </c>
      <c r="O702" s="220" t="str">
        <f t="shared" si="167"/>
        <v/>
      </c>
      <c r="P702" s="52" t="str">
        <f t="shared" si="168"/>
        <v>IT27</v>
      </c>
      <c r="Q702" s="231" t="str">
        <f t="shared" si="174"/>
        <v>118</v>
      </c>
      <c r="R702" s="224">
        <f t="shared" si="176"/>
        <v>105.33333333333333</v>
      </c>
      <c r="S702" s="52">
        <f t="shared" si="169"/>
        <v>89</v>
      </c>
      <c r="T702" s="221">
        <f t="shared" ca="1" si="170"/>
        <v>2.33</v>
      </c>
      <c r="U702" s="221" t="str">
        <f t="shared" si="171"/>
        <v/>
      </c>
      <c r="V702" s="220" t="str">
        <f t="array" ref="V702">INDEX(P:P,MAX(U$3:U702))</f>
        <v>IT#2MTR</v>
      </c>
      <c r="W702" s="220" t="str">
        <f t="shared" ca="1" si="172"/>
        <v/>
      </c>
      <c r="X702" s="220">
        <f t="shared" si="173"/>
        <v>11.4</v>
      </c>
      <c r="Y702" s="220">
        <f t="shared" si="162"/>
        <v>0</v>
      </c>
      <c r="AA702" s="220" t="str">
        <f t="shared" si="163"/>
        <v>溝墘</v>
      </c>
      <c r="AB702" s="220" t="s">
        <v>2538</v>
      </c>
      <c r="AC702" s="220" t="str">
        <f t="shared" si="177"/>
        <v>南海線</v>
      </c>
      <c r="BB702" s="514" t="s">
        <v>3274</v>
      </c>
      <c r="BC702" s="514">
        <v>4</v>
      </c>
      <c r="BD702" s="514">
        <v>15</v>
      </c>
      <c r="BE702" s="514">
        <v>19</v>
      </c>
      <c r="BG702" s="229" t="s">
        <v>8863</v>
      </c>
      <c r="BH702" s="230" t="s">
        <v>8867</v>
      </c>
      <c r="BI702" t="s">
        <v>2538</v>
      </c>
      <c r="BJ702" t="s">
        <v>2535</v>
      </c>
    </row>
    <row r="703" spans="1:62">
      <c r="A703" s="229" t="s">
        <v>63</v>
      </c>
      <c r="B703" s="230" t="s">
        <v>8054</v>
      </c>
      <c r="C703" s="230" t="s">
        <v>935</v>
      </c>
      <c r="D703" s="229" t="s">
        <v>850</v>
      </c>
      <c r="E703" s="229" t="s">
        <v>938</v>
      </c>
      <c r="F703" s="229" t="s">
        <v>5685</v>
      </c>
      <c r="G703" s="229" t="s">
        <v>975</v>
      </c>
      <c r="H703" s="229" t="s">
        <v>850</v>
      </c>
      <c r="I703" s="229" t="s">
        <v>8055</v>
      </c>
      <c r="J703" s="231" t="s">
        <v>7985</v>
      </c>
      <c r="K703" s="231" t="s">
        <v>850</v>
      </c>
      <c r="L703" s="220" t="str">
        <f t="shared" si="164"/>
        <v>IT24</v>
      </c>
      <c r="M703" s="220" t="str">
        <f t="shared" si="165"/>
        <v/>
      </c>
      <c r="N703" s="220" t="str">
        <f t="shared" si="166"/>
        <v/>
      </c>
      <c r="O703" s="220" t="str">
        <f t="shared" si="167"/>
        <v/>
      </c>
      <c r="P703" s="52" t="str">
        <f t="shared" si="168"/>
        <v>IT24</v>
      </c>
      <c r="Q703" s="231" t="str">
        <f t="shared" si="174"/>
        <v>117</v>
      </c>
      <c r="R703" s="224">
        <f t="shared" si="176"/>
        <v>96.666666666666671</v>
      </c>
      <c r="S703" s="52">
        <f t="shared" si="169"/>
        <v>85</v>
      </c>
      <c r="T703" s="221">
        <f t="shared" ca="1" si="170"/>
        <v>2.31</v>
      </c>
      <c r="U703" s="221" t="str">
        <f t="shared" si="171"/>
        <v/>
      </c>
      <c r="V703" s="220" t="str">
        <f t="array" ref="V703">INDEX(P:P,MAX(U$3:U703))</f>
        <v>IT#2MTR</v>
      </c>
      <c r="W703" s="220" t="str">
        <f t="shared" ca="1" si="172"/>
        <v/>
      </c>
      <c r="X703" s="220">
        <f t="shared" si="173"/>
        <v>11.4</v>
      </c>
      <c r="Y703" s="220">
        <f t="shared" si="162"/>
        <v>0</v>
      </c>
      <c r="AA703" s="220" t="str">
        <f t="shared" si="163"/>
        <v>溝墘</v>
      </c>
      <c r="AB703" s="220" t="s">
        <v>2539</v>
      </c>
      <c r="AC703" s="220" t="str">
        <f t="shared" si="177"/>
        <v>棋盤線</v>
      </c>
      <c r="BB703" s="514" t="s">
        <v>262</v>
      </c>
      <c r="BC703" s="514">
        <v>2</v>
      </c>
      <c r="BD703" s="514" t="s">
        <v>85</v>
      </c>
      <c r="BE703" s="514">
        <v>2</v>
      </c>
      <c r="BG703" s="229" t="s">
        <v>8863</v>
      </c>
      <c r="BH703" s="230" t="s">
        <v>8868</v>
      </c>
      <c r="BI703" t="s">
        <v>2539</v>
      </c>
      <c r="BJ703" t="s">
        <v>2535</v>
      </c>
    </row>
    <row r="704" spans="1:62">
      <c r="A704" s="229" t="s">
        <v>8005</v>
      </c>
      <c r="B704" s="230" t="s">
        <v>684</v>
      </c>
      <c r="C704" s="230" t="s">
        <v>854</v>
      </c>
      <c r="D704" s="229" t="s">
        <v>8050</v>
      </c>
      <c r="E704" s="229" t="s">
        <v>8056</v>
      </c>
      <c r="F704" s="229" t="s">
        <v>7723</v>
      </c>
      <c r="G704" s="229" t="s">
        <v>8057</v>
      </c>
      <c r="H704" s="229" t="s">
        <v>7723</v>
      </c>
      <c r="I704" s="229" t="s">
        <v>8058</v>
      </c>
      <c r="J704" s="231" t="s">
        <v>795</v>
      </c>
      <c r="K704" s="231" t="s">
        <v>7209</v>
      </c>
      <c r="L704" s="220" t="str">
        <f t="shared" si="164"/>
        <v>IT32</v>
      </c>
      <c r="M704" s="220" t="str">
        <f t="shared" si="165"/>
        <v/>
      </c>
      <c r="N704" s="220" t="str">
        <f t="shared" si="166"/>
        <v/>
      </c>
      <c r="O704" s="220" t="str">
        <f t="shared" si="167"/>
        <v/>
      </c>
      <c r="P704" s="52" t="str">
        <f t="shared" si="168"/>
        <v>IT32</v>
      </c>
      <c r="Q704" s="231" t="str">
        <f t="shared" si="174"/>
        <v>217</v>
      </c>
      <c r="R704" s="224">
        <f t="shared" si="176"/>
        <v>197</v>
      </c>
      <c r="S704" s="52">
        <f t="shared" si="169"/>
        <v>175</v>
      </c>
      <c r="T704" s="221">
        <f t="shared" ca="1" si="170"/>
        <v>4.28</v>
      </c>
      <c r="U704" s="221" t="str">
        <f t="shared" si="171"/>
        <v/>
      </c>
      <c r="V704" s="220" t="str">
        <f t="array" ref="V704">INDEX(P:P,MAX(U$3:U704))</f>
        <v>IT#2MTR</v>
      </c>
      <c r="W704" s="220" t="str">
        <f t="shared" ca="1" si="172"/>
        <v/>
      </c>
      <c r="X704" s="220">
        <f t="shared" si="173"/>
        <v>11.4</v>
      </c>
      <c r="Y704" s="220">
        <f t="shared" si="162"/>
        <v>0</v>
      </c>
      <c r="AA704" s="220" t="str">
        <f t="shared" si="163"/>
        <v>溝墘</v>
      </c>
      <c r="AB704" s="220" t="s">
        <v>2540</v>
      </c>
      <c r="AC704" s="220" t="str">
        <f t="shared" si="177"/>
        <v>溝中線</v>
      </c>
      <c r="BG704" s="229" t="s">
        <v>8859</v>
      </c>
      <c r="BH704" s="230" t="s">
        <v>8869</v>
      </c>
      <c r="BI704" t="s">
        <v>2540</v>
      </c>
      <c r="BJ704" t="s">
        <v>2535</v>
      </c>
    </row>
    <row r="705" spans="1:62">
      <c r="A705" s="229" t="s">
        <v>63</v>
      </c>
      <c r="B705" s="230" t="s">
        <v>430</v>
      </c>
      <c r="C705" s="230" t="s">
        <v>4751</v>
      </c>
      <c r="D705" s="229" t="s">
        <v>7986</v>
      </c>
      <c r="E705" s="229" t="s">
        <v>4752</v>
      </c>
      <c r="F705" s="229" t="s">
        <v>7723</v>
      </c>
      <c r="G705" s="229" t="s">
        <v>8059</v>
      </c>
      <c r="H705" s="229" t="s">
        <v>7986</v>
      </c>
      <c r="I705" s="229" t="s">
        <v>1060</v>
      </c>
      <c r="J705" s="231" t="s">
        <v>358</v>
      </c>
      <c r="K705" s="231" t="s">
        <v>8040</v>
      </c>
      <c r="L705" s="220" t="str">
        <f t="shared" si="164"/>
        <v>IT#3MTR</v>
      </c>
      <c r="M705" s="220" t="str">
        <f t="shared" si="165"/>
        <v/>
      </c>
      <c r="N705" s="220" t="str">
        <f t="shared" si="166"/>
        <v>IT#3MTR</v>
      </c>
      <c r="O705" s="220" t="str">
        <f t="shared" si="167"/>
        <v/>
      </c>
      <c r="P705" s="52" t="str">
        <f t="shared" si="168"/>
        <v>IT#3MTR</v>
      </c>
      <c r="Q705" s="231" t="str">
        <f t="shared" si="174"/>
        <v>834</v>
      </c>
      <c r="R705" s="224">
        <f t="shared" si="176"/>
        <v>803.66666666666663</v>
      </c>
      <c r="S705" s="52">
        <f t="shared" si="169"/>
        <v>787</v>
      </c>
      <c r="T705" s="221">
        <f t="shared" ca="1" si="170"/>
        <v>16.47</v>
      </c>
      <c r="U705" s="221">
        <f t="shared" si="171"/>
        <v>705</v>
      </c>
      <c r="V705" s="220" t="str">
        <f t="array" ref="V705">INDEX(P:P,MAX(U$3:U705))</f>
        <v>IT#3MTR</v>
      </c>
      <c r="W705" s="220">
        <f t="shared" ca="1" si="172"/>
        <v>25</v>
      </c>
      <c r="X705" s="220" t="str">
        <f t="shared" si="173"/>
        <v/>
      </c>
      <c r="Y705" s="220">
        <f t="shared" si="162"/>
        <v>0</v>
      </c>
      <c r="AA705" s="220" t="str">
        <f t="shared" si="163"/>
        <v>溝墘</v>
      </c>
      <c r="AB705" s="220" t="s">
        <v>2541</v>
      </c>
      <c r="AC705" s="220" t="str">
        <f t="shared" si="177"/>
        <v>#3M</v>
      </c>
      <c r="BG705" s="229" t="s">
        <v>8863</v>
      </c>
      <c r="BH705" s="230" t="s">
        <v>8538</v>
      </c>
      <c r="BI705" t="s">
        <v>2541</v>
      </c>
      <c r="BJ705" t="s">
        <v>2541</v>
      </c>
    </row>
    <row r="706" spans="1:62">
      <c r="A706" s="229" t="s">
        <v>8014</v>
      </c>
      <c r="B706" s="230" t="s">
        <v>8060</v>
      </c>
      <c r="C706" s="230" t="s">
        <v>7387</v>
      </c>
      <c r="D706" s="229" t="s">
        <v>7056</v>
      </c>
      <c r="E706" s="229" t="s">
        <v>8061</v>
      </c>
      <c r="F706" s="229" t="s">
        <v>5580</v>
      </c>
      <c r="G706" s="229" t="s">
        <v>8062</v>
      </c>
      <c r="H706" s="229" t="s">
        <v>7149</v>
      </c>
      <c r="I706" s="229" t="s">
        <v>8062</v>
      </c>
      <c r="J706" s="231" t="s">
        <v>8063</v>
      </c>
      <c r="K706" s="231" t="s">
        <v>7147</v>
      </c>
      <c r="L706" s="220" t="str">
        <f t="shared" si="164"/>
        <v>IT21</v>
      </c>
      <c r="M706" s="220" t="str">
        <f t="shared" si="165"/>
        <v/>
      </c>
      <c r="N706" s="220" t="str">
        <f t="shared" si="166"/>
        <v/>
      </c>
      <c r="O706" s="220" t="str">
        <f t="shared" si="167"/>
        <v/>
      </c>
      <c r="P706" s="52" t="str">
        <f t="shared" si="168"/>
        <v>IT21</v>
      </c>
      <c r="Q706" s="231" t="str">
        <f t="shared" si="174"/>
        <v>278</v>
      </c>
      <c r="R706" s="224">
        <f t="shared" si="176"/>
        <v>269</v>
      </c>
      <c r="S706" s="52">
        <f t="shared" si="169"/>
        <v>255</v>
      </c>
      <c r="T706" s="221">
        <f t="shared" ca="1" si="170"/>
        <v>5.49</v>
      </c>
      <c r="U706" s="221" t="str">
        <f t="shared" si="171"/>
        <v/>
      </c>
      <c r="V706" s="220" t="str">
        <f t="array" ref="V706">INDEX(P:P,MAX(U$3:U706))</f>
        <v>IT#3MTR</v>
      </c>
      <c r="W706" s="220" t="str">
        <f t="shared" ca="1" si="172"/>
        <v/>
      </c>
      <c r="X706" s="220">
        <f t="shared" si="173"/>
        <v>11.4</v>
      </c>
      <c r="Y706" s="220">
        <f t="shared" si="162"/>
        <v>0</v>
      </c>
      <c r="AA706" s="220" t="str">
        <f t="shared" si="163"/>
        <v>溝墘</v>
      </c>
      <c r="AB706" s="220" t="s">
        <v>2542</v>
      </c>
      <c r="AC706" s="220" t="str">
        <f t="shared" si="177"/>
        <v>頂番線</v>
      </c>
      <c r="BG706" s="229" t="s">
        <v>8859</v>
      </c>
      <c r="BH706" s="230" t="s">
        <v>8870</v>
      </c>
      <c r="BI706" t="s">
        <v>2542</v>
      </c>
      <c r="BJ706" t="s">
        <v>2541</v>
      </c>
    </row>
    <row r="707" spans="1:62">
      <c r="A707" s="229" t="s">
        <v>63</v>
      </c>
      <c r="B707" s="230" t="s">
        <v>685</v>
      </c>
      <c r="C707" s="230" t="s">
        <v>3170</v>
      </c>
      <c r="D707" s="229" t="s">
        <v>783</v>
      </c>
      <c r="E707" s="229" t="s">
        <v>3201</v>
      </c>
      <c r="F707" s="229" t="s">
        <v>832</v>
      </c>
      <c r="G707" s="229" t="s">
        <v>1057</v>
      </c>
      <c r="H707" s="229" t="s">
        <v>832</v>
      </c>
      <c r="I707" s="229" t="s">
        <v>3170</v>
      </c>
      <c r="J707" s="231" t="s">
        <v>848</v>
      </c>
      <c r="K707" s="231" t="s">
        <v>846</v>
      </c>
      <c r="L707" s="220" t="str">
        <f t="shared" si="164"/>
        <v>IT30</v>
      </c>
      <c r="M707" s="220" t="str">
        <f t="shared" si="165"/>
        <v/>
      </c>
      <c r="N707" s="220" t="str">
        <f t="shared" si="166"/>
        <v/>
      </c>
      <c r="O707" s="220" t="str">
        <f t="shared" si="167"/>
        <v/>
      </c>
      <c r="P707" s="52" t="str">
        <f t="shared" si="168"/>
        <v>IT30</v>
      </c>
      <c r="Q707" s="231" t="str">
        <f t="shared" si="174"/>
        <v>313</v>
      </c>
      <c r="R707" s="224">
        <f t="shared" si="176"/>
        <v>305</v>
      </c>
      <c r="S707" s="52">
        <f t="shared" si="169"/>
        <v>299</v>
      </c>
      <c r="T707" s="221">
        <f t="shared" ca="1" si="170"/>
        <v>6.18</v>
      </c>
      <c r="U707" s="221" t="str">
        <f t="shared" si="171"/>
        <v/>
      </c>
      <c r="V707" s="220" t="str">
        <f t="array" ref="V707">INDEX(P:P,MAX(U$3:U707))</f>
        <v>IT#3MTR</v>
      </c>
      <c r="W707" s="220" t="str">
        <f t="shared" ca="1" si="172"/>
        <v/>
      </c>
      <c r="X707" s="220">
        <f t="shared" si="173"/>
        <v>11.4</v>
      </c>
      <c r="Y707" s="220">
        <f t="shared" ref="Y707:Y770" si="178">SUMIF(L:L,L707,I:I)</f>
        <v>0</v>
      </c>
      <c r="AA707" s="220" t="str">
        <f t="shared" ref="AA707:AA770" si="179">LEFT(A707,2)</f>
        <v>溝墘</v>
      </c>
      <c r="AB707" s="220" t="s">
        <v>2543</v>
      </c>
      <c r="AC707" s="220" t="str">
        <f t="shared" si="177"/>
        <v>溝圳線</v>
      </c>
      <c r="BG707" s="229" t="s">
        <v>8863</v>
      </c>
      <c r="BH707" s="230" t="s">
        <v>8871</v>
      </c>
      <c r="BI707" t="s">
        <v>2543</v>
      </c>
      <c r="BJ707" t="s">
        <v>2541</v>
      </c>
    </row>
    <row r="708" spans="1:62">
      <c r="A708" s="229" t="s">
        <v>63</v>
      </c>
      <c r="B708" s="230" t="s">
        <v>686</v>
      </c>
      <c r="C708" s="230" t="s">
        <v>844</v>
      </c>
      <c r="D708" s="229" t="s">
        <v>7436</v>
      </c>
      <c r="E708" s="229" t="s">
        <v>889</v>
      </c>
      <c r="F708" s="229" t="s">
        <v>7961</v>
      </c>
      <c r="G708" s="229" t="s">
        <v>848</v>
      </c>
      <c r="H708" s="229" t="s">
        <v>783</v>
      </c>
      <c r="I708" s="229" t="s">
        <v>848</v>
      </c>
      <c r="J708" s="231" t="s">
        <v>5856</v>
      </c>
      <c r="K708" s="231" t="s">
        <v>797</v>
      </c>
      <c r="L708" s="220" t="str">
        <f t="shared" ref="L708:L771" si="180">IF(LEFT(B708,1)="#",IF(LEN(B708)=5,RIGHT(A708,2)&amp;B708,N708&amp;M708),MID(B708,FIND("(",B708)+1,4))</f>
        <v>IT26</v>
      </c>
      <c r="M708" s="220" t="str">
        <f t="shared" ref="M708:M771" si="181">IF(LEFT(B708,1)="#",IF(LEN(B708)&lt;&gt;5,"("&amp;MID(B708,3,1)&amp;")",""),"")</f>
        <v/>
      </c>
      <c r="N708" s="220" t="str">
        <f t="shared" ref="N708:N771" si="182">IF(LEFT(B708,1)="#",IF(LEN(B708)=5,RIGHT(A708,2)&amp;B708,RIGHT(A708,2)&amp;LEFT(B708,2)&amp;"DTR"),"")</f>
        <v/>
      </c>
      <c r="O708" s="220" t="str">
        <f t="shared" ref="O708:O771" si="183">IF(LEFT(B708,1)="#",IF(LEN(B708)&lt;&gt;5,IF(LEN(B708)&lt;&gt;7,"("&amp;MID(B708,3,1)&amp;")","("&amp;MID(B708,3,2)&amp;")"),""),"")</f>
        <v/>
      </c>
      <c r="P708" s="52" t="str">
        <f t="shared" ref="P708:P771" si="184">IF(LEFT(B708,1)="#",IF(LEN(B708)=5,RIGHT(A708,2)&amp;B708,N708&amp;M708),MID(B708,FIND("(",B708)+1,4))</f>
        <v>IT26</v>
      </c>
      <c r="Q708" s="231" t="str">
        <f t="shared" si="174"/>
        <v>60</v>
      </c>
      <c r="R708" s="224">
        <f t="shared" si="176"/>
        <v>52.333333333333336</v>
      </c>
      <c r="S708" s="52">
        <f t="shared" ref="S708:S771" si="185">MIN(C708*1,E708*1,G708*1)</f>
        <v>46</v>
      </c>
      <c r="T708" s="221">
        <f t="shared" ref="T708:T771" ca="1" si="186">IF(LEFT(B708,1)="#",ROUND(OFFSET(X708,1,0,1,1)*Q708*SQRT(3)/1000,2),ROUND(Q708*X708*SQRT(3)/1000,2))</f>
        <v>1.18</v>
      </c>
      <c r="U708" s="221" t="str">
        <f t="shared" ref="U708:U771" si="187">IF(ISNUMBER(FIND("#",B708)),ROW(),"")</f>
        <v/>
      </c>
      <c r="V708" s="220" t="str">
        <f t="array" ref="V708">INDEX(P:P,MAX(U$3:U708))</f>
        <v>IT#3MTR</v>
      </c>
      <c r="W708" s="220" t="str">
        <f t="shared" ref="W708:W771" ca="1" si="188">IF(LEFT(B708,1)="#",IF(ISNUMBER(FIND("DTR",B708)),IF(MID(OFFSET(P708,1,0,1,1),3,1)*1&lt;5,30,60),25),"")</f>
        <v/>
      </c>
      <c r="X708" s="220">
        <f t="shared" ref="X708:X771" si="189">IF(LEFT(B708,1)="#","",IF(MID(P708,3,1)*1&lt;5,11.4,22.8))</f>
        <v>11.4</v>
      </c>
      <c r="Y708" s="220">
        <f t="shared" si="178"/>
        <v>0</v>
      </c>
      <c r="AA708" s="220" t="str">
        <f t="shared" si="179"/>
        <v>溝墘</v>
      </c>
      <c r="AB708" s="220" t="s">
        <v>2544</v>
      </c>
      <c r="AC708" s="220" t="str">
        <f t="shared" si="177"/>
        <v>溝北線</v>
      </c>
      <c r="BG708" s="229" t="s">
        <v>63</v>
      </c>
      <c r="BH708" s="230" t="s">
        <v>686</v>
      </c>
      <c r="BI708" t="s">
        <v>2544</v>
      </c>
      <c r="BJ708" t="s">
        <v>2541</v>
      </c>
    </row>
    <row r="709" spans="1:62">
      <c r="A709" s="229" t="s">
        <v>8014</v>
      </c>
      <c r="B709" s="230" t="s">
        <v>8064</v>
      </c>
      <c r="C709" s="230" t="s">
        <v>8065</v>
      </c>
      <c r="D709" s="229" t="s">
        <v>7059</v>
      </c>
      <c r="E709" s="229" t="s">
        <v>1009</v>
      </c>
      <c r="F709" s="229" t="s">
        <v>5791</v>
      </c>
      <c r="G709" s="229" t="s">
        <v>8066</v>
      </c>
      <c r="H709" s="229" t="s">
        <v>5791</v>
      </c>
      <c r="I709" s="229" t="s">
        <v>943</v>
      </c>
      <c r="J709" s="231" t="s">
        <v>785</v>
      </c>
      <c r="K709" s="231" t="s">
        <v>7593</v>
      </c>
      <c r="L709" s="220" t="str">
        <f t="shared" si="180"/>
        <v>IT31</v>
      </c>
      <c r="M709" s="220" t="str">
        <f t="shared" si="181"/>
        <v/>
      </c>
      <c r="N709" s="220" t="str">
        <f t="shared" si="182"/>
        <v/>
      </c>
      <c r="O709" s="220" t="str">
        <f t="shared" si="183"/>
        <v/>
      </c>
      <c r="P709" s="52" t="str">
        <f t="shared" si="184"/>
        <v>IT31</v>
      </c>
      <c r="Q709" s="231" t="str">
        <f t="shared" si="174"/>
        <v>94</v>
      </c>
      <c r="R709" s="224">
        <f t="shared" si="176"/>
        <v>77.666666666666671</v>
      </c>
      <c r="S709" s="52">
        <f t="shared" si="185"/>
        <v>59</v>
      </c>
      <c r="T709" s="221">
        <f t="shared" ca="1" si="186"/>
        <v>1.86</v>
      </c>
      <c r="U709" s="221" t="str">
        <f t="shared" si="187"/>
        <v/>
      </c>
      <c r="V709" s="220" t="str">
        <f t="array" ref="V709">INDEX(P:P,MAX(U$3:U709))</f>
        <v>IT#3MTR</v>
      </c>
      <c r="W709" s="220" t="str">
        <f t="shared" ca="1" si="188"/>
        <v/>
      </c>
      <c r="X709" s="220">
        <f t="shared" si="189"/>
        <v>11.4</v>
      </c>
      <c r="Y709" s="220">
        <f t="shared" si="178"/>
        <v>0</v>
      </c>
      <c r="AA709" s="220" t="str">
        <f t="shared" si="179"/>
        <v>溝墘</v>
      </c>
      <c r="AB709" s="220" t="s">
        <v>2545</v>
      </c>
      <c r="AC709" s="220" t="str">
        <f t="shared" si="177"/>
        <v>溝鹿線</v>
      </c>
      <c r="BG709" s="229" t="s">
        <v>8863</v>
      </c>
      <c r="BH709" s="230" t="s">
        <v>8872</v>
      </c>
      <c r="BI709" t="s">
        <v>2545</v>
      </c>
      <c r="BJ709" t="s">
        <v>2541</v>
      </c>
    </row>
    <row r="710" spans="1:62">
      <c r="A710" s="229" t="s">
        <v>63</v>
      </c>
      <c r="B710" s="230" t="s">
        <v>687</v>
      </c>
      <c r="C710" s="230" t="s">
        <v>929</v>
      </c>
      <c r="D710" s="229" t="s">
        <v>797</v>
      </c>
      <c r="E710" s="229" t="s">
        <v>965</v>
      </c>
      <c r="F710" s="229" t="s">
        <v>8067</v>
      </c>
      <c r="G710" s="229" t="s">
        <v>5989</v>
      </c>
      <c r="H710" s="229" t="s">
        <v>804</v>
      </c>
      <c r="I710" s="229" t="s">
        <v>8068</v>
      </c>
      <c r="J710" s="231" t="s">
        <v>934</v>
      </c>
      <c r="K710" s="231" t="s">
        <v>7961</v>
      </c>
      <c r="L710" s="220" t="str">
        <f t="shared" si="180"/>
        <v>IT28</v>
      </c>
      <c r="M710" s="220" t="str">
        <f t="shared" si="181"/>
        <v/>
      </c>
      <c r="N710" s="220" t="str">
        <f t="shared" si="182"/>
        <v/>
      </c>
      <c r="O710" s="220" t="str">
        <f t="shared" si="183"/>
        <v/>
      </c>
      <c r="P710" s="52" t="str">
        <f t="shared" si="184"/>
        <v>IT28</v>
      </c>
      <c r="Q710" s="231" t="str">
        <f t="shared" si="174"/>
        <v>204</v>
      </c>
      <c r="R710" s="224">
        <f t="shared" si="176"/>
        <v>183</v>
      </c>
      <c r="S710" s="52">
        <f t="shared" si="185"/>
        <v>156</v>
      </c>
      <c r="T710" s="221">
        <f t="shared" ca="1" si="186"/>
        <v>4.03</v>
      </c>
      <c r="U710" s="221" t="str">
        <f t="shared" si="187"/>
        <v/>
      </c>
      <c r="V710" s="220" t="str">
        <f t="array" ref="V710">INDEX(P:P,MAX(U$3:U710))</f>
        <v>IT#3MTR</v>
      </c>
      <c r="W710" s="220" t="str">
        <f t="shared" ca="1" si="188"/>
        <v/>
      </c>
      <c r="X710" s="220">
        <f t="shared" si="189"/>
        <v>11.4</v>
      </c>
      <c r="Y710" s="220">
        <f t="shared" si="178"/>
        <v>0</v>
      </c>
      <c r="AA710" s="220" t="str">
        <f t="shared" si="179"/>
        <v>溝墘</v>
      </c>
      <c r="AB710" s="220" t="s">
        <v>2546</v>
      </c>
      <c r="AC710" s="220" t="str">
        <f t="shared" si="177"/>
        <v>三永線</v>
      </c>
      <c r="BG710" s="229" t="s">
        <v>8859</v>
      </c>
      <c r="BH710" s="230" t="s">
        <v>8873</v>
      </c>
      <c r="BI710" t="s">
        <v>2546</v>
      </c>
      <c r="BJ710" t="s">
        <v>2541</v>
      </c>
    </row>
    <row r="711" spans="1:62">
      <c r="A711" s="229" t="s">
        <v>70</v>
      </c>
      <c r="B711" s="230" t="s">
        <v>391</v>
      </c>
      <c r="C711" s="230" t="s">
        <v>8069</v>
      </c>
      <c r="D711" s="229" t="s">
        <v>850</v>
      </c>
      <c r="E711" s="229" t="s">
        <v>8070</v>
      </c>
      <c r="F711" s="229" t="s">
        <v>850</v>
      </c>
      <c r="G711" s="229" t="s">
        <v>8071</v>
      </c>
      <c r="H711" s="229" t="s">
        <v>850</v>
      </c>
      <c r="I711" s="229" t="s">
        <v>3173</v>
      </c>
      <c r="J711" s="231" t="s">
        <v>358</v>
      </c>
      <c r="K711" s="231" t="s">
        <v>358</v>
      </c>
      <c r="L711" s="220" t="str">
        <f t="shared" si="180"/>
        <v>IU#1DTR(A)</v>
      </c>
      <c r="M711" s="220" t="str">
        <f t="shared" si="181"/>
        <v>(A)</v>
      </c>
      <c r="N711" s="220" t="str">
        <f t="shared" si="182"/>
        <v>IU#1DTR</v>
      </c>
      <c r="O711" s="220" t="str">
        <f t="shared" si="183"/>
        <v>(A)</v>
      </c>
      <c r="P711" s="52" t="str">
        <f t="shared" si="184"/>
        <v>IU#1DTR(A)</v>
      </c>
      <c r="Q711" s="231" t="str">
        <f t="shared" si="174"/>
        <v>773</v>
      </c>
      <c r="R711" s="224">
        <f t="shared" si="176"/>
        <v>703.33333333333337</v>
      </c>
      <c r="S711" s="52">
        <f t="shared" si="185"/>
        <v>657</v>
      </c>
      <c r="T711" s="221">
        <f t="shared" ca="1" si="186"/>
        <v>15.26</v>
      </c>
      <c r="U711" s="221">
        <f t="shared" si="187"/>
        <v>711</v>
      </c>
      <c r="V711" s="220" t="str">
        <f t="array" ref="V711">INDEX(P:P,MAX(U$3:U711))</f>
        <v>IU#1DTR(A)</v>
      </c>
      <c r="W711" s="220">
        <f t="shared" ca="1" si="188"/>
        <v>30</v>
      </c>
      <c r="X711" s="220" t="str">
        <f t="shared" si="189"/>
        <v/>
      </c>
      <c r="Y711" s="220">
        <f t="shared" si="178"/>
        <v>0</v>
      </c>
      <c r="AA711" s="220" t="str">
        <f t="shared" si="179"/>
        <v>員東</v>
      </c>
      <c r="AB711" s="220" t="s">
        <v>2547</v>
      </c>
      <c r="AC711" s="220" t="str">
        <f>LEFT(B711,4)</f>
        <v>#1AD</v>
      </c>
      <c r="BG711" s="229" t="s">
        <v>8874</v>
      </c>
      <c r="BH711" s="230" t="s">
        <v>8346</v>
      </c>
      <c r="BI711" t="s">
        <v>2547</v>
      </c>
      <c r="BJ711" t="s">
        <v>2547</v>
      </c>
    </row>
    <row r="712" spans="1:62">
      <c r="A712" s="229" t="s">
        <v>8072</v>
      </c>
      <c r="B712" s="230" t="s">
        <v>688</v>
      </c>
      <c r="C712" s="230" t="s">
        <v>870</v>
      </c>
      <c r="D712" s="229" t="s">
        <v>804</v>
      </c>
      <c r="E712" s="229" t="s">
        <v>8073</v>
      </c>
      <c r="F712" s="229" t="s">
        <v>7056</v>
      </c>
      <c r="G712" s="229" t="s">
        <v>838</v>
      </c>
      <c r="H712" s="229" t="s">
        <v>845</v>
      </c>
      <c r="I712" s="229" t="s">
        <v>1040</v>
      </c>
      <c r="J712" s="231" t="s">
        <v>6297</v>
      </c>
      <c r="K712" s="231" t="s">
        <v>7072</v>
      </c>
      <c r="L712" s="220" t="str">
        <f t="shared" si="180"/>
        <v>IU21</v>
      </c>
      <c r="M712" s="220" t="str">
        <f t="shared" si="181"/>
        <v/>
      </c>
      <c r="N712" s="220" t="str">
        <f t="shared" si="182"/>
        <v/>
      </c>
      <c r="O712" s="220" t="str">
        <f t="shared" si="183"/>
        <v/>
      </c>
      <c r="P712" s="52" t="str">
        <f t="shared" si="184"/>
        <v>IU21</v>
      </c>
      <c r="Q712" s="231" t="str">
        <f t="shared" si="174"/>
        <v>153</v>
      </c>
      <c r="R712" s="224">
        <f t="shared" si="176"/>
        <v>134</v>
      </c>
      <c r="S712" s="52">
        <f t="shared" si="185"/>
        <v>123</v>
      </c>
      <c r="T712" s="221">
        <f t="shared" ca="1" si="186"/>
        <v>3.02</v>
      </c>
      <c r="U712" s="221" t="str">
        <f t="shared" si="187"/>
        <v/>
      </c>
      <c r="V712" s="220" t="str">
        <f t="array" ref="V712">INDEX(P:P,MAX(U$3:U712))</f>
        <v>IU#1DTR(A)</v>
      </c>
      <c r="W712" s="220" t="str">
        <f t="shared" ca="1" si="188"/>
        <v/>
      </c>
      <c r="X712" s="220">
        <f t="shared" si="189"/>
        <v>11.4</v>
      </c>
      <c r="Y712" s="220">
        <f t="shared" si="178"/>
        <v>0</v>
      </c>
      <c r="AA712" s="220" t="str">
        <f t="shared" si="179"/>
        <v>員東</v>
      </c>
      <c r="AB712" s="220" t="s">
        <v>2548</v>
      </c>
      <c r="AC712" s="220" t="str">
        <f>LEFT(B712,4)</f>
        <v>IU21</v>
      </c>
      <c r="BG712" s="229" t="s">
        <v>8874</v>
      </c>
      <c r="BH712" s="230" t="s">
        <v>8875</v>
      </c>
      <c r="BI712" t="s">
        <v>2548</v>
      </c>
      <c r="BJ712" t="s">
        <v>2547</v>
      </c>
    </row>
    <row r="713" spans="1:62">
      <c r="A713" s="229" t="s">
        <v>8074</v>
      </c>
      <c r="B713" s="230" t="s">
        <v>689</v>
      </c>
      <c r="C713" s="230" t="s">
        <v>927</v>
      </c>
      <c r="D713" s="229" t="s">
        <v>7156</v>
      </c>
      <c r="E713" s="229" t="s">
        <v>870</v>
      </c>
      <c r="F713" s="229" t="s">
        <v>839</v>
      </c>
      <c r="G713" s="229" t="s">
        <v>809</v>
      </c>
      <c r="H713" s="229" t="s">
        <v>8075</v>
      </c>
      <c r="I713" s="229" t="s">
        <v>870</v>
      </c>
      <c r="J713" s="231" t="s">
        <v>8076</v>
      </c>
      <c r="K713" s="231" t="s">
        <v>797</v>
      </c>
      <c r="L713" s="220" t="str">
        <f t="shared" si="180"/>
        <v>IU22</v>
      </c>
      <c r="M713" s="220" t="str">
        <f t="shared" si="181"/>
        <v/>
      </c>
      <c r="N713" s="220" t="str">
        <f t="shared" si="182"/>
        <v/>
      </c>
      <c r="O713" s="220" t="str">
        <f t="shared" si="183"/>
        <v/>
      </c>
      <c r="P713" s="52" t="str">
        <f t="shared" si="184"/>
        <v>IU22</v>
      </c>
      <c r="Q713" s="231" t="str">
        <f t="shared" si="174"/>
        <v>123</v>
      </c>
      <c r="R713" s="224">
        <f t="shared" si="176"/>
        <v>109.66666666666667</v>
      </c>
      <c r="S713" s="52">
        <f t="shared" si="185"/>
        <v>100</v>
      </c>
      <c r="T713" s="221">
        <f t="shared" ca="1" si="186"/>
        <v>2.4300000000000002</v>
      </c>
      <c r="U713" s="221" t="str">
        <f t="shared" si="187"/>
        <v/>
      </c>
      <c r="V713" s="220" t="str">
        <f t="array" ref="V713">INDEX(P:P,MAX(U$3:U713))</f>
        <v>IU#1DTR(A)</v>
      </c>
      <c r="W713" s="220" t="str">
        <f t="shared" ca="1" si="188"/>
        <v/>
      </c>
      <c r="X713" s="220">
        <f t="shared" si="189"/>
        <v>11.4</v>
      </c>
      <c r="Y713" s="220">
        <f t="shared" si="178"/>
        <v>0</v>
      </c>
      <c r="AA713" s="220" t="str">
        <f t="shared" si="179"/>
        <v>員東</v>
      </c>
      <c r="AB713" s="220" t="s">
        <v>2549</v>
      </c>
      <c r="AC713" s="220" t="str">
        <f>LEFT(B713,3)</f>
        <v>宏進線</v>
      </c>
      <c r="BG713" s="229" t="s">
        <v>8874</v>
      </c>
      <c r="BH713" s="230" t="s">
        <v>8876</v>
      </c>
      <c r="BI713" t="s">
        <v>2549</v>
      </c>
      <c r="BJ713" t="s">
        <v>2547</v>
      </c>
    </row>
    <row r="714" spans="1:62">
      <c r="A714" s="229" t="s">
        <v>70</v>
      </c>
      <c r="B714" s="230" t="s">
        <v>690</v>
      </c>
      <c r="C714" s="230" t="s">
        <v>933</v>
      </c>
      <c r="D714" s="229" t="s">
        <v>804</v>
      </c>
      <c r="E714" s="229" t="s">
        <v>8077</v>
      </c>
      <c r="F714" s="229" t="s">
        <v>804</v>
      </c>
      <c r="G714" s="229" t="s">
        <v>8078</v>
      </c>
      <c r="H714" s="229" t="s">
        <v>804</v>
      </c>
      <c r="I714" s="229" t="s">
        <v>801</v>
      </c>
      <c r="J714" s="231" t="s">
        <v>941</v>
      </c>
      <c r="K714" s="231" t="s">
        <v>783</v>
      </c>
      <c r="L714" s="220" t="str">
        <f t="shared" si="180"/>
        <v>IU23</v>
      </c>
      <c r="M714" s="220" t="str">
        <f t="shared" si="181"/>
        <v/>
      </c>
      <c r="N714" s="220" t="str">
        <f t="shared" si="182"/>
        <v/>
      </c>
      <c r="O714" s="220" t="str">
        <f t="shared" si="183"/>
        <v/>
      </c>
      <c r="P714" s="52" t="str">
        <f t="shared" si="184"/>
        <v>IU23</v>
      </c>
      <c r="Q714" s="231" t="str">
        <f t="shared" si="174"/>
        <v>141</v>
      </c>
      <c r="R714" s="224">
        <f t="shared" si="176"/>
        <v>129.66666666666666</v>
      </c>
      <c r="S714" s="52">
        <f t="shared" si="185"/>
        <v>115</v>
      </c>
      <c r="T714" s="221">
        <f t="shared" ca="1" si="186"/>
        <v>2.78</v>
      </c>
      <c r="U714" s="221" t="str">
        <f t="shared" si="187"/>
        <v/>
      </c>
      <c r="V714" s="220" t="str">
        <f t="array" ref="V714">INDEX(P:P,MAX(U$3:U714))</f>
        <v>IU#1DTR(A)</v>
      </c>
      <c r="W714" s="220" t="str">
        <f t="shared" ca="1" si="188"/>
        <v/>
      </c>
      <c r="X714" s="220">
        <f t="shared" si="189"/>
        <v>11.4</v>
      </c>
      <c r="Y714" s="220">
        <f t="shared" si="178"/>
        <v>0</v>
      </c>
      <c r="AA714" s="220" t="str">
        <f t="shared" si="179"/>
        <v>員東</v>
      </c>
      <c r="AB714" s="220" t="s">
        <v>2550</v>
      </c>
      <c r="AC714" s="220" t="str">
        <f>LEFT(B714,3)</f>
        <v>中崙線</v>
      </c>
      <c r="BG714" s="229" t="s">
        <v>8877</v>
      </c>
      <c r="BH714" s="230" t="s">
        <v>690</v>
      </c>
      <c r="BI714" t="s">
        <v>2550</v>
      </c>
      <c r="BJ714" t="s">
        <v>2547</v>
      </c>
    </row>
    <row r="715" spans="1:62">
      <c r="A715" s="229" t="s">
        <v>70</v>
      </c>
      <c r="B715" s="230" t="s">
        <v>691</v>
      </c>
      <c r="C715" s="230" t="s">
        <v>878</v>
      </c>
      <c r="D715" s="229" t="s">
        <v>846</v>
      </c>
      <c r="E715" s="229" t="s">
        <v>795</v>
      </c>
      <c r="F715" s="229" t="s">
        <v>8079</v>
      </c>
      <c r="G715" s="229" t="s">
        <v>843</v>
      </c>
      <c r="H715" s="229" t="s">
        <v>845</v>
      </c>
      <c r="I715" s="229" t="s">
        <v>795</v>
      </c>
      <c r="J715" s="231" t="s">
        <v>993</v>
      </c>
      <c r="K715" s="231" t="s">
        <v>5975</v>
      </c>
      <c r="L715" s="220" t="str">
        <f t="shared" si="180"/>
        <v>IU24</v>
      </c>
      <c r="M715" s="220" t="str">
        <f t="shared" si="181"/>
        <v/>
      </c>
      <c r="N715" s="220" t="str">
        <f t="shared" si="182"/>
        <v/>
      </c>
      <c r="O715" s="220" t="str">
        <f t="shared" si="183"/>
        <v/>
      </c>
      <c r="P715" s="52" t="str">
        <f t="shared" si="184"/>
        <v>IU24</v>
      </c>
      <c r="Q715" s="231" t="str">
        <f t="shared" si="174"/>
        <v>69</v>
      </c>
      <c r="R715" s="224">
        <f t="shared" si="176"/>
        <v>59.666666666666664</v>
      </c>
      <c r="S715" s="52">
        <f t="shared" si="185"/>
        <v>53</v>
      </c>
      <c r="T715" s="221">
        <f t="shared" ca="1" si="186"/>
        <v>1.36</v>
      </c>
      <c r="U715" s="221" t="str">
        <f t="shared" si="187"/>
        <v/>
      </c>
      <c r="V715" s="220" t="str">
        <f t="array" ref="V715">INDEX(P:P,MAX(U$3:U715))</f>
        <v>IU#1DTR(A)</v>
      </c>
      <c r="W715" s="220" t="str">
        <f t="shared" ca="1" si="188"/>
        <v/>
      </c>
      <c r="X715" s="220">
        <f t="shared" si="189"/>
        <v>11.4</v>
      </c>
      <c r="Y715" s="220">
        <f t="shared" si="178"/>
        <v>0</v>
      </c>
      <c r="AA715" s="220" t="str">
        <f t="shared" si="179"/>
        <v>員東</v>
      </c>
      <c r="AB715" s="220" t="s">
        <v>2551</v>
      </c>
      <c r="AC715" s="220" t="str">
        <f>LEFT(B715,3)</f>
        <v>東山線</v>
      </c>
      <c r="BG715" s="229" t="s">
        <v>8874</v>
      </c>
      <c r="BH715" s="230" t="s">
        <v>8878</v>
      </c>
      <c r="BI715" t="s">
        <v>2551</v>
      </c>
      <c r="BJ715" t="s">
        <v>2547</v>
      </c>
    </row>
    <row r="716" spans="1:62">
      <c r="A716" s="229" t="s">
        <v>70</v>
      </c>
      <c r="B716" s="230" t="s">
        <v>692</v>
      </c>
      <c r="C716" s="230" t="s">
        <v>963</v>
      </c>
      <c r="D716" s="229" t="s">
        <v>5975</v>
      </c>
      <c r="E716" s="229" t="s">
        <v>8080</v>
      </c>
      <c r="F716" s="229" t="s">
        <v>845</v>
      </c>
      <c r="G716" s="229" t="s">
        <v>813</v>
      </c>
      <c r="H716" s="229" t="s">
        <v>850</v>
      </c>
      <c r="I716" s="229" t="s">
        <v>1026</v>
      </c>
      <c r="J716" s="231" t="s">
        <v>8081</v>
      </c>
      <c r="K716" s="231" t="s">
        <v>5597</v>
      </c>
      <c r="L716" s="220" t="str">
        <f t="shared" si="180"/>
        <v>IU25</v>
      </c>
      <c r="M716" s="220" t="str">
        <f t="shared" si="181"/>
        <v/>
      </c>
      <c r="N716" s="220" t="str">
        <f t="shared" si="182"/>
        <v/>
      </c>
      <c r="O716" s="220" t="str">
        <f t="shared" si="183"/>
        <v/>
      </c>
      <c r="P716" s="52" t="str">
        <f t="shared" si="184"/>
        <v>IU25</v>
      </c>
      <c r="Q716" s="231" t="str">
        <f t="shared" si="174"/>
        <v>214</v>
      </c>
      <c r="R716" s="224">
        <f t="shared" si="176"/>
        <v>200</v>
      </c>
      <c r="S716" s="52">
        <f t="shared" si="185"/>
        <v>185</v>
      </c>
      <c r="T716" s="221">
        <f t="shared" ca="1" si="186"/>
        <v>4.2300000000000004</v>
      </c>
      <c r="U716" s="221" t="str">
        <f t="shared" si="187"/>
        <v/>
      </c>
      <c r="V716" s="220" t="str">
        <f t="array" ref="V716">INDEX(P:P,MAX(U$3:U716))</f>
        <v>IU#1DTR(A)</v>
      </c>
      <c r="W716" s="220" t="str">
        <f t="shared" ca="1" si="188"/>
        <v/>
      </c>
      <c r="X716" s="220">
        <f t="shared" si="189"/>
        <v>11.4</v>
      </c>
      <c r="Y716" s="220">
        <f t="shared" si="178"/>
        <v>0</v>
      </c>
      <c r="AA716" s="220" t="str">
        <f t="shared" si="179"/>
        <v>員東</v>
      </c>
      <c r="AB716" s="220" t="s">
        <v>2552</v>
      </c>
      <c r="AC716" s="220" t="str">
        <f>LEFT(B716,3)</f>
        <v>湖水線</v>
      </c>
      <c r="BG716" s="229" t="s">
        <v>70</v>
      </c>
      <c r="BH716" s="230" t="s">
        <v>8879</v>
      </c>
      <c r="BI716" t="s">
        <v>2552</v>
      </c>
      <c r="BJ716" t="s">
        <v>2547</v>
      </c>
    </row>
    <row r="717" spans="1:62">
      <c r="A717" s="229" t="s">
        <v>8072</v>
      </c>
      <c r="B717" s="230" t="s">
        <v>8082</v>
      </c>
      <c r="C717" s="230" t="s">
        <v>928</v>
      </c>
      <c r="D717" s="229" t="s">
        <v>850</v>
      </c>
      <c r="E717" s="229" t="s">
        <v>896</v>
      </c>
      <c r="F717" s="229" t="s">
        <v>5975</v>
      </c>
      <c r="G717" s="229" t="s">
        <v>7327</v>
      </c>
      <c r="H717" s="229" t="s">
        <v>8079</v>
      </c>
      <c r="I717" s="229" t="s">
        <v>8083</v>
      </c>
      <c r="J717" s="231" t="s">
        <v>972</v>
      </c>
      <c r="K717" s="231" t="s">
        <v>850</v>
      </c>
      <c r="L717" s="220" t="str">
        <f t="shared" si="180"/>
        <v>IU26</v>
      </c>
      <c r="M717" s="220" t="str">
        <f t="shared" si="181"/>
        <v/>
      </c>
      <c r="N717" s="220" t="str">
        <f t="shared" si="182"/>
        <v/>
      </c>
      <c r="O717" s="220" t="str">
        <f t="shared" si="183"/>
        <v/>
      </c>
      <c r="P717" s="52" t="str">
        <f t="shared" si="184"/>
        <v>IU26</v>
      </c>
      <c r="Q717" s="231" t="str">
        <f t="shared" si="174"/>
        <v>162</v>
      </c>
      <c r="R717" s="224">
        <f t="shared" si="176"/>
        <v>146</v>
      </c>
      <c r="S717" s="52">
        <f t="shared" si="185"/>
        <v>122</v>
      </c>
      <c r="T717" s="221">
        <f t="shared" ca="1" si="186"/>
        <v>3.2</v>
      </c>
      <c r="U717" s="221" t="str">
        <f t="shared" si="187"/>
        <v/>
      </c>
      <c r="V717" s="220" t="str">
        <f t="array" ref="V717">INDEX(P:P,MAX(U$3:U717))</f>
        <v>IU#1DTR(A)</v>
      </c>
      <c r="W717" s="220" t="str">
        <f t="shared" ca="1" si="188"/>
        <v/>
      </c>
      <c r="X717" s="220">
        <f t="shared" si="189"/>
        <v>11.4</v>
      </c>
      <c r="Y717" s="220">
        <f t="shared" si="178"/>
        <v>0</v>
      </c>
      <c r="AA717" s="220" t="str">
        <f t="shared" si="179"/>
        <v>員東</v>
      </c>
      <c r="AB717" s="220" t="s">
        <v>1891</v>
      </c>
      <c r="AC717" s="220" t="str">
        <f>LEFT(B717,4)</f>
        <v>IU26</v>
      </c>
      <c r="BG717" s="229" t="s">
        <v>8874</v>
      </c>
      <c r="BH717" s="230" t="s">
        <v>8880</v>
      </c>
      <c r="BI717" t="s">
        <v>1891</v>
      </c>
      <c r="BJ717" t="s">
        <v>2547</v>
      </c>
    </row>
    <row r="718" spans="1:62">
      <c r="A718" s="229" t="s">
        <v>70</v>
      </c>
      <c r="B718" s="230" t="s">
        <v>392</v>
      </c>
      <c r="C718" s="230" t="s">
        <v>4753</v>
      </c>
      <c r="D718" s="229" t="s">
        <v>804</v>
      </c>
      <c r="E718" s="229" t="s">
        <v>4747</v>
      </c>
      <c r="F718" s="229" t="s">
        <v>7056</v>
      </c>
      <c r="G718" s="229" t="s">
        <v>3165</v>
      </c>
      <c r="H718" s="229" t="s">
        <v>804</v>
      </c>
      <c r="I718" s="229" t="s">
        <v>4753</v>
      </c>
      <c r="J718" s="231" t="s">
        <v>7078</v>
      </c>
      <c r="K718" s="231" t="s">
        <v>358</v>
      </c>
      <c r="L718" s="220" t="str">
        <f t="shared" si="180"/>
        <v>IU#1DTR(B)</v>
      </c>
      <c r="M718" s="220" t="str">
        <f t="shared" si="181"/>
        <v>(B)</v>
      </c>
      <c r="N718" s="220" t="str">
        <f t="shared" si="182"/>
        <v>IU#1DTR</v>
      </c>
      <c r="O718" s="220" t="str">
        <f t="shared" si="183"/>
        <v>(B)</v>
      </c>
      <c r="P718" s="52" t="str">
        <f t="shared" si="184"/>
        <v>IU#1DTR(B)</v>
      </c>
      <c r="Q718" s="231" t="str">
        <f t="shared" si="174"/>
        <v>659</v>
      </c>
      <c r="R718" s="224">
        <f t="shared" si="176"/>
        <v>651</v>
      </c>
      <c r="S718" s="52">
        <f t="shared" si="185"/>
        <v>642</v>
      </c>
      <c r="T718" s="221">
        <f t="shared" ca="1" si="186"/>
        <v>13.01</v>
      </c>
      <c r="U718" s="221">
        <f t="shared" si="187"/>
        <v>718</v>
      </c>
      <c r="V718" s="220" t="str">
        <f t="array" ref="V718">INDEX(P:P,MAX(U$3:U718))</f>
        <v>IU#1DTR(B)</v>
      </c>
      <c r="W718" s="220">
        <f t="shared" ca="1" si="188"/>
        <v>30</v>
      </c>
      <c r="X718" s="220" t="str">
        <f t="shared" si="189"/>
        <v/>
      </c>
      <c r="Y718" s="220">
        <f t="shared" si="178"/>
        <v>0</v>
      </c>
      <c r="AA718" s="220" t="str">
        <f t="shared" si="179"/>
        <v>員東</v>
      </c>
      <c r="AB718" s="220" t="s">
        <v>2553</v>
      </c>
      <c r="AC718" s="220" t="str">
        <f>LEFT(B718,3)</f>
        <v>#1B</v>
      </c>
      <c r="BG718" s="229" t="s">
        <v>8874</v>
      </c>
      <c r="BH718" s="230" t="s">
        <v>8352</v>
      </c>
      <c r="BI718" t="s">
        <v>2553</v>
      </c>
      <c r="BJ718" t="s">
        <v>2553</v>
      </c>
    </row>
    <row r="719" spans="1:62">
      <c r="A719" s="229" t="s">
        <v>5830</v>
      </c>
      <c r="B719" s="230" t="s">
        <v>693</v>
      </c>
      <c r="C719" s="230" t="s">
        <v>8084</v>
      </c>
      <c r="D719" s="229" t="s">
        <v>804</v>
      </c>
      <c r="E719" s="229" t="s">
        <v>5989</v>
      </c>
      <c r="F719" s="229" t="s">
        <v>804</v>
      </c>
      <c r="G719" s="229" t="s">
        <v>915</v>
      </c>
      <c r="H719" s="229" t="s">
        <v>804</v>
      </c>
      <c r="I719" s="229" t="s">
        <v>8084</v>
      </c>
      <c r="J719" s="231" t="s">
        <v>879</v>
      </c>
      <c r="K719" s="231" t="s">
        <v>7147</v>
      </c>
      <c r="L719" s="220" t="str">
        <f t="shared" si="180"/>
        <v>IU31</v>
      </c>
      <c r="M719" s="220" t="str">
        <f t="shared" si="181"/>
        <v/>
      </c>
      <c r="N719" s="220" t="str">
        <f t="shared" si="182"/>
        <v/>
      </c>
      <c r="O719" s="220" t="str">
        <f t="shared" si="183"/>
        <v/>
      </c>
      <c r="P719" s="52" t="str">
        <f t="shared" si="184"/>
        <v>IU31</v>
      </c>
      <c r="Q719" s="231" t="str">
        <f t="shared" ref="Q719:Q782" si="190">I719</f>
        <v>209</v>
      </c>
      <c r="R719" s="224">
        <f t="shared" si="176"/>
        <v>200.33333333333334</v>
      </c>
      <c r="S719" s="52">
        <f t="shared" si="185"/>
        <v>189</v>
      </c>
      <c r="T719" s="221">
        <f t="shared" ca="1" si="186"/>
        <v>4.13</v>
      </c>
      <c r="U719" s="221" t="str">
        <f t="shared" si="187"/>
        <v/>
      </c>
      <c r="V719" s="220" t="str">
        <f t="array" ref="V719">INDEX(P:P,MAX(U$3:U719))</f>
        <v>IU#1DTR(B)</v>
      </c>
      <c r="W719" s="220" t="str">
        <f t="shared" ca="1" si="188"/>
        <v/>
      </c>
      <c r="X719" s="220">
        <f t="shared" si="189"/>
        <v>11.4</v>
      </c>
      <c r="Y719" s="220">
        <f t="shared" si="178"/>
        <v>0</v>
      </c>
      <c r="AA719" s="220" t="str">
        <f t="shared" si="179"/>
        <v>員東</v>
      </c>
      <c r="AB719" s="220" t="s">
        <v>2554</v>
      </c>
      <c r="AC719" s="220" t="str">
        <f>LEFT(B719,3)</f>
        <v>東新線</v>
      </c>
      <c r="BG719" s="229" t="s">
        <v>8874</v>
      </c>
      <c r="BH719" s="230" t="s">
        <v>8881</v>
      </c>
      <c r="BI719" t="s">
        <v>2554</v>
      </c>
      <c r="BJ719" t="s">
        <v>2553</v>
      </c>
    </row>
    <row r="720" spans="1:62">
      <c r="A720" s="229" t="s">
        <v>5830</v>
      </c>
      <c r="B720" s="230" t="s">
        <v>694</v>
      </c>
      <c r="C720" s="230" t="s">
        <v>969</v>
      </c>
      <c r="D720" s="229" t="s">
        <v>5986</v>
      </c>
      <c r="E720" s="229" t="s">
        <v>7585</v>
      </c>
      <c r="F720" s="229" t="s">
        <v>5580</v>
      </c>
      <c r="G720" s="229" t="s">
        <v>819</v>
      </c>
      <c r="H720" s="229" t="s">
        <v>797</v>
      </c>
      <c r="I720" s="229" t="s">
        <v>969</v>
      </c>
      <c r="J720" s="231" t="s">
        <v>1009</v>
      </c>
      <c r="K720" s="231" t="s">
        <v>783</v>
      </c>
      <c r="L720" s="220" t="str">
        <f t="shared" si="180"/>
        <v>IU32</v>
      </c>
      <c r="M720" s="220" t="str">
        <f t="shared" si="181"/>
        <v/>
      </c>
      <c r="N720" s="220" t="str">
        <f t="shared" si="182"/>
        <v/>
      </c>
      <c r="O720" s="220" t="str">
        <f t="shared" si="183"/>
        <v/>
      </c>
      <c r="P720" s="52" t="str">
        <f t="shared" si="184"/>
        <v>IU32</v>
      </c>
      <c r="Q720" s="231" t="str">
        <f t="shared" si="190"/>
        <v>169</v>
      </c>
      <c r="R720" s="224">
        <f t="shared" si="176"/>
        <v>155.33333333333334</v>
      </c>
      <c r="S720" s="52">
        <f t="shared" si="185"/>
        <v>139</v>
      </c>
      <c r="T720" s="221">
        <f t="shared" ca="1" si="186"/>
        <v>3.34</v>
      </c>
      <c r="U720" s="221" t="str">
        <f t="shared" si="187"/>
        <v/>
      </c>
      <c r="V720" s="220" t="str">
        <f t="array" ref="V720">INDEX(P:P,MAX(U$3:U720))</f>
        <v>IU#1DTR(B)</v>
      </c>
      <c r="W720" s="220" t="str">
        <f t="shared" ca="1" si="188"/>
        <v/>
      </c>
      <c r="X720" s="220">
        <f t="shared" si="189"/>
        <v>11.4</v>
      </c>
      <c r="Y720" s="220">
        <f t="shared" si="178"/>
        <v>0</v>
      </c>
      <c r="AA720" s="220" t="str">
        <f t="shared" si="179"/>
        <v>員東</v>
      </c>
      <c r="AB720" s="220" t="s">
        <v>1895</v>
      </c>
      <c r="AC720" s="220" t="str">
        <f>LEFT(B720,3)</f>
        <v>西東線</v>
      </c>
      <c r="BG720" s="229" t="s">
        <v>8874</v>
      </c>
      <c r="BH720" s="230" t="s">
        <v>8882</v>
      </c>
      <c r="BI720" t="s">
        <v>1895</v>
      </c>
      <c r="BJ720" t="s">
        <v>2553</v>
      </c>
    </row>
    <row r="721" spans="1:62">
      <c r="A721" s="229" t="s">
        <v>70</v>
      </c>
      <c r="B721" s="230" t="s">
        <v>695</v>
      </c>
      <c r="C721" s="230" t="s">
        <v>979</v>
      </c>
      <c r="D721" s="229" t="s">
        <v>846</v>
      </c>
      <c r="E721" s="229" t="s">
        <v>8085</v>
      </c>
      <c r="F721" s="229" t="s">
        <v>846</v>
      </c>
      <c r="G721" s="229" t="s">
        <v>1031</v>
      </c>
      <c r="H721" s="229" t="s">
        <v>846</v>
      </c>
      <c r="I721" s="229" t="s">
        <v>1031</v>
      </c>
      <c r="J721" s="231" t="s">
        <v>867</v>
      </c>
      <c r="K721" s="231" t="s">
        <v>804</v>
      </c>
      <c r="L721" s="220" t="str">
        <f t="shared" si="180"/>
        <v>IU33</v>
      </c>
      <c r="M721" s="220" t="str">
        <f t="shared" si="181"/>
        <v/>
      </c>
      <c r="N721" s="220" t="str">
        <f t="shared" si="182"/>
        <v/>
      </c>
      <c r="O721" s="220" t="str">
        <f t="shared" si="183"/>
        <v/>
      </c>
      <c r="P721" s="52" t="str">
        <f t="shared" si="184"/>
        <v>IU33</v>
      </c>
      <c r="Q721" s="231" t="str">
        <f t="shared" si="190"/>
        <v>198</v>
      </c>
      <c r="R721" s="224">
        <f t="shared" si="176"/>
        <v>178.66666666666666</v>
      </c>
      <c r="S721" s="52">
        <f t="shared" si="185"/>
        <v>149</v>
      </c>
      <c r="T721" s="221">
        <f t="shared" ca="1" si="186"/>
        <v>3.91</v>
      </c>
      <c r="U721" s="221" t="str">
        <f t="shared" si="187"/>
        <v/>
      </c>
      <c r="V721" s="220" t="str">
        <f t="array" ref="V721">INDEX(P:P,MAX(U$3:U721))</f>
        <v>IU#1DTR(B)</v>
      </c>
      <c r="W721" s="220" t="str">
        <f t="shared" ca="1" si="188"/>
        <v/>
      </c>
      <c r="X721" s="220">
        <f t="shared" si="189"/>
        <v>11.4</v>
      </c>
      <c r="Y721" s="220">
        <f t="shared" si="178"/>
        <v>0</v>
      </c>
      <c r="AA721" s="220" t="str">
        <f t="shared" si="179"/>
        <v>員東</v>
      </c>
      <c r="AB721" s="220" t="s">
        <v>1897</v>
      </c>
      <c r="AC721" s="220" t="str">
        <f>LEFT(B721,3)</f>
        <v>三民線</v>
      </c>
      <c r="BG721" s="229" t="s">
        <v>8877</v>
      </c>
      <c r="BH721" s="230" t="s">
        <v>8883</v>
      </c>
      <c r="BI721" t="s">
        <v>1897</v>
      </c>
      <c r="BJ721" t="s">
        <v>2553</v>
      </c>
    </row>
    <row r="722" spans="1:62">
      <c r="A722" s="229" t="s">
        <v>70</v>
      </c>
      <c r="B722" s="230" t="s">
        <v>696</v>
      </c>
      <c r="C722" s="230" t="s">
        <v>5651</v>
      </c>
      <c r="D722" s="229" t="s">
        <v>846</v>
      </c>
      <c r="E722" s="229" t="s">
        <v>907</v>
      </c>
      <c r="F722" s="229" t="s">
        <v>804</v>
      </c>
      <c r="G722" s="229" t="s">
        <v>911</v>
      </c>
      <c r="H722" s="229" t="s">
        <v>797</v>
      </c>
      <c r="I722" s="229" t="s">
        <v>5651</v>
      </c>
      <c r="J722" s="231" t="s">
        <v>868</v>
      </c>
      <c r="K722" s="231" t="s">
        <v>850</v>
      </c>
      <c r="L722" s="220" t="str">
        <f t="shared" si="180"/>
        <v>IU34</v>
      </c>
      <c r="M722" s="220" t="str">
        <f t="shared" si="181"/>
        <v/>
      </c>
      <c r="N722" s="220" t="str">
        <f t="shared" si="182"/>
        <v/>
      </c>
      <c r="O722" s="220" t="str">
        <f t="shared" si="183"/>
        <v/>
      </c>
      <c r="P722" s="52" t="str">
        <f t="shared" si="184"/>
        <v>IU34</v>
      </c>
      <c r="Q722" s="231" t="str">
        <f t="shared" si="190"/>
        <v>163</v>
      </c>
      <c r="R722" s="224">
        <f t="shared" si="176"/>
        <v>146</v>
      </c>
      <c r="S722" s="52">
        <f t="shared" si="185"/>
        <v>137</v>
      </c>
      <c r="T722" s="221">
        <f t="shared" ca="1" si="186"/>
        <v>3.22</v>
      </c>
      <c r="U722" s="221" t="str">
        <f t="shared" si="187"/>
        <v/>
      </c>
      <c r="V722" s="220" t="str">
        <f t="array" ref="V722">INDEX(P:P,MAX(U$3:U722))</f>
        <v>IU#1DTR(B)</v>
      </c>
      <c r="W722" s="220" t="str">
        <f t="shared" ca="1" si="188"/>
        <v/>
      </c>
      <c r="X722" s="220">
        <f t="shared" si="189"/>
        <v>11.4</v>
      </c>
      <c r="Y722" s="220">
        <f t="shared" si="178"/>
        <v>0</v>
      </c>
      <c r="AA722" s="220" t="str">
        <f t="shared" si="179"/>
        <v>員東</v>
      </c>
      <c r="AB722" s="220" t="s">
        <v>1899</v>
      </c>
      <c r="AC722" s="220" t="str">
        <f>LEFT(B722,4)</f>
        <v>IU34</v>
      </c>
      <c r="BG722" s="229" t="s">
        <v>8877</v>
      </c>
      <c r="BH722" s="230" t="s">
        <v>8884</v>
      </c>
      <c r="BI722" t="s">
        <v>1899</v>
      </c>
      <c r="BJ722" t="s">
        <v>2553</v>
      </c>
    </row>
    <row r="723" spans="1:62">
      <c r="A723" s="229" t="s">
        <v>70</v>
      </c>
      <c r="B723" s="230" t="s">
        <v>8086</v>
      </c>
      <c r="C723" s="230" t="s">
        <v>8087</v>
      </c>
      <c r="D723" s="229" t="s">
        <v>846</v>
      </c>
      <c r="E723" s="229" t="s">
        <v>8088</v>
      </c>
      <c r="F723" s="229" t="s">
        <v>797</v>
      </c>
      <c r="G723" s="229" t="s">
        <v>3177</v>
      </c>
      <c r="H723" s="229" t="s">
        <v>797</v>
      </c>
      <c r="I723" s="229" t="s">
        <v>3149</v>
      </c>
      <c r="J723" s="231" t="s">
        <v>358</v>
      </c>
      <c r="K723" s="231" t="s">
        <v>358</v>
      </c>
      <c r="L723" s="220" t="str">
        <f t="shared" si="180"/>
        <v>IU#2DTR(A)</v>
      </c>
      <c r="M723" s="220" t="str">
        <f t="shared" si="181"/>
        <v>(A)</v>
      </c>
      <c r="N723" s="220" t="str">
        <f t="shared" si="182"/>
        <v>IU#2DTR</v>
      </c>
      <c r="O723" s="220" t="str">
        <f t="shared" si="183"/>
        <v>(A)</v>
      </c>
      <c r="P723" s="52" t="str">
        <f t="shared" si="184"/>
        <v>IU#2DTR(A)</v>
      </c>
      <c r="Q723" s="231" t="str">
        <f t="shared" si="190"/>
        <v>598</v>
      </c>
      <c r="R723" s="224">
        <f t="shared" si="176"/>
        <v>567.66666666666663</v>
      </c>
      <c r="S723" s="52">
        <f t="shared" si="185"/>
        <v>543</v>
      </c>
      <c r="T723" s="221">
        <f t="shared" ca="1" si="186"/>
        <v>11.81</v>
      </c>
      <c r="U723" s="221">
        <f t="shared" si="187"/>
        <v>723</v>
      </c>
      <c r="V723" s="220" t="str">
        <f t="array" ref="V723">INDEX(P:P,MAX(U$3:U723))</f>
        <v>IU#2DTR(A)</v>
      </c>
      <c r="W723" s="220">
        <f t="shared" ca="1" si="188"/>
        <v>30</v>
      </c>
      <c r="X723" s="220" t="str">
        <f t="shared" si="189"/>
        <v/>
      </c>
      <c r="Y723" s="220">
        <f t="shared" si="178"/>
        <v>0</v>
      </c>
      <c r="AA723" s="220" t="str">
        <f t="shared" si="179"/>
        <v>員東</v>
      </c>
      <c r="AB723" s="220" t="s">
        <v>2555</v>
      </c>
      <c r="AC723" s="220" t="str">
        <f t="shared" ref="AC723:AC732" si="191">LEFT(B723,3)</f>
        <v>#2A</v>
      </c>
      <c r="BG723" s="229" t="s">
        <v>8874</v>
      </c>
      <c r="BH723" s="230" t="s">
        <v>8410</v>
      </c>
      <c r="BI723" t="s">
        <v>2555</v>
      </c>
      <c r="BJ723" t="s">
        <v>2555</v>
      </c>
    </row>
    <row r="724" spans="1:62">
      <c r="A724" s="229" t="s">
        <v>70</v>
      </c>
      <c r="B724" s="230" t="s">
        <v>8089</v>
      </c>
      <c r="C724" s="230" t="s">
        <v>812</v>
      </c>
      <c r="D724" s="229" t="s">
        <v>846</v>
      </c>
      <c r="E724" s="229" t="s">
        <v>8090</v>
      </c>
      <c r="F724" s="229" t="s">
        <v>7402</v>
      </c>
      <c r="G724" s="229" t="s">
        <v>944</v>
      </c>
      <c r="H724" s="229" t="s">
        <v>846</v>
      </c>
      <c r="I724" s="229" t="s">
        <v>8091</v>
      </c>
      <c r="J724" s="231" t="s">
        <v>872</v>
      </c>
      <c r="K724" s="231" t="s">
        <v>804</v>
      </c>
      <c r="L724" s="220" t="str">
        <f t="shared" si="180"/>
        <v>IU27</v>
      </c>
      <c r="M724" s="220" t="str">
        <f t="shared" si="181"/>
        <v/>
      </c>
      <c r="N724" s="220" t="str">
        <f t="shared" si="182"/>
        <v/>
      </c>
      <c r="O724" s="220" t="str">
        <f t="shared" si="183"/>
        <v/>
      </c>
      <c r="P724" s="52" t="str">
        <f t="shared" si="184"/>
        <v>IU27</v>
      </c>
      <c r="Q724" s="231" t="str">
        <f t="shared" si="190"/>
        <v>126</v>
      </c>
      <c r="R724" s="224">
        <f t="shared" si="176"/>
        <v>112.66666666666667</v>
      </c>
      <c r="S724" s="52">
        <f t="shared" si="185"/>
        <v>91</v>
      </c>
      <c r="T724" s="221">
        <f t="shared" ca="1" si="186"/>
        <v>2.4900000000000002</v>
      </c>
      <c r="U724" s="221" t="str">
        <f t="shared" si="187"/>
        <v/>
      </c>
      <c r="V724" s="220" t="str">
        <f t="array" ref="V724">INDEX(P:P,MAX(U$3:U724))</f>
        <v>IU#2DTR(A)</v>
      </c>
      <c r="W724" s="220" t="str">
        <f t="shared" ca="1" si="188"/>
        <v/>
      </c>
      <c r="X724" s="220">
        <f t="shared" si="189"/>
        <v>11.4</v>
      </c>
      <c r="Y724" s="220">
        <f t="shared" si="178"/>
        <v>0</v>
      </c>
      <c r="AA724" s="220" t="str">
        <f t="shared" si="179"/>
        <v>員東</v>
      </c>
      <c r="AB724" s="220" t="s">
        <v>1893</v>
      </c>
      <c r="AC724" s="220" t="str">
        <f t="shared" si="191"/>
        <v>東羽線</v>
      </c>
      <c r="BG724" s="229" t="s">
        <v>8874</v>
      </c>
      <c r="BH724" s="230" t="s">
        <v>8885</v>
      </c>
      <c r="BI724" t="s">
        <v>1893</v>
      </c>
      <c r="BJ724" t="s">
        <v>2555</v>
      </c>
    </row>
    <row r="725" spans="1:62">
      <c r="A725" s="229" t="s">
        <v>5830</v>
      </c>
      <c r="B725" s="230" t="s">
        <v>697</v>
      </c>
      <c r="C725" s="230" t="s">
        <v>8092</v>
      </c>
      <c r="D725" s="229" t="s">
        <v>8093</v>
      </c>
      <c r="E725" s="229" t="s">
        <v>8094</v>
      </c>
      <c r="F725" s="229" t="s">
        <v>7986</v>
      </c>
      <c r="G725" s="229" t="s">
        <v>8095</v>
      </c>
      <c r="H725" s="229" t="s">
        <v>783</v>
      </c>
      <c r="I725" s="229" t="s">
        <v>8096</v>
      </c>
      <c r="J725" s="231" t="s">
        <v>8097</v>
      </c>
      <c r="K725" s="231" t="s">
        <v>804</v>
      </c>
      <c r="L725" s="220" t="str">
        <f t="shared" si="180"/>
        <v>IU28</v>
      </c>
      <c r="M725" s="220" t="str">
        <f t="shared" si="181"/>
        <v/>
      </c>
      <c r="N725" s="220" t="str">
        <f t="shared" si="182"/>
        <v/>
      </c>
      <c r="O725" s="220" t="str">
        <f t="shared" si="183"/>
        <v/>
      </c>
      <c r="P725" s="52" t="str">
        <f t="shared" si="184"/>
        <v>IU28</v>
      </c>
      <c r="Q725" s="231" t="str">
        <f t="shared" si="190"/>
        <v>296</v>
      </c>
      <c r="R725" s="224">
        <f t="shared" si="176"/>
        <v>288.66666666666669</v>
      </c>
      <c r="S725" s="52">
        <f t="shared" si="185"/>
        <v>279</v>
      </c>
      <c r="T725" s="221">
        <f t="shared" ca="1" si="186"/>
        <v>5.84</v>
      </c>
      <c r="U725" s="221" t="str">
        <f t="shared" si="187"/>
        <v/>
      </c>
      <c r="V725" s="220" t="str">
        <f t="array" ref="V725">INDEX(P:P,MAX(U$3:U725))</f>
        <v>IU#2DTR(A)</v>
      </c>
      <c r="W725" s="220" t="str">
        <f t="shared" ca="1" si="188"/>
        <v/>
      </c>
      <c r="X725" s="220">
        <f t="shared" si="189"/>
        <v>11.4</v>
      </c>
      <c r="Y725" s="220">
        <f t="shared" si="178"/>
        <v>0</v>
      </c>
      <c r="AA725" s="220" t="str">
        <f t="shared" si="179"/>
        <v>員東</v>
      </c>
      <c r="AB725" s="220" t="s">
        <v>1894</v>
      </c>
      <c r="AC725" s="220" t="str">
        <f t="shared" si="191"/>
        <v>東北線</v>
      </c>
      <c r="BG725" s="229" t="s">
        <v>70</v>
      </c>
      <c r="BH725" s="230" t="s">
        <v>8886</v>
      </c>
      <c r="BI725" t="s">
        <v>1894</v>
      </c>
      <c r="BJ725" t="s">
        <v>2555</v>
      </c>
    </row>
    <row r="726" spans="1:62">
      <c r="A726" s="229" t="s">
        <v>8098</v>
      </c>
      <c r="B726" s="230" t="s">
        <v>698</v>
      </c>
      <c r="C726" s="230" t="s">
        <v>8099</v>
      </c>
      <c r="D726" s="229" t="s">
        <v>846</v>
      </c>
      <c r="E726" s="229" t="s">
        <v>8100</v>
      </c>
      <c r="F726" s="229" t="s">
        <v>797</v>
      </c>
      <c r="G726" s="229" t="s">
        <v>8101</v>
      </c>
      <c r="H726" s="229" t="s">
        <v>797</v>
      </c>
      <c r="I726" s="229" t="s">
        <v>812</v>
      </c>
      <c r="J726" s="231" t="s">
        <v>941</v>
      </c>
      <c r="K726" s="231" t="s">
        <v>6095</v>
      </c>
      <c r="L726" s="220" t="str">
        <f t="shared" si="180"/>
        <v>IU29</v>
      </c>
      <c r="M726" s="220" t="str">
        <f t="shared" si="181"/>
        <v/>
      </c>
      <c r="N726" s="220" t="str">
        <f t="shared" si="182"/>
        <v/>
      </c>
      <c r="O726" s="220" t="str">
        <f t="shared" si="183"/>
        <v/>
      </c>
      <c r="P726" s="52" t="str">
        <f t="shared" si="184"/>
        <v>IU29</v>
      </c>
      <c r="Q726" s="231" t="str">
        <f t="shared" si="190"/>
        <v>121</v>
      </c>
      <c r="R726" s="224">
        <f t="shared" si="176"/>
        <v>108</v>
      </c>
      <c r="S726" s="52">
        <f t="shared" si="185"/>
        <v>93</v>
      </c>
      <c r="T726" s="221">
        <f t="shared" ca="1" si="186"/>
        <v>2.39</v>
      </c>
      <c r="U726" s="221" t="str">
        <f t="shared" si="187"/>
        <v/>
      </c>
      <c r="V726" s="220" t="str">
        <f t="array" ref="V726">INDEX(P:P,MAX(U$3:U726))</f>
        <v>IU#2DTR(A)</v>
      </c>
      <c r="W726" s="220" t="str">
        <f t="shared" ca="1" si="188"/>
        <v/>
      </c>
      <c r="X726" s="220">
        <f t="shared" si="189"/>
        <v>11.4</v>
      </c>
      <c r="Y726" s="220">
        <f t="shared" si="178"/>
        <v>0</v>
      </c>
      <c r="AA726" s="220" t="str">
        <f t="shared" si="179"/>
        <v>員東</v>
      </c>
      <c r="AB726" s="220" t="s">
        <v>2556</v>
      </c>
      <c r="AC726" s="220" t="str">
        <f t="shared" si="191"/>
        <v>東水線</v>
      </c>
      <c r="BG726" s="229" t="s">
        <v>8874</v>
      </c>
      <c r="BH726" s="230" t="s">
        <v>8887</v>
      </c>
      <c r="BI726" t="s">
        <v>2556</v>
      </c>
      <c r="BJ726" t="s">
        <v>2555</v>
      </c>
    </row>
    <row r="727" spans="1:62">
      <c r="A727" s="229" t="s">
        <v>70</v>
      </c>
      <c r="B727" s="230" t="s">
        <v>8102</v>
      </c>
      <c r="C727" s="230" t="s">
        <v>8103</v>
      </c>
      <c r="D727" s="229" t="s">
        <v>846</v>
      </c>
      <c r="E727" s="229" t="s">
        <v>926</v>
      </c>
      <c r="F727" s="229" t="s">
        <v>797</v>
      </c>
      <c r="G727" s="229" t="s">
        <v>8104</v>
      </c>
      <c r="H727" s="229" t="s">
        <v>797</v>
      </c>
      <c r="I727" s="229" t="s">
        <v>905</v>
      </c>
      <c r="J727" s="231" t="s">
        <v>937</v>
      </c>
      <c r="K727" s="231" t="s">
        <v>5650</v>
      </c>
      <c r="L727" s="220" t="str">
        <f t="shared" si="180"/>
        <v>IU30</v>
      </c>
      <c r="M727" s="220" t="str">
        <f t="shared" si="181"/>
        <v/>
      </c>
      <c r="N727" s="220" t="str">
        <f t="shared" si="182"/>
        <v/>
      </c>
      <c r="O727" s="220" t="str">
        <f t="shared" si="183"/>
        <v/>
      </c>
      <c r="P727" s="52" t="str">
        <f t="shared" si="184"/>
        <v>IU30</v>
      </c>
      <c r="Q727" s="231" t="str">
        <f t="shared" si="190"/>
        <v>131</v>
      </c>
      <c r="R727" s="224">
        <f t="shared" si="176"/>
        <v>104.33333333333333</v>
      </c>
      <c r="S727" s="52">
        <f t="shared" si="185"/>
        <v>74</v>
      </c>
      <c r="T727" s="221">
        <f t="shared" ca="1" si="186"/>
        <v>2.59</v>
      </c>
      <c r="U727" s="221" t="str">
        <f t="shared" si="187"/>
        <v/>
      </c>
      <c r="V727" s="220" t="str">
        <f t="array" ref="V727">INDEX(P:P,MAX(U$3:U727))</f>
        <v>IU#2DTR(A)</v>
      </c>
      <c r="W727" s="220" t="str">
        <f t="shared" ca="1" si="188"/>
        <v/>
      </c>
      <c r="X727" s="220">
        <f t="shared" si="189"/>
        <v>11.4</v>
      </c>
      <c r="Y727" s="220">
        <f t="shared" si="178"/>
        <v>0</v>
      </c>
      <c r="AA727" s="220" t="str">
        <f t="shared" si="179"/>
        <v>員東</v>
      </c>
      <c r="AB727" s="220" t="s">
        <v>1966</v>
      </c>
      <c r="AC727" s="220" t="str">
        <f t="shared" si="191"/>
        <v>三條線</v>
      </c>
      <c r="BG727" s="229" t="s">
        <v>8877</v>
      </c>
      <c r="BH727" s="230" t="s">
        <v>8888</v>
      </c>
      <c r="BI727" t="s">
        <v>1966</v>
      </c>
      <c r="BJ727" t="s">
        <v>2555</v>
      </c>
    </row>
    <row r="728" spans="1:62">
      <c r="A728" s="229" t="s">
        <v>70</v>
      </c>
      <c r="B728" s="230" t="s">
        <v>8105</v>
      </c>
      <c r="C728" s="230" t="s">
        <v>4754</v>
      </c>
      <c r="D728" s="229" t="s">
        <v>8106</v>
      </c>
      <c r="E728" s="229" t="s">
        <v>4755</v>
      </c>
      <c r="F728" s="229" t="s">
        <v>5791</v>
      </c>
      <c r="G728" s="229" t="s">
        <v>8107</v>
      </c>
      <c r="H728" s="229" t="s">
        <v>5791</v>
      </c>
      <c r="I728" s="229" t="s">
        <v>8108</v>
      </c>
      <c r="J728" s="231" t="s">
        <v>358</v>
      </c>
      <c r="K728" s="231" t="s">
        <v>7069</v>
      </c>
      <c r="L728" s="220" t="str">
        <f t="shared" si="180"/>
        <v>IU#2DTR(B)</v>
      </c>
      <c r="M728" s="220" t="str">
        <f t="shared" si="181"/>
        <v>(B)</v>
      </c>
      <c r="N728" s="220" t="str">
        <f t="shared" si="182"/>
        <v>IU#2DTR</v>
      </c>
      <c r="O728" s="220" t="str">
        <f t="shared" si="183"/>
        <v>(B)</v>
      </c>
      <c r="P728" s="52" t="str">
        <f t="shared" si="184"/>
        <v>IU#2DTR(B)</v>
      </c>
      <c r="Q728" s="231" t="str">
        <f t="shared" si="190"/>
        <v>926</v>
      </c>
      <c r="R728" s="224">
        <f t="shared" si="176"/>
        <v>866.33333333333337</v>
      </c>
      <c r="S728" s="52">
        <f t="shared" si="185"/>
        <v>830</v>
      </c>
      <c r="T728" s="221">
        <f t="shared" ca="1" si="186"/>
        <v>18.28</v>
      </c>
      <c r="U728" s="221">
        <f t="shared" si="187"/>
        <v>728</v>
      </c>
      <c r="V728" s="220" t="str">
        <f t="array" ref="V728">INDEX(P:P,MAX(U$3:U728))</f>
        <v>IU#2DTR(B)</v>
      </c>
      <c r="W728" s="220">
        <f t="shared" ca="1" si="188"/>
        <v>30</v>
      </c>
      <c r="X728" s="220" t="str">
        <f t="shared" si="189"/>
        <v/>
      </c>
      <c r="Y728" s="220">
        <f t="shared" si="178"/>
        <v>0</v>
      </c>
      <c r="AA728" s="220" t="str">
        <f t="shared" si="179"/>
        <v>員東</v>
      </c>
      <c r="AB728" s="220" t="s">
        <v>2557</v>
      </c>
      <c r="AC728" s="220" t="str">
        <f t="shared" si="191"/>
        <v>#2B</v>
      </c>
      <c r="BG728" s="229" t="s">
        <v>8874</v>
      </c>
      <c r="BH728" s="230" t="s">
        <v>8519</v>
      </c>
      <c r="BI728" t="s">
        <v>2557</v>
      </c>
      <c r="BJ728" t="s">
        <v>2557</v>
      </c>
    </row>
    <row r="729" spans="1:62">
      <c r="A729" s="229" t="s">
        <v>8072</v>
      </c>
      <c r="B729" s="230" t="s">
        <v>699</v>
      </c>
      <c r="C729" s="230" t="s">
        <v>8109</v>
      </c>
      <c r="D729" s="229" t="s">
        <v>7209</v>
      </c>
      <c r="E729" s="229" t="s">
        <v>8110</v>
      </c>
      <c r="F729" s="229" t="s">
        <v>846</v>
      </c>
      <c r="G729" s="229" t="s">
        <v>996</v>
      </c>
      <c r="H729" s="229" t="s">
        <v>846</v>
      </c>
      <c r="I729" s="229" t="s">
        <v>7484</v>
      </c>
      <c r="J729" s="231" t="s">
        <v>844</v>
      </c>
      <c r="K729" s="231" t="s">
        <v>7412</v>
      </c>
      <c r="L729" s="220" t="str">
        <f t="shared" si="180"/>
        <v>IU35</v>
      </c>
      <c r="M729" s="220" t="str">
        <f t="shared" si="181"/>
        <v/>
      </c>
      <c r="N729" s="220" t="str">
        <f t="shared" si="182"/>
        <v/>
      </c>
      <c r="O729" s="220" t="str">
        <f t="shared" si="183"/>
        <v/>
      </c>
      <c r="P729" s="52" t="str">
        <f t="shared" si="184"/>
        <v>IU35</v>
      </c>
      <c r="Q729" s="231" t="str">
        <f t="shared" si="190"/>
        <v>266</v>
      </c>
      <c r="R729" s="224">
        <f t="shared" si="176"/>
        <v>259.33333333333331</v>
      </c>
      <c r="S729" s="52">
        <f t="shared" si="185"/>
        <v>252</v>
      </c>
      <c r="T729" s="221">
        <f t="shared" ca="1" si="186"/>
        <v>5.25</v>
      </c>
      <c r="U729" s="221" t="str">
        <f t="shared" si="187"/>
        <v/>
      </c>
      <c r="V729" s="220" t="str">
        <f t="array" ref="V729">INDEX(P:P,MAX(U$3:U729))</f>
        <v>IU#2DTR(B)</v>
      </c>
      <c r="W729" s="220" t="str">
        <f t="shared" ca="1" si="188"/>
        <v/>
      </c>
      <c r="X729" s="220">
        <f t="shared" si="189"/>
        <v>11.4</v>
      </c>
      <c r="Y729" s="220">
        <f t="shared" si="178"/>
        <v>0</v>
      </c>
      <c r="AA729" s="220" t="str">
        <f t="shared" si="179"/>
        <v>員東</v>
      </c>
      <c r="AB729" s="220" t="s">
        <v>2558</v>
      </c>
      <c r="AC729" s="220" t="str">
        <f t="shared" si="191"/>
        <v>山腳線</v>
      </c>
      <c r="BG729" s="229" t="s">
        <v>8877</v>
      </c>
      <c r="BH729" s="230" t="s">
        <v>8889</v>
      </c>
      <c r="BI729" t="s">
        <v>2558</v>
      </c>
      <c r="BJ729" t="s">
        <v>2557</v>
      </c>
    </row>
    <row r="730" spans="1:62">
      <c r="A730" s="229" t="s">
        <v>8111</v>
      </c>
      <c r="B730" s="230" t="s">
        <v>8112</v>
      </c>
      <c r="C730" s="230" t="s">
        <v>8113</v>
      </c>
      <c r="D730" s="229" t="s">
        <v>8114</v>
      </c>
      <c r="E730" s="229" t="s">
        <v>7300</v>
      </c>
      <c r="F730" s="229" t="s">
        <v>5791</v>
      </c>
      <c r="G730" s="229" t="s">
        <v>8115</v>
      </c>
      <c r="H730" s="229" t="s">
        <v>5791</v>
      </c>
      <c r="I730" s="229" t="s">
        <v>8116</v>
      </c>
      <c r="J730" s="231" t="s">
        <v>6035</v>
      </c>
      <c r="K730" s="231" t="s">
        <v>797</v>
      </c>
      <c r="L730" s="220" t="str">
        <f t="shared" si="180"/>
        <v>IU36</v>
      </c>
      <c r="M730" s="220" t="str">
        <f t="shared" si="181"/>
        <v/>
      </c>
      <c r="N730" s="220" t="str">
        <f t="shared" si="182"/>
        <v/>
      </c>
      <c r="O730" s="220" t="str">
        <f t="shared" si="183"/>
        <v/>
      </c>
      <c r="P730" s="52" t="str">
        <f t="shared" si="184"/>
        <v>IU36</v>
      </c>
      <c r="Q730" s="231" t="str">
        <f t="shared" si="190"/>
        <v>212</v>
      </c>
      <c r="R730" s="224">
        <f t="shared" si="176"/>
        <v>196.33333333333334</v>
      </c>
      <c r="S730" s="52">
        <f t="shared" si="185"/>
        <v>188</v>
      </c>
      <c r="T730" s="221">
        <f t="shared" ca="1" si="186"/>
        <v>4.1900000000000004</v>
      </c>
      <c r="U730" s="221" t="str">
        <f t="shared" si="187"/>
        <v/>
      </c>
      <c r="V730" s="220" t="str">
        <f t="array" ref="V730">INDEX(P:P,MAX(U$3:U730))</f>
        <v>IU#2DTR(B)</v>
      </c>
      <c r="W730" s="220" t="str">
        <f t="shared" ca="1" si="188"/>
        <v/>
      </c>
      <c r="X730" s="220">
        <f t="shared" si="189"/>
        <v>11.4</v>
      </c>
      <c r="Y730" s="220">
        <f t="shared" si="178"/>
        <v>0</v>
      </c>
      <c r="AA730" s="220" t="str">
        <f t="shared" si="179"/>
        <v>員東</v>
      </c>
      <c r="AB730" s="220" t="s">
        <v>2559</v>
      </c>
      <c r="AC730" s="220" t="str">
        <f t="shared" si="191"/>
        <v>鎮興線</v>
      </c>
      <c r="BG730" s="229" t="s">
        <v>8874</v>
      </c>
      <c r="BH730" s="230" t="s">
        <v>8890</v>
      </c>
      <c r="BI730" t="s">
        <v>2559</v>
      </c>
      <c r="BJ730" t="s">
        <v>2557</v>
      </c>
    </row>
    <row r="731" spans="1:62">
      <c r="A731" s="229" t="s">
        <v>70</v>
      </c>
      <c r="B731" s="230" t="s">
        <v>8117</v>
      </c>
      <c r="C731" s="230" t="s">
        <v>8118</v>
      </c>
      <c r="D731" s="229" t="s">
        <v>7401</v>
      </c>
      <c r="E731" s="229" t="s">
        <v>989</v>
      </c>
      <c r="F731" s="229" t="s">
        <v>832</v>
      </c>
      <c r="G731" s="229" t="s">
        <v>7677</v>
      </c>
      <c r="H731" s="229" t="s">
        <v>7072</v>
      </c>
      <c r="I731" s="229" t="s">
        <v>1021</v>
      </c>
      <c r="J731" s="231" t="s">
        <v>923</v>
      </c>
      <c r="K731" s="231" t="s">
        <v>7059</v>
      </c>
      <c r="L731" s="220" t="str">
        <f t="shared" si="180"/>
        <v>IU37</v>
      </c>
      <c r="M731" s="220" t="str">
        <f t="shared" si="181"/>
        <v/>
      </c>
      <c r="N731" s="220" t="str">
        <f t="shared" si="182"/>
        <v/>
      </c>
      <c r="O731" s="220" t="str">
        <f t="shared" si="183"/>
        <v/>
      </c>
      <c r="P731" s="52" t="str">
        <f t="shared" si="184"/>
        <v>IU37</v>
      </c>
      <c r="Q731" s="231" t="str">
        <f t="shared" si="190"/>
        <v>174</v>
      </c>
      <c r="R731" s="224">
        <f t="shared" si="176"/>
        <v>173</v>
      </c>
      <c r="S731" s="52">
        <f t="shared" si="185"/>
        <v>172</v>
      </c>
      <c r="T731" s="221">
        <f t="shared" ca="1" si="186"/>
        <v>3.44</v>
      </c>
      <c r="U731" s="221" t="str">
        <f t="shared" si="187"/>
        <v/>
      </c>
      <c r="V731" s="220" t="str">
        <f t="array" ref="V731">INDEX(P:P,MAX(U$3:U731))</f>
        <v>IU#2DTR(B)</v>
      </c>
      <c r="W731" s="220" t="str">
        <f t="shared" ca="1" si="188"/>
        <v/>
      </c>
      <c r="X731" s="220">
        <f t="shared" si="189"/>
        <v>11.4</v>
      </c>
      <c r="Y731" s="220">
        <f t="shared" si="178"/>
        <v>0</v>
      </c>
      <c r="AA731" s="220" t="str">
        <f t="shared" si="179"/>
        <v>員東</v>
      </c>
      <c r="AB731" s="220" t="s">
        <v>1968</v>
      </c>
      <c r="AC731" s="220" t="str">
        <f t="shared" si="191"/>
        <v>東門線</v>
      </c>
      <c r="BG731" s="229" t="s">
        <v>8877</v>
      </c>
      <c r="BH731" s="230" t="s">
        <v>700</v>
      </c>
      <c r="BI731" t="s">
        <v>1968</v>
      </c>
      <c r="BJ731" t="s">
        <v>2557</v>
      </c>
    </row>
    <row r="732" spans="1:62">
      <c r="A732" s="229" t="s">
        <v>8072</v>
      </c>
      <c r="B732" s="230" t="s">
        <v>701</v>
      </c>
      <c r="C732" s="230" t="s">
        <v>7277</v>
      </c>
      <c r="D732" s="229" t="s">
        <v>7056</v>
      </c>
      <c r="E732" s="229" t="s">
        <v>8119</v>
      </c>
      <c r="F732" s="229" t="s">
        <v>6548</v>
      </c>
      <c r="G732" s="229" t="s">
        <v>8120</v>
      </c>
      <c r="H732" s="229" t="s">
        <v>804</v>
      </c>
      <c r="I732" s="229" t="s">
        <v>8121</v>
      </c>
      <c r="J732" s="231" t="s">
        <v>872</v>
      </c>
      <c r="K732" s="231" t="s">
        <v>5791</v>
      </c>
      <c r="L732" s="220" t="str">
        <f t="shared" si="180"/>
        <v>IU38</v>
      </c>
      <c r="M732" s="220" t="str">
        <f t="shared" si="181"/>
        <v/>
      </c>
      <c r="N732" s="220" t="str">
        <f t="shared" si="182"/>
        <v/>
      </c>
      <c r="O732" s="220" t="str">
        <f t="shared" si="183"/>
        <v/>
      </c>
      <c r="P732" s="52" t="str">
        <f t="shared" si="184"/>
        <v>IU38</v>
      </c>
      <c r="Q732" s="231" t="str">
        <f t="shared" si="190"/>
        <v>222</v>
      </c>
      <c r="R732" s="224">
        <f t="shared" si="176"/>
        <v>201.66666666666666</v>
      </c>
      <c r="S732" s="52">
        <f t="shared" si="185"/>
        <v>180</v>
      </c>
      <c r="T732" s="221">
        <f t="shared" ca="1" si="186"/>
        <v>4.38</v>
      </c>
      <c r="U732" s="221" t="str">
        <f t="shared" si="187"/>
        <v/>
      </c>
      <c r="V732" s="220" t="str">
        <f t="array" ref="V732">INDEX(P:P,MAX(U$3:U732))</f>
        <v>IU#2DTR(B)</v>
      </c>
      <c r="W732" s="220" t="str">
        <f t="shared" ca="1" si="188"/>
        <v/>
      </c>
      <c r="X732" s="220">
        <f t="shared" si="189"/>
        <v>11.4</v>
      </c>
      <c r="Y732" s="220">
        <f t="shared" si="178"/>
        <v>0</v>
      </c>
      <c r="AA732" s="220" t="str">
        <f t="shared" si="179"/>
        <v>員東</v>
      </c>
      <c r="AB732" s="220" t="s">
        <v>2560</v>
      </c>
      <c r="AC732" s="220" t="str">
        <f t="shared" si="191"/>
        <v>金安線</v>
      </c>
      <c r="BG732" s="229" t="s">
        <v>70</v>
      </c>
      <c r="BH732" s="230" t="s">
        <v>8891</v>
      </c>
      <c r="BI732" t="s">
        <v>2560</v>
      </c>
      <c r="BJ732" t="s">
        <v>2557</v>
      </c>
    </row>
    <row r="733" spans="1:62">
      <c r="A733" s="229" t="s">
        <v>8122</v>
      </c>
      <c r="B733" s="230" t="s">
        <v>702</v>
      </c>
      <c r="C733" s="230" t="s">
        <v>5614</v>
      </c>
      <c r="D733" s="229" t="s">
        <v>784</v>
      </c>
      <c r="E733" s="229" t="s">
        <v>851</v>
      </c>
      <c r="F733" s="229" t="s">
        <v>7804</v>
      </c>
      <c r="G733" s="229" t="s">
        <v>8123</v>
      </c>
      <c r="H733" s="229" t="s">
        <v>5764</v>
      </c>
      <c r="I733" s="229" t="s">
        <v>8124</v>
      </c>
      <c r="J733" s="231" t="s">
        <v>8125</v>
      </c>
      <c r="K733" s="231" t="s">
        <v>797</v>
      </c>
      <c r="L733" s="220" t="str">
        <f t="shared" si="180"/>
        <v>IU39</v>
      </c>
      <c r="M733" s="220" t="str">
        <f t="shared" si="181"/>
        <v/>
      </c>
      <c r="N733" s="220" t="str">
        <f t="shared" si="182"/>
        <v/>
      </c>
      <c r="O733" s="220" t="str">
        <f t="shared" si="183"/>
        <v/>
      </c>
      <c r="P733" s="52" t="str">
        <f t="shared" si="184"/>
        <v>IU39</v>
      </c>
      <c r="Q733" s="231" t="str">
        <f t="shared" si="190"/>
        <v>8</v>
      </c>
      <c r="R733" s="224">
        <f t="shared" si="176"/>
        <v>5</v>
      </c>
      <c r="S733" s="52">
        <f t="shared" si="185"/>
        <v>0</v>
      </c>
      <c r="T733" s="221">
        <f t="shared" ca="1" si="186"/>
        <v>0.16</v>
      </c>
      <c r="U733" s="221" t="str">
        <f t="shared" si="187"/>
        <v/>
      </c>
      <c r="V733" s="220" t="str">
        <f t="array" ref="V733">INDEX(P:P,MAX(U$3:U733))</f>
        <v>IU#2DTR(B)</v>
      </c>
      <c r="W733" s="220" t="str">
        <f t="shared" ca="1" si="188"/>
        <v/>
      </c>
      <c r="X733" s="220">
        <f t="shared" si="189"/>
        <v>11.4</v>
      </c>
      <c r="Y733" s="220">
        <f t="shared" si="178"/>
        <v>0</v>
      </c>
      <c r="AA733" s="220" t="str">
        <f t="shared" si="179"/>
        <v>員東</v>
      </c>
      <c r="AB733" s="220" t="s">
        <v>1970</v>
      </c>
      <c r="AC733" s="220" t="str">
        <f t="shared" ref="AC733:AC740" si="192">LEFT(B733,4)</f>
        <v>IU39</v>
      </c>
      <c r="BG733" s="229" t="s">
        <v>70</v>
      </c>
      <c r="BH733" s="230" t="s">
        <v>8892</v>
      </c>
      <c r="BI733" t="s">
        <v>1970</v>
      </c>
      <c r="BJ733" t="s">
        <v>2557</v>
      </c>
    </row>
    <row r="734" spans="1:62">
      <c r="A734" s="229" t="s">
        <v>8126</v>
      </c>
      <c r="B734" s="230" t="s">
        <v>8127</v>
      </c>
      <c r="C734" s="230" t="s">
        <v>8128</v>
      </c>
      <c r="D734" s="229" t="s">
        <v>5986</v>
      </c>
      <c r="E734" s="229" t="s">
        <v>1051</v>
      </c>
      <c r="F734" s="229" t="s">
        <v>804</v>
      </c>
      <c r="G734" s="229" t="s">
        <v>840</v>
      </c>
      <c r="H734" s="229" t="s">
        <v>7209</v>
      </c>
      <c r="I734" s="229" t="s">
        <v>8129</v>
      </c>
      <c r="J734" s="231" t="s">
        <v>6983</v>
      </c>
      <c r="K734" s="231" t="s">
        <v>797</v>
      </c>
      <c r="L734" s="220" t="str">
        <f t="shared" si="180"/>
        <v>IU40</v>
      </c>
      <c r="M734" s="220" t="str">
        <f t="shared" si="181"/>
        <v/>
      </c>
      <c r="N734" s="220" t="str">
        <f t="shared" si="182"/>
        <v/>
      </c>
      <c r="O734" s="220" t="str">
        <f t="shared" si="183"/>
        <v/>
      </c>
      <c r="P734" s="52" t="str">
        <f t="shared" si="184"/>
        <v>IU40</v>
      </c>
      <c r="Q734" s="231" t="str">
        <f t="shared" si="190"/>
        <v>167</v>
      </c>
      <c r="R734" s="224">
        <f t="shared" si="176"/>
        <v>138.66666666666666</v>
      </c>
      <c r="S734" s="52">
        <f t="shared" si="185"/>
        <v>120</v>
      </c>
      <c r="T734" s="221">
        <f t="shared" ca="1" si="186"/>
        <v>3.3</v>
      </c>
      <c r="U734" s="221" t="str">
        <f t="shared" si="187"/>
        <v/>
      </c>
      <c r="V734" s="220" t="str">
        <f t="array" ref="V734">INDEX(P:P,MAX(U$3:U734))</f>
        <v>IU#2DTR(B)</v>
      </c>
      <c r="W734" s="220" t="str">
        <f t="shared" ca="1" si="188"/>
        <v/>
      </c>
      <c r="X734" s="220">
        <f t="shared" si="189"/>
        <v>11.4</v>
      </c>
      <c r="Y734" s="220">
        <f t="shared" si="178"/>
        <v>0</v>
      </c>
      <c r="AA734" s="220" t="str">
        <f t="shared" si="179"/>
        <v>員東</v>
      </c>
      <c r="AB734" s="220" t="s">
        <v>1972</v>
      </c>
      <c r="AC734" s="220" t="str">
        <f t="shared" si="192"/>
        <v>IU40</v>
      </c>
      <c r="BG734" s="229" t="s">
        <v>8874</v>
      </c>
      <c r="BH734" s="230" t="s">
        <v>8893</v>
      </c>
      <c r="BI734" t="s">
        <v>1972</v>
      </c>
      <c r="BJ734" t="s">
        <v>2557</v>
      </c>
    </row>
    <row r="735" spans="1:62">
      <c r="A735" s="229" t="s">
        <v>8130</v>
      </c>
      <c r="B735" s="230" t="s">
        <v>7525</v>
      </c>
      <c r="C735" s="230" t="s">
        <v>8131</v>
      </c>
      <c r="D735" s="229" t="s">
        <v>5791</v>
      </c>
      <c r="E735" s="229" t="s">
        <v>6081</v>
      </c>
      <c r="F735" s="229" t="s">
        <v>5791</v>
      </c>
      <c r="G735" s="229" t="s">
        <v>1013</v>
      </c>
      <c r="H735" s="229" t="s">
        <v>8132</v>
      </c>
      <c r="I735" s="229" t="s">
        <v>8133</v>
      </c>
      <c r="J735" s="231" t="s">
        <v>358</v>
      </c>
      <c r="K735" s="231" t="s">
        <v>358</v>
      </c>
      <c r="L735" s="220" t="str">
        <f t="shared" si="180"/>
        <v>IV#1MTR</v>
      </c>
      <c r="M735" s="220" t="str">
        <f t="shared" si="181"/>
        <v/>
      </c>
      <c r="N735" s="220" t="str">
        <f t="shared" si="182"/>
        <v>IV#1MTR</v>
      </c>
      <c r="O735" s="220" t="str">
        <f t="shared" si="183"/>
        <v/>
      </c>
      <c r="P735" s="52" t="str">
        <f t="shared" si="184"/>
        <v>IV#1MTR</v>
      </c>
      <c r="Q735" s="231" t="str">
        <f t="shared" si="190"/>
        <v>176</v>
      </c>
      <c r="R735" s="224">
        <f t="shared" si="176"/>
        <v>174.66666666666666</v>
      </c>
      <c r="S735" s="52">
        <f t="shared" si="185"/>
        <v>173</v>
      </c>
      <c r="T735" s="221">
        <f t="shared" ca="1" si="186"/>
        <v>6.95</v>
      </c>
      <c r="U735" s="221">
        <f t="shared" si="187"/>
        <v>735</v>
      </c>
      <c r="V735" s="220" t="str">
        <f t="array" ref="V735">INDEX(P:P,MAX(U$3:U735))</f>
        <v>IV#1MTR</v>
      </c>
      <c r="W735" s="220">
        <f t="shared" ca="1" si="188"/>
        <v>25</v>
      </c>
      <c r="X735" s="220" t="str">
        <f t="shared" si="189"/>
        <v/>
      </c>
      <c r="Y735" s="220">
        <f t="shared" si="178"/>
        <v>0</v>
      </c>
      <c r="AA735" s="220" t="str">
        <f t="shared" si="179"/>
        <v>伸港</v>
      </c>
      <c r="AB735" s="220" t="s">
        <v>2561</v>
      </c>
      <c r="AC735" s="220" t="str">
        <f t="shared" si="192"/>
        <v>#1MT</v>
      </c>
      <c r="BG735" s="229" t="s">
        <v>8894</v>
      </c>
      <c r="BH735" s="230" t="s">
        <v>8591</v>
      </c>
      <c r="BI735" t="s">
        <v>2561</v>
      </c>
      <c r="BJ735" t="s">
        <v>2561</v>
      </c>
    </row>
    <row r="736" spans="1:62">
      <c r="A736" s="229" t="s">
        <v>8134</v>
      </c>
      <c r="B736" s="230" t="s">
        <v>703</v>
      </c>
      <c r="C736" s="230" t="s">
        <v>7628</v>
      </c>
      <c r="D736" s="229" t="s">
        <v>5933</v>
      </c>
      <c r="E736" s="229" t="s">
        <v>8135</v>
      </c>
      <c r="F736" s="229" t="s">
        <v>5650</v>
      </c>
      <c r="G736" s="229" t="s">
        <v>7628</v>
      </c>
      <c r="H736" s="229" t="s">
        <v>5933</v>
      </c>
      <c r="I736" s="229" t="s">
        <v>7628</v>
      </c>
      <c r="J736" s="231" t="s">
        <v>5614</v>
      </c>
      <c r="K736" s="231" t="s">
        <v>784</v>
      </c>
      <c r="L736" s="220" t="str">
        <f t="shared" si="180"/>
        <v>IV51</v>
      </c>
      <c r="M736" s="220" t="str">
        <f t="shared" si="181"/>
        <v/>
      </c>
      <c r="N736" s="220" t="str">
        <f t="shared" si="182"/>
        <v/>
      </c>
      <c r="O736" s="220" t="str">
        <f t="shared" si="183"/>
        <v/>
      </c>
      <c r="P736" s="52" t="str">
        <f t="shared" si="184"/>
        <v>IV51</v>
      </c>
      <c r="Q736" s="231" t="str">
        <f t="shared" si="190"/>
        <v>14</v>
      </c>
      <c r="R736" s="224">
        <f t="shared" si="176"/>
        <v>13.666666666666666</v>
      </c>
      <c r="S736" s="52">
        <f t="shared" si="185"/>
        <v>13</v>
      </c>
      <c r="T736" s="221">
        <f t="shared" ca="1" si="186"/>
        <v>0.55000000000000004</v>
      </c>
      <c r="U736" s="221" t="str">
        <f t="shared" si="187"/>
        <v/>
      </c>
      <c r="V736" s="220" t="str">
        <f t="array" ref="V736">INDEX(P:P,MAX(U$3:U736))</f>
        <v>IV#1MTR</v>
      </c>
      <c r="W736" s="220" t="str">
        <f t="shared" ca="1" si="188"/>
        <v/>
      </c>
      <c r="X736" s="220">
        <f t="shared" si="189"/>
        <v>22.8</v>
      </c>
      <c r="Y736" s="220">
        <f t="shared" si="178"/>
        <v>0</v>
      </c>
      <c r="AA736" s="220" t="str">
        <f t="shared" si="179"/>
        <v>伸港</v>
      </c>
      <c r="AB736" s="220" t="s">
        <v>1900</v>
      </c>
      <c r="AC736" s="220" t="str">
        <f t="shared" si="192"/>
        <v>IV51</v>
      </c>
      <c r="BG736" s="229" t="s">
        <v>8894</v>
      </c>
      <c r="BH736" s="230" t="s">
        <v>8895</v>
      </c>
      <c r="BI736" t="s">
        <v>1900</v>
      </c>
      <c r="BJ736" t="s">
        <v>2561</v>
      </c>
    </row>
    <row r="737" spans="1:62">
      <c r="A737" s="229" t="s">
        <v>8134</v>
      </c>
      <c r="B737" s="230" t="s">
        <v>8136</v>
      </c>
      <c r="C737" s="230" t="s">
        <v>1009</v>
      </c>
      <c r="D737" s="229" t="s">
        <v>783</v>
      </c>
      <c r="E737" s="229" t="s">
        <v>7155</v>
      </c>
      <c r="F737" s="229" t="s">
        <v>6190</v>
      </c>
      <c r="G737" s="229" t="s">
        <v>7954</v>
      </c>
      <c r="H737" s="229" t="s">
        <v>6190</v>
      </c>
      <c r="I737" s="229" t="s">
        <v>8137</v>
      </c>
      <c r="J737" s="231" t="s">
        <v>7087</v>
      </c>
      <c r="K737" s="231" t="s">
        <v>7363</v>
      </c>
      <c r="L737" s="220" t="str">
        <f t="shared" si="180"/>
        <v>IV52</v>
      </c>
      <c r="M737" s="220" t="str">
        <f t="shared" si="181"/>
        <v/>
      </c>
      <c r="N737" s="220" t="str">
        <f t="shared" si="182"/>
        <v/>
      </c>
      <c r="O737" s="220" t="str">
        <f t="shared" si="183"/>
        <v/>
      </c>
      <c r="P737" s="52" t="str">
        <f t="shared" si="184"/>
        <v>IV52</v>
      </c>
      <c r="Q737" s="231" t="str">
        <f t="shared" si="190"/>
        <v>60</v>
      </c>
      <c r="R737" s="224">
        <f t="shared" ref="R737:R800" si="193">AVERAGE(C737*1,E737*1,G737*1)</f>
        <v>59.333333333333336</v>
      </c>
      <c r="S737" s="52">
        <f t="shared" si="185"/>
        <v>59</v>
      </c>
      <c r="T737" s="221">
        <f t="shared" ca="1" si="186"/>
        <v>2.37</v>
      </c>
      <c r="U737" s="221" t="str">
        <f t="shared" si="187"/>
        <v/>
      </c>
      <c r="V737" s="220" t="str">
        <f t="array" ref="V737">INDEX(P:P,MAX(U$3:U737))</f>
        <v>IV#1MTR</v>
      </c>
      <c r="W737" s="220" t="str">
        <f t="shared" ca="1" si="188"/>
        <v/>
      </c>
      <c r="X737" s="220">
        <f t="shared" si="189"/>
        <v>22.8</v>
      </c>
      <c r="Y737" s="220">
        <f t="shared" si="178"/>
        <v>0</v>
      </c>
      <c r="AA737" s="220" t="str">
        <f t="shared" si="179"/>
        <v>伸港</v>
      </c>
      <c r="AB737" s="220" t="s">
        <v>1208</v>
      </c>
      <c r="AC737" s="220" t="str">
        <f t="shared" si="192"/>
        <v>IV52</v>
      </c>
      <c r="BG737" s="229" t="s">
        <v>8896</v>
      </c>
      <c r="BH737" s="230" t="s">
        <v>8897</v>
      </c>
      <c r="BI737" t="s">
        <v>1208</v>
      </c>
      <c r="BJ737" t="s">
        <v>2561</v>
      </c>
    </row>
    <row r="738" spans="1:62">
      <c r="A738" s="229" t="s">
        <v>8134</v>
      </c>
      <c r="B738" s="230" t="s">
        <v>8138</v>
      </c>
      <c r="C738" s="230" t="s">
        <v>8139</v>
      </c>
      <c r="D738" s="229" t="s">
        <v>8140</v>
      </c>
      <c r="E738" s="229" t="s">
        <v>7983</v>
      </c>
      <c r="F738" s="229" t="s">
        <v>7156</v>
      </c>
      <c r="G738" s="229" t="s">
        <v>7983</v>
      </c>
      <c r="H738" s="229" t="s">
        <v>7156</v>
      </c>
      <c r="I738" s="229" t="s">
        <v>8139</v>
      </c>
      <c r="J738" s="231" t="s">
        <v>5699</v>
      </c>
      <c r="K738" s="231" t="s">
        <v>5628</v>
      </c>
      <c r="L738" s="220" t="str">
        <f t="shared" si="180"/>
        <v>IV53</v>
      </c>
      <c r="M738" s="220" t="str">
        <f t="shared" si="181"/>
        <v/>
      </c>
      <c r="N738" s="220" t="str">
        <f t="shared" si="182"/>
        <v/>
      </c>
      <c r="O738" s="220" t="str">
        <f t="shared" si="183"/>
        <v/>
      </c>
      <c r="P738" s="52" t="str">
        <f t="shared" si="184"/>
        <v>IV53</v>
      </c>
      <c r="Q738" s="231" t="str">
        <f t="shared" si="190"/>
        <v>10</v>
      </c>
      <c r="R738" s="224">
        <f t="shared" si="193"/>
        <v>10</v>
      </c>
      <c r="S738" s="52">
        <f t="shared" si="185"/>
        <v>10</v>
      </c>
      <c r="T738" s="221">
        <f t="shared" ca="1" si="186"/>
        <v>0.39</v>
      </c>
      <c r="U738" s="221" t="str">
        <f t="shared" si="187"/>
        <v/>
      </c>
      <c r="V738" s="220" t="str">
        <f t="array" ref="V738">INDEX(P:P,MAX(U$3:U738))</f>
        <v>IV#1MTR</v>
      </c>
      <c r="W738" s="220" t="str">
        <f t="shared" ca="1" si="188"/>
        <v/>
      </c>
      <c r="X738" s="220">
        <f t="shared" si="189"/>
        <v>22.8</v>
      </c>
      <c r="Y738" s="220">
        <f t="shared" si="178"/>
        <v>0</v>
      </c>
      <c r="AA738" s="220" t="str">
        <f t="shared" si="179"/>
        <v>伸港</v>
      </c>
      <c r="AB738" s="220" t="s">
        <v>1224</v>
      </c>
      <c r="AC738" s="220" t="str">
        <f t="shared" si="192"/>
        <v>IV53</v>
      </c>
      <c r="BG738" s="229" t="s">
        <v>8896</v>
      </c>
      <c r="BH738" s="230" t="s">
        <v>704</v>
      </c>
      <c r="BI738" t="s">
        <v>1224</v>
      </c>
      <c r="BJ738" t="s">
        <v>2561</v>
      </c>
    </row>
    <row r="739" spans="1:62">
      <c r="A739" s="229" t="s">
        <v>8130</v>
      </c>
      <c r="B739" s="230" t="s">
        <v>8141</v>
      </c>
      <c r="C739" s="230" t="s">
        <v>7379</v>
      </c>
      <c r="D739" s="229" t="s">
        <v>6190</v>
      </c>
      <c r="E739" s="229" t="s">
        <v>7716</v>
      </c>
      <c r="F739" s="229" t="s">
        <v>7113</v>
      </c>
      <c r="G739" s="229" t="s">
        <v>8142</v>
      </c>
      <c r="H739" s="229" t="s">
        <v>6190</v>
      </c>
      <c r="I739" s="229" t="s">
        <v>7716</v>
      </c>
      <c r="J739" s="231" t="s">
        <v>5699</v>
      </c>
      <c r="K739" s="231" t="s">
        <v>5628</v>
      </c>
      <c r="L739" s="220" t="str">
        <f t="shared" si="180"/>
        <v>IV54</v>
      </c>
      <c r="M739" s="220" t="str">
        <f t="shared" si="181"/>
        <v/>
      </c>
      <c r="N739" s="220" t="str">
        <f t="shared" si="182"/>
        <v/>
      </c>
      <c r="O739" s="220" t="str">
        <f t="shared" si="183"/>
        <v/>
      </c>
      <c r="P739" s="52" t="str">
        <f t="shared" si="184"/>
        <v>IV54</v>
      </c>
      <c r="Q739" s="231" t="str">
        <f t="shared" si="190"/>
        <v>31</v>
      </c>
      <c r="R739" s="224">
        <f t="shared" si="193"/>
        <v>30</v>
      </c>
      <c r="S739" s="52">
        <f t="shared" si="185"/>
        <v>29</v>
      </c>
      <c r="T739" s="221">
        <f t="shared" ca="1" si="186"/>
        <v>1.22</v>
      </c>
      <c r="U739" s="221" t="str">
        <f t="shared" si="187"/>
        <v/>
      </c>
      <c r="V739" s="220" t="str">
        <f t="array" ref="V739">INDEX(P:P,MAX(U$3:U739))</f>
        <v>IV#1MTR</v>
      </c>
      <c r="W739" s="220" t="str">
        <f t="shared" ca="1" si="188"/>
        <v/>
      </c>
      <c r="X739" s="220">
        <f t="shared" si="189"/>
        <v>22.8</v>
      </c>
      <c r="Y739" s="220">
        <f t="shared" si="178"/>
        <v>0</v>
      </c>
      <c r="AA739" s="220" t="str">
        <f t="shared" si="179"/>
        <v>伸港</v>
      </c>
      <c r="AB739" s="220" t="s">
        <v>1259</v>
      </c>
      <c r="AC739" s="220" t="str">
        <f t="shared" si="192"/>
        <v>IV54</v>
      </c>
      <c r="BG739" s="229" t="s">
        <v>8894</v>
      </c>
      <c r="BH739" s="230" t="s">
        <v>8898</v>
      </c>
      <c r="BI739" t="s">
        <v>1259</v>
      </c>
      <c r="BJ739" t="s">
        <v>2561</v>
      </c>
    </row>
    <row r="740" spans="1:62">
      <c r="A740" s="229" t="s">
        <v>8143</v>
      </c>
      <c r="B740" s="230" t="s">
        <v>705</v>
      </c>
      <c r="C740" s="230" t="s">
        <v>8144</v>
      </c>
      <c r="D740" s="229" t="s">
        <v>7402</v>
      </c>
      <c r="E740" s="229" t="s">
        <v>8145</v>
      </c>
      <c r="F740" s="229" t="s">
        <v>846</v>
      </c>
      <c r="G740" s="229" t="s">
        <v>8146</v>
      </c>
      <c r="H740" s="229" t="s">
        <v>7402</v>
      </c>
      <c r="I740" s="229" t="s">
        <v>8147</v>
      </c>
      <c r="J740" s="231" t="s">
        <v>5614</v>
      </c>
      <c r="K740" s="231" t="s">
        <v>784</v>
      </c>
      <c r="L740" s="220" t="str">
        <f t="shared" si="180"/>
        <v>IV55</v>
      </c>
      <c r="M740" s="220" t="str">
        <f t="shared" si="181"/>
        <v/>
      </c>
      <c r="N740" s="220" t="str">
        <f t="shared" si="182"/>
        <v/>
      </c>
      <c r="O740" s="220" t="str">
        <f t="shared" si="183"/>
        <v/>
      </c>
      <c r="P740" s="52" t="str">
        <f t="shared" si="184"/>
        <v>IV55</v>
      </c>
      <c r="Q740" s="231" t="str">
        <f t="shared" si="190"/>
        <v>93</v>
      </c>
      <c r="R740" s="224">
        <f t="shared" si="193"/>
        <v>92.333333333333329</v>
      </c>
      <c r="S740" s="52">
        <f t="shared" si="185"/>
        <v>92</v>
      </c>
      <c r="T740" s="221">
        <f t="shared" ca="1" si="186"/>
        <v>3.67</v>
      </c>
      <c r="U740" s="221" t="str">
        <f t="shared" si="187"/>
        <v/>
      </c>
      <c r="V740" s="220" t="str">
        <f t="array" ref="V740">INDEX(P:P,MAX(U$3:U740))</f>
        <v>IV#1MTR</v>
      </c>
      <c r="W740" s="220" t="str">
        <f t="shared" ca="1" si="188"/>
        <v/>
      </c>
      <c r="X740" s="220">
        <f t="shared" si="189"/>
        <v>22.8</v>
      </c>
      <c r="Y740" s="220">
        <f t="shared" si="178"/>
        <v>0</v>
      </c>
      <c r="AA740" s="220" t="str">
        <f t="shared" si="179"/>
        <v>伸港</v>
      </c>
      <c r="AB740" s="220" t="s">
        <v>1280</v>
      </c>
      <c r="AC740" s="220" t="str">
        <f t="shared" si="192"/>
        <v>IV55</v>
      </c>
      <c r="BG740" s="229" t="s">
        <v>5841</v>
      </c>
      <c r="BH740" s="230" t="s">
        <v>8899</v>
      </c>
      <c r="BI740" t="s">
        <v>1280</v>
      </c>
      <c r="BJ740" t="s">
        <v>2561</v>
      </c>
    </row>
    <row r="741" spans="1:62">
      <c r="A741" s="229" t="s">
        <v>72</v>
      </c>
      <c r="B741" s="230" t="s">
        <v>8148</v>
      </c>
      <c r="C741" s="230" t="s">
        <v>8149</v>
      </c>
      <c r="D741" s="229" t="s">
        <v>7149</v>
      </c>
      <c r="E741" s="229" t="s">
        <v>8150</v>
      </c>
      <c r="F741" s="229" t="s">
        <v>850</v>
      </c>
      <c r="G741" s="229" t="s">
        <v>8151</v>
      </c>
      <c r="H741" s="229" t="s">
        <v>5975</v>
      </c>
      <c r="I741" s="229" t="s">
        <v>3179</v>
      </c>
      <c r="J741" s="231" t="s">
        <v>7078</v>
      </c>
      <c r="K741" s="231" t="s">
        <v>358</v>
      </c>
      <c r="L741" s="220" t="str">
        <f t="shared" si="180"/>
        <v>IV#2MTR</v>
      </c>
      <c r="M741" s="220" t="str">
        <f t="shared" si="181"/>
        <v/>
      </c>
      <c r="N741" s="220" t="str">
        <f t="shared" si="182"/>
        <v>IV#2MTR</v>
      </c>
      <c r="O741" s="220" t="str">
        <f t="shared" si="183"/>
        <v/>
      </c>
      <c r="P741" s="52" t="str">
        <f t="shared" si="184"/>
        <v>IV#2MTR</v>
      </c>
      <c r="Q741" s="231" t="str">
        <f t="shared" si="190"/>
        <v>542</v>
      </c>
      <c r="R741" s="224">
        <f t="shared" si="193"/>
        <v>502.66666666666669</v>
      </c>
      <c r="S741" s="52">
        <f t="shared" si="185"/>
        <v>473</v>
      </c>
      <c r="T741" s="221">
        <f t="shared" ca="1" si="186"/>
        <v>10.7</v>
      </c>
      <c r="U741" s="221">
        <f t="shared" si="187"/>
        <v>741</v>
      </c>
      <c r="V741" s="220" t="str">
        <f t="array" ref="V741">INDEX(P:P,MAX(U$3:U741))</f>
        <v>IV#2MTR</v>
      </c>
      <c r="W741" s="220">
        <f t="shared" ca="1" si="188"/>
        <v>25</v>
      </c>
      <c r="X741" s="220" t="str">
        <f t="shared" si="189"/>
        <v/>
      </c>
      <c r="Y741" s="220">
        <f t="shared" si="178"/>
        <v>0</v>
      </c>
      <c r="AA741" s="220" t="str">
        <f t="shared" si="179"/>
        <v>伸港</v>
      </c>
      <c r="AB741" s="220" t="s">
        <v>2562</v>
      </c>
      <c r="AC741" s="220" t="str">
        <f t="shared" ref="AC741:AC804" si="194">LEFT(B741,3)</f>
        <v>#2M</v>
      </c>
      <c r="BG741" s="229" t="s">
        <v>8894</v>
      </c>
      <c r="BH741" s="230" t="s">
        <v>8597</v>
      </c>
      <c r="BI741" t="s">
        <v>2562</v>
      </c>
      <c r="BJ741" t="s">
        <v>2562</v>
      </c>
    </row>
    <row r="742" spans="1:62">
      <c r="A742" s="229" t="s">
        <v>8152</v>
      </c>
      <c r="B742" s="230" t="s">
        <v>8153</v>
      </c>
      <c r="C742" s="230" t="s">
        <v>8154</v>
      </c>
      <c r="D742" s="229" t="s">
        <v>8028</v>
      </c>
      <c r="E742" s="229" t="s">
        <v>927</v>
      </c>
      <c r="F742" s="229" t="s">
        <v>5580</v>
      </c>
      <c r="G742" s="229" t="s">
        <v>8155</v>
      </c>
      <c r="H742" s="229" t="s">
        <v>7141</v>
      </c>
      <c r="I742" s="229" t="s">
        <v>927</v>
      </c>
      <c r="J742" s="231" t="s">
        <v>868</v>
      </c>
      <c r="K742" s="231" t="s">
        <v>7059</v>
      </c>
      <c r="L742" s="220" t="str">
        <f t="shared" si="180"/>
        <v>IV32</v>
      </c>
      <c r="M742" s="220" t="str">
        <f t="shared" si="181"/>
        <v/>
      </c>
      <c r="N742" s="220" t="str">
        <f t="shared" si="182"/>
        <v/>
      </c>
      <c r="O742" s="220" t="str">
        <f t="shared" si="183"/>
        <v/>
      </c>
      <c r="P742" s="52" t="str">
        <f t="shared" si="184"/>
        <v>IV32</v>
      </c>
      <c r="Q742" s="231" t="str">
        <f t="shared" si="190"/>
        <v>100</v>
      </c>
      <c r="R742" s="224">
        <f t="shared" si="193"/>
        <v>90.333333333333329</v>
      </c>
      <c r="S742" s="52">
        <f t="shared" si="185"/>
        <v>80</v>
      </c>
      <c r="T742" s="221">
        <f t="shared" ca="1" si="186"/>
        <v>1.97</v>
      </c>
      <c r="U742" s="221" t="str">
        <f t="shared" si="187"/>
        <v/>
      </c>
      <c r="V742" s="220" t="str">
        <f t="array" ref="V742">INDEX(P:P,MAX(U$3:U742))</f>
        <v>IV#2MTR</v>
      </c>
      <c r="W742" s="220" t="str">
        <f t="shared" ca="1" si="188"/>
        <v/>
      </c>
      <c r="X742" s="220">
        <f t="shared" si="189"/>
        <v>11.4</v>
      </c>
      <c r="Y742" s="220">
        <f t="shared" si="178"/>
        <v>0</v>
      </c>
      <c r="AA742" s="220" t="str">
        <f t="shared" si="179"/>
        <v>伸港</v>
      </c>
      <c r="AB742" s="220" t="s">
        <v>2563</v>
      </c>
      <c r="AC742" s="220" t="str">
        <f t="shared" si="194"/>
        <v>伸湖線</v>
      </c>
      <c r="BG742" s="229" t="s">
        <v>8896</v>
      </c>
      <c r="BH742" s="230" t="s">
        <v>706</v>
      </c>
      <c r="BI742" t="s">
        <v>2563</v>
      </c>
      <c r="BJ742" t="s">
        <v>2562</v>
      </c>
    </row>
    <row r="743" spans="1:62">
      <c r="A743" s="229" t="s">
        <v>8134</v>
      </c>
      <c r="B743" s="230" t="s">
        <v>707</v>
      </c>
      <c r="C743" s="230" t="s">
        <v>969</v>
      </c>
      <c r="D743" s="229" t="s">
        <v>7209</v>
      </c>
      <c r="E743" s="229" t="s">
        <v>7830</v>
      </c>
      <c r="F743" s="229" t="s">
        <v>7149</v>
      </c>
      <c r="G743" s="229" t="s">
        <v>988</v>
      </c>
      <c r="H743" s="229" t="s">
        <v>804</v>
      </c>
      <c r="I743" s="229" t="s">
        <v>969</v>
      </c>
      <c r="J743" s="231" t="s">
        <v>8156</v>
      </c>
      <c r="K743" s="231" t="s">
        <v>7209</v>
      </c>
      <c r="L743" s="220" t="str">
        <f t="shared" si="180"/>
        <v>IV34</v>
      </c>
      <c r="M743" s="220" t="str">
        <f t="shared" si="181"/>
        <v/>
      </c>
      <c r="N743" s="220" t="str">
        <f t="shared" si="182"/>
        <v/>
      </c>
      <c r="O743" s="220" t="str">
        <f t="shared" si="183"/>
        <v/>
      </c>
      <c r="P743" s="52" t="str">
        <f t="shared" si="184"/>
        <v>IV34</v>
      </c>
      <c r="Q743" s="231" t="str">
        <f t="shared" si="190"/>
        <v>169</v>
      </c>
      <c r="R743" s="224">
        <f t="shared" si="193"/>
        <v>156</v>
      </c>
      <c r="S743" s="52">
        <f t="shared" si="185"/>
        <v>135</v>
      </c>
      <c r="T743" s="221">
        <f t="shared" ca="1" si="186"/>
        <v>3.34</v>
      </c>
      <c r="U743" s="221" t="str">
        <f t="shared" si="187"/>
        <v/>
      </c>
      <c r="V743" s="220" t="str">
        <f t="array" ref="V743">INDEX(P:P,MAX(U$3:U743))</f>
        <v>IV#2MTR</v>
      </c>
      <c r="W743" s="220" t="str">
        <f t="shared" ca="1" si="188"/>
        <v/>
      </c>
      <c r="X743" s="220">
        <f t="shared" si="189"/>
        <v>11.4</v>
      </c>
      <c r="Y743" s="220">
        <f t="shared" si="178"/>
        <v>0</v>
      </c>
      <c r="AA743" s="220" t="str">
        <f t="shared" si="179"/>
        <v>伸港</v>
      </c>
      <c r="AB743" s="220" t="s">
        <v>2564</v>
      </c>
      <c r="AC743" s="220" t="str">
        <f t="shared" si="194"/>
        <v>伸隆線</v>
      </c>
      <c r="BG743" s="229" t="s">
        <v>8894</v>
      </c>
      <c r="BH743" s="230" t="s">
        <v>8900</v>
      </c>
      <c r="BI743" t="s">
        <v>2564</v>
      </c>
      <c r="BJ743" t="s">
        <v>2562</v>
      </c>
    </row>
    <row r="744" spans="1:62">
      <c r="A744" s="229" t="s">
        <v>72</v>
      </c>
      <c r="B744" s="230" t="s">
        <v>708</v>
      </c>
      <c r="C744" s="230" t="s">
        <v>8157</v>
      </c>
      <c r="D744" s="229" t="s">
        <v>5975</v>
      </c>
      <c r="E744" s="229" t="s">
        <v>802</v>
      </c>
      <c r="F744" s="229" t="s">
        <v>5975</v>
      </c>
      <c r="G744" s="229" t="s">
        <v>8158</v>
      </c>
      <c r="H744" s="229" t="s">
        <v>7147</v>
      </c>
      <c r="I744" s="229" t="s">
        <v>926</v>
      </c>
      <c r="J744" s="231" t="s">
        <v>930</v>
      </c>
      <c r="K744" s="231" t="s">
        <v>8159</v>
      </c>
      <c r="L744" s="220" t="str">
        <f t="shared" si="180"/>
        <v>IV35</v>
      </c>
      <c r="M744" s="220" t="str">
        <f t="shared" si="181"/>
        <v/>
      </c>
      <c r="N744" s="220" t="str">
        <f t="shared" si="182"/>
        <v/>
      </c>
      <c r="O744" s="220" t="str">
        <f t="shared" si="183"/>
        <v/>
      </c>
      <c r="P744" s="52" t="str">
        <f t="shared" si="184"/>
        <v>IV35</v>
      </c>
      <c r="Q744" s="231" t="str">
        <f t="shared" si="190"/>
        <v>74</v>
      </c>
      <c r="R744" s="224">
        <f t="shared" si="193"/>
        <v>67</v>
      </c>
      <c r="S744" s="52">
        <f t="shared" si="185"/>
        <v>60</v>
      </c>
      <c r="T744" s="221">
        <f t="shared" ca="1" si="186"/>
        <v>1.46</v>
      </c>
      <c r="U744" s="221" t="str">
        <f t="shared" si="187"/>
        <v/>
      </c>
      <c r="V744" s="220" t="str">
        <f t="array" ref="V744">INDEX(P:P,MAX(U$3:U744))</f>
        <v>IV#2MTR</v>
      </c>
      <c r="W744" s="220" t="str">
        <f t="shared" ca="1" si="188"/>
        <v/>
      </c>
      <c r="X744" s="220">
        <f t="shared" si="189"/>
        <v>11.4</v>
      </c>
      <c r="Y744" s="220">
        <f t="shared" si="178"/>
        <v>0</v>
      </c>
      <c r="AA744" s="220" t="str">
        <f t="shared" si="179"/>
        <v>伸港</v>
      </c>
      <c r="AB744" s="220" t="s">
        <v>2565</v>
      </c>
      <c r="AC744" s="220" t="str">
        <f t="shared" si="194"/>
        <v>伸松線</v>
      </c>
      <c r="BG744" s="229" t="s">
        <v>8896</v>
      </c>
      <c r="BH744" s="230" t="s">
        <v>8901</v>
      </c>
      <c r="BI744" t="s">
        <v>2565</v>
      </c>
      <c r="BJ744" t="s">
        <v>2562</v>
      </c>
    </row>
    <row r="745" spans="1:62">
      <c r="A745" s="229" t="s">
        <v>72</v>
      </c>
      <c r="B745" s="230" t="s">
        <v>8160</v>
      </c>
      <c r="C745" s="230" t="s">
        <v>5989</v>
      </c>
      <c r="D745" s="229" t="s">
        <v>7977</v>
      </c>
      <c r="E745" s="229" t="s">
        <v>986</v>
      </c>
      <c r="F745" s="229" t="s">
        <v>8161</v>
      </c>
      <c r="G745" s="229" t="s">
        <v>854</v>
      </c>
      <c r="H745" s="229" t="s">
        <v>8162</v>
      </c>
      <c r="I745" s="229" t="s">
        <v>8163</v>
      </c>
      <c r="J745" s="231" t="s">
        <v>923</v>
      </c>
      <c r="K745" s="231" t="s">
        <v>845</v>
      </c>
      <c r="L745" s="220" t="str">
        <f t="shared" si="180"/>
        <v>IV33</v>
      </c>
      <c r="M745" s="220" t="str">
        <f t="shared" si="181"/>
        <v/>
      </c>
      <c r="N745" s="220" t="str">
        <f t="shared" si="182"/>
        <v/>
      </c>
      <c r="O745" s="220" t="str">
        <f t="shared" si="183"/>
        <v/>
      </c>
      <c r="P745" s="52" t="str">
        <f t="shared" si="184"/>
        <v>IV33</v>
      </c>
      <c r="Q745" s="231" t="str">
        <f t="shared" si="190"/>
        <v>229</v>
      </c>
      <c r="R745" s="224">
        <f t="shared" si="193"/>
        <v>211.66666666666666</v>
      </c>
      <c r="S745" s="52">
        <f t="shared" si="185"/>
        <v>189</v>
      </c>
      <c r="T745" s="221">
        <f t="shared" ca="1" si="186"/>
        <v>4.5199999999999996</v>
      </c>
      <c r="U745" s="221" t="str">
        <f t="shared" si="187"/>
        <v/>
      </c>
      <c r="V745" s="220" t="str">
        <f t="array" ref="V745">INDEX(P:P,MAX(U$3:U745))</f>
        <v>IV#2MTR</v>
      </c>
      <c r="W745" s="220" t="str">
        <f t="shared" ca="1" si="188"/>
        <v/>
      </c>
      <c r="X745" s="220">
        <f t="shared" si="189"/>
        <v>11.4</v>
      </c>
      <c r="Y745" s="220">
        <f t="shared" si="178"/>
        <v>0</v>
      </c>
      <c r="AA745" s="220" t="str">
        <f t="shared" si="179"/>
        <v>伸港</v>
      </c>
      <c r="AB745" s="220" t="s">
        <v>2566</v>
      </c>
      <c r="AC745" s="220" t="str">
        <f t="shared" si="194"/>
        <v>伸尾線</v>
      </c>
      <c r="BG745" s="229" t="s">
        <v>8894</v>
      </c>
      <c r="BH745" s="230" t="s">
        <v>709</v>
      </c>
      <c r="BI745" t="s">
        <v>2566</v>
      </c>
      <c r="BJ745" t="s">
        <v>2562</v>
      </c>
    </row>
    <row r="746" spans="1:62">
      <c r="A746" s="229" t="s">
        <v>5841</v>
      </c>
      <c r="B746" s="230" t="s">
        <v>8164</v>
      </c>
      <c r="C746" s="230" t="s">
        <v>8165</v>
      </c>
      <c r="D746" s="229" t="s">
        <v>7147</v>
      </c>
      <c r="E746" s="229" t="s">
        <v>1015</v>
      </c>
      <c r="F746" s="229" t="s">
        <v>5949</v>
      </c>
      <c r="G746" s="229" t="s">
        <v>867</v>
      </c>
      <c r="H746" s="229" t="s">
        <v>845</v>
      </c>
      <c r="I746" s="229" t="s">
        <v>1015</v>
      </c>
      <c r="J746" s="231" t="s">
        <v>8166</v>
      </c>
      <c r="K746" s="231" t="s">
        <v>8167</v>
      </c>
      <c r="L746" s="220" t="str">
        <f t="shared" si="180"/>
        <v>IV31</v>
      </c>
      <c r="M746" s="220" t="str">
        <f t="shared" si="181"/>
        <v/>
      </c>
      <c r="N746" s="220" t="str">
        <f t="shared" si="182"/>
        <v/>
      </c>
      <c r="O746" s="220" t="str">
        <f t="shared" si="183"/>
        <v/>
      </c>
      <c r="P746" s="52" t="str">
        <f t="shared" si="184"/>
        <v>IV31</v>
      </c>
      <c r="Q746" s="231" t="str">
        <f t="shared" si="190"/>
        <v>86</v>
      </c>
      <c r="R746" s="224">
        <f t="shared" si="193"/>
        <v>60.333333333333336</v>
      </c>
      <c r="S746" s="52">
        <f t="shared" si="185"/>
        <v>37</v>
      </c>
      <c r="T746" s="221">
        <f t="shared" ca="1" si="186"/>
        <v>1.7</v>
      </c>
      <c r="U746" s="221" t="str">
        <f t="shared" si="187"/>
        <v/>
      </c>
      <c r="V746" s="220" t="str">
        <f t="array" ref="V746">INDEX(P:P,MAX(U$3:U746))</f>
        <v>IV#2MTR</v>
      </c>
      <c r="W746" s="220" t="str">
        <f t="shared" ca="1" si="188"/>
        <v/>
      </c>
      <c r="X746" s="220">
        <f t="shared" si="189"/>
        <v>11.4</v>
      </c>
      <c r="Y746" s="220">
        <f t="shared" si="178"/>
        <v>0</v>
      </c>
      <c r="AA746" s="220" t="str">
        <f t="shared" si="179"/>
        <v>伸港</v>
      </c>
      <c r="AB746" s="220" t="s">
        <v>2567</v>
      </c>
      <c r="AC746" s="220" t="str">
        <f t="shared" si="194"/>
        <v>伸工線</v>
      </c>
      <c r="BG746" s="229" t="s">
        <v>8894</v>
      </c>
      <c r="BH746" s="230" t="s">
        <v>710</v>
      </c>
      <c r="BI746" t="s">
        <v>2567</v>
      </c>
      <c r="BJ746" t="s">
        <v>2562</v>
      </c>
    </row>
    <row r="747" spans="1:62">
      <c r="A747" s="229" t="s">
        <v>72</v>
      </c>
      <c r="B747" s="230" t="s">
        <v>8168</v>
      </c>
      <c r="C747" s="230" t="s">
        <v>8169</v>
      </c>
      <c r="D747" s="229" t="s">
        <v>7436</v>
      </c>
      <c r="E747" s="229" t="s">
        <v>4756</v>
      </c>
      <c r="F747" s="229" t="s">
        <v>8170</v>
      </c>
      <c r="G747" s="229" t="s">
        <v>8171</v>
      </c>
      <c r="H747" s="229" t="s">
        <v>846</v>
      </c>
      <c r="I747" s="229" t="s">
        <v>4756</v>
      </c>
      <c r="J747" s="231" t="s">
        <v>7078</v>
      </c>
      <c r="K747" s="231" t="s">
        <v>8040</v>
      </c>
      <c r="L747" s="220" t="str">
        <f t="shared" si="180"/>
        <v>IV#3MTR</v>
      </c>
      <c r="M747" s="220" t="str">
        <f t="shared" si="181"/>
        <v/>
      </c>
      <c r="N747" s="220" t="str">
        <f t="shared" si="182"/>
        <v>IV#3MTR</v>
      </c>
      <c r="O747" s="220" t="str">
        <f t="shared" si="183"/>
        <v/>
      </c>
      <c r="P747" s="52" t="str">
        <f t="shared" si="184"/>
        <v>IV#3MTR</v>
      </c>
      <c r="Q747" s="231" t="str">
        <f t="shared" si="190"/>
        <v>819</v>
      </c>
      <c r="R747" s="224">
        <f t="shared" si="193"/>
        <v>801.66666666666663</v>
      </c>
      <c r="S747" s="52">
        <f t="shared" si="185"/>
        <v>774</v>
      </c>
      <c r="T747" s="221">
        <f t="shared" ca="1" si="186"/>
        <v>16.170000000000002</v>
      </c>
      <c r="U747" s="221">
        <f t="shared" si="187"/>
        <v>747</v>
      </c>
      <c r="V747" s="220" t="str">
        <f t="array" ref="V747">INDEX(P:P,MAX(U$3:U747))</f>
        <v>IV#3MTR</v>
      </c>
      <c r="W747" s="220">
        <f t="shared" ca="1" si="188"/>
        <v>25</v>
      </c>
      <c r="X747" s="220" t="str">
        <f t="shared" si="189"/>
        <v/>
      </c>
      <c r="Y747" s="220">
        <f t="shared" si="178"/>
        <v>0</v>
      </c>
      <c r="AA747" s="220" t="str">
        <f t="shared" si="179"/>
        <v>伸港</v>
      </c>
      <c r="AB747" s="220" t="s">
        <v>2568</v>
      </c>
      <c r="AC747" s="220" t="str">
        <f t="shared" si="194"/>
        <v>#3M</v>
      </c>
      <c r="BG747" s="229" t="s">
        <v>8894</v>
      </c>
      <c r="BH747" s="230" t="s">
        <v>8538</v>
      </c>
      <c r="BI747" t="s">
        <v>2568</v>
      </c>
      <c r="BJ747" t="s">
        <v>2568</v>
      </c>
    </row>
    <row r="748" spans="1:62">
      <c r="A748" s="229" t="s">
        <v>5841</v>
      </c>
      <c r="B748" s="230" t="s">
        <v>8172</v>
      </c>
      <c r="C748" s="230" t="s">
        <v>8173</v>
      </c>
      <c r="D748" s="229" t="s">
        <v>8174</v>
      </c>
      <c r="E748" s="229" t="s">
        <v>833</v>
      </c>
      <c r="F748" s="229" t="s">
        <v>7209</v>
      </c>
      <c r="G748" s="229" t="s">
        <v>6560</v>
      </c>
      <c r="H748" s="229" t="s">
        <v>804</v>
      </c>
      <c r="I748" s="229" t="s">
        <v>829</v>
      </c>
      <c r="J748" s="231" t="s">
        <v>8175</v>
      </c>
      <c r="K748" s="231" t="s">
        <v>7059</v>
      </c>
      <c r="L748" s="220" t="str">
        <f t="shared" si="180"/>
        <v>IV24</v>
      </c>
      <c r="M748" s="220" t="str">
        <f t="shared" si="181"/>
        <v/>
      </c>
      <c r="N748" s="220" t="str">
        <f t="shared" si="182"/>
        <v/>
      </c>
      <c r="O748" s="220" t="str">
        <f t="shared" si="183"/>
        <v/>
      </c>
      <c r="P748" s="52" t="str">
        <f t="shared" si="184"/>
        <v>IV24</v>
      </c>
      <c r="Q748" s="231" t="str">
        <f t="shared" si="190"/>
        <v>115</v>
      </c>
      <c r="R748" s="224">
        <f t="shared" si="193"/>
        <v>99.666666666666671</v>
      </c>
      <c r="S748" s="52">
        <f t="shared" si="185"/>
        <v>75</v>
      </c>
      <c r="T748" s="221">
        <f t="shared" ca="1" si="186"/>
        <v>2.27</v>
      </c>
      <c r="U748" s="221" t="str">
        <f t="shared" si="187"/>
        <v/>
      </c>
      <c r="V748" s="220" t="str">
        <f t="array" ref="V748">INDEX(P:P,MAX(U$3:U748))</f>
        <v>IV#3MTR</v>
      </c>
      <c r="W748" s="220" t="str">
        <f t="shared" ca="1" si="188"/>
        <v/>
      </c>
      <c r="X748" s="220">
        <f t="shared" si="189"/>
        <v>11.4</v>
      </c>
      <c r="Y748" s="220">
        <f t="shared" si="178"/>
        <v>0</v>
      </c>
      <c r="AA748" s="220" t="str">
        <f t="shared" si="179"/>
        <v>伸港</v>
      </c>
      <c r="AB748" s="220" t="s">
        <v>2569</v>
      </c>
      <c r="AC748" s="220" t="str">
        <f t="shared" si="194"/>
        <v>頂溪線</v>
      </c>
      <c r="BG748" s="229" t="s">
        <v>8894</v>
      </c>
      <c r="BH748" s="230" t="s">
        <v>8902</v>
      </c>
      <c r="BI748" t="s">
        <v>2569</v>
      </c>
      <c r="BJ748" t="s">
        <v>2568</v>
      </c>
    </row>
    <row r="749" spans="1:62">
      <c r="A749" s="229" t="s">
        <v>5841</v>
      </c>
      <c r="B749" s="230" t="s">
        <v>711</v>
      </c>
      <c r="C749" s="230" t="s">
        <v>8176</v>
      </c>
      <c r="D749" s="229" t="s">
        <v>7113</v>
      </c>
      <c r="E749" s="229" t="s">
        <v>8177</v>
      </c>
      <c r="F749" s="229" t="s">
        <v>7436</v>
      </c>
      <c r="G749" s="229" t="s">
        <v>6285</v>
      </c>
      <c r="H749" s="229" t="s">
        <v>7436</v>
      </c>
      <c r="I749" s="229" t="s">
        <v>7408</v>
      </c>
      <c r="J749" s="231" t="s">
        <v>8178</v>
      </c>
      <c r="K749" s="231" t="s">
        <v>5682</v>
      </c>
      <c r="L749" s="220" t="str">
        <f t="shared" si="180"/>
        <v>IV25</v>
      </c>
      <c r="M749" s="220" t="str">
        <f t="shared" si="181"/>
        <v/>
      </c>
      <c r="N749" s="220" t="str">
        <f t="shared" si="182"/>
        <v/>
      </c>
      <c r="O749" s="220" t="str">
        <f t="shared" si="183"/>
        <v/>
      </c>
      <c r="P749" s="52" t="str">
        <f t="shared" si="184"/>
        <v>IV25</v>
      </c>
      <c r="Q749" s="231" t="str">
        <f t="shared" si="190"/>
        <v>99</v>
      </c>
      <c r="R749" s="224">
        <f t="shared" si="193"/>
        <v>94.666666666666671</v>
      </c>
      <c r="S749" s="52">
        <f t="shared" si="185"/>
        <v>92</v>
      </c>
      <c r="T749" s="221">
        <f t="shared" ca="1" si="186"/>
        <v>1.95</v>
      </c>
      <c r="U749" s="221" t="str">
        <f t="shared" si="187"/>
        <v/>
      </c>
      <c r="V749" s="220" t="str">
        <f t="array" ref="V749">INDEX(P:P,MAX(U$3:U749))</f>
        <v>IV#3MTR</v>
      </c>
      <c r="W749" s="220" t="str">
        <f t="shared" ca="1" si="188"/>
        <v/>
      </c>
      <c r="X749" s="220">
        <f t="shared" si="189"/>
        <v>11.4</v>
      </c>
      <c r="Y749" s="220">
        <f t="shared" si="178"/>
        <v>0</v>
      </c>
      <c r="AA749" s="220" t="str">
        <f t="shared" si="179"/>
        <v>伸港</v>
      </c>
      <c r="AB749" s="220" t="s">
        <v>2570</v>
      </c>
      <c r="AC749" s="220" t="str">
        <f t="shared" si="194"/>
        <v>伸海線</v>
      </c>
      <c r="BG749" s="229" t="s">
        <v>5841</v>
      </c>
      <c r="BH749" s="230" t="s">
        <v>8903</v>
      </c>
      <c r="BI749" t="s">
        <v>2570</v>
      </c>
      <c r="BJ749" t="s">
        <v>2568</v>
      </c>
    </row>
    <row r="750" spans="1:62">
      <c r="A750" s="229" t="s">
        <v>5841</v>
      </c>
      <c r="B750" s="230" t="s">
        <v>8179</v>
      </c>
      <c r="C750" s="230" t="s">
        <v>7670</v>
      </c>
      <c r="D750" s="229" t="s">
        <v>850</v>
      </c>
      <c r="E750" s="229" t="s">
        <v>8180</v>
      </c>
      <c r="F750" s="229" t="s">
        <v>850</v>
      </c>
      <c r="G750" s="229" t="s">
        <v>8181</v>
      </c>
      <c r="H750" s="229" t="s">
        <v>7412</v>
      </c>
      <c r="I750" s="229" t="s">
        <v>8182</v>
      </c>
      <c r="J750" s="231" t="s">
        <v>8183</v>
      </c>
      <c r="K750" s="231" t="s">
        <v>5975</v>
      </c>
      <c r="L750" s="220" t="str">
        <f t="shared" si="180"/>
        <v>IV22</v>
      </c>
      <c r="M750" s="220" t="str">
        <f t="shared" si="181"/>
        <v/>
      </c>
      <c r="N750" s="220" t="str">
        <f t="shared" si="182"/>
        <v/>
      </c>
      <c r="O750" s="220" t="str">
        <f t="shared" si="183"/>
        <v/>
      </c>
      <c r="P750" s="52" t="str">
        <f t="shared" si="184"/>
        <v>IV22</v>
      </c>
      <c r="Q750" s="231" t="str">
        <f t="shared" si="190"/>
        <v>324</v>
      </c>
      <c r="R750" s="224">
        <f t="shared" si="193"/>
        <v>311.33333333333331</v>
      </c>
      <c r="S750" s="52">
        <f t="shared" si="185"/>
        <v>299</v>
      </c>
      <c r="T750" s="221">
        <f t="shared" ca="1" si="186"/>
        <v>6.4</v>
      </c>
      <c r="U750" s="221" t="str">
        <f t="shared" si="187"/>
        <v/>
      </c>
      <c r="V750" s="220" t="str">
        <f t="array" ref="V750">INDEX(P:P,MAX(U$3:U750))</f>
        <v>IV#3MTR</v>
      </c>
      <c r="W750" s="220" t="str">
        <f t="shared" ca="1" si="188"/>
        <v/>
      </c>
      <c r="X750" s="220">
        <f t="shared" si="189"/>
        <v>11.4</v>
      </c>
      <c r="Y750" s="220">
        <f t="shared" si="178"/>
        <v>0</v>
      </c>
      <c r="AA750" s="220" t="str">
        <f t="shared" si="179"/>
        <v>伸港</v>
      </c>
      <c r="AB750" s="220" t="s">
        <v>2571</v>
      </c>
      <c r="AC750" s="220" t="str">
        <f t="shared" si="194"/>
        <v>水尾線</v>
      </c>
      <c r="BG750" s="229" t="s">
        <v>8894</v>
      </c>
      <c r="BH750" s="230" t="s">
        <v>8904</v>
      </c>
      <c r="BI750" t="s">
        <v>2571</v>
      </c>
      <c r="BJ750" t="s">
        <v>2568</v>
      </c>
    </row>
    <row r="751" spans="1:62">
      <c r="A751" s="229" t="s">
        <v>5841</v>
      </c>
      <c r="B751" s="230" t="s">
        <v>8184</v>
      </c>
      <c r="C751" s="230" t="s">
        <v>7835</v>
      </c>
      <c r="D751" s="229" t="s">
        <v>7113</v>
      </c>
      <c r="E751" s="229" t="s">
        <v>8085</v>
      </c>
      <c r="F751" s="229" t="s">
        <v>804</v>
      </c>
      <c r="G751" s="229" t="s">
        <v>8185</v>
      </c>
      <c r="H751" s="229" t="s">
        <v>6190</v>
      </c>
      <c r="I751" s="229" t="s">
        <v>8186</v>
      </c>
      <c r="J751" s="231" t="s">
        <v>8187</v>
      </c>
      <c r="K751" s="231" t="s">
        <v>845</v>
      </c>
      <c r="L751" s="220" t="str">
        <f t="shared" si="180"/>
        <v>IV21</v>
      </c>
      <c r="M751" s="220" t="str">
        <f t="shared" si="181"/>
        <v/>
      </c>
      <c r="N751" s="220" t="str">
        <f t="shared" si="182"/>
        <v/>
      </c>
      <c r="O751" s="220" t="str">
        <f t="shared" si="183"/>
        <v/>
      </c>
      <c r="P751" s="52" t="str">
        <f t="shared" si="184"/>
        <v>IV21</v>
      </c>
      <c r="Q751" s="231" t="str">
        <f t="shared" si="190"/>
        <v>201</v>
      </c>
      <c r="R751" s="224">
        <f t="shared" si="193"/>
        <v>195.66666666666666</v>
      </c>
      <c r="S751" s="52">
        <f t="shared" si="185"/>
        <v>189</v>
      </c>
      <c r="T751" s="221">
        <f t="shared" ca="1" si="186"/>
        <v>3.97</v>
      </c>
      <c r="U751" s="221" t="str">
        <f t="shared" si="187"/>
        <v/>
      </c>
      <c r="V751" s="220" t="str">
        <f t="array" ref="V751">INDEX(P:P,MAX(U$3:U751))</f>
        <v>IV#3MTR</v>
      </c>
      <c r="W751" s="220" t="str">
        <f t="shared" ca="1" si="188"/>
        <v/>
      </c>
      <c r="X751" s="220">
        <f t="shared" si="189"/>
        <v>11.4</v>
      </c>
      <c r="Y751" s="220">
        <f t="shared" si="178"/>
        <v>0</v>
      </c>
      <c r="AA751" s="220" t="str">
        <f t="shared" si="179"/>
        <v>伸港</v>
      </c>
      <c r="AB751" s="220" t="s">
        <v>2572</v>
      </c>
      <c r="AC751" s="220" t="str">
        <f t="shared" si="194"/>
        <v>草埔線</v>
      </c>
      <c r="BG751" s="229" t="s">
        <v>8896</v>
      </c>
      <c r="BH751" s="230" t="s">
        <v>712</v>
      </c>
      <c r="BI751" t="s">
        <v>2572</v>
      </c>
      <c r="BJ751" t="s">
        <v>2568</v>
      </c>
    </row>
    <row r="752" spans="1:62">
      <c r="A752" s="229" t="s">
        <v>72</v>
      </c>
      <c r="B752" s="230" t="s">
        <v>8188</v>
      </c>
      <c r="C752" s="230" t="s">
        <v>998</v>
      </c>
      <c r="D752" s="229" t="s">
        <v>804</v>
      </c>
      <c r="E752" s="229" t="s">
        <v>983</v>
      </c>
      <c r="F752" s="229" t="s">
        <v>804</v>
      </c>
      <c r="G752" s="229" t="s">
        <v>7864</v>
      </c>
      <c r="H752" s="229" t="s">
        <v>8106</v>
      </c>
      <c r="I752" s="229" t="s">
        <v>8189</v>
      </c>
      <c r="J752" s="231" t="s">
        <v>8190</v>
      </c>
      <c r="K752" s="231" t="s">
        <v>5975</v>
      </c>
      <c r="L752" s="220" t="str">
        <f t="shared" si="180"/>
        <v>IV29</v>
      </c>
      <c r="M752" s="220" t="str">
        <f t="shared" si="181"/>
        <v/>
      </c>
      <c r="N752" s="220" t="str">
        <f t="shared" si="182"/>
        <v/>
      </c>
      <c r="O752" s="220" t="str">
        <f t="shared" si="183"/>
        <v/>
      </c>
      <c r="P752" s="52" t="str">
        <f t="shared" si="184"/>
        <v>IV29</v>
      </c>
      <c r="Q752" s="231" t="str">
        <f t="shared" si="190"/>
        <v>239</v>
      </c>
      <c r="R752" s="224">
        <f t="shared" si="193"/>
        <v>225.33333333333334</v>
      </c>
      <c r="S752" s="52">
        <f t="shared" si="185"/>
        <v>202</v>
      </c>
      <c r="T752" s="221">
        <f t="shared" ca="1" si="186"/>
        <v>4.72</v>
      </c>
      <c r="U752" s="221" t="str">
        <f t="shared" si="187"/>
        <v/>
      </c>
      <c r="V752" s="220" t="str">
        <f t="array" ref="V752">INDEX(P:P,MAX(U$3:U752))</f>
        <v>IV#3MTR</v>
      </c>
      <c r="W752" s="220" t="str">
        <f t="shared" ca="1" si="188"/>
        <v/>
      </c>
      <c r="X752" s="220">
        <f t="shared" si="189"/>
        <v>11.4</v>
      </c>
      <c r="Y752" s="220">
        <f t="shared" si="178"/>
        <v>0</v>
      </c>
      <c r="AA752" s="220" t="str">
        <f t="shared" si="179"/>
        <v>伸港</v>
      </c>
      <c r="AB752" s="220" t="s">
        <v>2573</v>
      </c>
      <c r="AC752" s="220" t="str">
        <f t="shared" si="194"/>
        <v>伸三線</v>
      </c>
      <c r="BG752" s="229" t="s">
        <v>8894</v>
      </c>
      <c r="BH752" s="230" t="s">
        <v>8905</v>
      </c>
      <c r="BI752" t="s">
        <v>2573</v>
      </c>
      <c r="BJ752" t="s">
        <v>2568</v>
      </c>
    </row>
    <row r="753" spans="1:62">
      <c r="A753" s="229" t="s">
        <v>8191</v>
      </c>
      <c r="B753" s="230" t="s">
        <v>425</v>
      </c>
      <c r="C753" s="230" t="s">
        <v>7387</v>
      </c>
      <c r="D753" s="229" t="s">
        <v>846</v>
      </c>
      <c r="E753" s="229" t="s">
        <v>1007</v>
      </c>
      <c r="F753" s="229" t="s">
        <v>797</v>
      </c>
      <c r="G753" s="229" t="s">
        <v>885</v>
      </c>
      <c r="H753" s="229" t="s">
        <v>846</v>
      </c>
      <c r="I753" s="229" t="s">
        <v>1008</v>
      </c>
      <c r="J753" s="231" t="s">
        <v>358</v>
      </c>
      <c r="K753" s="231" t="s">
        <v>358</v>
      </c>
      <c r="L753" s="220" t="str">
        <f t="shared" si="180"/>
        <v>IW#1MTR</v>
      </c>
      <c r="M753" s="220" t="str">
        <f t="shared" si="181"/>
        <v/>
      </c>
      <c r="N753" s="220" t="str">
        <f t="shared" si="182"/>
        <v>IW#1MTR</v>
      </c>
      <c r="O753" s="220" t="str">
        <f t="shared" si="183"/>
        <v/>
      </c>
      <c r="P753" s="52" t="str">
        <f t="shared" si="184"/>
        <v>IW#1MTR</v>
      </c>
      <c r="Q753" s="231" t="str">
        <f t="shared" si="190"/>
        <v>274</v>
      </c>
      <c r="R753" s="224">
        <f t="shared" si="193"/>
        <v>259.33333333333331</v>
      </c>
      <c r="S753" s="52">
        <f t="shared" si="185"/>
        <v>248</v>
      </c>
      <c r="T753" s="221">
        <f t="shared" ca="1" si="186"/>
        <v>5.41</v>
      </c>
      <c r="U753" s="221">
        <f t="shared" si="187"/>
        <v>753</v>
      </c>
      <c r="V753" s="220" t="str">
        <f t="array" ref="V753">INDEX(P:P,MAX(U$3:U753))</f>
        <v>IW#1MTR</v>
      </c>
      <c r="W753" s="220">
        <f t="shared" ca="1" si="188"/>
        <v>25</v>
      </c>
      <c r="X753" s="220" t="str">
        <f t="shared" si="189"/>
        <v/>
      </c>
      <c r="Y753" s="220">
        <f t="shared" si="178"/>
        <v>0</v>
      </c>
      <c r="AA753" s="220" t="str">
        <f t="shared" si="179"/>
        <v>二水</v>
      </c>
      <c r="AB753" s="220" t="s">
        <v>2574</v>
      </c>
      <c r="AC753" s="220" t="str">
        <f t="shared" si="194"/>
        <v>#1M</v>
      </c>
      <c r="BG753" s="229" t="s">
        <v>8906</v>
      </c>
      <c r="BH753" s="230" t="s">
        <v>8470</v>
      </c>
      <c r="BI753" t="s">
        <v>2574</v>
      </c>
      <c r="BJ753" t="s">
        <v>2574</v>
      </c>
    </row>
    <row r="754" spans="1:62">
      <c r="A754" s="229" t="s">
        <v>8192</v>
      </c>
      <c r="B754" s="230" t="s">
        <v>8193</v>
      </c>
      <c r="C754" s="230" t="s">
        <v>8194</v>
      </c>
      <c r="D754" s="229" t="s">
        <v>5986</v>
      </c>
      <c r="E754" s="229" t="s">
        <v>818</v>
      </c>
      <c r="F754" s="229" t="s">
        <v>797</v>
      </c>
      <c r="G754" s="229" t="s">
        <v>7338</v>
      </c>
      <c r="H754" s="229" t="s">
        <v>8195</v>
      </c>
      <c r="I754" s="229" t="s">
        <v>7974</v>
      </c>
      <c r="J754" s="231" t="s">
        <v>931</v>
      </c>
      <c r="K754" s="231" t="s">
        <v>859</v>
      </c>
      <c r="L754" s="220" t="str">
        <f t="shared" si="180"/>
        <v>IW22</v>
      </c>
      <c r="M754" s="220" t="str">
        <f t="shared" si="181"/>
        <v/>
      </c>
      <c r="N754" s="220" t="str">
        <f t="shared" si="182"/>
        <v/>
      </c>
      <c r="O754" s="220" t="str">
        <f t="shared" si="183"/>
        <v/>
      </c>
      <c r="P754" s="52" t="str">
        <f t="shared" si="184"/>
        <v>IW22</v>
      </c>
      <c r="Q754" s="231" t="str">
        <f t="shared" si="190"/>
        <v>105</v>
      </c>
      <c r="R754" s="224">
        <f t="shared" si="193"/>
        <v>101.33333333333333</v>
      </c>
      <c r="S754" s="52">
        <f t="shared" si="185"/>
        <v>98</v>
      </c>
      <c r="T754" s="221">
        <f t="shared" ca="1" si="186"/>
        <v>2.0699999999999998</v>
      </c>
      <c r="U754" s="221" t="str">
        <f t="shared" si="187"/>
        <v/>
      </c>
      <c r="V754" s="220" t="str">
        <f t="array" ref="V754">INDEX(P:P,MAX(U$3:U754))</f>
        <v>IW#1MTR</v>
      </c>
      <c r="W754" s="220" t="str">
        <f t="shared" ca="1" si="188"/>
        <v/>
      </c>
      <c r="X754" s="220">
        <f t="shared" si="189"/>
        <v>11.4</v>
      </c>
      <c r="Y754" s="220">
        <f t="shared" si="178"/>
        <v>0</v>
      </c>
      <c r="AA754" s="220" t="str">
        <f t="shared" si="179"/>
        <v>二水</v>
      </c>
      <c r="AB754" s="220" t="s">
        <v>2575</v>
      </c>
      <c r="AC754" s="220" t="str">
        <f t="shared" si="194"/>
        <v>大莊線</v>
      </c>
      <c r="BG754" s="229" t="s">
        <v>8906</v>
      </c>
      <c r="BH754" s="230" t="s">
        <v>8907</v>
      </c>
      <c r="BI754" t="s">
        <v>2575</v>
      </c>
      <c r="BJ754" t="s">
        <v>2574</v>
      </c>
    </row>
    <row r="755" spans="1:62">
      <c r="A755" s="229" t="s">
        <v>74</v>
      </c>
      <c r="B755" s="230" t="s">
        <v>8196</v>
      </c>
      <c r="C755" s="230" t="s">
        <v>8197</v>
      </c>
      <c r="D755" s="229" t="s">
        <v>6095</v>
      </c>
      <c r="E755" s="229" t="s">
        <v>1023</v>
      </c>
      <c r="F755" s="229" t="s">
        <v>8198</v>
      </c>
      <c r="G755" s="229" t="s">
        <v>8199</v>
      </c>
      <c r="H755" s="229" t="s">
        <v>7461</v>
      </c>
      <c r="I755" s="229" t="s">
        <v>8197</v>
      </c>
      <c r="J755" s="231" t="s">
        <v>849</v>
      </c>
      <c r="K755" s="231" t="s">
        <v>850</v>
      </c>
      <c r="L755" s="220" t="str">
        <f t="shared" si="180"/>
        <v>IW26</v>
      </c>
      <c r="M755" s="220" t="str">
        <f t="shared" si="181"/>
        <v/>
      </c>
      <c r="N755" s="220" t="str">
        <f t="shared" si="182"/>
        <v/>
      </c>
      <c r="O755" s="220" t="str">
        <f t="shared" si="183"/>
        <v/>
      </c>
      <c r="P755" s="52" t="str">
        <f t="shared" si="184"/>
        <v>IW26</v>
      </c>
      <c r="Q755" s="231" t="str">
        <f t="shared" si="190"/>
        <v>24</v>
      </c>
      <c r="R755" s="224">
        <f t="shared" si="193"/>
        <v>18.333333333333332</v>
      </c>
      <c r="S755" s="52">
        <f t="shared" si="185"/>
        <v>12</v>
      </c>
      <c r="T755" s="221">
        <f t="shared" ca="1" si="186"/>
        <v>0.47</v>
      </c>
      <c r="U755" s="221" t="str">
        <f t="shared" si="187"/>
        <v/>
      </c>
      <c r="V755" s="220" t="str">
        <f t="array" ref="V755">INDEX(P:P,MAX(U$3:U755))</f>
        <v>IW#1MTR</v>
      </c>
      <c r="W755" s="220" t="str">
        <f t="shared" ca="1" si="188"/>
        <v/>
      </c>
      <c r="X755" s="220">
        <f t="shared" si="189"/>
        <v>11.4</v>
      </c>
      <c r="Y755" s="220">
        <f t="shared" si="178"/>
        <v>0</v>
      </c>
      <c r="AA755" s="220" t="str">
        <f t="shared" si="179"/>
        <v>二水</v>
      </c>
      <c r="AB755" s="220" t="s">
        <v>2576</v>
      </c>
      <c r="AC755" s="220" t="str">
        <f t="shared" si="194"/>
        <v>惠民線</v>
      </c>
      <c r="BG755" s="229" t="s">
        <v>8906</v>
      </c>
      <c r="BH755" s="230" t="s">
        <v>8908</v>
      </c>
      <c r="BI755" t="s">
        <v>2576</v>
      </c>
      <c r="BJ755" t="s">
        <v>2574</v>
      </c>
    </row>
    <row r="756" spans="1:62">
      <c r="A756" s="229" t="s">
        <v>74</v>
      </c>
      <c r="B756" s="230" t="s">
        <v>8200</v>
      </c>
      <c r="C756" s="230" t="s">
        <v>7716</v>
      </c>
      <c r="D756" s="229" t="s">
        <v>5836</v>
      </c>
      <c r="E756" s="229" t="s">
        <v>7296</v>
      </c>
      <c r="F756" s="229" t="s">
        <v>7104</v>
      </c>
      <c r="G756" s="229" t="s">
        <v>5735</v>
      </c>
      <c r="H756" s="229" t="s">
        <v>7072</v>
      </c>
      <c r="I756" s="229" t="s">
        <v>5736</v>
      </c>
      <c r="J756" s="231" t="s">
        <v>6035</v>
      </c>
      <c r="K756" s="231" t="s">
        <v>5836</v>
      </c>
      <c r="L756" s="220" t="str">
        <f t="shared" si="180"/>
        <v>IW25</v>
      </c>
      <c r="M756" s="220" t="str">
        <f t="shared" si="181"/>
        <v/>
      </c>
      <c r="N756" s="220" t="str">
        <f t="shared" si="182"/>
        <v/>
      </c>
      <c r="O756" s="220" t="str">
        <f t="shared" si="183"/>
        <v/>
      </c>
      <c r="P756" s="52" t="str">
        <f t="shared" si="184"/>
        <v>IW25</v>
      </c>
      <c r="Q756" s="231" t="str">
        <f t="shared" si="190"/>
        <v>32</v>
      </c>
      <c r="R756" s="224">
        <f t="shared" si="193"/>
        <v>26.666666666666668</v>
      </c>
      <c r="S756" s="52">
        <f t="shared" si="185"/>
        <v>17</v>
      </c>
      <c r="T756" s="221">
        <f t="shared" ca="1" si="186"/>
        <v>0.63</v>
      </c>
      <c r="U756" s="221" t="str">
        <f t="shared" si="187"/>
        <v/>
      </c>
      <c r="V756" s="220" t="str">
        <f t="array" ref="V756">INDEX(P:P,MAX(U$3:U756))</f>
        <v>IW#1MTR</v>
      </c>
      <c r="W756" s="220" t="str">
        <f t="shared" ca="1" si="188"/>
        <v/>
      </c>
      <c r="X756" s="220">
        <f t="shared" si="189"/>
        <v>11.4</v>
      </c>
      <c r="Y756" s="220">
        <f t="shared" si="178"/>
        <v>0</v>
      </c>
      <c r="AA756" s="220" t="str">
        <f t="shared" si="179"/>
        <v>二水</v>
      </c>
      <c r="AB756" s="220" t="s">
        <v>2577</v>
      </c>
      <c r="AC756" s="220" t="str">
        <f t="shared" si="194"/>
        <v>榮光線</v>
      </c>
      <c r="BG756" s="229" t="s">
        <v>8909</v>
      </c>
      <c r="BH756" s="230" t="s">
        <v>713</v>
      </c>
      <c r="BI756" t="s">
        <v>2577</v>
      </c>
      <c r="BJ756" t="s">
        <v>2574</v>
      </c>
    </row>
    <row r="757" spans="1:62">
      <c r="A757" s="229" t="s">
        <v>74</v>
      </c>
      <c r="B757" s="230" t="s">
        <v>714</v>
      </c>
      <c r="C757" s="230" t="s">
        <v>931</v>
      </c>
      <c r="D757" s="229" t="s">
        <v>845</v>
      </c>
      <c r="E757" s="229" t="s">
        <v>931</v>
      </c>
      <c r="F757" s="229" t="s">
        <v>850</v>
      </c>
      <c r="G757" s="229" t="s">
        <v>852</v>
      </c>
      <c r="H757" s="229" t="s">
        <v>5682</v>
      </c>
      <c r="I757" s="229" t="s">
        <v>931</v>
      </c>
      <c r="J757" s="231" t="s">
        <v>8201</v>
      </c>
      <c r="K757" s="231" t="s">
        <v>6095</v>
      </c>
      <c r="L757" s="220" t="str">
        <f t="shared" si="180"/>
        <v>IW24</v>
      </c>
      <c r="M757" s="220" t="str">
        <f t="shared" si="181"/>
        <v/>
      </c>
      <c r="N757" s="220" t="str">
        <f t="shared" si="182"/>
        <v/>
      </c>
      <c r="O757" s="220" t="str">
        <f t="shared" si="183"/>
        <v/>
      </c>
      <c r="P757" s="52" t="str">
        <f t="shared" si="184"/>
        <v>IW24</v>
      </c>
      <c r="Q757" s="231" t="str">
        <f t="shared" si="190"/>
        <v>23</v>
      </c>
      <c r="R757" s="224">
        <f t="shared" si="193"/>
        <v>19.666666666666668</v>
      </c>
      <c r="S757" s="52">
        <f t="shared" si="185"/>
        <v>13</v>
      </c>
      <c r="T757" s="221">
        <f t="shared" ca="1" si="186"/>
        <v>0.45</v>
      </c>
      <c r="U757" s="221" t="str">
        <f t="shared" si="187"/>
        <v/>
      </c>
      <c r="V757" s="220" t="str">
        <f t="array" ref="V757">INDEX(P:P,MAX(U$3:U757))</f>
        <v>IW#1MTR</v>
      </c>
      <c r="W757" s="220" t="str">
        <f t="shared" ca="1" si="188"/>
        <v/>
      </c>
      <c r="X757" s="220">
        <f t="shared" si="189"/>
        <v>11.4</v>
      </c>
      <c r="Y757" s="220">
        <f t="shared" si="178"/>
        <v>0</v>
      </c>
      <c r="AA757" s="220" t="str">
        <f t="shared" si="179"/>
        <v>二水</v>
      </c>
      <c r="AB757" s="220" t="s">
        <v>2578</v>
      </c>
      <c r="AC757" s="220" t="str">
        <f t="shared" si="194"/>
        <v>大崙線</v>
      </c>
      <c r="BG757" s="229" t="s">
        <v>74</v>
      </c>
      <c r="BH757" s="230" t="s">
        <v>8910</v>
      </c>
      <c r="BI757" t="s">
        <v>2578</v>
      </c>
      <c r="BJ757" t="s">
        <v>2574</v>
      </c>
    </row>
    <row r="758" spans="1:62">
      <c r="A758" s="229" t="s">
        <v>74</v>
      </c>
      <c r="B758" s="230" t="s">
        <v>715</v>
      </c>
      <c r="C758" s="230" t="s">
        <v>971</v>
      </c>
      <c r="D758" s="229" t="s">
        <v>797</v>
      </c>
      <c r="E758" s="229" t="s">
        <v>8202</v>
      </c>
      <c r="F758" s="229" t="s">
        <v>846</v>
      </c>
      <c r="G758" s="229" t="s">
        <v>6493</v>
      </c>
      <c r="H758" s="229" t="s">
        <v>846</v>
      </c>
      <c r="I758" s="229" t="s">
        <v>971</v>
      </c>
      <c r="J758" s="231" t="s">
        <v>1012</v>
      </c>
      <c r="K758" s="231" t="s">
        <v>850</v>
      </c>
      <c r="L758" s="220" t="str">
        <f t="shared" si="180"/>
        <v>IW29</v>
      </c>
      <c r="M758" s="220" t="str">
        <f t="shared" si="181"/>
        <v/>
      </c>
      <c r="N758" s="220" t="str">
        <f t="shared" si="182"/>
        <v/>
      </c>
      <c r="O758" s="220" t="str">
        <f t="shared" si="183"/>
        <v/>
      </c>
      <c r="P758" s="52" t="str">
        <f t="shared" si="184"/>
        <v>IW29</v>
      </c>
      <c r="Q758" s="231" t="str">
        <f t="shared" si="190"/>
        <v>120</v>
      </c>
      <c r="R758" s="224">
        <f t="shared" si="193"/>
        <v>113.33333333333333</v>
      </c>
      <c r="S758" s="52">
        <f t="shared" si="185"/>
        <v>104</v>
      </c>
      <c r="T758" s="221">
        <f t="shared" ca="1" si="186"/>
        <v>2.37</v>
      </c>
      <c r="U758" s="221" t="str">
        <f t="shared" si="187"/>
        <v/>
      </c>
      <c r="V758" s="220" t="str">
        <f t="array" ref="V758">INDEX(P:P,MAX(U$3:U758))</f>
        <v>IW#1MTR</v>
      </c>
      <c r="W758" s="220" t="str">
        <f t="shared" ca="1" si="188"/>
        <v/>
      </c>
      <c r="X758" s="220">
        <f t="shared" si="189"/>
        <v>11.4</v>
      </c>
      <c r="Y758" s="220">
        <f t="shared" si="178"/>
        <v>0</v>
      </c>
      <c r="AA758" s="220" t="str">
        <f t="shared" si="179"/>
        <v>二水</v>
      </c>
      <c r="AB758" s="220" t="s">
        <v>2579</v>
      </c>
      <c r="AC758" s="220" t="str">
        <f t="shared" si="194"/>
        <v>華成線</v>
      </c>
      <c r="BG758" s="229" t="s">
        <v>8909</v>
      </c>
      <c r="BH758" s="230" t="s">
        <v>715</v>
      </c>
      <c r="BI758" t="s">
        <v>2579</v>
      </c>
      <c r="BJ758" t="s">
        <v>2574</v>
      </c>
    </row>
    <row r="759" spans="1:62">
      <c r="A759" s="229" t="s">
        <v>74</v>
      </c>
      <c r="B759" s="230" t="s">
        <v>6768</v>
      </c>
      <c r="C759" s="230" t="s">
        <v>4757</v>
      </c>
      <c r="D759" s="229" t="s">
        <v>5986</v>
      </c>
      <c r="E759" s="229" t="s">
        <v>8203</v>
      </c>
      <c r="F759" s="229" t="s">
        <v>5986</v>
      </c>
      <c r="G759" s="229" t="s">
        <v>4758</v>
      </c>
      <c r="H759" s="229" t="s">
        <v>5986</v>
      </c>
      <c r="I759" s="229" t="s">
        <v>8204</v>
      </c>
      <c r="J759" s="231" t="s">
        <v>358</v>
      </c>
      <c r="K759" s="231" t="s">
        <v>7078</v>
      </c>
      <c r="L759" s="220" t="str">
        <f t="shared" si="180"/>
        <v>IW#2MTR</v>
      </c>
      <c r="M759" s="220" t="str">
        <f t="shared" si="181"/>
        <v/>
      </c>
      <c r="N759" s="220" t="str">
        <f t="shared" si="182"/>
        <v>IW#2MTR</v>
      </c>
      <c r="O759" s="220" t="str">
        <f t="shared" si="183"/>
        <v/>
      </c>
      <c r="P759" s="52" t="str">
        <f t="shared" si="184"/>
        <v>IW#2MTR</v>
      </c>
      <c r="Q759" s="231" t="str">
        <f t="shared" si="190"/>
        <v>679</v>
      </c>
      <c r="R759" s="224">
        <f t="shared" si="193"/>
        <v>637.66666666666663</v>
      </c>
      <c r="S759" s="52">
        <f t="shared" si="185"/>
        <v>610</v>
      </c>
      <c r="T759" s="221">
        <f t="shared" ca="1" si="186"/>
        <v>13.41</v>
      </c>
      <c r="U759" s="221">
        <f t="shared" si="187"/>
        <v>759</v>
      </c>
      <c r="V759" s="220" t="str">
        <f t="array" ref="V759">INDEX(P:P,MAX(U$3:U759))</f>
        <v>IW#2MTR</v>
      </c>
      <c r="W759" s="220">
        <f t="shared" ca="1" si="188"/>
        <v>25</v>
      </c>
      <c r="X759" s="220" t="str">
        <f t="shared" si="189"/>
        <v/>
      </c>
      <c r="Y759" s="220">
        <f t="shared" si="178"/>
        <v>0</v>
      </c>
      <c r="AA759" s="220" t="str">
        <f t="shared" si="179"/>
        <v>二水</v>
      </c>
      <c r="AB759" s="220" t="s">
        <v>2580</v>
      </c>
      <c r="AC759" s="220" t="str">
        <f t="shared" si="194"/>
        <v>#2M</v>
      </c>
      <c r="BG759" s="229" t="s">
        <v>74</v>
      </c>
      <c r="BH759" s="230" t="s">
        <v>427</v>
      </c>
      <c r="BI759" t="s">
        <v>2580</v>
      </c>
      <c r="BJ759" t="s">
        <v>2580</v>
      </c>
    </row>
    <row r="760" spans="1:62">
      <c r="A760" s="229" t="s">
        <v>74</v>
      </c>
      <c r="B760" s="230" t="s">
        <v>8205</v>
      </c>
      <c r="C760" s="230" t="s">
        <v>1009</v>
      </c>
      <c r="D760" s="229" t="s">
        <v>846</v>
      </c>
      <c r="E760" s="229" t="s">
        <v>6297</v>
      </c>
      <c r="F760" s="229" t="s">
        <v>850</v>
      </c>
      <c r="G760" s="229" t="s">
        <v>922</v>
      </c>
      <c r="H760" s="229" t="s">
        <v>846</v>
      </c>
      <c r="I760" s="229" t="s">
        <v>8206</v>
      </c>
      <c r="J760" s="231" t="s">
        <v>873</v>
      </c>
      <c r="K760" s="231" t="s">
        <v>5682</v>
      </c>
      <c r="L760" s="220" t="str">
        <f t="shared" si="180"/>
        <v>IW30</v>
      </c>
      <c r="M760" s="220" t="str">
        <f t="shared" si="181"/>
        <v/>
      </c>
      <c r="N760" s="220" t="str">
        <f t="shared" si="182"/>
        <v/>
      </c>
      <c r="O760" s="220" t="str">
        <f t="shared" si="183"/>
        <v/>
      </c>
      <c r="P760" s="52" t="str">
        <f t="shared" si="184"/>
        <v>IW30</v>
      </c>
      <c r="Q760" s="231" t="str">
        <f t="shared" si="190"/>
        <v>76</v>
      </c>
      <c r="R760" s="224">
        <f t="shared" si="193"/>
        <v>59.666666666666664</v>
      </c>
      <c r="S760" s="52">
        <f t="shared" si="185"/>
        <v>44</v>
      </c>
      <c r="T760" s="221">
        <f t="shared" ca="1" si="186"/>
        <v>1.5</v>
      </c>
      <c r="U760" s="221" t="str">
        <f t="shared" si="187"/>
        <v/>
      </c>
      <c r="V760" s="220" t="str">
        <f t="array" ref="V760">INDEX(P:P,MAX(U$3:U760))</f>
        <v>IW#2MTR</v>
      </c>
      <c r="W760" s="220" t="str">
        <f t="shared" ca="1" si="188"/>
        <v/>
      </c>
      <c r="X760" s="220">
        <f t="shared" si="189"/>
        <v>11.4</v>
      </c>
      <c r="Y760" s="220">
        <f t="shared" si="178"/>
        <v>0</v>
      </c>
      <c r="AA760" s="220" t="str">
        <f t="shared" si="179"/>
        <v>二水</v>
      </c>
      <c r="AB760" s="220" t="s">
        <v>2581</v>
      </c>
      <c r="AC760" s="220" t="str">
        <f t="shared" si="194"/>
        <v>吉安線</v>
      </c>
      <c r="BG760" s="229" t="s">
        <v>74</v>
      </c>
      <c r="BH760" s="230" t="s">
        <v>8911</v>
      </c>
      <c r="BI760" t="s">
        <v>2581</v>
      </c>
      <c r="BJ760" t="s">
        <v>2580</v>
      </c>
    </row>
    <row r="761" spans="1:62">
      <c r="A761" s="229" t="s">
        <v>74</v>
      </c>
      <c r="B761" s="230" t="s">
        <v>716</v>
      </c>
      <c r="C761" s="230" t="s">
        <v>957</v>
      </c>
      <c r="D761" s="229" t="s">
        <v>845</v>
      </c>
      <c r="E761" s="229" t="s">
        <v>917</v>
      </c>
      <c r="F761" s="229" t="s">
        <v>5949</v>
      </c>
      <c r="G761" s="229" t="s">
        <v>8207</v>
      </c>
      <c r="H761" s="229" t="s">
        <v>804</v>
      </c>
      <c r="I761" s="229" t="s">
        <v>8176</v>
      </c>
      <c r="J761" s="231" t="s">
        <v>889</v>
      </c>
      <c r="K761" s="231" t="s">
        <v>845</v>
      </c>
      <c r="L761" s="220" t="str">
        <f t="shared" si="180"/>
        <v>IW31</v>
      </c>
      <c r="M761" s="220" t="str">
        <f t="shared" si="181"/>
        <v/>
      </c>
      <c r="N761" s="220" t="str">
        <f t="shared" si="182"/>
        <v/>
      </c>
      <c r="O761" s="220" t="str">
        <f t="shared" si="183"/>
        <v/>
      </c>
      <c r="P761" s="52" t="str">
        <f t="shared" si="184"/>
        <v>IW31</v>
      </c>
      <c r="Q761" s="231" t="str">
        <f t="shared" si="190"/>
        <v>93</v>
      </c>
      <c r="R761" s="224">
        <f t="shared" si="193"/>
        <v>67.666666666666671</v>
      </c>
      <c r="S761" s="52">
        <f t="shared" si="185"/>
        <v>49</v>
      </c>
      <c r="T761" s="221">
        <f t="shared" ca="1" si="186"/>
        <v>1.84</v>
      </c>
      <c r="U761" s="221" t="str">
        <f t="shared" si="187"/>
        <v/>
      </c>
      <c r="V761" s="220" t="str">
        <f t="array" ref="V761">INDEX(P:P,MAX(U$3:U761))</f>
        <v>IW#2MTR</v>
      </c>
      <c r="W761" s="220" t="str">
        <f t="shared" ca="1" si="188"/>
        <v/>
      </c>
      <c r="X761" s="220">
        <f t="shared" si="189"/>
        <v>11.4</v>
      </c>
      <c r="Y761" s="220">
        <f t="shared" si="178"/>
        <v>0</v>
      </c>
      <c r="AA761" s="220" t="str">
        <f t="shared" si="179"/>
        <v>二水</v>
      </c>
      <c r="AB761" s="220" t="s">
        <v>2582</v>
      </c>
      <c r="AC761" s="220" t="str">
        <f t="shared" si="194"/>
        <v>大安線</v>
      </c>
      <c r="BG761" s="229" t="s">
        <v>8906</v>
      </c>
      <c r="BH761" s="230" t="s">
        <v>716</v>
      </c>
      <c r="BI761" t="s">
        <v>2582</v>
      </c>
      <c r="BJ761" t="s">
        <v>2580</v>
      </c>
    </row>
    <row r="762" spans="1:62">
      <c r="A762" s="229" t="s">
        <v>8208</v>
      </c>
      <c r="B762" s="230" t="s">
        <v>717</v>
      </c>
      <c r="C762" s="230" t="s">
        <v>8209</v>
      </c>
      <c r="D762" s="229" t="s">
        <v>8195</v>
      </c>
      <c r="E762" s="229" t="s">
        <v>7604</v>
      </c>
      <c r="F762" s="229" t="s">
        <v>7402</v>
      </c>
      <c r="G762" s="229" t="s">
        <v>960</v>
      </c>
      <c r="H762" s="229" t="s">
        <v>846</v>
      </c>
      <c r="I762" s="229" t="s">
        <v>807</v>
      </c>
      <c r="J762" s="231" t="s">
        <v>7808</v>
      </c>
      <c r="K762" s="231" t="s">
        <v>846</v>
      </c>
      <c r="L762" s="220" t="str">
        <f t="shared" si="180"/>
        <v>IW32</v>
      </c>
      <c r="M762" s="220" t="str">
        <f t="shared" si="181"/>
        <v/>
      </c>
      <c r="N762" s="220" t="str">
        <f t="shared" si="182"/>
        <v/>
      </c>
      <c r="O762" s="220" t="str">
        <f t="shared" si="183"/>
        <v/>
      </c>
      <c r="P762" s="52" t="str">
        <f t="shared" si="184"/>
        <v>IW32</v>
      </c>
      <c r="Q762" s="231" t="str">
        <f t="shared" si="190"/>
        <v>104</v>
      </c>
      <c r="R762" s="224">
        <f t="shared" si="193"/>
        <v>88.333333333333329</v>
      </c>
      <c r="S762" s="52">
        <f t="shared" si="185"/>
        <v>77</v>
      </c>
      <c r="T762" s="221">
        <f t="shared" ca="1" si="186"/>
        <v>2.0499999999999998</v>
      </c>
      <c r="U762" s="221" t="str">
        <f t="shared" si="187"/>
        <v/>
      </c>
      <c r="V762" s="220" t="str">
        <f t="array" ref="V762">INDEX(P:P,MAX(U$3:U762))</f>
        <v>IW#2MTR</v>
      </c>
      <c r="W762" s="220" t="str">
        <f t="shared" ca="1" si="188"/>
        <v/>
      </c>
      <c r="X762" s="220">
        <f t="shared" si="189"/>
        <v>11.4</v>
      </c>
      <c r="Y762" s="220">
        <f t="shared" si="178"/>
        <v>0</v>
      </c>
      <c r="AA762" s="220" t="str">
        <f t="shared" si="179"/>
        <v>二水</v>
      </c>
      <c r="AB762" s="220" t="s">
        <v>2583</v>
      </c>
      <c r="AC762" s="220" t="str">
        <f t="shared" si="194"/>
        <v>坑內線</v>
      </c>
      <c r="BG762" s="229" t="s">
        <v>8909</v>
      </c>
      <c r="BH762" s="230" t="s">
        <v>8912</v>
      </c>
      <c r="BI762" t="s">
        <v>2583</v>
      </c>
      <c r="BJ762" t="s">
        <v>2580</v>
      </c>
    </row>
    <row r="763" spans="1:62">
      <c r="A763" s="229" t="s">
        <v>8210</v>
      </c>
      <c r="B763" s="230" t="s">
        <v>718</v>
      </c>
      <c r="C763" s="230" t="s">
        <v>8211</v>
      </c>
      <c r="D763" s="229" t="s">
        <v>846</v>
      </c>
      <c r="E763" s="229" t="s">
        <v>1007</v>
      </c>
      <c r="F763" s="229" t="s">
        <v>7461</v>
      </c>
      <c r="G763" s="229" t="s">
        <v>964</v>
      </c>
      <c r="H763" s="229" t="s">
        <v>846</v>
      </c>
      <c r="I763" s="229" t="s">
        <v>1007</v>
      </c>
      <c r="J763" s="231" t="s">
        <v>1009</v>
      </c>
      <c r="K763" s="231" t="s">
        <v>783</v>
      </c>
      <c r="L763" s="220" t="str">
        <f t="shared" si="180"/>
        <v>IW34</v>
      </c>
      <c r="M763" s="220" t="str">
        <f t="shared" si="181"/>
        <v/>
      </c>
      <c r="N763" s="220" t="str">
        <f t="shared" si="182"/>
        <v/>
      </c>
      <c r="O763" s="220" t="str">
        <f t="shared" si="183"/>
        <v/>
      </c>
      <c r="P763" s="52" t="str">
        <f t="shared" si="184"/>
        <v>IW34</v>
      </c>
      <c r="Q763" s="231" t="str">
        <f t="shared" si="190"/>
        <v>256</v>
      </c>
      <c r="R763" s="224">
        <f t="shared" si="193"/>
        <v>235.33333333333334</v>
      </c>
      <c r="S763" s="52">
        <f t="shared" si="185"/>
        <v>212</v>
      </c>
      <c r="T763" s="221">
        <f t="shared" ca="1" si="186"/>
        <v>5.05</v>
      </c>
      <c r="U763" s="221" t="str">
        <f t="shared" si="187"/>
        <v/>
      </c>
      <c r="V763" s="220" t="str">
        <f t="array" ref="V763">INDEX(P:P,MAX(U$3:U763))</f>
        <v>IW#2MTR</v>
      </c>
      <c r="W763" s="220" t="str">
        <f t="shared" ca="1" si="188"/>
        <v/>
      </c>
      <c r="X763" s="220">
        <f t="shared" si="189"/>
        <v>11.4</v>
      </c>
      <c r="Y763" s="220">
        <f t="shared" si="178"/>
        <v>0</v>
      </c>
      <c r="AA763" s="220" t="str">
        <f t="shared" si="179"/>
        <v>二水</v>
      </c>
      <c r="AB763" s="220" t="s">
        <v>2584</v>
      </c>
      <c r="AC763" s="220" t="str">
        <f t="shared" si="194"/>
        <v>柑園線</v>
      </c>
      <c r="BG763" s="229" t="s">
        <v>8906</v>
      </c>
      <c r="BH763" s="230" t="s">
        <v>8913</v>
      </c>
      <c r="BI763" t="s">
        <v>2584</v>
      </c>
      <c r="BJ763" t="s">
        <v>2580</v>
      </c>
    </row>
    <row r="764" spans="1:62">
      <c r="A764" s="229" t="s">
        <v>74</v>
      </c>
      <c r="B764" s="230" t="s">
        <v>719</v>
      </c>
      <c r="C764" s="230" t="s">
        <v>1031</v>
      </c>
      <c r="D764" s="229" t="s">
        <v>846</v>
      </c>
      <c r="E764" s="229" t="s">
        <v>965</v>
      </c>
      <c r="F764" s="229" t="s">
        <v>846</v>
      </c>
      <c r="G764" s="229" t="s">
        <v>915</v>
      </c>
      <c r="H764" s="229" t="s">
        <v>846</v>
      </c>
      <c r="I764" s="229" t="s">
        <v>965</v>
      </c>
      <c r="J764" s="231" t="s">
        <v>5614</v>
      </c>
      <c r="K764" s="231" t="s">
        <v>784</v>
      </c>
      <c r="L764" s="220" t="str">
        <f t="shared" si="180"/>
        <v>IW33</v>
      </c>
      <c r="M764" s="220" t="str">
        <f t="shared" si="181"/>
        <v/>
      </c>
      <c r="N764" s="220" t="str">
        <f t="shared" si="182"/>
        <v/>
      </c>
      <c r="O764" s="220" t="str">
        <f t="shared" si="183"/>
        <v/>
      </c>
      <c r="P764" s="52" t="str">
        <f t="shared" si="184"/>
        <v>IW33</v>
      </c>
      <c r="Q764" s="231" t="str">
        <f t="shared" si="190"/>
        <v>204</v>
      </c>
      <c r="R764" s="224">
        <f t="shared" si="193"/>
        <v>201.66666666666666</v>
      </c>
      <c r="S764" s="52">
        <f t="shared" si="185"/>
        <v>198</v>
      </c>
      <c r="T764" s="221">
        <f t="shared" ca="1" si="186"/>
        <v>4.03</v>
      </c>
      <c r="U764" s="221" t="str">
        <f t="shared" si="187"/>
        <v/>
      </c>
      <c r="V764" s="220" t="str">
        <f t="array" ref="V764">INDEX(P:P,MAX(U$3:U764))</f>
        <v>IW#2MTR</v>
      </c>
      <c r="W764" s="220" t="str">
        <f t="shared" ca="1" si="188"/>
        <v/>
      </c>
      <c r="X764" s="220">
        <f t="shared" si="189"/>
        <v>11.4</v>
      </c>
      <c r="Y764" s="220">
        <f t="shared" si="178"/>
        <v>0</v>
      </c>
      <c r="AA764" s="220" t="str">
        <f t="shared" si="179"/>
        <v>二水</v>
      </c>
      <c r="AB764" s="220" t="s">
        <v>2585</v>
      </c>
      <c r="AC764" s="220" t="str">
        <f t="shared" si="194"/>
        <v>羽台線</v>
      </c>
      <c r="BG764" s="229" t="s">
        <v>74</v>
      </c>
      <c r="BH764" s="230" t="s">
        <v>8914</v>
      </c>
      <c r="BI764" t="s">
        <v>2585</v>
      </c>
      <c r="BJ764" t="s">
        <v>2580</v>
      </c>
    </row>
    <row r="765" spans="1:62">
      <c r="A765" s="229" t="s">
        <v>8212</v>
      </c>
      <c r="B765" s="230" t="s">
        <v>7082</v>
      </c>
      <c r="C765" s="230" t="s">
        <v>8213</v>
      </c>
      <c r="D765" s="229" t="s">
        <v>7050</v>
      </c>
      <c r="E765" s="229" t="s">
        <v>8214</v>
      </c>
      <c r="F765" s="229" t="s">
        <v>846</v>
      </c>
      <c r="G765" s="229" t="s">
        <v>8215</v>
      </c>
      <c r="H765" s="229" t="s">
        <v>846</v>
      </c>
      <c r="I765" s="229" t="s">
        <v>4759</v>
      </c>
      <c r="J765" s="231" t="s">
        <v>7725</v>
      </c>
      <c r="K765" s="231" t="s">
        <v>358</v>
      </c>
      <c r="L765" s="220" t="str">
        <f t="shared" si="180"/>
        <v>IW#3MTR</v>
      </c>
      <c r="M765" s="220" t="str">
        <f t="shared" si="181"/>
        <v/>
      </c>
      <c r="N765" s="220" t="str">
        <f t="shared" si="182"/>
        <v>IW#3MTR</v>
      </c>
      <c r="O765" s="220" t="str">
        <f t="shared" si="183"/>
        <v/>
      </c>
      <c r="P765" s="52" t="str">
        <f t="shared" si="184"/>
        <v>IW#3MTR</v>
      </c>
      <c r="Q765" s="231" t="str">
        <f t="shared" si="190"/>
        <v>566</v>
      </c>
      <c r="R765" s="224">
        <f t="shared" si="193"/>
        <v>528.66666666666663</v>
      </c>
      <c r="S765" s="52">
        <f t="shared" si="185"/>
        <v>494</v>
      </c>
      <c r="T765" s="221">
        <f t="shared" ca="1" si="186"/>
        <v>11.18</v>
      </c>
      <c r="U765" s="221">
        <f t="shared" si="187"/>
        <v>765</v>
      </c>
      <c r="V765" s="220" t="str">
        <f t="array" ref="V765">INDEX(P:P,MAX(U$3:U765))</f>
        <v>IW#3MTR</v>
      </c>
      <c r="W765" s="220">
        <f t="shared" ca="1" si="188"/>
        <v>25</v>
      </c>
      <c r="X765" s="220" t="str">
        <f t="shared" si="189"/>
        <v/>
      </c>
      <c r="Y765" s="220">
        <f t="shared" si="178"/>
        <v>0</v>
      </c>
      <c r="AA765" s="220" t="str">
        <f t="shared" si="179"/>
        <v>二水</v>
      </c>
      <c r="AB765" s="220" t="s">
        <v>2586</v>
      </c>
      <c r="AC765" s="220" t="str">
        <f t="shared" si="194"/>
        <v>#3M</v>
      </c>
      <c r="BG765" s="229" t="s">
        <v>8909</v>
      </c>
      <c r="BH765" s="230" t="s">
        <v>8538</v>
      </c>
      <c r="BI765" t="s">
        <v>2586</v>
      </c>
      <c r="BJ765" t="s">
        <v>2586</v>
      </c>
    </row>
    <row r="766" spans="1:62">
      <c r="A766" s="229" t="s">
        <v>8216</v>
      </c>
      <c r="B766" s="230" t="s">
        <v>720</v>
      </c>
      <c r="C766" s="230" t="s">
        <v>897</v>
      </c>
      <c r="D766" s="229" t="s">
        <v>5791</v>
      </c>
      <c r="E766" s="229" t="s">
        <v>1009</v>
      </c>
      <c r="F766" s="229" t="s">
        <v>5791</v>
      </c>
      <c r="G766" s="229" t="s">
        <v>8217</v>
      </c>
      <c r="H766" s="229" t="s">
        <v>804</v>
      </c>
      <c r="I766" s="229" t="s">
        <v>1009</v>
      </c>
      <c r="J766" s="231" t="s">
        <v>7443</v>
      </c>
      <c r="K766" s="231" t="s">
        <v>7056</v>
      </c>
      <c r="L766" s="220" t="str">
        <f t="shared" si="180"/>
        <v>IW21</v>
      </c>
      <c r="M766" s="220" t="str">
        <f t="shared" si="181"/>
        <v/>
      </c>
      <c r="N766" s="220" t="str">
        <f t="shared" si="182"/>
        <v/>
      </c>
      <c r="O766" s="220" t="str">
        <f t="shared" si="183"/>
        <v/>
      </c>
      <c r="P766" s="52" t="str">
        <f t="shared" si="184"/>
        <v>IW21</v>
      </c>
      <c r="Q766" s="231" t="str">
        <f t="shared" si="190"/>
        <v>59</v>
      </c>
      <c r="R766" s="224">
        <f t="shared" si="193"/>
        <v>54</v>
      </c>
      <c r="S766" s="52">
        <f t="shared" si="185"/>
        <v>47</v>
      </c>
      <c r="T766" s="221">
        <f t="shared" ca="1" si="186"/>
        <v>1.1599999999999999</v>
      </c>
      <c r="U766" s="221" t="str">
        <f t="shared" si="187"/>
        <v/>
      </c>
      <c r="V766" s="220" t="str">
        <f t="array" ref="V766">INDEX(P:P,MAX(U$3:U766))</f>
        <v>IW#3MTR</v>
      </c>
      <c r="W766" s="220" t="str">
        <f t="shared" ca="1" si="188"/>
        <v/>
      </c>
      <c r="X766" s="220">
        <f t="shared" si="189"/>
        <v>11.4</v>
      </c>
      <c r="Y766" s="220">
        <f t="shared" si="178"/>
        <v>0</v>
      </c>
      <c r="AA766" s="220" t="str">
        <f t="shared" si="179"/>
        <v>二水</v>
      </c>
      <c r="AB766" s="220" t="s">
        <v>2587</v>
      </c>
      <c r="AC766" s="220" t="str">
        <f t="shared" si="194"/>
        <v>南通線</v>
      </c>
      <c r="BG766" s="229" t="s">
        <v>8906</v>
      </c>
      <c r="BH766" s="230" t="s">
        <v>8915</v>
      </c>
      <c r="BI766" t="s">
        <v>2587</v>
      </c>
      <c r="BJ766" t="s">
        <v>2586</v>
      </c>
    </row>
    <row r="767" spans="1:62">
      <c r="A767" s="229" t="s">
        <v>8208</v>
      </c>
      <c r="B767" s="230" t="s">
        <v>8218</v>
      </c>
      <c r="C767" s="230" t="s">
        <v>812</v>
      </c>
      <c r="D767" s="229" t="s">
        <v>845</v>
      </c>
      <c r="E767" s="229" t="s">
        <v>8219</v>
      </c>
      <c r="F767" s="229" t="s">
        <v>6179</v>
      </c>
      <c r="G767" s="229" t="s">
        <v>7338</v>
      </c>
      <c r="H767" s="229" t="s">
        <v>850</v>
      </c>
      <c r="I767" s="229" t="s">
        <v>8220</v>
      </c>
      <c r="J767" s="231" t="s">
        <v>8221</v>
      </c>
      <c r="K767" s="231" t="s">
        <v>8222</v>
      </c>
      <c r="L767" s="220" t="str">
        <f t="shared" si="180"/>
        <v>IW20</v>
      </c>
      <c r="M767" s="220" t="str">
        <f t="shared" si="181"/>
        <v/>
      </c>
      <c r="N767" s="220" t="str">
        <f t="shared" si="182"/>
        <v/>
      </c>
      <c r="O767" s="220" t="str">
        <f t="shared" si="183"/>
        <v/>
      </c>
      <c r="P767" s="52" t="str">
        <f t="shared" si="184"/>
        <v>IW20</v>
      </c>
      <c r="Q767" s="231" t="str">
        <f t="shared" si="190"/>
        <v>128</v>
      </c>
      <c r="R767" s="224">
        <f t="shared" si="193"/>
        <v>116.66666666666667</v>
      </c>
      <c r="S767" s="52">
        <f t="shared" si="185"/>
        <v>101</v>
      </c>
      <c r="T767" s="221">
        <f t="shared" ca="1" si="186"/>
        <v>2.5299999999999998</v>
      </c>
      <c r="U767" s="221" t="str">
        <f t="shared" si="187"/>
        <v/>
      </c>
      <c r="V767" s="220" t="str">
        <f t="array" ref="V767">INDEX(P:P,MAX(U$3:U767))</f>
        <v>IW#3MTR</v>
      </c>
      <c r="W767" s="220" t="str">
        <f t="shared" ca="1" si="188"/>
        <v/>
      </c>
      <c r="X767" s="220">
        <f t="shared" si="189"/>
        <v>11.4</v>
      </c>
      <c r="Y767" s="220">
        <f t="shared" si="178"/>
        <v>0</v>
      </c>
      <c r="AA767" s="220" t="str">
        <f t="shared" si="179"/>
        <v>二水</v>
      </c>
      <c r="AB767" s="220" t="s">
        <v>2588</v>
      </c>
      <c r="AC767" s="220" t="str">
        <f t="shared" si="194"/>
        <v>源泉線</v>
      </c>
      <c r="BG767" s="229" t="s">
        <v>8909</v>
      </c>
      <c r="BH767" s="230" t="s">
        <v>721</v>
      </c>
      <c r="BI767" t="s">
        <v>2588</v>
      </c>
      <c r="BJ767" t="s">
        <v>2586</v>
      </c>
    </row>
    <row r="768" spans="1:62">
      <c r="A768" s="229" t="s">
        <v>74</v>
      </c>
      <c r="B768" s="230" t="s">
        <v>8223</v>
      </c>
      <c r="C768" s="230" t="s">
        <v>829</v>
      </c>
      <c r="D768" s="229" t="s">
        <v>846</v>
      </c>
      <c r="E768" s="229" t="s">
        <v>822</v>
      </c>
      <c r="F768" s="229" t="s">
        <v>8224</v>
      </c>
      <c r="G768" s="229" t="s">
        <v>8225</v>
      </c>
      <c r="H768" s="229" t="s">
        <v>845</v>
      </c>
      <c r="I768" s="229" t="s">
        <v>8226</v>
      </c>
      <c r="J768" s="231" t="s">
        <v>796</v>
      </c>
      <c r="K768" s="231" t="s">
        <v>5650</v>
      </c>
      <c r="L768" s="220" t="str">
        <f t="shared" si="180"/>
        <v>IW27</v>
      </c>
      <c r="M768" s="220" t="str">
        <f t="shared" si="181"/>
        <v/>
      </c>
      <c r="N768" s="220" t="str">
        <f t="shared" si="182"/>
        <v/>
      </c>
      <c r="O768" s="220" t="str">
        <f t="shared" si="183"/>
        <v/>
      </c>
      <c r="P768" s="52" t="str">
        <f t="shared" si="184"/>
        <v>IW27</v>
      </c>
      <c r="Q768" s="231" t="str">
        <f t="shared" si="190"/>
        <v>148</v>
      </c>
      <c r="R768" s="224">
        <f t="shared" si="193"/>
        <v>134.66666666666666</v>
      </c>
      <c r="S768" s="52">
        <f t="shared" si="185"/>
        <v>115</v>
      </c>
      <c r="T768" s="221">
        <f t="shared" ca="1" si="186"/>
        <v>2.92</v>
      </c>
      <c r="U768" s="221" t="str">
        <f t="shared" si="187"/>
        <v/>
      </c>
      <c r="V768" s="220" t="str">
        <f t="array" ref="V768">INDEX(P:P,MAX(U$3:U768))</f>
        <v>IW#3MTR</v>
      </c>
      <c r="W768" s="220" t="str">
        <f t="shared" ca="1" si="188"/>
        <v/>
      </c>
      <c r="X768" s="220">
        <f t="shared" si="189"/>
        <v>11.4</v>
      </c>
      <c r="Y768" s="220">
        <f t="shared" si="178"/>
        <v>0</v>
      </c>
      <c r="AA768" s="220" t="str">
        <f t="shared" si="179"/>
        <v>二水</v>
      </c>
      <c r="AB768" s="220" t="s">
        <v>2589</v>
      </c>
      <c r="AC768" s="220" t="str">
        <f t="shared" si="194"/>
        <v>榮民線</v>
      </c>
      <c r="BG768" s="229" t="s">
        <v>74</v>
      </c>
      <c r="BH768" s="230" t="s">
        <v>8916</v>
      </c>
      <c r="BI768" t="s">
        <v>2589</v>
      </c>
      <c r="BJ768" t="s">
        <v>2586</v>
      </c>
    </row>
    <row r="769" spans="1:62">
      <c r="A769" s="229" t="s">
        <v>8227</v>
      </c>
      <c r="B769" s="230" t="s">
        <v>8228</v>
      </c>
      <c r="C769" s="230" t="s">
        <v>8229</v>
      </c>
      <c r="D769" s="229" t="s">
        <v>5791</v>
      </c>
      <c r="E769" s="229" t="s">
        <v>806</v>
      </c>
      <c r="F769" s="229" t="s">
        <v>5791</v>
      </c>
      <c r="G769" s="229" t="s">
        <v>1022</v>
      </c>
      <c r="H769" s="229" t="s">
        <v>797</v>
      </c>
      <c r="I769" s="229" t="s">
        <v>925</v>
      </c>
      <c r="J769" s="231" t="s">
        <v>1024</v>
      </c>
      <c r="K769" s="231" t="s">
        <v>8230</v>
      </c>
      <c r="L769" s="220" t="str">
        <f t="shared" si="180"/>
        <v>IW23</v>
      </c>
      <c r="M769" s="220" t="str">
        <f t="shared" si="181"/>
        <v/>
      </c>
      <c r="N769" s="220" t="str">
        <f t="shared" si="182"/>
        <v/>
      </c>
      <c r="O769" s="220" t="str">
        <f t="shared" si="183"/>
        <v/>
      </c>
      <c r="P769" s="52" t="str">
        <f t="shared" si="184"/>
        <v>IW23</v>
      </c>
      <c r="Q769" s="231" t="str">
        <f t="shared" si="190"/>
        <v>17</v>
      </c>
      <c r="R769" s="224">
        <f t="shared" si="193"/>
        <v>13.666666666666666</v>
      </c>
      <c r="S769" s="52">
        <f t="shared" si="185"/>
        <v>8</v>
      </c>
      <c r="T769" s="221">
        <f t="shared" ca="1" si="186"/>
        <v>0.34</v>
      </c>
      <c r="U769" s="221" t="str">
        <f t="shared" si="187"/>
        <v/>
      </c>
      <c r="V769" s="220" t="str">
        <f t="array" ref="V769">INDEX(P:P,MAX(U$3:U769))</f>
        <v>IW#3MTR</v>
      </c>
      <c r="W769" s="220" t="str">
        <f t="shared" ca="1" si="188"/>
        <v/>
      </c>
      <c r="X769" s="220">
        <f t="shared" si="189"/>
        <v>11.4</v>
      </c>
      <c r="Y769" s="220">
        <f t="shared" si="178"/>
        <v>0</v>
      </c>
      <c r="AA769" s="220" t="str">
        <f t="shared" si="179"/>
        <v>二水</v>
      </c>
      <c r="AB769" s="220" t="s">
        <v>2590</v>
      </c>
      <c r="AC769" s="220" t="str">
        <f t="shared" si="194"/>
        <v>大同線</v>
      </c>
      <c r="BG769" s="229" t="s">
        <v>8909</v>
      </c>
      <c r="BH769" s="230" t="s">
        <v>722</v>
      </c>
      <c r="BI769" t="s">
        <v>2590</v>
      </c>
      <c r="BJ769" t="s">
        <v>2586</v>
      </c>
    </row>
    <row r="770" spans="1:62">
      <c r="A770" s="229" t="s">
        <v>74</v>
      </c>
      <c r="B770" s="230" t="s">
        <v>723</v>
      </c>
      <c r="C770" s="230" t="s">
        <v>1029</v>
      </c>
      <c r="D770" s="229" t="s">
        <v>7118</v>
      </c>
      <c r="E770" s="229" t="s">
        <v>8231</v>
      </c>
      <c r="F770" s="229" t="s">
        <v>797</v>
      </c>
      <c r="G770" s="229" t="s">
        <v>1035</v>
      </c>
      <c r="H770" s="229" t="s">
        <v>7461</v>
      </c>
      <c r="I770" s="229" t="s">
        <v>1035</v>
      </c>
      <c r="J770" s="231" t="s">
        <v>8232</v>
      </c>
      <c r="K770" s="231" t="s">
        <v>7286</v>
      </c>
      <c r="L770" s="220" t="str">
        <f t="shared" si="180"/>
        <v>IW28</v>
      </c>
      <c r="M770" s="220" t="str">
        <f t="shared" si="181"/>
        <v/>
      </c>
      <c r="N770" s="220" t="str">
        <f t="shared" si="182"/>
        <v/>
      </c>
      <c r="O770" s="220" t="str">
        <f t="shared" si="183"/>
        <v/>
      </c>
      <c r="P770" s="52" t="str">
        <f t="shared" si="184"/>
        <v>IW28</v>
      </c>
      <c r="Q770" s="231" t="str">
        <f t="shared" si="190"/>
        <v>284</v>
      </c>
      <c r="R770" s="224">
        <f t="shared" si="193"/>
        <v>267.33333333333331</v>
      </c>
      <c r="S770" s="52">
        <f t="shared" si="185"/>
        <v>254</v>
      </c>
      <c r="T770" s="221">
        <f t="shared" ca="1" si="186"/>
        <v>5.61</v>
      </c>
      <c r="U770" s="221" t="str">
        <f t="shared" si="187"/>
        <v/>
      </c>
      <c r="V770" s="220" t="str">
        <f t="array" ref="V770">INDEX(P:P,MAX(U$3:U770))</f>
        <v>IW#3MTR</v>
      </c>
      <c r="W770" s="220" t="str">
        <f t="shared" ca="1" si="188"/>
        <v/>
      </c>
      <c r="X770" s="220">
        <f t="shared" si="189"/>
        <v>11.4</v>
      </c>
      <c r="Y770" s="220">
        <f t="shared" si="178"/>
        <v>0</v>
      </c>
      <c r="AA770" s="220" t="str">
        <f t="shared" si="179"/>
        <v>二水</v>
      </c>
      <c r="AB770" s="220" t="s">
        <v>2591</v>
      </c>
      <c r="AC770" s="220" t="str">
        <f t="shared" si="194"/>
        <v>大田線</v>
      </c>
      <c r="BG770" s="229" t="s">
        <v>8906</v>
      </c>
      <c r="BH770" s="230" t="s">
        <v>8917</v>
      </c>
      <c r="BI770" t="s">
        <v>2591</v>
      </c>
      <c r="BJ770" t="s">
        <v>2586</v>
      </c>
    </row>
    <row r="771" spans="1:62">
      <c r="A771" s="229" t="s">
        <v>75</v>
      </c>
      <c r="B771" s="230" t="s">
        <v>7712</v>
      </c>
      <c r="C771" s="230" t="s">
        <v>5614</v>
      </c>
      <c r="D771" s="229" t="s">
        <v>784</v>
      </c>
      <c r="E771" s="229" t="s">
        <v>5614</v>
      </c>
      <c r="F771" s="229" t="s">
        <v>784</v>
      </c>
      <c r="G771" s="229" t="s">
        <v>5614</v>
      </c>
      <c r="H771" s="229" t="s">
        <v>784</v>
      </c>
      <c r="I771" s="229" t="s">
        <v>5614</v>
      </c>
      <c r="J771" s="231" t="s">
        <v>358</v>
      </c>
      <c r="K771" s="231" t="s">
        <v>5585</v>
      </c>
      <c r="L771" s="220" t="str">
        <f t="shared" si="180"/>
        <v>IX#1MTR</v>
      </c>
      <c r="M771" s="220" t="str">
        <f t="shared" si="181"/>
        <v/>
      </c>
      <c r="N771" s="220" t="str">
        <f t="shared" si="182"/>
        <v>IX#1MTR</v>
      </c>
      <c r="O771" s="220" t="str">
        <f t="shared" si="183"/>
        <v/>
      </c>
      <c r="P771" s="52" t="str">
        <f t="shared" si="184"/>
        <v>IX#1MTR</v>
      </c>
      <c r="Q771" s="231" t="str">
        <f t="shared" si="190"/>
        <v>0</v>
      </c>
      <c r="R771" s="224">
        <f t="shared" si="193"/>
        <v>0</v>
      </c>
      <c r="S771" s="52">
        <f t="shared" si="185"/>
        <v>0</v>
      </c>
      <c r="T771" s="221">
        <f t="shared" ca="1" si="186"/>
        <v>0</v>
      </c>
      <c r="U771" s="221">
        <f t="shared" si="187"/>
        <v>771</v>
      </c>
      <c r="V771" s="220" t="str">
        <f t="array" ref="V771">INDEX(P:P,MAX(U$3:U771))</f>
        <v>IX#1MTR</v>
      </c>
      <c r="W771" s="220">
        <f t="shared" ca="1" si="188"/>
        <v>25</v>
      </c>
      <c r="X771" s="220" t="str">
        <f t="shared" si="189"/>
        <v/>
      </c>
      <c r="Y771" s="220">
        <f t="shared" ref="Y771:Y828" si="195">SUMIF(L:L,L771,I:I)</f>
        <v>0</v>
      </c>
      <c r="AA771" s="220" t="str">
        <f t="shared" ref="AA771:AA829" si="196">LEFT(A771,2)</f>
        <v>北斗</v>
      </c>
      <c r="AB771" s="220" t="s">
        <v>2592</v>
      </c>
      <c r="AC771" s="220" t="str">
        <f t="shared" si="194"/>
        <v>#1M</v>
      </c>
      <c r="BG771" s="229" t="s">
        <v>8918</v>
      </c>
      <c r="BH771" s="230" t="s">
        <v>8591</v>
      </c>
      <c r="BI771" t="s">
        <v>2592</v>
      </c>
      <c r="BJ771" t="s">
        <v>2592</v>
      </c>
    </row>
    <row r="772" spans="1:62">
      <c r="A772" s="229" t="s">
        <v>75</v>
      </c>
      <c r="B772" s="230" t="s">
        <v>724</v>
      </c>
      <c r="C772" s="230" t="s">
        <v>5699</v>
      </c>
      <c r="D772" s="229" t="s">
        <v>784</v>
      </c>
      <c r="E772" s="229" t="s">
        <v>5614</v>
      </c>
      <c r="F772" s="229" t="s">
        <v>7817</v>
      </c>
      <c r="G772" s="229" t="s">
        <v>7701</v>
      </c>
      <c r="H772" s="229" t="s">
        <v>5628</v>
      </c>
      <c r="I772" s="229" t="s">
        <v>7701</v>
      </c>
      <c r="J772" s="231" t="s">
        <v>8233</v>
      </c>
      <c r="K772" s="231" t="s">
        <v>784</v>
      </c>
      <c r="L772" s="220" t="str">
        <f t="shared" ref="L772:L828" si="197">IF(LEFT(B772,1)="#",IF(LEN(B772)=5,RIGHT(A772,2)&amp;B772,N772&amp;M772),MID(B772,FIND("(",B772)+1,4))</f>
        <v>IX25</v>
      </c>
      <c r="M772" s="220" t="str">
        <f t="shared" ref="M772:M828" si="198">IF(LEFT(B772,1)="#",IF(LEN(B772)&lt;&gt;5,"("&amp;MID(B772,3,1)&amp;")",""),"")</f>
        <v/>
      </c>
      <c r="N772" s="220" t="str">
        <f t="shared" ref="N772:N828" si="199">IF(LEFT(B772,1)="#",IF(LEN(B772)=5,RIGHT(A772,2)&amp;B772,RIGHT(A772,2)&amp;LEFT(B772,2)&amp;"DTR"),"")</f>
        <v/>
      </c>
      <c r="O772" s="220" t="str">
        <f t="shared" ref="O772:O828" si="200">IF(LEFT(B772,1)="#",IF(LEN(B772)&lt;&gt;5,IF(LEN(B772)&lt;&gt;7,"("&amp;MID(B772,3,1)&amp;")","("&amp;MID(B772,3,2)&amp;")"),""),"")</f>
        <v/>
      </c>
      <c r="P772" s="52" t="str">
        <f t="shared" ref="P772:P828" si="201">IF(LEFT(B772,1)="#",IF(LEN(B772)=5,RIGHT(A772,2)&amp;B772,N772&amp;M772),MID(B772,FIND("(",B772)+1,4))</f>
        <v>IX25</v>
      </c>
      <c r="Q772" s="231" t="str">
        <f t="shared" si="190"/>
        <v>0</v>
      </c>
      <c r="R772" s="224">
        <f t="shared" si="193"/>
        <v>0</v>
      </c>
      <c r="S772" s="52">
        <f t="shared" ref="S772:S828" si="202">MIN(C772*1,E772*1,G772*1)</f>
        <v>0</v>
      </c>
      <c r="T772" s="221">
        <f t="shared" ref="T772:T828" ca="1" si="203">IF(LEFT(B772,1)="#",ROUND(OFFSET(X772,1,0,1,1)*Q772*SQRT(3)/1000,2),ROUND(Q772*X772*SQRT(3)/1000,2))</f>
        <v>0</v>
      </c>
      <c r="U772" s="221" t="str">
        <f t="shared" ref="U772:U822" si="204">IF(ISNUMBER(FIND("#",B772)),ROW(),"")</f>
        <v/>
      </c>
      <c r="V772" s="220" t="str">
        <f t="array" ref="V772">INDEX(P:P,MAX(U$3:U772))</f>
        <v>IX#1MTR</v>
      </c>
      <c r="W772" s="220" t="str">
        <f t="shared" ref="W772:W828" ca="1" si="205">IF(LEFT(B772,1)="#",IF(ISNUMBER(FIND("DTR",B772)),IF(MID(OFFSET(P772,1,0,1,1),3,1)*1&lt;5,30,60),25),"")</f>
        <v/>
      </c>
      <c r="X772" s="220">
        <f t="shared" ref="X772:X828" si="206">IF(LEFT(B772,1)="#","",IF(MID(P772,3,1)*1&lt;5,11.4,22.8))</f>
        <v>11.4</v>
      </c>
      <c r="Y772" s="220">
        <f t="shared" si="195"/>
        <v>0</v>
      </c>
      <c r="AA772" s="220" t="str">
        <f t="shared" si="196"/>
        <v>北斗</v>
      </c>
      <c r="AB772" s="220" t="s">
        <v>2593</v>
      </c>
      <c r="AC772" s="220" t="str">
        <f t="shared" si="194"/>
        <v>斗裕線</v>
      </c>
      <c r="BG772" s="229" t="s">
        <v>8918</v>
      </c>
      <c r="BH772" s="230" t="s">
        <v>8919</v>
      </c>
      <c r="BI772" t="s">
        <v>2593</v>
      </c>
      <c r="BJ772" t="s">
        <v>2592</v>
      </c>
    </row>
    <row r="773" spans="1:62">
      <c r="A773" s="229" t="s">
        <v>75</v>
      </c>
      <c r="B773" s="230" t="s">
        <v>8234</v>
      </c>
      <c r="C773" s="230" t="s">
        <v>5699</v>
      </c>
      <c r="D773" s="229" t="s">
        <v>5628</v>
      </c>
      <c r="E773" s="229" t="s">
        <v>5614</v>
      </c>
      <c r="F773" s="229" t="s">
        <v>5628</v>
      </c>
      <c r="G773" s="229" t="s">
        <v>5614</v>
      </c>
      <c r="H773" s="229" t="s">
        <v>5628</v>
      </c>
      <c r="I773" s="229" t="s">
        <v>5699</v>
      </c>
      <c r="J773" s="231" t="s">
        <v>5699</v>
      </c>
      <c r="K773" s="231" t="s">
        <v>784</v>
      </c>
      <c r="L773" s="220" t="str">
        <f t="shared" si="197"/>
        <v>IX23</v>
      </c>
      <c r="M773" s="220" t="str">
        <f t="shared" si="198"/>
        <v/>
      </c>
      <c r="N773" s="220" t="str">
        <f t="shared" si="199"/>
        <v/>
      </c>
      <c r="O773" s="220" t="str">
        <f t="shared" si="200"/>
        <v/>
      </c>
      <c r="P773" s="52" t="str">
        <f t="shared" si="201"/>
        <v>IX23</v>
      </c>
      <c r="Q773" s="231" t="str">
        <f t="shared" si="190"/>
        <v>0</v>
      </c>
      <c r="R773" s="224">
        <f t="shared" si="193"/>
        <v>0</v>
      </c>
      <c r="S773" s="52">
        <f t="shared" si="202"/>
        <v>0</v>
      </c>
      <c r="T773" s="221">
        <f t="shared" ca="1" si="203"/>
        <v>0</v>
      </c>
      <c r="U773" s="221" t="str">
        <f t="shared" si="204"/>
        <v/>
      </c>
      <c r="V773" s="220" t="str">
        <f t="array" ref="V773">INDEX(P:P,MAX(U$3:U773))</f>
        <v>IX#1MTR</v>
      </c>
      <c r="W773" s="220" t="str">
        <f t="shared" ca="1" si="205"/>
        <v/>
      </c>
      <c r="X773" s="220">
        <f t="shared" si="206"/>
        <v>11.4</v>
      </c>
      <c r="Y773" s="220">
        <f t="shared" si="195"/>
        <v>0</v>
      </c>
      <c r="AA773" s="220" t="str">
        <f t="shared" si="196"/>
        <v>北斗</v>
      </c>
      <c r="AB773" s="220" t="s">
        <v>2594</v>
      </c>
      <c r="AC773" s="220" t="str">
        <f t="shared" si="194"/>
        <v>斗永線</v>
      </c>
      <c r="BG773" s="229" t="s">
        <v>8918</v>
      </c>
      <c r="BH773" s="230" t="s">
        <v>725</v>
      </c>
      <c r="BI773" t="s">
        <v>2594</v>
      </c>
      <c r="BJ773" t="s">
        <v>2592</v>
      </c>
    </row>
    <row r="774" spans="1:62">
      <c r="A774" s="229" t="s">
        <v>75</v>
      </c>
      <c r="B774" s="230" t="s">
        <v>726</v>
      </c>
      <c r="C774" s="230" t="s">
        <v>5699</v>
      </c>
      <c r="D774" s="229" t="s">
        <v>784</v>
      </c>
      <c r="E774" s="229" t="s">
        <v>5699</v>
      </c>
      <c r="F774" s="229" t="s">
        <v>5628</v>
      </c>
      <c r="G774" s="229" t="s">
        <v>8233</v>
      </c>
      <c r="H774" s="229" t="s">
        <v>5628</v>
      </c>
      <c r="I774" s="229" t="s">
        <v>5699</v>
      </c>
      <c r="J774" s="231" t="s">
        <v>5699</v>
      </c>
      <c r="K774" s="231" t="s">
        <v>5628</v>
      </c>
      <c r="L774" s="220" t="str">
        <f t="shared" si="197"/>
        <v>IX26</v>
      </c>
      <c r="M774" s="220" t="str">
        <f t="shared" si="198"/>
        <v/>
      </c>
      <c r="N774" s="220" t="str">
        <f t="shared" si="199"/>
        <v/>
      </c>
      <c r="O774" s="220" t="str">
        <f t="shared" si="200"/>
        <v/>
      </c>
      <c r="P774" s="52" t="str">
        <f t="shared" si="201"/>
        <v>IX26</v>
      </c>
      <c r="Q774" s="231" t="str">
        <f t="shared" si="190"/>
        <v>0</v>
      </c>
      <c r="R774" s="224">
        <f t="shared" si="193"/>
        <v>0</v>
      </c>
      <c r="S774" s="52">
        <f t="shared" si="202"/>
        <v>0</v>
      </c>
      <c r="T774" s="221">
        <f t="shared" ca="1" si="203"/>
        <v>0</v>
      </c>
      <c r="U774" s="221" t="str">
        <f t="shared" si="204"/>
        <v/>
      </c>
      <c r="V774" s="220" t="str">
        <f t="array" ref="V774">INDEX(P:P,MAX(U$3:U774))</f>
        <v>IX#1MTR</v>
      </c>
      <c r="W774" s="220" t="str">
        <f t="shared" ca="1" si="205"/>
        <v/>
      </c>
      <c r="X774" s="220">
        <f t="shared" si="206"/>
        <v>11.4</v>
      </c>
      <c r="Y774" s="220">
        <f t="shared" si="195"/>
        <v>0</v>
      </c>
      <c r="AA774" s="220" t="str">
        <f t="shared" si="196"/>
        <v>北斗</v>
      </c>
      <c r="AB774" s="220" t="s">
        <v>2595</v>
      </c>
      <c r="AC774" s="220" t="str">
        <f t="shared" si="194"/>
        <v>斗州線</v>
      </c>
      <c r="BG774" s="229" t="s">
        <v>8920</v>
      </c>
      <c r="BH774" s="230" t="s">
        <v>8921</v>
      </c>
      <c r="BI774" t="s">
        <v>2595</v>
      </c>
      <c r="BJ774" t="s">
        <v>2592</v>
      </c>
    </row>
    <row r="775" spans="1:62">
      <c r="A775" s="229" t="s">
        <v>8235</v>
      </c>
      <c r="B775" s="230" t="s">
        <v>727</v>
      </c>
      <c r="C775" s="230" t="s">
        <v>5699</v>
      </c>
      <c r="D775" s="229" t="s">
        <v>5628</v>
      </c>
      <c r="E775" s="229" t="s">
        <v>5699</v>
      </c>
      <c r="F775" s="229" t="s">
        <v>5628</v>
      </c>
      <c r="G775" s="229" t="s">
        <v>5699</v>
      </c>
      <c r="H775" s="229" t="s">
        <v>5628</v>
      </c>
      <c r="I775" s="229" t="s">
        <v>5699</v>
      </c>
      <c r="J775" s="231" t="s">
        <v>5699</v>
      </c>
      <c r="K775" s="231" t="s">
        <v>5628</v>
      </c>
      <c r="L775" s="220" t="str">
        <f t="shared" si="197"/>
        <v>IX30</v>
      </c>
      <c r="M775" s="220" t="str">
        <f t="shared" si="198"/>
        <v/>
      </c>
      <c r="N775" s="220" t="str">
        <f t="shared" si="199"/>
        <v/>
      </c>
      <c r="O775" s="220" t="str">
        <f t="shared" si="200"/>
        <v/>
      </c>
      <c r="P775" s="52" t="str">
        <f t="shared" si="201"/>
        <v>IX30</v>
      </c>
      <c r="Q775" s="231" t="str">
        <f t="shared" si="190"/>
        <v>0</v>
      </c>
      <c r="R775" s="224">
        <f t="shared" si="193"/>
        <v>0</v>
      </c>
      <c r="S775" s="52">
        <f t="shared" si="202"/>
        <v>0</v>
      </c>
      <c r="T775" s="221">
        <f t="shared" ca="1" si="203"/>
        <v>0</v>
      </c>
      <c r="U775" s="221" t="str">
        <f t="shared" si="204"/>
        <v/>
      </c>
      <c r="V775" s="220" t="str">
        <f t="array" ref="V775">INDEX(P:P,MAX(U$3:U775))</f>
        <v>IX#1MTR</v>
      </c>
      <c r="W775" s="220" t="str">
        <f t="shared" ca="1" si="205"/>
        <v/>
      </c>
      <c r="X775" s="220">
        <f t="shared" si="206"/>
        <v>11.4</v>
      </c>
      <c r="Y775" s="220">
        <f t="shared" si="195"/>
        <v>0</v>
      </c>
      <c r="AA775" s="220" t="str">
        <f t="shared" si="196"/>
        <v>北斗</v>
      </c>
      <c r="AB775" s="220" t="s">
        <v>2596</v>
      </c>
      <c r="AC775" s="220" t="str">
        <f t="shared" si="194"/>
        <v>斗湖線</v>
      </c>
      <c r="BG775" s="229" t="s">
        <v>8918</v>
      </c>
      <c r="BH775" s="230" t="s">
        <v>8922</v>
      </c>
      <c r="BI775" t="s">
        <v>2596</v>
      </c>
      <c r="BJ775" t="s">
        <v>2592</v>
      </c>
    </row>
    <row r="776" spans="1:62">
      <c r="A776" s="229" t="s">
        <v>8235</v>
      </c>
      <c r="B776" s="230" t="s">
        <v>8236</v>
      </c>
      <c r="C776" s="230" t="s">
        <v>5614</v>
      </c>
      <c r="D776" s="229" t="s">
        <v>5628</v>
      </c>
      <c r="E776" s="229" t="s">
        <v>5699</v>
      </c>
      <c r="F776" s="229" t="s">
        <v>784</v>
      </c>
      <c r="G776" s="229" t="s">
        <v>5699</v>
      </c>
      <c r="H776" s="229" t="s">
        <v>5628</v>
      </c>
      <c r="I776" s="229" t="s">
        <v>5699</v>
      </c>
      <c r="J776" s="231" t="s">
        <v>5614</v>
      </c>
      <c r="K776" s="231" t="s">
        <v>5628</v>
      </c>
      <c r="L776" s="220" t="str">
        <f t="shared" si="197"/>
        <v>IX24</v>
      </c>
      <c r="M776" s="220" t="str">
        <f t="shared" si="198"/>
        <v/>
      </c>
      <c r="N776" s="220" t="str">
        <f t="shared" si="199"/>
        <v/>
      </c>
      <c r="O776" s="220" t="str">
        <f t="shared" si="200"/>
        <v/>
      </c>
      <c r="P776" s="52" t="str">
        <f t="shared" si="201"/>
        <v>IX24</v>
      </c>
      <c r="Q776" s="231" t="str">
        <f t="shared" si="190"/>
        <v>0</v>
      </c>
      <c r="R776" s="224">
        <f t="shared" si="193"/>
        <v>0</v>
      </c>
      <c r="S776" s="52">
        <f t="shared" si="202"/>
        <v>0</v>
      </c>
      <c r="T776" s="221">
        <f t="shared" ca="1" si="203"/>
        <v>0</v>
      </c>
      <c r="U776" s="221" t="str">
        <f t="shared" si="204"/>
        <v/>
      </c>
      <c r="V776" s="220" t="str">
        <f t="array" ref="V776">INDEX(P:P,MAX(U$3:U776))</f>
        <v>IX#1MTR</v>
      </c>
      <c r="W776" s="220" t="str">
        <f t="shared" ca="1" si="205"/>
        <v/>
      </c>
      <c r="X776" s="220">
        <f t="shared" si="206"/>
        <v>11.4</v>
      </c>
      <c r="Y776" s="220">
        <f t="shared" si="195"/>
        <v>0</v>
      </c>
      <c r="AA776" s="220" t="str">
        <f t="shared" si="196"/>
        <v>北斗</v>
      </c>
      <c r="AB776" s="220" t="s">
        <v>2597</v>
      </c>
      <c r="AC776" s="220" t="str">
        <f t="shared" si="194"/>
        <v>文宗線</v>
      </c>
      <c r="BG776" s="229" t="s">
        <v>8918</v>
      </c>
      <c r="BH776" s="230" t="s">
        <v>8923</v>
      </c>
      <c r="BI776" t="s">
        <v>2597</v>
      </c>
      <c r="BJ776" t="s">
        <v>2592</v>
      </c>
    </row>
    <row r="777" spans="1:62">
      <c r="A777" s="229" t="s">
        <v>75</v>
      </c>
      <c r="B777" s="230" t="s">
        <v>6768</v>
      </c>
      <c r="C777" s="230" t="s">
        <v>8237</v>
      </c>
      <c r="D777" s="229" t="s">
        <v>5986</v>
      </c>
      <c r="E777" s="229" t="s">
        <v>3165</v>
      </c>
      <c r="F777" s="229" t="s">
        <v>5986</v>
      </c>
      <c r="G777" s="229" t="s">
        <v>3180</v>
      </c>
      <c r="H777" s="229" t="s">
        <v>797</v>
      </c>
      <c r="I777" s="229" t="s">
        <v>8238</v>
      </c>
      <c r="J777" s="231" t="s">
        <v>358</v>
      </c>
      <c r="K777" s="231" t="s">
        <v>5585</v>
      </c>
      <c r="L777" s="220" t="str">
        <f t="shared" si="197"/>
        <v>IX#2MTR</v>
      </c>
      <c r="M777" s="220" t="str">
        <f t="shared" si="198"/>
        <v/>
      </c>
      <c r="N777" s="220" t="str">
        <f t="shared" si="199"/>
        <v>IX#2MTR</v>
      </c>
      <c r="O777" s="220" t="str">
        <f t="shared" si="200"/>
        <v/>
      </c>
      <c r="P777" s="52" t="str">
        <f t="shared" si="201"/>
        <v>IX#2MTR</v>
      </c>
      <c r="Q777" s="231" t="str">
        <f t="shared" si="190"/>
        <v>733</v>
      </c>
      <c r="R777" s="224">
        <f t="shared" si="193"/>
        <v>682.33333333333337</v>
      </c>
      <c r="S777" s="52">
        <f t="shared" si="202"/>
        <v>652</v>
      </c>
      <c r="T777" s="221">
        <f t="shared" ca="1" si="203"/>
        <v>14.47</v>
      </c>
      <c r="U777" s="221">
        <f t="shared" si="204"/>
        <v>777</v>
      </c>
      <c r="V777" s="220" t="str">
        <f t="array" ref="V777">INDEX(P:P,MAX(U$3:U777))</f>
        <v>IX#2MTR</v>
      </c>
      <c r="W777" s="220">
        <f t="shared" ca="1" si="205"/>
        <v>25</v>
      </c>
      <c r="X777" s="220" t="str">
        <f t="shared" si="206"/>
        <v/>
      </c>
      <c r="Y777" s="220">
        <f t="shared" si="195"/>
        <v>0</v>
      </c>
      <c r="AA777" s="220" t="str">
        <f t="shared" si="196"/>
        <v>北斗</v>
      </c>
      <c r="AB777" s="220" t="s">
        <v>2598</v>
      </c>
      <c r="AC777" s="220" t="str">
        <f t="shared" si="194"/>
        <v>#2M</v>
      </c>
      <c r="BG777" s="229" t="s">
        <v>8918</v>
      </c>
      <c r="BH777" s="230" t="s">
        <v>8597</v>
      </c>
      <c r="BI777" t="s">
        <v>2598</v>
      </c>
      <c r="BJ777" t="s">
        <v>2598</v>
      </c>
    </row>
    <row r="778" spans="1:62">
      <c r="A778" s="229" t="s">
        <v>8235</v>
      </c>
      <c r="B778" s="230" t="s">
        <v>8239</v>
      </c>
      <c r="C778" s="230" t="s">
        <v>8240</v>
      </c>
      <c r="D778" s="229" t="s">
        <v>5641</v>
      </c>
      <c r="E778" s="229" t="s">
        <v>7284</v>
      </c>
      <c r="F778" s="229" t="s">
        <v>804</v>
      </c>
      <c r="G778" s="229" t="s">
        <v>8241</v>
      </c>
      <c r="H778" s="229" t="s">
        <v>5641</v>
      </c>
      <c r="I778" s="229" t="s">
        <v>8241</v>
      </c>
      <c r="J778" s="231" t="s">
        <v>8142</v>
      </c>
      <c r="K778" s="231" t="s">
        <v>797</v>
      </c>
      <c r="L778" s="220" t="str">
        <f t="shared" si="197"/>
        <v>IX28</v>
      </c>
      <c r="M778" s="220" t="str">
        <f t="shared" si="198"/>
        <v/>
      </c>
      <c r="N778" s="220" t="str">
        <f t="shared" si="199"/>
        <v/>
      </c>
      <c r="O778" s="220" t="str">
        <f t="shared" si="200"/>
        <v/>
      </c>
      <c r="P778" s="52" t="str">
        <f t="shared" si="201"/>
        <v>IX28</v>
      </c>
      <c r="Q778" s="231" t="str">
        <f t="shared" si="190"/>
        <v>264</v>
      </c>
      <c r="R778" s="224">
        <f t="shared" si="193"/>
        <v>258</v>
      </c>
      <c r="S778" s="52">
        <f t="shared" si="202"/>
        <v>251</v>
      </c>
      <c r="T778" s="221">
        <f t="shared" ca="1" si="203"/>
        <v>5.21</v>
      </c>
      <c r="U778" s="221" t="str">
        <f t="shared" si="204"/>
        <v/>
      </c>
      <c r="V778" s="220" t="str">
        <f t="array" ref="V778">INDEX(P:P,MAX(U$3:U778))</f>
        <v>IX#2MTR</v>
      </c>
      <c r="W778" s="220" t="str">
        <f t="shared" ca="1" si="205"/>
        <v/>
      </c>
      <c r="X778" s="220">
        <f t="shared" si="206"/>
        <v>11.4</v>
      </c>
      <c r="Y778" s="220">
        <f t="shared" si="195"/>
        <v>0</v>
      </c>
      <c r="AA778" s="220" t="str">
        <f t="shared" si="196"/>
        <v>北斗</v>
      </c>
      <c r="AB778" s="220" t="s">
        <v>2599</v>
      </c>
      <c r="AC778" s="220" t="str">
        <f t="shared" si="194"/>
        <v>斗建線</v>
      </c>
      <c r="BG778" s="229" t="s">
        <v>8920</v>
      </c>
      <c r="BH778" s="230" t="s">
        <v>728</v>
      </c>
      <c r="BI778" t="s">
        <v>2599</v>
      </c>
      <c r="BJ778" t="s">
        <v>2598</v>
      </c>
    </row>
    <row r="779" spans="1:62">
      <c r="A779" s="229" t="s">
        <v>75</v>
      </c>
      <c r="B779" s="230" t="s">
        <v>729</v>
      </c>
      <c r="C779" s="230" t="s">
        <v>833</v>
      </c>
      <c r="D779" s="229" t="s">
        <v>804</v>
      </c>
      <c r="E779" s="229" t="s">
        <v>8242</v>
      </c>
      <c r="F779" s="229" t="s">
        <v>5650</v>
      </c>
      <c r="G779" s="229" t="s">
        <v>939</v>
      </c>
      <c r="H779" s="229" t="s">
        <v>8243</v>
      </c>
      <c r="I779" s="229" t="s">
        <v>939</v>
      </c>
      <c r="J779" s="231" t="s">
        <v>942</v>
      </c>
      <c r="K779" s="231" t="s">
        <v>850</v>
      </c>
      <c r="L779" s="220" t="str">
        <f t="shared" si="197"/>
        <v>IX31</v>
      </c>
      <c r="M779" s="220" t="str">
        <f t="shared" si="198"/>
        <v/>
      </c>
      <c r="N779" s="220" t="str">
        <f t="shared" si="199"/>
        <v/>
      </c>
      <c r="O779" s="220" t="str">
        <f t="shared" si="200"/>
        <v/>
      </c>
      <c r="P779" s="52" t="str">
        <f t="shared" si="201"/>
        <v>IX31</v>
      </c>
      <c r="Q779" s="231" t="str">
        <f t="shared" si="190"/>
        <v>116</v>
      </c>
      <c r="R779" s="224">
        <f t="shared" si="193"/>
        <v>109.66666666666667</v>
      </c>
      <c r="S779" s="52">
        <f t="shared" si="202"/>
        <v>104</v>
      </c>
      <c r="T779" s="221">
        <f t="shared" ca="1" si="203"/>
        <v>2.29</v>
      </c>
      <c r="U779" s="221" t="str">
        <f t="shared" si="204"/>
        <v/>
      </c>
      <c r="V779" s="220" t="str">
        <f t="array" ref="V779">INDEX(P:P,MAX(U$3:U779))</f>
        <v>IX#2MTR</v>
      </c>
      <c r="W779" s="220" t="str">
        <f t="shared" ca="1" si="205"/>
        <v/>
      </c>
      <c r="X779" s="220">
        <f t="shared" si="206"/>
        <v>11.4</v>
      </c>
      <c r="Y779" s="220">
        <f t="shared" si="195"/>
        <v>0</v>
      </c>
      <c r="AA779" s="220" t="str">
        <f t="shared" si="196"/>
        <v>北斗</v>
      </c>
      <c r="AB779" s="220" t="s">
        <v>2600</v>
      </c>
      <c r="AC779" s="220" t="str">
        <f t="shared" si="194"/>
        <v>斗圳線</v>
      </c>
      <c r="BG779" s="229" t="s">
        <v>8918</v>
      </c>
      <c r="BH779" s="230" t="s">
        <v>8924</v>
      </c>
      <c r="BI779" t="s">
        <v>2600</v>
      </c>
      <c r="BJ779" t="s">
        <v>2598</v>
      </c>
    </row>
    <row r="780" spans="1:62">
      <c r="A780" s="229" t="s">
        <v>75</v>
      </c>
      <c r="B780" s="230" t="s">
        <v>730</v>
      </c>
      <c r="C780" s="230" t="s">
        <v>960</v>
      </c>
      <c r="D780" s="229" t="s">
        <v>797</v>
      </c>
      <c r="E780" s="229" t="s">
        <v>967</v>
      </c>
      <c r="F780" s="229" t="s">
        <v>846</v>
      </c>
      <c r="G780" s="229" t="s">
        <v>957</v>
      </c>
      <c r="H780" s="229" t="s">
        <v>846</v>
      </c>
      <c r="I780" s="229" t="s">
        <v>957</v>
      </c>
      <c r="J780" s="231" t="s">
        <v>6035</v>
      </c>
      <c r="K780" s="231" t="s">
        <v>859</v>
      </c>
      <c r="L780" s="220" t="str">
        <f t="shared" si="197"/>
        <v>IX32</v>
      </c>
      <c r="M780" s="220" t="str">
        <f t="shared" si="198"/>
        <v/>
      </c>
      <c r="N780" s="220" t="str">
        <f t="shared" si="199"/>
        <v/>
      </c>
      <c r="O780" s="220" t="str">
        <f t="shared" si="200"/>
        <v/>
      </c>
      <c r="P780" s="52" t="str">
        <f t="shared" si="201"/>
        <v>IX32</v>
      </c>
      <c r="Q780" s="231" t="str">
        <f t="shared" si="190"/>
        <v>93</v>
      </c>
      <c r="R780" s="224">
        <f t="shared" si="193"/>
        <v>81.666666666666671</v>
      </c>
      <c r="S780" s="52">
        <f t="shared" si="202"/>
        <v>68</v>
      </c>
      <c r="T780" s="221">
        <f t="shared" ca="1" si="203"/>
        <v>1.84</v>
      </c>
      <c r="U780" s="221" t="str">
        <f t="shared" si="204"/>
        <v/>
      </c>
      <c r="V780" s="220" t="str">
        <f t="array" ref="V780">INDEX(P:P,MAX(U$3:U780))</f>
        <v>IX#2MTR</v>
      </c>
      <c r="W780" s="220" t="str">
        <f t="shared" ca="1" si="205"/>
        <v/>
      </c>
      <c r="X780" s="220">
        <f t="shared" si="206"/>
        <v>11.4</v>
      </c>
      <c r="Y780" s="220">
        <f t="shared" si="195"/>
        <v>0</v>
      </c>
      <c r="AA780" s="220" t="str">
        <f t="shared" si="196"/>
        <v>北斗</v>
      </c>
      <c r="AB780" s="220" t="s">
        <v>2601</v>
      </c>
      <c r="AC780" s="220" t="str">
        <f t="shared" si="194"/>
        <v>斗興線</v>
      </c>
      <c r="BG780" s="229" t="s">
        <v>75</v>
      </c>
      <c r="BH780" s="230" t="s">
        <v>8925</v>
      </c>
      <c r="BI780" t="s">
        <v>2601</v>
      </c>
      <c r="BJ780" t="s">
        <v>2598</v>
      </c>
    </row>
    <row r="781" spans="1:62">
      <c r="A781" s="229" t="s">
        <v>75</v>
      </c>
      <c r="B781" s="230" t="s">
        <v>8244</v>
      </c>
      <c r="C781" s="230" t="s">
        <v>874</v>
      </c>
      <c r="D781" s="229" t="s">
        <v>846</v>
      </c>
      <c r="E781" s="229" t="s">
        <v>1044</v>
      </c>
      <c r="F781" s="229" t="s">
        <v>845</v>
      </c>
      <c r="G781" s="229" t="s">
        <v>892</v>
      </c>
      <c r="H781" s="229" t="s">
        <v>845</v>
      </c>
      <c r="I781" s="229" t="s">
        <v>1044</v>
      </c>
      <c r="J781" s="231" t="s">
        <v>887</v>
      </c>
      <c r="K781" s="231" t="s">
        <v>845</v>
      </c>
      <c r="L781" s="220" t="str">
        <f t="shared" si="197"/>
        <v>IX34</v>
      </c>
      <c r="M781" s="220" t="str">
        <f t="shared" si="198"/>
        <v/>
      </c>
      <c r="N781" s="220" t="str">
        <f t="shared" si="199"/>
        <v/>
      </c>
      <c r="O781" s="220" t="str">
        <f t="shared" si="200"/>
        <v/>
      </c>
      <c r="P781" s="52" t="str">
        <f t="shared" si="201"/>
        <v>IX34</v>
      </c>
      <c r="Q781" s="231" t="str">
        <f t="shared" si="190"/>
        <v>270</v>
      </c>
      <c r="R781" s="224">
        <f t="shared" si="193"/>
        <v>256.33333333333331</v>
      </c>
      <c r="S781" s="52">
        <f t="shared" si="202"/>
        <v>231</v>
      </c>
      <c r="T781" s="221">
        <f t="shared" ca="1" si="203"/>
        <v>5.33</v>
      </c>
      <c r="U781" s="221" t="str">
        <f t="shared" si="204"/>
        <v/>
      </c>
      <c r="V781" s="220" t="str">
        <f t="array" ref="V781">INDEX(P:P,MAX(U$3:U781))</f>
        <v>IX#2MTR</v>
      </c>
      <c r="W781" s="220" t="str">
        <f t="shared" ca="1" si="205"/>
        <v/>
      </c>
      <c r="X781" s="220">
        <f t="shared" si="206"/>
        <v>11.4</v>
      </c>
      <c r="Y781" s="220">
        <f t="shared" si="195"/>
        <v>0</v>
      </c>
      <c r="AA781" s="220" t="str">
        <f t="shared" si="196"/>
        <v>北斗</v>
      </c>
      <c r="AB781" s="220" t="s">
        <v>2602</v>
      </c>
      <c r="AC781" s="220" t="str">
        <f t="shared" si="194"/>
        <v>斗鳳線</v>
      </c>
      <c r="BG781" s="229" t="s">
        <v>8918</v>
      </c>
      <c r="BH781" s="230" t="s">
        <v>8926</v>
      </c>
      <c r="BI781" t="s">
        <v>2602</v>
      </c>
      <c r="BJ781" t="s">
        <v>2598</v>
      </c>
    </row>
    <row r="782" spans="1:62">
      <c r="A782" s="229" t="s">
        <v>75</v>
      </c>
      <c r="B782" s="230" t="s">
        <v>731</v>
      </c>
      <c r="C782" s="230" t="s">
        <v>1001</v>
      </c>
      <c r="D782" s="229" t="s">
        <v>797</v>
      </c>
      <c r="E782" s="229" t="s">
        <v>791</v>
      </c>
      <c r="F782" s="229" t="s">
        <v>845</v>
      </c>
      <c r="G782" s="229" t="s">
        <v>8245</v>
      </c>
      <c r="H782" s="229" t="s">
        <v>850</v>
      </c>
      <c r="I782" s="229" t="s">
        <v>798</v>
      </c>
      <c r="J782" s="231" t="s">
        <v>8246</v>
      </c>
      <c r="K782" s="231" t="s">
        <v>850</v>
      </c>
      <c r="L782" s="220" t="str">
        <f t="shared" si="197"/>
        <v>IX33</v>
      </c>
      <c r="M782" s="220" t="str">
        <f t="shared" si="198"/>
        <v/>
      </c>
      <c r="N782" s="220" t="str">
        <f t="shared" si="199"/>
        <v/>
      </c>
      <c r="O782" s="220" t="str">
        <f t="shared" si="200"/>
        <v/>
      </c>
      <c r="P782" s="52" t="str">
        <f t="shared" si="201"/>
        <v>IX33</v>
      </c>
      <c r="Q782" s="231" t="str">
        <f t="shared" si="190"/>
        <v>146</v>
      </c>
      <c r="R782" s="224">
        <f t="shared" si="193"/>
        <v>118.66666666666667</v>
      </c>
      <c r="S782" s="52">
        <f t="shared" si="202"/>
        <v>102</v>
      </c>
      <c r="T782" s="221">
        <f t="shared" ca="1" si="203"/>
        <v>2.88</v>
      </c>
      <c r="U782" s="221" t="str">
        <f t="shared" si="204"/>
        <v/>
      </c>
      <c r="V782" s="220" t="str">
        <f t="array" ref="V782">INDEX(P:P,MAX(U$3:U782))</f>
        <v>IX#2MTR</v>
      </c>
      <c r="W782" s="220" t="str">
        <f t="shared" ca="1" si="205"/>
        <v/>
      </c>
      <c r="X782" s="220">
        <f t="shared" si="206"/>
        <v>11.4</v>
      </c>
      <c r="Y782" s="220">
        <f t="shared" si="195"/>
        <v>0</v>
      </c>
      <c r="AA782" s="220" t="str">
        <f t="shared" si="196"/>
        <v>北斗</v>
      </c>
      <c r="AB782" s="220" t="s">
        <v>2603</v>
      </c>
      <c r="AC782" s="220" t="str">
        <f t="shared" si="194"/>
        <v>斗溪線</v>
      </c>
      <c r="BG782" s="229" t="s">
        <v>8918</v>
      </c>
      <c r="BH782" s="230" t="s">
        <v>8927</v>
      </c>
      <c r="BI782" t="s">
        <v>2603</v>
      </c>
      <c r="BJ782" t="s">
        <v>2598</v>
      </c>
    </row>
    <row r="783" spans="1:62">
      <c r="A783" s="229" t="s">
        <v>75</v>
      </c>
      <c r="B783" s="230" t="s">
        <v>430</v>
      </c>
      <c r="C783" s="230" t="s">
        <v>3137</v>
      </c>
      <c r="D783" s="229" t="s">
        <v>845</v>
      </c>
      <c r="E783" s="229" t="s">
        <v>4760</v>
      </c>
      <c r="F783" s="229" t="s">
        <v>850</v>
      </c>
      <c r="G783" s="229" t="s">
        <v>4761</v>
      </c>
      <c r="H783" s="229" t="s">
        <v>846</v>
      </c>
      <c r="I783" s="229" t="s">
        <v>4760</v>
      </c>
      <c r="J783" s="231" t="s">
        <v>358</v>
      </c>
      <c r="K783" s="231" t="s">
        <v>358</v>
      </c>
      <c r="L783" s="220" t="str">
        <f t="shared" si="197"/>
        <v>IX#3MTR</v>
      </c>
      <c r="M783" s="220" t="str">
        <f t="shared" si="198"/>
        <v/>
      </c>
      <c r="N783" s="220" t="str">
        <f t="shared" si="199"/>
        <v>IX#3MTR</v>
      </c>
      <c r="O783" s="220" t="str">
        <f t="shared" si="200"/>
        <v/>
      </c>
      <c r="P783" s="52" t="str">
        <f t="shared" si="201"/>
        <v>IX#3MTR</v>
      </c>
      <c r="Q783" s="231" t="str">
        <f t="shared" ref="Q783:Q828" si="207">I783</f>
        <v>826</v>
      </c>
      <c r="R783" s="224">
        <f t="shared" si="193"/>
        <v>804</v>
      </c>
      <c r="S783" s="52">
        <f t="shared" si="202"/>
        <v>792</v>
      </c>
      <c r="T783" s="221">
        <f t="shared" ca="1" si="203"/>
        <v>16.309999999999999</v>
      </c>
      <c r="U783" s="221">
        <f t="shared" si="204"/>
        <v>783</v>
      </c>
      <c r="V783" s="220" t="str">
        <f t="array" ref="V783">INDEX(P:P,MAX(U$3:U783))</f>
        <v>IX#3MTR</v>
      </c>
      <c r="W783" s="220">
        <f t="shared" ca="1" si="205"/>
        <v>25</v>
      </c>
      <c r="X783" s="220" t="str">
        <f t="shared" si="206"/>
        <v/>
      </c>
      <c r="Y783" s="220">
        <f t="shared" si="195"/>
        <v>0</v>
      </c>
      <c r="AA783" s="220" t="str">
        <f t="shared" si="196"/>
        <v>北斗</v>
      </c>
      <c r="AB783" s="220" t="s">
        <v>2604</v>
      </c>
      <c r="AC783" s="220" t="str">
        <f t="shared" si="194"/>
        <v>#3M</v>
      </c>
      <c r="BG783" s="229" t="s">
        <v>75</v>
      </c>
      <c r="BH783" s="230" t="s">
        <v>8481</v>
      </c>
      <c r="BI783" t="s">
        <v>2604</v>
      </c>
      <c r="BJ783" t="s">
        <v>2604</v>
      </c>
    </row>
    <row r="784" spans="1:62">
      <c r="A784" s="229" t="s">
        <v>75</v>
      </c>
      <c r="B784" s="230" t="s">
        <v>732</v>
      </c>
      <c r="C784" s="230" t="s">
        <v>5888</v>
      </c>
      <c r="D784" s="229" t="s">
        <v>845</v>
      </c>
      <c r="E784" s="229" t="s">
        <v>858</v>
      </c>
      <c r="F784" s="229" t="s">
        <v>8247</v>
      </c>
      <c r="G784" s="229" t="s">
        <v>798</v>
      </c>
      <c r="H784" s="229" t="s">
        <v>845</v>
      </c>
      <c r="I784" s="229" t="s">
        <v>5888</v>
      </c>
      <c r="J784" s="231" t="s">
        <v>937</v>
      </c>
      <c r="K784" s="231" t="s">
        <v>804</v>
      </c>
      <c r="L784" s="220" t="str">
        <f t="shared" si="197"/>
        <v>IX22</v>
      </c>
      <c r="M784" s="220" t="str">
        <f t="shared" si="198"/>
        <v/>
      </c>
      <c r="N784" s="220" t="str">
        <f t="shared" si="199"/>
        <v/>
      </c>
      <c r="O784" s="220" t="str">
        <f t="shared" si="200"/>
        <v/>
      </c>
      <c r="P784" s="52" t="str">
        <f t="shared" si="201"/>
        <v>IX22</v>
      </c>
      <c r="Q784" s="231" t="str">
        <f t="shared" si="207"/>
        <v>160</v>
      </c>
      <c r="R784" s="224">
        <f t="shared" si="193"/>
        <v>152</v>
      </c>
      <c r="S784" s="52">
        <f t="shared" si="202"/>
        <v>146</v>
      </c>
      <c r="T784" s="221">
        <f t="shared" ca="1" si="203"/>
        <v>3.16</v>
      </c>
      <c r="U784" s="221" t="str">
        <f t="shared" si="204"/>
        <v/>
      </c>
      <c r="V784" s="220" t="str">
        <f t="array" ref="V784">INDEX(P:P,MAX(U$3:U784))</f>
        <v>IX#3MTR</v>
      </c>
      <c r="W784" s="220" t="str">
        <f t="shared" ca="1" si="205"/>
        <v/>
      </c>
      <c r="X784" s="220">
        <f t="shared" si="206"/>
        <v>11.4</v>
      </c>
      <c r="Y784" s="220">
        <f t="shared" si="195"/>
        <v>0</v>
      </c>
      <c r="AA784" s="220" t="str">
        <f t="shared" si="196"/>
        <v>北斗</v>
      </c>
      <c r="AB784" s="220" t="s">
        <v>2605</v>
      </c>
      <c r="AC784" s="220" t="str">
        <f t="shared" si="194"/>
        <v>斗海線</v>
      </c>
      <c r="BG784" s="229" t="s">
        <v>8920</v>
      </c>
      <c r="BH784" s="230" t="s">
        <v>8928</v>
      </c>
      <c r="BI784" t="s">
        <v>2605</v>
      </c>
      <c r="BJ784" t="s">
        <v>2604</v>
      </c>
    </row>
    <row r="785" spans="1:62">
      <c r="A785" s="229" t="s">
        <v>75</v>
      </c>
      <c r="B785" s="230" t="s">
        <v>733</v>
      </c>
      <c r="C785" s="230" t="s">
        <v>964</v>
      </c>
      <c r="D785" s="229" t="s">
        <v>850</v>
      </c>
      <c r="E785" s="229" t="s">
        <v>894</v>
      </c>
      <c r="F785" s="229" t="s">
        <v>8248</v>
      </c>
      <c r="G785" s="229" t="s">
        <v>6566</v>
      </c>
      <c r="H785" s="229" t="s">
        <v>850</v>
      </c>
      <c r="I785" s="229" t="s">
        <v>964</v>
      </c>
      <c r="J785" s="231" t="s">
        <v>923</v>
      </c>
      <c r="K785" s="231" t="s">
        <v>5791</v>
      </c>
      <c r="L785" s="220" t="str">
        <f t="shared" si="197"/>
        <v>IX20</v>
      </c>
      <c r="M785" s="220" t="str">
        <f t="shared" si="198"/>
        <v/>
      </c>
      <c r="N785" s="220" t="str">
        <f t="shared" si="199"/>
        <v/>
      </c>
      <c r="O785" s="220" t="str">
        <f t="shared" si="200"/>
        <v/>
      </c>
      <c r="P785" s="52" t="str">
        <f t="shared" si="201"/>
        <v>IX20</v>
      </c>
      <c r="Q785" s="231" t="str">
        <f t="shared" si="207"/>
        <v>212</v>
      </c>
      <c r="R785" s="224">
        <f t="shared" si="193"/>
        <v>197.33333333333334</v>
      </c>
      <c r="S785" s="52">
        <f t="shared" si="202"/>
        <v>186</v>
      </c>
      <c r="T785" s="221">
        <f t="shared" ca="1" si="203"/>
        <v>4.1900000000000004</v>
      </c>
      <c r="U785" s="221" t="str">
        <f t="shared" si="204"/>
        <v/>
      </c>
      <c r="V785" s="220" t="str">
        <f t="array" ref="V785">INDEX(P:P,MAX(U$3:U785))</f>
        <v>IX#3MTR</v>
      </c>
      <c r="W785" s="220" t="str">
        <f t="shared" ca="1" si="205"/>
        <v/>
      </c>
      <c r="X785" s="220">
        <f t="shared" si="206"/>
        <v>11.4</v>
      </c>
      <c r="Y785" s="220">
        <f t="shared" si="195"/>
        <v>0</v>
      </c>
      <c r="AA785" s="220" t="str">
        <f t="shared" si="196"/>
        <v>北斗</v>
      </c>
      <c r="AB785" s="220" t="s">
        <v>2606</v>
      </c>
      <c r="AC785" s="220" t="str">
        <f t="shared" si="194"/>
        <v>斗苑線</v>
      </c>
      <c r="BG785" s="229" t="s">
        <v>8918</v>
      </c>
      <c r="BH785" s="230" t="s">
        <v>8929</v>
      </c>
      <c r="BI785" t="s">
        <v>2606</v>
      </c>
      <c r="BJ785" t="s">
        <v>2604</v>
      </c>
    </row>
    <row r="786" spans="1:62">
      <c r="A786" s="229" t="s">
        <v>75</v>
      </c>
      <c r="B786" s="230" t="s">
        <v>734</v>
      </c>
      <c r="C786" s="230" t="s">
        <v>983</v>
      </c>
      <c r="D786" s="229" t="s">
        <v>846</v>
      </c>
      <c r="E786" s="229" t="s">
        <v>1056</v>
      </c>
      <c r="F786" s="229" t="s">
        <v>850</v>
      </c>
      <c r="G786" s="229" t="s">
        <v>1017</v>
      </c>
      <c r="H786" s="229" t="s">
        <v>846</v>
      </c>
      <c r="I786" s="229" t="s">
        <v>1056</v>
      </c>
      <c r="J786" s="231" t="s">
        <v>6556</v>
      </c>
      <c r="K786" s="231" t="s">
        <v>5949</v>
      </c>
      <c r="L786" s="220" t="str">
        <f t="shared" si="197"/>
        <v>IX21</v>
      </c>
      <c r="M786" s="220" t="str">
        <f t="shared" si="198"/>
        <v/>
      </c>
      <c r="N786" s="220" t="str">
        <f t="shared" si="199"/>
        <v/>
      </c>
      <c r="O786" s="220" t="str">
        <f t="shared" si="200"/>
        <v/>
      </c>
      <c r="P786" s="52" t="str">
        <f t="shared" si="201"/>
        <v>IX21</v>
      </c>
      <c r="Q786" s="231" t="str">
        <f t="shared" si="207"/>
        <v>265</v>
      </c>
      <c r="R786" s="224">
        <f t="shared" si="193"/>
        <v>242.33333333333334</v>
      </c>
      <c r="S786" s="52">
        <f t="shared" si="202"/>
        <v>223</v>
      </c>
      <c r="T786" s="221">
        <f t="shared" ca="1" si="203"/>
        <v>5.23</v>
      </c>
      <c r="U786" s="221" t="str">
        <f t="shared" si="204"/>
        <v/>
      </c>
      <c r="V786" s="220" t="str">
        <f t="array" ref="V786">INDEX(P:P,MAX(U$3:U786))</f>
        <v>IX#3MTR</v>
      </c>
      <c r="W786" s="220" t="str">
        <f t="shared" ca="1" si="205"/>
        <v/>
      </c>
      <c r="X786" s="220">
        <f t="shared" si="206"/>
        <v>11.4</v>
      </c>
      <c r="Y786" s="220">
        <f t="shared" si="195"/>
        <v>0</v>
      </c>
      <c r="AA786" s="220" t="str">
        <f t="shared" si="196"/>
        <v>北斗</v>
      </c>
      <c r="AB786" s="220" t="s">
        <v>2607</v>
      </c>
      <c r="AC786" s="220" t="str">
        <f t="shared" si="194"/>
        <v>斗中線</v>
      </c>
      <c r="BG786" s="229" t="s">
        <v>75</v>
      </c>
      <c r="BH786" s="230" t="s">
        <v>734</v>
      </c>
      <c r="BI786" t="s">
        <v>2607</v>
      </c>
      <c r="BJ786" t="s">
        <v>2604</v>
      </c>
    </row>
    <row r="787" spans="1:62">
      <c r="A787" s="229" t="s">
        <v>75</v>
      </c>
      <c r="B787" s="230" t="s">
        <v>735</v>
      </c>
      <c r="C787" s="230" t="s">
        <v>947</v>
      </c>
      <c r="D787" s="229" t="s">
        <v>845</v>
      </c>
      <c r="E787" s="229" t="s">
        <v>1046</v>
      </c>
      <c r="F787" s="229" t="s">
        <v>845</v>
      </c>
      <c r="G787" s="229" t="s">
        <v>1006</v>
      </c>
      <c r="H787" s="229" t="s">
        <v>845</v>
      </c>
      <c r="I787" s="229" t="s">
        <v>1046</v>
      </c>
      <c r="J787" s="231" t="s">
        <v>785</v>
      </c>
      <c r="K787" s="231" t="s">
        <v>8249</v>
      </c>
      <c r="L787" s="220" t="str">
        <f t="shared" si="197"/>
        <v>IX29</v>
      </c>
      <c r="M787" s="220" t="str">
        <f t="shared" si="198"/>
        <v/>
      </c>
      <c r="N787" s="220" t="str">
        <f t="shared" si="199"/>
        <v/>
      </c>
      <c r="O787" s="220" t="str">
        <f t="shared" si="200"/>
        <v/>
      </c>
      <c r="P787" s="52" t="str">
        <f t="shared" si="201"/>
        <v>IX29</v>
      </c>
      <c r="Q787" s="231" t="str">
        <f t="shared" si="207"/>
        <v>220</v>
      </c>
      <c r="R787" s="224">
        <f t="shared" si="193"/>
        <v>211.66666666666666</v>
      </c>
      <c r="S787" s="52">
        <f t="shared" si="202"/>
        <v>197</v>
      </c>
      <c r="T787" s="221">
        <f t="shared" ca="1" si="203"/>
        <v>4.34</v>
      </c>
      <c r="U787" s="221" t="str">
        <f t="shared" si="204"/>
        <v/>
      </c>
      <c r="V787" s="220" t="str">
        <f t="array" ref="V787">INDEX(P:P,MAX(U$3:U787))</f>
        <v>IX#3MTR</v>
      </c>
      <c r="W787" s="220" t="str">
        <f t="shared" ca="1" si="205"/>
        <v/>
      </c>
      <c r="X787" s="220">
        <f t="shared" si="206"/>
        <v>11.4</v>
      </c>
      <c r="Y787" s="220">
        <f t="shared" si="195"/>
        <v>0</v>
      </c>
      <c r="AA787" s="220" t="str">
        <f t="shared" si="196"/>
        <v>北斗</v>
      </c>
      <c r="AB787" s="220" t="s">
        <v>2608</v>
      </c>
      <c r="AC787" s="220" t="str">
        <f t="shared" si="194"/>
        <v>斗工線</v>
      </c>
      <c r="BG787" s="229" t="s">
        <v>8920</v>
      </c>
      <c r="BH787" s="230" t="s">
        <v>8930</v>
      </c>
      <c r="BI787" t="s">
        <v>2608</v>
      </c>
      <c r="BJ787" t="s">
        <v>2604</v>
      </c>
    </row>
    <row r="788" spans="1:62">
      <c r="A788" s="229" t="s">
        <v>75</v>
      </c>
      <c r="B788" s="230" t="s">
        <v>736</v>
      </c>
      <c r="C788" s="230" t="s">
        <v>993</v>
      </c>
      <c r="D788" s="229" t="s">
        <v>797</v>
      </c>
      <c r="E788" s="229" t="s">
        <v>925</v>
      </c>
      <c r="F788" s="229" t="s">
        <v>835</v>
      </c>
      <c r="G788" s="229" t="s">
        <v>842</v>
      </c>
      <c r="H788" s="229" t="s">
        <v>797</v>
      </c>
      <c r="I788" s="229" t="s">
        <v>842</v>
      </c>
      <c r="J788" s="231" t="s">
        <v>932</v>
      </c>
      <c r="K788" s="231" t="s">
        <v>804</v>
      </c>
      <c r="L788" s="220" t="str">
        <f t="shared" si="197"/>
        <v>IX27</v>
      </c>
      <c r="M788" s="220" t="str">
        <f t="shared" si="198"/>
        <v/>
      </c>
      <c r="N788" s="220" t="str">
        <f t="shared" si="199"/>
        <v/>
      </c>
      <c r="O788" s="220" t="str">
        <f t="shared" si="200"/>
        <v/>
      </c>
      <c r="P788" s="52" t="str">
        <f t="shared" si="201"/>
        <v>IX27</v>
      </c>
      <c r="Q788" s="231" t="str">
        <f t="shared" si="207"/>
        <v>47</v>
      </c>
      <c r="R788" s="224">
        <f t="shared" si="193"/>
        <v>28.666666666666668</v>
      </c>
      <c r="S788" s="52">
        <f t="shared" si="202"/>
        <v>17</v>
      </c>
      <c r="T788" s="221">
        <f t="shared" ca="1" si="203"/>
        <v>0.93</v>
      </c>
      <c r="U788" s="221" t="str">
        <f t="shared" si="204"/>
        <v/>
      </c>
      <c r="V788" s="220" t="str">
        <f t="array" ref="V788">INDEX(P:P,MAX(U$3:U788))</f>
        <v>IX#3MTR</v>
      </c>
      <c r="W788" s="220" t="str">
        <f t="shared" ca="1" si="205"/>
        <v/>
      </c>
      <c r="X788" s="220">
        <f t="shared" si="206"/>
        <v>11.4</v>
      </c>
      <c r="Y788" s="220">
        <f t="shared" si="195"/>
        <v>0</v>
      </c>
      <c r="AA788" s="220" t="str">
        <f t="shared" si="196"/>
        <v>北斗</v>
      </c>
      <c r="AB788" s="220" t="s">
        <v>2609</v>
      </c>
      <c r="AC788" s="220" t="str">
        <f t="shared" si="194"/>
        <v>斗民線</v>
      </c>
      <c r="BG788" s="229" t="s">
        <v>8918</v>
      </c>
      <c r="BH788" s="230" t="s">
        <v>8931</v>
      </c>
      <c r="BI788" t="s">
        <v>2609</v>
      </c>
      <c r="BJ788" t="s">
        <v>2604</v>
      </c>
    </row>
    <row r="789" spans="1:62">
      <c r="A789" s="229" t="s">
        <v>77</v>
      </c>
      <c r="B789" s="230" t="s">
        <v>425</v>
      </c>
      <c r="C789" s="230" t="s">
        <v>4762</v>
      </c>
      <c r="D789" s="229" t="s">
        <v>845</v>
      </c>
      <c r="E789" s="229" t="s">
        <v>4763</v>
      </c>
      <c r="F789" s="229" t="s">
        <v>845</v>
      </c>
      <c r="G789" s="229" t="s">
        <v>8250</v>
      </c>
      <c r="H789" s="229" t="s">
        <v>797</v>
      </c>
      <c r="I789" s="229" t="s">
        <v>4762</v>
      </c>
      <c r="J789" s="231" t="s">
        <v>358</v>
      </c>
      <c r="K789" s="231" t="s">
        <v>8251</v>
      </c>
      <c r="L789" s="220" t="str">
        <f t="shared" si="197"/>
        <v>IY#1MTR</v>
      </c>
      <c r="M789" s="220" t="str">
        <f t="shared" si="198"/>
        <v/>
      </c>
      <c r="N789" s="220" t="str">
        <f t="shared" si="199"/>
        <v>IY#1MTR</v>
      </c>
      <c r="O789" s="220" t="str">
        <f t="shared" si="200"/>
        <v/>
      </c>
      <c r="P789" s="52" t="str">
        <f t="shared" si="201"/>
        <v>IY#1MTR</v>
      </c>
      <c r="Q789" s="231" t="str">
        <f t="shared" si="207"/>
        <v>757</v>
      </c>
      <c r="R789" s="224">
        <f t="shared" si="193"/>
        <v>738</v>
      </c>
      <c r="S789" s="52">
        <f t="shared" si="202"/>
        <v>724</v>
      </c>
      <c r="T789" s="221">
        <f t="shared" ca="1" si="203"/>
        <v>14.95</v>
      </c>
      <c r="U789" s="221">
        <f t="shared" si="204"/>
        <v>789</v>
      </c>
      <c r="V789" s="220" t="str">
        <f t="array" ref="V789">INDEX(P:P,MAX(U$3:U789))</f>
        <v>IY#1MTR</v>
      </c>
      <c r="W789" s="220">
        <f t="shared" ca="1" si="205"/>
        <v>25</v>
      </c>
      <c r="X789" s="220" t="str">
        <f t="shared" si="206"/>
        <v/>
      </c>
      <c r="Y789" s="220">
        <f t="shared" si="195"/>
        <v>0</v>
      </c>
      <c r="AA789" s="220" t="str">
        <f t="shared" si="196"/>
        <v>芳苑</v>
      </c>
      <c r="AB789" s="220" t="s">
        <v>2610</v>
      </c>
      <c r="AC789" s="220" t="str">
        <f t="shared" si="194"/>
        <v>#1M</v>
      </c>
      <c r="BG789" s="229" t="s">
        <v>8932</v>
      </c>
      <c r="BH789" s="230" t="s">
        <v>8470</v>
      </c>
      <c r="BI789" t="s">
        <v>2610</v>
      </c>
      <c r="BJ789" t="s">
        <v>2610</v>
      </c>
    </row>
    <row r="790" spans="1:62">
      <c r="A790" s="229" t="s">
        <v>77</v>
      </c>
      <c r="B790" s="230" t="s">
        <v>737</v>
      </c>
      <c r="C790" s="230" t="s">
        <v>826</v>
      </c>
      <c r="D790" s="229" t="s">
        <v>8252</v>
      </c>
      <c r="E790" s="229" t="s">
        <v>796</v>
      </c>
      <c r="F790" s="229" t="s">
        <v>5650</v>
      </c>
      <c r="G790" s="229" t="s">
        <v>842</v>
      </c>
      <c r="H790" s="229" t="s">
        <v>846</v>
      </c>
      <c r="I790" s="229" t="s">
        <v>826</v>
      </c>
      <c r="J790" s="231" t="s">
        <v>941</v>
      </c>
      <c r="K790" s="231" t="s">
        <v>846</v>
      </c>
      <c r="L790" s="220" t="str">
        <f t="shared" si="197"/>
        <v>IY31</v>
      </c>
      <c r="M790" s="220" t="str">
        <f t="shared" si="198"/>
        <v/>
      </c>
      <c r="N790" s="220" t="str">
        <f t="shared" si="199"/>
        <v/>
      </c>
      <c r="O790" s="220" t="str">
        <f t="shared" si="200"/>
        <v/>
      </c>
      <c r="P790" s="52" t="str">
        <f t="shared" si="201"/>
        <v>IY31</v>
      </c>
      <c r="Q790" s="231" t="str">
        <f t="shared" si="207"/>
        <v>92</v>
      </c>
      <c r="R790" s="224">
        <f t="shared" si="193"/>
        <v>58.333333333333336</v>
      </c>
      <c r="S790" s="52">
        <f t="shared" si="202"/>
        <v>36</v>
      </c>
      <c r="T790" s="221">
        <f t="shared" ca="1" si="203"/>
        <v>1.82</v>
      </c>
      <c r="U790" s="221" t="str">
        <f t="shared" si="204"/>
        <v/>
      </c>
      <c r="V790" s="220" t="str">
        <f t="array" ref="V790">INDEX(P:P,MAX(U$3:U790))</f>
        <v>IY#1MTR</v>
      </c>
      <c r="W790" s="220" t="str">
        <f t="shared" ca="1" si="205"/>
        <v/>
      </c>
      <c r="X790" s="220">
        <f t="shared" si="206"/>
        <v>11.4</v>
      </c>
      <c r="Y790" s="220">
        <f t="shared" si="195"/>
        <v>0</v>
      </c>
      <c r="AA790" s="220" t="str">
        <f t="shared" si="196"/>
        <v>芳苑</v>
      </c>
      <c r="AB790" s="220" t="s">
        <v>1908</v>
      </c>
      <c r="AC790" s="220" t="str">
        <f t="shared" si="194"/>
        <v>芳森線</v>
      </c>
      <c r="BG790" s="229" t="s">
        <v>8933</v>
      </c>
      <c r="BH790" s="230" t="s">
        <v>8934</v>
      </c>
      <c r="BI790" t="s">
        <v>1908</v>
      </c>
      <c r="BJ790" t="s">
        <v>2610</v>
      </c>
    </row>
    <row r="791" spans="1:62">
      <c r="A791" s="229" t="s">
        <v>77</v>
      </c>
      <c r="B791" s="230" t="s">
        <v>738</v>
      </c>
      <c r="C791" s="230" t="s">
        <v>8253</v>
      </c>
      <c r="D791" s="229" t="s">
        <v>850</v>
      </c>
      <c r="E791" s="229" t="s">
        <v>4691</v>
      </c>
      <c r="F791" s="229" t="s">
        <v>850</v>
      </c>
      <c r="G791" s="229" t="s">
        <v>3161</v>
      </c>
      <c r="H791" s="229" t="s">
        <v>8254</v>
      </c>
      <c r="I791" s="229" t="s">
        <v>4691</v>
      </c>
      <c r="J791" s="231" t="s">
        <v>5614</v>
      </c>
      <c r="K791" s="231" t="s">
        <v>784</v>
      </c>
      <c r="L791" s="220" t="str">
        <f t="shared" si="197"/>
        <v>IY21</v>
      </c>
      <c r="M791" s="220" t="str">
        <f t="shared" si="198"/>
        <v/>
      </c>
      <c r="N791" s="220" t="str">
        <f t="shared" si="199"/>
        <v/>
      </c>
      <c r="O791" s="220" t="str">
        <f t="shared" si="200"/>
        <v/>
      </c>
      <c r="P791" s="52" t="str">
        <f t="shared" si="201"/>
        <v>IY21</v>
      </c>
      <c r="Q791" s="231" t="str">
        <f t="shared" si="207"/>
        <v>295</v>
      </c>
      <c r="R791" s="224">
        <f t="shared" si="193"/>
        <v>289.66666666666669</v>
      </c>
      <c r="S791" s="52">
        <f t="shared" si="202"/>
        <v>284</v>
      </c>
      <c r="T791" s="221">
        <f t="shared" ca="1" si="203"/>
        <v>5.82</v>
      </c>
      <c r="U791" s="221" t="str">
        <f t="shared" si="204"/>
        <v/>
      </c>
      <c r="V791" s="220" t="str">
        <f t="array" ref="V791">INDEX(P:P,MAX(U$3:U791))</f>
        <v>IY#1MTR</v>
      </c>
      <c r="W791" s="220" t="str">
        <f t="shared" ca="1" si="205"/>
        <v/>
      </c>
      <c r="X791" s="220">
        <f t="shared" si="206"/>
        <v>11.4</v>
      </c>
      <c r="Y791" s="220">
        <f t="shared" si="195"/>
        <v>0</v>
      </c>
      <c r="AA791" s="220" t="str">
        <f t="shared" si="196"/>
        <v>芳苑</v>
      </c>
      <c r="AB791" s="220" t="s">
        <v>1904</v>
      </c>
      <c r="AC791" s="220" t="str">
        <f t="shared" si="194"/>
        <v>芳苑線</v>
      </c>
      <c r="BG791" s="229" t="s">
        <v>8932</v>
      </c>
      <c r="BH791" s="230" t="s">
        <v>8935</v>
      </c>
      <c r="BI791" t="s">
        <v>1904</v>
      </c>
      <c r="BJ791" t="s">
        <v>2610</v>
      </c>
    </row>
    <row r="792" spans="1:62">
      <c r="A792" s="229" t="s">
        <v>8255</v>
      </c>
      <c r="B792" s="230" t="s">
        <v>739</v>
      </c>
      <c r="C792" s="230" t="s">
        <v>976</v>
      </c>
      <c r="D792" s="229" t="s">
        <v>786</v>
      </c>
      <c r="E792" s="229" t="s">
        <v>6652</v>
      </c>
      <c r="F792" s="229" t="s">
        <v>797</v>
      </c>
      <c r="G792" s="229" t="s">
        <v>8256</v>
      </c>
      <c r="H792" s="229" t="s">
        <v>786</v>
      </c>
      <c r="I792" s="229" t="s">
        <v>8257</v>
      </c>
      <c r="J792" s="231" t="s">
        <v>5716</v>
      </c>
      <c r="K792" s="231" t="s">
        <v>784</v>
      </c>
      <c r="L792" s="220" t="str">
        <f t="shared" si="197"/>
        <v>IY32</v>
      </c>
      <c r="M792" s="220" t="str">
        <f t="shared" si="198"/>
        <v/>
      </c>
      <c r="N792" s="220" t="str">
        <f t="shared" si="199"/>
        <v/>
      </c>
      <c r="O792" s="220" t="str">
        <f t="shared" si="200"/>
        <v/>
      </c>
      <c r="P792" s="52" t="str">
        <f t="shared" si="201"/>
        <v>IY32</v>
      </c>
      <c r="Q792" s="231" t="str">
        <f t="shared" si="207"/>
        <v>122</v>
      </c>
      <c r="R792" s="224">
        <f t="shared" si="193"/>
        <v>120</v>
      </c>
      <c r="S792" s="52">
        <f t="shared" si="202"/>
        <v>118</v>
      </c>
      <c r="T792" s="221">
        <f t="shared" ca="1" si="203"/>
        <v>2.41</v>
      </c>
      <c r="U792" s="221" t="str">
        <f t="shared" si="204"/>
        <v/>
      </c>
      <c r="V792" s="220" t="str">
        <f t="array" ref="V792">INDEX(P:P,MAX(U$3:U792))</f>
        <v>IY#1MTR</v>
      </c>
      <c r="W792" s="220" t="str">
        <f t="shared" ca="1" si="205"/>
        <v/>
      </c>
      <c r="X792" s="220">
        <f t="shared" si="206"/>
        <v>11.4</v>
      </c>
      <c r="Y792" s="220">
        <f t="shared" si="195"/>
        <v>0</v>
      </c>
      <c r="AA792" s="220" t="str">
        <f t="shared" si="196"/>
        <v>芳苑</v>
      </c>
      <c r="AB792" s="220" t="s">
        <v>1909</v>
      </c>
      <c r="AC792" s="220" t="str">
        <f t="shared" si="194"/>
        <v>芳中線</v>
      </c>
      <c r="BG792" s="229" t="s">
        <v>77</v>
      </c>
      <c r="BH792" s="230" t="s">
        <v>8936</v>
      </c>
      <c r="BI792" t="s">
        <v>1909</v>
      </c>
      <c r="BJ792" t="s">
        <v>2610</v>
      </c>
    </row>
    <row r="793" spans="1:62">
      <c r="A793" s="229" t="s">
        <v>77</v>
      </c>
      <c r="B793" s="230" t="s">
        <v>740</v>
      </c>
      <c r="C793" s="230" t="s">
        <v>8258</v>
      </c>
      <c r="D793" s="229" t="s">
        <v>5764</v>
      </c>
      <c r="E793" s="229" t="s">
        <v>928</v>
      </c>
      <c r="F793" s="229" t="s">
        <v>954</v>
      </c>
      <c r="G793" s="229" t="s">
        <v>5946</v>
      </c>
      <c r="H793" s="229" t="s">
        <v>8259</v>
      </c>
      <c r="I793" s="229" t="s">
        <v>928</v>
      </c>
      <c r="J793" s="231" t="s">
        <v>8260</v>
      </c>
      <c r="K793" s="231" t="s">
        <v>5733</v>
      </c>
      <c r="L793" s="220" t="str">
        <f t="shared" si="197"/>
        <v>IY28</v>
      </c>
      <c r="M793" s="220" t="str">
        <f t="shared" si="198"/>
        <v/>
      </c>
      <c r="N793" s="220" t="str">
        <f t="shared" si="199"/>
        <v/>
      </c>
      <c r="O793" s="220" t="str">
        <f t="shared" si="200"/>
        <v/>
      </c>
      <c r="P793" s="52" t="str">
        <f t="shared" si="201"/>
        <v>IY28</v>
      </c>
      <c r="Q793" s="231" t="str">
        <f t="shared" si="207"/>
        <v>154</v>
      </c>
      <c r="R793" s="224">
        <f t="shared" si="193"/>
        <v>149.66666666666666</v>
      </c>
      <c r="S793" s="52">
        <f t="shared" si="202"/>
        <v>143</v>
      </c>
      <c r="T793" s="221">
        <f t="shared" ca="1" si="203"/>
        <v>3.04</v>
      </c>
      <c r="U793" s="221" t="str">
        <f t="shared" si="204"/>
        <v/>
      </c>
      <c r="V793" s="220" t="str">
        <f t="array" ref="V793">INDEX(P:P,MAX(U$3:U793))</f>
        <v>IY#1MTR</v>
      </c>
      <c r="W793" s="220" t="str">
        <f t="shared" ca="1" si="205"/>
        <v/>
      </c>
      <c r="X793" s="220">
        <f t="shared" si="206"/>
        <v>11.4</v>
      </c>
      <c r="Y793" s="220">
        <f t="shared" si="195"/>
        <v>0</v>
      </c>
      <c r="AA793" s="220" t="str">
        <f t="shared" si="196"/>
        <v>芳苑</v>
      </c>
      <c r="AB793" s="220" t="s">
        <v>1906</v>
      </c>
      <c r="AC793" s="220" t="str">
        <f t="shared" si="194"/>
        <v>芳隆線</v>
      </c>
      <c r="BG793" s="229" t="s">
        <v>77</v>
      </c>
      <c r="BH793" s="230" t="s">
        <v>740</v>
      </c>
      <c r="BI793" t="s">
        <v>1906</v>
      </c>
      <c r="BJ793" t="s">
        <v>2610</v>
      </c>
    </row>
    <row r="794" spans="1:62">
      <c r="A794" s="229" t="s">
        <v>77</v>
      </c>
      <c r="B794" s="230" t="s">
        <v>741</v>
      </c>
      <c r="C794" s="230" t="s">
        <v>5989</v>
      </c>
      <c r="D794" s="229" t="s">
        <v>5733</v>
      </c>
      <c r="E794" s="229" t="s">
        <v>847</v>
      </c>
      <c r="F794" s="229" t="s">
        <v>5733</v>
      </c>
      <c r="G794" s="229" t="s">
        <v>813</v>
      </c>
      <c r="H794" s="229" t="s">
        <v>5733</v>
      </c>
      <c r="I794" s="229" t="s">
        <v>847</v>
      </c>
      <c r="J794" s="231" t="s">
        <v>5614</v>
      </c>
      <c r="K794" s="231" t="s">
        <v>784</v>
      </c>
      <c r="L794" s="220" t="str">
        <f t="shared" si="197"/>
        <v>IY29</v>
      </c>
      <c r="M794" s="220" t="str">
        <f t="shared" si="198"/>
        <v/>
      </c>
      <c r="N794" s="220" t="str">
        <f t="shared" si="199"/>
        <v/>
      </c>
      <c r="O794" s="220" t="str">
        <f t="shared" si="200"/>
        <v/>
      </c>
      <c r="P794" s="52" t="str">
        <f t="shared" si="201"/>
        <v>IY29</v>
      </c>
      <c r="Q794" s="231" t="str">
        <f t="shared" si="207"/>
        <v>192</v>
      </c>
      <c r="R794" s="224">
        <f t="shared" si="193"/>
        <v>188.66666666666666</v>
      </c>
      <c r="S794" s="52">
        <f t="shared" si="202"/>
        <v>185</v>
      </c>
      <c r="T794" s="221">
        <f t="shared" ca="1" si="203"/>
        <v>3.79</v>
      </c>
      <c r="U794" s="221" t="str">
        <f t="shared" si="204"/>
        <v/>
      </c>
      <c r="V794" s="220" t="str">
        <f t="array" ref="V794">INDEX(P:P,MAX(U$3:U794))</f>
        <v>IY#1MTR</v>
      </c>
      <c r="W794" s="220" t="str">
        <f t="shared" ca="1" si="205"/>
        <v/>
      </c>
      <c r="X794" s="220">
        <f t="shared" si="206"/>
        <v>11.4</v>
      </c>
      <c r="Y794" s="220">
        <f t="shared" si="195"/>
        <v>0</v>
      </c>
      <c r="AA794" s="220" t="str">
        <f t="shared" si="196"/>
        <v>芳苑</v>
      </c>
      <c r="AB794" s="220" t="s">
        <v>1907</v>
      </c>
      <c r="AC794" s="220" t="str">
        <f t="shared" si="194"/>
        <v>芳六線</v>
      </c>
      <c r="BG794" s="229" t="s">
        <v>8933</v>
      </c>
      <c r="BH794" s="230" t="s">
        <v>8937</v>
      </c>
      <c r="BI794" t="s">
        <v>1907</v>
      </c>
      <c r="BJ794" t="s">
        <v>2610</v>
      </c>
    </row>
    <row r="795" spans="1:62">
      <c r="A795" s="229" t="s">
        <v>77</v>
      </c>
      <c r="B795" s="230" t="s">
        <v>427</v>
      </c>
      <c r="C795" s="230" t="s">
        <v>3187</v>
      </c>
      <c r="D795" s="229" t="s">
        <v>846</v>
      </c>
      <c r="E795" s="229" t="s">
        <v>3187</v>
      </c>
      <c r="F795" s="229" t="s">
        <v>846</v>
      </c>
      <c r="G795" s="229" t="s">
        <v>1053</v>
      </c>
      <c r="H795" s="229" t="s">
        <v>846</v>
      </c>
      <c r="I795" s="229" t="s">
        <v>1053</v>
      </c>
      <c r="J795" s="231" t="s">
        <v>358</v>
      </c>
      <c r="K795" s="231" t="s">
        <v>5585</v>
      </c>
      <c r="L795" s="220" t="str">
        <f t="shared" si="197"/>
        <v>IY#2MTR</v>
      </c>
      <c r="M795" s="220" t="str">
        <f t="shared" si="198"/>
        <v/>
      </c>
      <c r="N795" s="220" t="str">
        <f t="shared" si="199"/>
        <v>IY#2MTR</v>
      </c>
      <c r="O795" s="220" t="str">
        <f t="shared" si="200"/>
        <v/>
      </c>
      <c r="P795" s="52" t="str">
        <f t="shared" si="201"/>
        <v>IY#2MTR</v>
      </c>
      <c r="Q795" s="231" t="str">
        <f t="shared" si="207"/>
        <v>332</v>
      </c>
      <c r="R795" s="224">
        <f t="shared" si="193"/>
        <v>295.33333333333331</v>
      </c>
      <c r="S795" s="52">
        <f t="shared" si="202"/>
        <v>277</v>
      </c>
      <c r="T795" s="221">
        <f t="shared" ca="1" si="203"/>
        <v>6.56</v>
      </c>
      <c r="U795" s="221">
        <f t="shared" si="204"/>
        <v>795</v>
      </c>
      <c r="V795" s="220" t="str">
        <f t="array" ref="V795">INDEX(P:P,MAX(U$3:U795))</f>
        <v>IY#2MTR</v>
      </c>
      <c r="W795" s="220">
        <f t="shared" ca="1" si="205"/>
        <v>25</v>
      </c>
      <c r="X795" s="220" t="str">
        <f t="shared" si="206"/>
        <v/>
      </c>
      <c r="Y795" s="220">
        <f t="shared" si="195"/>
        <v>0</v>
      </c>
      <c r="AA795" s="220" t="str">
        <f t="shared" si="196"/>
        <v>芳苑</v>
      </c>
      <c r="AB795" s="220" t="s">
        <v>2611</v>
      </c>
      <c r="AC795" s="220" t="str">
        <f t="shared" si="194"/>
        <v>#2M</v>
      </c>
      <c r="BG795" s="229" t="s">
        <v>8932</v>
      </c>
      <c r="BH795" s="230" t="s">
        <v>8477</v>
      </c>
      <c r="BI795" t="s">
        <v>2611</v>
      </c>
      <c r="BJ795" t="s">
        <v>2611</v>
      </c>
    </row>
    <row r="796" spans="1:62">
      <c r="A796" s="229" t="s">
        <v>77</v>
      </c>
      <c r="B796" s="230" t="s">
        <v>8261</v>
      </c>
      <c r="C796" s="230" t="s">
        <v>918</v>
      </c>
      <c r="D796" s="229" t="s">
        <v>804</v>
      </c>
      <c r="E796" s="229" t="s">
        <v>971</v>
      </c>
      <c r="F796" s="229" t="s">
        <v>804</v>
      </c>
      <c r="G796" s="229" t="s">
        <v>834</v>
      </c>
      <c r="H796" s="229" t="s">
        <v>5641</v>
      </c>
      <c r="I796" s="229" t="s">
        <v>971</v>
      </c>
      <c r="J796" s="231" t="s">
        <v>794</v>
      </c>
      <c r="K796" s="231" t="s">
        <v>6514</v>
      </c>
      <c r="L796" s="220" t="str">
        <f t="shared" si="197"/>
        <v>IY33</v>
      </c>
      <c r="M796" s="220" t="str">
        <f t="shared" si="198"/>
        <v/>
      </c>
      <c r="N796" s="220" t="str">
        <f t="shared" si="199"/>
        <v/>
      </c>
      <c r="O796" s="220" t="str">
        <f t="shared" si="200"/>
        <v/>
      </c>
      <c r="P796" s="52" t="str">
        <f t="shared" si="201"/>
        <v>IY33</v>
      </c>
      <c r="Q796" s="231" t="str">
        <f t="shared" si="207"/>
        <v>120</v>
      </c>
      <c r="R796" s="224">
        <f t="shared" si="193"/>
        <v>110.66666666666667</v>
      </c>
      <c r="S796" s="52">
        <f t="shared" si="202"/>
        <v>99</v>
      </c>
      <c r="T796" s="221">
        <f t="shared" ca="1" si="203"/>
        <v>2.37</v>
      </c>
      <c r="U796" s="221" t="str">
        <f t="shared" si="204"/>
        <v/>
      </c>
      <c r="V796" s="220" t="str">
        <f t="array" ref="V796">INDEX(P:P,MAX(U$3:U796))</f>
        <v>IY#2MTR</v>
      </c>
      <c r="W796" s="220" t="str">
        <f t="shared" ca="1" si="205"/>
        <v/>
      </c>
      <c r="X796" s="220">
        <f t="shared" si="206"/>
        <v>11.4</v>
      </c>
      <c r="Y796" s="220">
        <f t="shared" si="195"/>
        <v>0</v>
      </c>
      <c r="AA796" s="220" t="str">
        <f t="shared" si="196"/>
        <v>芳苑</v>
      </c>
      <c r="AB796" s="220" t="s">
        <v>1975</v>
      </c>
      <c r="AC796" s="220" t="str">
        <f t="shared" si="194"/>
        <v>芳路線</v>
      </c>
      <c r="BG796" s="229" t="s">
        <v>8933</v>
      </c>
      <c r="BH796" s="230" t="s">
        <v>8938</v>
      </c>
      <c r="BI796" t="s">
        <v>1975</v>
      </c>
      <c r="BJ796" t="s">
        <v>2611</v>
      </c>
    </row>
    <row r="797" spans="1:62">
      <c r="A797" s="229" t="s">
        <v>8262</v>
      </c>
      <c r="B797" s="230" t="s">
        <v>8263</v>
      </c>
      <c r="C797" s="230" t="s">
        <v>5614</v>
      </c>
      <c r="D797" s="229" t="s">
        <v>5628</v>
      </c>
      <c r="E797" s="229" t="s">
        <v>5614</v>
      </c>
      <c r="F797" s="229" t="s">
        <v>5628</v>
      </c>
      <c r="G797" s="229" t="s">
        <v>5614</v>
      </c>
      <c r="H797" s="229" t="s">
        <v>5628</v>
      </c>
      <c r="I797" s="229" t="s">
        <v>5614</v>
      </c>
      <c r="J797" s="231" t="s">
        <v>5614</v>
      </c>
      <c r="K797" s="231" t="s">
        <v>5628</v>
      </c>
      <c r="L797" s="220" t="str">
        <f t="shared" si="197"/>
        <v>IY34</v>
      </c>
      <c r="M797" s="220" t="str">
        <f t="shared" si="198"/>
        <v/>
      </c>
      <c r="N797" s="220" t="str">
        <f t="shared" si="199"/>
        <v/>
      </c>
      <c r="O797" s="220" t="str">
        <f t="shared" si="200"/>
        <v/>
      </c>
      <c r="P797" s="52" t="str">
        <f t="shared" si="201"/>
        <v>IY34</v>
      </c>
      <c r="Q797" s="231" t="str">
        <f t="shared" si="207"/>
        <v>0</v>
      </c>
      <c r="R797" s="224">
        <f t="shared" si="193"/>
        <v>0</v>
      </c>
      <c r="S797" s="52">
        <f t="shared" si="202"/>
        <v>0</v>
      </c>
      <c r="T797" s="221">
        <f t="shared" ca="1" si="203"/>
        <v>0</v>
      </c>
      <c r="U797" s="221" t="str">
        <f t="shared" si="204"/>
        <v/>
      </c>
      <c r="V797" s="220" t="str">
        <f t="array" ref="V797">INDEX(P:P,MAX(U$3:U797))</f>
        <v>IY#2MTR</v>
      </c>
      <c r="W797" s="220" t="str">
        <f t="shared" ca="1" si="205"/>
        <v/>
      </c>
      <c r="X797" s="220">
        <f t="shared" si="206"/>
        <v>11.4</v>
      </c>
      <c r="Y797" s="220">
        <f t="shared" si="195"/>
        <v>0</v>
      </c>
      <c r="AA797" s="220" t="str">
        <f t="shared" si="196"/>
        <v>芳苑</v>
      </c>
      <c r="AB797" s="220" t="s">
        <v>1976</v>
      </c>
      <c r="AC797" s="220" t="str">
        <f t="shared" si="194"/>
        <v>芳林線</v>
      </c>
      <c r="BG797" s="229" t="s">
        <v>8932</v>
      </c>
      <c r="BH797" s="230" t="s">
        <v>8939</v>
      </c>
      <c r="BI797" t="s">
        <v>1976</v>
      </c>
      <c r="BJ797" t="s">
        <v>2611</v>
      </c>
    </row>
    <row r="798" spans="1:62">
      <c r="A798" s="229" t="s">
        <v>77</v>
      </c>
      <c r="B798" s="230" t="s">
        <v>742</v>
      </c>
      <c r="C798" s="230" t="s">
        <v>1014</v>
      </c>
      <c r="D798" s="229" t="s">
        <v>839</v>
      </c>
      <c r="E798" s="229" t="s">
        <v>807</v>
      </c>
      <c r="F798" s="229" t="s">
        <v>839</v>
      </c>
      <c r="G798" s="229" t="s">
        <v>866</v>
      </c>
      <c r="H798" s="229" t="s">
        <v>839</v>
      </c>
      <c r="I798" s="229" t="s">
        <v>8264</v>
      </c>
      <c r="J798" s="231" t="s">
        <v>6100</v>
      </c>
      <c r="K798" s="231" t="s">
        <v>835</v>
      </c>
      <c r="L798" s="220" t="str">
        <f t="shared" si="197"/>
        <v>IY35</v>
      </c>
      <c r="M798" s="220" t="str">
        <f t="shared" si="198"/>
        <v/>
      </c>
      <c r="N798" s="220" t="str">
        <f t="shared" si="199"/>
        <v/>
      </c>
      <c r="O798" s="220" t="str">
        <f t="shared" si="200"/>
        <v/>
      </c>
      <c r="P798" s="52" t="str">
        <f t="shared" si="201"/>
        <v>IY35</v>
      </c>
      <c r="Q798" s="231" t="str">
        <f t="shared" si="207"/>
        <v>104</v>
      </c>
      <c r="R798" s="224">
        <f t="shared" si="193"/>
        <v>91.333333333333329</v>
      </c>
      <c r="S798" s="52">
        <f t="shared" si="202"/>
        <v>80</v>
      </c>
      <c r="T798" s="221">
        <f t="shared" ca="1" si="203"/>
        <v>2.0499999999999998</v>
      </c>
      <c r="U798" s="221" t="str">
        <f t="shared" si="204"/>
        <v/>
      </c>
      <c r="V798" s="220" t="str">
        <f t="array" ref="V798">INDEX(P:P,MAX(U$3:U798))</f>
        <v>IY#2MTR</v>
      </c>
      <c r="W798" s="220" t="str">
        <f t="shared" ca="1" si="205"/>
        <v/>
      </c>
      <c r="X798" s="220">
        <f t="shared" si="206"/>
        <v>11.4</v>
      </c>
      <c r="Y798" s="220">
        <f t="shared" si="195"/>
        <v>0</v>
      </c>
      <c r="AA798" s="220" t="str">
        <f t="shared" si="196"/>
        <v>芳苑</v>
      </c>
      <c r="AB798" s="220" t="s">
        <v>1977</v>
      </c>
      <c r="AC798" s="220" t="str">
        <f t="shared" si="194"/>
        <v>芳街線</v>
      </c>
      <c r="BG798" s="229" t="s">
        <v>8933</v>
      </c>
      <c r="BH798" s="230" t="s">
        <v>8940</v>
      </c>
      <c r="BI798" t="s">
        <v>1977</v>
      </c>
      <c r="BJ798" t="s">
        <v>2611</v>
      </c>
    </row>
    <row r="799" spans="1:62">
      <c r="A799" s="229" t="s">
        <v>77</v>
      </c>
      <c r="B799" s="230" t="s">
        <v>743</v>
      </c>
      <c r="C799" s="230" t="s">
        <v>8265</v>
      </c>
      <c r="D799" s="229" t="s">
        <v>846</v>
      </c>
      <c r="E799" s="229" t="s">
        <v>1014</v>
      </c>
      <c r="F799" s="229" t="s">
        <v>850</v>
      </c>
      <c r="G799" s="229" t="s">
        <v>857</v>
      </c>
      <c r="H799" s="229" t="s">
        <v>797</v>
      </c>
      <c r="I799" s="229" t="s">
        <v>939</v>
      </c>
      <c r="J799" s="231" t="s">
        <v>800</v>
      </c>
      <c r="K799" s="231" t="s">
        <v>845</v>
      </c>
      <c r="L799" s="220" t="str">
        <f t="shared" si="197"/>
        <v>IY20</v>
      </c>
      <c r="M799" s="220" t="str">
        <f t="shared" si="198"/>
        <v/>
      </c>
      <c r="N799" s="220" t="str">
        <f t="shared" si="199"/>
        <v/>
      </c>
      <c r="O799" s="220" t="str">
        <f t="shared" si="200"/>
        <v/>
      </c>
      <c r="P799" s="52" t="str">
        <f t="shared" si="201"/>
        <v>IY20</v>
      </c>
      <c r="Q799" s="231" t="str">
        <f t="shared" si="207"/>
        <v>116</v>
      </c>
      <c r="R799" s="224">
        <f t="shared" si="193"/>
        <v>96</v>
      </c>
      <c r="S799" s="52">
        <f t="shared" si="202"/>
        <v>82</v>
      </c>
      <c r="T799" s="221">
        <f t="shared" ca="1" si="203"/>
        <v>2.29</v>
      </c>
      <c r="U799" s="221" t="str">
        <f t="shared" si="204"/>
        <v/>
      </c>
      <c r="V799" s="220" t="str">
        <f t="array" ref="V799">INDEX(P:P,MAX(U$3:U799))</f>
        <v>IY#2MTR</v>
      </c>
      <c r="W799" s="220" t="str">
        <f t="shared" ca="1" si="205"/>
        <v/>
      </c>
      <c r="X799" s="220">
        <f t="shared" si="206"/>
        <v>11.4</v>
      </c>
      <c r="Y799" s="220">
        <f t="shared" si="195"/>
        <v>0</v>
      </c>
      <c r="AA799" s="220" t="str">
        <f t="shared" si="196"/>
        <v>芳苑</v>
      </c>
      <c r="AB799" s="220" t="s">
        <v>1973</v>
      </c>
      <c r="AC799" s="220" t="str">
        <f t="shared" si="194"/>
        <v>新街線</v>
      </c>
      <c r="BG799" s="229" t="s">
        <v>8933</v>
      </c>
      <c r="BH799" s="230" t="s">
        <v>8941</v>
      </c>
      <c r="BI799" t="s">
        <v>1973</v>
      </c>
      <c r="BJ799" t="s">
        <v>2611</v>
      </c>
    </row>
    <row r="800" spans="1:62">
      <c r="A800" s="229" t="s">
        <v>77</v>
      </c>
      <c r="B800" s="230" t="s">
        <v>744</v>
      </c>
      <c r="C800" s="230" t="s">
        <v>1051</v>
      </c>
      <c r="D800" s="229" t="s">
        <v>797</v>
      </c>
      <c r="E800" s="229" t="s">
        <v>988</v>
      </c>
      <c r="F800" s="229" t="s">
        <v>846</v>
      </c>
      <c r="G800" s="229" t="s">
        <v>862</v>
      </c>
      <c r="H800" s="229" t="s">
        <v>846</v>
      </c>
      <c r="I800" s="229" t="s">
        <v>862</v>
      </c>
      <c r="J800" s="231" t="s">
        <v>955</v>
      </c>
      <c r="K800" s="231" t="s">
        <v>7373</v>
      </c>
      <c r="L800" s="220" t="str">
        <f t="shared" si="197"/>
        <v>IY24</v>
      </c>
      <c r="M800" s="220" t="str">
        <f t="shared" si="198"/>
        <v/>
      </c>
      <c r="N800" s="220" t="str">
        <f t="shared" si="199"/>
        <v/>
      </c>
      <c r="O800" s="220" t="str">
        <f t="shared" si="200"/>
        <v/>
      </c>
      <c r="P800" s="52" t="str">
        <f t="shared" si="201"/>
        <v>IY24</v>
      </c>
      <c r="Q800" s="231" t="str">
        <f t="shared" si="207"/>
        <v>199</v>
      </c>
      <c r="R800" s="224">
        <f t="shared" si="193"/>
        <v>176.66666666666666</v>
      </c>
      <c r="S800" s="52">
        <f t="shared" si="202"/>
        <v>164</v>
      </c>
      <c r="T800" s="221">
        <f t="shared" ca="1" si="203"/>
        <v>3.93</v>
      </c>
      <c r="U800" s="221" t="str">
        <f t="shared" si="204"/>
        <v/>
      </c>
      <c r="V800" s="220" t="str">
        <f t="array" ref="V800">INDEX(P:P,MAX(U$3:U800))</f>
        <v>IY#2MTR</v>
      </c>
      <c r="W800" s="220" t="str">
        <f t="shared" ca="1" si="205"/>
        <v/>
      </c>
      <c r="X800" s="220">
        <f t="shared" si="206"/>
        <v>11.4</v>
      </c>
      <c r="Y800" s="220">
        <f t="shared" si="195"/>
        <v>0</v>
      </c>
      <c r="AA800" s="220" t="str">
        <f t="shared" si="196"/>
        <v>芳苑</v>
      </c>
      <c r="AB800" s="220" t="s">
        <v>1974</v>
      </c>
      <c r="AC800" s="220" t="str">
        <f t="shared" si="194"/>
        <v>永興線</v>
      </c>
      <c r="BG800" s="229" t="s">
        <v>8933</v>
      </c>
      <c r="BH800" s="230" t="s">
        <v>8942</v>
      </c>
      <c r="BI800" t="s">
        <v>1974</v>
      </c>
      <c r="BJ800" t="s">
        <v>2611</v>
      </c>
    </row>
    <row r="801" spans="1:62">
      <c r="A801" s="229" t="s">
        <v>8266</v>
      </c>
      <c r="B801" s="230" t="s">
        <v>430</v>
      </c>
      <c r="C801" s="230" t="s">
        <v>4764</v>
      </c>
      <c r="D801" s="229" t="s">
        <v>797</v>
      </c>
      <c r="E801" s="229" t="s">
        <v>3194</v>
      </c>
      <c r="F801" s="229" t="s">
        <v>797</v>
      </c>
      <c r="G801" s="229" t="s">
        <v>4765</v>
      </c>
      <c r="H801" s="229" t="s">
        <v>797</v>
      </c>
      <c r="I801" s="229" t="s">
        <v>4765</v>
      </c>
      <c r="J801" s="231" t="s">
        <v>8267</v>
      </c>
      <c r="K801" s="231" t="s">
        <v>358</v>
      </c>
      <c r="L801" s="220" t="str">
        <f t="shared" si="197"/>
        <v>IY#3MTR</v>
      </c>
      <c r="M801" s="220" t="str">
        <f t="shared" si="198"/>
        <v/>
      </c>
      <c r="N801" s="220" t="str">
        <f t="shared" si="199"/>
        <v>IY#3MTR</v>
      </c>
      <c r="O801" s="220" t="str">
        <f t="shared" si="200"/>
        <v/>
      </c>
      <c r="P801" s="52" t="str">
        <f t="shared" si="201"/>
        <v>IY#3MTR</v>
      </c>
      <c r="Q801" s="231" t="str">
        <f t="shared" si="207"/>
        <v>933</v>
      </c>
      <c r="R801" s="224">
        <f t="shared" ref="R801:R828" si="208">AVERAGE(C801*1,E801*1,G801*1)</f>
        <v>922.66666666666663</v>
      </c>
      <c r="S801" s="52">
        <f t="shared" si="202"/>
        <v>910</v>
      </c>
      <c r="T801" s="221">
        <f t="shared" ca="1" si="203"/>
        <v>18.420000000000002</v>
      </c>
      <c r="U801" s="221">
        <f t="shared" si="204"/>
        <v>801</v>
      </c>
      <c r="V801" s="220" t="str">
        <f t="array" ref="V801">INDEX(P:P,MAX(U$3:U801))</f>
        <v>IY#3MTR</v>
      </c>
      <c r="W801" s="220">
        <f t="shared" ca="1" si="205"/>
        <v>25</v>
      </c>
      <c r="X801" s="220" t="str">
        <f t="shared" si="206"/>
        <v/>
      </c>
      <c r="Y801" s="220">
        <f t="shared" si="195"/>
        <v>0</v>
      </c>
      <c r="AA801" s="220" t="str">
        <f t="shared" si="196"/>
        <v>芳苑</v>
      </c>
      <c r="AB801" s="220" t="s">
        <v>2612</v>
      </c>
      <c r="AC801" s="220" t="str">
        <f t="shared" si="194"/>
        <v>#3M</v>
      </c>
      <c r="BG801" s="229" t="s">
        <v>8933</v>
      </c>
      <c r="BH801" s="230" t="s">
        <v>8538</v>
      </c>
      <c r="BI801" t="s">
        <v>2612</v>
      </c>
      <c r="BJ801" t="s">
        <v>2612</v>
      </c>
    </row>
    <row r="802" spans="1:62">
      <c r="A802" s="229" t="s">
        <v>77</v>
      </c>
      <c r="B802" s="230" t="s">
        <v>745</v>
      </c>
      <c r="C802" s="230" t="s">
        <v>6655</v>
      </c>
      <c r="D802" s="229" t="s">
        <v>8268</v>
      </c>
      <c r="E802" s="229" t="s">
        <v>858</v>
      </c>
      <c r="F802" s="229" t="s">
        <v>5682</v>
      </c>
      <c r="G802" s="229" t="s">
        <v>822</v>
      </c>
      <c r="H802" s="229" t="s">
        <v>5682</v>
      </c>
      <c r="I802" s="229" t="s">
        <v>8269</v>
      </c>
      <c r="J802" s="231" t="s">
        <v>5614</v>
      </c>
      <c r="K802" s="231" t="s">
        <v>784</v>
      </c>
      <c r="L802" s="220" t="str">
        <f t="shared" si="197"/>
        <v>IY27</v>
      </c>
      <c r="M802" s="220" t="str">
        <f t="shared" si="198"/>
        <v/>
      </c>
      <c r="N802" s="220" t="str">
        <f t="shared" si="199"/>
        <v/>
      </c>
      <c r="O802" s="220" t="str">
        <f t="shared" si="200"/>
        <v/>
      </c>
      <c r="P802" s="52" t="str">
        <f t="shared" si="201"/>
        <v>IY27</v>
      </c>
      <c r="Q802" s="231" t="str">
        <f t="shared" si="207"/>
        <v>150</v>
      </c>
      <c r="R802" s="224">
        <f t="shared" si="208"/>
        <v>148.33333333333334</v>
      </c>
      <c r="S802" s="52">
        <f t="shared" si="202"/>
        <v>147</v>
      </c>
      <c r="T802" s="221">
        <f t="shared" ca="1" si="203"/>
        <v>2.96</v>
      </c>
      <c r="U802" s="221" t="str">
        <f t="shared" si="204"/>
        <v/>
      </c>
      <c r="V802" s="220" t="str">
        <f t="array" ref="V802">INDEX(P:P,MAX(U$3:U802))</f>
        <v>IY#3MTR</v>
      </c>
      <c r="W802" s="220" t="str">
        <f t="shared" ca="1" si="205"/>
        <v/>
      </c>
      <c r="X802" s="220">
        <f t="shared" si="206"/>
        <v>11.4</v>
      </c>
      <c r="Y802" s="220">
        <f t="shared" si="195"/>
        <v>0</v>
      </c>
      <c r="AA802" s="220" t="str">
        <f t="shared" si="196"/>
        <v>芳苑</v>
      </c>
      <c r="AB802" s="220" t="s">
        <v>1982</v>
      </c>
      <c r="AC802" s="220" t="str">
        <f t="shared" si="194"/>
        <v>芳鵬線</v>
      </c>
      <c r="BG802" s="229" t="s">
        <v>8932</v>
      </c>
      <c r="BH802" s="230" t="s">
        <v>745</v>
      </c>
      <c r="BI802" t="s">
        <v>1982</v>
      </c>
      <c r="BJ802" t="s">
        <v>2612</v>
      </c>
    </row>
    <row r="803" spans="1:62">
      <c r="A803" s="229" t="s">
        <v>77</v>
      </c>
      <c r="B803" s="230" t="s">
        <v>746</v>
      </c>
      <c r="C803" s="230" t="s">
        <v>953</v>
      </c>
      <c r="D803" s="229" t="s">
        <v>783</v>
      </c>
      <c r="E803" s="229" t="s">
        <v>982</v>
      </c>
      <c r="F803" s="229" t="s">
        <v>783</v>
      </c>
      <c r="G803" s="229" t="s">
        <v>8270</v>
      </c>
      <c r="H803" s="229" t="s">
        <v>783</v>
      </c>
      <c r="I803" s="229" t="s">
        <v>982</v>
      </c>
      <c r="J803" s="231" t="s">
        <v>8271</v>
      </c>
      <c r="K803" s="231" t="s">
        <v>5949</v>
      </c>
      <c r="L803" s="220" t="str">
        <f t="shared" si="197"/>
        <v>IY26</v>
      </c>
      <c r="M803" s="220" t="str">
        <f t="shared" si="198"/>
        <v/>
      </c>
      <c r="N803" s="220" t="str">
        <f t="shared" si="199"/>
        <v/>
      </c>
      <c r="O803" s="220" t="str">
        <f t="shared" si="200"/>
        <v/>
      </c>
      <c r="P803" s="52" t="str">
        <f t="shared" si="201"/>
        <v>IY26</v>
      </c>
      <c r="Q803" s="231" t="str">
        <f t="shared" si="207"/>
        <v>262</v>
      </c>
      <c r="R803" s="224">
        <f t="shared" si="208"/>
        <v>260.66666666666669</v>
      </c>
      <c r="S803" s="52">
        <f t="shared" si="202"/>
        <v>259</v>
      </c>
      <c r="T803" s="221">
        <f t="shared" ca="1" si="203"/>
        <v>5.17</v>
      </c>
      <c r="U803" s="221" t="str">
        <f t="shared" si="204"/>
        <v/>
      </c>
      <c r="V803" s="220" t="str">
        <f t="array" ref="V803">INDEX(P:P,MAX(U$3:U803))</f>
        <v>IY#3MTR</v>
      </c>
      <c r="W803" s="220" t="str">
        <f t="shared" ca="1" si="205"/>
        <v/>
      </c>
      <c r="X803" s="220">
        <f t="shared" si="206"/>
        <v>11.4</v>
      </c>
      <c r="Y803" s="220">
        <f t="shared" si="195"/>
        <v>0</v>
      </c>
      <c r="AA803" s="220" t="str">
        <f t="shared" si="196"/>
        <v>芳苑</v>
      </c>
      <c r="AB803" s="220" t="s">
        <v>1981</v>
      </c>
      <c r="AC803" s="220" t="str">
        <f t="shared" si="194"/>
        <v>芳聚線</v>
      </c>
      <c r="BG803" s="229" t="s">
        <v>8933</v>
      </c>
      <c r="BH803" s="230" t="s">
        <v>8943</v>
      </c>
      <c r="BI803" t="s">
        <v>1981</v>
      </c>
      <c r="BJ803" t="s">
        <v>2612</v>
      </c>
    </row>
    <row r="804" spans="1:62">
      <c r="A804" s="229" t="s">
        <v>77</v>
      </c>
      <c r="B804" s="230" t="s">
        <v>747</v>
      </c>
      <c r="C804" s="230" t="s">
        <v>785</v>
      </c>
      <c r="D804" s="229" t="s">
        <v>5764</v>
      </c>
      <c r="E804" s="229" t="s">
        <v>972</v>
      </c>
      <c r="F804" s="229" t="s">
        <v>845</v>
      </c>
      <c r="G804" s="229" t="s">
        <v>844</v>
      </c>
      <c r="H804" s="229" t="s">
        <v>5682</v>
      </c>
      <c r="I804" s="229" t="s">
        <v>7234</v>
      </c>
      <c r="J804" s="231" t="s">
        <v>349</v>
      </c>
      <c r="K804" s="231" t="s">
        <v>832</v>
      </c>
      <c r="L804" s="220" t="str">
        <f t="shared" si="197"/>
        <v>IY22</v>
      </c>
      <c r="M804" s="220" t="str">
        <f t="shared" si="198"/>
        <v/>
      </c>
      <c r="N804" s="220" t="str">
        <f t="shared" si="199"/>
        <v/>
      </c>
      <c r="O804" s="220" t="str">
        <f t="shared" si="200"/>
        <v/>
      </c>
      <c r="P804" s="52" t="str">
        <f t="shared" si="201"/>
        <v>IY22</v>
      </c>
      <c r="Q804" s="231" t="str">
        <f t="shared" si="207"/>
        <v>55</v>
      </c>
      <c r="R804" s="224">
        <f t="shared" si="208"/>
        <v>52</v>
      </c>
      <c r="S804" s="52">
        <f t="shared" si="202"/>
        <v>50</v>
      </c>
      <c r="T804" s="221">
        <f t="shared" ca="1" si="203"/>
        <v>1.0900000000000001</v>
      </c>
      <c r="U804" s="221" t="str">
        <f t="shared" si="204"/>
        <v/>
      </c>
      <c r="V804" s="220" t="str">
        <f t="array" ref="V804">INDEX(P:P,MAX(U$3:U804))</f>
        <v>IY#3MTR</v>
      </c>
      <c r="W804" s="220" t="str">
        <f t="shared" ca="1" si="205"/>
        <v/>
      </c>
      <c r="X804" s="220">
        <f t="shared" si="206"/>
        <v>11.4</v>
      </c>
      <c r="Y804" s="220">
        <f t="shared" si="195"/>
        <v>0</v>
      </c>
      <c r="AA804" s="220" t="str">
        <f t="shared" si="196"/>
        <v>芳苑</v>
      </c>
      <c r="AB804" s="220" t="s">
        <v>1978</v>
      </c>
      <c r="AC804" s="220" t="str">
        <f t="shared" si="194"/>
        <v>芳南線</v>
      </c>
      <c r="BG804" s="229" t="s">
        <v>77</v>
      </c>
      <c r="BH804" s="230" t="s">
        <v>8944</v>
      </c>
      <c r="BI804" t="s">
        <v>1978</v>
      </c>
      <c r="BJ804" t="s">
        <v>2612</v>
      </c>
    </row>
    <row r="805" spans="1:62">
      <c r="A805" s="229" t="s">
        <v>8272</v>
      </c>
      <c r="B805" s="230" t="s">
        <v>748</v>
      </c>
      <c r="C805" s="230" t="s">
        <v>3200</v>
      </c>
      <c r="D805" s="229" t="s">
        <v>835</v>
      </c>
      <c r="E805" s="229" t="s">
        <v>1048</v>
      </c>
      <c r="F805" s="229" t="s">
        <v>835</v>
      </c>
      <c r="G805" s="229" t="s">
        <v>4745</v>
      </c>
      <c r="H805" s="229" t="s">
        <v>835</v>
      </c>
      <c r="I805" s="229" t="s">
        <v>1048</v>
      </c>
      <c r="J805" s="231" t="s">
        <v>5654</v>
      </c>
      <c r="K805" s="231" t="s">
        <v>783</v>
      </c>
      <c r="L805" s="220" t="str">
        <f t="shared" si="197"/>
        <v>IY23</v>
      </c>
      <c r="M805" s="220" t="str">
        <f t="shared" si="198"/>
        <v/>
      </c>
      <c r="N805" s="220" t="str">
        <f t="shared" si="199"/>
        <v/>
      </c>
      <c r="O805" s="220" t="str">
        <f t="shared" si="200"/>
        <v/>
      </c>
      <c r="P805" s="52" t="str">
        <f t="shared" si="201"/>
        <v>IY23</v>
      </c>
      <c r="Q805" s="231" t="str">
        <f t="shared" si="207"/>
        <v>314</v>
      </c>
      <c r="R805" s="224">
        <f t="shared" si="208"/>
        <v>312</v>
      </c>
      <c r="S805" s="52">
        <f t="shared" si="202"/>
        <v>310</v>
      </c>
      <c r="T805" s="221">
        <f t="shared" ca="1" si="203"/>
        <v>6.2</v>
      </c>
      <c r="U805" s="221" t="str">
        <f t="shared" si="204"/>
        <v/>
      </c>
      <c r="V805" s="220" t="str">
        <f t="array" ref="V805">INDEX(P:P,MAX(U$3:U805))</f>
        <v>IY#3MTR</v>
      </c>
      <c r="W805" s="220" t="str">
        <f t="shared" ca="1" si="205"/>
        <v/>
      </c>
      <c r="X805" s="220">
        <f t="shared" si="206"/>
        <v>11.4</v>
      </c>
      <c r="Y805" s="220">
        <f t="shared" si="195"/>
        <v>0</v>
      </c>
      <c r="AA805" s="220" t="str">
        <f t="shared" si="196"/>
        <v>芳苑</v>
      </c>
      <c r="AB805" s="220" t="s">
        <v>1979</v>
      </c>
      <c r="AC805" s="220" t="str">
        <f t="shared" ref="AC805:AC808" si="209">LEFT(B805,3)</f>
        <v>芳北線</v>
      </c>
      <c r="BG805" s="229" t="s">
        <v>8933</v>
      </c>
      <c r="BH805" s="230" t="s">
        <v>8945</v>
      </c>
      <c r="BI805" t="s">
        <v>1979</v>
      </c>
      <c r="BJ805" t="s">
        <v>2612</v>
      </c>
    </row>
    <row r="806" spans="1:62">
      <c r="A806" s="229" t="s">
        <v>77</v>
      </c>
      <c r="B806" s="230" t="s">
        <v>749</v>
      </c>
      <c r="C806" s="230" t="s">
        <v>1028</v>
      </c>
      <c r="D806" s="229" t="s">
        <v>797</v>
      </c>
      <c r="E806" s="229" t="s">
        <v>8273</v>
      </c>
      <c r="F806" s="229" t="s">
        <v>797</v>
      </c>
      <c r="G806" s="229" t="s">
        <v>921</v>
      </c>
      <c r="H806" s="229" t="s">
        <v>797</v>
      </c>
      <c r="I806" s="229" t="s">
        <v>8274</v>
      </c>
      <c r="J806" s="231" t="s">
        <v>852</v>
      </c>
      <c r="K806" s="231" t="s">
        <v>5733</v>
      </c>
      <c r="L806" s="220" t="str">
        <f t="shared" si="197"/>
        <v>IY25</v>
      </c>
      <c r="M806" s="220" t="str">
        <f t="shared" si="198"/>
        <v/>
      </c>
      <c r="N806" s="220" t="str">
        <f t="shared" si="199"/>
        <v/>
      </c>
      <c r="O806" s="220" t="str">
        <f t="shared" si="200"/>
        <v/>
      </c>
      <c r="P806" s="52" t="str">
        <f t="shared" si="201"/>
        <v>IY25</v>
      </c>
      <c r="Q806" s="231" t="str">
        <f t="shared" si="207"/>
        <v>236</v>
      </c>
      <c r="R806" s="224">
        <f t="shared" si="208"/>
        <v>225</v>
      </c>
      <c r="S806" s="52">
        <f t="shared" si="202"/>
        <v>214</v>
      </c>
      <c r="T806" s="221">
        <f t="shared" ca="1" si="203"/>
        <v>4.66</v>
      </c>
      <c r="U806" s="221" t="str">
        <f t="shared" si="204"/>
        <v/>
      </c>
      <c r="V806" s="220" t="str">
        <f t="array" ref="V806">INDEX(P:P,MAX(U$3:U806))</f>
        <v>IY#3MTR</v>
      </c>
      <c r="W806" s="220" t="str">
        <f t="shared" ca="1" si="205"/>
        <v/>
      </c>
      <c r="X806" s="220">
        <f t="shared" si="206"/>
        <v>11.4</v>
      </c>
      <c r="Y806" s="220">
        <f t="shared" si="195"/>
        <v>0</v>
      </c>
      <c r="AA806" s="220" t="str">
        <f t="shared" si="196"/>
        <v>芳苑</v>
      </c>
      <c r="AB806" s="220" t="s">
        <v>1980</v>
      </c>
      <c r="AC806" s="220" t="str">
        <f t="shared" si="209"/>
        <v>芳麗線</v>
      </c>
      <c r="BG806" s="229" t="s">
        <v>77</v>
      </c>
      <c r="BH806" s="230" t="s">
        <v>8946</v>
      </c>
      <c r="BI806" t="s">
        <v>1980</v>
      </c>
      <c r="BJ806" t="s">
        <v>2612</v>
      </c>
    </row>
    <row r="807" spans="1:62">
      <c r="A807" s="229" t="s">
        <v>77</v>
      </c>
      <c r="B807" s="230" t="s">
        <v>8275</v>
      </c>
      <c r="C807" s="230" t="s">
        <v>5614</v>
      </c>
      <c r="D807" s="229" t="s">
        <v>784</v>
      </c>
      <c r="E807" s="229" t="s">
        <v>5614</v>
      </c>
      <c r="F807" s="229" t="s">
        <v>8276</v>
      </c>
      <c r="G807" s="229" t="s">
        <v>7264</v>
      </c>
      <c r="H807" s="229" t="s">
        <v>784</v>
      </c>
      <c r="I807" s="229" t="s">
        <v>5614</v>
      </c>
      <c r="J807" s="231" t="s">
        <v>5614</v>
      </c>
      <c r="K807" s="231" t="s">
        <v>7269</v>
      </c>
      <c r="L807" s="220" t="str">
        <f t="shared" si="197"/>
        <v>1PVY</v>
      </c>
      <c r="M807" s="220" t="str">
        <f t="shared" si="198"/>
        <v/>
      </c>
      <c r="N807" s="220" t="str">
        <f t="shared" si="199"/>
        <v/>
      </c>
      <c r="O807" s="220" t="str">
        <f t="shared" si="200"/>
        <v/>
      </c>
      <c r="P807" s="52" t="str">
        <f t="shared" si="201"/>
        <v>1PVY</v>
      </c>
      <c r="Q807" s="231" t="str">
        <f t="shared" si="207"/>
        <v>0</v>
      </c>
      <c r="R807" s="224">
        <f t="shared" si="208"/>
        <v>0</v>
      </c>
      <c r="S807" s="52">
        <f t="shared" si="202"/>
        <v>0</v>
      </c>
      <c r="T807" s="221" t="e">
        <f t="shared" ca="1" si="203"/>
        <v>#VALUE!</v>
      </c>
      <c r="U807" s="221" t="str">
        <f t="shared" si="204"/>
        <v/>
      </c>
      <c r="V807" s="220" t="str">
        <f t="array" ref="V807">INDEX(P:P,MAX(U$3:U807))</f>
        <v>IY#3MTR</v>
      </c>
      <c r="W807" s="220" t="str">
        <f t="shared" ca="1" si="205"/>
        <v/>
      </c>
      <c r="X807" s="220" t="e">
        <f t="shared" si="206"/>
        <v>#VALUE!</v>
      </c>
      <c r="Y807" s="220">
        <f t="shared" si="195"/>
        <v>0</v>
      </c>
      <c r="AA807" s="220" t="str">
        <f t="shared" si="196"/>
        <v>芳苑</v>
      </c>
      <c r="AB807" s="220" t="s">
        <v>2613</v>
      </c>
      <c r="AC807" s="220" t="str">
        <f t="shared" si="209"/>
        <v>博斯(</v>
      </c>
      <c r="BG807" s="229" t="s">
        <v>8932</v>
      </c>
      <c r="BH807" s="230" t="s">
        <v>8947</v>
      </c>
      <c r="BI807" t="s">
        <v>2613</v>
      </c>
      <c r="BJ807" t="s">
        <v>2612</v>
      </c>
    </row>
    <row r="808" spans="1:62">
      <c r="A808" s="229" t="s">
        <v>8277</v>
      </c>
      <c r="B808" s="230" t="s">
        <v>399</v>
      </c>
      <c r="C808" s="230" t="s">
        <v>7285</v>
      </c>
      <c r="D808" s="229" t="s">
        <v>6190</v>
      </c>
      <c r="E808" s="229" t="s">
        <v>1019</v>
      </c>
      <c r="F808" s="229" t="s">
        <v>6190</v>
      </c>
      <c r="G808" s="229" t="s">
        <v>8278</v>
      </c>
      <c r="H808" s="229" t="s">
        <v>783</v>
      </c>
      <c r="I808" s="229" t="s">
        <v>3157</v>
      </c>
      <c r="J808" s="231" t="s">
        <v>358</v>
      </c>
      <c r="K808" s="231" t="s">
        <v>358</v>
      </c>
      <c r="L808" s="220" t="str">
        <f t="shared" si="197"/>
        <v>IZ#3DTR(A)</v>
      </c>
      <c r="M808" s="220" t="str">
        <f t="shared" si="198"/>
        <v>(A)</v>
      </c>
      <c r="N808" s="220" t="str">
        <f t="shared" si="199"/>
        <v>IZ#3DTR</v>
      </c>
      <c r="O808" s="220" t="str">
        <f t="shared" si="200"/>
        <v>(A)</v>
      </c>
      <c r="P808" s="52" t="str">
        <f t="shared" si="201"/>
        <v>IZ#3DTR(A)</v>
      </c>
      <c r="Q808" s="231" t="str">
        <f t="shared" si="207"/>
        <v>324</v>
      </c>
      <c r="R808" s="224">
        <f t="shared" si="208"/>
        <v>311.33333333333331</v>
      </c>
      <c r="S808" s="52">
        <f t="shared" si="202"/>
        <v>302</v>
      </c>
      <c r="T808" s="221">
        <f t="shared" ca="1" si="203"/>
        <v>6.4</v>
      </c>
      <c r="U808" s="221">
        <f t="shared" si="204"/>
        <v>808</v>
      </c>
      <c r="V808" s="220" t="str">
        <f t="array" ref="V808">INDEX(P:P,MAX(U$3:U808))</f>
        <v>IZ#3DTR(A)</v>
      </c>
      <c r="W808" s="220">
        <f t="shared" ca="1" si="205"/>
        <v>30</v>
      </c>
      <c r="X808" s="220" t="str">
        <f t="shared" si="206"/>
        <v/>
      </c>
      <c r="Y808" s="220">
        <f t="shared" si="195"/>
        <v>0</v>
      </c>
      <c r="AA808" s="220" t="str">
        <f t="shared" si="196"/>
        <v>全興</v>
      </c>
      <c r="AB808" s="220" t="s">
        <v>2614</v>
      </c>
      <c r="AC808" s="220" t="str">
        <f t="shared" si="209"/>
        <v>#3A</v>
      </c>
      <c r="BG808" s="229" t="s">
        <v>8948</v>
      </c>
      <c r="BH808" s="230" t="s">
        <v>8440</v>
      </c>
      <c r="BI808" t="s">
        <v>2614</v>
      </c>
      <c r="BJ808" t="s">
        <v>2614</v>
      </c>
    </row>
    <row r="809" spans="1:62">
      <c r="A809" s="229" t="s">
        <v>8279</v>
      </c>
      <c r="B809" s="230" t="s">
        <v>8280</v>
      </c>
      <c r="C809" s="230" t="s">
        <v>1024</v>
      </c>
      <c r="D809" s="229" t="s">
        <v>8281</v>
      </c>
      <c r="E809" s="229" t="s">
        <v>945</v>
      </c>
      <c r="F809" s="229" t="s">
        <v>5791</v>
      </c>
      <c r="G809" s="229" t="s">
        <v>7446</v>
      </c>
      <c r="H809" s="229" t="s">
        <v>783</v>
      </c>
      <c r="I809" s="229" t="s">
        <v>945</v>
      </c>
      <c r="J809" s="231" t="s">
        <v>349</v>
      </c>
      <c r="K809" s="231" t="s">
        <v>5791</v>
      </c>
      <c r="L809" s="220" t="str">
        <f t="shared" si="197"/>
        <v>IZ23</v>
      </c>
      <c r="M809" s="220" t="str">
        <f t="shared" si="198"/>
        <v/>
      </c>
      <c r="N809" s="220" t="str">
        <f t="shared" si="199"/>
        <v/>
      </c>
      <c r="O809" s="220" t="str">
        <f t="shared" si="200"/>
        <v/>
      </c>
      <c r="P809" s="52" t="str">
        <f t="shared" si="201"/>
        <v>IZ23</v>
      </c>
      <c r="Q809" s="231" t="str">
        <f t="shared" si="207"/>
        <v>20</v>
      </c>
      <c r="R809" s="224">
        <f t="shared" si="208"/>
        <v>19.333333333333332</v>
      </c>
      <c r="S809" s="52">
        <f t="shared" si="202"/>
        <v>19</v>
      </c>
      <c r="T809" s="221">
        <f t="shared" ca="1" si="203"/>
        <v>0.39</v>
      </c>
      <c r="U809" s="221" t="str">
        <f t="shared" si="204"/>
        <v/>
      </c>
      <c r="V809" s="220" t="str">
        <f t="array" ref="V809">INDEX(P:P,MAX(U$3:U809))</f>
        <v>IZ#3DTR(A)</v>
      </c>
      <c r="W809" s="220" t="str">
        <f t="shared" ca="1" si="205"/>
        <v/>
      </c>
      <c r="X809" s="220">
        <f t="shared" si="206"/>
        <v>11.4</v>
      </c>
      <c r="Y809" s="220">
        <f t="shared" si="195"/>
        <v>0</v>
      </c>
      <c r="AA809" s="220" t="str">
        <f t="shared" si="196"/>
        <v>全興</v>
      </c>
      <c r="AB809" s="220" t="s">
        <v>2615</v>
      </c>
      <c r="AC809" s="220" t="str">
        <f t="shared" ref="AC809:AC828" si="210">LEFT(B809,4)</f>
        <v>IZ23</v>
      </c>
      <c r="BG809" s="229" t="s">
        <v>8277</v>
      </c>
      <c r="BH809" s="230" t="s">
        <v>8949</v>
      </c>
      <c r="BI809" t="s">
        <v>2615</v>
      </c>
      <c r="BJ809" t="s">
        <v>2614</v>
      </c>
    </row>
    <row r="810" spans="1:62">
      <c r="A810" s="229" t="s">
        <v>8282</v>
      </c>
      <c r="B810" s="230" t="s">
        <v>8284</v>
      </c>
      <c r="C810" s="230" t="s">
        <v>853</v>
      </c>
      <c r="D810" s="229" t="s">
        <v>783</v>
      </c>
      <c r="E810" s="229" t="s">
        <v>1025</v>
      </c>
      <c r="F810" s="229" t="s">
        <v>783</v>
      </c>
      <c r="G810" s="229" t="s">
        <v>3162</v>
      </c>
      <c r="H810" s="229" t="s">
        <v>783</v>
      </c>
      <c r="I810" s="229" t="s">
        <v>1025</v>
      </c>
      <c r="J810" s="231" t="s">
        <v>836</v>
      </c>
      <c r="K810" s="231" t="s">
        <v>5682</v>
      </c>
      <c r="L810" s="220" t="str">
        <f t="shared" si="197"/>
        <v>IZ22</v>
      </c>
      <c r="M810" s="220" t="str">
        <f t="shared" si="198"/>
        <v/>
      </c>
      <c r="N810" s="220" t="str">
        <f t="shared" si="199"/>
        <v/>
      </c>
      <c r="O810" s="220" t="str">
        <f t="shared" si="200"/>
        <v/>
      </c>
      <c r="P810" s="52" t="str">
        <f t="shared" si="201"/>
        <v>IZ22</v>
      </c>
      <c r="Q810" s="231" t="str">
        <f t="shared" si="207"/>
        <v>180</v>
      </c>
      <c r="R810" s="224">
        <f t="shared" si="208"/>
        <v>173.66666666666666</v>
      </c>
      <c r="S810" s="52">
        <f t="shared" si="202"/>
        <v>168</v>
      </c>
      <c r="T810" s="221">
        <f t="shared" ca="1" si="203"/>
        <v>3.55</v>
      </c>
      <c r="U810" s="221" t="str">
        <f t="shared" si="204"/>
        <v/>
      </c>
      <c r="V810" s="220" t="str">
        <f t="array" ref="V810">INDEX(P:P,MAX(U$3:U810))</f>
        <v>IZ#3DTR(A)</v>
      </c>
      <c r="W810" s="220" t="str">
        <f t="shared" ca="1" si="205"/>
        <v/>
      </c>
      <c r="X810" s="220">
        <f t="shared" si="206"/>
        <v>11.4</v>
      </c>
      <c r="Y810" s="220">
        <f t="shared" si="195"/>
        <v>0</v>
      </c>
      <c r="AA810" s="220" t="str">
        <f t="shared" si="196"/>
        <v>全興</v>
      </c>
      <c r="AB810" s="220" t="s">
        <v>2616</v>
      </c>
      <c r="AC810" s="220" t="str">
        <f t="shared" si="210"/>
        <v>IZ22</v>
      </c>
      <c r="BG810" s="229" t="s">
        <v>8277</v>
      </c>
      <c r="BH810" s="230" t="s">
        <v>8283</v>
      </c>
      <c r="BI810" t="s">
        <v>2616</v>
      </c>
      <c r="BJ810" t="s">
        <v>2614</v>
      </c>
    </row>
    <row r="811" spans="1:62">
      <c r="A811" s="229" t="s">
        <v>8277</v>
      </c>
      <c r="B811" s="230" t="s">
        <v>8285</v>
      </c>
      <c r="C811" s="230" t="s">
        <v>917</v>
      </c>
      <c r="D811" s="229" t="s">
        <v>5682</v>
      </c>
      <c r="E811" s="229" t="s">
        <v>910</v>
      </c>
      <c r="F811" s="229" t="s">
        <v>5975</v>
      </c>
      <c r="G811" s="229" t="s">
        <v>940</v>
      </c>
      <c r="H811" s="229" t="s">
        <v>6095</v>
      </c>
      <c r="I811" s="229" t="s">
        <v>8286</v>
      </c>
      <c r="J811" s="231" t="s">
        <v>8287</v>
      </c>
      <c r="K811" s="231" t="s">
        <v>6095</v>
      </c>
      <c r="L811" s="220" t="str">
        <f t="shared" si="197"/>
        <v>IZ21</v>
      </c>
      <c r="M811" s="220" t="str">
        <f t="shared" si="198"/>
        <v/>
      </c>
      <c r="N811" s="220" t="str">
        <f t="shared" si="199"/>
        <v/>
      </c>
      <c r="O811" s="220" t="str">
        <f t="shared" si="200"/>
        <v/>
      </c>
      <c r="P811" s="52" t="str">
        <f t="shared" si="201"/>
        <v>IZ21</v>
      </c>
      <c r="Q811" s="231" t="str">
        <f t="shared" si="207"/>
        <v>95</v>
      </c>
      <c r="R811" s="224">
        <f t="shared" si="208"/>
        <v>74</v>
      </c>
      <c r="S811" s="52">
        <f t="shared" si="202"/>
        <v>61</v>
      </c>
      <c r="T811" s="221">
        <f t="shared" ca="1" si="203"/>
        <v>1.88</v>
      </c>
      <c r="U811" s="221" t="str">
        <f t="shared" si="204"/>
        <v/>
      </c>
      <c r="V811" s="220" t="str">
        <f t="array" ref="V811">INDEX(P:P,MAX(U$3:U811))</f>
        <v>IZ#3DTR(A)</v>
      </c>
      <c r="W811" s="220" t="str">
        <f t="shared" ca="1" si="205"/>
        <v/>
      </c>
      <c r="X811" s="220">
        <f t="shared" si="206"/>
        <v>11.4</v>
      </c>
      <c r="Y811" s="220">
        <f t="shared" si="195"/>
        <v>0</v>
      </c>
      <c r="AA811" s="220" t="str">
        <f t="shared" si="196"/>
        <v>全興</v>
      </c>
      <c r="AB811" s="220" t="s">
        <v>2617</v>
      </c>
      <c r="AC811" s="220" t="str">
        <f t="shared" si="210"/>
        <v>IZ21</v>
      </c>
      <c r="BG811" s="229" t="s">
        <v>8950</v>
      </c>
      <c r="BH811" s="230" t="s">
        <v>8951</v>
      </c>
      <c r="BI811" t="s">
        <v>2617</v>
      </c>
      <c r="BJ811" t="s">
        <v>2614</v>
      </c>
    </row>
    <row r="812" spans="1:62">
      <c r="A812" s="229" t="s">
        <v>8279</v>
      </c>
      <c r="B812" s="230" t="s">
        <v>401</v>
      </c>
      <c r="C812" s="230" t="s">
        <v>8288</v>
      </c>
      <c r="D812" s="229" t="s">
        <v>804</v>
      </c>
      <c r="E812" s="229" t="s">
        <v>4766</v>
      </c>
      <c r="F812" s="229" t="s">
        <v>5580</v>
      </c>
      <c r="G812" s="229" t="s">
        <v>8289</v>
      </c>
      <c r="H812" s="229" t="s">
        <v>5580</v>
      </c>
      <c r="I812" s="229" t="s">
        <v>8288</v>
      </c>
      <c r="J812" s="231" t="s">
        <v>358</v>
      </c>
      <c r="K812" s="231" t="s">
        <v>358</v>
      </c>
      <c r="L812" s="220" t="str">
        <f t="shared" si="197"/>
        <v>IZ#3DTR(B)</v>
      </c>
      <c r="M812" s="220" t="str">
        <f t="shared" si="198"/>
        <v>(B)</v>
      </c>
      <c r="N812" s="220" t="str">
        <f t="shared" si="199"/>
        <v>IZ#3DTR</v>
      </c>
      <c r="O812" s="220" t="str">
        <f t="shared" si="200"/>
        <v>(B)</v>
      </c>
      <c r="P812" s="52" t="str">
        <f t="shared" si="201"/>
        <v>IZ#3DTR(B)</v>
      </c>
      <c r="Q812" s="231" t="str">
        <f t="shared" si="207"/>
        <v>492</v>
      </c>
      <c r="R812" s="224">
        <f t="shared" si="208"/>
        <v>472.33333333333331</v>
      </c>
      <c r="S812" s="52">
        <f t="shared" si="202"/>
        <v>457</v>
      </c>
      <c r="T812" s="221">
        <f t="shared" ca="1" si="203"/>
        <v>9.7100000000000009</v>
      </c>
      <c r="U812" s="221">
        <f t="shared" si="204"/>
        <v>812</v>
      </c>
      <c r="V812" s="220" t="str">
        <f t="array" ref="V812">INDEX(P:P,MAX(U$3:U812))</f>
        <v>IZ#3DTR(B)</v>
      </c>
      <c r="W812" s="220">
        <f t="shared" ca="1" si="205"/>
        <v>30</v>
      </c>
      <c r="X812" s="220" t="str">
        <f t="shared" si="206"/>
        <v/>
      </c>
      <c r="Y812" s="220">
        <f t="shared" si="195"/>
        <v>0</v>
      </c>
      <c r="AA812" s="220" t="str">
        <f t="shared" si="196"/>
        <v>全興</v>
      </c>
      <c r="AB812" s="220" t="s">
        <v>2618</v>
      </c>
      <c r="AC812" s="220" t="str">
        <f t="shared" si="210"/>
        <v>#3BD</v>
      </c>
      <c r="BG812" s="229" t="s">
        <v>8950</v>
      </c>
      <c r="BH812" s="230" t="s">
        <v>8375</v>
      </c>
      <c r="BI812" t="s">
        <v>2618</v>
      </c>
      <c r="BJ812" t="s">
        <v>2618</v>
      </c>
    </row>
    <row r="813" spans="1:62">
      <c r="A813" s="229" t="s">
        <v>8279</v>
      </c>
      <c r="B813" s="230" t="s">
        <v>8290</v>
      </c>
      <c r="C813" s="230" t="s">
        <v>6606</v>
      </c>
      <c r="D813" s="229" t="s">
        <v>5580</v>
      </c>
      <c r="E813" s="229" t="s">
        <v>893</v>
      </c>
      <c r="F813" s="229" t="s">
        <v>5580</v>
      </c>
      <c r="G813" s="229" t="s">
        <v>8291</v>
      </c>
      <c r="H813" s="229" t="s">
        <v>5580</v>
      </c>
      <c r="I813" s="229" t="s">
        <v>8291</v>
      </c>
      <c r="J813" s="231" t="s">
        <v>8292</v>
      </c>
      <c r="K813" s="231" t="s">
        <v>5933</v>
      </c>
      <c r="L813" s="220" t="str">
        <f t="shared" si="197"/>
        <v>IZ26</v>
      </c>
      <c r="M813" s="220" t="str">
        <f t="shared" si="198"/>
        <v/>
      </c>
      <c r="N813" s="220" t="str">
        <f t="shared" si="199"/>
        <v/>
      </c>
      <c r="O813" s="220" t="str">
        <f t="shared" si="200"/>
        <v/>
      </c>
      <c r="P813" s="52" t="str">
        <f t="shared" si="201"/>
        <v>IZ26</v>
      </c>
      <c r="Q813" s="231" t="str">
        <f t="shared" si="207"/>
        <v>193</v>
      </c>
      <c r="R813" s="224">
        <f t="shared" si="208"/>
        <v>177.33333333333334</v>
      </c>
      <c r="S813" s="52">
        <f t="shared" si="202"/>
        <v>157</v>
      </c>
      <c r="T813" s="221">
        <f t="shared" ca="1" si="203"/>
        <v>3.81</v>
      </c>
      <c r="U813" s="221" t="str">
        <f t="shared" si="204"/>
        <v/>
      </c>
      <c r="V813" s="220" t="str">
        <f t="array" ref="V813">INDEX(P:P,MAX(U$3:U813))</f>
        <v>IZ#3DTR(B)</v>
      </c>
      <c r="W813" s="220" t="str">
        <f t="shared" ca="1" si="205"/>
        <v/>
      </c>
      <c r="X813" s="220">
        <f t="shared" si="206"/>
        <v>11.4</v>
      </c>
      <c r="Y813" s="220">
        <f t="shared" si="195"/>
        <v>0</v>
      </c>
      <c r="AA813" s="220" t="str">
        <f t="shared" si="196"/>
        <v>全興</v>
      </c>
      <c r="AB813" s="220" t="s">
        <v>1985</v>
      </c>
      <c r="AC813" s="220" t="str">
        <f t="shared" si="210"/>
        <v>IZ26</v>
      </c>
      <c r="BG813" s="229" t="s">
        <v>8950</v>
      </c>
      <c r="BH813" s="230" t="s">
        <v>8952</v>
      </c>
      <c r="BI813" t="s">
        <v>1985</v>
      </c>
      <c r="BJ813" t="s">
        <v>2618</v>
      </c>
    </row>
    <row r="814" spans="1:62">
      <c r="A814" s="229" t="s">
        <v>8279</v>
      </c>
      <c r="B814" s="230" t="s">
        <v>8293</v>
      </c>
      <c r="C814" s="230" t="s">
        <v>877</v>
      </c>
      <c r="D814" s="229" t="s">
        <v>5764</v>
      </c>
      <c r="E814" s="229" t="s">
        <v>8294</v>
      </c>
      <c r="F814" s="229" t="s">
        <v>846</v>
      </c>
      <c r="G814" s="229" t="s">
        <v>990</v>
      </c>
      <c r="H814" s="229" t="s">
        <v>5791</v>
      </c>
      <c r="I814" s="229" t="s">
        <v>877</v>
      </c>
      <c r="J814" s="231" t="s">
        <v>841</v>
      </c>
      <c r="K814" s="231" t="s">
        <v>5949</v>
      </c>
      <c r="L814" s="220" t="str">
        <f t="shared" si="197"/>
        <v>IZ25</v>
      </c>
      <c r="M814" s="220" t="str">
        <f t="shared" si="198"/>
        <v/>
      </c>
      <c r="N814" s="220" t="str">
        <f t="shared" si="199"/>
        <v/>
      </c>
      <c r="O814" s="220" t="str">
        <f t="shared" si="200"/>
        <v/>
      </c>
      <c r="P814" s="52" t="str">
        <f t="shared" si="201"/>
        <v>IZ25</v>
      </c>
      <c r="Q814" s="231" t="str">
        <f t="shared" si="207"/>
        <v>98</v>
      </c>
      <c r="R814" s="224">
        <f t="shared" si="208"/>
        <v>82.333333333333329</v>
      </c>
      <c r="S814" s="52">
        <f t="shared" si="202"/>
        <v>72</v>
      </c>
      <c r="T814" s="221">
        <f t="shared" ca="1" si="203"/>
        <v>1.94</v>
      </c>
      <c r="U814" s="221" t="str">
        <f t="shared" si="204"/>
        <v/>
      </c>
      <c r="V814" s="220" t="str">
        <f t="array" ref="V814">INDEX(P:P,MAX(U$3:U814))</f>
        <v>IZ#3DTR(B)</v>
      </c>
      <c r="W814" s="220" t="str">
        <f t="shared" ca="1" si="205"/>
        <v/>
      </c>
      <c r="X814" s="220">
        <f t="shared" si="206"/>
        <v>11.4</v>
      </c>
      <c r="Y814" s="220">
        <f t="shared" si="195"/>
        <v>0</v>
      </c>
      <c r="AA814" s="220" t="str">
        <f t="shared" si="196"/>
        <v>全興</v>
      </c>
      <c r="AB814" s="220" t="s">
        <v>2619</v>
      </c>
      <c r="AC814" s="220" t="str">
        <f t="shared" si="210"/>
        <v>IZ25</v>
      </c>
      <c r="BG814" s="229" t="s">
        <v>8948</v>
      </c>
      <c r="BH814" s="230" t="s">
        <v>8953</v>
      </c>
      <c r="BI814" t="s">
        <v>2619</v>
      </c>
      <c r="BJ814" t="s">
        <v>2618</v>
      </c>
    </row>
    <row r="815" spans="1:62">
      <c r="A815" s="229" t="s">
        <v>8277</v>
      </c>
      <c r="B815" s="230" t="s">
        <v>750</v>
      </c>
      <c r="C815" s="230" t="s">
        <v>801</v>
      </c>
      <c r="D815" s="229" t="s">
        <v>804</v>
      </c>
      <c r="E815" s="229" t="s">
        <v>5892</v>
      </c>
      <c r="F815" s="229" t="s">
        <v>804</v>
      </c>
      <c r="G815" s="229" t="s">
        <v>838</v>
      </c>
      <c r="H815" s="229" t="s">
        <v>804</v>
      </c>
      <c r="I815" s="229" t="s">
        <v>8295</v>
      </c>
      <c r="J815" s="231" t="s">
        <v>6035</v>
      </c>
      <c r="K815" s="231" t="s">
        <v>859</v>
      </c>
      <c r="L815" s="220" t="str">
        <f t="shared" si="197"/>
        <v>IZ24</v>
      </c>
      <c r="M815" s="220" t="str">
        <f t="shared" si="198"/>
        <v/>
      </c>
      <c r="N815" s="220" t="str">
        <f t="shared" si="199"/>
        <v/>
      </c>
      <c r="O815" s="220" t="str">
        <f t="shared" si="200"/>
        <v/>
      </c>
      <c r="P815" s="52" t="str">
        <f t="shared" si="201"/>
        <v>IZ24</v>
      </c>
      <c r="Q815" s="231" t="str">
        <f t="shared" si="207"/>
        <v>142</v>
      </c>
      <c r="R815" s="224">
        <f t="shared" si="208"/>
        <v>136.33333333333334</v>
      </c>
      <c r="S815" s="52">
        <f t="shared" si="202"/>
        <v>126</v>
      </c>
      <c r="T815" s="221">
        <f t="shared" ca="1" si="203"/>
        <v>2.8</v>
      </c>
      <c r="U815" s="221" t="str">
        <f t="shared" si="204"/>
        <v/>
      </c>
      <c r="V815" s="220" t="str">
        <f t="array" ref="V815">INDEX(P:P,MAX(U$3:U815))</f>
        <v>IZ#3DTR(B)</v>
      </c>
      <c r="W815" s="220" t="str">
        <f t="shared" ca="1" si="205"/>
        <v/>
      </c>
      <c r="X815" s="220">
        <f t="shared" si="206"/>
        <v>11.4</v>
      </c>
      <c r="Y815" s="220">
        <f t="shared" si="195"/>
        <v>0</v>
      </c>
      <c r="AA815" s="220" t="str">
        <f t="shared" si="196"/>
        <v>全興</v>
      </c>
      <c r="AB815" s="220" t="s">
        <v>1983</v>
      </c>
      <c r="AC815" s="220" t="str">
        <f t="shared" si="210"/>
        <v>IZ24</v>
      </c>
      <c r="BG815" s="229" t="s">
        <v>8950</v>
      </c>
      <c r="BH815" s="230" t="s">
        <v>8954</v>
      </c>
      <c r="BI815" t="s">
        <v>1983</v>
      </c>
      <c r="BJ815" t="s">
        <v>2618</v>
      </c>
    </row>
    <row r="816" spans="1:62">
      <c r="A816" s="229" t="s">
        <v>8277</v>
      </c>
      <c r="B816" s="230" t="s">
        <v>382</v>
      </c>
      <c r="C816" s="230" t="s">
        <v>3176</v>
      </c>
      <c r="D816" s="229" t="s">
        <v>832</v>
      </c>
      <c r="E816" s="229" t="s">
        <v>3155</v>
      </c>
      <c r="F816" s="229" t="s">
        <v>832</v>
      </c>
      <c r="G816" s="229" t="s">
        <v>3189</v>
      </c>
      <c r="H816" s="229" t="s">
        <v>832</v>
      </c>
      <c r="I816" s="229" t="s">
        <v>3176</v>
      </c>
      <c r="J816" s="231" t="s">
        <v>358</v>
      </c>
      <c r="K816" s="231" t="s">
        <v>358</v>
      </c>
      <c r="L816" s="220" t="str">
        <f t="shared" si="197"/>
        <v>IZ#1DTR</v>
      </c>
      <c r="M816" s="220" t="str">
        <f t="shared" si="198"/>
        <v/>
      </c>
      <c r="N816" s="220" t="str">
        <f t="shared" si="199"/>
        <v>IZ#1DTR</v>
      </c>
      <c r="O816" s="220" t="str">
        <f t="shared" si="200"/>
        <v/>
      </c>
      <c r="P816" s="52" t="str">
        <f t="shared" si="201"/>
        <v>IZ#1DTR</v>
      </c>
      <c r="Q816" s="231" t="str">
        <f t="shared" si="207"/>
        <v>445</v>
      </c>
      <c r="R816" s="224">
        <f t="shared" si="208"/>
        <v>440.66666666666669</v>
      </c>
      <c r="S816" s="52">
        <f t="shared" si="202"/>
        <v>437</v>
      </c>
      <c r="T816" s="221">
        <f t="shared" ca="1" si="203"/>
        <v>17.57</v>
      </c>
      <c r="U816" s="221">
        <f t="shared" si="204"/>
        <v>816</v>
      </c>
      <c r="V816" s="220" t="str">
        <f t="array" ref="V816">INDEX(P:P,MAX(U$3:U816))</f>
        <v>IZ#1DTR</v>
      </c>
      <c r="W816" s="220">
        <f t="shared" ca="1" si="205"/>
        <v>60</v>
      </c>
      <c r="X816" s="220" t="str">
        <f t="shared" si="206"/>
        <v/>
      </c>
      <c r="Y816" s="220">
        <f t="shared" si="195"/>
        <v>0</v>
      </c>
      <c r="AA816" s="220" t="str">
        <f t="shared" si="196"/>
        <v>全興</v>
      </c>
      <c r="AB816" s="220" t="s">
        <v>2620</v>
      </c>
      <c r="AC816" s="220" t="str">
        <f t="shared" si="210"/>
        <v>#1DT</v>
      </c>
      <c r="BG816" s="229" t="s">
        <v>8948</v>
      </c>
      <c r="BH816" s="230" t="s">
        <v>8955</v>
      </c>
      <c r="BI816" t="s">
        <v>2620</v>
      </c>
      <c r="BJ816" t="s">
        <v>2620</v>
      </c>
    </row>
    <row r="817" spans="1:62">
      <c r="A817" s="229" t="s">
        <v>8277</v>
      </c>
      <c r="B817" s="230" t="s">
        <v>8296</v>
      </c>
      <c r="C817" s="230" t="s">
        <v>974</v>
      </c>
      <c r="D817" s="229" t="s">
        <v>789</v>
      </c>
      <c r="E817" s="229" t="s">
        <v>8084</v>
      </c>
      <c r="F817" s="229" t="s">
        <v>789</v>
      </c>
      <c r="G817" s="229" t="s">
        <v>974</v>
      </c>
      <c r="H817" s="229" t="s">
        <v>789</v>
      </c>
      <c r="I817" s="229" t="s">
        <v>974</v>
      </c>
      <c r="J817" s="231" t="s">
        <v>7087</v>
      </c>
      <c r="K817" s="231" t="s">
        <v>784</v>
      </c>
      <c r="L817" s="220" t="str">
        <f t="shared" si="197"/>
        <v>IZ51</v>
      </c>
      <c r="M817" s="220" t="str">
        <f t="shared" si="198"/>
        <v/>
      </c>
      <c r="N817" s="220" t="str">
        <f t="shared" si="199"/>
        <v/>
      </c>
      <c r="O817" s="220" t="str">
        <f t="shared" si="200"/>
        <v/>
      </c>
      <c r="P817" s="52" t="str">
        <f t="shared" si="201"/>
        <v>IZ51</v>
      </c>
      <c r="Q817" s="231" t="str">
        <f t="shared" si="207"/>
        <v>213</v>
      </c>
      <c r="R817" s="224">
        <f t="shared" si="208"/>
        <v>211.66666666666666</v>
      </c>
      <c r="S817" s="52">
        <f t="shared" si="202"/>
        <v>209</v>
      </c>
      <c r="T817" s="221">
        <f t="shared" ca="1" si="203"/>
        <v>8.41</v>
      </c>
      <c r="U817" s="221" t="str">
        <f t="shared" si="204"/>
        <v/>
      </c>
      <c r="V817" s="220" t="str">
        <f t="array" ref="V817">INDEX(P:P,MAX(U$3:U817))</f>
        <v>IZ#1DTR</v>
      </c>
      <c r="W817" s="220" t="str">
        <f t="shared" ca="1" si="205"/>
        <v/>
      </c>
      <c r="X817" s="220">
        <f t="shared" si="206"/>
        <v>22.8</v>
      </c>
      <c r="Y817" s="220">
        <f t="shared" si="195"/>
        <v>0</v>
      </c>
      <c r="AA817" s="220" t="str">
        <f t="shared" si="196"/>
        <v>全興</v>
      </c>
      <c r="AB817" s="220" t="s">
        <v>1910</v>
      </c>
      <c r="AC817" s="220" t="str">
        <f t="shared" si="210"/>
        <v>IZ51</v>
      </c>
      <c r="BG817" s="229" t="s">
        <v>8950</v>
      </c>
      <c r="BH817" s="230" t="s">
        <v>8956</v>
      </c>
      <c r="BI817" t="s">
        <v>1910</v>
      </c>
      <c r="BJ817" t="s">
        <v>2620</v>
      </c>
    </row>
    <row r="818" spans="1:62">
      <c r="A818" s="229" t="s">
        <v>8277</v>
      </c>
      <c r="B818" s="230" t="s">
        <v>8297</v>
      </c>
      <c r="C818" s="230" t="s">
        <v>6100</v>
      </c>
      <c r="D818" s="229" t="s">
        <v>7149</v>
      </c>
      <c r="E818" s="229" t="s">
        <v>8298</v>
      </c>
      <c r="F818" s="229" t="s">
        <v>832</v>
      </c>
      <c r="G818" s="229" t="s">
        <v>793</v>
      </c>
      <c r="H818" s="229" t="s">
        <v>5580</v>
      </c>
      <c r="I818" s="229" t="s">
        <v>6100</v>
      </c>
      <c r="J818" s="231" t="s">
        <v>5654</v>
      </c>
      <c r="K818" s="231" t="s">
        <v>5733</v>
      </c>
      <c r="L818" s="220" t="str">
        <f t="shared" si="197"/>
        <v>IZ52</v>
      </c>
      <c r="M818" s="220" t="str">
        <f t="shared" si="198"/>
        <v/>
      </c>
      <c r="N818" s="220" t="str">
        <f t="shared" si="199"/>
        <v/>
      </c>
      <c r="O818" s="220" t="str">
        <f t="shared" si="200"/>
        <v/>
      </c>
      <c r="P818" s="52" t="str">
        <f t="shared" si="201"/>
        <v>IZ52</v>
      </c>
      <c r="Q818" s="231" t="str">
        <f t="shared" si="207"/>
        <v>39</v>
      </c>
      <c r="R818" s="224">
        <f t="shared" si="208"/>
        <v>38.333333333333336</v>
      </c>
      <c r="S818" s="52">
        <f t="shared" si="202"/>
        <v>37</v>
      </c>
      <c r="T818" s="221">
        <f t="shared" ca="1" si="203"/>
        <v>1.54</v>
      </c>
      <c r="U818" s="221" t="str">
        <f t="shared" si="204"/>
        <v/>
      </c>
      <c r="V818" s="220" t="str">
        <f t="array" ref="V818">INDEX(P:P,MAX(U$3:U818))</f>
        <v>IZ#1DTR</v>
      </c>
      <c r="W818" s="220" t="str">
        <f t="shared" ca="1" si="205"/>
        <v/>
      </c>
      <c r="X818" s="220">
        <f t="shared" si="206"/>
        <v>22.8</v>
      </c>
      <c r="Y818" s="220">
        <f t="shared" si="195"/>
        <v>0</v>
      </c>
      <c r="AA818" s="220" t="str">
        <f t="shared" si="196"/>
        <v>全興</v>
      </c>
      <c r="AB818" s="220" t="s">
        <v>2621</v>
      </c>
      <c r="AC818" s="220" t="str">
        <f t="shared" si="210"/>
        <v>IZ52</v>
      </c>
      <c r="BG818" s="229" t="s">
        <v>8277</v>
      </c>
      <c r="BH818" s="230" t="s">
        <v>8297</v>
      </c>
      <c r="BI818" t="s">
        <v>2621</v>
      </c>
      <c r="BJ818" t="s">
        <v>2620</v>
      </c>
    </row>
    <row r="819" spans="1:62">
      <c r="A819" s="229" t="s">
        <v>8277</v>
      </c>
      <c r="B819" s="230" t="s">
        <v>8299</v>
      </c>
      <c r="C819" s="230" t="s">
        <v>793</v>
      </c>
      <c r="D819" s="229" t="s">
        <v>8300</v>
      </c>
      <c r="E819" s="229" t="s">
        <v>6035</v>
      </c>
      <c r="F819" s="229" t="s">
        <v>5733</v>
      </c>
      <c r="G819" s="229" t="s">
        <v>6100</v>
      </c>
      <c r="H819" s="229" t="s">
        <v>832</v>
      </c>
      <c r="I819" s="229" t="s">
        <v>6100</v>
      </c>
      <c r="J819" s="231" t="s">
        <v>1055</v>
      </c>
      <c r="K819" s="231" t="s">
        <v>5650</v>
      </c>
      <c r="L819" s="220" t="str">
        <f t="shared" si="197"/>
        <v>IZ53</v>
      </c>
      <c r="M819" s="220" t="str">
        <f t="shared" si="198"/>
        <v/>
      </c>
      <c r="N819" s="220" t="str">
        <f t="shared" si="199"/>
        <v/>
      </c>
      <c r="O819" s="220" t="str">
        <f t="shared" si="200"/>
        <v/>
      </c>
      <c r="P819" s="52" t="str">
        <f t="shared" si="201"/>
        <v>IZ53</v>
      </c>
      <c r="Q819" s="231" t="str">
        <f t="shared" si="207"/>
        <v>39</v>
      </c>
      <c r="R819" s="224">
        <f t="shared" si="208"/>
        <v>38</v>
      </c>
      <c r="S819" s="52">
        <f t="shared" si="202"/>
        <v>37</v>
      </c>
      <c r="T819" s="221">
        <f t="shared" ca="1" si="203"/>
        <v>1.54</v>
      </c>
      <c r="U819" s="221" t="str">
        <f t="shared" si="204"/>
        <v/>
      </c>
      <c r="V819" s="220" t="str">
        <f t="array" ref="V819">INDEX(P:P,MAX(U$3:U819))</f>
        <v>IZ#1DTR</v>
      </c>
      <c r="W819" s="220" t="str">
        <f t="shared" ca="1" si="205"/>
        <v/>
      </c>
      <c r="X819" s="220">
        <f t="shared" si="206"/>
        <v>22.8</v>
      </c>
      <c r="Y819" s="220">
        <f t="shared" si="195"/>
        <v>0</v>
      </c>
      <c r="AA819" s="220" t="str">
        <f t="shared" si="196"/>
        <v>全興</v>
      </c>
      <c r="AB819" s="220" t="s">
        <v>2622</v>
      </c>
      <c r="AC819" s="220" t="str">
        <f t="shared" si="210"/>
        <v>IZ53</v>
      </c>
      <c r="BG819" s="229" t="s">
        <v>8948</v>
      </c>
      <c r="BH819" s="230" t="s">
        <v>8957</v>
      </c>
      <c r="BI819" t="s">
        <v>2622</v>
      </c>
      <c r="BJ819" t="s">
        <v>2620</v>
      </c>
    </row>
    <row r="820" spans="1:62">
      <c r="A820" s="229" t="s">
        <v>8277</v>
      </c>
      <c r="B820" s="230" t="s">
        <v>8301</v>
      </c>
      <c r="C820" s="230" t="s">
        <v>1050</v>
      </c>
      <c r="D820" s="229" t="s">
        <v>832</v>
      </c>
      <c r="E820" s="229" t="s">
        <v>7152</v>
      </c>
      <c r="F820" s="229" t="s">
        <v>832</v>
      </c>
      <c r="G820" s="229" t="s">
        <v>6143</v>
      </c>
      <c r="H820" s="229" t="s">
        <v>832</v>
      </c>
      <c r="I820" s="229" t="s">
        <v>1050</v>
      </c>
      <c r="J820" s="231" t="s">
        <v>8302</v>
      </c>
      <c r="K820" s="231" t="s">
        <v>5650</v>
      </c>
      <c r="L820" s="220" t="str">
        <f t="shared" si="197"/>
        <v>IZ54</v>
      </c>
      <c r="M820" s="220" t="str">
        <f t="shared" si="198"/>
        <v/>
      </c>
      <c r="N820" s="220" t="str">
        <f t="shared" si="199"/>
        <v/>
      </c>
      <c r="O820" s="220" t="str">
        <f t="shared" si="200"/>
        <v/>
      </c>
      <c r="P820" s="52" t="str">
        <f t="shared" si="201"/>
        <v>IZ54</v>
      </c>
      <c r="Q820" s="231" t="str">
        <f t="shared" si="207"/>
        <v>181</v>
      </c>
      <c r="R820" s="224">
        <f t="shared" si="208"/>
        <v>174.66666666666666</v>
      </c>
      <c r="S820" s="52">
        <f t="shared" si="202"/>
        <v>164</v>
      </c>
      <c r="T820" s="221">
        <f t="shared" ca="1" si="203"/>
        <v>7.15</v>
      </c>
      <c r="U820" s="221" t="str">
        <f t="shared" si="204"/>
        <v/>
      </c>
      <c r="V820" s="220" t="str">
        <f t="array" ref="V820">INDEX(P:P,MAX(U$3:U820))</f>
        <v>IZ#1DTR</v>
      </c>
      <c r="W820" s="220" t="str">
        <f t="shared" ca="1" si="205"/>
        <v/>
      </c>
      <c r="X820" s="220">
        <f t="shared" si="206"/>
        <v>22.8</v>
      </c>
      <c r="Y820" s="220">
        <f t="shared" si="195"/>
        <v>0</v>
      </c>
      <c r="AA820" s="220" t="str">
        <f t="shared" si="196"/>
        <v>全興</v>
      </c>
      <c r="AB820" s="220" t="s">
        <v>2623</v>
      </c>
      <c r="AC820" s="220" t="str">
        <f t="shared" si="210"/>
        <v>IZ54</v>
      </c>
      <c r="BG820" s="229" t="s">
        <v>8948</v>
      </c>
      <c r="BH820" s="230" t="s">
        <v>8958</v>
      </c>
      <c r="BI820" t="s">
        <v>2623</v>
      </c>
      <c r="BJ820" t="s">
        <v>2620</v>
      </c>
    </row>
    <row r="821" spans="1:62">
      <c r="A821" s="229" t="s">
        <v>8277</v>
      </c>
      <c r="B821" s="230" t="s">
        <v>751</v>
      </c>
      <c r="C821" s="230" t="s">
        <v>887</v>
      </c>
      <c r="D821" s="229" t="s">
        <v>832</v>
      </c>
      <c r="E821" s="229" t="s">
        <v>934</v>
      </c>
      <c r="F821" s="229" t="s">
        <v>7149</v>
      </c>
      <c r="G821" s="229" t="s">
        <v>887</v>
      </c>
      <c r="H821" s="229" t="s">
        <v>832</v>
      </c>
      <c r="I821" s="229" t="s">
        <v>887</v>
      </c>
      <c r="J821" s="231" t="s">
        <v>5644</v>
      </c>
      <c r="K821" s="231" t="s">
        <v>5650</v>
      </c>
      <c r="L821" s="220" t="str">
        <f t="shared" si="197"/>
        <v>IZ55</v>
      </c>
      <c r="M821" s="220" t="str">
        <f t="shared" si="198"/>
        <v/>
      </c>
      <c r="N821" s="220" t="str">
        <f t="shared" si="199"/>
        <v/>
      </c>
      <c r="O821" s="220" t="str">
        <f t="shared" si="200"/>
        <v/>
      </c>
      <c r="P821" s="52" t="str">
        <f t="shared" si="201"/>
        <v>IZ55</v>
      </c>
      <c r="Q821" s="231" t="str">
        <f t="shared" si="207"/>
        <v>78</v>
      </c>
      <c r="R821" s="224">
        <f t="shared" si="208"/>
        <v>77.666666666666671</v>
      </c>
      <c r="S821" s="52">
        <f t="shared" si="202"/>
        <v>77</v>
      </c>
      <c r="T821" s="221">
        <f t="shared" ca="1" si="203"/>
        <v>3.08</v>
      </c>
      <c r="U821" s="221" t="str">
        <f t="shared" si="204"/>
        <v/>
      </c>
      <c r="V821" s="220" t="str">
        <f t="array" ref="V821">INDEX(P:P,MAX(U$3:U821))</f>
        <v>IZ#1DTR</v>
      </c>
      <c r="W821" s="220" t="str">
        <f t="shared" ca="1" si="205"/>
        <v/>
      </c>
      <c r="X821" s="220">
        <f t="shared" si="206"/>
        <v>22.8</v>
      </c>
      <c r="Y821" s="220">
        <f t="shared" si="195"/>
        <v>0</v>
      </c>
      <c r="AA821" s="220" t="str">
        <f t="shared" si="196"/>
        <v>全興</v>
      </c>
      <c r="AB821" s="220" t="s">
        <v>2624</v>
      </c>
      <c r="AC821" s="220" t="str">
        <f t="shared" si="210"/>
        <v>IZ55</v>
      </c>
      <c r="BG821" s="229" t="s">
        <v>8950</v>
      </c>
      <c r="BH821" s="230" t="s">
        <v>8959</v>
      </c>
      <c r="BI821" t="s">
        <v>2624</v>
      </c>
      <c r="BJ821" t="s">
        <v>2620</v>
      </c>
    </row>
    <row r="822" spans="1:62">
      <c r="A822" s="229" t="s">
        <v>8277</v>
      </c>
      <c r="B822" s="230" t="s">
        <v>8303</v>
      </c>
      <c r="C822" s="230" t="s">
        <v>5614</v>
      </c>
      <c r="D822" s="229" t="s">
        <v>784</v>
      </c>
      <c r="E822" s="229" t="s">
        <v>5614</v>
      </c>
      <c r="F822" s="229" t="s">
        <v>784</v>
      </c>
      <c r="G822" s="229" t="s">
        <v>5699</v>
      </c>
      <c r="H822" s="229" t="s">
        <v>784</v>
      </c>
      <c r="I822" s="229" t="s">
        <v>5614</v>
      </c>
      <c r="J822" s="231" t="s">
        <v>5614</v>
      </c>
      <c r="K822" s="231" t="s">
        <v>784</v>
      </c>
      <c r="L822" s="220" t="str">
        <f t="shared" si="197"/>
        <v>IZ56</v>
      </c>
      <c r="M822" s="220" t="str">
        <f t="shared" si="198"/>
        <v/>
      </c>
      <c r="N822" s="220" t="str">
        <f t="shared" si="199"/>
        <v/>
      </c>
      <c r="O822" s="220" t="str">
        <f t="shared" si="200"/>
        <v/>
      </c>
      <c r="P822" s="52" t="str">
        <f t="shared" si="201"/>
        <v>IZ56</v>
      </c>
      <c r="Q822" s="231" t="str">
        <f t="shared" si="207"/>
        <v>0</v>
      </c>
      <c r="R822" s="224">
        <f t="shared" si="208"/>
        <v>0</v>
      </c>
      <c r="S822" s="52">
        <f t="shared" si="202"/>
        <v>0</v>
      </c>
      <c r="T822" s="221">
        <f t="shared" ca="1" si="203"/>
        <v>0</v>
      </c>
      <c r="U822" s="221" t="str">
        <f t="shared" si="204"/>
        <v/>
      </c>
      <c r="V822" s="220" t="str">
        <f t="array" ref="V822">INDEX(P:P,MAX(U$3:U822))</f>
        <v>IZ#1DTR</v>
      </c>
      <c r="W822" s="220" t="str">
        <f t="shared" ca="1" si="205"/>
        <v/>
      </c>
      <c r="X822" s="220">
        <f t="shared" si="206"/>
        <v>22.8</v>
      </c>
      <c r="Y822" s="220">
        <f t="shared" si="195"/>
        <v>0</v>
      </c>
      <c r="AA822" s="220" t="str">
        <f t="shared" si="196"/>
        <v>全興</v>
      </c>
      <c r="AB822" s="220" t="s">
        <v>1912</v>
      </c>
      <c r="AC822" s="220" t="str">
        <f t="shared" si="210"/>
        <v>IZ56</v>
      </c>
      <c r="BG822" s="229" t="s">
        <v>8277</v>
      </c>
      <c r="BH822" s="230" t="s">
        <v>8960</v>
      </c>
      <c r="BI822" t="s">
        <v>1912</v>
      </c>
      <c r="BJ822" t="s">
        <v>2620</v>
      </c>
    </row>
    <row r="823" spans="1:62">
      <c r="A823" s="229" t="s">
        <v>8282</v>
      </c>
      <c r="B823" s="230" t="s">
        <v>8304</v>
      </c>
      <c r="C823" s="230" t="s">
        <v>3183</v>
      </c>
      <c r="D823" s="229" t="s">
        <v>5733</v>
      </c>
      <c r="E823" s="229" t="s">
        <v>8305</v>
      </c>
      <c r="F823" s="229" t="s">
        <v>7286</v>
      </c>
      <c r="G823" s="229" t="s">
        <v>8306</v>
      </c>
      <c r="H823" s="229" t="s">
        <v>7141</v>
      </c>
      <c r="I823" s="229" t="s">
        <v>2955</v>
      </c>
      <c r="J823" s="231" t="s">
        <v>358</v>
      </c>
      <c r="K823" s="231" t="s">
        <v>358</v>
      </c>
      <c r="L823" s="220" t="str">
        <f t="shared" si="197"/>
        <v>IZ#2DTR</v>
      </c>
      <c r="M823" s="220" t="str">
        <f t="shared" si="198"/>
        <v/>
      </c>
      <c r="N823" s="220" t="str">
        <f t="shared" si="199"/>
        <v>IZ#2DTR</v>
      </c>
      <c r="O823" s="220" t="str">
        <f t="shared" si="200"/>
        <v/>
      </c>
      <c r="P823" s="52" t="str">
        <f t="shared" si="201"/>
        <v>IZ#2DTR</v>
      </c>
      <c r="Q823" s="231" t="str">
        <f t="shared" si="207"/>
        <v>477</v>
      </c>
      <c r="R823" s="224">
        <f t="shared" si="208"/>
        <v>472</v>
      </c>
      <c r="S823" s="52">
        <f t="shared" si="202"/>
        <v>467</v>
      </c>
      <c r="T823" s="221">
        <f t="shared" ca="1" si="203"/>
        <v>18.84</v>
      </c>
      <c r="V823" s="220" t="str">
        <f t="array" ref="V823">INDEX(P:P,MAX(U$3:U823))</f>
        <v>IZ#1DTR</v>
      </c>
      <c r="W823" s="220">
        <f t="shared" ca="1" si="205"/>
        <v>60</v>
      </c>
      <c r="X823" s="220" t="str">
        <f t="shared" si="206"/>
        <v/>
      </c>
      <c r="Y823" s="220">
        <f t="shared" si="195"/>
        <v>0</v>
      </c>
      <c r="AA823" s="220" t="str">
        <f t="shared" si="196"/>
        <v>全興</v>
      </c>
      <c r="AB823" s="220" t="s">
        <v>2625</v>
      </c>
      <c r="AC823" s="220" t="str">
        <f t="shared" si="210"/>
        <v>#2DT</v>
      </c>
      <c r="BG823" s="229" t="s">
        <v>8277</v>
      </c>
      <c r="BH823" s="230" t="s">
        <v>8318</v>
      </c>
      <c r="BI823" t="s">
        <v>2625</v>
      </c>
      <c r="BJ823" t="s">
        <v>10211</v>
      </c>
    </row>
    <row r="824" spans="1:62">
      <c r="A824" s="229" t="s">
        <v>8277</v>
      </c>
      <c r="B824" s="230" t="s">
        <v>8308</v>
      </c>
      <c r="C824" s="230" t="s">
        <v>7765</v>
      </c>
      <c r="D824" s="229" t="s">
        <v>7389</v>
      </c>
      <c r="E824" s="229" t="s">
        <v>971</v>
      </c>
      <c r="F824" s="229" t="s">
        <v>6514</v>
      </c>
      <c r="G824" s="229" t="s">
        <v>7589</v>
      </c>
      <c r="H824" s="229" t="s">
        <v>6514</v>
      </c>
      <c r="I824" s="229" t="s">
        <v>7589</v>
      </c>
      <c r="J824" s="231" t="s">
        <v>5614</v>
      </c>
      <c r="K824" s="231" t="s">
        <v>784</v>
      </c>
      <c r="L824" s="220" t="str">
        <f t="shared" si="197"/>
        <v>IZ61</v>
      </c>
      <c r="M824" s="220" t="str">
        <f t="shared" si="198"/>
        <v/>
      </c>
      <c r="N824" s="220" t="str">
        <f t="shared" si="199"/>
        <v/>
      </c>
      <c r="O824" s="220" t="str">
        <f t="shared" si="200"/>
        <v/>
      </c>
      <c r="P824" s="52" t="str">
        <f t="shared" si="201"/>
        <v>IZ61</v>
      </c>
      <c r="Q824" s="231" t="str">
        <f t="shared" si="207"/>
        <v>120</v>
      </c>
      <c r="R824" s="224">
        <f t="shared" si="208"/>
        <v>119.33333333333333</v>
      </c>
      <c r="S824" s="52">
        <f t="shared" si="202"/>
        <v>118</v>
      </c>
      <c r="T824" s="221">
        <f t="shared" ca="1" si="203"/>
        <v>4.74</v>
      </c>
      <c r="V824" s="220" t="str">
        <f t="array" ref="V824">INDEX(P:P,MAX(U$3:U824))</f>
        <v>IZ#1DTR</v>
      </c>
      <c r="W824" s="220" t="str">
        <f t="shared" ca="1" si="205"/>
        <v/>
      </c>
      <c r="X824" s="220">
        <f t="shared" si="206"/>
        <v>22.8</v>
      </c>
      <c r="Y824" s="220">
        <f t="shared" si="195"/>
        <v>0</v>
      </c>
      <c r="AA824" s="220" t="str">
        <f t="shared" si="196"/>
        <v>全興</v>
      </c>
      <c r="AB824" s="220" t="s">
        <v>2626</v>
      </c>
      <c r="AC824" s="220" t="str">
        <f t="shared" si="210"/>
        <v>IZ61</v>
      </c>
      <c r="BG824" s="229" t="s">
        <v>8948</v>
      </c>
      <c r="BH824" s="230" t="s">
        <v>8307</v>
      </c>
      <c r="BI824" t="s">
        <v>2626</v>
      </c>
      <c r="BJ824" t="s">
        <v>10211</v>
      </c>
    </row>
    <row r="825" spans="1:62">
      <c r="A825" s="229" t="s">
        <v>8282</v>
      </c>
      <c r="B825" s="230" t="s">
        <v>8309</v>
      </c>
      <c r="C825" s="230" t="s">
        <v>926</v>
      </c>
      <c r="D825" s="229" t="s">
        <v>5682</v>
      </c>
      <c r="E825" s="229" t="s">
        <v>926</v>
      </c>
      <c r="F825" s="229" t="s">
        <v>5682</v>
      </c>
      <c r="G825" s="229" t="s">
        <v>868</v>
      </c>
      <c r="H825" s="229" t="s">
        <v>5682</v>
      </c>
      <c r="I825" s="229" t="s">
        <v>926</v>
      </c>
      <c r="J825" s="231" t="s">
        <v>5614</v>
      </c>
      <c r="K825" s="231" t="s">
        <v>784</v>
      </c>
      <c r="L825" s="220" t="str">
        <f t="shared" si="197"/>
        <v>IZ62</v>
      </c>
      <c r="M825" s="220" t="str">
        <f t="shared" si="198"/>
        <v/>
      </c>
      <c r="N825" s="220" t="str">
        <f t="shared" si="199"/>
        <v/>
      </c>
      <c r="O825" s="220" t="str">
        <f t="shared" si="200"/>
        <v/>
      </c>
      <c r="P825" s="52" t="str">
        <f t="shared" si="201"/>
        <v>IZ62</v>
      </c>
      <c r="Q825" s="231" t="str">
        <f t="shared" si="207"/>
        <v>74</v>
      </c>
      <c r="R825" s="224">
        <f t="shared" si="208"/>
        <v>64.333333333333329</v>
      </c>
      <c r="S825" s="52">
        <f t="shared" si="202"/>
        <v>45</v>
      </c>
      <c r="T825" s="221">
        <f t="shared" ca="1" si="203"/>
        <v>2.92</v>
      </c>
      <c r="V825" s="220" t="str">
        <f t="array" ref="V825">INDEX(P:P,MAX(U$3:U825))</f>
        <v>IZ#1DTR</v>
      </c>
      <c r="W825" s="220" t="str">
        <f t="shared" ca="1" si="205"/>
        <v/>
      </c>
      <c r="X825" s="220">
        <f t="shared" si="206"/>
        <v>22.8</v>
      </c>
      <c r="Y825" s="220">
        <f t="shared" si="195"/>
        <v>0</v>
      </c>
      <c r="AA825" s="220" t="str">
        <f t="shared" si="196"/>
        <v>全興</v>
      </c>
      <c r="AB825" s="220" t="s">
        <v>2627</v>
      </c>
      <c r="AC825" s="220" t="str">
        <f t="shared" si="210"/>
        <v>IZ62</v>
      </c>
      <c r="BG825" s="229" t="s">
        <v>8277</v>
      </c>
      <c r="BH825" s="230" t="s">
        <v>8961</v>
      </c>
      <c r="BI825" t="s">
        <v>2627</v>
      </c>
      <c r="BJ825" t="s">
        <v>10211</v>
      </c>
    </row>
    <row r="826" spans="1:62">
      <c r="A826" s="229" t="s">
        <v>8277</v>
      </c>
      <c r="B826" s="230" t="s">
        <v>752</v>
      </c>
      <c r="C826" s="230" t="s">
        <v>857</v>
      </c>
      <c r="D826" s="229" t="s">
        <v>832</v>
      </c>
      <c r="E826" s="229" t="s">
        <v>857</v>
      </c>
      <c r="F826" s="229" t="s">
        <v>832</v>
      </c>
      <c r="G826" s="229" t="s">
        <v>6554</v>
      </c>
      <c r="H826" s="229" t="s">
        <v>832</v>
      </c>
      <c r="I826" s="229" t="s">
        <v>6554</v>
      </c>
      <c r="J826" s="231" t="s">
        <v>5614</v>
      </c>
      <c r="K826" s="231" t="s">
        <v>5628</v>
      </c>
      <c r="L826" s="220" t="str">
        <f t="shared" si="197"/>
        <v>IZ63</v>
      </c>
      <c r="M826" s="220" t="str">
        <f t="shared" si="198"/>
        <v/>
      </c>
      <c r="N826" s="220" t="str">
        <f t="shared" si="199"/>
        <v/>
      </c>
      <c r="O826" s="220" t="str">
        <f t="shared" si="200"/>
        <v/>
      </c>
      <c r="P826" s="52" t="str">
        <f t="shared" si="201"/>
        <v>IZ63</v>
      </c>
      <c r="Q826" s="231" t="str">
        <f t="shared" si="207"/>
        <v>83</v>
      </c>
      <c r="R826" s="224">
        <f t="shared" si="208"/>
        <v>82.333333333333329</v>
      </c>
      <c r="S826" s="52">
        <f t="shared" si="202"/>
        <v>82</v>
      </c>
      <c r="T826" s="221">
        <f t="shared" ca="1" si="203"/>
        <v>3.28</v>
      </c>
      <c r="V826" s="220" t="str">
        <f t="array" ref="V826">INDEX(P:P,MAX(U$3:U826))</f>
        <v>IZ#1DTR</v>
      </c>
      <c r="W826" s="220" t="str">
        <f t="shared" ca="1" si="205"/>
        <v/>
      </c>
      <c r="X826" s="220">
        <f t="shared" si="206"/>
        <v>22.8</v>
      </c>
      <c r="Y826" s="220">
        <f t="shared" si="195"/>
        <v>0</v>
      </c>
      <c r="AA826" s="220" t="str">
        <f t="shared" si="196"/>
        <v>全興</v>
      </c>
      <c r="AB826" s="220" t="s">
        <v>2628</v>
      </c>
      <c r="AC826" s="220" t="str">
        <f t="shared" si="210"/>
        <v>IZ63</v>
      </c>
      <c r="BG826" s="229" t="s">
        <v>8948</v>
      </c>
      <c r="BH826" s="230" t="s">
        <v>8962</v>
      </c>
      <c r="BI826" t="s">
        <v>2628</v>
      </c>
      <c r="BJ826" t="s">
        <v>10211</v>
      </c>
    </row>
    <row r="827" spans="1:62">
      <c r="A827" s="229" t="s">
        <v>8279</v>
      </c>
      <c r="B827" s="230" t="s">
        <v>8310</v>
      </c>
      <c r="C827" s="230" t="s">
        <v>5856</v>
      </c>
      <c r="D827" s="229" t="s">
        <v>832</v>
      </c>
      <c r="E827" s="229" t="s">
        <v>1012</v>
      </c>
      <c r="F827" s="229" t="s">
        <v>832</v>
      </c>
      <c r="G827" s="229" t="s">
        <v>5856</v>
      </c>
      <c r="H827" s="229" t="s">
        <v>832</v>
      </c>
      <c r="I827" s="229" t="s">
        <v>5856</v>
      </c>
      <c r="J827" s="231" t="s">
        <v>7297</v>
      </c>
      <c r="K827" s="231" t="s">
        <v>5650</v>
      </c>
      <c r="L827" s="220" t="str">
        <f t="shared" si="197"/>
        <v>IZ64</v>
      </c>
      <c r="M827" s="220" t="str">
        <f t="shared" si="198"/>
        <v/>
      </c>
      <c r="N827" s="220" t="str">
        <f t="shared" si="199"/>
        <v/>
      </c>
      <c r="O827" s="220" t="str">
        <f t="shared" si="200"/>
        <v/>
      </c>
      <c r="P827" s="52" t="str">
        <f t="shared" si="201"/>
        <v>IZ64</v>
      </c>
      <c r="Q827" s="231" t="str">
        <f t="shared" si="207"/>
        <v>26</v>
      </c>
      <c r="R827" s="224">
        <f t="shared" si="208"/>
        <v>25.666666666666668</v>
      </c>
      <c r="S827" s="52">
        <f t="shared" si="202"/>
        <v>25</v>
      </c>
      <c r="T827" s="221">
        <f t="shared" ca="1" si="203"/>
        <v>1.03</v>
      </c>
      <c r="V827" s="220" t="str">
        <f t="array" ref="V827">INDEX(P:P,MAX(U$3:U827))</f>
        <v>IZ#1DTR</v>
      </c>
      <c r="W827" s="220" t="str">
        <f t="shared" ca="1" si="205"/>
        <v/>
      </c>
      <c r="X827" s="220">
        <f t="shared" si="206"/>
        <v>22.8</v>
      </c>
      <c r="Y827" s="220">
        <f t="shared" si="195"/>
        <v>0</v>
      </c>
      <c r="AA827" s="220" t="str">
        <f t="shared" si="196"/>
        <v>全興</v>
      </c>
      <c r="AB827" s="220" t="s">
        <v>1987</v>
      </c>
      <c r="AC827" s="220" t="str">
        <f t="shared" si="210"/>
        <v>IZ64</v>
      </c>
      <c r="BG827" s="229" t="s">
        <v>8950</v>
      </c>
      <c r="BH827" s="230" t="s">
        <v>8963</v>
      </c>
      <c r="BI827" t="s">
        <v>1987</v>
      </c>
      <c r="BJ827" t="s">
        <v>10211</v>
      </c>
    </row>
    <row r="828" spans="1:62">
      <c r="A828" s="229" t="s">
        <v>8277</v>
      </c>
      <c r="B828" s="230" t="s">
        <v>8311</v>
      </c>
      <c r="C828" s="230" t="s">
        <v>5856</v>
      </c>
      <c r="D828" s="229" t="s">
        <v>5764</v>
      </c>
      <c r="E828" s="229" t="s">
        <v>5856</v>
      </c>
      <c r="F828" s="229" t="s">
        <v>797</v>
      </c>
      <c r="G828" s="229" t="s">
        <v>5856</v>
      </c>
      <c r="H828" s="229" t="s">
        <v>797</v>
      </c>
      <c r="I828" s="229" t="s">
        <v>5856</v>
      </c>
      <c r="J828" s="231" t="s">
        <v>5614</v>
      </c>
      <c r="K828" s="231" t="s">
        <v>784</v>
      </c>
      <c r="L828" s="220" t="str">
        <f t="shared" si="197"/>
        <v>IZ65</v>
      </c>
      <c r="M828" s="220" t="str">
        <f t="shared" si="198"/>
        <v/>
      </c>
      <c r="N828" s="220" t="str">
        <f t="shared" si="199"/>
        <v/>
      </c>
      <c r="O828" s="220" t="str">
        <f t="shared" si="200"/>
        <v/>
      </c>
      <c r="P828" s="52" t="str">
        <f t="shared" si="201"/>
        <v>IZ65</v>
      </c>
      <c r="Q828" s="231" t="str">
        <f t="shared" si="207"/>
        <v>26</v>
      </c>
      <c r="R828" s="224">
        <f t="shared" si="208"/>
        <v>26</v>
      </c>
      <c r="S828" s="52">
        <f t="shared" si="202"/>
        <v>26</v>
      </c>
      <c r="T828" s="221">
        <f t="shared" ca="1" si="203"/>
        <v>1.03</v>
      </c>
      <c r="V828" s="220" t="str">
        <f t="array" ref="V828">INDEX(P:P,MAX(U$3:U828))</f>
        <v>IZ#1DTR</v>
      </c>
      <c r="W828" s="220" t="str">
        <f t="shared" ca="1" si="205"/>
        <v/>
      </c>
      <c r="X828" s="220">
        <f t="shared" si="206"/>
        <v>22.8</v>
      </c>
      <c r="Y828" s="220">
        <f t="shared" si="195"/>
        <v>0</v>
      </c>
      <c r="AA828" s="220" t="str">
        <f t="shared" si="196"/>
        <v>全興</v>
      </c>
      <c r="AB828" s="220" t="s">
        <v>2629</v>
      </c>
      <c r="AC828" s="220" t="str">
        <f t="shared" si="210"/>
        <v>IZ65</v>
      </c>
      <c r="BG828" s="229" t="s">
        <v>8950</v>
      </c>
      <c r="BH828" s="230" t="s">
        <v>8964</v>
      </c>
      <c r="BI828" t="s">
        <v>2629</v>
      </c>
      <c r="BJ828" t="s">
        <v>10211</v>
      </c>
    </row>
    <row r="829" spans="1:62">
      <c r="A829" s="229" t="s">
        <v>8279</v>
      </c>
      <c r="B829" s="230" t="s">
        <v>8312</v>
      </c>
      <c r="C829" s="230" t="s">
        <v>985</v>
      </c>
      <c r="D829" s="229" t="s">
        <v>5764</v>
      </c>
      <c r="E829" s="229" t="s">
        <v>6541</v>
      </c>
      <c r="F829" s="229" t="s">
        <v>5764</v>
      </c>
      <c r="G829" s="229" t="s">
        <v>7755</v>
      </c>
      <c r="H829" s="229" t="s">
        <v>5764</v>
      </c>
      <c r="I829" s="229" t="s">
        <v>8313</v>
      </c>
      <c r="J829" s="220">
        <v>0</v>
      </c>
      <c r="K829" s="242">
        <v>0</v>
      </c>
      <c r="AA829" s="220" t="str">
        <f t="shared" si="196"/>
        <v>全興</v>
      </c>
      <c r="AB829" s="220" t="s">
        <v>8314</v>
      </c>
      <c r="AC829" s="220" t="s">
        <v>8314</v>
      </c>
      <c r="BG829" s="229" t="s">
        <v>8277</v>
      </c>
      <c r="BH829" s="230" t="s">
        <v>8965</v>
      </c>
      <c r="BI829" t="s">
        <v>8966</v>
      </c>
      <c r="BJ829" t="s">
        <v>10211</v>
      </c>
    </row>
  </sheetData>
  <mergeCells count="8">
    <mergeCell ref="BB1:BE1"/>
    <mergeCell ref="BG1:BG2"/>
    <mergeCell ref="A1:A2"/>
    <mergeCell ref="C1:D1"/>
    <mergeCell ref="E1:F1"/>
    <mergeCell ref="G1:H1"/>
    <mergeCell ref="I1:I2"/>
    <mergeCell ref="J1:K1"/>
  </mergeCells>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1"/>
  <dimension ref="A1:BF827"/>
  <sheetViews>
    <sheetView workbookViewId="0">
      <selection activeCell="B5" sqref="B5"/>
    </sheetView>
  </sheetViews>
  <sheetFormatPr defaultRowHeight="16.5"/>
  <cols>
    <col min="1" max="1" width="18.375" bestFit="1" customWidth="1"/>
    <col min="2" max="2" width="33.125" style="485" bestFit="1" customWidth="1"/>
    <col min="4" max="4" width="20.25" bestFit="1" customWidth="1"/>
    <col min="5" max="5" width="22.625" customWidth="1"/>
    <col min="6" max="6" width="16.125" bestFit="1" customWidth="1"/>
    <col min="10" max="10" width="11.375" bestFit="1" customWidth="1"/>
    <col min="11" max="11" width="13.5" bestFit="1" customWidth="1"/>
    <col min="12" max="13" width="12.75" bestFit="1" customWidth="1"/>
    <col min="14" max="14" width="14.25" customWidth="1"/>
    <col min="15" max="15" width="11.125" bestFit="1" customWidth="1"/>
    <col min="16" max="16" width="12.5" bestFit="1" customWidth="1"/>
  </cols>
  <sheetData>
    <row r="1" spans="1:58">
      <c r="A1" t="s">
        <v>8967</v>
      </c>
      <c r="B1" s="485" t="s">
        <v>10238</v>
      </c>
      <c r="E1" t="s">
        <v>10165</v>
      </c>
      <c r="J1" t="s">
        <v>87</v>
      </c>
      <c r="K1" t="s">
        <v>9422</v>
      </c>
      <c r="L1" t="s">
        <v>2045</v>
      </c>
      <c r="M1" s="636" t="s">
        <v>2045</v>
      </c>
      <c r="O1" t="s">
        <v>3154</v>
      </c>
      <c r="P1" t="s">
        <v>10092</v>
      </c>
      <c r="Q1" t="s">
        <v>10093</v>
      </c>
      <c r="R1" t="s">
        <v>10094</v>
      </c>
      <c r="S1" t="s">
        <v>10095</v>
      </c>
      <c r="T1" t="s">
        <v>10096</v>
      </c>
      <c r="U1" t="s">
        <v>10097</v>
      </c>
      <c r="V1" t="s">
        <v>10098</v>
      </c>
      <c r="W1" t="s">
        <v>10099</v>
      </c>
      <c r="X1" t="s">
        <v>10100</v>
      </c>
      <c r="Y1" t="s">
        <v>10101</v>
      </c>
      <c r="Z1" t="s">
        <v>10102</v>
      </c>
      <c r="AA1" t="s">
        <v>10103</v>
      </c>
      <c r="AB1" t="s">
        <v>10104</v>
      </c>
      <c r="AC1" t="s">
        <v>10105</v>
      </c>
      <c r="AD1" t="s">
        <v>10106</v>
      </c>
      <c r="AE1" t="s">
        <v>10094</v>
      </c>
      <c r="AF1" t="s">
        <v>10107</v>
      </c>
      <c r="AG1" t="s">
        <v>10108</v>
      </c>
      <c r="AH1" t="s">
        <v>10109</v>
      </c>
      <c r="AI1" t="s">
        <v>10110</v>
      </c>
      <c r="AJ1" t="s">
        <v>10111</v>
      </c>
      <c r="AK1" t="s">
        <v>10112</v>
      </c>
      <c r="AL1" t="s">
        <v>10113</v>
      </c>
      <c r="AM1" t="s">
        <v>10114</v>
      </c>
      <c r="AN1" t="s">
        <v>10115</v>
      </c>
      <c r="AO1" t="s">
        <v>10116</v>
      </c>
      <c r="AP1" t="s">
        <v>10116</v>
      </c>
      <c r="AQ1" t="s">
        <v>10117</v>
      </c>
      <c r="AR1" t="s">
        <v>10118</v>
      </c>
      <c r="AS1" t="s">
        <v>10119</v>
      </c>
      <c r="AT1" t="s">
        <v>10120</v>
      </c>
      <c r="AU1" t="s">
        <v>10121</v>
      </c>
      <c r="AV1" t="s">
        <v>10122</v>
      </c>
      <c r="AW1" t="s">
        <v>10123</v>
      </c>
      <c r="AX1" t="s">
        <v>10124</v>
      </c>
      <c r="AY1" t="s">
        <v>10125</v>
      </c>
      <c r="AZ1" t="s">
        <v>10126</v>
      </c>
      <c r="BA1" t="s">
        <v>10127</v>
      </c>
      <c r="BB1" t="s">
        <v>10128</v>
      </c>
      <c r="BE1" t="s">
        <v>87</v>
      </c>
      <c r="BF1" t="s">
        <v>2045</v>
      </c>
    </row>
    <row r="2" spans="1:58">
      <c r="A2" t="s">
        <v>8968</v>
      </c>
      <c r="B2" s="485" t="s">
        <v>8969</v>
      </c>
      <c r="E2" t="s">
        <v>10147</v>
      </c>
      <c r="F2" t="s">
        <v>10161</v>
      </c>
      <c r="J2" t="s">
        <v>87</v>
      </c>
      <c r="K2" t="s">
        <v>3275</v>
      </c>
      <c r="L2" t="s">
        <v>2046</v>
      </c>
      <c r="M2" s="636" t="s">
        <v>2045</v>
      </c>
      <c r="N2" t="s">
        <v>2045</v>
      </c>
      <c r="O2" t="s">
        <v>4</v>
      </c>
      <c r="P2" t="s">
        <v>2045</v>
      </c>
    </row>
    <row r="3" spans="1:58">
      <c r="E3" t="s">
        <v>10163</v>
      </c>
      <c r="F3" t="s">
        <v>10166</v>
      </c>
      <c r="J3" t="s">
        <v>87</v>
      </c>
      <c r="K3" t="s">
        <v>93</v>
      </c>
      <c r="L3" t="s">
        <v>2047</v>
      </c>
      <c r="M3" s="636" t="s">
        <v>2045</v>
      </c>
      <c r="N3" t="s">
        <v>2054</v>
      </c>
      <c r="O3" t="s">
        <v>9426</v>
      </c>
      <c r="P3" t="s">
        <v>2045</v>
      </c>
    </row>
    <row r="4" spans="1:58">
      <c r="E4" t="s">
        <v>10162</v>
      </c>
      <c r="F4" t="s">
        <v>10164</v>
      </c>
      <c r="J4" t="s">
        <v>87</v>
      </c>
      <c r="K4" t="s">
        <v>94</v>
      </c>
      <c r="L4" t="s">
        <v>2048</v>
      </c>
      <c r="M4" s="636" t="s">
        <v>2045</v>
      </c>
      <c r="N4" t="s">
        <v>2061</v>
      </c>
      <c r="O4" t="s">
        <v>9447</v>
      </c>
      <c r="P4" t="s">
        <v>87</v>
      </c>
    </row>
    <row r="5" spans="1:58">
      <c r="J5" t="s">
        <v>87</v>
      </c>
      <c r="K5" t="s">
        <v>95</v>
      </c>
      <c r="L5" t="s">
        <v>2049</v>
      </c>
      <c r="M5" s="636" t="s">
        <v>2045</v>
      </c>
      <c r="N5" t="s">
        <v>2066</v>
      </c>
      <c r="O5" t="s">
        <v>9486</v>
      </c>
      <c r="P5" t="s">
        <v>2045</v>
      </c>
    </row>
    <row r="6" spans="1:58">
      <c r="J6" t="s">
        <v>87</v>
      </c>
      <c r="K6" t="s">
        <v>96</v>
      </c>
      <c r="L6" t="s">
        <v>2050</v>
      </c>
      <c r="M6" s="636" t="s">
        <v>2045</v>
      </c>
      <c r="O6" t="s">
        <v>9503</v>
      </c>
    </row>
    <row r="7" spans="1:58">
      <c r="J7" t="s">
        <v>87</v>
      </c>
      <c r="K7" t="s">
        <v>3208</v>
      </c>
      <c r="L7" t="s">
        <v>2051</v>
      </c>
      <c r="M7" s="636" t="s">
        <v>2045</v>
      </c>
      <c r="O7" t="s">
        <v>9534</v>
      </c>
    </row>
    <row r="8" spans="1:58">
      <c r="J8" t="s">
        <v>87</v>
      </c>
      <c r="K8" t="s">
        <v>3209</v>
      </c>
      <c r="L8" t="s">
        <v>2052</v>
      </c>
      <c r="M8" s="636" t="s">
        <v>2045</v>
      </c>
      <c r="O8" t="s">
        <v>9555</v>
      </c>
    </row>
    <row r="9" spans="1:58">
      <c r="J9" t="s">
        <v>87</v>
      </c>
      <c r="K9" t="s">
        <v>3210</v>
      </c>
      <c r="L9" t="s">
        <v>2053</v>
      </c>
      <c r="M9" s="636" t="s">
        <v>2045</v>
      </c>
      <c r="O9" t="s">
        <v>9576</v>
      </c>
    </row>
    <row r="10" spans="1:58">
      <c r="J10" t="s">
        <v>87</v>
      </c>
      <c r="K10" t="s">
        <v>9423</v>
      </c>
      <c r="L10" t="s">
        <v>2054</v>
      </c>
      <c r="M10" s="636" t="s">
        <v>2054</v>
      </c>
      <c r="O10" t="s">
        <v>9595</v>
      </c>
    </row>
    <row r="11" spans="1:58">
      <c r="J11" t="s">
        <v>87</v>
      </c>
      <c r="K11" t="s">
        <v>3276</v>
      </c>
      <c r="L11" t="s">
        <v>1914</v>
      </c>
      <c r="M11" s="636" t="s">
        <v>2054</v>
      </c>
      <c r="O11" t="s">
        <v>9616</v>
      </c>
    </row>
    <row r="12" spans="1:58">
      <c r="J12" t="s">
        <v>87</v>
      </c>
      <c r="K12" t="s">
        <v>3277</v>
      </c>
      <c r="L12" t="s">
        <v>2055</v>
      </c>
      <c r="M12" s="636" t="s">
        <v>2054</v>
      </c>
      <c r="O12" t="s">
        <v>9637</v>
      </c>
    </row>
    <row r="13" spans="1:58">
      <c r="J13" t="s">
        <v>87</v>
      </c>
      <c r="K13" t="s">
        <v>3278</v>
      </c>
      <c r="L13" t="s">
        <v>2056</v>
      </c>
      <c r="M13" s="636" t="s">
        <v>2054</v>
      </c>
      <c r="O13" t="s">
        <v>9638</v>
      </c>
    </row>
    <row r="14" spans="1:58">
      <c r="J14" t="s">
        <v>87</v>
      </c>
      <c r="K14" t="s">
        <v>3279</v>
      </c>
      <c r="L14" t="s">
        <v>2057</v>
      </c>
      <c r="M14" s="636" t="s">
        <v>2054</v>
      </c>
      <c r="O14" t="s">
        <v>9649</v>
      </c>
    </row>
    <row r="15" spans="1:58">
      <c r="J15" t="s">
        <v>87</v>
      </c>
      <c r="K15" t="s">
        <v>3280</v>
      </c>
      <c r="L15" t="s">
        <v>2058</v>
      </c>
      <c r="M15" s="636" t="s">
        <v>2054</v>
      </c>
      <c r="O15" t="s">
        <v>9670</v>
      </c>
    </row>
    <row r="16" spans="1:58">
      <c r="J16" t="s">
        <v>87</v>
      </c>
      <c r="K16" t="s">
        <v>3281</v>
      </c>
      <c r="L16" t="s">
        <v>2059</v>
      </c>
      <c r="M16" s="636" t="s">
        <v>2054</v>
      </c>
      <c r="O16" t="s">
        <v>9701</v>
      </c>
    </row>
    <row r="17" spans="10:15">
      <c r="J17" t="s">
        <v>87</v>
      </c>
      <c r="K17" t="s">
        <v>3282</v>
      </c>
      <c r="L17" t="s">
        <v>2060</v>
      </c>
      <c r="M17" s="636" t="s">
        <v>2054</v>
      </c>
      <c r="O17" t="s">
        <v>9717</v>
      </c>
    </row>
    <row r="18" spans="10:15">
      <c r="J18" t="s">
        <v>87</v>
      </c>
      <c r="K18" t="s">
        <v>9424</v>
      </c>
      <c r="L18" t="s">
        <v>2061</v>
      </c>
      <c r="M18" s="636" t="s">
        <v>2061</v>
      </c>
      <c r="O18" t="s">
        <v>9718</v>
      </c>
    </row>
    <row r="19" spans="10:15">
      <c r="J19" t="s">
        <v>87</v>
      </c>
      <c r="K19" t="s">
        <v>3283</v>
      </c>
      <c r="L19" t="s">
        <v>1989</v>
      </c>
      <c r="M19" s="636" t="s">
        <v>2061</v>
      </c>
      <c r="O19" t="s">
        <v>9734</v>
      </c>
    </row>
    <row r="20" spans="10:15">
      <c r="J20" t="s">
        <v>87</v>
      </c>
      <c r="K20" t="s">
        <v>3284</v>
      </c>
      <c r="L20" t="s">
        <v>2062</v>
      </c>
      <c r="M20" s="636" t="s">
        <v>2061</v>
      </c>
      <c r="O20" t="s">
        <v>9745</v>
      </c>
    </row>
    <row r="21" spans="10:15">
      <c r="J21" t="s">
        <v>87</v>
      </c>
      <c r="K21" t="s">
        <v>3285</v>
      </c>
      <c r="L21" t="s">
        <v>2063</v>
      </c>
      <c r="M21" s="636" t="s">
        <v>2061</v>
      </c>
      <c r="O21" t="s">
        <v>9767</v>
      </c>
    </row>
    <row r="22" spans="10:15">
      <c r="J22" t="s">
        <v>87</v>
      </c>
      <c r="K22" t="s">
        <v>3286</v>
      </c>
      <c r="L22" t="s">
        <v>2064</v>
      </c>
      <c r="M22" s="636" t="s">
        <v>2061</v>
      </c>
      <c r="O22" t="s">
        <v>9788</v>
      </c>
    </row>
    <row r="23" spans="10:15">
      <c r="J23" t="s">
        <v>87</v>
      </c>
      <c r="K23" t="s">
        <v>3287</v>
      </c>
      <c r="L23" t="s">
        <v>2065</v>
      </c>
      <c r="M23" s="636" t="s">
        <v>2061</v>
      </c>
      <c r="O23" t="s">
        <v>9804</v>
      </c>
    </row>
    <row r="24" spans="10:15">
      <c r="J24" t="s">
        <v>87</v>
      </c>
      <c r="K24" t="s">
        <v>3288</v>
      </c>
      <c r="L24" t="s">
        <v>1991</v>
      </c>
      <c r="M24" s="636" t="s">
        <v>2061</v>
      </c>
      <c r="O24" t="s">
        <v>9820</v>
      </c>
    </row>
    <row r="25" spans="10:15">
      <c r="J25" t="s">
        <v>87</v>
      </c>
      <c r="K25" t="s">
        <v>9425</v>
      </c>
      <c r="L25" t="s">
        <v>2066</v>
      </c>
      <c r="M25" s="636" t="s">
        <v>2066</v>
      </c>
      <c r="O25" t="s">
        <v>9836</v>
      </c>
    </row>
    <row r="26" spans="10:15">
      <c r="J26" t="s">
        <v>87</v>
      </c>
      <c r="K26" t="s">
        <v>3310</v>
      </c>
      <c r="L26" t="s">
        <v>2067</v>
      </c>
      <c r="M26" s="636" t="s">
        <v>2066</v>
      </c>
      <c r="O26" t="s">
        <v>9858</v>
      </c>
    </row>
    <row r="27" spans="10:15">
      <c r="J27" t="s">
        <v>87</v>
      </c>
      <c r="K27" t="s">
        <v>3311</v>
      </c>
      <c r="L27" t="s">
        <v>1998</v>
      </c>
      <c r="M27" s="636" t="s">
        <v>2066</v>
      </c>
      <c r="O27" t="s">
        <v>9872</v>
      </c>
    </row>
    <row r="28" spans="10:15">
      <c r="J28" t="s">
        <v>87</v>
      </c>
      <c r="K28" t="s">
        <v>3312</v>
      </c>
      <c r="L28" t="s">
        <v>1996</v>
      </c>
      <c r="M28" s="636" t="s">
        <v>2066</v>
      </c>
      <c r="O28" t="s">
        <v>9872</v>
      </c>
    </row>
    <row r="29" spans="10:15">
      <c r="J29" t="s">
        <v>87</v>
      </c>
      <c r="K29" t="s">
        <v>3313</v>
      </c>
      <c r="L29" t="s">
        <v>1995</v>
      </c>
      <c r="M29" s="636" t="s">
        <v>2066</v>
      </c>
      <c r="O29" t="s">
        <v>9900</v>
      </c>
    </row>
    <row r="30" spans="10:15">
      <c r="J30" t="s">
        <v>87</v>
      </c>
      <c r="K30" t="s">
        <v>3314</v>
      </c>
      <c r="L30" t="s">
        <v>1994</v>
      </c>
      <c r="M30" s="636" t="s">
        <v>2066</v>
      </c>
      <c r="O30" t="s">
        <v>9927</v>
      </c>
    </row>
    <row r="31" spans="10:15">
      <c r="J31" t="s">
        <v>87</v>
      </c>
      <c r="K31" t="s">
        <v>3315</v>
      </c>
      <c r="L31" t="s">
        <v>1993</v>
      </c>
      <c r="M31" s="636" t="s">
        <v>2066</v>
      </c>
      <c r="O31" t="s">
        <v>9943</v>
      </c>
    </row>
    <row r="32" spans="10:15">
      <c r="J32" t="s">
        <v>9426</v>
      </c>
      <c r="K32" t="s">
        <v>9427</v>
      </c>
      <c r="L32" t="s">
        <v>2068</v>
      </c>
      <c r="M32" s="636" t="s">
        <v>2068</v>
      </c>
      <c r="O32" t="s">
        <v>9959</v>
      </c>
    </row>
    <row r="33" spans="10:15">
      <c r="J33" t="s">
        <v>9426</v>
      </c>
      <c r="K33" t="s">
        <v>9428</v>
      </c>
      <c r="L33" t="s">
        <v>1916</v>
      </c>
      <c r="M33" s="636" t="s">
        <v>2068</v>
      </c>
      <c r="O33" t="s">
        <v>9980</v>
      </c>
    </row>
    <row r="34" spans="10:15">
      <c r="J34" t="s">
        <v>9426</v>
      </c>
      <c r="K34" t="s">
        <v>9429</v>
      </c>
      <c r="L34" t="s">
        <v>1210</v>
      </c>
      <c r="M34" s="636" t="s">
        <v>2068</v>
      </c>
      <c r="O34" t="s">
        <v>9991</v>
      </c>
    </row>
    <row r="35" spans="10:15">
      <c r="J35" t="s">
        <v>9426</v>
      </c>
      <c r="K35" t="s">
        <v>9430</v>
      </c>
      <c r="L35" t="s">
        <v>1227</v>
      </c>
      <c r="M35" s="636" t="s">
        <v>2068</v>
      </c>
      <c r="O35" t="s">
        <v>10007</v>
      </c>
    </row>
    <row r="36" spans="10:15">
      <c r="J36" t="s">
        <v>9426</v>
      </c>
      <c r="K36" t="s">
        <v>9431</v>
      </c>
      <c r="L36" t="s">
        <v>1264</v>
      </c>
      <c r="M36" s="636" t="s">
        <v>2068</v>
      </c>
      <c r="O36" t="s">
        <v>10008</v>
      </c>
    </row>
    <row r="37" spans="10:15">
      <c r="J37" t="s">
        <v>9426</v>
      </c>
      <c r="K37" t="s">
        <v>9432</v>
      </c>
      <c r="L37" t="s">
        <v>1283</v>
      </c>
      <c r="M37" s="636" t="s">
        <v>2068</v>
      </c>
      <c r="O37" t="s">
        <v>10024</v>
      </c>
    </row>
    <row r="38" spans="10:15">
      <c r="J38" t="s">
        <v>9426</v>
      </c>
      <c r="K38" t="s">
        <v>9433</v>
      </c>
      <c r="L38" t="s">
        <v>1918</v>
      </c>
      <c r="M38" s="636" t="s">
        <v>2068</v>
      </c>
      <c r="O38" t="s">
        <v>10040</v>
      </c>
    </row>
    <row r="39" spans="10:15">
      <c r="J39" t="s">
        <v>9426</v>
      </c>
      <c r="K39" t="s">
        <v>9434</v>
      </c>
      <c r="L39" t="s">
        <v>1331</v>
      </c>
      <c r="M39" s="636" t="s">
        <v>2068</v>
      </c>
      <c r="O39" t="s">
        <v>10056</v>
      </c>
    </row>
    <row r="40" spans="10:15">
      <c r="J40" t="s">
        <v>9426</v>
      </c>
      <c r="K40" t="s">
        <v>9435</v>
      </c>
      <c r="L40" t="s">
        <v>1919</v>
      </c>
      <c r="M40" s="636" t="s">
        <v>2068</v>
      </c>
      <c r="O40" t="s">
        <v>10073</v>
      </c>
    </row>
    <row r="41" spans="10:15">
      <c r="J41" t="s">
        <v>9426</v>
      </c>
      <c r="K41" t="s">
        <v>9436</v>
      </c>
      <c r="L41" t="s">
        <v>2069</v>
      </c>
      <c r="M41" s="636" t="s">
        <v>2069</v>
      </c>
    </row>
    <row r="42" spans="10:15">
      <c r="J42" t="s">
        <v>9426</v>
      </c>
      <c r="K42" t="s">
        <v>9437</v>
      </c>
      <c r="L42" t="s">
        <v>1999</v>
      </c>
      <c r="M42" s="636" t="s">
        <v>2069</v>
      </c>
    </row>
    <row r="43" spans="10:15">
      <c r="J43" t="s">
        <v>9426</v>
      </c>
      <c r="K43" t="s">
        <v>9438</v>
      </c>
      <c r="L43" t="s">
        <v>1451</v>
      </c>
      <c r="M43" s="636" t="s">
        <v>2069</v>
      </c>
    </row>
    <row r="44" spans="10:15">
      <c r="J44" t="s">
        <v>9426</v>
      </c>
      <c r="K44" t="s">
        <v>9439</v>
      </c>
      <c r="L44" t="s">
        <v>1487</v>
      </c>
      <c r="M44" s="636" t="s">
        <v>2069</v>
      </c>
    </row>
    <row r="45" spans="10:15">
      <c r="J45" t="s">
        <v>9426</v>
      </c>
      <c r="K45" t="s">
        <v>9440</v>
      </c>
      <c r="L45" t="s">
        <v>1502</v>
      </c>
      <c r="M45" s="636" t="s">
        <v>2069</v>
      </c>
    </row>
    <row r="46" spans="10:15">
      <c r="J46" t="s">
        <v>9426</v>
      </c>
      <c r="K46" t="s">
        <v>9441</v>
      </c>
      <c r="L46" t="s">
        <v>2070</v>
      </c>
      <c r="M46" s="636" t="s">
        <v>2069</v>
      </c>
    </row>
    <row r="47" spans="10:15">
      <c r="J47" t="s">
        <v>9426</v>
      </c>
      <c r="K47" t="s">
        <v>9442</v>
      </c>
      <c r="L47" t="s">
        <v>2071</v>
      </c>
      <c r="M47" s="636" t="s">
        <v>2071</v>
      </c>
    </row>
    <row r="48" spans="10:15">
      <c r="J48" t="s">
        <v>9426</v>
      </c>
      <c r="K48" t="s">
        <v>9443</v>
      </c>
      <c r="L48" t="s">
        <v>2001</v>
      </c>
      <c r="M48" s="636" t="s">
        <v>2071</v>
      </c>
    </row>
    <row r="49" spans="10:13">
      <c r="J49" t="s">
        <v>9426</v>
      </c>
      <c r="K49" t="s">
        <v>9444</v>
      </c>
      <c r="L49" t="s">
        <v>1629</v>
      </c>
      <c r="M49" s="636" t="s">
        <v>2071</v>
      </c>
    </row>
    <row r="50" spans="10:13">
      <c r="J50" t="s">
        <v>9426</v>
      </c>
      <c r="K50" t="s">
        <v>9445</v>
      </c>
      <c r="L50" t="s">
        <v>2002</v>
      </c>
      <c r="M50" s="636" t="s">
        <v>2071</v>
      </c>
    </row>
    <row r="51" spans="10:13">
      <c r="J51" t="s">
        <v>9426</v>
      </c>
      <c r="K51" t="s">
        <v>9446</v>
      </c>
      <c r="L51" t="s">
        <v>2003</v>
      </c>
      <c r="M51" s="636" t="s">
        <v>2071</v>
      </c>
    </row>
    <row r="52" spans="10:13">
      <c r="J52" t="s">
        <v>9447</v>
      </c>
      <c r="K52" t="s">
        <v>9448</v>
      </c>
      <c r="L52" t="s">
        <v>2072</v>
      </c>
      <c r="M52" s="636" t="s">
        <v>2072</v>
      </c>
    </row>
    <row r="53" spans="10:13">
      <c r="J53" t="s">
        <v>9447</v>
      </c>
      <c r="K53" t="s">
        <v>9449</v>
      </c>
      <c r="L53" t="s">
        <v>2073</v>
      </c>
      <c r="M53" s="636" t="s">
        <v>2072</v>
      </c>
    </row>
    <row r="54" spans="10:13">
      <c r="J54" t="s">
        <v>9447</v>
      </c>
      <c r="K54" t="s">
        <v>9450</v>
      </c>
      <c r="L54" t="s">
        <v>1920</v>
      </c>
      <c r="M54" s="636" t="s">
        <v>2072</v>
      </c>
    </row>
    <row r="55" spans="10:13">
      <c r="J55" t="s">
        <v>9447</v>
      </c>
      <c r="K55" t="s">
        <v>9451</v>
      </c>
      <c r="L55" t="s">
        <v>2074</v>
      </c>
      <c r="M55" s="636" t="s">
        <v>2072</v>
      </c>
    </row>
    <row r="56" spans="10:13">
      <c r="J56" t="s">
        <v>9447</v>
      </c>
      <c r="K56" t="s">
        <v>9452</v>
      </c>
      <c r="L56" t="s">
        <v>1265</v>
      </c>
      <c r="M56" s="636" t="s">
        <v>2072</v>
      </c>
    </row>
    <row r="57" spans="10:13">
      <c r="J57" t="s">
        <v>9447</v>
      </c>
      <c r="K57" t="s">
        <v>9453</v>
      </c>
      <c r="L57" t="s">
        <v>1284</v>
      </c>
      <c r="M57" s="636" t="s">
        <v>2072</v>
      </c>
    </row>
    <row r="58" spans="10:13">
      <c r="J58" t="s">
        <v>9447</v>
      </c>
      <c r="K58" t="s">
        <v>9454</v>
      </c>
      <c r="L58" t="s">
        <v>2075</v>
      </c>
      <c r="M58" s="636" t="s">
        <v>2075</v>
      </c>
    </row>
    <row r="59" spans="10:13">
      <c r="J59" t="s">
        <v>9447</v>
      </c>
      <c r="K59" t="s">
        <v>9455</v>
      </c>
      <c r="L59" t="s">
        <v>1922</v>
      </c>
      <c r="M59" s="636" t="s">
        <v>2075</v>
      </c>
    </row>
    <row r="60" spans="10:13">
      <c r="J60" t="s">
        <v>9447</v>
      </c>
      <c r="K60" t="s">
        <v>9456</v>
      </c>
      <c r="L60" t="s">
        <v>2076</v>
      </c>
      <c r="M60" s="636" t="s">
        <v>2075</v>
      </c>
    </row>
    <row r="61" spans="10:13">
      <c r="J61" t="s">
        <v>9447</v>
      </c>
      <c r="K61" t="s">
        <v>9457</v>
      </c>
      <c r="L61" t="s">
        <v>2077</v>
      </c>
      <c r="M61" s="636" t="s">
        <v>2075</v>
      </c>
    </row>
    <row r="62" spans="10:13">
      <c r="J62" t="s">
        <v>9447</v>
      </c>
      <c r="K62" t="s">
        <v>9458</v>
      </c>
      <c r="L62" t="s">
        <v>1924</v>
      </c>
      <c r="M62" s="636" t="s">
        <v>2075</v>
      </c>
    </row>
    <row r="63" spans="10:13">
      <c r="J63" t="s">
        <v>9447</v>
      </c>
      <c r="K63" t="s">
        <v>9459</v>
      </c>
      <c r="L63" t="s">
        <v>2078</v>
      </c>
      <c r="M63" s="636" t="s">
        <v>2075</v>
      </c>
    </row>
    <row r="64" spans="10:13">
      <c r="J64" t="s">
        <v>9447</v>
      </c>
      <c r="K64" t="s">
        <v>9460</v>
      </c>
      <c r="L64" t="s">
        <v>2079</v>
      </c>
      <c r="M64" s="636" t="s">
        <v>2079</v>
      </c>
    </row>
    <row r="65" spans="10:13">
      <c r="J65" t="s">
        <v>9447</v>
      </c>
      <c r="K65" t="s">
        <v>9461</v>
      </c>
      <c r="L65" t="s">
        <v>1442</v>
      </c>
      <c r="M65" s="636" t="s">
        <v>2079</v>
      </c>
    </row>
    <row r="66" spans="10:13">
      <c r="J66" t="s">
        <v>9447</v>
      </c>
      <c r="K66" t="s">
        <v>9462</v>
      </c>
      <c r="L66" t="s">
        <v>1452</v>
      </c>
      <c r="M66" s="636" t="s">
        <v>2079</v>
      </c>
    </row>
    <row r="67" spans="10:13">
      <c r="J67" t="s">
        <v>9447</v>
      </c>
      <c r="K67" t="s">
        <v>9463</v>
      </c>
      <c r="L67" t="s">
        <v>1488</v>
      </c>
      <c r="M67" s="636" t="s">
        <v>2079</v>
      </c>
    </row>
    <row r="68" spans="10:13">
      <c r="J68" t="s">
        <v>9447</v>
      </c>
      <c r="K68" t="s">
        <v>9464</v>
      </c>
      <c r="L68" t="s">
        <v>2079</v>
      </c>
      <c r="M68" s="636" t="s">
        <v>2079</v>
      </c>
    </row>
    <row r="69" spans="10:13">
      <c r="J69" t="s">
        <v>9447</v>
      </c>
      <c r="K69" t="s">
        <v>9465</v>
      </c>
      <c r="L69" t="s">
        <v>1503</v>
      </c>
      <c r="M69" s="636" t="s">
        <v>2079</v>
      </c>
    </row>
    <row r="70" spans="10:13">
      <c r="J70" t="s">
        <v>9447</v>
      </c>
      <c r="K70" t="s">
        <v>9466</v>
      </c>
      <c r="L70" t="s">
        <v>1537</v>
      </c>
      <c r="M70" s="636" t="s">
        <v>2079</v>
      </c>
    </row>
    <row r="71" spans="10:13">
      <c r="J71" t="s">
        <v>9447</v>
      </c>
      <c r="K71" t="s">
        <v>9467</v>
      </c>
      <c r="L71" t="s">
        <v>2080</v>
      </c>
      <c r="M71" s="636" t="s">
        <v>2080</v>
      </c>
    </row>
    <row r="72" spans="10:13">
      <c r="J72" t="s">
        <v>9447</v>
      </c>
      <c r="K72" t="s">
        <v>9468</v>
      </c>
      <c r="L72" t="s">
        <v>1595</v>
      </c>
      <c r="M72" s="636" t="s">
        <v>2080</v>
      </c>
    </row>
    <row r="73" spans="10:13">
      <c r="J73" t="s">
        <v>9447</v>
      </c>
      <c r="K73" t="s">
        <v>9469</v>
      </c>
      <c r="L73" t="s">
        <v>1630</v>
      </c>
      <c r="M73" s="636" t="s">
        <v>2080</v>
      </c>
    </row>
    <row r="74" spans="10:13">
      <c r="J74" t="s">
        <v>9447</v>
      </c>
      <c r="K74" t="s">
        <v>9470</v>
      </c>
      <c r="L74" t="s">
        <v>2080</v>
      </c>
      <c r="M74" s="636" t="s">
        <v>2080</v>
      </c>
    </row>
    <row r="75" spans="10:13">
      <c r="J75" t="s">
        <v>9447</v>
      </c>
      <c r="K75" t="s">
        <v>9471</v>
      </c>
      <c r="L75" t="s">
        <v>1644</v>
      </c>
      <c r="M75" s="636" t="s">
        <v>2080</v>
      </c>
    </row>
    <row r="76" spans="10:13">
      <c r="J76" t="s">
        <v>9447</v>
      </c>
      <c r="K76" t="s">
        <v>9472</v>
      </c>
      <c r="L76" t="s">
        <v>1677</v>
      </c>
      <c r="M76" s="636" t="s">
        <v>2080</v>
      </c>
    </row>
    <row r="77" spans="10:13">
      <c r="J77" t="s">
        <v>9447</v>
      </c>
      <c r="K77" t="s">
        <v>9473</v>
      </c>
      <c r="L77" t="s">
        <v>1688</v>
      </c>
      <c r="M77" s="636" t="s">
        <v>2080</v>
      </c>
    </row>
    <row r="78" spans="10:13">
      <c r="J78" t="s">
        <v>9447</v>
      </c>
      <c r="K78" t="s">
        <v>9474</v>
      </c>
      <c r="L78" t="s">
        <v>2081</v>
      </c>
      <c r="M78" s="636" t="s">
        <v>2081</v>
      </c>
    </row>
    <row r="79" spans="10:13">
      <c r="J79" t="s">
        <v>9447</v>
      </c>
      <c r="K79" t="s">
        <v>9475</v>
      </c>
      <c r="L79" t="s">
        <v>2082</v>
      </c>
      <c r="M79" s="636" t="s">
        <v>2081</v>
      </c>
    </row>
    <row r="80" spans="10:13">
      <c r="J80" t="s">
        <v>9447</v>
      </c>
      <c r="K80" t="s">
        <v>9476</v>
      </c>
      <c r="L80" t="s">
        <v>2083</v>
      </c>
      <c r="M80" s="636" t="s">
        <v>2081</v>
      </c>
    </row>
    <row r="81" spans="10:13">
      <c r="J81" t="s">
        <v>9447</v>
      </c>
      <c r="K81" t="s">
        <v>9477</v>
      </c>
      <c r="L81" t="s">
        <v>2007</v>
      </c>
      <c r="M81" s="636" t="s">
        <v>2081</v>
      </c>
    </row>
    <row r="82" spans="10:13">
      <c r="J82" t="s">
        <v>9447</v>
      </c>
      <c r="K82" t="s">
        <v>9478</v>
      </c>
      <c r="L82" t="s">
        <v>2009</v>
      </c>
      <c r="M82" s="636" t="s">
        <v>2081</v>
      </c>
    </row>
    <row r="83" spans="10:13">
      <c r="J83" t="s">
        <v>9447</v>
      </c>
      <c r="K83" t="s">
        <v>9479</v>
      </c>
      <c r="L83" t="s">
        <v>1761</v>
      </c>
      <c r="M83" s="636" t="s">
        <v>2081</v>
      </c>
    </row>
    <row r="84" spans="10:13">
      <c r="J84" t="s">
        <v>9447</v>
      </c>
      <c r="K84" t="s">
        <v>9480</v>
      </c>
      <c r="L84" t="s">
        <v>2084</v>
      </c>
      <c r="M84" s="636" t="s">
        <v>2084</v>
      </c>
    </row>
    <row r="85" spans="10:13">
      <c r="J85" t="s">
        <v>9447</v>
      </c>
      <c r="K85" t="s">
        <v>9481</v>
      </c>
      <c r="L85" t="s">
        <v>2010</v>
      </c>
      <c r="M85" s="636" t="s">
        <v>2084</v>
      </c>
    </row>
    <row r="86" spans="10:13">
      <c r="J86" t="s">
        <v>9447</v>
      </c>
      <c r="K86" t="s">
        <v>9482</v>
      </c>
      <c r="L86" t="s">
        <v>2085</v>
      </c>
      <c r="M86" s="636" t="s">
        <v>2084</v>
      </c>
    </row>
    <row r="87" spans="10:13">
      <c r="J87" t="s">
        <v>9447</v>
      </c>
      <c r="K87" t="s">
        <v>9483</v>
      </c>
      <c r="L87" t="s">
        <v>2086</v>
      </c>
      <c r="M87" s="636" t="s">
        <v>2084</v>
      </c>
    </row>
    <row r="88" spans="10:13">
      <c r="J88" t="s">
        <v>9447</v>
      </c>
      <c r="K88" t="s">
        <v>9484</v>
      </c>
      <c r="L88" t="s">
        <v>2087</v>
      </c>
      <c r="M88" s="636" t="s">
        <v>2084</v>
      </c>
    </row>
    <row r="89" spans="10:13">
      <c r="J89" t="s">
        <v>9447</v>
      </c>
      <c r="K89" t="s">
        <v>9485</v>
      </c>
      <c r="L89" t="s">
        <v>2088</v>
      </c>
      <c r="M89" s="636" t="s">
        <v>2084</v>
      </c>
    </row>
    <row r="90" spans="10:13">
      <c r="J90" t="s">
        <v>9486</v>
      </c>
      <c r="K90" t="s">
        <v>9427</v>
      </c>
      <c r="L90" t="s">
        <v>2089</v>
      </c>
      <c r="M90" s="636" t="s">
        <v>2089</v>
      </c>
    </row>
    <row r="91" spans="10:13">
      <c r="J91" t="s">
        <v>9486</v>
      </c>
      <c r="K91" t="s">
        <v>9487</v>
      </c>
      <c r="L91" t="s">
        <v>1926</v>
      </c>
      <c r="M91" s="636" t="s">
        <v>2089</v>
      </c>
    </row>
    <row r="92" spans="10:13">
      <c r="J92" t="s">
        <v>9486</v>
      </c>
      <c r="K92" t="s">
        <v>9488</v>
      </c>
      <c r="L92" t="s">
        <v>1212</v>
      </c>
      <c r="M92" s="636" t="s">
        <v>2089</v>
      </c>
    </row>
    <row r="93" spans="10:13">
      <c r="J93" t="s">
        <v>9486</v>
      </c>
      <c r="K93" t="s">
        <v>9489</v>
      </c>
      <c r="L93" t="s">
        <v>1927</v>
      </c>
      <c r="M93" s="636" t="s">
        <v>2089</v>
      </c>
    </row>
    <row r="94" spans="10:13">
      <c r="J94" t="s">
        <v>9486</v>
      </c>
      <c r="K94" t="s">
        <v>9490</v>
      </c>
      <c r="L94" t="s">
        <v>1928</v>
      </c>
      <c r="M94" s="636" t="s">
        <v>2089</v>
      </c>
    </row>
    <row r="95" spans="10:13">
      <c r="J95" t="s">
        <v>9486</v>
      </c>
      <c r="K95" t="s">
        <v>9491</v>
      </c>
      <c r="L95" t="s">
        <v>1929</v>
      </c>
      <c r="M95" s="636" t="s">
        <v>2089</v>
      </c>
    </row>
    <row r="96" spans="10:13">
      <c r="J96" t="s">
        <v>9486</v>
      </c>
      <c r="K96" t="s">
        <v>9492</v>
      </c>
      <c r="L96" t="s">
        <v>1320</v>
      </c>
      <c r="M96" s="636" t="s">
        <v>2089</v>
      </c>
    </row>
    <row r="97" spans="10:13">
      <c r="J97" t="s">
        <v>9486</v>
      </c>
      <c r="K97" t="s">
        <v>9493</v>
      </c>
      <c r="L97" t="s">
        <v>1930</v>
      </c>
      <c r="M97" s="636" t="s">
        <v>2089</v>
      </c>
    </row>
    <row r="98" spans="10:13">
      <c r="J98" t="s">
        <v>9486</v>
      </c>
      <c r="K98" t="s">
        <v>9494</v>
      </c>
      <c r="L98" t="s">
        <v>1931</v>
      </c>
      <c r="M98" s="636" t="s">
        <v>2089</v>
      </c>
    </row>
    <row r="99" spans="10:13">
      <c r="J99" t="s">
        <v>9486</v>
      </c>
      <c r="K99" t="s">
        <v>9436</v>
      </c>
      <c r="L99" t="s">
        <v>2090</v>
      </c>
      <c r="M99" s="636" t="s">
        <v>2090</v>
      </c>
    </row>
    <row r="100" spans="10:13">
      <c r="J100" t="s">
        <v>9486</v>
      </c>
      <c r="K100" t="s">
        <v>9495</v>
      </c>
      <c r="L100" t="s">
        <v>2012</v>
      </c>
      <c r="M100" s="636" t="s">
        <v>2090</v>
      </c>
    </row>
    <row r="101" spans="10:13">
      <c r="J101" t="s">
        <v>9486</v>
      </c>
      <c r="K101" t="s">
        <v>9496</v>
      </c>
      <c r="L101" t="s">
        <v>1453</v>
      </c>
      <c r="M101" s="636" t="s">
        <v>2090</v>
      </c>
    </row>
    <row r="102" spans="10:13">
      <c r="J102" t="s">
        <v>9486</v>
      </c>
      <c r="K102" t="s">
        <v>9497</v>
      </c>
      <c r="L102" t="s">
        <v>2013</v>
      </c>
      <c r="M102" s="636" t="s">
        <v>2090</v>
      </c>
    </row>
    <row r="103" spans="10:13">
      <c r="J103" t="s">
        <v>9486</v>
      </c>
      <c r="K103" t="s">
        <v>9498</v>
      </c>
      <c r="L103" t="s">
        <v>1504</v>
      </c>
      <c r="M103" s="636" t="s">
        <v>2090</v>
      </c>
    </row>
    <row r="104" spans="10:13">
      <c r="J104" t="s">
        <v>9486</v>
      </c>
      <c r="K104" t="s">
        <v>9442</v>
      </c>
      <c r="L104" t="s">
        <v>2091</v>
      </c>
      <c r="M104" s="636" t="s">
        <v>2091</v>
      </c>
    </row>
    <row r="105" spans="10:13">
      <c r="J105" t="s">
        <v>9486</v>
      </c>
      <c r="K105" t="s">
        <v>9499</v>
      </c>
      <c r="L105" t="s">
        <v>2014</v>
      </c>
      <c r="M105" s="636" t="s">
        <v>2091</v>
      </c>
    </row>
    <row r="106" spans="10:13">
      <c r="J106" t="s">
        <v>9486</v>
      </c>
      <c r="K106" t="s">
        <v>9500</v>
      </c>
      <c r="L106" t="s">
        <v>1552</v>
      </c>
      <c r="M106" s="636" t="s">
        <v>2091</v>
      </c>
    </row>
    <row r="107" spans="10:13">
      <c r="J107" t="s">
        <v>9486</v>
      </c>
      <c r="K107" t="s">
        <v>9501</v>
      </c>
      <c r="L107" t="s">
        <v>2015</v>
      </c>
      <c r="M107" s="636" t="s">
        <v>2091</v>
      </c>
    </row>
    <row r="108" spans="10:13">
      <c r="J108" t="s">
        <v>9486</v>
      </c>
      <c r="K108" t="s">
        <v>9502</v>
      </c>
      <c r="L108" t="s">
        <v>2016</v>
      </c>
      <c r="M108" s="636" t="s">
        <v>2091</v>
      </c>
    </row>
    <row r="109" spans="10:13">
      <c r="J109" t="s">
        <v>9503</v>
      </c>
      <c r="K109" t="s">
        <v>9448</v>
      </c>
      <c r="L109" t="s">
        <v>2092</v>
      </c>
      <c r="M109" s="636" t="s">
        <v>2092</v>
      </c>
    </row>
    <row r="110" spans="10:13">
      <c r="J110" t="s">
        <v>9503</v>
      </c>
      <c r="K110" t="s">
        <v>9504</v>
      </c>
      <c r="L110" t="s">
        <v>2093</v>
      </c>
      <c r="M110" s="636" t="s">
        <v>2092</v>
      </c>
    </row>
    <row r="111" spans="10:13">
      <c r="J111" t="s">
        <v>9503</v>
      </c>
      <c r="K111" t="s">
        <v>9505</v>
      </c>
      <c r="L111" t="s">
        <v>1213</v>
      </c>
      <c r="M111" s="636" t="s">
        <v>2092</v>
      </c>
    </row>
    <row r="112" spans="10:13">
      <c r="J112" t="s">
        <v>9503</v>
      </c>
      <c r="K112" t="s">
        <v>9506</v>
      </c>
      <c r="L112" t="s">
        <v>1230</v>
      </c>
      <c r="M112" s="636" t="s">
        <v>2092</v>
      </c>
    </row>
    <row r="113" spans="10:13">
      <c r="J113" t="s">
        <v>9503</v>
      </c>
      <c r="K113" t="s">
        <v>9507</v>
      </c>
      <c r="L113" t="s">
        <v>1267</v>
      </c>
      <c r="M113" s="636" t="s">
        <v>2092</v>
      </c>
    </row>
    <row r="114" spans="10:13">
      <c r="J114" t="s">
        <v>9503</v>
      </c>
      <c r="K114" t="s">
        <v>9508</v>
      </c>
      <c r="L114" t="s">
        <v>1286</v>
      </c>
      <c r="M114" s="636" t="s">
        <v>2092</v>
      </c>
    </row>
    <row r="115" spans="10:13">
      <c r="J115" t="s">
        <v>9503</v>
      </c>
      <c r="K115" t="s">
        <v>9454</v>
      </c>
      <c r="L115" t="s">
        <v>2094</v>
      </c>
      <c r="M115" s="636" t="s">
        <v>2094</v>
      </c>
    </row>
    <row r="116" spans="10:13">
      <c r="J116" t="s">
        <v>9503</v>
      </c>
      <c r="K116" t="s">
        <v>9509</v>
      </c>
      <c r="L116" t="s">
        <v>1334</v>
      </c>
      <c r="M116" s="636" t="s">
        <v>2094</v>
      </c>
    </row>
    <row r="117" spans="10:13">
      <c r="J117" t="s">
        <v>9503</v>
      </c>
      <c r="K117" t="s">
        <v>9510</v>
      </c>
      <c r="L117" t="s">
        <v>757</v>
      </c>
      <c r="M117" s="636" t="s">
        <v>2094</v>
      </c>
    </row>
    <row r="118" spans="10:13">
      <c r="J118" t="s">
        <v>9503</v>
      </c>
      <c r="K118" t="s">
        <v>9511</v>
      </c>
      <c r="L118" t="s">
        <v>758</v>
      </c>
      <c r="M118" s="636" t="s">
        <v>2094</v>
      </c>
    </row>
    <row r="119" spans="10:13">
      <c r="J119" t="s">
        <v>9503</v>
      </c>
      <c r="K119" t="s">
        <v>9512</v>
      </c>
      <c r="L119" t="s">
        <v>759</v>
      </c>
      <c r="M119" s="636" t="s">
        <v>2094</v>
      </c>
    </row>
    <row r="120" spans="10:13">
      <c r="J120" t="s">
        <v>9503</v>
      </c>
      <c r="K120" t="s">
        <v>9513</v>
      </c>
      <c r="L120" t="s">
        <v>760</v>
      </c>
      <c r="M120" s="636" t="s">
        <v>2094</v>
      </c>
    </row>
    <row r="121" spans="10:13">
      <c r="J121" t="s">
        <v>9503</v>
      </c>
      <c r="K121" t="s">
        <v>9514</v>
      </c>
      <c r="L121" t="s">
        <v>2095</v>
      </c>
      <c r="M121" s="636" t="s">
        <v>2094</v>
      </c>
    </row>
    <row r="122" spans="10:13">
      <c r="J122" t="s">
        <v>9503</v>
      </c>
      <c r="K122" t="s">
        <v>9436</v>
      </c>
      <c r="L122" t="s">
        <v>2096</v>
      </c>
      <c r="M122" s="636" t="s">
        <v>2096</v>
      </c>
    </row>
    <row r="123" spans="10:13">
      <c r="J123" t="s">
        <v>9503</v>
      </c>
      <c r="K123" t="s">
        <v>9515</v>
      </c>
      <c r="L123" t="s">
        <v>1454</v>
      </c>
      <c r="M123" s="636" t="s">
        <v>2096</v>
      </c>
    </row>
    <row r="124" spans="10:13">
      <c r="J124" t="s">
        <v>9503</v>
      </c>
      <c r="K124" t="s">
        <v>9516</v>
      </c>
      <c r="L124" t="s">
        <v>1490</v>
      </c>
      <c r="M124" s="636" t="s">
        <v>2096</v>
      </c>
    </row>
    <row r="125" spans="10:13">
      <c r="J125" t="s">
        <v>9503</v>
      </c>
      <c r="K125" t="s">
        <v>9517</v>
      </c>
      <c r="L125" t="s">
        <v>1505</v>
      </c>
      <c r="M125" s="636" t="s">
        <v>2096</v>
      </c>
    </row>
    <row r="126" spans="10:13">
      <c r="J126" t="s">
        <v>9503</v>
      </c>
      <c r="K126" t="s">
        <v>9518</v>
      </c>
      <c r="L126" t="s">
        <v>1539</v>
      </c>
      <c r="M126" s="636" t="s">
        <v>2096</v>
      </c>
    </row>
    <row r="127" spans="10:13">
      <c r="J127" t="s">
        <v>9503</v>
      </c>
      <c r="K127" t="s">
        <v>9519</v>
      </c>
      <c r="L127" t="s">
        <v>1553</v>
      </c>
      <c r="M127" s="636" t="s">
        <v>2096</v>
      </c>
    </row>
    <row r="128" spans="10:13">
      <c r="J128" t="s">
        <v>9503</v>
      </c>
      <c r="K128" t="s">
        <v>9442</v>
      </c>
      <c r="L128" t="s">
        <v>2097</v>
      </c>
      <c r="M128" s="636" t="s">
        <v>2097</v>
      </c>
    </row>
    <row r="129" spans="10:13">
      <c r="J129" t="s">
        <v>9503</v>
      </c>
      <c r="K129" t="s">
        <v>9520</v>
      </c>
      <c r="L129" t="s">
        <v>1597</v>
      </c>
      <c r="M129" s="636" t="s">
        <v>2097</v>
      </c>
    </row>
    <row r="130" spans="10:13">
      <c r="J130" t="s">
        <v>9503</v>
      </c>
      <c r="K130" t="s">
        <v>9521</v>
      </c>
      <c r="L130" t="s">
        <v>1631</v>
      </c>
      <c r="M130" s="636" t="s">
        <v>2097</v>
      </c>
    </row>
    <row r="131" spans="10:13">
      <c r="J131" t="s">
        <v>9503</v>
      </c>
      <c r="K131" t="s">
        <v>9522</v>
      </c>
      <c r="L131" t="s">
        <v>1645</v>
      </c>
      <c r="M131" s="636" t="s">
        <v>2097</v>
      </c>
    </row>
    <row r="132" spans="10:13">
      <c r="J132" t="s">
        <v>9503</v>
      </c>
      <c r="K132" t="s">
        <v>9523</v>
      </c>
      <c r="L132" t="s">
        <v>1678</v>
      </c>
      <c r="M132" s="636" t="s">
        <v>2097</v>
      </c>
    </row>
    <row r="133" spans="10:13">
      <c r="J133" t="s">
        <v>9503</v>
      </c>
      <c r="K133" t="s">
        <v>9524</v>
      </c>
      <c r="L133" t="s">
        <v>1689</v>
      </c>
      <c r="M133" s="636" t="s">
        <v>2097</v>
      </c>
    </row>
    <row r="134" spans="10:13">
      <c r="J134" t="s">
        <v>9503</v>
      </c>
      <c r="K134" t="s">
        <v>9525</v>
      </c>
      <c r="L134" t="s">
        <v>2098</v>
      </c>
      <c r="M134" s="636" t="s">
        <v>2097</v>
      </c>
    </row>
    <row r="135" spans="10:13">
      <c r="J135" t="s">
        <v>9503</v>
      </c>
      <c r="K135" t="s">
        <v>9474</v>
      </c>
      <c r="L135" t="s">
        <v>2099</v>
      </c>
      <c r="M135" s="636" t="s">
        <v>2099</v>
      </c>
    </row>
    <row r="136" spans="10:13">
      <c r="J136" t="s">
        <v>9503</v>
      </c>
      <c r="K136" t="s">
        <v>9526</v>
      </c>
      <c r="L136" t="s">
        <v>2100</v>
      </c>
      <c r="M136" s="636" t="s">
        <v>2099</v>
      </c>
    </row>
    <row r="137" spans="10:13">
      <c r="J137" t="s">
        <v>9503</v>
      </c>
      <c r="K137" t="s">
        <v>9527</v>
      </c>
      <c r="L137" t="s">
        <v>2101</v>
      </c>
      <c r="M137" s="636" t="s">
        <v>2099</v>
      </c>
    </row>
    <row r="138" spans="10:13">
      <c r="J138" t="s">
        <v>9503</v>
      </c>
      <c r="K138" t="s">
        <v>9528</v>
      </c>
      <c r="L138" t="s">
        <v>2102</v>
      </c>
      <c r="M138" s="636" t="s">
        <v>2099</v>
      </c>
    </row>
    <row r="139" spans="10:13">
      <c r="J139" t="s">
        <v>9503</v>
      </c>
      <c r="K139" t="s">
        <v>9529</v>
      </c>
      <c r="L139" t="s">
        <v>2103</v>
      </c>
      <c r="M139" s="636" t="s">
        <v>2099</v>
      </c>
    </row>
    <row r="140" spans="10:13">
      <c r="J140" t="s">
        <v>9503</v>
      </c>
      <c r="K140" t="s">
        <v>9480</v>
      </c>
      <c r="L140" t="s">
        <v>2104</v>
      </c>
      <c r="M140" s="636" t="s">
        <v>2104</v>
      </c>
    </row>
    <row r="141" spans="10:13">
      <c r="J141" t="s">
        <v>9503</v>
      </c>
      <c r="K141" t="s">
        <v>9530</v>
      </c>
      <c r="L141" t="s">
        <v>2105</v>
      </c>
      <c r="M141" s="636" t="s">
        <v>2104</v>
      </c>
    </row>
    <row r="142" spans="10:13">
      <c r="J142" t="s">
        <v>9503</v>
      </c>
      <c r="K142" t="s">
        <v>9531</v>
      </c>
      <c r="L142" t="s">
        <v>2106</v>
      </c>
      <c r="M142" s="636" t="s">
        <v>2104</v>
      </c>
    </row>
    <row r="143" spans="10:13">
      <c r="J143" t="s">
        <v>9503</v>
      </c>
      <c r="K143" t="s">
        <v>9532</v>
      </c>
      <c r="L143" t="s">
        <v>2107</v>
      </c>
      <c r="M143" s="636" t="s">
        <v>2104</v>
      </c>
    </row>
    <row r="144" spans="10:13">
      <c r="J144" t="s">
        <v>9503</v>
      </c>
      <c r="K144" t="s">
        <v>9533</v>
      </c>
      <c r="L144" t="s">
        <v>2108</v>
      </c>
      <c r="M144" s="636" t="s">
        <v>2104</v>
      </c>
    </row>
    <row r="145" spans="10:13">
      <c r="J145" t="s">
        <v>9534</v>
      </c>
      <c r="K145" t="s">
        <v>9436</v>
      </c>
      <c r="L145" t="s">
        <v>2109</v>
      </c>
      <c r="M145" s="636" t="s">
        <v>2109</v>
      </c>
    </row>
    <row r="146" spans="10:13">
      <c r="J146" t="s">
        <v>9534</v>
      </c>
      <c r="K146" t="s">
        <v>9535</v>
      </c>
      <c r="L146" t="s">
        <v>2110</v>
      </c>
      <c r="M146" s="636" t="s">
        <v>2109</v>
      </c>
    </row>
    <row r="147" spans="10:13">
      <c r="J147" t="s">
        <v>9534</v>
      </c>
      <c r="K147" t="s">
        <v>9536</v>
      </c>
      <c r="L147" t="s">
        <v>2111</v>
      </c>
      <c r="M147" s="636" t="s">
        <v>2109</v>
      </c>
    </row>
    <row r="148" spans="10:13">
      <c r="J148" t="s">
        <v>9534</v>
      </c>
      <c r="K148" t="s">
        <v>9537</v>
      </c>
      <c r="L148" t="s">
        <v>2112</v>
      </c>
      <c r="M148" s="636" t="s">
        <v>2109</v>
      </c>
    </row>
    <row r="149" spans="10:13">
      <c r="J149" t="s">
        <v>9534</v>
      </c>
      <c r="K149" t="s">
        <v>9538</v>
      </c>
      <c r="L149" t="s">
        <v>2113</v>
      </c>
      <c r="M149" s="636" t="s">
        <v>2109</v>
      </c>
    </row>
    <row r="150" spans="10:13">
      <c r="J150" t="s">
        <v>9534</v>
      </c>
      <c r="K150" t="s">
        <v>9539</v>
      </c>
      <c r="L150" t="s">
        <v>2114</v>
      </c>
      <c r="M150" s="636" t="s">
        <v>2109</v>
      </c>
    </row>
    <row r="151" spans="10:13">
      <c r="J151" t="s">
        <v>9534</v>
      </c>
      <c r="K151" t="s">
        <v>9540</v>
      </c>
      <c r="L151" t="s">
        <v>2115</v>
      </c>
      <c r="M151" s="636" t="s">
        <v>2109</v>
      </c>
    </row>
    <row r="152" spans="10:13">
      <c r="J152" t="s">
        <v>9534</v>
      </c>
      <c r="K152" t="s">
        <v>9442</v>
      </c>
      <c r="L152" t="s">
        <v>2116</v>
      </c>
      <c r="M152" s="636" t="s">
        <v>2116</v>
      </c>
    </row>
    <row r="153" spans="10:13">
      <c r="J153" t="s">
        <v>9534</v>
      </c>
      <c r="K153" t="s">
        <v>9541</v>
      </c>
      <c r="L153" t="s">
        <v>2117</v>
      </c>
      <c r="M153" s="636" t="s">
        <v>2116</v>
      </c>
    </row>
    <row r="154" spans="10:13">
      <c r="J154" t="s">
        <v>9534</v>
      </c>
      <c r="K154" t="s">
        <v>9542</v>
      </c>
      <c r="L154" t="s">
        <v>2118</v>
      </c>
      <c r="M154" s="636" t="s">
        <v>2116</v>
      </c>
    </row>
    <row r="155" spans="10:13">
      <c r="J155" t="s">
        <v>9534</v>
      </c>
      <c r="K155" t="s">
        <v>9543</v>
      </c>
      <c r="L155" t="s">
        <v>2119</v>
      </c>
      <c r="M155" s="636" t="s">
        <v>2116</v>
      </c>
    </row>
    <row r="156" spans="10:13">
      <c r="J156" t="s">
        <v>9534</v>
      </c>
      <c r="K156" t="s">
        <v>9544</v>
      </c>
      <c r="L156" t="s">
        <v>2120</v>
      </c>
      <c r="M156" s="636" t="s">
        <v>2116</v>
      </c>
    </row>
    <row r="157" spans="10:13">
      <c r="J157" t="s">
        <v>9534</v>
      </c>
      <c r="K157" t="s">
        <v>9474</v>
      </c>
      <c r="L157" t="s">
        <v>2121</v>
      </c>
      <c r="M157" s="636" t="s">
        <v>2121</v>
      </c>
    </row>
    <row r="158" spans="10:13">
      <c r="J158" t="s">
        <v>9534</v>
      </c>
      <c r="K158" t="s">
        <v>9545</v>
      </c>
      <c r="L158" t="s">
        <v>2122</v>
      </c>
      <c r="M158" s="636" t="s">
        <v>2121</v>
      </c>
    </row>
    <row r="159" spans="10:13">
      <c r="J159" t="s">
        <v>9534</v>
      </c>
      <c r="K159" t="s">
        <v>9546</v>
      </c>
      <c r="L159" t="s">
        <v>2123</v>
      </c>
      <c r="M159" s="636" t="s">
        <v>2121</v>
      </c>
    </row>
    <row r="160" spans="10:13">
      <c r="J160" t="s">
        <v>9534</v>
      </c>
      <c r="K160" t="s">
        <v>9547</v>
      </c>
      <c r="L160" t="s">
        <v>2124</v>
      </c>
      <c r="M160" s="636" t="s">
        <v>2121</v>
      </c>
    </row>
    <row r="161" spans="10:13">
      <c r="J161" t="s">
        <v>9534</v>
      </c>
      <c r="K161" t="s">
        <v>9548</v>
      </c>
      <c r="L161" t="s">
        <v>2125</v>
      </c>
      <c r="M161" s="636" t="s">
        <v>2121</v>
      </c>
    </row>
    <row r="162" spans="10:13">
      <c r="J162" t="s">
        <v>9534</v>
      </c>
      <c r="K162" t="s">
        <v>9549</v>
      </c>
      <c r="L162" t="s">
        <v>2126</v>
      </c>
      <c r="M162" s="636" t="s">
        <v>2121</v>
      </c>
    </row>
    <row r="163" spans="10:13">
      <c r="J163" t="s">
        <v>9534</v>
      </c>
      <c r="K163" t="s">
        <v>9550</v>
      </c>
      <c r="L163" t="s">
        <v>2127</v>
      </c>
      <c r="M163" s="636" t="s">
        <v>2121</v>
      </c>
    </row>
    <row r="164" spans="10:13">
      <c r="J164" t="s">
        <v>9534</v>
      </c>
      <c r="K164" t="s">
        <v>9480</v>
      </c>
      <c r="L164" t="s">
        <v>2128</v>
      </c>
      <c r="M164" s="636" t="s">
        <v>2128</v>
      </c>
    </row>
    <row r="165" spans="10:13">
      <c r="J165" t="s">
        <v>9534</v>
      </c>
      <c r="K165" t="s">
        <v>9551</v>
      </c>
      <c r="L165" t="s">
        <v>2129</v>
      </c>
      <c r="M165" s="636" t="s">
        <v>2128</v>
      </c>
    </row>
    <row r="166" spans="10:13">
      <c r="J166" t="s">
        <v>9534</v>
      </c>
      <c r="K166" t="s">
        <v>9552</v>
      </c>
      <c r="L166" t="s">
        <v>2130</v>
      </c>
      <c r="M166" s="636" t="s">
        <v>2128</v>
      </c>
    </row>
    <row r="167" spans="10:13">
      <c r="J167" t="s">
        <v>9534</v>
      </c>
      <c r="K167" t="s">
        <v>9553</v>
      </c>
      <c r="L167" t="s">
        <v>2131</v>
      </c>
      <c r="M167" s="636" t="s">
        <v>2128</v>
      </c>
    </row>
    <row r="168" spans="10:13">
      <c r="J168" t="s">
        <v>9534</v>
      </c>
      <c r="K168" t="s">
        <v>9554</v>
      </c>
      <c r="L168" t="s">
        <v>2132</v>
      </c>
      <c r="M168" s="636" t="s">
        <v>2128</v>
      </c>
    </row>
    <row r="169" spans="10:13">
      <c r="J169" t="s">
        <v>9555</v>
      </c>
      <c r="K169" t="s">
        <v>9448</v>
      </c>
      <c r="L169" t="s">
        <v>2133</v>
      </c>
      <c r="M169" s="636" t="s">
        <v>2133</v>
      </c>
    </row>
    <row r="170" spans="10:13">
      <c r="J170" t="s">
        <v>9555</v>
      </c>
      <c r="K170" t="s">
        <v>9556</v>
      </c>
      <c r="L170" t="s">
        <v>2134</v>
      </c>
      <c r="M170" s="636" t="s">
        <v>2133</v>
      </c>
    </row>
    <row r="171" spans="10:13">
      <c r="J171" t="s">
        <v>9555</v>
      </c>
      <c r="K171" t="s">
        <v>9557</v>
      </c>
      <c r="L171" t="s">
        <v>1214</v>
      </c>
      <c r="M171" s="636" t="s">
        <v>2133</v>
      </c>
    </row>
    <row r="172" spans="10:13">
      <c r="J172" t="s">
        <v>9555</v>
      </c>
      <c r="K172" t="s">
        <v>9558</v>
      </c>
      <c r="L172" t="s">
        <v>1232</v>
      </c>
      <c r="M172" s="636" t="s">
        <v>2133</v>
      </c>
    </row>
    <row r="173" spans="10:13">
      <c r="J173" t="s">
        <v>9555</v>
      </c>
      <c r="K173" t="s">
        <v>9559</v>
      </c>
      <c r="L173" t="s">
        <v>1269</v>
      </c>
      <c r="M173" s="636" t="s">
        <v>2133</v>
      </c>
    </row>
    <row r="174" spans="10:13">
      <c r="J174" t="s">
        <v>9555</v>
      </c>
      <c r="K174" t="s">
        <v>9560</v>
      </c>
      <c r="L174" t="s">
        <v>1288</v>
      </c>
      <c r="M174" s="636" t="s">
        <v>2133</v>
      </c>
    </row>
    <row r="175" spans="10:13">
      <c r="J175" t="s">
        <v>9555</v>
      </c>
      <c r="K175" t="s">
        <v>9561</v>
      </c>
      <c r="L175" t="s">
        <v>1323</v>
      </c>
      <c r="M175" s="636" t="s">
        <v>2133</v>
      </c>
    </row>
    <row r="176" spans="10:13">
      <c r="J176" t="s">
        <v>9555</v>
      </c>
      <c r="K176" t="s">
        <v>9454</v>
      </c>
      <c r="L176" t="s">
        <v>2135</v>
      </c>
      <c r="M176" s="636" t="s">
        <v>2135</v>
      </c>
    </row>
    <row r="177" spans="10:13">
      <c r="J177" t="s">
        <v>9555</v>
      </c>
      <c r="K177" t="s">
        <v>9562</v>
      </c>
      <c r="L177" t="s">
        <v>1423</v>
      </c>
      <c r="M177" s="636" t="s">
        <v>2135</v>
      </c>
    </row>
    <row r="178" spans="10:13">
      <c r="J178" t="s">
        <v>9555</v>
      </c>
      <c r="K178" t="s">
        <v>9563</v>
      </c>
      <c r="L178" t="s">
        <v>1411</v>
      </c>
      <c r="M178" s="636" t="s">
        <v>2135</v>
      </c>
    </row>
    <row r="179" spans="10:13">
      <c r="J179" t="s">
        <v>9555</v>
      </c>
      <c r="K179" t="s">
        <v>9564</v>
      </c>
      <c r="L179" t="s">
        <v>1379</v>
      </c>
      <c r="M179" s="636" t="s">
        <v>2135</v>
      </c>
    </row>
    <row r="180" spans="10:13">
      <c r="J180" t="s">
        <v>9555</v>
      </c>
      <c r="K180" t="s">
        <v>9565</v>
      </c>
      <c r="L180" t="s">
        <v>1367</v>
      </c>
      <c r="M180" s="636" t="s">
        <v>2135</v>
      </c>
    </row>
    <row r="181" spans="10:13">
      <c r="J181" t="s">
        <v>9555</v>
      </c>
      <c r="K181" t="s">
        <v>9436</v>
      </c>
      <c r="L181" t="s">
        <v>2136</v>
      </c>
      <c r="M181" s="636" t="s">
        <v>2136</v>
      </c>
    </row>
    <row r="182" spans="10:13">
      <c r="J182" t="s">
        <v>9555</v>
      </c>
      <c r="K182" t="s">
        <v>9566</v>
      </c>
      <c r="L182" t="s">
        <v>1456</v>
      </c>
      <c r="M182" s="636" t="s">
        <v>2136</v>
      </c>
    </row>
    <row r="183" spans="10:13">
      <c r="J183" t="s">
        <v>9555</v>
      </c>
      <c r="K183" t="s">
        <v>9567</v>
      </c>
      <c r="L183" t="s">
        <v>1492</v>
      </c>
      <c r="M183" s="636" t="s">
        <v>2136</v>
      </c>
    </row>
    <row r="184" spans="10:13">
      <c r="J184" t="s">
        <v>9555</v>
      </c>
      <c r="K184" t="s">
        <v>9568</v>
      </c>
      <c r="L184" t="s">
        <v>1507</v>
      </c>
      <c r="M184" s="636" t="s">
        <v>2136</v>
      </c>
    </row>
    <row r="185" spans="10:13">
      <c r="J185" t="s">
        <v>9555</v>
      </c>
      <c r="K185" t="s">
        <v>9569</v>
      </c>
      <c r="L185" t="s">
        <v>1541</v>
      </c>
      <c r="M185" s="636" t="s">
        <v>2136</v>
      </c>
    </row>
    <row r="186" spans="10:13">
      <c r="J186" t="s">
        <v>9555</v>
      </c>
      <c r="K186" t="s">
        <v>9442</v>
      </c>
      <c r="L186" t="s">
        <v>2137</v>
      </c>
      <c r="M186" s="636" t="s">
        <v>2137</v>
      </c>
    </row>
    <row r="187" spans="10:13">
      <c r="J187" t="s">
        <v>9555</v>
      </c>
      <c r="K187" t="s">
        <v>9570</v>
      </c>
      <c r="L187" t="s">
        <v>1690</v>
      </c>
      <c r="M187" s="636" t="s">
        <v>2137</v>
      </c>
    </row>
    <row r="188" spans="10:13">
      <c r="J188" t="s">
        <v>9555</v>
      </c>
      <c r="K188" t="s">
        <v>9571</v>
      </c>
      <c r="L188" t="s">
        <v>1680</v>
      </c>
      <c r="M188" s="636" t="s">
        <v>2137</v>
      </c>
    </row>
    <row r="189" spans="10:13">
      <c r="J189" t="s">
        <v>9555</v>
      </c>
      <c r="K189" t="s">
        <v>9572</v>
      </c>
      <c r="L189" t="s">
        <v>1647</v>
      </c>
      <c r="M189" s="636" t="s">
        <v>2137</v>
      </c>
    </row>
    <row r="190" spans="10:13">
      <c r="J190" t="s">
        <v>9555</v>
      </c>
      <c r="K190" t="s">
        <v>9573</v>
      </c>
      <c r="L190" t="s">
        <v>1633</v>
      </c>
      <c r="M190" s="636" t="s">
        <v>2137</v>
      </c>
    </row>
    <row r="191" spans="10:13">
      <c r="J191" t="s">
        <v>9555</v>
      </c>
      <c r="K191" t="s">
        <v>9574</v>
      </c>
      <c r="L191" t="s">
        <v>1599</v>
      </c>
      <c r="M191" s="636" t="s">
        <v>2137</v>
      </c>
    </row>
    <row r="192" spans="10:13">
      <c r="J192" t="s">
        <v>9555</v>
      </c>
      <c r="K192" t="s">
        <v>9575</v>
      </c>
      <c r="L192" t="s">
        <v>1587</v>
      </c>
      <c r="M192" s="636" t="s">
        <v>2137</v>
      </c>
    </row>
    <row r="193" spans="10:13">
      <c r="J193" t="s">
        <v>9576</v>
      </c>
      <c r="K193" t="s">
        <v>9577</v>
      </c>
      <c r="L193" t="s">
        <v>2138</v>
      </c>
      <c r="M193" s="636" t="s">
        <v>2138</v>
      </c>
    </row>
    <row r="194" spans="10:13">
      <c r="J194" t="s">
        <v>9576</v>
      </c>
      <c r="K194" t="s">
        <v>9578</v>
      </c>
      <c r="L194" t="s">
        <v>2139</v>
      </c>
      <c r="M194" s="636" t="s">
        <v>2138</v>
      </c>
    </row>
    <row r="195" spans="10:13">
      <c r="J195" t="s">
        <v>9576</v>
      </c>
      <c r="K195" t="s">
        <v>9579</v>
      </c>
      <c r="L195" t="s">
        <v>2140</v>
      </c>
      <c r="M195" s="636" t="s">
        <v>2138</v>
      </c>
    </row>
    <row r="196" spans="10:13">
      <c r="J196" t="s">
        <v>9576</v>
      </c>
      <c r="K196" t="s">
        <v>9580</v>
      </c>
      <c r="L196" t="s">
        <v>2141</v>
      </c>
      <c r="M196" s="636" t="s">
        <v>2138</v>
      </c>
    </row>
    <row r="197" spans="10:13">
      <c r="J197" t="s">
        <v>9576</v>
      </c>
      <c r="K197" t="s">
        <v>9581</v>
      </c>
      <c r="L197" t="s">
        <v>2142</v>
      </c>
      <c r="M197" s="636" t="s">
        <v>2138</v>
      </c>
    </row>
    <row r="198" spans="10:13">
      <c r="J198" t="s">
        <v>9576</v>
      </c>
      <c r="K198" t="s">
        <v>9582</v>
      </c>
      <c r="L198" t="s">
        <v>2143</v>
      </c>
      <c r="M198" s="636" t="s">
        <v>2138</v>
      </c>
    </row>
    <row r="199" spans="10:13">
      <c r="J199" t="s">
        <v>9576</v>
      </c>
      <c r="K199" t="s">
        <v>9583</v>
      </c>
      <c r="L199" t="s">
        <v>2144</v>
      </c>
      <c r="M199" s="636" t="s">
        <v>2144</v>
      </c>
    </row>
    <row r="200" spans="10:13">
      <c r="J200" t="s">
        <v>9576</v>
      </c>
      <c r="K200" t="s">
        <v>9584</v>
      </c>
      <c r="L200" t="s">
        <v>2145</v>
      </c>
      <c r="M200" s="636" t="s">
        <v>2144</v>
      </c>
    </row>
    <row r="201" spans="10:13">
      <c r="J201" t="s">
        <v>9576</v>
      </c>
      <c r="K201" t="s">
        <v>9585</v>
      </c>
      <c r="L201" t="s">
        <v>2146</v>
      </c>
      <c r="M201" s="636" t="s">
        <v>2144</v>
      </c>
    </row>
    <row r="202" spans="10:13">
      <c r="J202" t="s">
        <v>9576</v>
      </c>
      <c r="K202" t="s">
        <v>9586</v>
      </c>
      <c r="L202" t="s">
        <v>2147</v>
      </c>
      <c r="M202" s="636" t="s">
        <v>2144</v>
      </c>
    </row>
    <row r="203" spans="10:13">
      <c r="J203" t="s">
        <v>9576</v>
      </c>
      <c r="K203" t="s">
        <v>9587</v>
      </c>
      <c r="L203" t="s">
        <v>2148</v>
      </c>
      <c r="M203" s="636" t="s">
        <v>2144</v>
      </c>
    </row>
    <row r="204" spans="10:13">
      <c r="J204" t="s">
        <v>9576</v>
      </c>
      <c r="K204" t="s">
        <v>9588</v>
      </c>
      <c r="L204" t="s">
        <v>2149</v>
      </c>
      <c r="M204" s="636" t="s">
        <v>2144</v>
      </c>
    </row>
    <row r="205" spans="10:13">
      <c r="J205" t="s">
        <v>9576</v>
      </c>
      <c r="K205" t="s">
        <v>9589</v>
      </c>
      <c r="L205" t="s">
        <v>2150</v>
      </c>
      <c r="M205" s="636" t="s">
        <v>2150</v>
      </c>
    </row>
    <row r="206" spans="10:13">
      <c r="J206" t="s">
        <v>9576</v>
      </c>
      <c r="K206" t="s">
        <v>9590</v>
      </c>
      <c r="L206" t="s">
        <v>2151</v>
      </c>
      <c r="M206" s="636" t="s">
        <v>2150</v>
      </c>
    </row>
    <row r="207" spans="10:13">
      <c r="J207" t="s">
        <v>9576</v>
      </c>
      <c r="K207" t="s">
        <v>9591</v>
      </c>
      <c r="L207" t="s">
        <v>2152</v>
      </c>
      <c r="M207" s="636" t="s">
        <v>2150</v>
      </c>
    </row>
    <row r="208" spans="10:13">
      <c r="J208" t="s">
        <v>9576</v>
      </c>
      <c r="K208" t="s">
        <v>9592</v>
      </c>
      <c r="L208" t="s">
        <v>2153</v>
      </c>
      <c r="M208" s="636" t="s">
        <v>2150</v>
      </c>
    </row>
    <row r="209" spans="10:13">
      <c r="J209" t="s">
        <v>9576</v>
      </c>
      <c r="K209" t="s">
        <v>9593</v>
      </c>
      <c r="L209" t="s">
        <v>2040</v>
      </c>
      <c r="M209" s="636" t="s">
        <v>2150</v>
      </c>
    </row>
    <row r="210" spans="10:13">
      <c r="J210" t="s">
        <v>9576</v>
      </c>
      <c r="K210" t="s">
        <v>9594</v>
      </c>
      <c r="L210" t="s">
        <v>2154</v>
      </c>
      <c r="M210" s="636" t="s">
        <v>2150</v>
      </c>
    </row>
    <row r="211" spans="10:13">
      <c r="J211" t="s">
        <v>9595</v>
      </c>
      <c r="K211" t="s">
        <v>9448</v>
      </c>
      <c r="L211" t="s">
        <v>2155</v>
      </c>
      <c r="M211" s="636" t="s">
        <v>2155</v>
      </c>
    </row>
    <row r="212" spans="10:13">
      <c r="J212" t="s">
        <v>9595</v>
      </c>
      <c r="K212" t="s">
        <v>9596</v>
      </c>
      <c r="L212" t="s">
        <v>2156</v>
      </c>
      <c r="M212" s="636" t="s">
        <v>2155</v>
      </c>
    </row>
    <row r="213" spans="10:13">
      <c r="J213" t="s">
        <v>9595</v>
      </c>
      <c r="K213" t="s">
        <v>9597</v>
      </c>
      <c r="L213" t="s">
        <v>1215</v>
      </c>
      <c r="M213" s="636" t="s">
        <v>2155</v>
      </c>
    </row>
    <row r="214" spans="10:13">
      <c r="J214" t="s">
        <v>9595</v>
      </c>
      <c r="K214" t="s">
        <v>9598</v>
      </c>
      <c r="L214" t="s">
        <v>1233</v>
      </c>
      <c r="M214" s="636" t="s">
        <v>2155</v>
      </c>
    </row>
    <row r="215" spans="10:13">
      <c r="J215" t="s">
        <v>9595</v>
      </c>
      <c r="K215" t="s">
        <v>9599</v>
      </c>
      <c r="L215" t="s">
        <v>1271</v>
      </c>
      <c r="M215" s="636" t="s">
        <v>2155</v>
      </c>
    </row>
    <row r="216" spans="10:13">
      <c r="J216" t="s">
        <v>9595</v>
      </c>
      <c r="K216" t="s">
        <v>9600</v>
      </c>
      <c r="L216" t="s">
        <v>1289</v>
      </c>
      <c r="M216" s="636" t="s">
        <v>2155</v>
      </c>
    </row>
    <row r="217" spans="10:13">
      <c r="J217" t="s">
        <v>9595</v>
      </c>
      <c r="K217" t="s">
        <v>9454</v>
      </c>
      <c r="L217" t="s">
        <v>2157</v>
      </c>
      <c r="M217" s="636" t="s">
        <v>2157</v>
      </c>
    </row>
    <row r="218" spans="10:13">
      <c r="J218" t="s">
        <v>9595</v>
      </c>
      <c r="K218" t="s">
        <v>9601</v>
      </c>
      <c r="L218" t="s">
        <v>2158</v>
      </c>
      <c r="M218" s="636" t="s">
        <v>2157</v>
      </c>
    </row>
    <row r="219" spans="10:13">
      <c r="J219" t="s">
        <v>9595</v>
      </c>
      <c r="K219" t="s">
        <v>9602</v>
      </c>
      <c r="L219" t="s">
        <v>1369</v>
      </c>
      <c r="M219" s="636" t="s">
        <v>2157</v>
      </c>
    </row>
    <row r="220" spans="10:13">
      <c r="J220" t="s">
        <v>9595</v>
      </c>
      <c r="K220" t="s">
        <v>9603</v>
      </c>
      <c r="L220" t="s">
        <v>1380</v>
      </c>
      <c r="M220" s="636" t="s">
        <v>2157</v>
      </c>
    </row>
    <row r="221" spans="10:13">
      <c r="J221" t="s">
        <v>9595</v>
      </c>
      <c r="K221" t="s">
        <v>9604</v>
      </c>
      <c r="L221" t="s">
        <v>1413</v>
      </c>
      <c r="M221" s="636" t="s">
        <v>2157</v>
      </c>
    </row>
    <row r="222" spans="10:13">
      <c r="J222" t="s">
        <v>9595</v>
      </c>
      <c r="K222" t="s">
        <v>9605</v>
      </c>
      <c r="L222" t="s">
        <v>1424</v>
      </c>
      <c r="M222" s="636" t="s">
        <v>2157</v>
      </c>
    </row>
    <row r="223" spans="10:13">
      <c r="J223" t="s">
        <v>9595</v>
      </c>
      <c r="K223" t="s">
        <v>9436</v>
      </c>
      <c r="L223" t="s">
        <v>2159</v>
      </c>
      <c r="M223" s="636" t="s">
        <v>2159</v>
      </c>
    </row>
    <row r="224" spans="10:13">
      <c r="J224" t="s">
        <v>9595</v>
      </c>
      <c r="K224" t="s">
        <v>9606</v>
      </c>
      <c r="L224" t="s">
        <v>131</v>
      </c>
      <c r="M224" s="636" t="s">
        <v>2159</v>
      </c>
    </row>
    <row r="225" spans="10:13">
      <c r="J225" t="s">
        <v>9595</v>
      </c>
      <c r="K225" t="s">
        <v>9607</v>
      </c>
      <c r="L225" t="s">
        <v>128</v>
      </c>
      <c r="M225" s="636" t="s">
        <v>2159</v>
      </c>
    </row>
    <row r="226" spans="10:13">
      <c r="J226" t="s">
        <v>9595</v>
      </c>
      <c r="K226" t="s">
        <v>9608</v>
      </c>
      <c r="L226" t="s">
        <v>2160</v>
      </c>
      <c r="M226" s="636" t="s">
        <v>2159</v>
      </c>
    </row>
    <row r="227" spans="10:13">
      <c r="J227" t="s">
        <v>9595</v>
      </c>
      <c r="K227" t="s">
        <v>9609</v>
      </c>
      <c r="L227" t="s">
        <v>124</v>
      </c>
      <c r="M227" s="636" t="s">
        <v>2159</v>
      </c>
    </row>
    <row r="228" spans="10:13">
      <c r="J228" t="s">
        <v>9595</v>
      </c>
      <c r="K228" t="s">
        <v>9610</v>
      </c>
      <c r="L228" t="s">
        <v>141</v>
      </c>
      <c r="M228" s="636" t="s">
        <v>2159</v>
      </c>
    </row>
    <row r="229" spans="10:13">
      <c r="J229" t="s">
        <v>9595</v>
      </c>
      <c r="K229" t="s">
        <v>9442</v>
      </c>
      <c r="L229" t="s">
        <v>2161</v>
      </c>
      <c r="M229" s="636" t="s">
        <v>2161</v>
      </c>
    </row>
    <row r="230" spans="10:13">
      <c r="J230" t="s">
        <v>9595</v>
      </c>
      <c r="K230" t="s">
        <v>9611</v>
      </c>
      <c r="L230" t="s">
        <v>155</v>
      </c>
      <c r="M230" s="636" t="s">
        <v>2161</v>
      </c>
    </row>
    <row r="231" spans="10:13">
      <c r="J231" t="s">
        <v>9595</v>
      </c>
      <c r="K231" t="s">
        <v>9612</v>
      </c>
      <c r="L231" t="s">
        <v>158</v>
      </c>
      <c r="M231" s="636" t="s">
        <v>2161</v>
      </c>
    </row>
    <row r="232" spans="10:13">
      <c r="J232" t="s">
        <v>9595</v>
      </c>
      <c r="K232" t="s">
        <v>9613</v>
      </c>
      <c r="L232" t="s">
        <v>168</v>
      </c>
      <c r="M232" s="636" t="s">
        <v>2161</v>
      </c>
    </row>
    <row r="233" spans="10:13">
      <c r="J233" t="s">
        <v>9595</v>
      </c>
      <c r="K233" t="s">
        <v>9614</v>
      </c>
      <c r="L233" t="s">
        <v>171</v>
      </c>
      <c r="M233" s="636" t="s">
        <v>2161</v>
      </c>
    </row>
    <row r="234" spans="10:13">
      <c r="J234" t="s">
        <v>9595</v>
      </c>
      <c r="K234" t="s">
        <v>9615</v>
      </c>
      <c r="L234" t="s">
        <v>174</v>
      </c>
      <c r="M234" s="636" t="s">
        <v>2161</v>
      </c>
    </row>
    <row r="235" spans="10:13">
      <c r="J235" t="s">
        <v>9616</v>
      </c>
      <c r="K235" t="s">
        <v>9448</v>
      </c>
      <c r="L235" t="s">
        <v>2162</v>
      </c>
      <c r="M235" s="636" t="s">
        <v>2162</v>
      </c>
    </row>
    <row r="236" spans="10:13">
      <c r="J236" t="s">
        <v>9616</v>
      </c>
      <c r="K236" t="s">
        <v>9617</v>
      </c>
      <c r="L236" t="s">
        <v>1932</v>
      </c>
      <c r="M236" s="636" t="s">
        <v>2162</v>
      </c>
    </row>
    <row r="237" spans="10:13">
      <c r="J237" t="s">
        <v>9616</v>
      </c>
      <c r="K237" t="s">
        <v>9618</v>
      </c>
      <c r="L237" t="s">
        <v>1934</v>
      </c>
      <c r="M237" s="636" t="s">
        <v>2162</v>
      </c>
    </row>
    <row r="238" spans="10:13">
      <c r="J238" t="s">
        <v>9616</v>
      </c>
      <c r="K238" t="s">
        <v>9619</v>
      </c>
      <c r="L238" t="s">
        <v>1935</v>
      </c>
      <c r="M238" s="636" t="s">
        <v>2162</v>
      </c>
    </row>
    <row r="239" spans="10:13">
      <c r="J239" t="s">
        <v>9616</v>
      </c>
      <c r="K239" t="s">
        <v>9620</v>
      </c>
      <c r="L239" t="s">
        <v>1936</v>
      </c>
      <c r="M239" s="636" t="s">
        <v>2162</v>
      </c>
    </row>
    <row r="240" spans="10:13">
      <c r="J240" t="s">
        <v>9616</v>
      </c>
      <c r="K240" t="s">
        <v>9621</v>
      </c>
      <c r="L240" t="s">
        <v>1937</v>
      </c>
      <c r="M240" s="636" t="s">
        <v>2162</v>
      </c>
    </row>
    <row r="241" spans="10:13">
      <c r="J241" t="s">
        <v>9616</v>
      </c>
      <c r="K241" t="s">
        <v>9454</v>
      </c>
      <c r="L241" t="s">
        <v>2163</v>
      </c>
      <c r="M241" s="636" t="s">
        <v>2163</v>
      </c>
    </row>
    <row r="242" spans="10:13">
      <c r="J242" t="s">
        <v>9616</v>
      </c>
      <c r="K242" t="s">
        <v>9622</v>
      </c>
      <c r="L242" t="s">
        <v>1938</v>
      </c>
      <c r="M242" s="636" t="s">
        <v>2163</v>
      </c>
    </row>
    <row r="243" spans="10:13">
      <c r="J243" t="s">
        <v>9616</v>
      </c>
      <c r="K243" t="s">
        <v>9623</v>
      </c>
      <c r="L243" t="s">
        <v>1939</v>
      </c>
      <c r="M243" s="636" t="s">
        <v>2163</v>
      </c>
    </row>
    <row r="244" spans="10:13">
      <c r="J244" t="s">
        <v>9616</v>
      </c>
      <c r="K244" t="s">
        <v>9624</v>
      </c>
      <c r="L244" t="s">
        <v>1940</v>
      </c>
      <c r="M244" s="636" t="s">
        <v>2163</v>
      </c>
    </row>
    <row r="245" spans="10:13">
      <c r="J245" t="s">
        <v>9616</v>
      </c>
      <c r="K245" t="s">
        <v>9625</v>
      </c>
      <c r="L245" t="s">
        <v>1941</v>
      </c>
      <c r="M245" s="636" t="s">
        <v>2163</v>
      </c>
    </row>
    <row r="246" spans="10:13">
      <c r="J246" t="s">
        <v>9616</v>
      </c>
      <c r="K246" t="s">
        <v>9626</v>
      </c>
      <c r="L246" t="s">
        <v>1942</v>
      </c>
      <c r="M246" s="636" t="s">
        <v>2163</v>
      </c>
    </row>
    <row r="247" spans="10:13">
      <c r="J247" t="s">
        <v>9616</v>
      </c>
      <c r="K247" t="s">
        <v>9436</v>
      </c>
      <c r="L247" t="s">
        <v>2164</v>
      </c>
      <c r="M247" s="636" t="s">
        <v>2164</v>
      </c>
    </row>
    <row r="248" spans="10:13">
      <c r="J248" t="s">
        <v>9616</v>
      </c>
      <c r="K248" t="s">
        <v>9627</v>
      </c>
      <c r="L248" t="s">
        <v>2017</v>
      </c>
      <c r="M248" s="636" t="s">
        <v>2164</v>
      </c>
    </row>
    <row r="249" spans="10:13">
      <c r="J249" t="s">
        <v>9616</v>
      </c>
      <c r="K249" t="s">
        <v>9628</v>
      </c>
      <c r="L249" t="s">
        <v>2019</v>
      </c>
      <c r="M249" s="636" t="s">
        <v>2164</v>
      </c>
    </row>
    <row r="250" spans="10:13">
      <c r="J250" t="s">
        <v>9616</v>
      </c>
      <c r="K250" t="s">
        <v>9629</v>
      </c>
      <c r="L250" t="s">
        <v>2020</v>
      </c>
      <c r="M250" s="636" t="s">
        <v>2164</v>
      </c>
    </row>
    <row r="251" spans="10:13">
      <c r="J251" t="s">
        <v>9616</v>
      </c>
      <c r="K251" t="s">
        <v>9630</v>
      </c>
      <c r="L251" t="s">
        <v>2021</v>
      </c>
      <c r="M251" s="636" t="s">
        <v>2164</v>
      </c>
    </row>
    <row r="252" spans="10:13">
      <c r="J252" t="s">
        <v>9616</v>
      </c>
      <c r="K252" t="s">
        <v>9631</v>
      </c>
      <c r="L252" t="s">
        <v>2022</v>
      </c>
      <c r="M252" s="636" t="s">
        <v>2164</v>
      </c>
    </row>
    <row r="253" spans="10:13">
      <c r="J253" t="s">
        <v>9616</v>
      </c>
      <c r="K253" t="s">
        <v>9442</v>
      </c>
      <c r="L253" t="s">
        <v>2165</v>
      </c>
      <c r="M253" s="636" t="s">
        <v>2165</v>
      </c>
    </row>
    <row r="254" spans="10:13">
      <c r="J254" t="s">
        <v>9616</v>
      </c>
      <c r="K254" t="s">
        <v>9632</v>
      </c>
      <c r="L254" t="s">
        <v>2023</v>
      </c>
      <c r="M254" s="636" t="s">
        <v>2165</v>
      </c>
    </row>
    <row r="255" spans="10:13">
      <c r="J255" t="s">
        <v>9616</v>
      </c>
      <c r="K255" t="s">
        <v>9633</v>
      </c>
      <c r="L255" t="s">
        <v>2024</v>
      </c>
      <c r="M255" s="636" t="s">
        <v>2165</v>
      </c>
    </row>
    <row r="256" spans="10:13">
      <c r="J256" t="s">
        <v>9616</v>
      </c>
      <c r="K256" t="s">
        <v>9634</v>
      </c>
      <c r="L256" t="s">
        <v>2025</v>
      </c>
      <c r="M256" s="636" t="s">
        <v>2165</v>
      </c>
    </row>
    <row r="257" spans="10:13">
      <c r="J257" t="s">
        <v>9616</v>
      </c>
      <c r="K257" t="s">
        <v>9635</v>
      </c>
      <c r="L257" t="s">
        <v>2026</v>
      </c>
      <c r="M257" s="636" t="s">
        <v>2165</v>
      </c>
    </row>
    <row r="258" spans="10:13">
      <c r="J258" t="s">
        <v>9616</v>
      </c>
      <c r="K258" t="s">
        <v>9636</v>
      </c>
      <c r="L258" t="s">
        <v>2027</v>
      </c>
      <c r="M258" s="636" t="s">
        <v>2165</v>
      </c>
    </row>
    <row r="259" spans="10:13">
      <c r="J259" t="s">
        <v>9637</v>
      </c>
      <c r="K259" t="s">
        <v>9436</v>
      </c>
      <c r="L259" t="s">
        <v>2166</v>
      </c>
      <c r="M259" s="636" t="s">
        <v>2166</v>
      </c>
    </row>
    <row r="260" spans="10:13">
      <c r="J260" t="s">
        <v>9637</v>
      </c>
      <c r="K260" t="s">
        <v>3290</v>
      </c>
      <c r="L260" t="s">
        <v>2167</v>
      </c>
      <c r="M260" s="636" t="s">
        <v>2166</v>
      </c>
    </row>
    <row r="261" spans="10:13">
      <c r="J261" t="s">
        <v>9637</v>
      </c>
      <c r="K261" t="s">
        <v>3291</v>
      </c>
      <c r="L261" t="s">
        <v>1217</v>
      </c>
      <c r="M261" s="636" t="s">
        <v>2166</v>
      </c>
    </row>
    <row r="262" spans="10:13">
      <c r="J262" t="s">
        <v>9637</v>
      </c>
      <c r="K262" t="s">
        <v>3292</v>
      </c>
      <c r="L262" t="s">
        <v>1235</v>
      </c>
      <c r="M262" s="636" t="s">
        <v>2166</v>
      </c>
    </row>
    <row r="263" spans="10:13">
      <c r="J263" t="s">
        <v>9637</v>
      </c>
      <c r="K263" t="s">
        <v>3293</v>
      </c>
      <c r="L263" t="s">
        <v>1273</v>
      </c>
      <c r="M263" s="636" t="s">
        <v>2166</v>
      </c>
    </row>
    <row r="264" spans="10:13">
      <c r="J264" t="s">
        <v>9637</v>
      </c>
      <c r="K264" t="s">
        <v>3294</v>
      </c>
      <c r="L264" t="s">
        <v>1291</v>
      </c>
      <c r="M264" s="636" t="s">
        <v>2166</v>
      </c>
    </row>
    <row r="265" spans="10:13">
      <c r="J265" t="s">
        <v>9637</v>
      </c>
      <c r="K265" t="s">
        <v>9442</v>
      </c>
      <c r="L265" t="s">
        <v>2168</v>
      </c>
      <c r="M265" s="636" t="s">
        <v>2168</v>
      </c>
    </row>
    <row r="266" spans="10:13">
      <c r="J266" t="s">
        <v>9637</v>
      </c>
      <c r="K266" t="s">
        <v>3295</v>
      </c>
      <c r="L266" t="s">
        <v>2169</v>
      </c>
      <c r="M266" s="636" t="s">
        <v>2168</v>
      </c>
    </row>
    <row r="267" spans="10:13">
      <c r="J267" t="s">
        <v>9637</v>
      </c>
      <c r="K267" t="s">
        <v>3296</v>
      </c>
      <c r="L267" t="s">
        <v>1371</v>
      </c>
      <c r="M267" s="636" t="s">
        <v>2168</v>
      </c>
    </row>
    <row r="268" spans="10:13">
      <c r="J268" t="s">
        <v>9637</v>
      </c>
      <c r="K268" t="s">
        <v>3297</v>
      </c>
      <c r="L268" t="s">
        <v>1382</v>
      </c>
      <c r="M268" s="636" t="s">
        <v>2168</v>
      </c>
    </row>
    <row r="269" spans="10:13">
      <c r="J269" t="s">
        <v>9637</v>
      </c>
      <c r="K269" t="s">
        <v>3298</v>
      </c>
      <c r="L269" t="s">
        <v>1415</v>
      </c>
      <c r="M269" s="636" t="s">
        <v>2168</v>
      </c>
    </row>
    <row r="270" spans="10:13">
      <c r="J270" t="s">
        <v>9637</v>
      </c>
      <c r="K270" t="s">
        <v>3299</v>
      </c>
      <c r="L270" t="s">
        <v>1426</v>
      </c>
      <c r="M270" s="636" t="s">
        <v>2168</v>
      </c>
    </row>
    <row r="271" spans="10:13">
      <c r="J271" t="s">
        <v>9637</v>
      </c>
      <c r="K271" t="s">
        <v>9474</v>
      </c>
      <c r="L271" t="s">
        <v>2170</v>
      </c>
      <c r="M271" s="636" t="s">
        <v>2170</v>
      </c>
    </row>
    <row r="272" spans="10:13">
      <c r="J272" t="s">
        <v>9637</v>
      </c>
      <c r="K272" t="s">
        <v>3300</v>
      </c>
      <c r="L272" t="s">
        <v>2171</v>
      </c>
      <c r="M272" s="636" t="s">
        <v>2170</v>
      </c>
    </row>
    <row r="273" spans="10:13">
      <c r="J273" t="s">
        <v>9637</v>
      </c>
      <c r="K273" t="s">
        <v>3301</v>
      </c>
      <c r="L273" t="s">
        <v>1495</v>
      </c>
      <c r="M273" s="636" t="s">
        <v>2170</v>
      </c>
    </row>
    <row r="274" spans="10:13">
      <c r="J274" t="s">
        <v>9637</v>
      </c>
      <c r="K274" t="s">
        <v>3302</v>
      </c>
      <c r="L274" t="s">
        <v>1509</v>
      </c>
      <c r="M274" s="636" t="s">
        <v>2170</v>
      </c>
    </row>
    <row r="275" spans="10:13">
      <c r="J275" t="s">
        <v>9637</v>
      </c>
      <c r="K275" t="s">
        <v>3303</v>
      </c>
      <c r="L275" t="s">
        <v>1545</v>
      </c>
      <c r="M275" s="636" t="s">
        <v>2170</v>
      </c>
    </row>
    <row r="276" spans="10:13">
      <c r="J276" t="s">
        <v>9637</v>
      </c>
      <c r="K276" t="s">
        <v>3304</v>
      </c>
      <c r="L276" t="s">
        <v>1557</v>
      </c>
      <c r="M276" s="636" t="s">
        <v>2170</v>
      </c>
    </row>
    <row r="277" spans="10:13">
      <c r="J277" t="s">
        <v>9637</v>
      </c>
      <c r="K277" t="s">
        <v>9480</v>
      </c>
      <c r="L277" t="s">
        <v>2172</v>
      </c>
      <c r="M277" s="636" t="s">
        <v>2172</v>
      </c>
    </row>
    <row r="278" spans="10:13">
      <c r="J278" t="s">
        <v>9637</v>
      </c>
      <c r="K278" t="s">
        <v>3305</v>
      </c>
      <c r="L278" t="s">
        <v>2173</v>
      </c>
      <c r="M278" s="636" t="s">
        <v>2172</v>
      </c>
    </row>
    <row r="279" spans="10:13">
      <c r="J279" t="s">
        <v>9637</v>
      </c>
      <c r="K279" t="s">
        <v>3306</v>
      </c>
      <c r="L279" t="s">
        <v>1637</v>
      </c>
      <c r="M279" s="636" t="s">
        <v>2172</v>
      </c>
    </row>
    <row r="280" spans="10:13">
      <c r="J280" t="s">
        <v>9637</v>
      </c>
      <c r="K280" t="s">
        <v>3307</v>
      </c>
      <c r="L280" t="s">
        <v>1649</v>
      </c>
      <c r="M280" s="636" t="s">
        <v>2172</v>
      </c>
    </row>
    <row r="281" spans="10:13">
      <c r="J281" t="s">
        <v>9637</v>
      </c>
      <c r="K281" t="s">
        <v>3308</v>
      </c>
      <c r="L281" t="s">
        <v>1684</v>
      </c>
      <c r="M281" s="636" t="s">
        <v>2172</v>
      </c>
    </row>
    <row r="282" spans="10:13">
      <c r="J282" t="s">
        <v>9637</v>
      </c>
      <c r="K282" t="s">
        <v>3309</v>
      </c>
      <c r="L282" t="s">
        <v>1693</v>
      </c>
      <c r="M282" s="636" t="s">
        <v>2172</v>
      </c>
    </row>
    <row r="283" spans="10:13">
      <c r="J283" t="s">
        <v>9637</v>
      </c>
      <c r="K283" t="s">
        <v>9577</v>
      </c>
      <c r="L283" t="s">
        <v>2174</v>
      </c>
      <c r="M283" s="636" t="s">
        <v>2174</v>
      </c>
    </row>
    <row r="284" spans="10:13">
      <c r="J284" t="s">
        <v>9637</v>
      </c>
      <c r="K284" t="s">
        <v>9583</v>
      </c>
      <c r="L284" t="s">
        <v>2175</v>
      </c>
      <c r="M284" s="636" t="s">
        <v>2175</v>
      </c>
    </row>
    <row r="285" spans="10:13">
      <c r="J285" t="s">
        <v>9637</v>
      </c>
      <c r="K285" t="s">
        <v>9589</v>
      </c>
      <c r="L285" t="s">
        <v>2176</v>
      </c>
      <c r="M285" s="636" t="s">
        <v>2176</v>
      </c>
    </row>
    <row r="286" spans="10:13">
      <c r="J286" t="s">
        <v>9638</v>
      </c>
      <c r="K286" t="s">
        <v>9448</v>
      </c>
      <c r="L286" t="s">
        <v>2177</v>
      </c>
      <c r="M286" s="636" t="s">
        <v>2177</v>
      </c>
    </row>
    <row r="287" spans="10:13">
      <c r="J287" t="s">
        <v>9638</v>
      </c>
      <c r="K287" t="s">
        <v>9639</v>
      </c>
      <c r="L287" t="s">
        <v>1943</v>
      </c>
      <c r="M287" s="636" t="s">
        <v>2177</v>
      </c>
    </row>
    <row r="288" spans="10:13">
      <c r="J288" t="s">
        <v>9638</v>
      </c>
      <c r="K288" t="s">
        <v>9640</v>
      </c>
      <c r="L288" t="s">
        <v>1945</v>
      </c>
      <c r="M288" s="636" t="s">
        <v>2177</v>
      </c>
    </row>
    <row r="289" spans="10:13">
      <c r="J289" t="s">
        <v>9638</v>
      </c>
      <c r="K289" t="s">
        <v>9641</v>
      </c>
      <c r="L289" t="s">
        <v>1946</v>
      </c>
      <c r="M289" s="636" t="s">
        <v>2177</v>
      </c>
    </row>
    <row r="290" spans="10:13">
      <c r="J290" t="s">
        <v>9638</v>
      </c>
      <c r="K290" t="s">
        <v>9642</v>
      </c>
      <c r="L290" t="s">
        <v>1947</v>
      </c>
      <c r="M290" s="636" t="s">
        <v>2177</v>
      </c>
    </row>
    <row r="291" spans="10:13">
      <c r="J291" t="s">
        <v>9638</v>
      </c>
      <c r="K291" t="s">
        <v>9643</v>
      </c>
      <c r="L291" t="s">
        <v>1948</v>
      </c>
      <c r="M291" s="636" t="s">
        <v>2177</v>
      </c>
    </row>
    <row r="292" spans="10:13">
      <c r="J292" t="s">
        <v>9638</v>
      </c>
      <c r="K292" t="s">
        <v>9454</v>
      </c>
      <c r="L292" t="s">
        <v>2178</v>
      </c>
      <c r="M292" s="636" t="s">
        <v>2178</v>
      </c>
    </row>
    <row r="293" spans="10:13">
      <c r="J293" t="s">
        <v>9638</v>
      </c>
      <c r="K293" t="s">
        <v>9644</v>
      </c>
      <c r="L293" t="s">
        <v>1949</v>
      </c>
      <c r="M293" s="636" t="s">
        <v>2178</v>
      </c>
    </row>
    <row r="294" spans="10:13">
      <c r="J294" t="s">
        <v>9638</v>
      </c>
      <c r="K294" t="s">
        <v>9645</v>
      </c>
      <c r="L294" t="s">
        <v>1950</v>
      </c>
      <c r="M294" s="636" t="s">
        <v>2178</v>
      </c>
    </row>
    <row r="295" spans="10:13">
      <c r="J295" t="s">
        <v>9638</v>
      </c>
      <c r="K295" t="s">
        <v>9646</v>
      </c>
      <c r="L295" t="s">
        <v>1383</v>
      </c>
      <c r="M295" s="636" t="s">
        <v>2178</v>
      </c>
    </row>
    <row r="296" spans="10:13">
      <c r="J296" t="s">
        <v>9638</v>
      </c>
      <c r="K296" t="s">
        <v>9647</v>
      </c>
      <c r="L296" t="s">
        <v>1416</v>
      </c>
      <c r="M296" s="636" t="s">
        <v>2178</v>
      </c>
    </row>
    <row r="297" spans="10:13">
      <c r="J297" t="s">
        <v>9638</v>
      </c>
      <c r="K297" t="s">
        <v>9648</v>
      </c>
      <c r="L297" t="s">
        <v>1427</v>
      </c>
      <c r="M297" s="636" t="s">
        <v>2178</v>
      </c>
    </row>
    <row r="298" spans="10:13">
      <c r="J298" t="s">
        <v>9649</v>
      </c>
      <c r="K298" t="s">
        <v>9448</v>
      </c>
      <c r="L298" t="s">
        <v>2179</v>
      </c>
      <c r="M298" s="636" t="s">
        <v>2179</v>
      </c>
    </row>
    <row r="299" spans="10:13">
      <c r="J299" t="s">
        <v>9649</v>
      </c>
      <c r="K299" t="s">
        <v>9650</v>
      </c>
      <c r="L299" t="s">
        <v>2029</v>
      </c>
      <c r="M299" s="636" t="s">
        <v>2179</v>
      </c>
    </row>
    <row r="300" spans="10:13">
      <c r="J300" t="s">
        <v>9649</v>
      </c>
      <c r="K300" t="s">
        <v>9651</v>
      </c>
      <c r="L300" t="s">
        <v>2180</v>
      </c>
      <c r="M300" s="636" t="s">
        <v>2179</v>
      </c>
    </row>
    <row r="301" spans="10:13">
      <c r="J301" t="s">
        <v>9649</v>
      </c>
      <c r="K301" t="s">
        <v>9652</v>
      </c>
      <c r="L301" t="s">
        <v>2181</v>
      </c>
      <c r="M301" s="636" t="s">
        <v>2179</v>
      </c>
    </row>
    <row r="302" spans="10:13">
      <c r="J302" t="s">
        <v>9649</v>
      </c>
      <c r="K302" t="s">
        <v>9653</v>
      </c>
      <c r="L302" t="s">
        <v>2182</v>
      </c>
      <c r="M302" s="636" t="s">
        <v>2179</v>
      </c>
    </row>
    <row r="303" spans="10:13">
      <c r="J303" t="s">
        <v>9649</v>
      </c>
      <c r="K303" t="s">
        <v>9654</v>
      </c>
      <c r="L303" t="s">
        <v>2183</v>
      </c>
      <c r="M303" s="636" t="s">
        <v>2179</v>
      </c>
    </row>
    <row r="304" spans="10:13">
      <c r="J304" t="s">
        <v>9649</v>
      </c>
      <c r="K304" t="s">
        <v>9454</v>
      </c>
      <c r="L304" t="s">
        <v>2184</v>
      </c>
      <c r="M304" s="636" t="s">
        <v>2184</v>
      </c>
    </row>
    <row r="305" spans="10:13">
      <c r="J305" t="s">
        <v>9649</v>
      </c>
      <c r="K305" t="s">
        <v>9655</v>
      </c>
      <c r="L305" t="s">
        <v>2185</v>
      </c>
      <c r="M305" s="636" t="s">
        <v>2184</v>
      </c>
    </row>
    <row r="306" spans="10:13">
      <c r="J306" t="s">
        <v>9649</v>
      </c>
      <c r="K306" t="s">
        <v>9656</v>
      </c>
      <c r="L306" t="s">
        <v>2186</v>
      </c>
      <c r="M306" s="636" t="s">
        <v>2184</v>
      </c>
    </row>
    <row r="307" spans="10:13">
      <c r="J307" t="s">
        <v>9649</v>
      </c>
      <c r="K307" t="s">
        <v>9657</v>
      </c>
      <c r="L307" t="s">
        <v>2187</v>
      </c>
      <c r="M307" s="636" t="s">
        <v>2184</v>
      </c>
    </row>
    <row r="308" spans="10:13">
      <c r="J308" t="s">
        <v>9649</v>
      </c>
      <c r="K308" t="s">
        <v>9658</v>
      </c>
      <c r="L308" t="s">
        <v>2031</v>
      </c>
      <c r="M308" s="636" t="s">
        <v>2184</v>
      </c>
    </row>
    <row r="309" spans="10:13">
      <c r="J309" t="s">
        <v>9649</v>
      </c>
      <c r="K309" t="s">
        <v>9659</v>
      </c>
      <c r="L309" t="s">
        <v>2188</v>
      </c>
      <c r="M309" s="636" t="s">
        <v>2184</v>
      </c>
    </row>
    <row r="310" spans="10:13">
      <c r="J310" t="s">
        <v>9649</v>
      </c>
      <c r="K310" t="s">
        <v>9436</v>
      </c>
      <c r="L310" t="s">
        <v>2189</v>
      </c>
      <c r="M310" s="636" t="s">
        <v>2189</v>
      </c>
    </row>
    <row r="311" spans="10:13">
      <c r="J311" t="s">
        <v>9649</v>
      </c>
      <c r="K311" t="s">
        <v>9660</v>
      </c>
      <c r="L311" t="s">
        <v>2190</v>
      </c>
      <c r="M311" s="636" t="s">
        <v>2189</v>
      </c>
    </row>
    <row r="312" spans="10:13">
      <c r="J312" t="s">
        <v>9649</v>
      </c>
      <c r="K312" t="s">
        <v>9661</v>
      </c>
      <c r="L312" t="s">
        <v>2191</v>
      </c>
      <c r="M312" s="636" t="s">
        <v>2189</v>
      </c>
    </row>
    <row r="313" spans="10:13">
      <c r="J313" t="s">
        <v>9649</v>
      </c>
      <c r="K313" t="s">
        <v>9662</v>
      </c>
      <c r="L313" t="s">
        <v>2033</v>
      </c>
      <c r="M313" s="636" t="s">
        <v>2189</v>
      </c>
    </row>
    <row r="314" spans="10:13">
      <c r="J314" t="s">
        <v>9649</v>
      </c>
      <c r="K314" t="s">
        <v>9663</v>
      </c>
      <c r="L314" t="s">
        <v>2192</v>
      </c>
      <c r="M314" s="636" t="s">
        <v>2189</v>
      </c>
    </row>
    <row r="315" spans="10:13">
      <c r="J315" t="s">
        <v>9649</v>
      </c>
      <c r="K315" t="s">
        <v>9664</v>
      </c>
      <c r="L315" t="s">
        <v>2193</v>
      </c>
      <c r="M315" s="636" t="s">
        <v>2189</v>
      </c>
    </row>
    <row r="316" spans="10:13">
      <c r="J316" t="s">
        <v>9649</v>
      </c>
      <c r="K316" t="s">
        <v>9442</v>
      </c>
      <c r="L316" t="s">
        <v>2194</v>
      </c>
      <c r="M316" s="636" t="s">
        <v>2194</v>
      </c>
    </row>
    <row r="317" spans="10:13">
      <c r="J317" t="s">
        <v>9649</v>
      </c>
      <c r="K317" t="s">
        <v>9665</v>
      </c>
      <c r="L317" t="s">
        <v>2035</v>
      </c>
      <c r="M317" s="636" t="s">
        <v>2194</v>
      </c>
    </row>
    <row r="318" spans="10:13">
      <c r="J318" t="s">
        <v>9649</v>
      </c>
      <c r="K318" t="s">
        <v>9666</v>
      </c>
      <c r="L318" t="s">
        <v>2195</v>
      </c>
      <c r="M318" s="636" t="s">
        <v>2194</v>
      </c>
    </row>
    <row r="319" spans="10:13">
      <c r="J319" t="s">
        <v>9649</v>
      </c>
      <c r="K319" t="s">
        <v>9667</v>
      </c>
      <c r="L319" t="s">
        <v>2196</v>
      </c>
      <c r="M319" s="636" t="s">
        <v>2194</v>
      </c>
    </row>
    <row r="320" spans="10:13">
      <c r="J320" t="s">
        <v>9649</v>
      </c>
      <c r="K320" t="s">
        <v>9668</v>
      </c>
      <c r="L320" t="s">
        <v>2197</v>
      </c>
      <c r="M320" s="636" t="s">
        <v>2194</v>
      </c>
    </row>
    <row r="321" spans="10:13">
      <c r="J321" t="s">
        <v>9649</v>
      </c>
      <c r="K321" t="s">
        <v>9669</v>
      </c>
      <c r="L321" t="s">
        <v>2198</v>
      </c>
      <c r="M321" s="636" t="s">
        <v>2194</v>
      </c>
    </row>
    <row r="322" spans="10:13">
      <c r="J322" t="s">
        <v>9670</v>
      </c>
      <c r="K322" t="s">
        <v>9448</v>
      </c>
      <c r="L322" t="s">
        <v>2199</v>
      </c>
      <c r="M322" s="636" t="s">
        <v>2199</v>
      </c>
    </row>
    <row r="323" spans="10:13">
      <c r="J323" t="s">
        <v>9670</v>
      </c>
      <c r="K323" t="s">
        <v>9671</v>
      </c>
      <c r="L323" t="s">
        <v>2200</v>
      </c>
      <c r="M323" s="636" t="s">
        <v>2199</v>
      </c>
    </row>
    <row r="324" spans="10:13">
      <c r="J324" t="s">
        <v>9670</v>
      </c>
      <c r="K324" t="s">
        <v>9672</v>
      </c>
      <c r="L324" t="s">
        <v>2201</v>
      </c>
      <c r="M324" s="636" t="s">
        <v>2199</v>
      </c>
    </row>
    <row r="325" spans="10:13">
      <c r="J325" t="s">
        <v>9670</v>
      </c>
      <c r="K325" t="s">
        <v>9673</v>
      </c>
      <c r="L325" t="s">
        <v>129</v>
      </c>
      <c r="M325" s="636" t="s">
        <v>2199</v>
      </c>
    </row>
    <row r="326" spans="10:13">
      <c r="J326" t="s">
        <v>9670</v>
      </c>
      <c r="K326" t="s">
        <v>9674</v>
      </c>
      <c r="L326" t="s">
        <v>1870</v>
      </c>
      <c r="M326" s="636" t="s">
        <v>2199</v>
      </c>
    </row>
    <row r="327" spans="10:13">
      <c r="J327" t="s">
        <v>9670</v>
      </c>
      <c r="K327" t="s">
        <v>9675</v>
      </c>
      <c r="L327" t="s">
        <v>2202</v>
      </c>
      <c r="M327" s="636" t="s">
        <v>2199</v>
      </c>
    </row>
    <row r="328" spans="10:13">
      <c r="J328" t="s">
        <v>9670</v>
      </c>
      <c r="K328" t="s">
        <v>9454</v>
      </c>
      <c r="L328" t="s">
        <v>2203</v>
      </c>
      <c r="M328" s="636" t="s">
        <v>2203</v>
      </c>
    </row>
    <row r="329" spans="10:13">
      <c r="J329" t="s">
        <v>9670</v>
      </c>
      <c r="K329" t="s">
        <v>9676</v>
      </c>
      <c r="L329" t="s">
        <v>2204</v>
      </c>
      <c r="M329" s="636" t="s">
        <v>2203</v>
      </c>
    </row>
    <row r="330" spans="10:13">
      <c r="J330" t="s">
        <v>9670</v>
      </c>
      <c r="K330" t="s">
        <v>9677</v>
      </c>
      <c r="L330" t="s">
        <v>2205</v>
      </c>
      <c r="M330" s="636" t="s">
        <v>2203</v>
      </c>
    </row>
    <row r="331" spans="10:13">
      <c r="J331" t="s">
        <v>9670</v>
      </c>
      <c r="K331" t="s">
        <v>9678</v>
      </c>
      <c r="L331" t="s">
        <v>2206</v>
      </c>
      <c r="M331" s="636" t="s">
        <v>2203</v>
      </c>
    </row>
    <row r="332" spans="10:13">
      <c r="J332" t="s">
        <v>9670</v>
      </c>
      <c r="K332" t="s">
        <v>9679</v>
      </c>
      <c r="L332" t="s">
        <v>2207</v>
      </c>
      <c r="M332" s="636" t="s">
        <v>2203</v>
      </c>
    </row>
    <row r="333" spans="10:13">
      <c r="J333" t="s">
        <v>9670</v>
      </c>
      <c r="K333" t="s">
        <v>9680</v>
      </c>
      <c r="L333" t="s">
        <v>1951</v>
      </c>
      <c r="M333" s="636" t="s">
        <v>2203</v>
      </c>
    </row>
    <row r="334" spans="10:13">
      <c r="J334" t="s">
        <v>9670</v>
      </c>
      <c r="K334" t="s">
        <v>9436</v>
      </c>
      <c r="L334" t="s">
        <v>2208</v>
      </c>
      <c r="M334" s="636" t="s">
        <v>2208</v>
      </c>
    </row>
    <row r="335" spans="10:13">
      <c r="J335" t="s">
        <v>9670</v>
      </c>
      <c r="K335" t="s">
        <v>9681</v>
      </c>
      <c r="L335" t="s">
        <v>2209</v>
      </c>
      <c r="M335" s="636" t="s">
        <v>2208</v>
      </c>
    </row>
    <row r="336" spans="10:13">
      <c r="J336" t="s">
        <v>9670</v>
      </c>
      <c r="K336" t="s">
        <v>9682</v>
      </c>
      <c r="L336" t="s">
        <v>2210</v>
      </c>
      <c r="M336" s="636" t="s">
        <v>2208</v>
      </c>
    </row>
    <row r="337" spans="10:13">
      <c r="J337" t="s">
        <v>9670</v>
      </c>
      <c r="K337" t="s">
        <v>9683</v>
      </c>
      <c r="L337" t="s">
        <v>2211</v>
      </c>
      <c r="M337" s="636" t="s">
        <v>2208</v>
      </c>
    </row>
    <row r="338" spans="10:13">
      <c r="J338" t="s">
        <v>9670</v>
      </c>
      <c r="K338" t="s">
        <v>9684</v>
      </c>
      <c r="L338" t="s">
        <v>2212</v>
      </c>
      <c r="M338" s="636" t="s">
        <v>2208</v>
      </c>
    </row>
    <row r="339" spans="10:13">
      <c r="J339" t="s">
        <v>9670</v>
      </c>
      <c r="K339" t="s">
        <v>9685</v>
      </c>
      <c r="L339" t="s">
        <v>2213</v>
      </c>
      <c r="M339" s="636" t="s">
        <v>2208</v>
      </c>
    </row>
    <row r="340" spans="10:13">
      <c r="J340" t="s">
        <v>9670</v>
      </c>
      <c r="K340" t="s">
        <v>9442</v>
      </c>
      <c r="L340" t="s">
        <v>2214</v>
      </c>
      <c r="M340" s="636" t="s">
        <v>2214</v>
      </c>
    </row>
    <row r="341" spans="10:13">
      <c r="J341" t="s">
        <v>9670</v>
      </c>
      <c r="K341" t="s">
        <v>9686</v>
      </c>
      <c r="L341" t="s">
        <v>2215</v>
      </c>
      <c r="M341" s="636" t="s">
        <v>2214</v>
      </c>
    </row>
    <row r="342" spans="10:13">
      <c r="J342" t="s">
        <v>9670</v>
      </c>
      <c r="K342" t="s">
        <v>9687</v>
      </c>
      <c r="L342" t="s">
        <v>1872</v>
      </c>
      <c r="M342" s="636" t="s">
        <v>2214</v>
      </c>
    </row>
    <row r="343" spans="10:13">
      <c r="J343" t="s">
        <v>9670</v>
      </c>
      <c r="K343" t="s">
        <v>9688</v>
      </c>
      <c r="L343" t="s">
        <v>2216</v>
      </c>
      <c r="M343" s="636" t="s">
        <v>2214</v>
      </c>
    </row>
    <row r="344" spans="10:13">
      <c r="J344" t="s">
        <v>9670</v>
      </c>
      <c r="K344" t="s">
        <v>9689</v>
      </c>
      <c r="L344" t="s">
        <v>2217</v>
      </c>
      <c r="M344" s="636" t="s">
        <v>2214</v>
      </c>
    </row>
    <row r="345" spans="10:13">
      <c r="J345" t="s">
        <v>9670</v>
      </c>
      <c r="K345" t="s">
        <v>9690</v>
      </c>
      <c r="L345" t="s">
        <v>2218</v>
      </c>
      <c r="M345" s="636" t="s">
        <v>2214</v>
      </c>
    </row>
    <row r="346" spans="10:13">
      <c r="J346" t="s">
        <v>9670</v>
      </c>
      <c r="K346" t="s">
        <v>9474</v>
      </c>
      <c r="L346" t="s">
        <v>2219</v>
      </c>
      <c r="M346" s="636" t="s">
        <v>2219</v>
      </c>
    </row>
    <row r="347" spans="10:13">
      <c r="J347" t="s">
        <v>9670</v>
      </c>
      <c r="K347" t="s">
        <v>9691</v>
      </c>
      <c r="L347" t="s">
        <v>2220</v>
      </c>
      <c r="M347" s="636" t="s">
        <v>2219</v>
      </c>
    </row>
    <row r="348" spans="10:13">
      <c r="J348" t="s">
        <v>9670</v>
      </c>
      <c r="K348" t="s">
        <v>9692</v>
      </c>
      <c r="L348" t="s">
        <v>1953</v>
      </c>
      <c r="M348" s="636" t="s">
        <v>2219</v>
      </c>
    </row>
    <row r="349" spans="10:13">
      <c r="J349" t="s">
        <v>9670</v>
      </c>
      <c r="K349" t="s">
        <v>9693</v>
      </c>
      <c r="L349" t="s">
        <v>2221</v>
      </c>
      <c r="M349" s="636" t="s">
        <v>2219</v>
      </c>
    </row>
    <row r="350" spans="10:13">
      <c r="J350" t="s">
        <v>9670</v>
      </c>
      <c r="K350" t="s">
        <v>9694</v>
      </c>
      <c r="L350" t="s">
        <v>2222</v>
      </c>
      <c r="M350" s="636" t="s">
        <v>2219</v>
      </c>
    </row>
    <row r="351" spans="10:13">
      <c r="J351" t="s">
        <v>9670</v>
      </c>
      <c r="K351" t="s">
        <v>9695</v>
      </c>
      <c r="L351" t="s">
        <v>1955</v>
      </c>
      <c r="M351" s="636" t="s">
        <v>2219</v>
      </c>
    </row>
    <row r="352" spans="10:13">
      <c r="J352" t="s">
        <v>9670</v>
      </c>
      <c r="K352" t="s">
        <v>9480</v>
      </c>
      <c r="L352" t="s">
        <v>2223</v>
      </c>
      <c r="M352" s="636" t="s">
        <v>2223</v>
      </c>
    </row>
    <row r="353" spans="10:13">
      <c r="J353" t="s">
        <v>9670</v>
      </c>
      <c r="K353" t="s">
        <v>9696</v>
      </c>
      <c r="L353" t="s">
        <v>2224</v>
      </c>
      <c r="M353" s="636" t="s">
        <v>2223</v>
      </c>
    </row>
    <row r="354" spans="10:13">
      <c r="J354" t="s">
        <v>9670</v>
      </c>
      <c r="K354" t="s">
        <v>9697</v>
      </c>
      <c r="L354" t="s">
        <v>2225</v>
      </c>
      <c r="M354" s="636" t="s">
        <v>2223</v>
      </c>
    </row>
    <row r="355" spans="10:13">
      <c r="J355" t="s">
        <v>9670</v>
      </c>
      <c r="K355" t="s">
        <v>9698</v>
      </c>
      <c r="L355" t="s">
        <v>2226</v>
      </c>
      <c r="M355" s="636" t="s">
        <v>2223</v>
      </c>
    </row>
    <row r="356" spans="10:13">
      <c r="J356" t="s">
        <v>9670</v>
      </c>
      <c r="K356" t="s">
        <v>9699</v>
      </c>
      <c r="L356" t="s">
        <v>2227</v>
      </c>
      <c r="M356" s="636" t="s">
        <v>2223</v>
      </c>
    </row>
    <row r="357" spans="10:13">
      <c r="J357" t="s">
        <v>9670</v>
      </c>
      <c r="K357" t="s">
        <v>9700</v>
      </c>
      <c r="L357" t="s">
        <v>2228</v>
      </c>
      <c r="M357" s="636" t="s">
        <v>2223</v>
      </c>
    </row>
    <row r="358" spans="10:13">
      <c r="J358" t="s">
        <v>9701</v>
      </c>
      <c r="K358" t="s">
        <v>9577</v>
      </c>
      <c r="L358" t="s">
        <v>2229</v>
      </c>
      <c r="M358" s="636" t="s">
        <v>2229</v>
      </c>
    </row>
    <row r="359" spans="10:13">
      <c r="J359" t="s">
        <v>9701</v>
      </c>
      <c r="K359" t="s">
        <v>9702</v>
      </c>
      <c r="L359" t="s">
        <v>2230</v>
      </c>
      <c r="M359" s="636" t="s">
        <v>2229</v>
      </c>
    </row>
    <row r="360" spans="10:13">
      <c r="J360" t="s">
        <v>9701</v>
      </c>
      <c r="K360" t="s">
        <v>9703</v>
      </c>
      <c r="L360" t="s">
        <v>2231</v>
      </c>
      <c r="M360" s="636" t="s">
        <v>2229</v>
      </c>
    </row>
    <row r="361" spans="10:13">
      <c r="J361" t="s">
        <v>9701</v>
      </c>
      <c r="K361" t="s">
        <v>9704</v>
      </c>
      <c r="L361" t="s">
        <v>2232</v>
      </c>
      <c r="M361" s="636" t="s">
        <v>2229</v>
      </c>
    </row>
    <row r="362" spans="10:13">
      <c r="J362" t="s">
        <v>9701</v>
      </c>
      <c r="K362" t="s">
        <v>9705</v>
      </c>
      <c r="L362" t="s">
        <v>2233</v>
      </c>
      <c r="M362" s="636" t="s">
        <v>2229</v>
      </c>
    </row>
    <row r="363" spans="10:13">
      <c r="J363" t="s">
        <v>9701</v>
      </c>
      <c r="K363" t="s">
        <v>9706</v>
      </c>
      <c r="L363" t="s">
        <v>1874</v>
      </c>
      <c r="M363" s="636" t="s">
        <v>2229</v>
      </c>
    </row>
    <row r="364" spans="10:13">
      <c r="J364" t="s">
        <v>9701</v>
      </c>
      <c r="K364" t="s">
        <v>9583</v>
      </c>
      <c r="L364" t="s">
        <v>2234</v>
      </c>
      <c r="M364" s="636" t="s">
        <v>2234</v>
      </c>
    </row>
    <row r="365" spans="10:13">
      <c r="J365" t="s">
        <v>9701</v>
      </c>
      <c r="K365" t="s">
        <v>9707</v>
      </c>
      <c r="L365" t="s">
        <v>2235</v>
      </c>
      <c r="M365" s="636" t="s">
        <v>2234</v>
      </c>
    </row>
    <row r="366" spans="10:13">
      <c r="J366" t="s">
        <v>9701</v>
      </c>
      <c r="K366" t="s">
        <v>9708</v>
      </c>
      <c r="L366" t="s">
        <v>2236</v>
      </c>
      <c r="M366" s="636" t="s">
        <v>2234</v>
      </c>
    </row>
    <row r="367" spans="10:13">
      <c r="J367" t="s">
        <v>9701</v>
      </c>
      <c r="K367" t="s">
        <v>9709</v>
      </c>
      <c r="L367" t="s">
        <v>2237</v>
      </c>
      <c r="M367" s="636" t="s">
        <v>2234</v>
      </c>
    </row>
    <row r="368" spans="10:13">
      <c r="J368" t="s">
        <v>9701</v>
      </c>
      <c r="K368" t="s">
        <v>9710</v>
      </c>
      <c r="L368" t="s">
        <v>2238</v>
      </c>
      <c r="M368" s="636" t="s">
        <v>2234</v>
      </c>
    </row>
    <row r="369" spans="10:13">
      <c r="J369" t="s">
        <v>9701</v>
      </c>
      <c r="K369" t="s">
        <v>9711</v>
      </c>
      <c r="L369" t="s">
        <v>2239</v>
      </c>
      <c r="M369" s="636" t="s">
        <v>2234</v>
      </c>
    </row>
    <row r="370" spans="10:13">
      <c r="J370" t="s">
        <v>9701</v>
      </c>
      <c r="K370" t="s">
        <v>9589</v>
      </c>
      <c r="L370" t="s">
        <v>2240</v>
      </c>
      <c r="M370" s="636" t="s">
        <v>2240</v>
      </c>
    </row>
    <row r="371" spans="10:13">
      <c r="J371" t="s">
        <v>9701</v>
      </c>
      <c r="K371" t="s">
        <v>9712</v>
      </c>
      <c r="L371" t="s">
        <v>2241</v>
      </c>
      <c r="M371" s="636" t="s">
        <v>2240</v>
      </c>
    </row>
    <row r="372" spans="10:13">
      <c r="J372" t="s">
        <v>9701</v>
      </c>
      <c r="K372" t="s">
        <v>9713</v>
      </c>
      <c r="L372" t="s">
        <v>2242</v>
      </c>
      <c r="M372" s="636" t="s">
        <v>2240</v>
      </c>
    </row>
    <row r="373" spans="10:13">
      <c r="J373" t="s">
        <v>9701</v>
      </c>
      <c r="K373" t="s">
        <v>9714</v>
      </c>
      <c r="L373" t="s">
        <v>2243</v>
      </c>
      <c r="M373" s="636" t="s">
        <v>2240</v>
      </c>
    </row>
    <row r="374" spans="10:13">
      <c r="J374" t="s">
        <v>9701</v>
      </c>
      <c r="K374" t="s">
        <v>9715</v>
      </c>
      <c r="L374" t="s">
        <v>2244</v>
      </c>
      <c r="M374" s="636" t="s">
        <v>2240</v>
      </c>
    </row>
    <row r="375" spans="10:13">
      <c r="J375" t="s">
        <v>9701</v>
      </c>
      <c r="K375" t="s">
        <v>9716</v>
      </c>
      <c r="L375" t="s">
        <v>2245</v>
      </c>
      <c r="M375" s="636" t="s">
        <v>2240</v>
      </c>
    </row>
    <row r="376" spans="10:13">
      <c r="J376" t="s">
        <v>9717</v>
      </c>
      <c r="K376" t="s">
        <v>9577</v>
      </c>
      <c r="L376" t="s">
        <v>2246</v>
      </c>
      <c r="M376" s="636" t="s">
        <v>2246</v>
      </c>
    </row>
    <row r="377" spans="10:13">
      <c r="J377" t="s">
        <v>9717</v>
      </c>
      <c r="K377" t="s">
        <v>9589</v>
      </c>
      <c r="L377" t="s">
        <v>2247</v>
      </c>
      <c r="M377" s="636" t="s">
        <v>2247</v>
      </c>
    </row>
    <row r="378" spans="10:13">
      <c r="J378" t="s">
        <v>9718</v>
      </c>
      <c r="K378" t="s">
        <v>9577</v>
      </c>
      <c r="L378" t="s">
        <v>2248</v>
      </c>
      <c r="M378" s="636" t="s">
        <v>2248</v>
      </c>
    </row>
    <row r="379" spans="10:13">
      <c r="J379" t="s">
        <v>9718</v>
      </c>
      <c r="K379" t="s">
        <v>9719</v>
      </c>
      <c r="L379" t="s">
        <v>2249</v>
      </c>
      <c r="M379" s="636" t="s">
        <v>2248</v>
      </c>
    </row>
    <row r="380" spans="10:13">
      <c r="J380" t="s">
        <v>9718</v>
      </c>
      <c r="K380" t="s">
        <v>9720</v>
      </c>
      <c r="L380" t="s">
        <v>2250</v>
      </c>
      <c r="M380" s="636" t="s">
        <v>2248</v>
      </c>
    </row>
    <row r="381" spans="10:13">
      <c r="J381" t="s">
        <v>9718</v>
      </c>
      <c r="K381" t="s">
        <v>9721</v>
      </c>
      <c r="L381" t="s">
        <v>2251</v>
      </c>
      <c r="M381" s="636" t="s">
        <v>2248</v>
      </c>
    </row>
    <row r="382" spans="10:13">
      <c r="J382" t="s">
        <v>9718</v>
      </c>
      <c r="K382" t="s">
        <v>9722</v>
      </c>
      <c r="L382" t="s">
        <v>2252</v>
      </c>
      <c r="M382" s="636" t="s">
        <v>2248</v>
      </c>
    </row>
    <row r="383" spans="10:13">
      <c r="J383" t="s">
        <v>9718</v>
      </c>
      <c r="K383" t="s">
        <v>9723</v>
      </c>
      <c r="L383" t="s">
        <v>2253</v>
      </c>
      <c r="M383" s="636" t="s">
        <v>2248</v>
      </c>
    </row>
    <row r="384" spans="10:13">
      <c r="J384" t="s">
        <v>9718</v>
      </c>
      <c r="K384" t="s">
        <v>9583</v>
      </c>
      <c r="L384" t="s">
        <v>2254</v>
      </c>
      <c r="M384" s="636" t="s">
        <v>2254</v>
      </c>
    </row>
    <row r="385" spans="10:13">
      <c r="J385" t="s">
        <v>9718</v>
      </c>
      <c r="K385" t="s">
        <v>9724</v>
      </c>
      <c r="L385" t="s">
        <v>2255</v>
      </c>
      <c r="M385" s="636" t="s">
        <v>2254</v>
      </c>
    </row>
    <row r="386" spans="10:13">
      <c r="J386" t="s">
        <v>9718</v>
      </c>
      <c r="K386" t="s">
        <v>9725</v>
      </c>
      <c r="L386" t="s">
        <v>2256</v>
      </c>
      <c r="M386" s="636" t="s">
        <v>2254</v>
      </c>
    </row>
    <row r="387" spans="10:13">
      <c r="J387" t="s">
        <v>9718</v>
      </c>
      <c r="K387" t="s">
        <v>9726</v>
      </c>
      <c r="L387" t="s">
        <v>2257</v>
      </c>
      <c r="M387" s="636" t="s">
        <v>2254</v>
      </c>
    </row>
    <row r="388" spans="10:13">
      <c r="J388" t="s">
        <v>9718</v>
      </c>
      <c r="K388" t="s">
        <v>9727</v>
      </c>
      <c r="L388" t="s">
        <v>2258</v>
      </c>
      <c r="M388" s="636" t="s">
        <v>2254</v>
      </c>
    </row>
    <row r="389" spans="10:13">
      <c r="J389" t="s">
        <v>9718</v>
      </c>
      <c r="K389" t="s">
        <v>9728</v>
      </c>
      <c r="L389" t="s">
        <v>2259</v>
      </c>
      <c r="M389" s="636" t="s">
        <v>2254</v>
      </c>
    </row>
    <row r="390" spans="10:13">
      <c r="J390" t="s">
        <v>9718</v>
      </c>
      <c r="K390" t="s">
        <v>9589</v>
      </c>
      <c r="L390" t="s">
        <v>2260</v>
      </c>
      <c r="M390" s="636" t="s">
        <v>2260</v>
      </c>
    </row>
    <row r="391" spans="10:13">
      <c r="J391" t="s">
        <v>9718</v>
      </c>
      <c r="K391" t="s">
        <v>9729</v>
      </c>
      <c r="L391" t="s">
        <v>2261</v>
      </c>
      <c r="M391" s="636" t="s">
        <v>2260</v>
      </c>
    </row>
    <row r="392" spans="10:13">
      <c r="J392" t="s">
        <v>9718</v>
      </c>
      <c r="K392" t="s">
        <v>9730</v>
      </c>
      <c r="L392" t="s">
        <v>1957</v>
      </c>
      <c r="M392" s="636" t="s">
        <v>2260</v>
      </c>
    </row>
    <row r="393" spans="10:13">
      <c r="J393" t="s">
        <v>9718</v>
      </c>
      <c r="K393" t="s">
        <v>9731</v>
      </c>
      <c r="L393" t="s">
        <v>2262</v>
      </c>
      <c r="M393" s="636" t="s">
        <v>2260</v>
      </c>
    </row>
    <row r="394" spans="10:13">
      <c r="J394" t="s">
        <v>9718</v>
      </c>
      <c r="K394" t="s">
        <v>9732</v>
      </c>
      <c r="L394" t="s">
        <v>2263</v>
      </c>
      <c r="M394" s="636" t="s">
        <v>2260</v>
      </c>
    </row>
    <row r="395" spans="10:13">
      <c r="J395" t="s">
        <v>9718</v>
      </c>
      <c r="K395" t="s">
        <v>9733</v>
      </c>
      <c r="L395" t="s">
        <v>2264</v>
      </c>
      <c r="M395" s="636" t="s">
        <v>2260</v>
      </c>
    </row>
    <row r="396" spans="10:13">
      <c r="J396" t="s">
        <v>9734</v>
      </c>
      <c r="K396" t="s">
        <v>9577</v>
      </c>
      <c r="L396" t="s">
        <v>2265</v>
      </c>
      <c r="M396" s="636" t="s">
        <v>2265</v>
      </c>
    </row>
    <row r="397" spans="10:13">
      <c r="J397" t="s">
        <v>9734</v>
      </c>
      <c r="K397" t="s">
        <v>9735</v>
      </c>
      <c r="L397" t="s">
        <v>2266</v>
      </c>
      <c r="M397" s="636" t="s">
        <v>2265</v>
      </c>
    </row>
    <row r="398" spans="10:13">
      <c r="J398" t="s">
        <v>9734</v>
      </c>
      <c r="K398" t="s">
        <v>9736</v>
      </c>
      <c r="L398" t="s">
        <v>2267</v>
      </c>
      <c r="M398" s="636" t="s">
        <v>2265</v>
      </c>
    </row>
    <row r="399" spans="10:13">
      <c r="J399" t="s">
        <v>9734</v>
      </c>
      <c r="K399" t="s">
        <v>9737</v>
      </c>
      <c r="L399" t="s">
        <v>2268</v>
      </c>
      <c r="M399" s="636" t="s">
        <v>2265</v>
      </c>
    </row>
    <row r="400" spans="10:13">
      <c r="J400" t="s">
        <v>9734</v>
      </c>
      <c r="K400" t="s">
        <v>9738</v>
      </c>
      <c r="L400" t="s">
        <v>2269</v>
      </c>
      <c r="M400" s="636" t="s">
        <v>2265</v>
      </c>
    </row>
    <row r="401" spans="10:13">
      <c r="J401" t="s">
        <v>9734</v>
      </c>
      <c r="K401" t="s">
        <v>9739</v>
      </c>
      <c r="L401" t="s">
        <v>2270</v>
      </c>
      <c r="M401" s="636" t="s">
        <v>2265</v>
      </c>
    </row>
    <row r="402" spans="10:13">
      <c r="J402" t="s">
        <v>9734</v>
      </c>
      <c r="K402" t="s">
        <v>9583</v>
      </c>
      <c r="L402" t="s">
        <v>2271</v>
      </c>
      <c r="M402" s="636" t="s">
        <v>2271</v>
      </c>
    </row>
    <row r="403" spans="10:13">
      <c r="J403" t="s">
        <v>9734</v>
      </c>
      <c r="K403" t="s">
        <v>9740</v>
      </c>
      <c r="L403" t="s">
        <v>2272</v>
      </c>
      <c r="M403" s="636" t="s">
        <v>2271</v>
      </c>
    </row>
    <row r="404" spans="10:13">
      <c r="J404" t="s">
        <v>9734</v>
      </c>
      <c r="K404" t="s">
        <v>9741</v>
      </c>
      <c r="L404" t="s">
        <v>2273</v>
      </c>
      <c r="M404" s="636" t="s">
        <v>2271</v>
      </c>
    </row>
    <row r="405" spans="10:13">
      <c r="J405" t="s">
        <v>9734</v>
      </c>
      <c r="K405" t="s">
        <v>9742</v>
      </c>
      <c r="L405" t="s">
        <v>2274</v>
      </c>
      <c r="M405" s="636" t="s">
        <v>2271</v>
      </c>
    </row>
    <row r="406" spans="10:13">
      <c r="J406" t="s">
        <v>9734</v>
      </c>
      <c r="K406" t="s">
        <v>9743</v>
      </c>
      <c r="L406" t="s">
        <v>2275</v>
      </c>
      <c r="M406" s="636" t="s">
        <v>2271</v>
      </c>
    </row>
    <row r="407" spans="10:13">
      <c r="J407" t="s">
        <v>9734</v>
      </c>
      <c r="K407" t="s">
        <v>9744</v>
      </c>
      <c r="L407" t="s">
        <v>2276</v>
      </c>
      <c r="M407" s="636" t="s">
        <v>2271</v>
      </c>
    </row>
    <row r="408" spans="10:13">
      <c r="J408" t="s">
        <v>9745</v>
      </c>
      <c r="K408" t="s">
        <v>9577</v>
      </c>
      <c r="L408" t="s">
        <v>2277</v>
      </c>
      <c r="M408" s="636" t="s">
        <v>2277</v>
      </c>
    </row>
    <row r="409" spans="10:13">
      <c r="J409" t="s">
        <v>9745</v>
      </c>
      <c r="K409" t="s">
        <v>9746</v>
      </c>
      <c r="L409" t="s">
        <v>2278</v>
      </c>
      <c r="M409" s="636" t="s">
        <v>2277</v>
      </c>
    </row>
    <row r="410" spans="10:13">
      <c r="J410" t="s">
        <v>9745</v>
      </c>
      <c r="K410" t="s">
        <v>9747</v>
      </c>
      <c r="L410" t="s">
        <v>2279</v>
      </c>
      <c r="M410" s="636" t="s">
        <v>2277</v>
      </c>
    </row>
    <row r="411" spans="10:13">
      <c r="J411" t="s">
        <v>9745</v>
      </c>
      <c r="K411" t="s">
        <v>9748</v>
      </c>
      <c r="L411" t="s">
        <v>2280</v>
      </c>
      <c r="M411" s="636" t="s">
        <v>2277</v>
      </c>
    </row>
    <row r="412" spans="10:13">
      <c r="J412" t="s">
        <v>9745</v>
      </c>
      <c r="K412" t="s">
        <v>9749</v>
      </c>
      <c r="L412" t="s">
        <v>2281</v>
      </c>
      <c r="M412" s="636" t="s">
        <v>2277</v>
      </c>
    </row>
    <row r="413" spans="10:13">
      <c r="J413" t="s">
        <v>9745</v>
      </c>
      <c r="K413" t="s">
        <v>9750</v>
      </c>
      <c r="L413" t="s">
        <v>2282</v>
      </c>
      <c r="M413" s="636" t="s">
        <v>2277</v>
      </c>
    </row>
    <row r="414" spans="10:13">
      <c r="J414" t="s">
        <v>9745</v>
      </c>
      <c r="K414" t="s">
        <v>9583</v>
      </c>
      <c r="L414" t="s">
        <v>2283</v>
      </c>
      <c r="M414" s="636" t="s">
        <v>2283</v>
      </c>
    </row>
    <row r="415" spans="10:13">
      <c r="J415" t="s">
        <v>9745</v>
      </c>
      <c r="K415" t="s">
        <v>9751</v>
      </c>
      <c r="L415" t="s">
        <v>2284</v>
      </c>
      <c r="M415" s="636" t="s">
        <v>2283</v>
      </c>
    </row>
    <row r="416" spans="10:13">
      <c r="J416" t="s">
        <v>9745</v>
      </c>
      <c r="K416" t="s">
        <v>9752</v>
      </c>
      <c r="L416" t="s">
        <v>2285</v>
      </c>
      <c r="M416" s="636" t="s">
        <v>2283</v>
      </c>
    </row>
    <row r="417" spans="10:13">
      <c r="J417" t="s">
        <v>9745</v>
      </c>
      <c r="K417" t="s">
        <v>9753</v>
      </c>
      <c r="L417" t="s">
        <v>2286</v>
      </c>
      <c r="M417" s="636" t="s">
        <v>2283</v>
      </c>
    </row>
    <row r="418" spans="10:13">
      <c r="J418" t="s">
        <v>9745</v>
      </c>
      <c r="K418" t="s">
        <v>9754</v>
      </c>
      <c r="L418" t="s">
        <v>2287</v>
      </c>
      <c r="M418" s="636" t="s">
        <v>2283</v>
      </c>
    </row>
    <row r="419" spans="10:13">
      <c r="J419" t="s">
        <v>9745</v>
      </c>
      <c r="K419" t="s">
        <v>9755</v>
      </c>
      <c r="L419" t="s">
        <v>2288</v>
      </c>
      <c r="M419" s="636" t="s">
        <v>2283</v>
      </c>
    </row>
    <row r="420" spans="10:13">
      <c r="J420" t="s">
        <v>9745</v>
      </c>
      <c r="K420" t="s">
        <v>9589</v>
      </c>
      <c r="L420" t="s">
        <v>2289</v>
      </c>
      <c r="M420" s="636" t="s">
        <v>2289</v>
      </c>
    </row>
    <row r="421" spans="10:13">
      <c r="J421" t="s">
        <v>9745</v>
      </c>
      <c r="K421" t="s">
        <v>9756</v>
      </c>
      <c r="L421" t="s">
        <v>2290</v>
      </c>
      <c r="M421" s="636" t="s">
        <v>2289</v>
      </c>
    </row>
    <row r="422" spans="10:13">
      <c r="J422" t="s">
        <v>9745</v>
      </c>
      <c r="K422" t="s">
        <v>9757</v>
      </c>
      <c r="L422" t="s">
        <v>2291</v>
      </c>
      <c r="M422" s="636" t="s">
        <v>2289</v>
      </c>
    </row>
    <row r="423" spans="10:13">
      <c r="J423" t="s">
        <v>9745</v>
      </c>
      <c r="K423" t="s">
        <v>9758</v>
      </c>
      <c r="L423" t="s">
        <v>2292</v>
      </c>
      <c r="M423" s="636" t="s">
        <v>2289</v>
      </c>
    </row>
    <row r="424" spans="10:13">
      <c r="J424" t="s">
        <v>9745</v>
      </c>
      <c r="K424" t="s">
        <v>9759</v>
      </c>
      <c r="L424" t="s">
        <v>2293</v>
      </c>
      <c r="M424" s="636" t="s">
        <v>2289</v>
      </c>
    </row>
    <row r="425" spans="10:13">
      <c r="J425" t="s">
        <v>9745</v>
      </c>
      <c r="K425" t="s">
        <v>9760</v>
      </c>
      <c r="L425" t="s">
        <v>2294</v>
      </c>
      <c r="M425" s="636" t="s">
        <v>2289</v>
      </c>
    </row>
    <row r="426" spans="10:13">
      <c r="J426" t="s">
        <v>9745</v>
      </c>
      <c r="K426" t="s">
        <v>9761</v>
      </c>
      <c r="L426" t="s">
        <v>2295</v>
      </c>
      <c r="M426" s="636" t="s">
        <v>2295</v>
      </c>
    </row>
    <row r="427" spans="10:13">
      <c r="J427" t="s">
        <v>9745</v>
      </c>
      <c r="K427" t="s">
        <v>9762</v>
      </c>
      <c r="L427" t="s">
        <v>2296</v>
      </c>
      <c r="M427" s="636" t="s">
        <v>2295</v>
      </c>
    </row>
    <row r="428" spans="10:13">
      <c r="J428" t="s">
        <v>9745</v>
      </c>
      <c r="K428" t="s">
        <v>9763</v>
      </c>
      <c r="L428" t="s">
        <v>2297</v>
      </c>
      <c r="M428" s="636" t="s">
        <v>2295</v>
      </c>
    </row>
    <row r="429" spans="10:13">
      <c r="J429" t="s">
        <v>9745</v>
      </c>
      <c r="K429" t="s">
        <v>9764</v>
      </c>
      <c r="L429" t="s">
        <v>2298</v>
      </c>
      <c r="M429" s="636" t="s">
        <v>2295</v>
      </c>
    </row>
    <row r="430" spans="10:13">
      <c r="J430" t="s">
        <v>9745</v>
      </c>
      <c r="K430" t="s">
        <v>9765</v>
      </c>
      <c r="L430" t="s">
        <v>2299</v>
      </c>
      <c r="M430" s="636" t="s">
        <v>2295</v>
      </c>
    </row>
    <row r="431" spans="10:13">
      <c r="J431" t="s">
        <v>9745</v>
      </c>
      <c r="K431" t="s">
        <v>9766</v>
      </c>
      <c r="L431" t="s">
        <v>2300</v>
      </c>
      <c r="M431" s="636" t="s">
        <v>2295</v>
      </c>
    </row>
    <row r="432" spans="10:13">
      <c r="J432" t="s">
        <v>9767</v>
      </c>
      <c r="K432" t="s">
        <v>9448</v>
      </c>
      <c r="L432" t="s">
        <v>2301</v>
      </c>
      <c r="M432" s="636" t="s">
        <v>2301</v>
      </c>
    </row>
    <row r="433" spans="10:13">
      <c r="J433" t="s">
        <v>9767</v>
      </c>
      <c r="K433" t="s">
        <v>9768</v>
      </c>
      <c r="L433" t="s">
        <v>1876</v>
      </c>
      <c r="M433" s="636" t="s">
        <v>2301</v>
      </c>
    </row>
    <row r="434" spans="10:13">
      <c r="J434" t="s">
        <v>9767</v>
      </c>
      <c r="K434" t="s">
        <v>9769</v>
      </c>
      <c r="L434" t="s">
        <v>1205</v>
      </c>
      <c r="M434" s="636" t="s">
        <v>2301</v>
      </c>
    </row>
    <row r="435" spans="10:13">
      <c r="J435" t="s">
        <v>9767</v>
      </c>
      <c r="K435" t="s">
        <v>9770</v>
      </c>
      <c r="L435" t="s">
        <v>1220</v>
      </c>
      <c r="M435" s="636" t="s">
        <v>2301</v>
      </c>
    </row>
    <row r="436" spans="10:13">
      <c r="J436" t="s">
        <v>9767</v>
      </c>
      <c r="K436" t="s">
        <v>9771</v>
      </c>
      <c r="L436" t="s">
        <v>1244</v>
      </c>
      <c r="M436" s="636" t="s">
        <v>2301</v>
      </c>
    </row>
    <row r="437" spans="10:13">
      <c r="J437" t="s">
        <v>9767</v>
      </c>
      <c r="K437" t="s">
        <v>9772</v>
      </c>
      <c r="L437" t="s">
        <v>1276</v>
      </c>
      <c r="M437" s="636" t="s">
        <v>2301</v>
      </c>
    </row>
    <row r="438" spans="10:13">
      <c r="J438" t="s">
        <v>9767</v>
      </c>
      <c r="K438" t="s">
        <v>9454</v>
      </c>
      <c r="L438" t="s">
        <v>2302</v>
      </c>
      <c r="M438" s="636" t="s">
        <v>2302</v>
      </c>
    </row>
    <row r="439" spans="10:13">
      <c r="J439" t="s">
        <v>9767</v>
      </c>
      <c r="K439" t="s">
        <v>9773</v>
      </c>
      <c r="L439" t="s">
        <v>1878</v>
      </c>
      <c r="M439" s="636" t="s">
        <v>2302</v>
      </c>
    </row>
    <row r="440" spans="10:13">
      <c r="J440" t="s">
        <v>9767</v>
      </c>
      <c r="K440" t="s">
        <v>9774</v>
      </c>
      <c r="L440" t="s">
        <v>1346</v>
      </c>
      <c r="M440" s="636" t="s">
        <v>2302</v>
      </c>
    </row>
    <row r="441" spans="10:13">
      <c r="J441" t="s">
        <v>9767</v>
      </c>
      <c r="K441" t="s">
        <v>9775</v>
      </c>
      <c r="L441" t="s">
        <v>1374</v>
      </c>
      <c r="M441" s="636" t="s">
        <v>2302</v>
      </c>
    </row>
    <row r="442" spans="10:13">
      <c r="J442" t="s">
        <v>9767</v>
      </c>
      <c r="K442" t="s">
        <v>9776</v>
      </c>
      <c r="L442" t="s">
        <v>1391</v>
      </c>
      <c r="M442" s="636" t="s">
        <v>2302</v>
      </c>
    </row>
    <row r="443" spans="10:13">
      <c r="J443" t="s">
        <v>9767</v>
      </c>
      <c r="K443" t="s">
        <v>9777</v>
      </c>
      <c r="L443" t="s">
        <v>1418</v>
      </c>
      <c r="M443" s="636" t="s">
        <v>2302</v>
      </c>
    </row>
    <row r="444" spans="10:13">
      <c r="J444" t="s">
        <v>9767</v>
      </c>
      <c r="K444" t="s">
        <v>9460</v>
      </c>
      <c r="L444" t="s">
        <v>2303</v>
      </c>
      <c r="M444" s="636" t="s">
        <v>2303</v>
      </c>
    </row>
    <row r="445" spans="10:13">
      <c r="J445" t="s">
        <v>9767</v>
      </c>
      <c r="K445" t="s">
        <v>9778</v>
      </c>
      <c r="L445" t="s">
        <v>1879</v>
      </c>
      <c r="M445" s="636" t="s">
        <v>2303</v>
      </c>
    </row>
    <row r="446" spans="10:13">
      <c r="J446" t="s">
        <v>9767</v>
      </c>
      <c r="K446" t="s">
        <v>9779</v>
      </c>
      <c r="L446" t="s">
        <v>1446</v>
      </c>
      <c r="M446" s="636" t="s">
        <v>2303</v>
      </c>
    </row>
    <row r="447" spans="10:13">
      <c r="J447" t="s">
        <v>9767</v>
      </c>
      <c r="K447" t="s">
        <v>9780</v>
      </c>
      <c r="L447" t="s">
        <v>1467</v>
      </c>
      <c r="M447" s="636" t="s">
        <v>2303</v>
      </c>
    </row>
    <row r="448" spans="10:13">
      <c r="J448" t="s">
        <v>9767</v>
      </c>
      <c r="K448" t="s">
        <v>9464</v>
      </c>
      <c r="L448" t="s">
        <v>2303</v>
      </c>
      <c r="M448" s="636" t="s">
        <v>2303</v>
      </c>
    </row>
    <row r="449" spans="10:13">
      <c r="J449" t="s">
        <v>9767</v>
      </c>
      <c r="K449" t="s">
        <v>9781</v>
      </c>
      <c r="L449" t="s">
        <v>1880</v>
      </c>
      <c r="M449" s="636" t="s">
        <v>2303</v>
      </c>
    </row>
    <row r="450" spans="10:13">
      <c r="J450" t="s">
        <v>9767</v>
      </c>
      <c r="K450" t="s">
        <v>9782</v>
      </c>
      <c r="L450" t="s">
        <v>1881</v>
      </c>
      <c r="M450" s="636" t="s">
        <v>2303</v>
      </c>
    </row>
    <row r="451" spans="10:13">
      <c r="J451" t="s">
        <v>9767</v>
      </c>
      <c r="K451" t="s">
        <v>9467</v>
      </c>
      <c r="L451" t="s">
        <v>2304</v>
      </c>
      <c r="M451" s="636" t="s">
        <v>2304</v>
      </c>
    </row>
    <row r="452" spans="10:13">
      <c r="J452" t="s">
        <v>9767</v>
      </c>
      <c r="K452" t="s">
        <v>9783</v>
      </c>
      <c r="L452" t="s">
        <v>1882</v>
      </c>
      <c r="M452" s="636" t="s">
        <v>2304</v>
      </c>
    </row>
    <row r="453" spans="10:13">
      <c r="J453" t="s">
        <v>9767</v>
      </c>
      <c r="K453" t="s">
        <v>9784</v>
      </c>
      <c r="L453" t="s">
        <v>1883</v>
      </c>
      <c r="M453" s="636" t="s">
        <v>2304</v>
      </c>
    </row>
    <row r="454" spans="10:13">
      <c r="J454" t="s">
        <v>9767</v>
      </c>
      <c r="K454" t="s">
        <v>9470</v>
      </c>
      <c r="L454" t="s">
        <v>2304</v>
      </c>
      <c r="M454" s="636" t="s">
        <v>2304</v>
      </c>
    </row>
    <row r="455" spans="10:13">
      <c r="J455" t="s">
        <v>9767</v>
      </c>
      <c r="K455" t="s">
        <v>9785</v>
      </c>
      <c r="L455" t="s">
        <v>1884</v>
      </c>
      <c r="M455" s="636" t="s">
        <v>2304</v>
      </c>
    </row>
    <row r="456" spans="10:13">
      <c r="J456" t="s">
        <v>9767</v>
      </c>
      <c r="K456" t="s">
        <v>9786</v>
      </c>
      <c r="L456" t="s">
        <v>1686</v>
      </c>
      <c r="M456" s="636" t="s">
        <v>2304</v>
      </c>
    </row>
    <row r="457" spans="10:13">
      <c r="J457" t="s">
        <v>9767</v>
      </c>
      <c r="K457" t="s">
        <v>9787</v>
      </c>
      <c r="L457" t="s">
        <v>1695</v>
      </c>
      <c r="M457" s="636" t="s">
        <v>2304</v>
      </c>
    </row>
    <row r="458" spans="10:13">
      <c r="J458" t="s">
        <v>9788</v>
      </c>
      <c r="K458" t="s">
        <v>9577</v>
      </c>
      <c r="L458" t="s">
        <v>2305</v>
      </c>
      <c r="M458" s="636" t="s">
        <v>2305</v>
      </c>
    </row>
    <row r="459" spans="10:13">
      <c r="J459" t="s">
        <v>9788</v>
      </c>
      <c r="K459" t="s">
        <v>9789</v>
      </c>
      <c r="L459" t="s">
        <v>2306</v>
      </c>
      <c r="M459" s="636" t="s">
        <v>2305</v>
      </c>
    </row>
    <row r="460" spans="10:13">
      <c r="J460" t="s">
        <v>9788</v>
      </c>
      <c r="K460" t="s">
        <v>9790</v>
      </c>
      <c r="L460" t="s">
        <v>2307</v>
      </c>
      <c r="M460" s="636" t="s">
        <v>2305</v>
      </c>
    </row>
    <row r="461" spans="10:13">
      <c r="J461" t="s">
        <v>9788</v>
      </c>
      <c r="K461" t="s">
        <v>9791</v>
      </c>
      <c r="L461" t="s">
        <v>2308</v>
      </c>
      <c r="M461" s="636" t="s">
        <v>2305</v>
      </c>
    </row>
    <row r="462" spans="10:13">
      <c r="J462" t="s">
        <v>9788</v>
      </c>
      <c r="K462" t="s">
        <v>9792</v>
      </c>
      <c r="L462" t="s">
        <v>2309</v>
      </c>
      <c r="M462" s="636" t="s">
        <v>2305</v>
      </c>
    </row>
    <row r="463" spans="10:13">
      <c r="J463" t="s">
        <v>9788</v>
      </c>
      <c r="K463" t="s">
        <v>9793</v>
      </c>
      <c r="L463" t="s">
        <v>2310</v>
      </c>
      <c r="M463" s="636" t="s">
        <v>2305</v>
      </c>
    </row>
    <row r="464" spans="10:13">
      <c r="J464" t="s">
        <v>9788</v>
      </c>
      <c r="K464" t="s">
        <v>9583</v>
      </c>
      <c r="L464" t="s">
        <v>2311</v>
      </c>
      <c r="M464" s="636" t="s">
        <v>2311</v>
      </c>
    </row>
    <row r="465" spans="10:13">
      <c r="J465" t="s">
        <v>9788</v>
      </c>
      <c r="K465" t="s">
        <v>9794</v>
      </c>
      <c r="L465" t="s">
        <v>2312</v>
      </c>
      <c r="M465" s="636" t="s">
        <v>2311</v>
      </c>
    </row>
    <row r="466" spans="10:13">
      <c r="J466" t="s">
        <v>9788</v>
      </c>
      <c r="K466" t="s">
        <v>9795</v>
      </c>
      <c r="L466" t="s">
        <v>2313</v>
      </c>
      <c r="M466" s="636" t="s">
        <v>2311</v>
      </c>
    </row>
    <row r="467" spans="10:13">
      <c r="J467" t="s">
        <v>9788</v>
      </c>
      <c r="K467" t="s">
        <v>9796</v>
      </c>
      <c r="L467" t="s">
        <v>2314</v>
      </c>
      <c r="M467" s="636" t="s">
        <v>2311</v>
      </c>
    </row>
    <row r="468" spans="10:13">
      <c r="J468" t="s">
        <v>9788</v>
      </c>
      <c r="K468" t="s">
        <v>9797</v>
      </c>
      <c r="L468" t="s">
        <v>2315</v>
      </c>
      <c r="M468" s="636" t="s">
        <v>2311</v>
      </c>
    </row>
    <row r="469" spans="10:13">
      <c r="J469" t="s">
        <v>9788</v>
      </c>
      <c r="K469" t="s">
        <v>9798</v>
      </c>
      <c r="L469" t="s">
        <v>2316</v>
      </c>
      <c r="M469" s="636" t="s">
        <v>2311</v>
      </c>
    </row>
    <row r="470" spans="10:13">
      <c r="J470" t="s">
        <v>9788</v>
      </c>
      <c r="K470" t="s">
        <v>9589</v>
      </c>
      <c r="L470" t="s">
        <v>2317</v>
      </c>
      <c r="M470" s="636" t="s">
        <v>2317</v>
      </c>
    </row>
    <row r="471" spans="10:13">
      <c r="J471" t="s">
        <v>9788</v>
      </c>
      <c r="K471" t="s">
        <v>9799</v>
      </c>
      <c r="L471" t="s">
        <v>2318</v>
      </c>
      <c r="M471" s="636" t="s">
        <v>2317</v>
      </c>
    </row>
    <row r="472" spans="10:13">
      <c r="J472" t="s">
        <v>9788</v>
      </c>
      <c r="K472" t="s">
        <v>9800</v>
      </c>
      <c r="L472" t="s">
        <v>2319</v>
      </c>
      <c r="M472" s="636" t="s">
        <v>2317</v>
      </c>
    </row>
    <row r="473" spans="10:13">
      <c r="J473" t="s">
        <v>9788</v>
      </c>
      <c r="K473" t="s">
        <v>9801</v>
      </c>
      <c r="L473" t="s">
        <v>2320</v>
      </c>
      <c r="M473" s="636" t="s">
        <v>2317</v>
      </c>
    </row>
    <row r="474" spans="10:13">
      <c r="J474" t="s">
        <v>9788</v>
      </c>
      <c r="K474" t="s">
        <v>9802</v>
      </c>
      <c r="L474" t="s">
        <v>2321</v>
      </c>
      <c r="M474" s="636" t="s">
        <v>2317</v>
      </c>
    </row>
    <row r="475" spans="10:13">
      <c r="J475" t="s">
        <v>9788</v>
      </c>
      <c r="K475" t="s">
        <v>9803</v>
      </c>
      <c r="L475" t="s">
        <v>2322</v>
      </c>
      <c r="M475" s="636" t="s">
        <v>2317</v>
      </c>
    </row>
    <row r="476" spans="10:13">
      <c r="J476" t="s">
        <v>9804</v>
      </c>
      <c r="K476" t="s">
        <v>9577</v>
      </c>
      <c r="L476" t="s">
        <v>2323</v>
      </c>
      <c r="M476" s="636" t="s">
        <v>2323</v>
      </c>
    </row>
    <row r="477" spans="10:13">
      <c r="J477" t="s">
        <v>9804</v>
      </c>
      <c r="K477" t="s">
        <v>9805</v>
      </c>
      <c r="L477" t="s">
        <v>2324</v>
      </c>
      <c r="M477" s="636" t="s">
        <v>2323</v>
      </c>
    </row>
    <row r="478" spans="10:13">
      <c r="J478" t="s">
        <v>9804</v>
      </c>
      <c r="K478" t="s">
        <v>9806</v>
      </c>
      <c r="L478" t="s">
        <v>2325</v>
      </c>
      <c r="M478" s="636" t="s">
        <v>2323</v>
      </c>
    </row>
    <row r="479" spans="10:13">
      <c r="J479" t="s">
        <v>9804</v>
      </c>
      <c r="K479" t="s">
        <v>9807</v>
      </c>
      <c r="L479" t="s">
        <v>2326</v>
      </c>
      <c r="M479" s="636" t="s">
        <v>2323</v>
      </c>
    </row>
    <row r="480" spans="10:13">
      <c r="J480" t="s">
        <v>9804</v>
      </c>
      <c r="K480" t="s">
        <v>9808</v>
      </c>
      <c r="L480" t="s">
        <v>2327</v>
      </c>
      <c r="M480" s="636" t="s">
        <v>2323</v>
      </c>
    </row>
    <row r="481" spans="10:13">
      <c r="J481" t="s">
        <v>9804</v>
      </c>
      <c r="K481" t="s">
        <v>9809</v>
      </c>
      <c r="L481" t="s">
        <v>2328</v>
      </c>
      <c r="M481" s="636" t="s">
        <v>2323</v>
      </c>
    </row>
    <row r="482" spans="10:13">
      <c r="J482" t="s">
        <v>9804</v>
      </c>
      <c r="K482" t="s">
        <v>9583</v>
      </c>
      <c r="L482" t="s">
        <v>2329</v>
      </c>
      <c r="M482" s="636" t="s">
        <v>2329</v>
      </c>
    </row>
    <row r="483" spans="10:13">
      <c r="J483" t="s">
        <v>9804</v>
      </c>
      <c r="K483" t="s">
        <v>9810</v>
      </c>
      <c r="L483" t="s">
        <v>2330</v>
      </c>
      <c r="M483" s="636" t="s">
        <v>2329</v>
      </c>
    </row>
    <row r="484" spans="10:13">
      <c r="J484" t="s">
        <v>9804</v>
      </c>
      <c r="K484" t="s">
        <v>9811</v>
      </c>
      <c r="L484" t="s">
        <v>2331</v>
      </c>
      <c r="M484" s="636" t="s">
        <v>2329</v>
      </c>
    </row>
    <row r="485" spans="10:13">
      <c r="J485" t="s">
        <v>9804</v>
      </c>
      <c r="K485" t="s">
        <v>9812</v>
      </c>
      <c r="L485" t="s">
        <v>2332</v>
      </c>
      <c r="M485" s="636" t="s">
        <v>2329</v>
      </c>
    </row>
    <row r="486" spans="10:13">
      <c r="J486" t="s">
        <v>9804</v>
      </c>
      <c r="K486" t="s">
        <v>9813</v>
      </c>
      <c r="L486" t="s">
        <v>2333</v>
      </c>
      <c r="M486" s="636" t="s">
        <v>2329</v>
      </c>
    </row>
    <row r="487" spans="10:13">
      <c r="J487" t="s">
        <v>9804</v>
      </c>
      <c r="K487" t="s">
        <v>9814</v>
      </c>
      <c r="L487" t="s">
        <v>2334</v>
      </c>
      <c r="M487" s="636" t="s">
        <v>2329</v>
      </c>
    </row>
    <row r="488" spans="10:13">
      <c r="J488" t="s">
        <v>9804</v>
      </c>
      <c r="K488" t="s">
        <v>9589</v>
      </c>
      <c r="L488" t="s">
        <v>2335</v>
      </c>
      <c r="M488" s="636" t="s">
        <v>2335</v>
      </c>
    </row>
    <row r="489" spans="10:13">
      <c r="J489" t="s">
        <v>9804</v>
      </c>
      <c r="K489" t="s">
        <v>9815</v>
      </c>
      <c r="L489" t="s">
        <v>2336</v>
      </c>
      <c r="M489" s="636" t="s">
        <v>2335</v>
      </c>
    </row>
    <row r="490" spans="10:13">
      <c r="J490" t="s">
        <v>9804</v>
      </c>
      <c r="K490" t="s">
        <v>9816</v>
      </c>
      <c r="L490" t="s">
        <v>2337</v>
      </c>
      <c r="M490" s="636" t="s">
        <v>2335</v>
      </c>
    </row>
    <row r="491" spans="10:13">
      <c r="J491" t="s">
        <v>9804</v>
      </c>
      <c r="K491" t="s">
        <v>9817</v>
      </c>
      <c r="L491" t="s">
        <v>2338</v>
      </c>
      <c r="M491" s="636" t="s">
        <v>2335</v>
      </c>
    </row>
    <row r="492" spans="10:13">
      <c r="J492" t="s">
        <v>9804</v>
      </c>
      <c r="K492" t="s">
        <v>9818</v>
      </c>
      <c r="L492" t="s">
        <v>2339</v>
      </c>
      <c r="M492" s="636" t="s">
        <v>2335</v>
      </c>
    </row>
    <row r="493" spans="10:13">
      <c r="J493" t="s">
        <v>9804</v>
      </c>
      <c r="K493" t="s">
        <v>9819</v>
      </c>
      <c r="L493" t="s">
        <v>2340</v>
      </c>
      <c r="M493" s="636" t="s">
        <v>2335</v>
      </c>
    </row>
    <row r="494" spans="10:13">
      <c r="J494" t="s">
        <v>9820</v>
      </c>
      <c r="K494" t="s">
        <v>9577</v>
      </c>
      <c r="L494" t="s">
        <v>2341</v>
      </c>
      <c r="M494" s="636" t="s">
        <v>2341</v>
      </c>
    </row>
    <row r="495" spans="10:13">
      <c r="J495" t="s">
        <v>9820</v>
      </c>
      <c r="K495" t="s">
        <v>9821</v>
      </c>
      <c r="L495" t="s">
        <v>2342</v>
      </c>
      <c r="M495" s="636" t="s">
        <v>2341</v>
      </c>
    </row>
    <row r="496" spans="10:13">
      <c r="J496" t="s">
        <v>9820</v>
      </c>
      <c r="K496" t="s">
        <v>9822</v>
      </c>
      <c r="L496" t="s">
        <v>2343</v>
      </c>
      <c r="M496" s="636" t="s">
        <v>2341</v>
      </c>
    </row>
    <row r="497" spans="10:13">
      <c r="J497" t="s">
        <v>9820</v>
      </c>
      <c r="K497" t="s">
        <v>9823</v>
      </c>
      <c r="L497" t="s">
        <v>2344</v>
      </c>
      <c r="M497" s="636" t="s">
        <v>2341</v>
      </c>
    </row>
    <row r="498" spans="10:13">
      <c r="J498" t="s">
        <v>9820</v>
      </c>
      <c r="K498" t="s">
        <v>9824</v>
      </c>
      <c r="L498" t="s">
        <v>2345</v>
      </c>
      <c r="M498" s="636" t="s">
        <v>2341</v>
      </c>
    </row>
    <row r="499" spans="10:13">
      <c r="J499" t="s">
        <v>9820</v>
      </c>
      <c r="K499" t="s">
        <v>9825</v>
      </c>
      <c r="L499" t="s">
        <v>2346</v>
      </c>
      <c r="M499" s="636" t="s">
        <v>2341</v>
      </c>
    </row>
    <row r="500" spans="10:13">
      <c r="J500" t="s">
        <v>9820</v>
      </c>
      <c r="K500" t="s">
        <v>9583</v>
      </c>
      <c r="L500" t="s">
        <v>2347</v>
      </c>
      <c r="M500" s="636" t="s">
        <v>2347</v>
      </c>
    </row>
    <row r="501" spans="10:13">
      <c r="J501" t="s">
        <v>9820</v>
      </c>
      <c r="K501" t="s">
        <v>9826</v>
      </c>
      <c r="L501" t="s">
        <v>2348</v>
      </c>
      <c r="M501" s="636" t="s">
        <v>2347</v>
      </c>
    </row>
    <row r="502" spans="10:13">
      <c r="J502" t="s">
        <v>9820</v>
      </c>
      <c r="K502" t="s">
        <v>9827</v>
      </c>
      <c r="L502" t="s">
        <v>2349</v>
      </c>
      <c r="M502" s="636" t="s">
        <v>2347</v>
      </c>
    </row>
    <row r="503" spans="10:13">
      <c r="J503" t="s">
        <v>9820</v>
      </c>
      <c r="K503" t="s">
        <v>9828</v>
      </c>
      <c r="L503" t="s">
        <v>2350</v>
      </c>
      <c r="M503" s="636" t="s">
        <v>2347</v>
      </c>
    </row>
    <row r="504" spans="10:13">
      <c r="J504" t="s">
        <v>9820</v>
      </c>
      <c r="K504" t="s">
        <v>9829</v>
      </c>
      <c r="L504" t="s">
        <v>2351</v>
      </c>
      <c r="M504" s="636" t="s">
        <v>2347</v>
      </c>
    </row>
    <row r="505" spans="10:13">
      <c r="J505" t="s">
        <v>9820</v>
      </c>
      <c r="K505" t="s">
        <v>9830</v>
      </c>
      <c r="L505" t="s">
        <v>2352</v>
      </c>
      <c r="M505" s="636" t="s">
        <v>2347</v>
      </c>
    </row>
    <row r="506" spans="10:13">
      <c r="J506" t="s">
        <v>9820</v>
      </c>
      <c r="K506" t="s">
        <v>9589</v>
      </c>
      <c r="L506" t="s">
        <v>2353</v>
      </c>
      <c r="M506" s="636" t="s">
        <v>2353</v>
      </c>
    </row>
    <row r="507" spans="10:13">
      <c r="J507" t="s">
        <v>9820</v>
      </c>
      <c r="K507" t="s">
        <v>9831</v>
      </c>
      <c r="L507" t="s">
        <v>2354</v>
      </c>
      <c r="M507" s="636" t="s">
        <v>2353</v>
      </c>
    </row>
    <row r="508" spans="10:13">
      <c r="J508" t="s">
        <v>9820</v>
      </c>
      <c r="K508" t="s">
        <v>9832</v>
      </c>
      <c r="L508" t="s">
        <v>2355</v>
      </c>
      <c r="M508" s="636" t="s">
        <v>2353</v>
      </c>
    </row>
    <row r="509" spans="10:13">
      <c r="J509" t="s">
        <v>9820</v>
      </c>
      <c r="K509" t="s">
        <v>9833</v>
      </c>
      <c r="L509" t="s">
        <v>2356</v>
      </c>
      <c r="M509" s="636" t="s">
        <v>2353</v>
      </c>
    </row>
    <row r="510" spans="10:13">
      <c r="J510" t="s">
        <v>9820</v>
      </c>
      <c r="K510" t="s">
        <v>9834</v>
      </c>
      <c r="L510" t="s">
        <v>2357</v>
      </c>
      <c r="M510" s="636" t="s">
        <v>2353</v>
      </c>
    </row>
    <row r="511" spans="10:13">
      <c r="J511" t="s">
        <v>9820</v>
      </c>
      <c r="K511" t="s">
        <v>9835</v>
      </c>
      <c r="L511" t="s">
        <v>2358</v>
      </c>
      <c r="M511" s="636" t="s">
        <v>2353</v>
      </c>
    </row>
    <row r="512" spans="10:13">
      <c r="J512" t="s">
        <v>9836</v>
      </c>
      <c r="K512" t="s">
        <v>9448</v>
      </c>
      <c r="L512" t="s">
        <v>2359</v>
      </c>
      <c r="M512" s="636" t="s">
        <v>2359</v>
      </c>
    </row>
    <row r="513" spans="10:13">
      <c r="J513" t="s">
        <v>9836</v>
      </c>
      <c r="K513" t="s">
        <v>9837</v>
      </c>
      <c r="L513" t="s">
        <v>2360</v>
      </c>
      <c r="M513" s="636" t="s">
        <v>2359</v>
      </c>
    </row>
    <row r="514" spans="10:13">
      <c r="J514" t="s">
        <v>9836</v>
      </c>
      <c r="K514" t="s">
        <v>9838</v>
      </c>
      <c r="L514" t="s">
        <v>2361</v>
      </c>
      <c r="M514" s="636" t="s">
        <v>2359</v>
      </c>
    </row>
    <row r="515" spans="10:13">
      <c r="J515" t="s">
        <v>9836</v>
      </c>
      <c r="K515" t="s">
        <v>9839</v>
      </c>
      <c r="L515" t="s">
        <v>2362</v>
      </c>
      <c r="M515" s="636" t="s">
        <v>2359</v>
      </c>
    </row>
    <row r="516" spans="10:13">
      <c r="J516" t="s">
        <v>9836</v>
      </c>
      <c r="K516" t="s">
        <v>9840</v>
      </c>
      <c r="L516" t="s">
        <v>2363</v>
      </c>
      <c r="M516" s="636" t="s">
        <v>2359</v>
      </c>
    </row>
    <row r="517" spans="10:13">
      <c r="J517" t="s">
        <v>9836</v>
      </c>
      <c r="K517" t="s">
        <v>9841</v>
      </c>
      <c r="L517" t="s">
        <v>2364</v>
      </c>
      <c r="M517" s="636" t="s">
        <v>2359</v>
      </c>
    </row>
    <row r="518" spans="10:13">
      <c r="J518" t="s">
        <v>9836</v>
      </c>
      <c r="K518" t="s">
        <v>9842</v>
      </c>
      <c r="L518" t="s">
        <v>2365</v>
      </c>
      <c r="M518" s="636" t="s">
        <v>2359</v>
      </c>
    </row>
    <row r="519" spans="10:13">
      <c r="J519" t="s">
        <v>9836</v>
      </c>
      <c r="K519" t="s">
        <v>9454</v>
      </c>
      <c r="L519" t="s">
        <v>2366</v>
      </c>
      <c r="M519" s="636" t="s">
        <v>2366</v>
      </c>
    </row>
    <row r="520" spans="10:13">
      <c r="J520" t="s">
        <v>9836</v>
      </c>
      <c r="K520" t="s">
        <v>9843</v>
      </c>
      <c r="L520" t="s">
        <v>2367</v>
      </c>
      <c r="M520" s="636" t="s">
        <v>2366</v>
      </c>
    </row>
    <row r="521" spans="10:13">
      <c r="J521" t="s">
        <v>9836</v>
      </c>
      <c r="K521" t="s">
        <v>9844</v>
      </c>
      <c r="L521" t="s">
        <v>2368</v>
      </c>
      <c r="M521" s="636" t="s">
        <v>2366</v>
      </c>
    </row>
    <row r="522" spans="10:13">
      <c r="J522" t="s">
        <v>9836</v>
      </c>
      <c r="K522" t="s">
        <v>9845</v>
      </c>
      <c r="L522" t="s">
        <v>2369</v>
      </c>
      <c r="M522" s="636" t="s">
        <v>2366</v>
      </c>
    </row>
    <row r="523" spans="10:13">
      <c r="J523" t="s">
        <v>9836</v>
      </c>
      <c r="K523" t="s">
        <v>9846</v>
      </c>
      <c r="L523" t="s">
        <v>2370</v>
      </c>
      <c r="M523" s="636" t="s">
        <v>2366</v>
      </c>
    </row>
    <row r="524" spans="10:13">
      <c r="J524" t="s">
        <v>9836</v>
      </c>
      <c r="K524" t="s">
        <v>9436</v>
      </c>
      <c r="L524" t="s">
        <v>2371</v>
      </c>
      <c r="M524" s="636" t="s">
        <v>2371</v>
      </c>
    </row>
    <row r="525" spans="10:13">
      <c r="J525" t="s">
        <v>9836</v>
      </c>
      <c r="K525" t="s">
        <v>9847</v>
      </c>
      <c r="L525" t="s">
        <v>2372</v>
      </c>
      <c r="M525" s="636" t="s">
        <v>2371</v>
      </c>
    </row>
    <row r="526" spans="10:13">
      <c r="J526" t="s">
        <v>9836</v>
      </c>
      <c r="K526" t="s">
        <v>9848</v>
      </c>
      <c r="L526" t="s">
        <v>2373</v>
      </c>
      <c r="M526" s="636" t="s">
        <v>2371</v>
      </c>
    </row>
    <row r="527" spans="10:13">
      <c r="J527" t="s">
        <v>9836</v>
      </c>
      <c r="K527" t="s">
        <v>9849</v>
      </c>
      <c r="L527" t="s">
        <v>2374</v>
      </c>
      <c r="M527" s="636" t="s">
        <v>2371</v>
      </c>
    </row>
    <row r="528" spans="10:13">
      <c r="J528" t="s">
        <v>9836</v>
      </c>
      <c r="K528" t="s">
        <v>9850</v>
      </c>
      <c r="L528" t="s">
        <v>2375</v>
      </c>
      <c r="M528" s="636" t="s">
        <v>2371</v>
      </c>
    </row>
    <row r="529" spans="10:13">
      <c r="J529" t="s">
        <v>9836</v>
      </c>
      <c r="K529" t="s">
        <v>9442</v>
      </c>
      <c r="L529" t="s">
        <v>2376</v>
      </c>
      <c r="M529" s="636" t="s">
        <v>2376</v>
      </c>
    </row>
    <row r="530" spans="10:13">
      <c r="J530" t="s">
        <v>9836</v>
      </c>
      <c r="K530" t="s">
        <v>9851</v>
      </c>
      <c r="L530" t="s">
        <v>2377</v>
      </c>
      <c r="M530" s="636" t="s">
        <v>2376</v>
      </c>
    </row>
    <row r="531" spans="10:13">
      <c r="J531" t="s">
        <v>9836</v>
      </c>
      <c r="K531" t="s">
        <v>9852</v>
      </c>
      <c r="L531" t="s">
        <v>2378</v>
      </c>
      <c r="M531" s="636" t="s">
        <v>2376</v>
      </c>
    </row>
    <row r="532" spans="10:13">
      <c r="J532" t="s">
        <v>9836</v>
      </c>
      <c r="K532" t="s">
        <v>9853</v>
      </c>
      <c r="L532" t="s">
        <v>2379</v>
      </c>
      <c r="M532" s="636" t="s">
        <v>2376</v>
      </c>
    </row>
    <row r="533" spans="10:13">
      <c r="J533" t="s">
        <v>9836</v>
      </c>
      <c r="K533" t="s">
        <v>9854</v>
      </c>
      <c r="L533" t="s">
        <v>2380</v>
      </c>
      <c r="M533" s="636" t="s">
        <v>2376</v>
      </c>
    </row>
    <row r="534" spans="10:13">
      <c r="J534" t="s">
        <v>9836</v>
      </c>
      <c r="K534" t="s">
        <v>9855</v>
      </c>
      <c r="L534" t="s">
        <v>2381</v>
      </c>
      <c r="M534" s="636" t="s">
        <v>2376</v>
      </c>
    </row>
    <row r="535" spans="10:13">
      <c r="J535" t="s">
        <v>9836</v>
      </c>
      <c r="K535" t="s">
        <v>9856</v>
      </c>
      <c r="L535" t="s">
        <v>2382</v>
      </c>
      <c r="M535" s="636" t="s">
        <v>2376</v>
      </c>
    </row>
    <row r="536" spans="10:13">
      <c r="J536" t="s">
        <v>9857</v>
      </c>
      <c r="K536" t="s">
        <v>9577</v>
      </c>
      <c r="L536" t="s">
        <v>2383</v>
      </c>
      <c r="M536" s="636" t="s">
        <v>2383</v>
      </c>
    </row>
    <row r="537" spans="10:13">
      <c r="J537" t="s">
        <v>9857</v>
      </c>
      <c r="K537" t="s">
        <v>9583</v>
      </c>
      <c r="L537" t="s">
        <v>2384</v>
      </c>
      <c r="M537" s="636" t="s">
        <v>2384</v>
      </c>
    </row>
    <row r="538" spans="10:13">
      <c r="J538" t="s">
        <v>9857</v>
      </c>
      <c r="K538" t="s">
        <v>9589</v>
      </c>
      <c r="L538" t="s">
        <v>2385</v>
      </c>
      <c r="M538" s="636" t="s">
        <v>2385</v>
      </c>
    </row>
    <row r="539" spans="10:13">
      <c r="J539" t="s">
        <v>9857</v>
      </c>
      <c r="K539" t="s">
        <v>9761</v>
      </c>
      <c r="L539" t="s">
        <v>2386</v>
      </c>
      <c r="M539" s="636" t="s">
        <v>2386</v>
      </c>
    </row>
    <row r="540" spans="10:13">
      <c r="J540" t="s">
        <v>9858</v>
      </c>
      <c r="K540" t="s">
        <v>9577</v>
      </c>
      <c r="L540" t="s">
        <v>2387</v>
      </c>
      <c r="M540" s="636" t="s">
        <v>2387</v>
      </c>
    </row>
    <row r="541" spans="10:13">
      <c r="J541" t="s">
        <v>9858</v>
      </c>
      <c r="K541" t="s">
        <v>9859</v>
      </c>
      <c r="L541" t="s">
        <v>2388</v>
      </c>
      <c r="M541" s="636" t="s">
        <v>2387</v>
      </c>
    </row>
    <row r="542" spans="10:13">
      <c r="J542" t="s">
        <v>9858</v>
      </c>
      <c r="K542" t="s">
        <v>9860</v>
      </c>
      <c r="L542" t="s">
        <v>2389</v>
      </c>
      <c r="M542" s="636" t="s">
        <v>2387</v>
      </c>
    </row>
    <row r="543" spans="10:13">
      <c r="J543" t="s">
        <v>9858</v>
      </c>
      <c r="K543" t="s">
        <v>9861</v>
      </c>
      <c r="L543" t="s">
        <v>2390</v>
      </c>
      <c r="M543" s="636" t="s">
        <v>2387</v>
      </c>
    </row>
    <row r="544" spans="10:13">
      <c r="J544" t="s">
        <v>9858</v>
      </c>
      <c r="K544" t="s">
        <v>9862</v>
      </c>
      <c r="L544" t="s">
        <v>2391</v>
      </c>
      <c r="M544" s="636" t="s">
        <v>2387</v>
      </c>
    </row>
    <row r="545" spans="10:13">
      <c r="J545" t="s">
        <v>9858</v>
      </c>
      <c r="K545" t="s">
        <v>9863</v>
      </c>
      <c r="L545" t="s">
        <v>2392</v>
      </c>
      <c r="M545" s="636" t="s">
        <v>2387</v>
      </c>
    </row>
    <row r="546" spans="10:13">
      <c r="J546" t="s">
        <v>9858</v>
      </c>
      <c r="K546" t="s">
        <v>9583</v>
      </c>
      <c r="L546" t="s">
        <v>2393</v>
      </c>
      <c r="M546" s="636" t="s">
        <v>2393</v>
      </c>
    </row>
    <row r="547" spans="10:13">
      <c r="J547" t="s">
        <v>9858</v>
      </c>
      <c r="K547" t="s">
        <v>9864</v>
      </c>
      <c r="L547" t="s">
        <v>2394</v>
      </c>
      <c r="M547" s="636" t="s">
        <v>2393</v>
      </c>
    </row>
    <row r="548" spans="10:13">
      <c r="J548" t="s">
        <v>9858</v>
      </c>
      <c r="K548" t="s">
        <v>9865</v>
      </c>
      <c r="L548" t="s">
        <v>2395</v>
      </c>
      <c r="M548" s="636" t="s">
        <v>2393</v>
      </c>
    </row>
    <row r="549" spans="10:13">
      <c r="J549" t="s">
        <v>9858</v>
      </c>
      <c r="K549" t="s">
        <v>9866</v>
      </c>
      <c r="L549" t="s">
        <v>2396</v>
      </c>
      <c r="M549" s="636" t="s">
        <v>2393</v>
      </c>
    </row>
    <row r="550" spans="10:13">
      <c r="J550" t="s">
        <v>9858</v>
      </c>
      <c r="K550" t="s">
        <v>9867</v>
      </c>
      <c r="L550" t="s">
        <v>2397</v>
      </c>
      <c r="M550" s="636" t="s">
        <v>2393</v>
      </c>
    </row>
    <row r="551" spans="10:13">
      <c r="J551" t="s">
        <v>9858</v>
      </c>
      <c r="K551" t="s">
        <v>9868</v>
      </c>
      <c r="L551" t="s">
        <v>2398</v>
      </c>
      <c r="M551" s="636" t="s">
        <v>2393</v>
      </c>
    </row>
    <row r="552" spans="10:13">
      <c r="J552" t="s">
        <v>9858</v>
      </c>
      <c r="K552" t="s">
        <v>9589</v>
      </c>
      <c r="L552" t="s">
        <v>2399</v>
      </c>
      <c r="M552" s="636" t="s">
        <v>2399</v>
      </c>
    </row>
    <row r="553" spans="10:13">
      <c r="J553" t="s">
        <v>9858</v>
      </c>
      <c r="K553" t="s">
        <v>9732</v>
      </c>
      <c r="L553" t="s">
        <v>2263</v>
      </c>
      <c r="M553" s="636" t="s">
        <v>2399</v>
      </c>
    </row>
    <row r="554" spans="10:13">
      <c r="J554" t="s">
        <v>9858</v>
      </c>
      <c r="K554" t="s">
        <v>9869</v>
      </c>
      <c r="L554" t="s">
        <v>2400</v>
      </c>
      <c r="M554" s="636" t="s">
        <v>2399</v>
      </c>
    </row>
    <row r="555" spans="10:13">
      <c r="J555" t="s">
        <v>9858</v>
      </c>
      <c r="K555" t="s">
        <v>9870</v>
      </c>
      <c r="L555" t="s">
        <v>2401</v>
      </c>
      <c r="M555" s="636" t="s">
        <v>2399</v>
      </c>
    </row>
    <row r="556" spans="10:13">
      <c r="J556" t="s">
        <v>9858</v>
      </c>
      <c r="K556" t="s">
        <v>9871</v>
      </c>
      <c r="L556" t="s">
        <v>2402</v>
      </c>
      <c r="M556" s="636" t="s">
        <v>2399</v>
      </c>
    </row>
    <row r="557" spans="10:13">
      <c r="J557" t="s">
        <v>9872</v>
      </c>
      <c r="K557" t="s">
        <v>9577</v>
      </c>
      <c r="L557" t="s">
        <v>2403</v>
      </c>
      <c r="M557" s="636" t="s">
        <v>2403</v>
      </c>
    </row>
    <row r="558" spans="10:13">
      <c r="J558" t="s">
        <v>9872</v>
      </c>
      <c r="K558" t="s">
        <v>9873</v>
      </c>
      <c r="L558" t="s">
        <v>2404</v>
      </c>
      <c r="M558" s="636" t="s">
        <v>2403</v>
      </c>
    </row>
    <row r="559" spans="10:13">
      <c r="J559" t="s">
        <v>9872</v>
      </c>
      <c r="K559" t="s">
        <v>9874</v>
      </c>
      <c r="L559" t="s">
        <v>2405</v>
      </c>
      <c r="M559" s="636" t="s">
        <v>2403</v>
      </c>
    </row>
    <row r="560" spans="10:13">
      <c r="J560" t="s">
        <v>9872</v>
      </c>
      <c r="K560" t="s">
        <v>9875</v>
      </c>
      <c r="L560" t="s">
        <v>2406</v>
      </c>
      <c r="M560" s="636" t="s">
        <v>2403</v>
      </c>
    </row>
    <row r="561" spans="10:13">
      <c r="J561" t="s">
        <v>9872</v>
      </c>
      <c r="K561" t="s">
        <v>9876</v>
      </c>
      <c r="L561" t="s">
        <v>2407</v>
      </c>
      <c r="M561" s="636" t="s">
        <v>2403</v>
      </c>
    </row>
    <row r="562" spans="10:13">
      <c r="J562" t="s">
        <v>9872</v>
      </c>
      <c r="K562" t="s">
        <v>9877</v>
      </c>
      <c r="L562" t="s">
        <v>2408</v>
      </c>
      <c r="M562" s="636" t="s">
        <v>2403</v>
      </c>
    </row>
    <row r="563" spans="10:13">
      <c r="J563" t="s">
        <v>9872</v>
      </c>
      <c r="K563" t="s">
        <v>9583</v>
      </c>
      <c r="L563" t="s">
        <v>2409</v>
      </c>
      <c r="M563" s="636" t="s">
        <v>2409</v>
      </c>
    </row>
    <row r="564" spans="10:13">
      <c r="J564" t="s">
        <v>9872</v>
      </c>
      <c r="K564" t="s">
        <v>9878</v>
      </c>
      <c r="L564" t="s">
        <v>2410</v>
      </c>
      <c r="M564" s="636" t="s">
        <v>2409</v>
      </c>
    </row>
    <row r="565" spans="10:13">
      <c r="J565" t="s">
        <v>9872</v>
      </c>
      <c r="K565" t="s">
        <v>9879</v>
      </c>
      <c r="L565" t="s">
        <v>2411</v>
      </c>
      <c r="M565" s="636" t="s">
        <v>2409</v>
      </c>
    </row>
    <row r="566" spans="10:13">
      <c r="J566" t="s">
        <v>9872</v>
      </c>
      <c r="K566" t="s">
        <v>9880</v>
      </c>
      <c r="L566" t="s">
        <v>2412</v>
      </c>
      <c r="M566" s="636" t="s">
        <v>2409</v>
      </c>
    </row>
    <row r="567" spans="10:13">
      <c r="J567" t="s">
        <v>9872</v>
      </c>
      <c r="K567" t="s">
        <v>9881</v>
      </c>
      <c r="L567" t="s">
        <v>2413</v>
      </c>
      <c r="M567" s="636" t="s">
        <v>2409</v>
      </c>
    </row>
    <row r="568" spans="10:13">
      <c r="J568" t="s">
        <v>9872</v>
      </c>
      <c r="K568" t="s">
        <v>9882</v>
      </c>
      <c r="L568" t="s">
        <v>2414</v>
      </c>
      <c r="M568" s="636" t="s">
        <v>2409</v>
      </c>
    </row>
    <row r="569" spans="10:13">
      <c r="J569" t="s">
        <v>9872</v>
      </c>
      <c r="K569" t="s">
        <v>9589</v>
      </c>
      <c r="L569" t="s">
        <v>2415</v>
      </c>
      <c r="M569" s="636" t="s">
        <v>2415</v>
      </c>
    </row>
    <row r="570" spans="10:13">
      <c r="J570" t="s">
        <v>9872</v>
      </c>
      <c r="K570" t="s">
        <v>9883</v>
      </c>
      <c r="L570" t="s">
        <v>1959</v>
      </c>
      <c r="M570" s="636" t="s">
        <v>2415</v>
      </c>
    </row>
    <row r="571" spans="10:13">
      <c r="J571" t="s">
        <v>9884</v>
      </c>
      <c r="K571" t="s">
        <v>9577</v>
      </c>
      <c r="L571" t="s">
        <v>2416</v>
      </c>
      <c r="M571" s="636" t="s">
        <v>2416</v>
      </c>
    </row>
    <row r="572" spans="10:13">
      <c r="J572" t="s">
        <v>9884</v>
      </c>
      <c r="K572" t="s">
        <v>9885</v>
      </c>
      <c r="L572" t="s">
        <v>2417</v>
      </c>
      <c r="M572" s="636" t="s">
        <v>2416</v>
      </c>
    </row>
    <row r="573" spans="10:13">
      <c r="J573" t="s">
        <v>9884</v>
      </c>
      <c r="K573" t="s">
        <v>9886</v>
      </c>
      <c r="L573" t="s">
        <v>2418</v>
      </c>
      <c r="M573" s="636" t="s">
        <v>2416</v>
      </c>
    </row>
    <row r="574" spans="10:13">
      <c r="J574" t="s">
        <v>9884</v>
      </c>
      <c r="K574" t="s">
        <v>9887</v>
      </c>
      <c r="L574" t="s">
        <v>1886</v>
      </c>
      <c r="M574" s="636" t="s">
        <v>2416</v>
      </c>
    </row>
    <row r="575" spans="10:13">
      <c r="J575" t="s">
        <v>9884</v>
      </c>
      <c r="K575" t="s">
        <v>9888</v>
      </c>
      <c r="L575" t="s">
        <v>2419</v>
      </c>
      <c r="M575" s="636" t="s">
        <v>2416</v>
      </c>
    </row>
    <row r="576" spans="10:13">
      <c r="J576" t="s">
        <v>9884</v>
      </c>
      <c r="K576" t="s">
        <v>9889</v>
      </c>
      <c r="L576" t="s">
        <v>2420</v>
      </c>
      <c r="M576" s="636" t="s">
        <v>2416</v>
      </c>
    </row>
    <row r="577" spans="10:13">
      <c r="J577" t="s">
        <v>9884</v>
      </c>
      <c r="K577" t="s">
        <v>9583</v>
      </c>
      <c r="L577" t="s">
        <v>2421</v>
      </c>
      <c r="M577" s="636" t="s">
        <v>2421</v>
      </c>
    </row>
    <row r="578" spans="10:13">
      <c r="J578" t="s">
        <v>9884</v>
      </c>
      <c r="K578" t="s">
        <v>9890</v>
      </c>
      <c r="L578" t="s">
        <v>2422</v>
      </c>
      <c r="M578" s="636" t="s">
        <v>2421</v>
      </c>
    </row>
    <row r="579" spans="10:13">
      <c r="J579" t="s">
        <v>9884</v>
      </c>
      <c r="K579" t="s">
        <v>9891</v>
      </c>
      <c r="L579" t="s">
        <v>2423</v>
      </c>
      <c r="M579" s="636" t="s">
        <v>2421</v>
      </c>
    </row>
    <row r="580" spans="10:13">
      <c r="J580" t="s">
        <v>9884</v>
      </c>
      <c r="K580" t="s">
        <v>9892</v>
      </c>
      <c r="L580" t="s">
        <v>2424</v>
      </c>
      <c r="M580" s="636" t="s">
        <v>2421</v>
      </c>
    </row>
    <row r="581" spans="10:13">
      <c r="J581" t="s">
        <v>9884</v>
      </c>
      <c r="K581" t="s">
        <v>9893</v>
      </c>
      <c r="L581" t="s">
        <v>2425</v>
      </c>
      <c r="M581" s="636" t="s">
        <v>2421</v>
      </c>
    </row>
    <row r="582" spans="10:13">
      <c r="J582" t="s">
        <v>9884</v>
      </c>
      <c r="K582" t="s">
        <v>9894</v>
      </c>
      <c r="L582" t="s">
        <v>2426</v>
      </c>
      <c r="M582" s="636" t="s">
        <v>2421</v>
      </c>
    </row>
    <row r="583" spans="10:13">
      <c r="J583" t="s">
        <v>9884</v>
      </c>
      <c r="K583" t="s">
        <v>9589</v>
      </c>
      <c r="L583" t="s">
        <v>2427</v>
      </c>
      <c r="M583" s="636" t="s">
        <v>2427</v>
      </c>
    </row>
    <row r="584" spans="10:13">
      <c r="J584" t="s">
        <v>9884</v>
      </c>
      <c r="K584" t="s">
        <v>9895</v>
      </c>
      <c r="L584" t="s">
        <v>2428</v>
      </c>
      <c r="M584" s="636" t="s">
        <v>2427</v>
      </c>
    </row>
    <row r="585" spans="10:13">
      <c r="J585" t="s">
        <v>9884</v>
      </c>
      <c r="K585" t="s">
        <v>9896</v>
      </c>
      <c r="L585" t="s">
        <v>2429</v>
      </c>
      <c r="M585" s="636" t="s">
        <v>2427</v>
      </c>
    </row>
    <row r="586" spans="10:13">
      <c r="J586" t="s">
        <v>9884</v>
      </c>
      <c r="K586" t="s">
        <v>9897</v>
      </c>
      <c r="L586" t="s">
        <v>1885</v>
      </c>
      <c r="M586" s="636" t="s">
        <v>2427</v>
      </c>
    </row>
    <row r="587" spans="10:13">
      <c r="J587" t="s">
        <v>9884</v>
      </c>
      <c r="K587" t="s">
        <v>9898</v>
      </c>
      <c r="L587" t="s">
        <v>2430</v>
      </c>
      <c r="M587" s="636" t="s">
        <v>2427</v>
      </c>
    </row>
    <row r="588" spans="10:13">
      <c r="J588" t="s">
        <v>9884</v>
      </c>
      <c r="K588" t="s">
        <v>9899</v>
      </c>
      <c r="L588" t="s">
        <v>2431</v>
      </c>
      <c r="M588" s="636" t="s">
        <v>2427</v>
      </c>
    </row>
    <row r="589" spans="10:13">
      <c r="J589" t="s">
        <v>9900</v>
      </c>
      <c r="K589" t="s">
        <v>9454</v>
      </c>
      <c r="L589" t="s">
        <v>2432</v>
      </c>
      <c r="M589" s="636" t="s">
        <v>2432</v>
      </c>
    </row>
    <row r="590" spans="10:13">
      <c r="J590" t="s">
        <v>9900</v>
      </c>
      <c r="K590" t="s">
        <v>9901</v>
      </c>
      <c r="L590" t="s">
        <v>2433</v>
      </c>
      <c r="M590" s="636" t="s">
        <v>2432</v>
      </c>
    </row>
    <row r="591" spans="10:13">
      <c r="J591" t="s">
        <v>9900</v>
      </c>
      <c r="K591" t="s">
        <v>9902</v>
      </c>
      <c r="L591" t="s">
        <v>2434</v>
      </c>
      <c r="M591" s="636" t="s">
        <v>2432</v>
      </c>
    </row>
    <row r="592" spans="10:13">
      <c r="J592" t="s">
        <v>9900</v>
      </c>
      <c r="K592" t="s">
        <v>9903</v>
      </c>
      <c r="L592" t="s">
        <v>2435</v>
      </c>
      <c r="M592" s="636" t="s">
        <v>2432</v>
      </c>
    </row>
    <row r="593" spans="10:13">
      <c r="J593" t="s">
        <v>9900</v>
      </c>
      <c r="K593" t="s">
        <v>9904</v>
      </c>
      <c r="L593" t="s">
        <v>2436</v>
      </c>
      <c r="M593" s="636" t="s">
        <v>2432</v>
      </c>
    </row>
    <row r="594" spans="10:13">
      <c r="J594" t="s">
        <v>9900</v>
      </c>
      <c r="K594" t="s">
        <v>9905</v>
      </c>
      <c r="L594" t="s">
        <v>2437</v>
      </c>
      <c r="M594" s="636" t="s">
        <v>2432</v>
      </c>
    </row>
    <row r="595" spans="10:13">
      <c r="J595" t="s">
        <v>9900</v>
      </c>
      <c r="K595" t="s">
        <v>9906</v>
      </c>
      <c r="L595" t="s">
        <v>2438</v>
      </c>
      <c r="M595" s="636" t="s">
        <v>2432</v>
      </c>
    </row>
    <row r="596" spans="10:13">
      <c r="J596" t="s">
        <v>9900</v>
      </c>
      <c r="K596" t="s">
        <v>9448</v>
      </c>
      <c r="L596" t="s">
        <v>2439</v>
      </c>
      <c r="M596" s="636" t="s">
        <v>2439</v>
      </c>
    </row>
    <row r="597" spans="10:13">
      <c r="J597" t="s">
        <v>9900</v>
      </c>
      <c r="K597" t="s">
        <v>9907</v>
      </c>
      <c r="L597" t="s">
        <v>2440</v>
      </c>
      <c r="M597" s="636" t="s">
        <v>2439</v>
      </c>
    </row>
    <row r="598" spans="10:13">
      <c r="J598" t="s">
        <v>9900</v>
      </c>
      <c r="K598" t="s">
        <v>9908</v>
      </c>
      <c r="L598" t="s">
        <v>2441</v>
      </c>
      <c r="M598" s="636" t="s">
        <v>2439</v>
      </c>
    </row>
    <row r="599" spans="10:13">
      <c r="J599" t="s">
        <v>9900</v>
      </c>
      <c r="K599" t="s">
        <v>9909</v>
      </c>
      <c r="L599" t="s">
        <v>2442</v>
      </c>
      <c r="M599" s="636" t="s">
        <v>2439</v>
      </c>
    </row>
    <row r="600" spans="10:13">
      <c r="J600" t="s">
        <v>9900</v>
      </c>
      <c r="K600" t="s">
        <v>9910</v>
      </c>
      <c r="L600" t="s">
        <v>2443</v>
      </c>
      <c r="M600" s="636" t="s">
        <v>2439</v>
      </c>
    </row>
    <row r="601" spans="10:13">
      <c r="J601" t="s">
        <v>9900</v>
      </c>
      <c r="K601" t="s">
        <v>9911</v>
      </c>
      <c r="L601" t="s">
        <v>2444</v>
      </c>
      <c r="M601" s="636" t="s">
        <v>2439</v>
      </c>
    </row>
    <row r="602" spans="10:13">
      <c r="J602" t="s">
        <v>9900</v>
      </c>
      <c r="K602" t="s">
        <v>9912</v>
      </c>
      <c r="L602" t="s">
        <v>2445</v>
      </c>
      <c r="M602" s="636" t="s">
        <v>2439</v>
      </c>
    </row>
    <row r="603" spans="10:13">
      <c r="J603" t="s">
        <v>9900</v>
      </c>
      <c r="K603" t="s">
        <v>9422</v>
      </c>
      <c r="L603" t="s">
        <v>2446</v>
      </c>
      <c r="M603" s="636" t="s">
        <v>2446</v>
      </c>
    </row>
    <row r="604" spans="10:13">
      <c r="J604" t="s">
        <v>9900</v>
      </c>
      <c r="K604" t="s">
        <v>9913</v>
      </c>
      <c r="L604" t="s">
        <v>2447</v>
      </c>
      <c r="M604" s="636" t="s">
        <v>2446</v>
      </c>
    </row>
    <row r="605" spans="10:13">
      <c r="J605" t="s">
        <v>9900</v>
      </c>
      <c r="K605" t="s">
        <v>9914</v>
      </c>
      <c r="L605" t="s">
        <v>2448</v>
      </c>
      <c r="M605" s="636" t="s">
        <v>2446</v>
      </c>
    </row>
    <row r="606" spans="10:13">
      <c r="J606" t="s">
        <v>9900</v>
      </c>
      <c r="K606" t="s">
        <v>9915</v>
      </c>
      <c r="L606" t="s">
        <v>2449</v>
      </c>
      <c r="M606" s="636" t="s">
        <v>2446</v>
      </c>
    </row>
    <row r="607" spans="10:13">
      <c r="J607" t="s">
        <v>9900</v>
      </c>
      <c r="K607" t="s">
        <v>9916</v>
      </c>
      <c r="L607" t="s">
        <v>2450</v>
      </c>
      <c r="M607" s="636" t="s">
        <v>2446</v>
      </c>
    </row>
    <row r="608" spans="10:13">
      <c r="J608" t="s">
        <v>9900</v>
      </c>
      <c r="K608" t="s">
        <v>9917</v>
      </c>
      <c r="L608" t="s">
        <v>2451</v>
      </c>
      <c r="M608" s="636" t="s">
        <v>2446</v>
      </c>
    </row>
    <row r="609" spans="10:13">
      <c r="J609" t="s">
        <v>9900</v>
      </c>
      <c r="K609" t="s">
        <v>9918</v>
      </c>
      <c r="L609" t="s">
        <v>2452</v>
      </c>
      <c r="M609" s="636" t="s">
        <v>2446</v>
      </c>
    </row>
    <row r="610" spans="10:13">
      <c r="J610" t="s">
        <v>9900</v>
      </c>
      <c r="K610" t="s">
        <v>9919</v>
      </c>
      <c r="L610" t="s">
        <v>2453</v>
      </c>
      <c r="M610" s="636" t="s">
        <v>2446</v>
      </c>
    </row>
    <row r="611" spans="10:13">
      <c r="J611" t="s">
        <v>9900</v>
      </c>
      <c r="K611" t="s">
        <v>9423</v>
      </c>
      <c r="L611" t="s">
        <v>2454</v>
      </c>
      <c r="M611" s="636" t="s">
        <v>2454</v>
      </c>
    </row>
    <row r="612" spans="10:13">
      <c r="J612" t="s">
        <v>9900</v>
      </c>
      <c r="K612" t="s">
        <v>9920</v>
      </c>
      <c r="L612" t="s">
        <v>2455</v>
      </c>
      <c r="M612" s="636" t="s">
        <v>2454</v>
      </c>
    </row>
    <row r="613" spans="10:13">
      <c r="J613" t="s">
        <v>9900</v>
      </c>
      <c r="K613" t="s">
        <v>9921</v>
      </c>
      <c r="L613" t="s">
        <v>2456</v>
      </c>
      <c r="M613" s="636" t="s">
        <v>2454</v>
      </c>
    </row>
    <row r="614" spans="10:13">
      <c r="J614" t="s">
        <v>9900</v>
      </c>
      <c r="K614" t="s">
        <v>9922</v>
      </c>
      <c r="L614" t="s">
        <v>2457</v>
      </c>
      <c r="M614" s="636" t="s">
        <v>2454</v>
      </c>
    </row>
    <row r="615" spans="10:13">
      <c r="J615" t="s">
        <v>9900</v>
      </c>
      <c r="K615" t="s">
        <v>9923</v>
      </c>
      <c r="L615" t="s">
        <v>2458</v>
      </c>
      <c r="M615" s="636" t="s">
        <v>2454</v>
      </c>
    </row>
    <row r="616" spans="10:13">
      <c r="J616" t="s">
        <v>9900</v>
      </c>
      <c r="K616" t="s">
        <v>9924</v>
      </c>
      <c r="L616" t="s">
        <v>2459</v>
      </c>
      <c r="M616" s="636" t="s">
        <v>2454</v>
      </c>
    </row>
    <row r="617" spans="10:13">
      <c r="J617" t="s">
        <v>9900</v>
      </c>
      <c r="K617" t="s">
        <v>9925</v>
      </c>
      <c r="L617" t="s">
        <v>2460</v>
      </c>
      <c r="M617" s="636" t="s">
        <v>2454</v>
      </c>
    </row>
    <row r="618" spans="10:13">
      <c r="J618" t="s">
        <v>9900</v>
      </c>
      <c r="K618" t="s">
        <v>9926</v>
      </c>
      <c r="L618" t="s">
        <v>2461</v>
      </c>
      <c r="M618" s="636" t="s">
        <v>2454</v>
      </c>
    </row>
    <row r="619" spans="10:13">
      <c r="J619" t="s">
        <v>9927</v>
      </c>
      <c r="K619" t="s">
        <v>9577</v>
      </c>
      <c r="L619" t="s">
        <v>2462</v>
      </c>
      <c r="M619" s="636" t="s">
        <v>2462</v>
      </c>
    </row>
    <row r="620" spans="10:13">
      <c r="J620" t="s">
        <v>9927</v>
      </c>
      <c r="K620" t="s">
        <v>9928</v>
      </c>
      <c r="L620" t="s">
        <v>2463</v>
      </c>
      <c r="M620" s="636" t="s">
        <v>2462</v>
      </c>
    </row>
    <row r="621" spans="10:13">
      <c r="J621" t="s">
        <v>9927</v>
      </c>
      <c r="K621" t="s">
        <v>9929</v>
      </c>
      <c r="L621" t="s">
        <v>2464</v>
      </c>
      <c r="M621" s="636" t="s">
        <v>2462</v>
      </c>
    </row>
    <row r="622" spans="10:13">
      <c r="J622" t="s">
        <v>9927</v>
      </c>
      <c r="K622" t="s">
        <v>9930</v>
      </c>
      <c r="L622" t="s">
        <v>2465</v>
      </c>
      <c r="M622" s="636" t="s">
        <v>2462</v>
      </c>
    </row>
    <row r="623" spans="10:13">
      <c r="J623" t="s">
        <v>9927</v>
      </c>
      <c r="K623" t="s">
        <v>9931</v>
      </c>
      <c r="L623" t="s">
        <v>1890</v>
      </c>
      <c r="M623" s="636" t="s">
        <v>2462</v>
      </c>
    </row>
    <row r="624" spans="10:13">
      <c r="J624" t="s">
        <v>9927</v>
      </c>
      <c r="K624" t="s">
        <v>9932</v>
      </c>
      <c r="L624" t="s">
        <v>1888</v>
      </c>
      <c r="M624" s="636" t="s">
        <v>2462</v>
      </c>
    </row>
    <row r="625" spans="10:13">
      <c r="J625" t="s">
        <v>9927</v>
      </c>
      <c r="K625" t="s">
        <v>9583</v>
      </c>
      <c r="L625" t="s">
        <v>2466</v>
      </c>
      <c r="M625" s="636" t="s">
        <v>2466</v>
      </c>
    </row>
    <row r="626" spans="10:13">
      <c r="J626" t="s">
        <v>9927</v>
      </c>
      <c r="K626" t="s">
        <v>9933</v>
      </c>
      <c r="L626" t="s">
        <v>2467</v>
      </c>
      <c r="M626" s="636" t="s">
        <v>2466</v>
      </c>
    </row>
    <row r="627" spans="10:13">
      <c r="J627" t="s">
        <v>9927</v>
      </c>
      <c r="K627" t="s">
        <v>9934</v>
      </c>
      <c r="L627" t="s">
        <v>2468</v>
      </c>
      <c r="M627" s="636" t="s">
        <v>2466</v>
      </c>
    </row>
    <row r="628" spans="10:13">
      <c r="J628" t="s">
        <v>9927</v>
      </c>
      <c r="K628" t="s">
        <v>9935</v>
      </c>
      <c r="L628" t="s">
        <v>1963</v>
      </c>
      <c r="M628" s="636" t="s">
        <v>2466</v>
      </c>
    </row>
    <row r="629" spans="10:13">
      <c r="J629" t="s">
        <v>9927</v>
      </c>
      <c r="K629" t="s">
        <v>9936</v>
      </c>
      <c r="L629" t="s">
        <v>2469</v>
      </c>
      <c r="M629" s="636" t="s">
        <v>2466</v>
      </c>
    </row>
    <row r="630" spans="10:13">
      <c r="J630" t="s">
        <v>9927</v>
      </c>
      <c r="K630" t="s">
        <v>9937</v>
      </c>
      <c r="L630" t="s">
        <v>1961</v>
      </c>
      <c r="M630" s="636" t="s">
        <v>2466</v>
      </c>
    </row>
    <row r="631" spans="10:13">
      <c r="J631" t="s">
        <v>9927</v>
      </c>
      <c r="K631" t="s">
        <v>9589</v>
      </c>
      <c r="L631" t="s">
        <v>2470</v>
      </c>
      <c r="M631" s="636" t="s">
        <v>2470</v>
      </c>
    </row>
    <row r="632" spans="10:13">
      <c r="J632" t="s">
        <v>9927</v>
      </c>
      <c r="K632" t="s">
        <v>9938</v>
      </c>
      <c r="L632" t="s">
        <v>1964</v>
      </c>
      <c r="M632" s="636" t="s">
        <v>2470</v>
      </c>
    </row>
    <row r="633" spans="10:13">
      <c r="J633" t="s">
        <v>9927</v>
      </c>
      <c r="K633" t="s">
        <v>9939</v>
      </c>
      <c r="L633" t="s">
        <v>2471</v>
      </c>
      <c r="M633" s="636" t="s">
        <v>2470</v>
      </c>
    </row>
    <row r="634" spans="10:13">
      <c r="J634" t="s">
        <v>9927</v>
      </c>
      <c r="K634" t="s">
        <v>9940</v>
      </c>
      <c r="L634" t="s">
        <v>2472</v>
      </c>
      <c r="M634" s="636" t="s">
        <v>2470</v>
      </c>
    </row>
    <row r="635" spans="10:13">
      <c r="J635" t="s">
        <v>9927</v>
      </c>
      <c r="K635" t="s">
        <v>9941</v>
      </c>
      <c r="L635" t="s">
        <v>2473</v>
      </c>
      <c r="M635" s="636" t="s">
        <v>2470</v>
      </c>
    </row>
    <row r="636" spans="10:13">
      <c r="J636" t="s">
        <v>9927</v>
      </c>
      <c r="K636" t="s">
        <v>9942</v>
      </c>
      <c r="L636" t="s">
        <v>2474</v>
      </c>
      <c r="M636" s="636" t="s">
        <v>2470</v>
      </c>
    </row>
    <row r="637" spans="10:13">
      <c r="J637" t="s">
        <v>9943</v>
      </c>
      <c r="K637" t="s">
        <v>9577</v>
      </c>
      <c r="L637" t="s">
        <v>2475</v>
      </c>
      <c r="M637" s="636" t="s">
        <v>2475</v>
      </c>
    </row>
    <row r="638" spans="10:13">
      <c r="J638" t="s">
        <v>9943</v>
      </c>
      <c r="K638" t="s">
        <v>9944</v>
      </c>
      <c r="L638" t="s">
        <v>2476</v>
      </c>
      <c r="M638" s="636" t="s">
        <v>2475</v>
      </c>
    </row>
    <row r="639" spans="10:13">
      <c r="J639" t="s">
        <v>9943</v>
      </c>
      <c r="K639" t="s">
        <v>9945</v>
      </c>
      <c r="L639" t="s">
        <v>2477</v>
      </c>
      <c r="M639" s="636" t="s">
        <v>2475</v>
      </c>
    </row>
    <row r="640" spans="10:13">
      <c r="J640" t="s">
        <v>9943</v>
      </c>
      <c r="K640" t="s">
        <v>9946</v>
      </c>
      <c r="L640" t="s">
        <v>2478</v>
      </c>
      <c r="M640" s="636" t="s">
        <v>2475</v>
      </c>
    </row>
    <row r="641" spans="10:13">
      <c r="J641" t="s">
        <v>9943</v>
      </c>
      <c r="K641" t="s">
        <v>9947</v>
      </c>
      <c r="L641" t="s">
        <v>2479</v>
      </c>
      <c r="M641" s="636" t="s">
        <v>2475</v>
      </c>
    </row>
    <row r="642" spans="10:13">
      <c r="J642" t="s">
        <v>9943</v>
      </c>
      <c r="K642" t="s">
        <v>9948</v>
      </c>
      <c r="L642" t="s">
        <v>2480</v>
      </c>
      <c r="M642" s="636" t="s">
        <v>2475</v>
      </c>
    </row>
    <row r="643" spans="10:13">
      <c r="J643" t="s">
        <v>9943</v>
      </c>
      <c r="K643" t="s">
        <v>9583</v>
      </c>
      <c r="L643" t="s">
        <v>2481</v>
      </c>
      <c r="M643" s="636" t="s">
        <v>2481</v>
      </c>
    </row>
    <row r="644" spans="10:13">
      <c r="J644" t="s">
        <v>9943</v>
      </c>
      <c r="K644" t="s">
        <v>9949</v>
      </c>
      <c r="L644" t="s">
        <v>2482</v>
      </c>
      <c r="M644" s="636" t="s">
        <v>2481</v>
      </c>
    </row>
    <row r="645" spans="10:13">
      <c r="J645" t="s">
        <v>9943</v>
      </c>
      <c r="K645" t="s">
        <v>9950</v>
      </c>
      <c r="L645" t="s">
        <v>2483</v>
      </c>
      <c r="M645" s="636" t="s">
        <v>2481</v>
      </c>
    </row>
    <row r="646" spans="10:13">
      <c r="J646" t="s">
        <v>9943</v>
      </c>
      <c r="K646" t="s">
        <v>9951</v>
      </c>
      <c r="L646" t="s">
        <v>2484</v>
      </c>
      <c r="M646" s="636" t="s">
        <v>2481</v>
      </c>
    </row>
    <row r="647" spans="10:13">
      <c r="J647" t="s">
        <v>9943</v>
      </c>
      <c r="K647" t="s">
        <v>9952</v>
      </c>
      <c r="L647" t="s">
        <v>2485</v>
      </c>
      <c r="M647" s="636" t="s">
        <v>2481</v>
      </c>
    </row>
    <row r="648" spans="10:13">
      <c r="J648" t="s">
        <v>9943</v>
      </c>
      <c r="K648" t="s">
        <v>9953</v>
      </c>
      <c r="L648" t="s">
        <v>2486</v>
      </c>
      <c r="M648" s="636" t="s">
        <v>2481</v>
      </c>
    </row>
    <row r="649" spans="10:13">
      <c r="J649" t="s">
        <v>9943</v>
      </c>
      <c r="K649" t="s">
        <v>9589</v>
      </c>
      <c r="L649" t="s">
        <v>2487</v>
      </c>
      <c r="M649" s="636" t="s">
        <v>2487</v>
      </c>
    </row>
    <row r="650" spans="10:13">
      <c r="J650" t="s">
        <v>9943</v>
      </c>
      <c r="K650" t="s">
        <v>9954</v>
      </c>
      <c r="L650" t="s">
        <v>2488</v>
      </c>
      <c r="M650" s="636" t="s">
        <v>2487</v>
      </c>
    </row>
    <row r="651" spans="10:13">
      <c r="J651" t="s">
        <v>9943</v>
      </c>
      <c r="K651" t="s">
        <v>9955</v>
      </c>
      <c r="L651" t="s">
        <v>2489</v>
      </c>
      <c r="M651" s="636" t="s">
        <v>2487</v>
      </c>
    </row>
    <row r="652" spans="10:13">
      <c r="J652" t="s">
        <v>9943</v>
      </c>
      <c r="K652" t="s">
        <v>9956</v>
      </c>
      <c r="L652" t="s">
        <v>2490</v>
      </c>
      <c r="M652" s="636" t="s">
        <v>2487</v>
      </c>
    </row>
    <row r="653" spans="10:13">
      <c r="J653" t="s">
        <v>9943</v>
      </c>
      <c r="K653" t="s">
        <v>9957</v>
      </c>
      <c r="L653" t="s">
        <v>2491</v>
      </c>
      <c r="M653" s="636" t="s">
        <v>2487</v>
      </c>
    </row>
    <row r="654" spans="10:13">
      <c r="J654" t="s">
        <v>9943</v>
      </c>
      <c r="K654" t="s">
        <v>9958</v>
      </c>
      <c r="L654" t="s">
        <v>2492</v>
      </c>
      <c r="M654" s="636" t="s">
        <v>2487</v>
      </c>
    </row>
    <row r="655" spans="10:13">
      <c r="J655" t="s">
        <v>9959</v>
      </c>
      <c r="K655" t="s">
        <v>9577</v>
      </c>
      <c r="L655" t="s">
        <v>2493</v>
      </c>
      <c r="M655" s="636" t="s">
        <v>2493</v>
      </c>
    </row>
    <row r="656" spans="10:13">
      <c r="J656" t="s">
        <v>9959</v>
      </c>
      <c r="K656" t="s">
        <v>9960</v>
      </c>
      <c r="L656" t="s">
        <v>2494</v>
      </c>
      <c r="M656" s="636" t="s">
        <v>2493</v>
      </c>
    </row>
    <row r="657" spans="10:13">
      <c r="J657" t="s">
        <v>9959</v>
      </c>
      <c r="K657" t="s">
        <v>9961</v>
      </c>
      <c r="L657" t="s">
        <v>2495</v>
      </c>
      <c r="M657" s="636" t="s">
        <v>2493</v>
      </c>
    </row>
    <row r="658" spans="10:13">
      <c r="J658" t="s">
        <v>9959</v>
      </c>
      <c r="K658" t="s">
        <v>9962</v>
      </c>
      <c r="L658" t="s">
        <v>2496</v>
      </c>
      <c r="M658" s="636" t="s">
        <v>2493</v>
      </c>
    </row>
    <row r="659" spans="10:13">
      <c r="J659" t="s">
        <v>9959</v>
      </c>
      <c r="K659" t="s">
        <v>9963</v>
      </c>
      <c r="L659" t="s">
        <v>2497</v>
      </c>
      <c r="M659" s="636" t="s">
        <v>2493</v>
      </c>
    </row>
    <row r="660" spans="10:13">
      <c r="J660" t="s">
        <v>9959</v>
      </c>
      <c r="K660" t="s">
        <v>9964</v>
      </c>
      <c r="L660" t="s">
        <v>2498</v>
      </c>
      <c r="M660" s="636" t="s">
        <v>2493</v>
      </c>
    </row>
    <row r="661" spans="10:13">
      <c r="J661" t="s">
        <v>9959</v>
      </c>
      <c r="K661" t="s">
        <v>9583</v>
      </c>
      <c r="L661" t="s">
        <v>2499</v>
      </c>
      <c r="M661" s="636" t="s">
        <v>2499</v>
      </c>
    </row>
    <row r="662" spans="10:13">
      <c r="J662" t="s">
        <v>9959</v>
      </c>
      <c r="K662" t="s">
        <v>9965</v>
      </c>
      <c r="L662" t="s">
        <v>2500</v>
      </c>
      <c r="M662" s="636" t="s">
        <v>2499</v>
      </c>
    </row>
    <row r="663" spans="10:13">
      <c r="J663" t="s">
        <v>9959</v>
      </c>
      <c r="K663" t="s">
        <v>9966</v>
      </c>
      <c r="L663" t="s">
        <v>2501</v>
      </c>
      <c r="M663" s="636" t="s">
        <v>2499</v>
      </c>
    </row>
    <row r="664" spans="10:13">
      <c r="J664" t="s">
        <v>9959</v>
      </c>
      <c r="K664" t="s">
        <v>9967</v>
      </c>
      <c r="L664" t="s">
        <v>2502</v>
      </c>
      <c r="M664" s="636" t="s">
        <v>2499</v>
      </c>
    </row>
    <row r="665" spans="10:13">
      <c r="J665" t="s">
        <v>9959</v>
      </c>
      <c r="K665" t="s">
        <v>9968</v>
      </c>
      <c r="L665" t="s">
        <v>2503</v>
      </c>
      <c r="M665" s="636" t="s">
        <v>2499</v>
      </c>
    </row>
    <row r="666" spans="10:13">
      <c r="J666" t="s">
        <v>9959</v>
      </c>
      <c r="K666" t="s">
        <v>9969</v>
      </c>
      <c r="L666" t="s">
        <v>2504</v>
      </c>
      <c r="M666" s="636" t="s">
        <v>2499</v>
      </c>
    </row>
    <row r="667" spans="10:13">
      <c r="J667" t="s">
        <v>9959</v>
      </c>
      <c r="K667" t="s">
        <v>9589</v>
      </c>
      <c r="L667" t="s">
        <v>2505</v>
      </c>
      <c r="M667" s="636" t="s">
        <v>2505</v>
      </c>
    </row>
    <row r="668" spans="10:13">
      <c r="J668" t="s">
        <v>9959</v>
      </c>
      <c r="K668" t="s">
        <v>9970</v>
      </c>
      <c r="L668" t="s">
        <v>2506</v>
      </c>
      <c r="M668" s="636" t="s">
        <v>2505</v>
      </c>
    </row>
    <row r="669" spans="10:13">
      <c r="J669" t="s">
        <v>9959</v>
      </c>
      <c r="K669" t="s">
        <v>9971</v>
      </c>
      <c r="L669" t="s">
        <v>2507</v>
      </c>
      <c r="M669" s="636" t="s">
        <v>2505</v>
      </c>
    </row>
    <row r="670" spans="10:13">
      <c r="J670" t="s">
        <v>9959</v>
      </c>
      <c r="K670" t="s">
        <v>9972</v>
      </c>
      <c r="L670" t="s">
        <v>2508</v>
      </c>
      <c r="M670" s="636" t="s">
        <v>2505</v>
      </c>
    </row>
    <row r="671" spans="10:13">
      <c r="J671" t="s">
        <v>9959</v>
      </c>
      <c r="K671" t="s">
        <v>9973</v>
      </c>
      <c r="L671" t="s">
        <v>2509</v>
      </c>
      <c r="M671" s="636" t="s">
        <v>2505</v>
      </c>
    </row>
    <row r="672" spans="10:13">
      <c r="J672" t="s">
        <v>9959</v>
      </c>
      <c r="K672" t="s">
        <v>9974</v>
      </c>
      <c r="L672" t="s">
        <v>2510</v>
      </c>
      <c r="M672" s="636" t="s">
        <v>2505</v>
      </c>
    </row>
    <row r="673" spans="10:13">
      <c r="J673" t="s">
        <v>9959</v>
      </c>
      <c r="K673" t="s">
        <v>9761</v>
      </c>
      <c r="L673" t="s">
        <v>2511</v>
      </c>
      <c r="M673" s="636" t="s">
        <v>2511</v>
      </c>
    </row>
    <row r="674" spans="10:13">
      <c r="J674" t="s">
        <v>9959</v>
      </c>
      <c r="K674" t="s">
        <v>9975</v>
      </c>
      <c r="L674" t="s">
        <v>2512</v>
      </c>
      <c r="M674" s="636" t="s">
        <v>2511</v>
      </c>
    </row>
    <row r="675" spans="10:13">
      <c r="J675" t="s">
        <v>9959</v>
      </c>
      <c r="K675" t="s">
        <v>9976</v>
      </c>
      <c r="L675" t="s">
        <v>2513</v>
      </c>
      <c r="M675" s="636" t="s">
        <v>2511</v>
      </c>
    </row>
    <row r="676" spans="10:13">
      <c r="J676" t="s">
        <v>9959</v>
      </c>
      <c r="K676" t="s">
        <v>9977</v>
      </c>
      <c r="L676" t="s">
        <v>2514</v>
      </c>
      <c r="M676" s="636" t="s">
        <v>2511</v>
      </c>
    </row>
    <row r="677" spans="10:13">
      <c r="J677" t="s">
        <v>9959</v>
      </c>
      <c r="K677" t="s">
        <v>9978</v>
      </c>
      <c r="L677" t="s">
        <v>2515</v>
      </c>
      <c r="M677" s="636" t="s">
        <v>2511</v>
      </c>
    </row>
    <row r="678" spans="10:13">
      <c r="J678" t="s">
        <v>9959</v>
      </c>
      <c r="K678" t="s">
        <v>9979</v>
      </c>
      <c r="L678" t="s">
        <v>2516</v>
      </c>
      <c r="M678" s="636" t="s">
        <v>2511</v>
      </c>
    </row>
    <row r="679" spans="10:13">
      <c r="J679" t="s">
        <v>9980</v>
      </c>
      <c r="K679" t="s">
        <v>9577</v>
      </c>
      <c r="L679" t="s">
        <v>2517</v>
      </c>
      <c r="M679" s="636" t="s">
        <v>2517</v>
      </c>
    </row>
    <row r="680" spans="10:13">
      <c r="J680" t="s">
        <v>9980</v>
      </c>
      <c r="K680" t="s">
        <v>9981</v>
      </c>
      <c r="L680" t="s">
        <v>2518</v>
      </c>
      <c r="M680" s="636" t="s">
        <v>2517</v>
      </c>
    </row>
    <row r="681" spans="10:13">
      <c r="J681" t="s">
        <v>9980</v>
      </c>
      <c r="K681" t="s">
        <v>9982</v>
      </c>
      <c r="L681" t="s">
        <v>2519</v>
      </c>
      <c r="M681" s="636" t="s">
        <v>2517</v>
      </c>
    </row>
    <row r="682" spans="10:13">
      <c r="J682" t="s">
        <v>9980</v>
      </c>
      <c r="K682" t="s">
        <v>9983</v>
      </c>
      <c r="L682" t="s">
        <v>2520</v>
      </c>
      <c r="M682" s="636" t="s">
        <v>2517</v>
      </c>
    </row>
    <row r="683" spans="10:13">
      <c r="J683" t="s">
        <v>9980</v>
      </c>
      <c r="K683" t="s">
        <v>9984</v>
      </c>
      <c r="L683" t="s">
        <v>2521</v>
      </c>
      <c r="M683" s="636" t="s">
        <v>2517</v>
      </c>
    </row>
    <row r="684" spans="10:13">
      <c r="J684" t="s">
        <v>9980</v>
      </c>
      <c r="K684" t="s">
        <v>9985</v>
      </c>
      <c r="L684" t="s">
        <v>2522</v>
      </c>
      <c r="M684" s="636" t="s">
        <v>2517</v>
      </c>
    </row>
    <row r="685" spans="10:13">
      <c r="J685" t="s">
        <v>9980</v>
      </c>
      <c r="K685" t="s">
        <v>9583</v>
      </c>
      <c r="L685" t="s">
        <v>2523</v>
      </c>
      <c r="M685" s="636" t="s">
        <v>2523</v>
      </c>
    </row>
    <row r="686" spans="10:13">
      <c r="J686" t="s">
        <v>9980</v>
      </c>
      <c r="K686" t="s">
        <v>9986</v>
      </c>
      <c r="L686" t="s">
        <v>2524</v>
      </c>
      <c r="M686" s="636" t="s">
        <v>2523</v>
      </c>
    </row>
    <row r="687" spans="10:13">
      <c r="J687" t="s">
        <v>9980</v>
      </c>
      <c r="K687" t="s">
        <v>9987</v>
      </c>
      <c r="L687" t="s">
        <v>2525</v>
      </c>
      <c r="M687" s="636" t="s">
        <v>2523</v>
      </c>
    </row>
    <row r="688" spans="10:13">
      <c r="J688" t="s">
        <v>9980</v>
      </c>
      <c r="K688" t="s">
        <v>9988</v>
      </c>
      <c r="L688" t="s">
        <v>2526</v>
      </c>
      <c r="M688" s="636" t="s">
        <v>2523</v>
      </c>
    </row>
    <row r="689" spans="10:13">
      <c r="J689" t="s">
        <v>9980</v>
      </c>
      <c r="K689" t="s">
        <v>9989</v>
      </c>
      <c r="L689" t="s">
        <v>2527</v>
      </c>
      <c r="M689" s="636" t="s">
        <v>2523</v>
      </c>
    </row>
    <row r="690" spans="10:13">
      <c r="J690" t="s">
        <v>9980</v>
      </c>
      <c r="K690" t="s">
        <v>9990</v>
      </c>
      <c r="L690" t="s">
        <v>2528</v>
      </c>
      <c r="M690" s="636" t="s">
        <v>2523</v>
      </c>
    </row>
    <row r="691" spans="10:13">
      <c r="J691" t="s">
        <v>9991</v>
      </c>
      <c r="K691" t="s">
        <v>9577</v>
      </c>
      <c r="L691" t="s">
        <v>2529</v>
      </c>
      <c r="M691" s="636" t="s">
        <v>2529</v>
      </c>
    </row>
    <row r="692" spans="10:13">
      <c r="J692" t="s">
        <v>9991</v>
      </c>
      <c r="K692" t="s">
        <v>9992</v>
      </c>
      <c r="L692" t="s">
        <v>2530</v>
      </c>
      <c r="M692" s="636" t="s">
        <v>2529</v>
      </c>
    </row>
    <row r="693" spans="10:13">
      <c r="J693" t="s">
        <v>9991</v>
      </c>
      <c r="K693" t="s">
        <v>9993</v>
      </c>
      <c r="L693" t="s">
        <v>2531</v>
      </c>
      <c r="M693" s="636" t="s">
        <v>2529</v>
      </c>
    </row>
    <row r="694" spans="10:13">
      <c r="J694" t="s">
        <v>9991</v>
      </c>
      <c r="K694" t="s">
        <v>9994</v>
      </c>
      <c r="L694" t="s">
        <v>2532</v>
      </c>
      <c r="M694" s="636" t="s">
        <v>2529</v>
      </c>
    </row>
    <row r="695" spans="10:13">
      <c r="J695" t="s">
        <v>9991</v>
      </c>
      <c r="K695" t="s">
        <v>9995</v>
      </c>
      <c r="L695" t="s">
        <v>2533</v>
      </c>
      <c r="M695" s="636" t="s">
        <v>2529</v>
      </c>
    </row>
    <row r="696" spans="10:13">
      <c r="J696" t="s">
        <v>9991</v>
      </c>
      <c r="K696" t="s">
        <v>9996</v>
      </c>
      <c r="L696" t="s">
        <v>2534</v>
      </c>
      <c r="M696" s="636" t="s">
        <v>2529</v>
      </c>
    </row>
    <row r="697" spans="10:13">
      <c r="J697" t="s">
        <v>9991</v>
      </c>
      <c r="K697" t="s">
        <v>9583</v>
      </c>
      <c r="L697" t="s">
        <v>2535</v>
      </c>
      <c r="M697" s="636" t="s">
        <v>2535</v>
      </c>
    </row>
    <row r="698" spans="10:13">
      <c r="J698" t="s">
        <v>9991</v>
      </c>
      <c r="K698" t="s">
        <v>9997</v>
      </c>
      <c r="L698" t="s">
        <v>2536</v>
      </c>
      <c r="M698" s="636" t="s">
        <v>2535</v>
      </c>
    </row>
    <row r="699" spans="10:13">
      <c r="J699" t="s">
        <v>9991</v>
      </c>
      <c r="K699" t="s">
        <v>9998</v>
      </c>
      <c r="L699" t="s">
        <v>2537</v>
      </c>
      <c r="M699" s="636" t="s">
        <v>2535</v>
      </c>
    </row>
    <row r="700" spans="10:13">
      <c r="J700" t="s">
        <v>9991</v>
      </c>
      <c r="K700" t="s">
        <v>9999</v>
      </c>
      <c r="L700" t="s">
        <v>2538</v>
      </c>
      <c r="M700" s="636" t="s">
        <v>2535</v>
      </c>
    </row>
    <row r="701" spans="10:13">
      <c r="J701" t="s">
        <v>9991</v>
      </c>
      <c r="K701" t="s">
        <v>10000</v>
      </c>
      <c r="L701" t="s">
        <v>2539</v>
      </c>
      <c r="M701" s="636" t="s">
        <v>2535</v>
      </c>
    </row>
    <row r="702" spans="10:13">
      <c r="J702" t="s">
        <v>9991</v>
      </c>
      <c r="K702" t="s">
        <v>10001</v>
      </c>
      <c r="L702" t="s">
        <v>2540</v>
      </c>
      <c r="M702" s="636" t="s">
        <v>2535</v>
      </c>
    </row>
    <row r="703" spans="10:13">
      <c r="J703" t="s">
        <v>9991</v>
      </c>
      <c r="K703" t="s">
        <v>9589</v>
      </c>
      <c r="L703" t="s">
        <v>2541</v>
      </c>
      <c r="M703" s="636" t="s">
        <v>2541</v>
      </c>
    </row>
    <row r="704" spans="10:13">
      <c r="J704" t="s">
        <v>9991</v>
      </c>
      <c r="K704" t="s">
        <v>10002</v>
      </c>
      <c r="L704" t="s">
        <v>2542</v>
      </c>
      <c r="M704" s="636" t="s">
        <v>2541</v>
      </c>
    </row>
    <row r="705" spans="10:13">
      <c r="J705" t="s">
        <v>9991</v>
      </c>
      <c r="K705" t="s">
        <v>10003</v>
      </c>
      <c r="L705" t="s">
        <v>2543</v>
      </c>
      <c r="M705" s="636" t="s">
        <v>2541</v>
      </c>
    </row>
    <row r="706" spans="10:13">
      <c r="J706" t="s">
        <v>9991</v>
      </c>
      <c r="K706" t="s">
        <v>10004</v>
      </c>
      <c r="L706" t="s">
        <v>2544</v>
      </c>
      <c r="M706" s="636" t="s">
        <v>2541</v>
      </c>
    </row>
    <row r="707" spans="10:13">
      <c r="J707" t="s">
        <v>9991</v>
      </c>
      <c r="K707" t="s">
        <v>10005</v>
      </c>
      <c r="L707" t="s">
        <v>2545</v>
      </c>
      <c r="M707" s="636" t="s">
        <v>2541</v>
      </c>
    </row>
    <row r="708" spans="10:13">
      <c r="J708" t="s">
        <v>9991</v>
      </c>
      <c r="K708" t="s">
        <v>10006</v>
      </c>
      <c r="L708" t="s">
        <v>2546</v>
      </c>
      <c r="M708" s="636" t="s">
        <v>2541</v>
      </c>
    </row>
    <row r="709" spans="10:13">
      <c r="J709" t="s">
        <v>10007</v>
      </c>
      <c r="K709" t="s">
        <v>9448</v>
      </c>
      <c r="L709" t="s">
        <v>2547</v>
      </c>
      <c r="M709" s="636" t="s">
        <v>2547</v>
      </c>
    </row>
    <row r="710" spans="10:13">
      <c r="J710" t="s">
        <v>10007</v>
      </c>
      <c r="K710" t="s">
        <v>4767</v>
      </c>
      <c r="L710" t="s">
        <v>2548</v>
      </c>
      <c r="M710" s="636" t="s">
        <v>2547</v>
      </c>
    </row>
    <row r="711" spans="10:13">
      <c r="J711" t="s">
        <v>10007</v>
      </c>
      <c r="K711" t="s">
        <v>4768</v>
      </c>
      <c r="L711" t="s">
        <v>2549</v>
      </c>
      <c r="M711" s="636" t="s">
        <v>2547</v>
      </c>
    </row>
    <row r="712" spans="10:13">
      <c r="J712" t="s">
        <v>10007</v>
      </c>
      <c r="K712" t="s">
        <v>4769</v>
      </c>
      <c r="L712" t="s">
        <v>2550</v>
      </c>
      <c r="M712" s="636" t="s">
        <v>2547</v>
      </c>
    </row>
    <row r="713" spans="10:13">
      <c r="J713" t="s">
        <v>10007</v>
      </c>
      <c r="K713" t="s">
        <v>4770</v>
      </c>
      <c r="L713" t="s">
        <v>2551</v>
      </c>
      <c r="M713" s="636" t="s">
        <v>2547</v>
      </c>
    </row>
    <row r="714" spans="10:13">
      <c r="J714" t="s">
        <v>10007</v>
      </c>
      <c r="K714" t="s">
        <v>4771</v>
      </c>
      <c r="L714" t="s">
        <v>2552</v>
      </c>
      <c r="M714" s="636" t="s">
        <v>2547</v>
      </c>
    </row>
    <row r="715" spans="10:13">
      <c r="J715" t="s">
        <v>10007</v>
      </c>
      <c r="K715" t="s">
        <v>4772</v>
      </c>
      <c r="L715" t="s">
        <v>1891</v>
      </c>
      <c r="M715" s="636" t="s">
        <v>2547</v>
      </c>
    </row>
    <row r="716" spans="10:13">
      <c r="J716" t="s">
        <v>10007</v>
      </c>
      <c r="K716" t="s">
        <v>9454</v>
      </c>
      <c r="L716" t="s">
        <v>2553</v>
      </c>
      <c r="M716" s="636" t="s">
        <v>2553</v>
      </c>
    </row>
    <row r="717" spans="10:13">
      <c r="J717" t="s">
        <v>10007</v>
      </c>
      <c r="K717" t="s">
        <v>4773</v>
      </c>
      <c r="L717" t="s">
        <v>2554</v>
      </c>
      <c r="M717" s="636" t="s">
        <v>2553</v>
      </c>
    </row>
    <row r="718" spans="10:13">
      <c r="J718" t="s">
        <v>10007</v>
      </c>
      <c r="K718" t="s">
        <v>4774</v>
      </c>
      <c r="L718" t="s">
        <v>1895</v>
      </c>
      <c r="M718" s="636" t="s">
        <v>2553</v>
      </c>
    </row>
    <row r="719" spans="10:13">
      <c r="J719" t="s">
        <v>10007</v>
      </c>
      <c r="K719" t="s">
        <v>4775</v>
      </c>
      <c r="L719" t="s">
        <v>1897</v>
      </c>
      <c r="M719" s="636" t="s">
        <v>2553</v>
      </c>
    </row>
    <row r="720" spans="10:13">
      <c r="J720" t="s">
        <v>10007</v>
      </c>
      <c r="K720" t="s">
        <v>4776</v>
      </c>
      <c r="L720" t="s">
        <v>1899</v>
      </c>
      <c r="M720" s="636" t="s">
        <v>2553</v>
      </c>
    </row>
    <row r="721" spans="10:13">
      <c r="J721" t="s">
        <v>10007</v>
      </c>
      <c r="K721" t="s">
        <v>9436</v>
      </c>
      <c r="L721" t="s">
        <v>2555</v>
      </c>
      <c r="M721" s="636" t="s">
        <v>2555</v>
      </c>
    </row>
    <row r="722" spans="10:13">
      <c r="J722" t="s">
        <v>10007</v>
      </c>
      <c r="K722" t="s">
        <v>4777</v>
      </c>
      <c r="L722" t="s">
        <v>1893</v>
      </c>
      <c r="M722" s="636" t="s">
        <v>2555</v>
      </c>
    </row>
    <row r="723" spans="10:13">
      <c r="J723" t="s">
        <v>10007</v>
      </c>
      <c r="K723" t="s">
        <v>4778</v>
      </c>
      <c r="L723" t="s">
        <v>1894</v>
      </c>
      <c r="M723" s="636" t="s">
        <v>2555</v>
      </c>
    </row>
    <row r="724" spans="10:13">
      <c r="J724" t="s">
        <v>10007</v>
      </c>
      <c r="K724" t="s">
        <v>4779</v>
      </c>
      <c r="L724" t="s">
        <v>2556</v>
      </c>
      <c r="M724" s="636" t="s">
        <v>2555</v>
      </c>
    </row>
    <row r="725" spans="10:13">
      <c r="J725" t="s">
        <v>10007</v>
      </c>
      <c r="K725" t="s">
        <v>4780</v>
      </c>
      <c r="L725" t="s">
        <v>1966</v>
      </c>
      <c r="M725" s="636" t="s">
        <v>2555</v>
      </c>
    </row>
    <row r="726" spans="10:13">
      <c r="J726" t="s">
        <v>10007</v>
      </c>
      <c r="K726" t="s">
        <v>9442</v>
      </c>
      <c r="L726" t="s">
        <v>2557</v>
      </c>
      <c r="M726" s="636" t="s">
        <v>2557</v>
      </c>
    </row>
    <row r="727" spans="10:13">
      <c r="J727" t="s">
        <v>10007</v>
      </c>
      <c r="K727" t="s">
        <v>4781</v>
      </c>
      <c r="L727" t="s">
        <v>2558</v>
      </c>
      <c r="M727" s="636" t="s">
        <v>2557</v>
      </c>
    </row>
    <row r="728" spans="10:13">
      <c r="J728" t="s">
        <v>10007</v>
      </c>
      <c r="K728" t="s">
        <v>4782</v>
      </c>
      <c r="L728" t="s">
        <v>2559</v>
      </c>
      <c r="M728" s="636" t="s">
        <v>2557</v>
      </c>
    </row>
    <row r="729" spans="10:13">
      <c r="J729" t="s">
        <v>10007</v>
      </c>
      <c r="K729" t="s">
        <v>4783</v>
      </c>
      <c r="L729" t="s">
        <v>1968</v>
      </c>
      <c r="M729" s="636" t="s">
        <v>2557</v>
      </c>
    </row>
    <row r="730" spans="10:13">
      <c r="J730" t="s">
        <v>10007</v>
      </c>
      <c r="K730" t="s">
        <v>4784</v>
      </c>
      <c r="L730" t="s">
        <v>2560</v>
      </c>
      <c r="M730" s="636" t="s">
        <v>2557</v>
      </c>
    </row>
    <row r="731" spans="10:13">
      <c r="J731" t="s">
        <v>10007</v>
      </c>
      <c r="K731" t="s">
        <v>4785</v>
      </c>
      <c r="L731" t="s">
        <v>1970</v>
      </c>
      <c r="M731" s="636" t="s">
        <v>2557</v>
      </c>
    </row>
    <row r="732" spans="10:13">
      <c r="J732" t="s">
        <v>10007</v>
      </c>
      <c r="K732" t="s">
        <v>4786</v>
      </c>
      <c r="L732" t="s">
        <v>1972</v>
      </c>
      <c r="M732" s="636" t="s">
        <v>2557</v>
      </c>
    </row>
    <row r="733" spans="10:13">
      <c r="J733" t="s">
        <v>10008</v>
      </c>
      <c r="K733" t="s">
        <v>9577</v>
      </c>
      <c r="L733" t="s">
        <v>2561</v>
      </c>
      <c r="M733" s="636" t="s">
        <v>2561</v>
      </c>
    </row>
    <row r="734" spans="10:13">
      <c r="J734" t="s">
        <v>10008</v>
      </c>
      <c r="K734" t="s">
        <v>10009</v>
      </c>
      <c r="L734" t="s">
        <v>1900</v>
      </c>
      <c r="M734" s="636" t="s">
        <v>2561</v>
      </c>
    </row>
    <row r="735" spans="10:13">
      <c r="J735" t="s">
        <v>10008</v>
      </c>
      <c r="K735" t="s">
        <v>10010</v>
      </c>
      <c r="L735" t="s">
        <v>1208</v>
      </c>
      <c r="M735" s="636" t="s">
        <v>2561</v>
      </c>
    </row>
    <row r="736" spans="10:13">
      <c r="J736" t="s">
        <v>10008</v>
      </c>
      <c r="K736" t="s">
        <v>10011</v>
      </c>
      <c r="L736" t="s">
        <v>1224</v>
      </c>
      <c r="M736" s="636" t="s">
        <v>2561</v>
      </c>
    </row>
    <row r="737" spans="10:13">
      <c r="J737" t="s">
        <v>10008</v>
      </c>
      <c r="K737" t="s">
        <v>10012</v>
      </c>
      <c r="L737" t="s">
        <v>1259</v>
      </c>
      <c r="M737" s="636" t="s">
        <v>2561</v>
      </c>
    </row>
    <row r="738" spans="10:13">
      <c r="J738" t="s">
        <v>10008</v>
      </c>
      <c r="K738" t="s">
        <v>10013</v>
      </c>
      <c r="L738" t="s">
        <v>1280</v>
      </c>
      <c r="M738" s="636" t="s">
        <v>2561</v>
      </c>
    </row>
    <row r="739" spans="10:13">
      <c r="J739" t="s">
        <v>10008</v>
      </c>
      <c r="K739" t="s">
        <v>9583</v>
      </c>
      <c r="L739" t="s">
        <v>2562</v>
      </c>
      <c r="M739" s="636" t="s">
        <v>2562</v>
      </c>
    </row>
    <row r="740" spans="10:13">
      <c r="J740" t="s">
        <v>10008</v>
      </c>
      <c r="K740" t="s">
        <v>10014</v>
      </c>
      <c r="L740" t="s">
        <v>2563</v>
      </c>
      <c r="M740" s="636" t="s">
        <v>2562</v>
      </c>
    </row>
    <row r="741" spans="10:13">
      <c r="J741" t="s">
        <v>10008</v>
      </c>
      <c r="K741" t="s">
        <v>10015</v>
      </c>
      <c r="L741" t="s">
        <v>2564</v>
      </c>
      <c r="M741" s="636" t="s">
        <v>2562</v>
      </c>
    </row>
    <row r="742" spans="10:13">
      <c r="J742" t="s">
        <v>10008</v>
      </c>
      <c r="K742" t="s">
        <v>10016</v>
      </c>
      <c r="L742" t="s">
        <v>2565</v>
      </c>
      <c r="M742" s="636" t="s">
        <v>2562</v>
      </c>
    </row>
    <row r="743" spans="10:13">
      <c r="J743" t="s">
        <v>10008</v>
      </c>
      <c r="K743" t="s">
        <v>10017</v>
      </c>
      <c r="L743" t="s">
        <v>2566</v>
      </c>
      <c r="M743" s="636" t="s">
        <v>2562</v>
      </c>
    </row>
    <row r="744" spans="10:13">
      <c r="J744" t="s">
        <v>10008</v>
      </c>
      <c r="K744" t="s">
        <v>10018</v>
      </c>
      <c r="L744" t="s">
        <v>2567</v>
      </c>
      <c r="M744" s="636" t="s">
        <v>2562</v>
      </c>
    </row>
    <row r="745" spans="10:13">
      <c r="J745" t="s">
        <v>10008</v>
      </c>
      <c r="K745" t="s">
        <v>9589</v>
      </c>
      <c r="L745" t="s">
        <v>2568</v>
      </c>
      <c r="M745" s="636" t="s">
        <v>2568</v>
      </c>
    </row>
    <row r="746" spans="10:13">
      <c r="J746" t="s">
        <v>10008</v>
      </c>
      <c r="K746" t="s">
        <v>10019</v>
      </c>
      <c r="L746" t="s">
        <v>2569</v>
      </c>
      <c r="M746" s="636" t="s">
        <v>2568</v>
      </c>
    </row>
    <row r="747" spans="10:13">
      <c r="J747" t="s">
        <v>10008</v>
      </c>
      <c r="K747" t="s">
        <v>10020</v>
      </c>
      <c r="L747" t="s">
        <v>2570</v>
      </c>
      <c r="M747" s="636" t="s">
        <v>2568</v>
      </c>
    </row>
    <row r="748" spans="10:13">
      <c r="J748" t="s">
        <v>10008</v>
      </c>
      <c r="K748" t="s">
        <v>10021</v>
      </c>
      <c r="L748" t="s">
        <v>2571</v>
      </c>
      <c r="M748" s="636" t="s">
        <v>2568</v>
      </c>
    </row>
    <row r="749" spans="10:13">
      <c r="J749" t="s">
        <v>10008</v>
      </c>
      <c r="K749" t="s">
        <v>10022</v>
      </c>
      <c r="L749" t="s">
        <v>2572</v>
      </c>
      <c r="M749" s="636" t="s">
        <v>2568</v>
      </c>
    </row>
    <row r="750" spans="10:13">
      <c r="J750" t="s">
        <v>10008</v>
      </c>
      <c r="K750" t="s">
        <v>10023</v>
      </c>
      <c r="L750" t="s">
        <v>2573</v>
      </c>
      <c r="M750" s="636" t="s">
        <v>2568</v>
      </c>
    </row>
    <row r="751" spans="10:13">
      <c r="J751" t="s">
        <v>10024</v>
      </c>
      <c r="K751" t="s">
        <v>9577</v>
      </c>
      <c r="L751" t="s">
        <v>2574</v>
      </c>
      <c r="M751" s="636" t="s">
        <v>2574</v>
      </c>
    </row>
    <row r="752" spans="10:13">
      <c r="J752" t="s">
        <v>10024</v>
      </c>
      <c r="K752" t="s">
        <v>10025</v>
      </c>
      <c r="L752" t="s">
        <v>2575</v>
      </c>
      <c r="M752" s="636" t="s">
        <v>2574</v>
      </c>
    </row>
    <row r="753" spans="10:13">
      <c r="J753" t="s">
        <v>10024</v>
      </c>
      <c r="K753" t="s">
        <v>10026</v>
      </c>
      <c r="L753" t="s">
        <v>2576</v>
      </c>
      <c r="M753" s="636" t="s">
        <v>2574</v>
      </c>
    </row>
    <row r="754" spans="10:13">
      <c r="J754" t="s">
        <v>10024</v>
      </c>
      <c r="K754" t="s">
        <v>10027</v>
      </c>
      <c r="L754" t="s">
        <v>2577</v>
      </c>
      <c r="M754" s="636" t="s">
        <v>2574</v>
      </c>
    </row>
    <row r="755" spans="10:13">
      <c r="J755" t="s">
        <v>10024</v>
      </c>
      <c r="K755" t="s">
        <v>10028</v>
      </c>
      <c r="L755" t="s">
        <v>2578</v>
      </c>
      <c r="M755" s="636" t="s">
        <v>2574</v>
      </c>
    </row>
    <row r="756" spans="10:13">
      <c r="J756" t="s">
        <v>10024</v>
      </c>
      <c r="K756" t="s">
        <v>10029</v>
      </c>
      <c r="L756" t="s">
        <v>2579</v>
      </c>
      <c r="M756" s="636" t="s">
        <v>2574</v>
      </c>
    </row>
    <row r="757" spans="10:13">
      <c r="J757" t="s">
        <v>10024</v>
      </c>
      <c r="K757" t="s">
        <v>9583</v>
      </c>
      <c r="L757" t="s">
        <v>2580</v>
      </c>
      <c r="M757" s="636" t="s">
        <v>2580</v>
      </c>
    </row>
    <row r="758" spans="10:13">
      <c r="J758" t="s">
        <v>10024</v>
      </c>
      <c r="K758" t="s">
        <v>10030</v>
      </c>
      <c r="L758" t="s">
        <v>2581</v>
      </c>
      <c r="M758" s="636" t="s">
        <v>2580</v>
      </c>
    </row>
    <row r="759" spans="10:13">
      <c r="J759" t="s">
        <v>10024</v>
      </c>
      <c r="K759" t="s">
        <v>10031</v>
      </c>
      <c r="L759" t="s">
        <v>2582</v>
      </c>
      <c r="M759" s="636" t="s">
        <v>2580</v>
      </c>
    </row>
    <row r="760" spans="10:13">
      <c r="J760" t="s">
        <v>10024</v>
      </c>
      <c r="K760" t="s">
        <v>10032</v>
      </c>
      <c r="L760" t="s">
        <v>2583</v>
      </c>
      <c r="M760" s="636" t="s">
        <v>2580</v>
      </c>
    </row>
    <row r="761" spans="10:13">
      <c r="J761" t="s">
        <v>10024</v>
      </c>
      <c r="K761" t="s">
        <v>10033</v>
      </c>
      <c r="L761" t="s">
        <v>2584</v>
      </c>
      <c r="M761" s="636" t="s">
        <v>2580</v>
      </c>
    </row>
    <row r="762" spans="10:13">
      <c r="J762" t="s">
        <v>10024</v>
      </c>
      <c r="K762" t="s">
        <v>10034</v>
      </c>
      <c r="L762" t="s">
        <v>2585</v>
      </c>
      <c r="M762" s="636" t="s">
        <v>2580</v>
      </c>
    </row>
    <row r="763" spans="10:13">
      <c r="J763" t="s">
        <v>10024</v>
      </c>
      <c r="K763" t="s">
        <v>9589</v>
      </c>
      <c r="L763" t="s">
        <v>2586</v>
      </c>
      <c r="M763" s="636" t="s">
        <v>2586</v>
      </c>
    </row>
    <row r="764" spans="10:13">
      <c r="J764" t="s">
        <v>10024</v>
      </c>
      <c r="K764" t="s">
        <v>10035</v>
      </c>
      <c r="L764" t="s">
        <v>2587</v>
      </c>
      <c r="M764" s="636" t="s">
        <v>2586</v>
      </c>
    </row>
    <row r="765" spans="10:13">
      <c r="J765" t="s">
        <v>10024</v>
      </c>
      <c r="K765" t="s">
        <v>10036</v>
      </c>
      <c r="L765" t="s">
        <v>2588</v>
      </c>
      <c r="M765" s="636" t="s">
        <v>2586</v>
      </c>
    </row>
    <row r="766" spans="10:13">
      <c r="J766" t="s">
        <v>10024</v>
      </c>
      <c r="K766" t="s">
        <v>10037</v>
      </c>
      <c r="L766" t="s">
        <v>2589</v>
      </c>
      <c r="M766" s="636" t="s">
        <v>2586</v>
      </c>
    </row>
    <row r="767" spans="10:13">
      <c r="J767" t="s">
        <v>10024</v>
      </c>
      <c r="K767" t="s">
        <v>10038</v>
      </c>
      <c r="L767" t="s">
        <v>2590</v>
      </c>
      <c r="M767" s="636" t="s">
        <v>2586</v>
      </c>
    </row>
    <row r="768" spans="10:13">
      <c r="J768" t="s">
        <v>10024</v>
      </c>
      <c r="K768" t="s">
        <v>10039</v>
      </c>
      <c r="L768" t="s">
        <v>2591</v>
      </c>
      <c r="M768" s="636" t="s">
        <v>2586</v>
      </c>
    </row>
    <row r="769" spans="10:13">
      <c r="J769" t="s">
        <v>10040</v>
      </c>
      <c r="K769" t="s">
        <v>9577</v>
      </c>
      <c r="L769" t="s">
        <v>2592</v>
      </c>
      <c r="M769" s="636" t="s">
        <v>2592</v>
      </c>
    </row>
    <row r="770" spans="10:13">
      <c r="J770" t="s">
        <v>10040</v>
      </c>
      <c r="K770" t="s">
        <v>10041</v>
      </c>
      <c r="L770" t="s">
        <v>2593</v>
      </c>
      <c r="M770" s="636" t="s">
        <v>2592</v>
      </c>
    </row>
    <row r="771" spans="10:13">
      <c r="J771" t="s">
        <v>10040</v>
      </c>
      <c r="K771" t="s">
        <v>10042</v>
      </c>
      <c r="L771" t="s">
        <v>2594</v>
      </c>
      <c r="M771" s="636" t="s">
        <v>2592</v>
      </c>
    </row>
    <row r="772" spans="10:13">
      <c r="J772" t="s">
        <v>10040</v>
      </c>
      <c r="K772" t="s">
        <v>10043</v>
      </c>
      <c r="L772" t="s">
        <v>2595</v>
      </c>
      <c r="M772" s="636" t="s">
        <v>2592</v>
      </c>
    </row>
    <row r="773" spans="10:13">
      <c r="J773" t="s">
        <v>10040</v>
      </c>
      <c r="K773" t="s">
        <v>10044</v>
      </c>
      <c r="L773" t="s">
        <v>2596</v>
      </c>
      <c r="M773" s="636" t="s">
        <v>2592</v>
      </c>
    </row>
    <row r="774" spans="10:13">
      <c r="J774" t="s">
        <v>10040</v>
      </c>
      <c r="K774" t="s">
        <v>10045</v>
      </c>
      <c r="L774" t="s">
        <v>2597</v>
      </c>
      <c r="M774" s="636" t="s">
        <v>2592</v>
      </c>
    </row>
    <row r="775" spans="10:13">
      <c r="J775" t="s">
        <v>10040</v>
      </c>
      <c r="K775" t="s">
        <v>9583</v>
      </c>
      <c r="L775" t="s">
        <v>2598</v>
      </c>
      <c r="M775" s="636" t="s">
        <v>2598</v>
      </c>
    </row>
    <row r="776" spans="10:13">
      <c r="J776" t="s">
        <v>10040</v>
      </c>
      <c r="K776" t="s">
        <v>10046</v>
      </c>
      <c r="L776" t="s">
        <v>2599</v>
      </c>
      <c r="M776" s="636" t="s">
        <v>2598</v>
      </c>
    </row>
    <row r="777" spans="10:13">
      <c r="J777" t="s">
        <v>10040</v>
      </c>
      <c r="K777" t="s">
        <v>10047</v>
      </c>
      <c r="L777" t="s">
        <v>2600</v>
      </c>
      <c r="M777" s="636" t="s">
        <v>2598</v>
      </c>
    </row>
    <row r="778" spans="10:13">
      <c r="J778" t="s">
        <v>10040</v>
      </c>
      <c r="K778" t="s">
        <v>10048</v>
      </c>
      <c r="L778" t="s">
        <v>2601</v>
      </c>
      <c r="M778" s="636" t="s">
        <v>2598</v>
      </c>
    </row>
    <row r="779" spans="10:13">
      <c r="J779" t="s">
        <v>10040</v>
      </c>
      <c r="K779" t="s">
        <v>10049</v>
      </c>
      <c r="L779" t="s">
        <v>2602</v>
      </c>
      <c r="M779" s="636" t="s">
        <v>2598</v>
      </c>
    </row>
    <row r="780" spans="10:13">
      <c r="J780" t="s">
        <v>10040</v>
      </c>
      <c r="K780" t="s">
        <v>10050</v>
      </c>
      <c r="L780" t="s">
        <v>2603</v>
      </c>
      <c r="M780" s="636" t="s">
        <v>2598</v>
      </c>
    </row>
    <row r="781" spans="10:13">
      <c r="J781" t="s">
        <v>10040</v>
      </c>
      <c r="K781" t="s">
        <v>9589</v>
      </c>
      <c r="L781" t="s">
        <v>2604</v>
      </c>
      <c r="M781" s="636" t="s">
        <v>2604</v>
      </c>
    </row>
    <row r="782" spans="10:13">
      <c r="J782" t="s">
        <v>10040</v>
      </c>
      <c r="K782" t="s">
        <v>10051</v>
      </c>
      <c r="L782" t="s">
        <v>2605</v>
      </c>
      <c r="M782" s="636" t="s">
        <v>2604</v>
      </c>
    </row>
    <row r="783" spans="10:13">
      <c r="J783" t="s">
        <v>10040</v>
      </c>
      <c r="K783" t="s">
        <v>10052</v>
      </c>
      <c r="L783" t="s">
        <v>2606</v>
      </c>
      <c r="M783" s="636" t="s">
        <v>2604</v>
      </c>
    </row>
    <row r="784" spans="10:13">
      <c r="J784" t="s">
        <v>10040</v>
      </c>
      <c r="K784" t="s">
        <v>10053</v>
      </c>
      <c r="L784" t="s">
        <v>2607</v>
      </c>
      <c r="M784" s="636" t="s">
        <v>2604</v>
      </c>
    </row>
    <row r="785" spans="10:13">
      <c r="J785" t="s">
        <v>10040</v>
      </c>
      <c r="K785" t="s">
        <v>10054</v>
      </c>
      <c r="L785" t="s">
        <v>2608</v>
      </c>
      <c r="M785" s="636" t="s">
        <v>2604</v>
      </c>
    </row>
    <row r="786" spans="10:13">
      <c r="J786" t="s">
        <v>10040</v>
      </c>
      <c r="K786" t="s">
        <v>10055</v>
      </c>
      <c r="L786" t="s">
        <v>2609</v>
      </c>
      <c r="M786" s="636" t="s">
        <v>2604</v>
      </c>
    </row>
    <row r="787" spans="10:13">
      <c r="J787" t="s">
        <v>10056</v>
      </c>
      <c r="K787" t="s">
        <v>9577</v>
      </c>
      <c r="L787" t="s">
        <v>2610</v>
      </c>
      <c r="M787" s="636" t="s">
        <v>2610</v>
      </c>
    </row>
    <row r="788" spans="10:13">
      <c r="J788" t="s">
        <v>10056</v>
      </c>
      <c r="K788" t="s">
        <v>10057</v>
      </c>
      <c r="L788" t="s">
        <v>1908</v>
      </c>
      <c r="M788" s="636" t="s">
        <v>2610</v>
      </c>
    </row>
    <row r="789" spans="10:13">
      <c r="J789" t="s">
        <v>10056</v>
      </c>
      <c r="K789" t="s">
        <v>10058</v>
      </c>
      <c r="L789" t="s">
        <v>1904</v>
      </c>
      <c r="M789" s="636" t="s">
        <v>2610</v>
      </c>
    </row>
    <row r="790" spans="10:13">
      <c r="J790" t="s">
        <v>10056</v>
      </c>
      <c r="K790" t="s">
        <v>10059</v>
      </c>
      <c r="L790" t="s">
        <v>1909</v>
      </c>
      <c r="M790" s="636" t="s">
        <v>2610</v>
      </c>
    </row>
    <row r="791" spans="10:13">
      <c r="J791" t="s">
        <v>10056</v>
      </c>
      <c r="K791" t="s">
        <v>10060</v>
      </c>
      <c r="L791" t="s">
        <v>1906</v>
      </c>
      <c r="M791" s="636" t="s">
        <v>2610</v>
      </c>
    </row>
    <row r="792" spans="10:13">
      <c r="J792" t="s">
        <v>10056</v>
      </c>
      <c r="K792" t="s">
        <v>10061</v>
      </c>
      <c r="L792" t="s">
        <v>1907</v>
      </c>
      <c r="M792" s="636" t="s">
        <v>2610</v>
      </c>
    </row>
    <row r="793" spans="10:13">
      <c r="J793" t="s">
        <v>10056</v>
      </c>
      <c r="K793" t="s">
        <v>9583</v>
      </c>
      <c r="L793" t="s">
        <v>2611</v>
      </c>
      <c r="M793" s="636" t="s">
        <v>2611</v>
      </c>
    </row>
    <row r="794" spans="10:13">
      <c r="J794" t="s">
        <v>10056</v>
      </c>
      <c r="K794" t="s">
        <v>10062</v>
      </c>
      <c r="L794" t="s">
        <v>1975</v>
      </c>
      <c r="M794" s="636" t="s">
        <v>2611</v>
      </c>
    </row>
    <row r="795" spans="10:13">
      <c r="J795" t="s">
        <v>10056</v>
      </c>
      <c r="K795" t="s">
        <v>10063</v>
      </c>
      <c r="L795" t="s">
        <v>1976</v>
      </c>
      <c r="M795" s="636" t="s">
        <v>2611</v>
      </c>
    </row>
    <row r="796" spans="10:13">
      <c r="J796" t="s">
        <v>10056</v>
      </c>
      <c r="K796" t="s">
        <v>10064</v>
      </c>
      <c r="L796" t="s">
        <v>1977</v>
      </c>
      <c r="M796" s="636" t="s">
        <v>2611</v>
      </c>
    </row>
    <row r="797" spans="10:13">
      <c r="J797" t="s">
        <v>10056</v>
      </c>
      <c r="K797" t="s">
        <v>10065</v>
      </c>
      <c r="L797" t="s">
        <v>1973</v>
      </c>
      <c r="M797" s="636" t="s">
        <v>2611</v>
      </c>
    </row>
    <row r="798" spans="10:13">
      <c r="J798" t="s">
        <v>10056</v>
      </c>
      <c r="K798" t="s">
        <v>10066</v>
      </c>
      <c r="L798" t="s">
        <v>1974</v>
      </c>
      <c r="M798" s="636" t="s">
        <v>2611</v>
      </c>
    </row>
    <row r="799" spans="10:13">
      <c r="J799" t="s">
        <v>10056</v>
      </c>
      <c r="K799" t="s">
        <v>9589</v>
      </c>
      <c r="L799" t="s">
        <v>2612</v>
      </c>
      <c r="M799" s="636" t="s">
        <v>2612</v>
      </c>
    </row>
    <row r="800" spans="10:13">
      <c r="J800" t="s">
        <v>10056</v>
      </c>
      <c r="K800" t="s">
        <v>10067</v>
      </c>
      <c r="L800" t="s">
        <v>1982</v>
      </c>
      <c r="M800" s="636" t="s">
        <v>2612</v>
      </c>
    </row>
    <row r="801" spans="10:13">
      <c r="J801" t="s">
        <v>10056</v>
      </c>
      <c r="K801" t="s">
        <v>10068</v>
      </c>
      <c r="L801" t="s">
        <v>1981</v>
      </c>
      <c r="M801" s="636" t="s">
        <v>2612</v>
      </c>
    </row>
    <row r="802" spans="10:13">
      <c r="J802" t="s">
        <v>10056</v>
      </c>
      <c r="K802" t="s">
        <v>10069</v>
      </c>
      <c r="L802" t="s">
        <v>1978</v>
      </c>
      <c r="M802" s="636" t="s">
        <v>2612</v>
      </c>
    </row>
    <row r="803" spans="10:13">
      <c r="J803" t="s">
        <v>10056</v>
      </c>
      <c r="K803" t="s">
        <v>10070</v>
      </c>
      <c r="L803" t="s">
        <v>1979</v>
      </c>
      <c r="M803" s="636" t="s">
        <v>2612</v>
      </c>
    </row>
    <row r="804" spans="10:13">
      <c r="J804" t="s">
        <v>10056</v>
      </c>
      <c r="K804" t="s">
        <v>10071</v>
      </c>
      <c r="L804" t="s">
        <v>1980</v>
      </c>
      <c r="M804" s="636" t="s">
        <v>2612</v>
      </c>
    </row>
    <row r="805" spans="10:13">
      <c r="J805" t="s">
        <v>10056</v>
      </c>
      <c r="K805" t="s">
        <v>10072</v>
      </c>
      <c r="L805" t="s">
        <v>2613</v>
      </c>
      <c r="M805" s="636" t="s">
        <v>2612</v>
      </c>
    </row>
    <row r="806" spans="10:13">
      <c r="J806" t="s">
        <v>10073</v>
      </c>
      <c r="K806" t="s">
        <v>9474</v>
      </c>
      <c r="L806" t="s">
        <v>2614</v>
      </c>
      <c r="M806" s="636" t="s">
        <v>2614</v>
      </c>
    </row>
    <row r="807" spans="10:13">
      <c r="J807" t="s">
        <v>10073</v>
      </c>
      <c r="K807" t="s">
        <v>10074</v>
      </c>
      <c r="L807" t="s">
        <v>2615</v>
      </c>
      <c r="M807" s="636" t="s">
        <v>2614</v>
      </c>
    </row>
    <row r="808" spans="10:13">
      <c r="J808" t="s">
        <v>10073</v>
      </c>
      <c r="K808" t="s">
        <v>10075</v>
      </c>
      <c r="L808" t="s">
        <v>2616</v>
      </c>
      <c r="M808" s="636" t="s">
        <v>2614</v>
      </c>
    </row>
    <row r="809" spans="10:13">
      <c r="J809" t="s">
        <v>10073</v>
      </c>
      <c r="K809" t="s">
        <v>10076</v>
      </c>
      <c r="L809" t="s">
        <v>2617</v>
      </c>
      <c r="M809" s="636" t="s">
        <v>2614</v>
      </c>
    </row>
    <row r="810" spans="10:13">
      <c r="J810" t="s">
        <v>10073</v>
      </c>
      <c r="K810" t="s">
        <v>9480</v>
      </c>
      <c r="L810" t="s">
        <v>2618</v>
      </c>
      <c r="M810" s="636" t="s">
        <v>2618</v>
      </c>
    </row>
    <row r="811" spans="10:13">
      <c r="J811" t="s">
        <v>10073</v>
      </c>
      <c r="K811" t="s">
        <v>10077</v>
      </c>
      <c r="L811" t="s">
        <v>1985</v>
      </c>
      <c r="M811" s="636" t="s">
        <v>2618</v>
      </c>
    </row>
    <row r="812" spans="10:13">
      <c r="J812" t="s">
        <v>10073</v>
      </c>
      <c r="K812" t="s">
        <v>10078</v>
      </c>
      <c r="L812" t="s">
        <v>2619</v>
      </c>
      <c r="M812" s="636" t="s">
        <v>2618</v>
      </c>
    </row>
    <row r="813" spans="10:13">
      <c r="J813" t="s">
        <v>10073</v>
      </c>
      <c r="K813" t="s">
        <v>10079</v>
      </c>
      <c r="L813" t="s">
        <v>1983</v>
      </c>
      <c r="M813" s="636" t="s">
        <v>2618</v>
      </c>
    </row>
    <row r="814" spans="10:13">
      <c r="J814" t="s">
        <v>10073</v>
      </c>
      <c r="K814" t="s">
        <v>9427</v>
      </c>
      <c r="L814" t="s">
        <v>2620</v>
      </c>
      <c r="M814" s="636" t="s">
        <v>2620</v>
      </c>
    </row>
    <row r="815" spans="10:13">
      <c r="J815" t="s">
        <v>10073</v>
      </c>
      <c r="K815" t="s">
        <v>10080</v>
      </c>
      <c r="L815" t="s">
        <v>1910</v>
      </c>
      <c r="M815" s="636" t="s">
        <v>2620</v>
      </c>
    </row>
    <row r="816" spans="10:13">
      <c r="J816" t="s">
        <v>10073</v>
      </c>
      <c r="K816" t="s">
        <v>10081</v>
      </c>
      <c r="L816" t="s">
        <v>2621</v>
      </c>
      <c r="M816" s="636" t="s">
        <v>2620</v>
      </c>
    </row>
    <row r="817" spans="10:13">
      <c r="J817" t="s">
        <v>10073</v>
      </c>
      <c r="K817" t="s">
        <v>10082</v>
      </c>
      <c r="L817" t="s">
        <v>2622</v>
      </c>
      <c r="M817" s="636" t="s">
        <v>2620</v>
      </c>
    </row>
    <row r="818" spans="10:13">
      <c r="J818" t="s">
        <v>10073</v>
      </c>
      <c r="K818" t="s">
        <v>10083</v>
      </c>
      <c r="L818" t="s">
        <v>2623</v>
      </c>
      <c r="M818" s="636" t="s">
        <v>2620</v>
      </c>
    </row>
    <row r="819" spans="10:13">
      <c r="J819" t="s">
        <v>10073</v>
      </c>
      <c r="K819" t="s">
        <v>10084</v>
      </c>
      <c r="L819" t="s">
        <v>2624</v>
      </c>
      <c r="M819" s="636" t="s">
        <v>2620</v>
      </c>
    </row>
    <row r="820" spans="10:13">
      <c r="J820" t="s">
        <v>10073</v>
      </c>
      <c r="K820" t="s">
        <v>10085</v>
      </c>
      <c r="L820" t="s">
        <v>1912</v>
      </c>
      <c r="M820" s="636" t="s">
        <v>2620</v>
      </c>
    </row>
    <row r="821" spans="10:13">
      <c r="J821" t="s">
        <v>10073</v>
      </c>
      <c r="K821" t="s">
        <v>9422</v>
      </c>
      <c r="L821" t="s">
        <v>2625</v>
      </c>
      <c r="M821" s="636" t="s">
        <v>2620</v>
      </c>
    </row>
    <row r="822" spans="10:13">
      <c r="J822" t="s">
        <v>10073</v>
      </c>
      <c r="K822" t="s">
        <v>10086</v>
      </c>
      <c r="L822" t="s">
        <v>2626</v>
      </c>
      <c r="M822" s="636" t="s">
        <v>2620</v>
      </c>
    </row>
    <row r="823" spans="10:13">
      <c r="J823" t="s">
        <v>10073</v>
      </c>
      <c r="K823" t="s">
        <v>10087</v>
      </c>
      <c r="L823" t="s">
        <v>2627</v>
      </c>
      <c r="M823" s="636" t="s">
        <v>2620</v>
      </c>
    </row>
    <row r="824" spans="10:13">
      <c r="J824" t="s">
        <v>10073</v>
      </c>
      <c r="K824" t="s">
        <v>10088</v>
      </c>
      <c r="L824" t="s">
        <v>2628</v>
      </c>
      <c r="M824" s="636" t="s">
        <v>2620</v>
      </c>
    </row>
    <row r="825" spans="10:13">
      <c r="J825" t="s">
        <v>10073</v>
      </c>
      <c r="K825" t="s">
        <v>10089</v>
      </c>
      <c r="L825" t="s">
        <v>1987</v>
      </c>
      <c r="M825" s="636" t="s">
        <v>2620</v>
      </c>
    </row>
    <row r="826" spans="10:13">
      <c r="J826" t="s">
        <v>10073</v>
      </c>
      <c r="K826" t="s">
        <v>10090</v>
      </c>
      <c r="L826" t="s">
        <v>2629</v>
      </c>
      <c r="M826" s="636" t="s">
        <v>2620</v>
      </c>
    </row>
    <row r="827" spans="10:13">
      <c r="J827" t="s">
        <v>10073</v>
      </c>
      <c r="K827" t="s">
        <v>10091</v>
      </c>
      <c r="L827" t="s">
        <v>3274</v>
      </c>
      <c r="M827" s="636" t="s">
        <v>2620</v>
      </c>
    </row>
  </sheetData>
  <sheetProtection formatCells="0" formatColumns="0" formatRows="0" insertColumns="0" insertRows="0" insertHyperlinks="0" deleteColumns="0" deleteRows="0" sort="0" autoFilter="0" pivotTables="0"/>
  <phoneticPr fontId="1" type="noConversion"/>
  <dataValidations count="3">
    <dataValidation type="list" allowBlank="1" showInputMessage="1" showErrorMessage="1" sqref="BE1" xr:uid="{00000000-0002-0000-1200-000000000000}">
      <formula1>$O$2:$O$40</formula1>
    </dataValidation>
    <dataValidation type="list" allowBlank="1" showInputMessage="1" showErrorMessage="1" sqref="BF1" xr:uid="{00000000-0002-0000-1200-000001000000}">
      <formula1>INDIRECT(BE1)</formula1>
    </dataValidation>
    <dataValidation type="list" allowBlank="1" showInputMessage="1" showErrorMessage="1" sqref="E1" xr:uid="{00000000-0002-0000-1200-000002000000}">
      <formula1>$E$1</formula1>
    </dataValidation>
  </dataValidation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5"/>
  <dimension ref="A2:B7"/>
  <sheetViews>
    <sheetView workbookViewId="0">
      <selection activeCell="B7" sqref="B7"/>
    </sheetView>
  </sheetViews>
  <sheetFormatPr defaultRowHeight="16.5"/>
  <cols>
    <col min="1" max="1" width="10.5" bestFit="1" customWidth="1"/>
    <col min="2" max="2" width="43.875" bestFit="1" customWidth="1"/>
  </cols>
  <sheetData>
    <row r="2" spans="1:2">
      <c r="A2" s="254">
        <v>44524</v>
      </c>
      <c r="B2" t="s">
        <v>10148</v>
      </c>
    </row>
    <row r="3" spans="1:2">
      <c r="A3" s="254">
        <v>44615</v>
      </c>
      <c r="B3" t="s">
        <v>10209</v>
      </c>
    </row>
    <row r="4" spans="1:2">
      <c r="B4" t="s">
        <v>10210</v>
      </c>
    </row>
    <row r="5" spans="1:2">
      <c r="A5" s="254">
        <v>44635</v>
      </c>
      <c r="B5" t="s">
        <v>10212</v>
      </c>
    </row>
    <row r="6" spans="1:2">
      <c r="A6" s="254">
        <v>44651</v>
      </c>
      <c r="B6" t="s">
        <v>10239</v>
      </c>
    </row>
    <row r="7" spans="1:2">
      <c r="A7" s="254">
        <v>44699</v>
      </c>
      <c r="B7" t="s">
        <v>10329</v>
      </c>
    </row>
  </sheetData>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72868-BD89-437B-9C9B-699F1728E0D1}">
  <sheetPr codeName="工作表19"/>
  <dimension ref="A1"/>
  <sheetViews>
    <sheetView topLeftCell="A4" workbookViewId="0">
      <selection activeCell="L24" sqref="L24"/>
    </sheetView>
  </sheetViews>
  <sheetFormatPr defaultRowHeight="16.5"/>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具名範圍</vt:lpstr>
      </vt:variant>
      <vt:variant>
        <vt:i4>4</vt:i4>
      </vt:variant>
    </vt:vector>
  </HeadingPairs>
  <TitlesOfParts>
    <vt:vector size="24" baseType="lpstr">
      <vt:lpstr>總表</vt:lpstr>
      <vt:lpstr>操作程序</vt:lpstr>
      <vt:lpstr>用戶</vt:lpstr>
      <vt:lpstr>停電要求書</vt:lpstr>
      <vt:lpstr>9H-2</vt:lpstr>
      <vt:lpstr>饋線日報表(DATA)</vt:lpstr>
      <vt:lpstr>饋線日報表</vt:lpstr>
      <vt:lpstr>轉供小工具</vt:lpstr>
      <vt:lpstr>出口電桿</vt:lpstr>
      <vt:lpstr>DATA(NEW)</vt:lpstr>
      <vt:lpstr>主變(變電所全停)</vt:lpstr>
      <vt:lpstr>主變N-1</vt:lpstr>
      <vt:lpstr>排序</vt:lpstr>
      <vt:lpstr>110.06.30</vt:lpstr>
      <vt:lpstr>工作表2</vt:lpstr>
      <vt:lpstr>變電所別</vt:lpstr>
      <vt:lpstr>DATA</vt:lpstr>
      <vt:lpstr>設定</vt:lpstr>
      <vt:lpstr>版本</vt:lpstr>
      <vt:lpstr>電流判斷</vt:lpstr>
      <vt:lpstr>'110.06.30'!Print_Area</vt:lpstr>
      <vt:lpstr>'主變(變電所全停)'!Print_Area</vt:lpstr>
      <vt:lpstr>'主變N-1'!Print_Area</vt:lpstr>
      <vt:lpstr>操作程序!Print_Area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C037019</dc:creator>
  <cp:lastModifiedBy>慶民 姚</cp:lastModifiedBy>
  <cp:lastPrinted>2022-02-18T03:10:28Z</cp:lastPrinted>
  <dcterms:created xsi:type="dcterms:W3CDTF">2021-07-23T13:17:56Z</dcterms:created>
  <dcterms:modified xsi:type="dcterms:W3CDTF">2024-07-11T16:47:41Z</dcterms:modified>
</cp:coreProperties>
</file>